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Data - Borrowers" sheetId="2" state="visible" r:id="rId2"/>
    <sheet name="Data - Loans" sheetId="3" state="visible" r:id="rId3"/>
    <sheet name="Data - Repayments" sheetId="4" state="visible" r:id="rId4"/>
  </sheets>
  <definedNames>
    <definedName name="AsOfDate">Assumptions!$B$3</definedName>
    <definedName name="PAR1">Assumptions!$B$4</definedName>
    <definedName name="PAR2">Assumptions!$B$5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2D3D"/>
      <sz val="14"/>
    </font>
    <font>
      <name val="Arial"/>
      <sz val="10"/>
    </font>
    <font>
      <name val="Arial"/>
      <color rgb="000000FF"/>
      <sz val="10"/>
    </font>
    <font>
      <name val="Arial"/>
      <i val="1"/>
      <color rgb="00555555"/>
      <sz val="10"/>
    </font>
    <font>
      <name val="Arial"/>
      <b val="1"/>
      <color rgb="00FFFFFF"/>
      <sz val="10.5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1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Assumptions &amp; Snapshot Date</t>
        </is>
      </c>
    </row>
    <row r="3">
      <c r="A3" s="2" t="inlineStr">
        <is>
          <t>Portfolio snapshot (as-of) date</t>
        </is>
      </c>
      <c r="B3" s="3" t="n">
        <v>46266</v>
      </c>
    </row>
    <row r="4">
      <c r="A4" s="2" t="inlineStr">
        <is>
          <t>PAR threshold 1 (days)</t>
        </is>
      </c>
      <c r="B4" s="4" t="n">
        <v>30</v>
      </c>
    </row>
    <row r="5">
      <c r="A5" s="2" t="inlineStr">
        <is>
          <t>PAR threshold 2 (days)</t>
        </is>
      </c>
      <c r="B5" s="4" t="n">
        <v>90</v>
      </c>
    </row>
    <row r="7">
      <c r="A7" s="5" t="inlineStr">
        <is>
          <t>Blue = input cell you can change. All PAR/repayment calculations recompute automatically.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2" customWidth="1" min="5" max="5"/>
    <col width="22" customWidth="1" min="6" max="6"/>
    <col width="16" customWidth="1" min="7" max="7"/>
    <col width="18" customWidth="1" min="8" max="8"/>
    <col width="15" customWidth="1" min="9" max="9"/>
  </cols>
  <sheetData>
    <row r="1">
      <c r="A1" s="6" t="inlineStr">
        <is>
          <t>borrower_id</t>
        </is>
      </c>
      <c r="B1" s="6" t="inlineStr">
        <is>
          <t>sector</t>
        </is>
      </c>
      <c r="C1" s="6" t="inlineStr">
        <is>
          <t>region</t>
        </is>
      </c>
      <c r="D1" s="6" t="inlineStr">
        <is>
          <t>registration_date</t>
        </is>
      </c>
      <c r="E1" s="6" t="inlineStr">
        <is>
          <t>business_age_months</t>
        </is>
      </c>
      <c r="F1" s="6" t="inlineStr">
        <is>
          <t>monthly_revenue_kes</t>
        </is>
      </c>
      <c r="G1" s="6" t="inlineStr">
        <is>
          <t>num_employees</t>
        </is>
      </c>
      <c r="H1" s="6" t="inlineStr">
        <is>
          <t>gender_of_owner</t>
        </is>
      </c>
      <c r="I1" s="6" t="inlineStr">
        <is>
          <t>bureau_score</t>
        </is>
      </c>
    </row>
    <row r="2">
      <c r="A2" t="inlineStr">
        <is>
          <t>BOR100000</t>
        </is>
      </c>
      <c r="B2" t="inlineStr">
        <is>
          <t>Retail &amp; Trade</t>
        </is>
      </c>
      <c r="C2" t="inlineStr">
        <is>
          <t>Rural - Other</t>
        </is>
      </c>
      <c r="D2" s="7" t="n">
        <v>43787</v>
      </c>
      <c r="E2" t="n">
        <v>95</v>
      </c>
      <c r="F2" t="n">
        <v>80000</v>
      </c>
      <c r="G2" t="n">
        <v>8</v>
      </c>
      <c r="H2" t="inlineStr">
        <is>
          <t>Male</t>
        </is>
      </c>
      <c r="I2" t="n">
        <v>668</v>
      </c>
    </row>
    <row r="3">
      <c r="A3" t="inlineStr">
        <is>
          <t>BOR100001</t>
        </is>
      </c>
      <c r="B3" t="inlineStr">
        <is>
          <t>Transport &amp; Logistics</t>
        </is>
      </c>
      <c r="C3" t="inlineStr">
        <is>
          <t>Nairobi</t>
        </is>
      </c>
      <c r="D3" s="7" t="n">
        <v>43908</v>
      </c>
      <c r="E3" t="n">
        <v>48</v>
      </c>
      <c r="F3" t="n">
        <v>388800</v>
      </c>
      <c r="G3" t="n">
        <v>10</v>
      </c>
      <c r="H3" t="inlineStr">
        <is>
          <t>Male</t>
        </is>
      </c>
      <c r="I3" t="n">
        <v>580</v>
      </c>
    </row>
    <row r="4">
      <c r="A4" t="inlineStr">
        <is>
          <t>BOR100002</t>
        </is>
      </c>
      <c r="B4" t="inlineStr">
        <is>
          <t>Services</t>
        </is>
      </c>
      <c r="C4" t="inlineStr">
        <is>
          <t>Rural - Other</t>
        </is>
      </c>
      <c r="D4" s="7" t="n">
        <v>42798</v>
      </c>
      <c r="E4" t="n">
        <v>33</v>
      </c>
      <c r="F4" t="n">
        <v>33900</v>
      </c>
      <c r="G4" t="n">
        <v>12</v>
      </c>
      <c r="H4" t="inlineStr">
        <is>
          <t>Female</t>
        </is>
      </c>
      <c r="I4" t="n">
        <v>555</v>
      </c>
    </row>
    <row r="5">
      <c r="A5" t="inlineStr">
        <is>
          <t>BOR100003</t>
        </is>
      </c>
      <c r="B5" t="inlineStr">
        <is>
          <t>Manufacturing</t>
        </is>
      </c>
      <c r="C5" t="inlineStr">
        <is>
          <t>Nairobi</t>
        </is>
      </c>
      <c r="D5" s="7" t="n">
        <v>44319</v>
      </c>
      <c r="E5" t="n">
        <v>30</v>
      </c>
      <c r="F5" t="n">
        <v>68100</v>
      </c>
      <c r="G5" t="n">
        <v>1</v>
      </c>
      <c r="H5" t="inlineStr">
        <is>
          <t>Male</t>
        </is>
      </c>
      <c r="I5" t="n">
        <v>582</v>
      </c>
    </row>
    <row r="6">
      <c r="A6" t="inlineStr">
        <is>
          <t>BOR100004</t>
        </is>
      </c>
      <c r="B6" t="inlineStr">
        <is>
          <t>Manufacturing</t>
        </is>
      </c>
      <c r="C6" t="inlineStr">
        <is>
          <t>Rural - Other</t>
        </is>
      </c>
      <c r="D6" s="7" t="n">
        <v>45184</v>
      </c>
      <c r="E6" t="n">
        <v>142</v>
      </c>
      <c r="F6" t="n">
        <v>257500</v>
      </c>
      <c r="G6" t="n">
        <v>18</v>
      </c>
      <c r="H6" t="inlineStr">
        <is>
          <t>Male</t>
        </is>
      </c>
      <c r="I6" t="n">
        <v>486</v>
      </c>
    </row>
    <row r="7">
      <c r="A7" t="inlineStr">
        <is>
          <t>BOR100005</t>
        </is>
      </c>
      <c r="B7" t="inlineStr">
        <is>
          <t>Construction</t>
        </is>
      </c>
      <c r="C7" t="inlineStr">
        <is>
          <t>Rural - Other</t>
        </is>
      </c>
      <c r="D7" s="7" t="n">
        <v>43144</v>
      </c>
      <c r="E7" t="n">
        <v>17</v>
      </c>
      <c r="F7" t="n">
        <v>168400</v>
      </c>
      <c r="G7" t="n">
        <v>3</v>
      </c>
      <c r="H7" t="inlineStr">
        <is>
          <t>Female</t>
        </is>
      </c>
      <c r="I7" t="n">
        <v>636</v>
      </c>
    </row>
    <row r="8">
      <c r="A8" t="inlineStr">
        <is>
          <t>BOR100006</t>
        </is>
      </c>
      <c r="B8" t="inlineStr">
        <is>
          <t>Retail &amp; Trade</t>
        </is>
      </c>
      <c r="C8" t="inlineStr">
        <is>
          <t>Rural - Other</t>
        </is>
      </c>
      <c r="D8" s="7" t="n">
        <v>46123</v>
      </c>
      <c r="E8" t="n">
        <v>116</v>
      </c>
      <c r="F8" t="n">
        <v>44900</v>
      </c>
      <c r="G8" t="n">
        <v>12</v>
      </c>
      <c r="H8" t="inlineStr">
        <is>
          <t>Male</t>
        </is>
      </c>
      <c r="I8" t="n">
        <v>439</v>
      </c>
    </row>
    <row r="9">
      <c r="A9" t="inlineStr">
        <is>
          <t>BOR100007</t>
        </is>
      </c>
      <c r="B9" t="inlineStr">
        <is>
          <t>Transport &amp; Logistics</t>
        </is>
      </c>
      <c r="C9" t="inlineStr">
        <is>
          <t>Eldoret</t>
        </is>
      </c>
      <c r="D9" s="7" t="n">
        <v>44614</v>
      </c>
      <c r="E9" t="n">
        <v>125</v>
      </c>
      <c r="F9" t="n">
        <v>85500</v>
      </c>
      <c r="G9" t="n">
        <v>16</v>
      </c>
      <c r="H9" t="inlineStr">
        <is>
          <t>Female</t>
        </is>
      </c>
      <c r="I9" t="n">
        <v>560</v>
      </c>
    </row>
    <row r="10">
      <c r="A10" t="inlineStr">
        <is>
          <t>BOR100008</t>
        </is>
      </c>
      <c r="B10" t="inlineStr">
        <is>
          <t>Agriculture</t>
        </is>
      </c>
      <c r="C10" t="inlineStr">
        <is>
          <t>Rural - Other</t>
        </is>
      </c>
      <c r="D10" s="7" t="n">
        <v>45299</v>
      </c>
      <c r="E10" t="n">
        <v>7</v>
      </c>
      <c r="F10" t="n">
        <v>73200</v>
      </c>
      <c r="G10" t="n">
        <v>2</v>
      </c>
      <c r="H10" t="inlineStr">
        <is>
          <t>Male</t>
        </is>
      </c>
      <c r="I10" t="n">
        <v>668</v>
      </c>
    </row>
    <row r="11">
      <c r="A11" t="inlineStr">
        <is>
          <t>BOR100009</t>
        </is>
      </c>
      <c r="B11" t="inlineStr">
        <is>
          <t>Retail &amp; Trade</t>
        </is>
      </c>
      <c r="C11" t="inlineStr">
        <is>
          <t>Nairobi</t>
        </is>
      </c>
      <c r="D11" s="7" t="n">
        <v>42303</v>
      </c>
      <c r="E11" t="n">
        <v>86</v>
      </c>
      <c r="F11" t="n">
        <v>89100</v>
      </c>
      <c r="G11" t="n">
        <v>24</v>
      </c>
      <c r="H11" t="inlineStr">
        <is>
          <t>Female</t>
        </is>
      </c>
      <c r="I11" t="n">
        <v>627</v>
      </c>
    </row>
    <row r="12">
      <c r="A12" t="inlineStr">
        <is>
          <t>BOR100010</t>
        </is>
      </c>
      <c r="B12" t="inlineStr">
        <is>
          <t>Services</t>
        </is>
      </c>
      <c r="C12" t="inlineStr">
        <is>
          <t>Nairobi</t>
        </is>
      </c>
      <c r="D12" s="7" t="n">
        <v>45275</v>
      </c>
      <c r="E12" t="n">
        <v>84</v>
      </c>
      <c r="F12" t="n">
        <v>44800</v>
      </c>
      <c r="G12" t="n">
        <v>10</v>
      </c>
      <c r="H12" t="inlineStr">
        <is>
          <t>Male</t>
        </is>
      </c>
      <c r="I12" t="n">
        <v>653</v>
      </c>
    </row>
    <row r="13">
      <c r="A13" t="inlineStr">
        <is>
          <t>BOR100011</t>
        </is>
      </c>
      <c r="B13" t="inlineStr">
        <is>
          <t>Construction</t>
        </is>
      </c>
      <c r="C13" t="inlineStr">
        <is>
          <t>Nairobi</t>
        </is>
      </c>
      <c r="D13" s="7" t="n">
        <v>43439</v>
      </c>
      <c r="E13" t="n">
        <v>53</v>
      </c>
      <c r="F13" t="n">
        <v>68700</v>
      </c>
      <c r="G13" t="n">
        <v>1</v>
      </c>
      <c r="H13" t="inlineStr">
        <is>
          <t>Male</t>
        </is>
      </c>
      <c r="I13" t="n">
        <v>594</v>
      </c>
    </row>
    <row r="14">
      <c r="A14" t="inlineStr">
        <is>
          <t>BOR100012</t>
        </is>
      </c>
      <c r="B14" t="inlineStr">
        <is>
          <t>Transport &amp; Logistics</t>
        </is>
      </c>
      <c r="C14" t="inlineStr">
        <is>
          <t>Kisumu</t>
        </is>
      </c>
      <c r="D14" s="7" t="n">
        <v>45030</v>
      </c>
      <c r="E14" t="n">
        <v>97</v>
      </c>
      <c r="F14" t="n">
        <v>23900</v>
      </c>
      <c r="G14" t="n">
        <v>16</v>
      </c>
      <c r="H14" t="inlineStr">
        <is>
          <t>Female</t>
        </is>
      </c>
      <c r="I14" t="n">
        <v>705</v>
      </c>
    </row>
    <row r="15">
      <c r="A15" t="inlineStr">
        <is>
          <t>BOR100013</t>
        </is>
      </c>
      <c r="B15" t="inlineStr">
        <is>
          <t>Transport &amp; Logistics</t>
        </is>
      </c>
      <c r="C15" t="inlineStr">
        <is>
          <t>Eldoret</t>
        </is>
      </c>
      <c r="D15" s="7" t="n">
        <v>45432</v>
      </c>
      <c r="E15" t="n">
        <v>61</v>
      </c>
      <c r="F15" t="n">
        <v>80400</v>
      </c>
      <c r="G15" t="n">
        <v>14</v>
      </c>
      <c r="H15" t="inlineStr">
        <is>
          <t>Male</t>
        </is>
      </c>
      <c r="I15" t="n">
        <v>683</v>
      </c>
    </row>
    <row r="16">
      <c r="A16" t="inlineStr">
        <is>
          <t>BOR100014</t>
        </is>
      </c>
      <c r="B16" t="inlineStr">
        <is>
          <t>Transport &amp; Logistics</t>
        </is>
      </c>
      <c r="C16" t="inlineStr">
        <is>
          <t>Nakuru</t>
        </is>
      </c>
      <c r="D16" s="7" t="n">
        <v>43071</v>
      </c>
      <c r="E16" t="n">
        <v>65</v>
      </c>
      <c r="F16" t="n">
        <v>100200</v>
      </c>
      <c r="G16" t="n">
        <v>16</v>
      </c>
      <c r="H16" t="inlineStr">
        <is>
          <t>Female</t>
        </is>
      </c>
      <c r="I16" t="n">
        <v>640</v>
      </c>
    </row>
    <row r="17">
      <c r="A17" t="inlineStr">
        <is>
          <t>BOR100015</t>
        </is>
      </c>
      <c r="B17" t="inlineStr">
        <is>
          <t>Transport &amp; Logistics</t>
        </is>
      </c>
      <c r="C17" t="inlineStr">
        <is>
          <t>Rural - Other</t>
        </is>
      </c>
      <c r="D17" s="7" t="n">
        <v>43109</v>
      </c>
      <c r="E17" t="n">
        <v>64</v>
      </c>
      <c r="F17" t="n">
        <v>62400</v>
      </c>
      <c r="G17" t="n">
        <v>19</v>
      </c>
      <c r="H17" t="inlineStr">
        <is>
          <t>Male</t>
        </is>
      </c>
      <c r="I17" t="n">
        <v>683</v>
      </c>
    </row>
    <row r="18">
      <c r="A18" t="inlineStr">
        <is>
          <t>BOR100016</t>
        </is>
      </c>
      <c r="B18" t="inlineStr">
        <is>
          <t>Services</t>
        </is>
      </c>
      <c r="C18" t="inlineStr">
        <is>
          <t>Nairobi</t>
        </is>
      </c>
      <c r="D18" s="7" t="n">
        <v>42258</v>
      </c>
      <c r="E18" t="n">
        <v>116</v>
      </c>
      <c r="F18" t="n">
        <v>23600</v>
      </c>
      <c r="G18" t="n">
        <v>12</v>
      </c>
      <c r="H18" t="inlineStr">
        <is>
          <t>Male</t>
        </is>
      </c>
      <c r="I18" t="n">
        <v>668</v>
      </c>
    </row>
    <row r="19">
      <c r="A19" t="inlineStr">
        <is>
          <t>BOR100017</t>
        </is>
      </c>
      <c r="B19" t="inlineStr">
        <is>
          <t>Retail &amp; Trade</t>
        </is>
      </c>
      <c r="C19" t="inlineStr">
        <is>
          <t>Eldoret</t>
        </is>
      </c>
      <c r="D19" s="7" t="n">
        <v>44583</v>
      </c>
      <c r="E19" t="n">
        <v>92</v>
      </c>
      <c r="F19" t="n">
        <v>146100</v>
      </c>
      <c r="G19" t="n">
        <v>20</v>
      </c>
      <c r="H19" t="inlineStr">
        <is>
          <t>Female</t>
        </is>
      </c>
      <c r="I19" t="n">
        <v>560</v>
      </c>
    </row>
    <row r="20">
      <c r="A20" t="inlineStr">
        <is>
          <t>BOR100018</t>
        </is>
      </c>
      <c r="B20" t="inlineStr">
        <is>
          <t>Construction</t>
        </is>
      </c>
      <c r="C20" t="inlineStr">
        <is>
          <t>Nairobi</t>
        </is>
      </c>
      <c r="D20" s="7" t="n">
        <v>45303</v>
      </c>
      <c r="E20" t="n">
        <v>56</v>
      </c>
      <c r="F20" t="n">
        <v>94400</v>
      </c>
      <c r="G20" t="n">
        <v>9</v>
      </c>
      <c r="H20" t="inlineStr">
        <is>
          <t>Female</t>
        </is>
      </c>
      <c r="I20" t="n">
        <v>479</v>
      </c>
    </row>
    <row r="21">
      <c r="A21" t="inlineStr">
        <is>
          <t>BOR100019</t>
        </is>
      </c>
      <c r="B21" t="inlineStr">
        <is>
          <t>Manufacturing</t>
        </is>
      </c>
      <c r="C21" t="inlineStr">
        <is>
          <t>Nairobi</t>
        </is>
      </c>
      <c r="D21" s="7" t="n">
        <v>43752</v>
      </c>
      <c r="E21" t="n">
        <v>134</v>
      </c>
      <c r="F21" t="n">
        <v>44000</v>
      </c>
      <c r="G21" t="n">
        <v>14</v>
      </c>
      <c r="H21" t="inlineStr">
        <is>
          <t>Male</t>
        </is>
      </c>
      <c r="I21" t="n">
        <v>638</v>
      </c>
    </row>
    <row r="22">
      <c r="A22" t="inlineStr">
        <is>
          <t>BOR100020</t>
        </is>
      </c>
      <c r="B22" t="inlineStr">
        <is>
          <t>Services</t>
        </is>
      </c>
      <c r="C22" t="inlineStr">
        <is>
          <t>Eldoret</t>
        </is>
      </c>
      <c r="D22" s="7" t="n">
        <v>42690</v>
      </c>
      <c r="E22" t="n">
        <v>116</v>
      </c>
      <c r="F22" t="n">
        <v>60100</v>
      </c>
      <c r="G22" t="n">
        <v>4</v>
      </c>
      <c r="H22" t="inlineStr">
        <is>
          <t>Female</t>
        </is>
      </c>
      <c r="I22" t="n">
        <v>649</v>
      </c>
    </row>
    <row r="23">
      <c r="A23" t="inlineStr">
        <is>
          <t>BOR100021</t>
        </is>
      </c>
      <c r="B23" t="inlineStr">
        <is>
          <t>Manufacturing</t>
        </is>
      </c>
      <c r="C23" t="inlineStr">
        <is>
          <t>Rural - Other</t>
        </is>
      </c>
      <c r="D23" s="7" t="n">
        <v>43353</v>
      </c>
      <c r="E23" t="n">
        <v>135</v>
      </c>
      <c r="F23" t="n">
        <v>25600</v>
      </c>
      <c r="G23" t="n">
        <v>15</v>
      </c>
      <c r="H23" t="inlineStr">
        <is>
          <t>Male</t>
        </is>
      </c>
      <c r="I23" t="n">
        <v>698</v>
      </c>
    </row>
    <row r="24">
      <c r="A24" t="inlineStr">
        <is>
          <t>BOR100022</t>
        </is>
      </c>
      <c r="B24" t="inlineStr">
        <is>
          <t>Agriculture</t>
        </is>
      </c>
      <c r="C24" t="inlineStr">
        <is>
          <t>Nakuru</t>
        </is>
      </c>
      <c r="D24" s="7" t="n">
        <v>43721</v>
      </c>
      <c r="E24" t="n">
        <v>106</v>
      </c>
      <c r="F24" t="n">
        <v>35700</v>
      </c>
      <c r="G24" t="n">
        <v>7</v>
      </c>
      <c r="H24" t="inlineStr">
        <is>
          <t>Male</t>
        </is>
      </c>
      <c r="I24" t="n">
        <v>516</v>
      </c>
    </row>
    <row r="25">
      <c r="A25" t="inlineStr">
        <is>
          <t>BOR100023</t>
        </is>
      </c>
      <c r="B25" t="inlineStr">
        <is>
          <t>Construction</t>
        </is>
      </c>
      <c r="C25" t="inlineStr">
        <is>
          <t>Nairobi</t>
        </is>
      </c>
      <c r="D25" s="7" t="n">
        <v>45908</v>
      </c>
      <c r="E25" t="n">
        <v>58</v>
      </c>
      <c r="F25" t="n">
        <v>50200</v>
      </c>
      <c r="G25" t="n">
        <v>17</v>
      </c>
      <c r="H25" t="inlineStr">
        <is>
          <t>Male</t>
        </is>
      </c>
      <c r="I25" t="n">
        <v>518</v>
      </c>
    </row>
    <row r="26">
      <c r="A26" t="inlineStr">
        <is>
          <t>BOR100024</t>
        </is>
      </c>
      <c r="B26" t="inlineStr">
        <is>
          <t>Transport &amp; Logistics</t>
        </is>
      </c>
      <c r="C26" t="inlineStr">
        <is>
          <t>Nakuru</t>
        </is>
      </c>
      <c r="D26" s="7" t="n">
        <v>42533</v>
      </c>
      <c r="E26" t="n">
        <v>112</v>
      </c>
      <c r="F26" t="n">
        <v>172800</v>
      </c>
      <c r="G26" t="n">
        <v>20</v>
      </c>
      <c r="H26" t="inlineStr">
        <is>
          <t>Female</t>
        </is>
      </c>
      <c r="I26" t="n">
        <v>641</v>
      </c>
    </row>
    <row r="27">
      <c r="A27" t="inlineStr">
        <is>
          <t>BOR100025</t>
        </is>
      </c>
      <c r="B27" t="inlineStr">
        <is>
          <t>Services</t>
        </is>
      </c>
      <c r="C27" t="inlineStr">
        <is>
          <t>Nairobi</t>
        </is>
      </c>
      <c r="D27" s="7" t="n">
        <v>43467</v>
      </c>
      <c r="E27" t="n">
        <v>49</v>
      </c>
      <c r="F27" t="n">
        <v>46700</v>
      </c>
      <c r="G27" t="n">
        <v>21</v>
      </c>
      <c r="H27" t="inlineStr">
        <is>
          <t>Male</t>
        </is>
      </c>
      <c r="I27" t="n">
        <v>594</v>
      </c>
    </row>
    <row r="28">
      <c r="A28" t="inlineStr">
        <is>
          <t>BOR100026</t>
        </is>
      </c>
      <c r="B28" t="inlineStr">
        <is>
          <t>Manufacturing</t>
        </is>
      </c>
      <c r="C28" t="inlineStr">
        <is>
          <t>Rural - Other</t>
        </is>
      </c>
      <c r="D28" s="7" t="n">
        <v>44723</v>
      </c>
      <c r="E28" t="n">
        <v>41</v>
      </c>
      <c r="F28" t="n">
        <v>114500</v>
      </c>
      <c r="G28" t="n">
        <v>23</v>
      </c>
      <c r="H28" t="inlineStr">
        <is>
          <t>Male</t>
        </is>
      </c>
      <c r="I28" t="n">
        <v>430</v>
      </c>
    </row>
    <row r="29">
      <c r="A29" t="inlineStr">
        <is>
          <t>BOR100027</t>
        </is>
      </c>
      <c r="B29" t="inlineStr">
        <is>
          <t>Transport &amp; Logistics</t>
        </is>
      </c>
      <c r="C29" t="inlineStr">
        <is>
          <t>Eldoret</t>
        </is>
      </c>
      <c r="D29" s="7" t="n">
        <v>43013</v>
      </c>
      <c r="E29" t="n">
        <v>67</v>
      </c>
      <c r="F29" t="n">
        <v>50200</v>
      </c>
      <c r="G29" t="n">
        <v>3</v>
      </c>
      <c r="H29" t="inlineStr">
        <is>
          <t>Female</t>
        </is>
      </c>
      <c r="I29" t="n">
        <v>634</v>
      </c>
    </row>
    <row r="30">
      <c r="A30" t="inlineStr">
        <is>
          <t>BOR100028</t>
        </is>
      </c>
      <c r="B30" t="inlineStr">
        <is>
          <t>Services</t>
        </is>
      </c>
      <c r="C30" t="inlineStr">
        <is>
          <t>Nairobi</t>
        </is>
      </c>
      <c r="D30" s="7" t="n">
        <v>45774</v>
      </c>
      <c r="E30" t="n">
        <v>140</v>
      </c>
      <c r="F30" t="n">
        <v>87000</v>
      </c>
      <c r="G30" t="n">
        <v>4</v>
      </c>
      <c r="H30" t="inlineStr">
        <is>
          <t>Female</t>
        </is>
      </c>
      <c r="I30" t="n">
        <v>433</v>
      </c>
    </row>
    <row r="31">
      <c r="A31" t="inlineStr">
        <is>
          <t>BOR100029</t>
        </is>
      </c>
      <c r="B31" t="inlineStr">
        <is>
          <t>Manufacturing</t>
        </is>
      </c>
      <c r="C31" t="inlineStr">
        <is>
          <t>Nairobi</t>
        </is>
      </c>
      <c r="D31" s="7" t="n">
        <v>45879</v>
      </c>
      <c r="E31" t="n">
        <v>83</v>
      </c>
      <c r="F31" t="n">
        <v>66200</v>
      </c>
      <c r="G31" t="n">
        <v>23</v>
      </c>
      <c r="H31" t="inlineStr">
        <is>
          <t>Female</t>
        </is>
      </c>
      <c r="I31" t="n">
        <v>515</v>
      </c>
    </row>
    <row r="32">
      <c r="A32" t="inlineStr">
        <is>
          <t>BOR100030</t>
        </is>
      </c>
      <c r="B32" t="inlineStr">
        <is>
          <t>Manufacturing</t>
        </is>
      </c>
      <c r="C32" t="inlineStr">
        <is>
          <t>Nairobi</t>
        </is>
      </c>
      <c r="D32" s="7" t="n">
        <v>43624</v>
      </c>
      <c r="E32" t="n">
        <v>57</v>
      </c>
      <c r="F32" t="n">
        <v>134700</v>
      </c>
      <c r="G32" t="n">
        <v>10</v>
      </c>
      <c r="H32" t="inlineStr">
        <is>
          <t>Female</t>
        </is>
      </c>
      <c r="I32" t="n">
        <v>722</v>
      </c>
    </row>
    <row r="33">
      <c r="A33" t="inlineStr">
        <is>
          <t>BOR100031</t>
        </is>
      </c>
      <c r="B33" t="inlineStr">
        <is>
          <t>Agriculture</t>
        </is>
      </c>
      <c r="C33" t="inlineStr">
        <is>
          <t>Rural - Other</t>
        </is>
      </c>
      <c r="D33" s="7" t="n">
        <v>45183</v>
      </c>
      <c r="E33" t="n">
        <v>68</v>
      </c>
      <c r="F33" t="n">
        <v>50300</v>
      </c>
      <c r="G33" t="n">
        <v>1</v>
      </c>
      <c r="H33" t="inlineStr">
        <is>
          <t>Male</t>
        </is>
      </c>
      <c r="I33" t="n">
        <v>764</v>
      </c>
    </row>
    <row r="34">
      <c r="A34" t="inlineStr">
        <is>
          <t>BOR100032</t>
        </is>
      </c>
      <c r="B34" t="inlineStr">
        <is>
          <t>Retail &amp; Trade</t>
        </is>
      </c>
      <c r="C34" t="inlineStr">
        <is>
          <t>Kisumu</t>
        </is>
      </c>
      <c r="D34" s="7" t="n">
        <v>45225</v>
      </c>
      <c r="E34" t="n">
        <v>44</v>
      </c>
      <c r="F34" t="n">
        <v>24300</v>
      </c>
      <c r="G34" t="n">
        <v>7</v>
      </c>
      <c r="H34" t="inlineStr">
        <is>
          <t>Female</t>
        </is>
      </c>
      <c r="I34" t="n">
        <v>491</v>
      </c>
    </row>
    <row r="35">
      <c r="A35" t="inlineStr">
        <is>
          <t>BOR100033</t>
        </is>
      </c>
      <c r="B35" t="inlineStr">
        <is>
          <t>Services</t>
        </is>
      </c>
      <c r="C35" t="inlineStr">
        <is>
          <t>Rural - Other</t>
        </is>
      </c>
      <c r="D35" s="7" t="n">
        <v>44910</v>
      </c>
      <c r="E35" t="n">
        <v>96</v>
      </c>
      <c r="F35" t="n">
        <v>27800</v>
      </c>
      <c r="G35" t="n">
        <v>21</v>
      </c>
      <c r="H35" t="inlineStr">
        <is>
          <t>Male</t>
        </is>
      </c>
      <c r="I35" t="n">
        <v>570</v>
      </c>
    </row>
    <row r="36">
      <c r="A36" t="inlineStr">
        <is>
          <t>BOR100034</t>
        </is>
      </c>
      <c r="B36" t="inlineStr">
        <is>
          <t>Construction</t>
        </is>
      </c>
      <c r="C36" t="inlineStr">
        <is>
          <t>Nakuru</t>
        </is>
      </c>
      <c r="D36" s="7" t="n">
        <v>42799</v>
      </c>
      <c r="E36" t="n">
        <v>52</v>
      </c>
      <c r="F36" t="n">
        <v>50400</v>
      </c>
      <c r="G36" t="n">
        <v>9</v>
      </c>
      <c r="H36" t="inlineStr">
        <is>
          <t>Female</t>
        </is>
      </c>
      <c r="I36" t="n">
        <v>604</v>
      </c>
    </row>
    <row r="37">
      <c r="A37" t="inlineStr">
        <is>
          <t>BOR100035</t>
        </is>
      </c>
      <c r="B37" t="inlineStr">
        <is>
          <t>Retail &amp; Trade</t>
        </is>
      </c>
      <c r="C37" t="inlineStr">
        <is>
          <t>Nakuru</t>
        </is>
      </c>
      <c r="D37" s="7" t="n">
        <v>42216</v>
      </c>
      <c r="E37" t="n">
        <v>81</v>
      </c>
      <c r="F37" t="n">
        <v>30500</v>
      </c>
      <c r="G37" t="n">
        <v>2</v>
      </c>
      <c r="H37" t="inlineStr">
        <is>
          <t>Female</t>
        </is>
      </c>
      <c r="I37" t="n">
        <v>760</v>
      </c>
    </row>
    <row r="38">
      <c r="A38" t="inlineStr">
        <is>
          <t>BOR100036</t>
        </is>
      </c>
      <c r="B38" t="inlineStr">
        <is>
          <t>Construction</t>
        </is>
      </c>
      <c r="C38" t="inlineStr">
        <is>
          <t>Nairobi</t>
        </is>
      </c>
      <c r="D38" s="7" t="n">
        <v>43484</v>
      </c>
      <c r="E38" t="n">
        <v>55</v>
      </c>
      <c r="F38" t="n">
        <v>97500</v>
      </c>
      <c r="G38" t="n">
        <v>18</v>
      </c>
      <c r="H38" t="inlineStr">
        <is>
          <t>Female</t>
        </is>
      </c>
      <c r="I38" t="n">
        <v>556</v>
      </c>
    </row>
    <row r="39">
      <c r="A39" t="inlineStr">
        <is>
          <t>BOR100037</t>
        </is>
      </c>
      <c r="B39" t="inlineStr">
        <is>
          <t>Transport &amp; Logistics</t>
        </is>
      </c>
      <c r="C39" t="inlineStr">
        <is>
          <t>Rural - Other</t>
        </is>
      </c>
      <c r="D39" s="7" t="n">
        <v>42564</v>
      </c>
      <c r="E39" t="n">
        <v>48</v>
      </c>
      <c r="F39" t="n">
        <v>52800</v>
      </c>
      <c r="G39" t="n">
        <v>5</v>
      </c>
      <c r="H39" t="inlineStr">
        <is>
          <t>Male</t>
        </is>
      </c>
      <c r="I39" t="n">
        <v>557</v>
      </c>
    </row>
    <row r="40">
      <c r="A40" t="inlineStr">
        <is>
          <t>BOR100038</t>
        </is>
      </c>
      <c r="B40" t="inlineStr">
        <is>
          <t>Agriculture</t>
        </is>
      </c>
      <c r="C40" t="inlineStr">
        <is>
          <t>Mombasa</t>
        </is>
      </c>
      <c r="D40" s="7" t="n">
        <v>43250</v>
      </c>
      <c r="E40" t="n">
        <v>140</v>
      </c>
      <c r="F40" t="n">
        <v>385500</v>
      </c>
      <c r="G40" t="n">
        <v>9</v>
      </c>
      <c r="H40" t="inlineStr">
        <is>
          <t>Male</t>
        </is>
      </c>
      <c r="I40" t="n">
        <v>739</v>
      </c>
    </row>
    <row r="41">
      <c r="A41" t="inlineStr">
        <is>
          <t>BOR100039</t>
        </is>
      </c>
      <c r="B41" t="inlineStr">
        <is>
          <t>Services</t>
        </is>
      </c>
      <c r="C41" t="inlineStr">
        <is>
          <t>Nakuru</t>
        </is>
      </c>
      <c r="D41" s="7" t="n">
        <v>44724</v>
      </c>
      <c r="E41" t="n">
        <v>52</v>
      </c>
      <c r="F41" t="n">
        <v>21700</v>
      </c>
      <c r="G41" t="n">
        <v>1</v>
      </c>
      <c r="H41" t="inlineStr">
        <is>
          <t>Female</t>
        </is>
      </c>
      <c r="I41" t="n">
        <v>566</v>
      </c>
    </row>
    <row r="42">
      <c r="A42" t="inlineStr">
        <is>
          <t>BOR100040</t>
        </is>
      </c>
      <c r="B42" t="inlineStr">
        <is>
          <t>Retail &amp; Trade</t>
        </is>
      </c>
      <c r="C42" t="inlineStr">
        <is>
          <t>Eldoret</t>
        </is>
      </c>
      <c r="D42" s="7" t="n">
        <v>44513</v>
      </c>
      <c r="E42" t="n">
        <v>13</v>
      </c>
      <c r="F42" t="n">
        <v>84300</v>
      </c>
      <c r="G42" t="n">
        <v>15</v>
      </c>
      <c r="H42" t="inlineStr">
        <is>
          <t>Male</t>
        </is>
      </c>
      <c r="I42" t="n">
        <v>665</v>
      </c>
    </row>
    <row r="43">
      <c r="A43" t="inlineStr">
        <is>
          <t>BOR100041</t>
        </is>
      </c>
      <c r="B43" t="inlineStr">
        <is>
          <t>Transport &amp; Logistics</t>
        </is>
      </c>
      <c r="C43" t="inlineStr">
        <is>
          <t>Nakuru</t>
        </is>
      </c>
      <c r="D43" s="7" t="n">
        <v>42897</v>
      </c>
      <c r="E43" t="n">
        <v>56</v>
      </c>
      <c r="F43" t="n">
        <v>33200</v>
      </c>
      <c r="G43" t="n">
        <v>11</v>
      </c>
      <c r="H43" t="inlineStr">
        <is>
          <t>Female</t>
        </is>
      </c>
      <c r="I43" t="n">
        <v>467</v>
      </c>
    </row>
    <row r="44">
      <c r="A44" t="inlineStr">
        <is>
          <t>BOR100042</t>
        </is>
      </c>
      <c r="B44" t="inlineStr">
        <is>
          <t>Transport &amp; Logistics</t>
        </is>
      </c>
      <c r="C44" t="inlineStr">
        <is>
          <t>Rural - Other</t>
        </is>
      </c>
      <c r="D44" s="7" t="n">
        <v>42080</v>
      </c>
      <c r="E44" t="n">
        <v>78</v>
      </c>
      <c r="F44" t="n">
        <v>51800</v>
      </c>
      <c r="G44" t="n">
        <v>21</v>
      </c>
      <c r="H44" t="inlineStr">
        <is>
          <t>Female</t>
        </is>
      </c>
      <c r="I44" t="n">
        <v>585</v>
      </c>
    </row>
    <row r="45">
      <c r="A45" t="inlineStr">
        <is>
          <t>BOR100043</t>
        </is>
      </c>
      <c r="B45" t="inlineStr">
        <is>
          <t>Manufacturing</t>
        </is>
      </c>
      <c r="C45" t="inlineStr">
        <is>
          <t>Nairobi</t>
        </is>
      </c>
      <c r="D45" s="7" t="n">
        <v>42966</v>
      </c>
      <c r="E45" t="n">
        <v>16</v>
      </c>
      <c r="F45" t="n">
        <v>80700</v>
      </c>
      <c r="G45" t="n">
        <v>9</v>
      </c>
      <c r="H45" t="inlineStr">
        <is>
          <t>Female</t>
        </is>
      </c>
      <c r="I45" t="n">
        <v>451</v>
      </c>
    </row>
    <row r="46">
      <c r="A46" t="inlineStr">
        <is>
          <t>BOR100044</t>
        </is>
      </c>
      <c r="B46" t="inlineStr">
        <is>
          <t>Retail &amp; Trade</t>
        </is>
      </c>
      <c r="C46" t="inlineStr">
        <is>
          <t>Kisumu</t>
        </is>
      </c>
      <c r="D46" s="7" t="n">
        <v>43942</v>
      </c>
      <c r="E46" t="n">
        <v>46</v>
      </c>
      <c r="F46" t="n">
        <v>15000</v>
      </c>
      <c r="G46" t="n">
        <v>5</v>
      </c>
      <c r="H46" t="inlineStr">
        <is>
          <t>Male</t>
        </is>
      </c>
      <c r="I46" t="n">
        <v>505</v>
      </c>
    </row>
    <row r="47">
      <c r="A47" t="inlineStr">
        <is>
          <t>BOR100045</t>
        </is>
      </c>
      <c r="B47" t="inlineStr">
        <is>
          <t>Construction</t>
        </is>
      </c>
      <c r="C47" t="inlineStr">
        <is>
          <t>Mombasa</t>
        </is>
      </c>
      <c r="D47" s="7" t="n">
        <v>45324</v>
      </c>
      <c r="E47" t="n">
        <v>26</v>
      </c>
      <c r="F47" t="n">
        <v>86300</v>
      </c>
      <c r="G47" t="n">
        <v>4</v>
      </c>
      <c r="H47" t="inlineStr">
        <is>
          <t>Male</t>
        </is>
      </c>
      <c r="I47" t="n">
        <v>676</v>
      </c>
    </row>
    <row r="48">
      <c r="A48" t="inlineStr">
        <is>
          <t>BOR100046</t>
        </is>
      </c>
      <c r="B48" t="inlineStr">
        <is>
          <t>Manufacturing</t>
        </is>
      </c>
      <c r="C48" t="inlineStr">
        <is>
          <t>Kisumu</t>
        </is>
      </c>
      <c r="D48" s="7" t="n">
        <v>43560</v>
      </c>
      <c r="E48" t="n">
        <v>74</v>
      </c>
      <c r="F48" t="n">
        <v>277100</v>
      </c>
      <c r="G48" t="n">
        <v>5</v>
      </c>
      <c r="H48" t="inlineStr">
        <is>
          <t>Male</t>
        </is>
      </c>
      <c r="I48" t="n">
        <v>596</v>
      </c>
    </row>
    <row r="49">
      <c r="A49" t="inlineStr">
        <is>
          <t>BOR100047</t>
        </is>
      </c>
      <c r="B49" t="inlineStr">
        <is>
          <t>Construction</t>
        </is>
      </c>
      <c r="C49" t="inlineStr">
        <is>
          <t>Nairobi</t>
        </is>
      </c>
      <c r="D49" s="7" t="n">
        <v>43223</v>
      </c>
      <c r="E49" t="n">
        <v>105</v>
      </c>
      <c r="F49" t="n">
        <v>53200</v>
      </c>
      <c r="G49" t="n">
        <v>11</v>
      </c>
      <c r="H49" t="inlineStr">
        <is>
          <t>Female</t>
        </is>
      </c>
      <c r="I49" t="n">
        <v>571</v>
      </c>
    </row>
    <row r="50">
      <c r="A50" t="inlineStr">
        <is>
          <t>BOR100048</t>
        </is>
      </c>
      <c r="B50" t="inlineStr">
        <is>
          <t>Transport &amp; Logistics</t>
        </is>
      </c>
      <c r="C50" t="inlineStr">
        <is>
          <t>Nairobi</t>
        </is>
      </c>
      <c r="D50" s="7" t="n">
        <v>44354</v>
      </c>
      <c r="E50" t="n">
        <v>140</v>
      </c>
      <c r="F50" t="n">
        <v>87700</v>
      </c>
      <c r="G50" t="n">
        <v>3</v>
      </c>
      <c r="H50" t="inlineStr">
        <is>
          <t>Female</t>
        </is>
      </c>
      <c r="I50" t="n">
        <v>533</v>
      </c>
    </row>
    <row r="51">
      <c r="A51" t="inlineStr">
        <is>
          <t>BOR100049</t>
        </is>
      </c>
      <c r="B51" t="inlineStr">
        <is>
          <t>Transport &amp; Logistics</t>
        </is>
      </c>
      <c r="C51" t="inlineStr">
        <is>
          <t>Nairobi</t>
        </is>
      </c>
      <c r="D51" s="7" t="n">
        <v>42310</v>
      </c>
      <c r="E51" t="n">
        <v>58</v>
      </c>
      <c r="F51" t="n">
        <v>149900</v>
      </c>
      <c r="G51" t="n">
        <v>10</v>
      </c>
      <c r="H51" t="inlineStr">
        <is>
          <t>Male</t>
        </is>
      </c>
      <c r="I51" t="n">
        <v>580</v>
      </c>
    </row>
    <row r="52">
      <c r="A52" t="inlineStr">
        <is>
          <t>BOR100050</t>
        </is>
      </c>
      <c r="B52" t="inlineStr">
        <is>
          <t>Transport &amp; Logistics</t>
        </is>
      </c>
      <c r="C52" t="inlineStr">
        <is>
          <t>Mombasa</t>
        </is>
      </c>
      <c r="D52" s="7" t="n">
        <v>42965</v>
      </c>
      <c r="E52" t="n">
        <v>125</v>
      </c>
      <c r="F52" t="n">
        <v>65200</v>
      </c>
      <c r="G52" t="n">
        <v>21</v>
      </c>
      <c r="H52" t="inlineStr">
        <is>
          <t>Female</t>
        </is>
      </c>
      <c r="I52" t="n">
        <v>627</v>
      </c>
    </row>
    <row r="53">
      <c r="A53" t="inlineStr">
        <is>
          <t>BOR100051</t>
        </is>
      </c>
      <c r="B53" t="inlineStr">
        <is>
          <t>Agriculture</t>
        </is>
      </c>
      <c r="C53" t="inlineStr">
        <is>
          <t>Kisumu</t>
        </is>
      </c>
      <c r="D53" s="7" t="n">
        <v>42160</v>
      </c>
      <c r="E53" t="n">
        <v>33</v>
      </c>
      <c r="F53" t="n">
        <v>48700</v>
      </c>
      <c r="G53" t="n">
        <v>19</v>
      </c>
      <c r="H53" t="inlineStr">
        <is>
          <t>Male</t>
        </is>
      </c>
      <c r="I53" t="n">
        <v>688</v>
      </c>
    </row>
    <row r="54">
      <c r="A54" t="inlineStr">
        <is>
          <t>BOR100052</t>
        </is>
      </c>
      <c r="B54" t="inlineStr">
        <is>
          <t>Manufacturing</t>
        </is>
      </c>
      <c r="C54" t="inlineStr">
        <is>
          <t>Nakuru</t>
        </is>
      </c>
      <c r="D54" s="7" t="n">
        <v>44244</v>
      </c>
      <c r="E54" t="n">
        <v>113</v>
      </c>
      <c r="F54" t="n">
        <v>15000</v>
      </c>
      <c r="G54" t="n">
        <v>16</v>
      </c>
      <c r="H54" t="inlineStr">
        <is>
          <t>Male</t>
        </is>
      </c>
      <c r="I54" t="n">
        <v>364</v>
      </c>
    </row>
    <row r="55">
      <c r="A55" t="inlineStr">
        <is>
          <t>BOR100053</t>
        </is>
      </c>
      <c r="B55" t="inlineStr">
        <is>
          <t>Manufacturing</t>
        </is>
      </c>
      <c r="C55" t="inlineStr">
        <is>
          <t>Nakuru</t>
        </is>
      </c>
      <c r="D55" s="7" t="n">
        <v>43893</v>
      </c>
      <c r="E55" t="n">
        <v>82</v>
      </c>
      <c r="F55" t="n">
        <v>114500</v>
      </c>
      <c r="G55" t="n">
        <v>22</v>
      </c>
      <c r="H55" t="inlineStr">
        <is>
          <t>Female</t>
        </is>
      </c>
      <c r="I55" t="n">
        <v>525</v>
      </c>
    </row>
    <row r="56">
      <c r="A56" t="inlineStr">
        <is>
          <t>BOR100054</t>
        </is>
      </c>
      <c r="B56" t="inlineStr">
        <is>
          <t>Manufacturing</t>
        </is>
      </c>
      <c r="C56" t="inlineStr">
        <is>
          <t>Mombasa</t>
        </is>
      </c>
      <c r="D56" s="7" t="n">
        <v>44487</v>
      </c>
      <c r="E56" t="n">
        <v>110</v>
      </c>
      <c r="F56" t="n">
        <v>67600</v>
      </c>
      <c r="G56" t="n">
        <v>19</v>
      </c>
      <c r="H56" t="inlineStr">
        <is>
          <t>Male</t>
        </is>
      </c>
      <c r="I56" t="n">
        <v>614</v>
      </c>
    </row>
    <row r="57">
      <c r="A57" t="inlineStr">
        <is>
          <t>BOR100055</t>
        </is>
      </c>
      <c r="B57" t="inlineStr">
        <is>
          <t>Retail &amp; Trade</t>
        </is>
      </c>
      <c r="C57" t="inlineStr">
        <is>
          <t>Mombasa</t>
        </is>
      </c>
      <c r="D57" s="7" t="n">
        <v>44634</v>
      </c>
      <c r="E57" t="n">
        <v>110</v>
      </c>
      <c r="F57" t="n">
        <v>36000</v>
      </c>
      <c r="G57" t="n">
        <v>16</v>
      </c>
      <c r="H57" t="inlineStr">
        <is>
          <t>Male</t>
        </is>
      </c>
      <c r="I57" t="n">
        <v>591</v>
      </c>
    </row>
    <row r="58">
      <c r="A58" t="inlineStr">
        <is>
          <t>BOR100056</t>
        </is>
      </c>
      <c r="B58" t="inlineStr">
        <is>
          <t>Services</t>
        </is>
      </c>
      <c r="C58" t="inlineStr">
        <is>
          <t>Nairobi</t>
        </is>
      </c>
      <c r="D58" s="7" t="n">
        <v>43688</v>
      </c>
      <c r="E58" t="n">
        <v>78</v>
      </c>
      <c r="F58" t="n">
        <v>79900</v>
      </c>
      <c r="G58" t="n">
        <v>21</v>
      </c>
      <c r="H58" t="inlineStr">
        <is>
          <t>Female</t>
        </is>
      </c>
      <c r="I58" t="n">
        <v>636</v>
      </c>
    </row>
    <row r="59">
      <c r="A59" t="inlineStr">
        <is>
          <t>BOR100057</t>
        </is>
      </c>
      <c r="B59" t="inlineStr">
        <is>
          <t>Retail &amp; Trade</t>
        </is>
      </c>
      <c r="C59" t="inlineStr">
        <is>
          <t>Nakuru</t>
        </is>
      </c>
      <c r="D59" s="7" t="n">
        <v>45707</v>
      </c>
      <c r="E59" t="n">
        <v>39</v>
      </c>
      <c r="F59" t="n">
        <v>48600</v>
      </c>
      <c r="G59" t="n">
        <v>3</v>
      </c>
      <c r="H59" t="inlineStr">
        <is>
          <t>Male</t>
        </is>
      </c>
      <c r="I59" t="n">
        <v>624</v>
      </c>
    </row>
    <row r="60">
      <c r="A60" t="inlineStr">
        <is>
          <t>BOR100058</t>
        </is>
      </c>
      <c r="B60" t="inlineStr">
        <is>
          <t>Transport &amp; Logistics</t>
        </is>
      </c>
      <c r="C60" t="inlineStr">
        <is>
          <t>Mombasa</t>
        </is>
      </c>
      <c r="D60" s="7" t="n">
        <v>45917</v>
      </c>
      <c r="E60" t="n">
        <v>77</v>
      </c>
      <c r="F60" t="n">
        <v>50500</v>
      </c>
      <c r="G60" t="n">
        <v>20</v>
      </c>
      <c r="H60" t="inlineStr">
        <is>
          <t>Male</t>
        </is>
      </c>
      <c r="I60" t="n">
        <v>573</v>
      </c>
    </row>
    <row r="61">
      <c r="A61" t="inlineStr">
        <is>
          <t>BOR100059</t>
        </is>
      </c>
      <c r="B61" t="inlineStr">
        <is>
          <t>Transport &amp; Logistics</t>
        </is>
      </c>
      <c r="C61" t="inlineStr">
        <is>
          <t>Nairobi</t>
        </is>
      </c>
      <c r="D61" s="7" t="n">
        <v>42477</v>
      </c>
      <c r="E61" t="n">
        <v>120</v>
      </c>
      <c r="F61" t="n">
        <v>111800</v>
      </c>
      <c r="G61" t="n">
        <v>8</v>
      </c>
      <c r="H61" t="inlineStr">
        <is>
          <t>Female</t>
        </is>
      </c>
      <c r="I61" t="n">
        <v>553</v>
      </c>
    </row>
    <row r="62">
      <c r="A62" t="inlineStr">
        <is>
          <t>BOR100060</t>
        </is>
      </c>
      <c r="B62" t="inlineStr">
        <is>
          <t>Construction</t>
        </is>
      </c>
      <c r="C62" t="inlineStr">
        <is>
          <t>Mombasa</t>
        </is>
      </c>
      <c r="D62" s="7" t="n">
        <v>45925</v>
      </c>
      <c r="E62" t="n">
        <v>140</v>
      </c>
      <c r="F62" t="n">
        <v>28700</v>
      </c>
      <c r="G62" t="n">
        <v>18</v>
      </c>
      <c r="H62" t="inlineStr">
        <is>
          <t>Male</t>
        </is>
      </c>
      <c r="I62" t="n">
        <v>578</v>
      </c>
    </row>
    <row r="63">
      <c r="A63" t="inlineStr">
        <is>
          <t>BOR100061</t>
        </is>
      </c>
      <c r="B63" t="inlineStr">
        <is>
          <t>Transport &amp; Logistics</t>
        </is>
      </c>
      <c r="C63" t="inlineStr">
        <is>
          <t>Kisumu</t>
        </is>
      </c>
      <c r="D63" s="7" t="n">
        <v>42843</v>
      </c>
      <c r="E63" t="n">
        <v>134</v>
      </c>
      <c r="F63" t="n">
        <v>152200</v>
      </c>
      <c r="G63" t="n">
        <v>22</v>
      </c>
      <c r="H63" t="inlineStr">
        <is>
          <t>Female</t>
        </is>
      </c>
      <c r="I63" t="n">
        <v>703</v>
      </c>
    </row>
    <row r="64">
      <c r="A64" t="inlineStr">
        <is>
          <t>BOR100062</t>
        </is>
      </c>
      <c r="B64" t="inlineStr">
        <is>
          <t>Manufacturing</t>
        </is>
      </c>
      <c r="C64" t="inlineStr">
        <is>
          <t>Nairobi</t>
        </is>
      </c>
      <c r="D64" s="7" t="n">
        <v>43063</v>
      </c>
      <c r="E64" t="n">
        <v>28</v>
      </c>
      <c r="F64" t="n">
        <v>27500</v>
      </c>
      <c r="G64" t="n">
        <v>12</v>
      </c>
      <c r="H64" t="inlineStr">
        <is>
          <t>Male</t>
        </is>
      </c>
      <c r="I64" t="n">
        <v>534</v>
      </c>
    </row>
    <row r="65">
      <c r="A65" t="inlineStr">
        <is>
          <t>BOR100063</t>
        </is>
      </c>
      <c r="B65" t="inlineStr">
        <is>
          <t>Construction</t>
        </is>
      </c>
      <c r="C65" t="inlineStr">
        <is>
          <t>Nakuru</t>
        </is>
      </c>
      <c r="D65" s="7" t="n">
        <v>44262</v>
      </c>
      <c r="E65" t="n">
        <v>87</v>
      </c>
      <c r="F65" t="n">
        <v>46000</v>
      </c>
      <c r="G65" t="n">
        <v>3</v>
      </c>
      <c r="H65" t="inlineStr">
        <is>
          <t>Male</t>
        </is>
      </c>
      <c r="I65" t="n">
        <v>594</v>
      </c>
    </row>
    <row r="66">
      <c r="A66" t="inlineStr">
        <is>
          <t>BOR100064</t>
        </is>
      </c>
      <c r="B66" t="inlineStr">
        <is>
          <t>Manufacturing</t>
        </is>
      </c>
      <c r="C66" t="inlineStr">
        <is>
          <t>Nakuru</t>
        </is>
      </c>
      <c r="D66" s="7" t="n">
        <v>42130</v>
      </c>
      <c r="E66" t="n">
        <v>17</v>
      </c>
      <c r="F66" t="n">
        <v>281000</v>
      </c>
      <c r="G66" t="n">
        <v>9</v>
      </c>
      <c r="H66" t="inlineStr">
        <is>
          <t>Male</t>
        </is>
      </c>
      <c r="I66" t="n">
        <v>617</v>
      </c>
    </row>
    <row r="67">
      <c r="A67" t="inlineStr">
        <is>
          <t>BOR100065</t>
        </is>
      </c>
      <c r="B67" t="inlineStr">
        <is>
          <t>Agriculture</t>
        </is>
      </c>
      <c r="C67" t="inlineStr">
        <is>
          <t>Eldoret</t>
        </is>
      </c>
      <c r="D67" s="7" t="n">
        <v>43556</v>
      </c>
      <c r="E67" t="n">
        <v>97</v>
      </c>
      <c r="F67" t="n">
        <v>161000</v>
      </c>
      <c r="G67" t="n">
        <v>10</v>
      </c>
      <c r="H67" t="inlineStr">
        <is>
          <t>Female</t>
        </is>
      </c>
      <c r="I67" t="n">
        <v>740</v>
      </c>
    </row>
    <row r="68">
      <c r="A68" t="inlineStr">
        <is>
          <t>BOR100066</t>
        </is>
      </c>
      <c r="B68" t="inlineStr">
        <is>
          <t>Construction</t>
        </is>
      </c>
      <c r="C68" t="inlineStr">
        <is>
          <t>Nakuru</t>
        </is>
      </c>
      <c r="D68" s="7" t="n">
        <v>42834</v>
      </c>
      <c r="E68" t="n">
        <v>143</v>
      </c>
      <c r="F68" t="n">
        <v>78300</v>
      </c>
      <c r="G68" t="n">
        <v>23</v>
      </c>
      <c r="H68" t="inlineStr">
        <is>
          <t>Male</t>
        </is>
      </c>
      <c r="I68" t="n">
        <v>573</v>
      </c>
    </row>
    <row r="69">
      <c r="A69" t="inlineStr">
        <is>
          <t>BOR100067</t>
        </is>
      </c>
      <c r="B69" t="inlineStr">
        <is>
          <t>Manufacturing</t>
        </is>
      </c>
      <c r="C69" t="inlineStr">
        <is>
          <t>Nakuru</t>
        </is>
      </c>
      <c r="D69" s="7" t="n">
        <v>44061</v>
      </c>
      <c r="E69" t="n">
        <v>10</v>
      </c>
      <c r="F69" t="n">
        <v>37900</v>
      </c>
      <c r="G69" t="n">
        <v>23</v>
      </c>
      <c r="H69" t="inlineStr">
        <is>
          <t>Female</t>
        </is>
      </c>
      <c r="I69" t="n">
        <v>686</v>
      </c>
    </row>
    <row r="70">
      <c r="A70" t="inlineStr">
        <is>
          <t>BOR100068</t>
        </is>
      </c>
      <c r="B70" t="inlineStr">
        <is>
          <t>Retail &amp; Trade</t>
        </is>
      </c>
      <c r="C70" t="inlineStr">
        <is>
          <t>Mombasa</t>
        </is>
      </c>
      <c r="D70" s="7" t="n">
        <v>45476</v>
      </c>
      <c r="E70" t="n">
        <v>96</v>
      </c>
      <c r="F70" t="n">
        <v>50500</v>
      </c>
      <c r="G70" t="n">
        <v>14</v>
      </c>
      <c r="H70" t="inlineStr">
        <is>
          <t>Female</t>
        </is>
      </c>
      <c r="I70" t="n">
        <v>711</v>
      </c>
    </row>
    <row r="71">
      <c r="A71" t="inlineStr">
        <is>
          <t>BOR100069</t>
        </is>
      </c>
      <c r="B71" t="inlineStr">
        <is>
          <t>Manufacturing</t>
        </is>
      </c>
      <c r="C71" t="inlineStr">
        <is>
          <t>Rural - Other</t>
        </is>
      </c>
      <c r="D71" s="7" t="n">
        <v>45942</v>
      </c>
      <c r="E71" t="n">
        <v>137</v>
      </c>
      <c r="F71" t="n">
        <v>77000</v>
      </c>
      <c r="G71" t="n">
        <v>23</v>
      </c>
      <c r="H71" t="inlineStr">
        <is>
          <t>Female</t>
        </is>
      </c>
      <c r="I71" t="n">
        <v>594</v>
      </c>
    </row>
    <row r="72">
      <c r="A72" t="inlineStr">
        <is>
          <t>BOR100070</t>
        </is>
      </c>
      <c r="B72" t="inlineStr">
        <is>
          <t>Transport &amp; Logistics</t>
        </is>
      </c>
      <c r="C72" t="inlineStr">
        <is>
          <t>Nakuru</t>
        </is>
      </c>
      <c r="D72" s="7" t="n">
        <v>42909</v>
      </c>
      <c r="E72" t="n">
        <v>123</v>
      </c>
      <c r="F72" t="n">
        <v>75100</v>
      </c>
      <c r="G72" t="n">
        <v>11</v>
      </c>
      <c r="H72" t="inlineStr">
        <is>
          <t>Male</t>
        </is>
      </c>
      <c r="I72" t="n">
        <v>581</v>
      </c>
    </row>
    <row r="73">
      <c r="A73" t="inlineStr">
        <is>
          <t>BOR100071</t>
        </is>
      </c>
      <c r="B73" t="inlineStr">
        <is>
          <t>Agriculture</t>
        </is>
      </c>
      <c r="C73" t="inlineStr">
        <is>
          <t>Kisumu</t>
        </is>
      </c>
      <c r="D73" s="7" t="n">
        <v>44326</v>
      </c>
      <c r="E73" t="n">
        <v>58</v>
      </c>
      <c r="F73" t="n">
        <v>68600</v>
      </c>
      <c r="G73" t="n">
        <v>10</v>
      </c>
      <c r="H73" t="inlineStr">
        <is>
          <t>Female</t>
        </is>
      </c>
      <c r="I73" t="n">
        <v>570</v>
      </c>
    </row>
    <row r="74">
      <c r="A74" t="inlineStr">
        <is>
          <t>BOR100072</t>
        </is>
      </c>
      <c r="B74" t="inlineStr">
        <is>
          <t>Manufacturing</t>
        </is>
      </c>
      <c r="C74" t="inlineStr">
        <is>
          <t>Nakuru</t>
        </is>
      </c>
      <c r="D74" s="7" t="n">
        <v>44026</v>
      </c>
      <c r="E74" t="n">
        <v>17</v>
      </c>
      <c r="F74" t="n">
        <v>71600</v>
      </c>
      <c r="G74" t="n">
        <v>21</v>
      </c>
      <c r="H74" t="inlineStr">
        <is>
          <t>Female</t>
        </is>
      </c>
      <c r="I74" t="n">
        <v>577</v>
      </c>
    </row>
    <row r="75">
      <c r="A75" t="inlineStr">
        <is>
          <t>BOR100073</t>
        </is>
      </c>
      <c r="B75" t="inlineStr">
        <is>
          <t>Retail &amp; Trade</t>
        </is>
      </c>
      <c r="C75" t="inlineStr">
        <is>
          <t>Mombasa</t>
        </is>
      </c>
      <c r="D75" s="7" t="n">
        <v>43773</v>
      </c>
      <c r="E75" t="n">
        <v>134</v>
      </c>
      <c r="F75" t="n">
        <v>62900</v>
      </c>
      <c r="G75" t="n">
        <v>17</v>
      </c>
      <c r="H75" t="inlineStr">
        <is>
          <t>Male</t>
        </is>
      </c>
      <c r="I75" t="n">
        <v>677</v>
      </c>
    </row>
    <row r="76">
      <c r="A76" t="inlineStr">
        <is>
          <t>BOR100074</t>
        </is>
      </c>
      <c r="B76" t="inlineStr">
        <is>
          <t>Transport &amp; Logistics</t>
        </is>
      </c>
      <c r="C76" t="inlineStr">
        <is>
          <t>Kisumu</t>
        </is>
      </c>
      <c r="D76" s="7" t="n">
        <v>44700</v>
      </c>
      <c r="E76" t="n">
        <v>133</v>
      </c>
      <c r="F76" t="n">
        <v>26700</v>
      </c>
      <c r="G76" t="n">
        <v>13</v>
      </c>
      <c r="H76" t="inlineStr">
        <is>
          <t>Female</t>
        </is>
      </c>
      <c r="I76" t="n">
        <v>621</v>
      </c>
    </row>
    <row r="77">
      <c r="A77" t="inlineStr">
        <is>
          <t>BOR100075</t>
        </is>
      </c>
      <c r="B77" t="inlineStr">
        <is>
          <t>Manufacturing</t>
        </is>
      </c>
      <c r="C77" t="inlineStr">
        <is>
          <t>Eldoret</t>
        </is>
      </c>
      <c r="D77" s="7" t="n">
        <v>46221</v>
      </c>
      <c r="E77" t="n">
        <v>85</v>
      </c>
      <c r="F77" t="n">
        <v>50900</v>
      </c>
      <c r="G77" t="n">
        <v>11</v>
      </c>
      <c r="H77" t="inlineStr">
        <is>
          <t>Female</t>
        </is>
      </c>
      <c r="I77" t="n">
        <v>621</v>
      </c>
    </row>
    <row r="78">
      <c r="A78" t="inlineStr">
        <is>
          <t>BOR100076</t>
        </is>
      </c>
      <c r="B78" t="inlineStr">
        <is>
          <t>Agriculture</t>
        </is>
      </c>
      <c r="C78" t="inlineStr">
        <is>
          <t>Rural - Other</t>
        </is>
      </c>
      <c r="D78" s="7" t="n">
        <v>43731</v>
      </c>
      <c r="E78" t="n">
        <v>142</v>
      </c>
      <c r="F78" t="n">
        <v>138700</v>
      </c>
      <c r="G78" t="n">
        <v>17</v>
      </c>
      <c r="H78" t="inlineStr">
        <is>
          <t>Female</t>
        </is>
      </c>
      <c r="I78" t="n">
        <v>499</v>
      </c>
    </row>
    <row r="79">
      <c r="A79" t="inlineStr">
        <is>
          <t>BOR100077</t>
        </is>
      </c>
      <c r="B79" t="inlineStr">
        <is>
          <t>Agriculture</t>
        </is>
      </c>
      <c r="C79" t="inlineStr">
        <is>
          <t>Rural - Other</t>
        </is>
      </c>
      <c r="D79" s="7" t="n">
        <v>42282</v>
      </c>
      <c r="E79" t="n">
        <v>3</v>
      </c>
      <c r="F79" t="n">
        <v>28100</v>
      </c>
      <c r="G79" t="n">
        <v>19</v>
      </c>
      <c r="H79" t="inlineStr">
        <is>
          <t>Female</t>
        </is>
      </c>
      <c r="I79" t="n">
        <v>513</v>
      </c>
    </row>
    <row r="80">
      <c r="A80" t="inlineStr">
        <is>
          <t>BOR100078</t>
        </is>
      </c>
      <c r="B80" t="inlineStr">
        <is>
          <t>Services</t>
        </is>
      </c>
      <c r="C80" t="inlineStr">
        <is>
          <t>Kisumu</t>
        </is>
      </c>
      <c r="D80" s="7" t="n">
        <v>45907</v>
      </c>
      <c r="E80" t="n">
        <v>90</v>
      </c>
      <c r="F80" t="n">
        <v>64000</v>
      </c>
      <c r="G80" t="n">
        <v>12</v>
      </c>
      <c r="H80" t="inlineStr">
        <is>
          <t>Male</t>
        </is>
      </c>
      <c r="I80" t="n">
        <v>793</v>
      </c>
    </row>
    <row r="81">
      <c r="A81" t="inlineStr">
        <is>
          <t>BOR100079</t>
        </is>
      </c>
      <c r="B81" t="inlineStr">
        <is>
          <t>Transport &amp; Logistics</t>
        </is>
      </c>
      <c r="C81" t="inlineStr">
        <is>
          <t>Kisumu</t>
        </is>
      </c>
      <c r="D81" s="7" t="n">
        <v>45976</v>
      </c>
      <c r="E81" t="n">
        <v>8</v>
      </c>
      <c r="F81" t="n">
        <v>41200</v>
      </c>
      <c r="G81" t="n">
        <v>1</v>
      </c>
      <c r="H81" t="inlineStr">
        <is>
          <t>Female</t>
        </is>
      </c>
      <c r="I81" t="n">
        <v>584</v>
      </c>
    </row>
    <row r="82">
      <c r="A82" t="inlineStr">
        <is>
          <t>BOR100080</t>
        </is>
      </c>
      <c r="B82" t="inlineStr">
        <is>
          <t>Construction</t>
        </is>
      </c>
      <c r="C82" t="inlineStr">
        <is>
          <t>Rural - Other</t>
        </is>
      </c>
      <c r="D82" s="7" t="n">
        <v>43378</v>
      </c>
      <c r="E82" t="n">
        <v>135</v>
      </c>
      <c r="F82" t="n">
        <v>79100</v>
      </c>
      <c r="G82" t="n">
        <v>3</v>
      </c>
      <c r="H82" t="inlineStr">
        <is>
          <t>Female</t>
        </is>
      </c>
      <c r="I82" t="n">
        <v>530</v>
      </c>
    </row>
    <row r="83">
      <c r="A83" t="inlineStr">
        <is>
          <t>BOR100081</t>
        </is>
      </c>
      <c r="B83" t="inlineStr">
        <is>
          <t>Manufacturing</t>
        </is>
      </c>
      <c r="C83" t="inlineStr">
        <is>
          <t>Mombasa</t>
        </is>
      </c>
      <c r="D83" s="7" t="n">
        <v>44142</v>
      </c>
      <c r="E83" t="n">
        <v>99</v>
      </c>
      <c r="F83" t="n">
        <v>55700</v>
      </c>
      <c r="G83" t="n">
        <v>4</v>
      </c>
      <c r="H83" t="inlineStr">
        <is>
          <t>Male</t>
        </is>
      </c>
      <c r="I83" t="n">
        <v>729</v>
      </c>
    </row>
    <row r="84">
      <c r="A84" t="inlineStr">
        <is>
          <t>BOR100082</t>
        </is>
      </c>
      <c r="B84" t="inlineStr">
        <is>
          <t>Retail &amp; Trade</t>
        </is>
      </c>
      <c r="C84" t="inlineStr">
        <is>
          <t>Rural - Other</t>
        </is>
      </c>
      <c r="D84" s="7" t="n">
        <v>45680</v>
      </c>
      <c r="E84" t="n">
        <v>132</v>
      </c>
      <c r="F84" t="n">
        <v>205700</v>
      </c>
      <c r="G84" t="n">
        <v>12</v>
      </c>
      <c r="H84" t="inlineStr">
        <is>
          <t>Male</t>
        </is>
      </c>
      <c r="I84" t="n">
        <v>625</v>
      </c>
    </row>
    <row r="85">
      <c r="A85" t="inlineStr">
        <is>
          <t>BOR100083</t>
        </is>
      </c>
      <c r="B85" t="inlineStr">
        <is>
          <t>Transport &amp; Logistics</t>
        </is>
      </c>
      <c r="C85" t="inlineStr">
        <is>
          <t>Kisumu</t>
        </is>
      </c>
      <c r="D85" s="7" t="n">
        <v>44151</v>
      </c>
      <c r="E85" t="n">
        <v>82</v>
      </c>
      <c r="F85" t="n">
        <v>104300</v>
      </c>
      <c r="G85" t="n">
        <v>15</v>
      </c>
      <c r="H85" t="inlineStr">
        <is>
          <t>Male</t>
        </is>
      </c>
      <c r="I85" t="n">
        <v>652</v>
      </c>
    </row>
    <row r="86">
      <c r="A86" t="inlineStr">
        <is>
          <t>BOR100084</t>
        </is>
      </c>
      <c r="B86" t="inlineStr">
        <is>
          <t>Services</t>
        </is>
      </c>
      <c r="C86" t="inlineStr">
        <is>
          <t>Nairobi</t>
        </is>
      </c>
      <c r="D86" s="7" t="n">
        <v>44055</v>
      </c>
      <c r="E86" t="n">
        <v>14</v>
      </c>
      <c r="F86" t="n">
        <v>29200</v>
      </c>
      <c r="G86" t="n">
        <v>20</v>
      </c>
      <c r="H86" t="inlineStr">
        <is>
          <t>Male</t>
        </is>
      </c>
      <c r="I86" t="n">
        <v>588</v>
      </c>
    </row>
    <row r="87">
      <c r="A87" t="inlineStr">
        <is>
          <t>BOR100085</t>
        </is>
      </c>
      <c r="B87" t="inlineStr">
        <is>
          <t>Transport &amp; Logistics</t>
        </is>
      </c>
      <c r="C87" t="inlineStr">
        <is>
          <t>Nairobi</t>
        </is>
      </c>
      <c r="D87" s="7" t="n">
        <v>45933</v>
      </c>
      <c r="E87" t="n">
        <v>6</v>
      </c>
      <c r="F87" t="n">
        <v>117000</v>
      </c>
      <c r="G87" t="n">
        <v>6</v>
      </c>
      <c r="H87" t="inlineStr">
        <is>
          <t>Male</t>
        </is>
      </c>
      <c r="I87" t="n">
        <v>571</v>
      </c>
    </row>
    <row r="88">
      <c r="A88" t="inlineStr">
        <is>
          <t>BOR100086</t>
        </is>
      </c>
      <c r="B88" t="inlineStr">
        <is>
          <t>Retail &amp; Trade</t>
        </is>
      </c>
      <c r="C88" t="inlineStr">
        <is>
          <t>Rural - Other</t>
        </is>
      </c>
      <c r="D88" s="7" t="n">
        <v>45536</v>
      </c>
      <c r="E88" t="n">
        <v>50</v>
      </c>
      <c r="F88" t="n">
        <v>42500</v>
      </c>
      <c r="G88" t="n">
        <v>19</v>
      </c>
      <c r="H88" t="inlineStr">
        <is>
          <t>Female</t>
        </is>
      </c>
      <c r="I88" t="n">
        <v>585</v>
      </c>
    </row>
    <row r="89">
      <c r="A89" t="inlineStr">
        <is>
          <t>BOR100087</t>
        </is>
      </c>
      <c r="B89" t="inlineStr">
        <is>
          <t>Agriculture</t>
        </is>
      </c>
      <c r="C89" t="inlineStr">
        <is>
          <t>Nairobi</t>
        </is>
      </c>
      <c r="D89" s="7" t="n">
        <v>44166</v>
      </c>
      <c r="E89" t="n">
        <v>108</v>
      </c>
      <c r="F89" t="n">
        <v>48800</v>
      </c>
      <c r="G89" t="n">
        <v>16</v>
      </c>
      <c r="H89" t="inlineStr">
        <is>
          <t>Male</t>
        </is>
      </c>
      <c r="I89" t="n">
        <v>476</v>
      </c>
    </row>
    <row r="90">
      <c r="A90" t="inlineStr">
        <is>
          <t>BOR100088</t>
        </is>
      </c>
      <c r="B90" t="inlineStr">
        <is>
          <t>Transport &amp; Logistics</t>
        </is>
      </c>
      <c r="C90" t="inlineStr">
        <is>
          <t>Mombasa</t>
        </is>
      </c>
      <c r="D90" s="7" t="n">
        <v>42693</v>
      </c>
      <c r="E90" t="n">
        <v>24</v>
      </c>
      <c r="F90" t="n">
        <v>91100</v>
      </c>
      <c r="G90" t="n">
        <v>2</v>
      </c>
      <c r="H90" t="inlineStr">
        <is>
          <t>Male</t>
        </is>
      </c>
      <c r="I90" t="n">
        <v>592</v>
      </c>
    </row>
    <row r="91">
      <c r="A91" t="inlineStr">
        <is>
          <t>BOR100089</t>
        </is>
      </c>
      <c r="B91" t="inlineStr">
        <is>
          <t>Transport &amp; Logistics</t>
        </is>
      </c>
      <c r="C91" t="inlineStr">
        <is>
          <t>Mombasa</t>
        </is>
      </c>
      <c r="D91" s="7" t="n">
        <v>43873</v>
      </c>
      <c r="E91" t="n">
        <v>124</v>
      </c>
      <c r="F91" t="n">
        <v>51800</v>
      </c>
      <c r="G91" t="n">
        <v>9</v>
      </c>
      <c r="H91" t="inlineStr">
        <is>
          <t>Female</t>
        </is>
      </c>
      <c r="I91" t="n">
        <v>627</v>
      </c>
    </row>
    <row r="92">
      <c r="A92" t="inlineStr">
        <is>
          <t>BOR100090</t>
        </is>
      </c>
      <c r="B92" t="inlineStr">
        <is>
          <t>Manufacturing</t>
        </is>
      </c>
      <c r="C92" t="inlineStr">
        <is>
          <t>Nairobi</t>
        </is>
      </c>
      <c r="D92" s="7" t="n">
        <v>44887</v>
      </c>
      <c r="E92" t="n">
        <v>37</v>
      </c>
      <c r="F92" t="n">
        <v>136600</v>
      </c>
      <c r="G92" t="n">
        <v>8</v>
      </c>
      <c r="H92" t="inlineStr">
        <is>
          <t>Female</t>
        </is>
      </c>
      <c r="I92" t="n">
        <v>767</v>
      </c>
    </row>
    <row r="93">
      <c r="A93" t="inlineStr">
        <is>
          <t>BOR100091</t>
        </is>
      </c>
      <c r="B93" t="inlineStr">
        <is>
          <t>Transport &amp; Logistics</t>
        </is>
      </c>
      <c r="C93" t="inlineStr">
        <is>
          <t>Mombasa</t>
        </is>
      </c>
      <c r="D93" s="7" t="n">
        <v>43166</v>
      </c>
      <c r="E93" t="n">
        <v>73</v>
      </c>
      <c r="F93" t="n">
        <v>42500</v>
      </c>
      <c r="G93" t="n">
        <v>22</v>
      </c>
      <c r="H93" t="inlineStr">
        <is>
          <t>Female</t>
        </is>
      </c>
      <c r="I93" t="n">
        <v>608</v>
      </c>
    </row>
    <row r="94">
      <c r="A94" t="inlineStr">
        <is>
          <t>BOR100092</t>
        </is>
      </c>
      <c r="B94" t="inlineStr">
        <is>
          <t>Construction</t>
        </is>
      </c>
      <c r="C94" t="inlineStr">
        <is>
          <t>Eldoret</t>
        </is>
      </c>
      <c r="D94" s="7" t="n">
        <v>44294</v>
      </c>
      <c r="E94" t="n">
        <v>31</v>
      </c>
      <c r="F94" t="n">
        <v>47400</v>
      </c>
      <c r="G94" t="n">
        <v>23</v>
      </c>
      <c r="H94" t="inlineStr">
        <is>
          <t>Male</t>
        </is>
      </c>
      <c r="I94" t="n">
        <v>390</v>
      </c>
    </row>
    <row r="95">
      <c r="A95" t="inlineStr">
        <is>
          <t>BOR100093</t>
        </is>
      </c>
      <c r="B95" t="inlineStr">
        <is>
          <t>Manufacturing</t>
        </is>
      </c>
      <c r="C95" t="inlineStr">
        <is>
          <t>Nairobi</t>
        </is>
      </c>
      <c r="D95" s="7" t="n">
        <v>44812</v>
      </c>
      <c r="E95" t="n">
        <v>69</v>
      </c>
      <c r="F95" t="n">
        <v>46200</v>
      </c>
      <c r="G95" t="n">
        <v>20</v>
      </c>
      <c r="H95" t="inlineStr">
        <is>
          <t>Male</t>
        </is>
      </c>
      <c r="I95" t="n">
        <v>592</v>
      </c>
    </row>
    <row r="96">
      <c r="A96" t="inlineStr">
        <is>
          <t>BOR100094</t>
        </is>
      </c>
      <c r="B96" t="inlineStr">
        <is>
          <t>Construction</t>
        </is>
      </c>
      <c r="C96" t="inlineStr">
        <is>
          <t>Rural - Other</t>
        </is>
      </c>
      <c r="D96" s="7" t="n">
        <v>42367</v>
      </c>
      <c r="E96" t="n">
        <v>67</v>
      </c>
      <c r="F96" t="n">
        <v>49200</v>
      </c>
      <c r="G96" t="n">
        <v>13</v>
      </c>
      <c r="H96" t="inlineStr">
        <is>
          <t>Male</t>
        </is>
      </c>
      <c r="I96" t="n">
        <v>847</v>
      </c>
    </row>
    <row r="97">
      <c r="A97" t="inlineStr">
        <is>
          <t>BOR100095</t>
        </is>
      </c>
      <c r="B97" t="inlineStr">
        <is>
          <t>Agriculture</t>
        </is>
      </c>
      <c r="C97" t="inlineStr">
        <is>
          <t>Rural - Other</t>
        </is>
      </c>
      <c r="D97" s="7" t="n">
        <v>44432</v>
      </c>
      <c r="E97" t="n">
        <v>3</v>
      </c>
      <c r="F97" t="n">
        <v>157900</v>
      </c>
      <c r="G97" t="n">
        <v>12</v>
      </c>
      <c r="H97" t="inlineStr">
        <is>
          <t>Female</t>
        </is>
      </c>
      <c r="I97" t="n">
        <v>678</v>
      </c>
    </row>
    <row r="98">
      <c r="A98" t="inlineStr">
        <is>
          <t>BOR100096</t>
        </is>
      </c>
      <c r="B98" t="inlineStr">
        <is>
          <t>Agriculture</t>
        </is>
      </c>
      <c r="C98" t="inlineStr">
        <is>
          <t>Mombasa</t>
        </is>
      </c>
      <c r="D98" s="7" t="n">
        <v>45147</v>
      </c>
      <c r="E98" t="n">
        <v>83</v>
      </c>
      <c r="F98" t="n">
        <v>113600</v>
      </c>
      <c r="G98" t="n">
        <v>8</v>
      </c>
      <c r="H98" t="inlineStr">
        <is>
          <t>Female</t>
        </is>
      </c>
      <c r="I98" t="n">
        <v>527</v>
      </c>
    </row>
    <row r="99">
      <c r="A99" t="inlineStr">
        <is>
          <t>BOR100097</t>
        </is>
      </c>
      <c r="B99" t="inlineStr">
        <is>
          <t>Transport &amp; Logistics</t>
        </is>
      </c>
      <c r="C99" t="inlineStr">
        <is>
          <t>Nairobi</t>
        </is>
      </c>
      <c r="D99" s="7" t="n">
        <v>42918</v>
      </c>
      <c r="E99" t="n">
        <v>114</v>
      </c>
      <c r="F99" t="n">
        <v>242100</v>
      </c>
      <c r="G99" t="n">
        <v>19</v>
      </c>
      <c r="H99" t="inlineStr">
        <is>
          <t>Female</t>
        </is>
      </c>
      <c r="I99" t="n">
        <v>653</v>
      </c>
    </row>
    <row r="100">
      <c r="A100" t="inlineStr">
        <is>
          <t>BOR100098</t>
        </is>
      </c>
      <c r="B100" t="inlineStr">
        <is>
          <t>Services</t>
        </is>
      </c>
      <c r="C100" t="inlineStr">
        <is>
          <t>Nakuru</t>
        </is>
      </c>
      <c r="D100" s="7" t="n">
        <v>44341</v>
      </c>
      <c r="E100" t="n">
        <v>135</v>
      </c>
      <c r="F100" t="n">
        <v>357700</v>
      </c>
      <c r="G100" t="n">
        <v>3</v>
      </c>
      <c r="H100" t="inlineStr">
        <is>
          <t>Male</t>
        </is>
      </c>
      <c r="I100" t="n">
        <v>533</v>
      </c>
    </row>
    <row r="101">
      <c r="A101" t="inlineStr">
        <is>
          <t>BOR100099</t>
        </is>
      </c>
      <c r="B101" t="inlineStr">
        <is>
          <t>Retail &amp; Trade</t>
        </is>
      </c>
      <c r="C101" t="inlineStr">
        <is>
          <t>Nairobi</t>
        </is>
      </c>
      <c r="D101" s="7" t="n">
        <v>45027</v>
      </c>
      <c r="E101" t="n">
        <v>49</v>
      </c>
      <c r="F101" t="n">
        <v>35500</v>
      </c>
      <c r="G101" t="n">
        <v>7</v>
      </c>
      <c r="H101" t="inlineStr">
        <is>
          <t>Male</t>
        </is>
      </c>
      <c r="I101" t="n">
        <v>478</v>
      </c>
    </row>
    <row r="102">
      <c r="A102" t="inlineStr">
        <is>
          <t>BOR100100</t>
        </is>
      </c>
      <c r="B102" t="inlineStr">
        <is>
          <t>Transport &amp; Logistics</t>
        </is>
      </c>
      <c r="C102" t="inlineStr">
        <is>
          <t>Mombasa</t>
        </is>
      </c>
      <c r="D102" s="7" t="n">
        <v>42193</v>
      </c>
      <c r="E102" t="n">
        <v>128</v>
      </c>
      <c r="F102" t="n">
        <v>76800</v>
      </c>
      <c r="G102" t="n">
        <v>4</v>
      </c>
      <c r="H102" t="inlineStr">
        <is>
          <t>Male</t>
        </is>
      </c>
      <c r="I102" t="n">
        <v>569</v>
      </c>
    </row>
    <row r="103">
      <c r="A103" t="inlineStr">
        <is>
          <t>BOR100101</t>
        </is>
      </c>
      <c r="B103" t="inlineStr">
        <is>
          <t>Agriculture</t>
        </is>
      </c>
      <c r="C103" t="inlineStr">
        <is>
          <t>Rural - Other</t>
        </is>
      </c>
      <c r="D103" s="7" t="n">
        <v>44749</v>
      </c>
      <c r="E103" t="n">
        <v>127</v>
      </c>
      <c r="F103" t="n">
        <v>32100</v>
      </c>
      <c r="G103" t="n">
        <v>12</v>
      </c>
      <c r="H103" t="inlineStr">
        <is>
          <t>Male</t>
        </is>
      </c>
      <c r="I103" t="n">
        <v>608</v>
      </c>
    </row>
    <row r="104">
      <c r="A104" t="inlineStr">
        <is>
          <t>BOR100102</t>
        </is>
      </c>
      <c r="B104" t="inlineStr">
        <is>
          <t>Transport &amp; Logistics</t>
        </is>
      </c>
      <c r="C104" t="inlineStr">
        <is>
          <t>Rural - Other</t>
        </is>
      </c>
      <c r="D104" s="7" t="n">
        <v>43111</v>
      </c>
      <c r="E104" t="n">
        <v>143</v>
      </c>
      <c r="F104" t="n">
        <v>42400</v>
      </c>
      <c r="G104" t="n">
        <v>8</v>
      </c>
      <c r="H104" t="inlineStr">
        <is>
          <t>Male</t>
        </is>
      </c>
      <c r="I104" t="n">
        <v>432</v>
      </c>
    </row>
    <row r="105">
      <c r="A105" t="inlineStr">
        <is>
          <t>BOR100103</t>
        </is>
      </c>
      <c r="B105" t="inlineStr">
        <is>
          <t>Retail &amp; Trade</t>
        </is>
      </c>
      <c r="C105" t="inlineStr">
        <is>
          <t>Rural - Other</t>
        </is>
      </c>
      <c r="D105" s="7" t="n">
        <v>43698</v>
      </c>
      <c r="E105" t="n">
        <v>55</v>
      </c>
      <c r="F105" t="n">
        <v>47000</v>
      </c>
      <c r="G105" t="n">
        <v>5</v>
      </c>
      <c r="H105" t="inlineStr">
        <is>
          <t>Male</t>
        </is>
      </c>
      <c r="I105" t="n">
        <v>497</v>
      </c>
    </row>
    <row r="106">
      <c r="A106" t="inlineStr">
        <is>
          <t>BOR100104</t>
        </is>
      </c>
      <c r="B106" t="inlineStr">
        <is>
          <t>Transport &amp; Logistics</t>
        </is>
      </c>
      <c r="C106" t="inlineStr">
        <is>
          <t>Mombasa</t>
        </is>
      </c>
      <c r="D106" s="7" t="n">
        <v>44766</v>
      </c>
      <c r="E106" t="n">
        <v>123</v>
      </c>
      <c r="F106" t="n">
        <v>34900</v>
      </c>
      <c r="G106" t="n">
        <v>10</v>
      </c>
      <c r="H106" t="inlineStr">
        <is>
          <t>Female</t>
        </is>
      </c>
      <c r="I106" t="n">
        <v>601</v>
      </c>
    </row>
    <row r="107">
      <c r="A107" t="inlineStr">
        <is>
          <t>BOR100105</t>
        </is>
      </c>
      <c r="B107" t="inlineStr">
        <is>
          <t>Transport &amp; Logistics</t>
        </is>
      </c>
      <c r="C107" t="inlineStr">
        <is>
          <t>Eldoret</t>
        </is>
      </c>
      <c r="D107" s="7" t="n">
        <v>42023</v>
      </c>
      <c r="E107" t="n">
        <v>83</v>
      </c>
      <c r="F107" t="n">
        <v>35000</v>
      </c>
      <c r="G107" t="n">
        <v>21</v>
      </c>
      <c r="H107" t="inlineStr">
        <is>
          <t>Female</t>
        </is>
      </c>
      <c r="I107" t="n">
        <v>563</v>
      </c>
    </row>
    <row r="108">
      <c r="A108" t="inlineStr">
        <is>
          <t>BOR100106</t>
        </is>
      </c>
      <c r="B108" t="inlineStr">
        <is>
          <t>Transport &amp; Logistics</t>
        </is>
      </c>
      <c r="C108" t="inlineStr">
        <is>
          <t>Eldoret</t>
        </is>
      </c>
      <c r="D108" s="7" t="n">
        <v>42076</v>
      </c>
      <c r="E108" t="n">
        <v>11</v>
      </c>
      <c r="F108" t="n">
        <v>66100</v>
      </c>
      <c r="G108" t="n">
        <v>14</v>
      </c>
      <c r="H108" t="inlineStr">
        <is>
          <t>Female</t>
        </is>
      </c>
      <c r="I108" t="n">
        <v>636</v>
      </c>
    </row>
    <row r="109">
      <c r="A109" t="inlineStr">
        <is>
          <t>BOR100107</t>
        </is>
      </c>
      <c r="B109" t="inlineStr">
        <is>
          <t>Services</t>
        </is>
      </c>
      <c r="C109" t="inlineStr">
        <is>
          <t>Mombasa</t>
        </is>
      </c>
      <c r="D109" s="7" t="n">
        <v>43907</v>
      </c>
      <c r="E109" t="n">
        <v>41</v>
      </c>
      <c r="F109" t="n">
        <v>31200</v>
      </c>
      <c r="G109" t="n">
        <v>20</v>
      </c>
      <c r="H109" t="inlineStr">
        <is>
          <t>Female</t>
        </is>
      </c>
      <c r="I109" t="n">
        <v>491</v>
      </c>
    </row>
    <row r="110">
      <c r="A110" t="inlineStr">
        <is>
          <t>BOR100108</t>
        </is>
      </c>
      <c r="B110" t="inlineStr">
        <is>
          <t>Manufacturing</t>
        </is>
      </c>
      <c r="C110" t="inlineStr">
        <is>
          <t>Nakuru</t>
        </is>
      </c>
      <c r="D110" s="7" t="n">
        <v>46051</v>
      </c>
      <c r="E110" t="n">
        <v>98</v>
      </c>
      <c r="F110" t="n">
        <v>131900</v>
      </c>
      <c r="G110" t="n">
        <v>22</v>
      </c>
      <c r="H110" t="inlineStr">
        <is>
          <t>Female</t>
        </is>
      </c>
      <c r="I110" t="n">
        <v>664</v>
      </c>
    </row>
    <row r="111">
      <c r="A111" t="inlineStr">
        <is>
          <t>BOR100109</t>
        </is>
      </c>
      <c r="B111" t="inlineStr">
        <is>
          <t>Transport &amp; Logistics</t>
        </is>
      </c>
      <c r="C111" t="inlineStr">
        <is>
          <t>Nairobi</t>
        </is>
      </c>
      <c r="D111" s="7" t="n">
        <v>42030</v>
      </c>
      <c r="E111" t="n">
        <v>25</v>
      </c>
      <c r="F111" t="n">
        <v>38500</v>
      </c>
      <c r="G111" t="n">
        <v>22</v>
      </c>
      <c r="H111" t="inlineStr">
        <is>
          <t>Female</t>
        </is>
      </c>
      <c r="I111" t="n">
        <v>493</v>
      </c>
    </row>
    <row r="112">
      <c r="A112" t="inlineStr">
        <is>
          <t>BOR100110</t>
        </is>
      </c>
      <c r="B112" t="inlineStr">
        <is>
          <t>Agriculture</t>
        </is>
      </c>
      <c r="C112" t="inlineStr">
        <is>
          <t>Nairobi</t>
        </is>
      </c>
      <c r="D112" s="7" t="n">
        <v>45366</v>
      </c>
      <c r="E112" t="n">
        <v>64</v>
      </c>
      <c r="F112" t="n">
        <v>522700</v>
      </c>
      <c r="G112" t="n">
        <v>9</v>
      </c>
      <c r="H112" t="inlineStr">
        <is>
          <t>Male</t>
        </is>
      </c>
      <c r="I112" t="n">
        <v>748</v>
      </c>
    </row>
    <row r="113">
      <c r="A113" t="inlineStr">
        <is>
          <t>BOR100111</t>
        </is>
      </c>
      <c r="B113" t="inlineStr">
        <is>
          <t>Transport &amp; Logistics</t>
        </is>
      </c>
      <c r="C113" t="inlineStr">
        <is>
          <t>Kisumu</t>
        </is>
      </c>
      <c r="D113" s="7" t="n">
        <v>42324</v>
      </c>
      <c r="E113" t="n">
        <v>113</v>
      </c>
      <c r="F113" t="n">
        <v>53300</v>
      </c>
      <c r="G113" t="n">
        <v>22</v>
      </c>
      <c r="H113" t="inlineStr">
        <is>
          <t>Female</t>
        </is>
      </c>
      <c r="I113" t="n">
        <v>446</v>
      </c>
    </row>
    <row r="114">
      <c r="A114" t="inlineStr">
        <is>
          <t>BOR100112</t>
        </is>
      </c>
      <c r="B114" t="inlineStr">
        <is>
          <t>Services</t>
        </is>
      </c>
      <c r="C114" t="inlineStr">
        <is>
          <t>Nairobi</t>
        </is>
      </c>
      <c r="D114" s="7" t="n">
        <v>44088</v>
      </c>
      <c r="E114" t="n">
        <v>24</v>
      </c>
      <c r="F114" t="n">
        <v>76900</v>
      </c>
      <c r="G114" t="n">
        <v>22</v>
      </c>
      <c r="H114" t="inlineStr">
        <is>
          <t>Male</t>
        </is>
      </c>
      <c r="I114" t="n">
        <v>502</v>
      </c>
    </row>
    <row r="115">
      <c r="A115" t="inlineStr">
        <is>
          <t>BOR100113</t>
        </is>
      </c>
      <c r="B115" t="inlineStr">
        <is>
          <t>Manufacturing</t>
        </is>
      </c>
      <c r="C115" t="inlineStr">
        <is>
          <t>Nairobi</t>
        </is>
      </c>
      <c r="D115" s="7" t="n">
        <v>43839</v>
      </c>
      <c r="E115" t="n">
        <v>73</v>
      </c>
      <c r="F115" t="n">
        <v>29500</v>
      </c>
      <c r="G115" t="n">
        <v>24</v>
      </c>
      <c r="H115" t="inlineStr">
        <is>
          <t>Male</t>
        </is>
      </c>
      <c r="I115" t="n">
        <v>638</v>
      </c>
    </row>
    <row r="116">
      <c r="A116" t="inlineStr">
        <is>
          <t>BOR100114</t>
        </is>
      </c>
      <c r="B116" t="inlineStr">
        <is>
          <t>Services</t>
        </is>
      </c>
      <c r="C116" t="inlineStr">
        <is>
          <t>Rural - Other</t>
        </is>
      </c>
      <c r="D116" s="7" t="n">
        <v>43999</v>
      </c>
      <c r="E116" t="n">
        <v>33</v>
      </c>
      <c r="F116" t="n">
        <v>241400</v>
      </c>
      <c r="G116" t="n">
        <v>9</v>
      </c>
      <c r="H116" t="inlineStr">
        <is>
          <t>Male</t>
        </is>
      </c>
      <c r="I116" t="n">
        <v>750</v>
      </c>
    </row>
    <row r="117">
      <c r="A117" t="inlineStr">
        <is>
          <t>BOR100115</t>
        </is>
      </c>
      <c r="B117" t="inlineStr">
        <is>
          <t>Services</t>
        </is>
      </c>
      <c r="C117" t="inlineStr">
        <is>
          <t>Rural - Other</t>
        </is>
      </c>
      <c r="D117" s="7" t="n">
        <v>42354</v>
      </c>
      <c r="E117" t="n">
        <v>79</v>
      </c>
      <c r="F117" t="n">
        <v>160100</v>
      </c>
      <c r="G117" t="n">
        <v>6</v>
      </c>
      <c r="H117" t="inlineStr">
        <is>
          <t>Male</t>
        </is>
      </c>
      <c r="I117" t="n">
        <v>628</v>
      </c>
    </row>
    <row r="118">
      <c r="A118" t="inlineStr">
        <is>
          <t>BOR100116</t>
        </is>
      </c>
      <c r="B118" t="inlineStr">
        <is>
          <t>Retail &amp; Trade</t>
        </is>
      </c>
      <c r="C118" t="inlineStr">
        <is>
          <t>Nakuru</t>
        </is>
      </c>
      <c r="D118" s="7" t="n">
        <v>45215</v>
      </c>
      <c r="E118" t="n">
        <v>37</v>
      </c>
      <c r="F118" t="n">
        <v>90000</v>
      </c>
      <c r="G118" t="n">
        <v>15</v>
      </c>
      <c r="H118" t="inlineStr">
        <is>
          <t>Female</t>
        </is>
      </c>
      <c r="I118" t="n">
        <v>651</v>
      </c>
    </row>
    <row r="119">
      <c r="A119" t="inlineStr">
        <is>
          <t>BOR100117</t>
        </is>
      </c>
      <c r="B119" t="inlineStr">
        <is>
          <t>Retail &amp; Trade</t>
        </is>
      </c>
      <c r="C119" t="inlineStr">
        <is>
          <t>Rural - Other</t>
        </is>
      </c>
      <c r="D119" s="7" t="n">
        <v>43179</v>
      </c>
      <c r="E119" t="n">
        <v>140</v>
      </c>
      <c r="F119" t="n">
        <v>28500</v>
      </c>
      <c r="G119" t="n">
        <v>23</v>
      </c>
      <c r="H119" t="inlineStr">
        <is>
          <t>Male</t>
        </is>
      </c>
      <c r="I119" t="n">
        <v>602</v>
      </c>
    </row>
    <row r="120">
      <c r="A120" t="inlineStr">
        <is>
          <t>BOR100118</t>
        </is>
      </c>
      <c r="B120" t="inlineStr">
        <is>
          <t>Agriculture</t>
        </is>
      </c>
      <c r="C120" t="inlineStr">
        <is>
          <t>Rural - Other</t>
        </is>
      </c>
      <c r="D120" s="7" t="n">
        <v>45290</v>
      </c>
      <c r="E120" t="n">
        <v>13</v>
      </c>
      <c r="F120" t="n">
        <v>84800</v>
      </c>
      <c r="G120" t="n">
        <v>22</v>
      </c>
      <c r="H120" t="inlineStr">
        <is>
          <t>Female</t>
        </is>
      </c>
      <c r="I120" t="n">
        <v>508</v>
      </c>
    </row>
    <row r="121">
      <c r="A121" t="inlineStr">
        <is>
          <t>BOR100119</t>
        </is>
      </c>
      <c r="B121" t="inlineStr">
        <is>
          <t>Retail &amp; Trade</t>
        </is>
      </c>
      <c r="C121" t="inlineStr">
        <is>
          <t>Nairobi</t>
        </is>
      </c>
      <c r="D121" s="7" t="n">
        <v>44798</v>
      </c>
      <c r="E121" t="n">
        <v>139</v>
      </c>
      <c r="F121" t="n">
        <v>33400</v>
      </c>
      <c r="G121" t="n">
        <v>14</v>
      </c>
      <c r="H121" t="inlineStr">
        <is>
          <t>Male</t>
        </is>
      </c>
      <c r="I121" t="n">
        <v>556</v>
      </c>
    </row>
    <row r="122">
      <c r="A122" t="inlineStr">
        <is>
          <t>BOR100120</t>
        </is>
      </c>
      <c r="B122" t="inlineStr">
        <is>
          <t>Manufacturing</t>
        </is>
      </c>
      <c r="C122" t="inlineStr">
        <is>
          <t>Kisumu</t>
        </is>
      </c>
      <c r="D122" s="7" t="n">
        <v>44354</v>
      </c>
      <c r="E122" t="n">
        <v>115</v>
      </c>
      <c r="F122" t="n">
        <v>203500</v>
      </c>
      <c r="G122" t="n">
        <v>4</v>
      </c>
      <c r="H122" t="inlineStr">
        <is>
          <t>Female</t>
        </is>
      </c>
      <c r="I122" t="n">
        <v>491</v>
      </c>
    </row>
    <row r="123">
      <c r="A123" t="inlineStr">
        <is>
          <t>BOR100121</t>
        </is>
      </c>
      <c r="B123" t="inlineStr">
        <is>
          <t>Transport &amp; Logistics</t>
        </is>
      </c>
      <c r="C123" t="inlineStr">
        <is>
          <t>Mombasa</t>
        </is>
      </c>
      <c r="D123" s="7" t="n">
        <v>43320</v>
      </c>
      <c r="E123" t="n">
        <v>124</v>
      </c>
      <c r="F123" t="n">
        <v>128900</v>
      </c>
      <c r="G123" t="n">
        <v>11</v>
      </c>
      <c r="H123" t="inlineStr">
        <is>
          <t>Female</t>
        </is>
      </c>
      <c r="I123" t="n">
        <v>485</v>
      </c>
    </row>
    <row r="124">
      <c r="A124" t="inlineStr">
        <is>
          <t>BOR100122</t>
        </is>
      </c>
      <c r="B124" t="inlineStr">
        <is>
          <t>Services</t>
        </is>
      </c>
      <c r="C124" t="inlineStr">
        <is>
          <t>Nairobi</t>
        </is>
      </c>
      <c r="D124" s="7" t="n">
        <v>44784</v>
      </c>
      <c r="E124" t="n">
        <v>123</v>
      </c>
      <c r="F124" t="n">
        <v>78200</v>
      </c>
      <c r="G124" t="n">
        <v>18</v>
      </c>
      <c r="H124" t="inlineStr">
        <is>
          <t>Male</t>
        </is>
      </c>
      <c r="I124" t="n">
        <v>636</v>
      </c>
    </row>
    <row r="125">
      <c r="A125" t="inlineStr">
        <is>
          <t>BOR100123</t>
        </is>
      </c>
      <c r="B125" t="inlineStr">
        <is>
          <t>Manufacturing</t>
        </is>
      </c>
      <c r="C125" t="inlineStr">
        <is>
          <t>Eldoret</t>
        </is>
      </c>
      <c r="D125" s="7" t="n">
        <v>46255</v>
      </c>
      <c r="E125" t="n">
        <v>29</v>
      </c>
      <c r="F125" t="n">
        <v>15000</v>
      </c>
      <c r="G125" t="n">
        <v>14</v>
      </c>
      <c r="H125" t="inlineStr">
        <is>
          <t>Male</t>
        </is>
      </c>
      <c r="I125" t="n">
        <v>499</v>
      </c>
    </row>
    <row r="126">
      <c r="A126" t="inlineStr">
        <is>
          <t>BOR100124</t>
        </is>
      </c>
      <c r="B126" t="inlineStr">
        <is>
          <t>Construction</t>
        </is>
      </c>
      <c r="C126" t="inlineStr">
        <is>
          <t>Kisumu</t>
        </is>
      </c>
      <c r="D126" s="7" t="n">
        <v>45938</v>
      </c>
      <c r="E126" t="n">
        <v>135</v>
      </c>
      <c r="F126" t="n">
        <v>36700</v>
      </c>
      <c r="G126" t="n">
        <v>9</v>
      </c>
      <c r="H126" t="inlineStr">
        <is>
          <t>Female</t>
        </is>
      </c>
      <c r="I126" t="n">
        <v>629</v>
      </c>
    </row>
    <row r="127">
      <c r="A127" t="inlineStr">
        <is>
          <t>BOR100125</t>
        </is>
      </c>
      <c r="B127" t="inlineStr">
        <is>
          <t>Services</t>
        </is>
      </c>
      <c r="C127" t="inlineStr">
        <is>
          <t>Kisumu</t>
        </is>
      </c>
      <c r="D127" s="7" t="n">
        <v>45909</v>
      </c>
      <c r="E127" t="n">
        <v>87</v>
      </c>
      <c r="F127" t="n">
        <v>118400</v>
      </c>
      <c r="G127" t="n">
        <v>9</v>
      </c>
      <c r="H127" t="inlineStr">
        <is>
          <t>Male</t>
        </is>
      </c>
      <c r="I127" t="n">
        <v>483</v>
      </c>
    </row>
    <row r="128">
      <c r="A128" t="inlineStr">
        <is>
          <t>BOR100126</t>
        </is>
      </c>
      <c r="B128" t="inlineStr">
        <is>
          <t>Retail &amp; Trade</t>
        </is>
      </c>
      <c r="C128" t="inlineStr">
        <is>
          <t>Nairobi</t>
        </is>
      </c>
      <c r="D128" s="7" t="n">
        <v>42941</v>
      </c>
      <c r="E128" t="n">
        <v>139</v>
      </c>
      <c r="F128" t="n">
        <v>170900</v>
      </c>
      <c r="G128" t="n">
        <v>2</v>
      </c>
      <c r="H128" t="inlineStr">
        <is>
          <t>Female</t>
        </is>
      </c>
      <c r="I128" t="n">
        <v>627</v>
      </c>
    </row>
    <row r="129">
      <c r="A129" t="inlineStr">
        <is>
          <t>BOR100127</t>
        </is>
      </c>
      <c r="B129" t="inlineStr">
        <is>
          <t>Transport &amp; Logistics</t>
        </is>
      </c>
      <c r="C129" t="inlineStr">
        <is>
          <t>Nairobi</t>
        </is>
      </c>
      <c r="D129" s="7" t="n">
        <v>44499</v>
      </c>
      <c r="E129" t="n">
        <v>127</v>
      </c>
      <c r="F129" t="n">
        <v>159000</v>
      </c>
      <c r="G129" t="n">
        <v>7</v>
      </c>
      <c r="H129" t="inlineStr">
        <is>
          <t>Male</t>
        </is>
      </c>
      <c r="I129" t="n">
        <v>556</v>
      </c>
    </row>
    <row r="130">
      <c r="A130" t="inlineStr">
        <is>
          <t>BOR100128</t>
        </is>
      </c>
      <c r="B130" t="inlineStr">
        <is>
          <t>Services</t>
        </is>
      </c>
      <c r="C130" t="inlineStr">
        <is>
          <t>Rural - Other</t>
        </is>
      </c>
      <c r="D130" s="7" t="n">
        <v>43700</v>
      </c>
      <c r="E130" t="n">
        <v>85</v>
      </c>
      <c r="F130" t="n">
        <v>24000</v>
      </c>
      <c r="G130" t="n">
        <v>17</v>
      </c>
      <c r="H130" t="inlineStr">
        <is>
          <t>Female</t>
        </is>
      </c>
      <c r="I130" t="n">
        <v>727</v>
      </c>
    </row>
    <row r="131">
      <c r="A131" t="inlineStr">
        <is>
          <t>BOR100129</t>
        </is>
      </c>
      <c r="B131" t="inlineStr">
        <is>
          <t>Services</t>
        </is>
      </c>
      <c r="C131" t="inlineStr">
        <is>
          <t>Nairobi</t>
        </is>
      </c>
      <c r="D131" s="7" t="n">
        <v>46125</v>
      </c>
      <c r="E131" t="n">
        <v>56</v>
      </c>
      <c r="F131" t="n">
        <v>90300</v>
      </c>
      <c r="G131" t="n">
        <v>6</v>
      </c>
      <c r="H131" t="inlineStr">
        <is>
          <t>Female</t>
        </is>
      </c>
      <c r="I131" t="n">
        <v>629</v>
      </c>
    </row>
    <row r="132">
      <c r="A132" t="inlineStr">
        <is>
          <t>BOR100130</t>
        </is>
      </c>
      <c r="B132" t="inlineStr">
        <is>
          <t>Services</t>
        </is>
      </c>
      <c r="C132" t="inlineStr">
        <is>
          <t>Nairobi</t>
        </is>
      </c>
      <c r="D132" s="7" t="n">
        <v>46053</v>
      </c>
      <c r="E132" t="n">
        <v>19</v>
      </c>
      <c r="F132" t="n">
        <v>148900</v>
      </c>
      <c r="G132" t="n">
        <v>24</v>
      </c>
      <c r="H132" t="inlineStr">
        <is>
          <t>Female</t>
        </is>
      </c>
      <c r="I132" t="n">
        <v>711</v>
      </c>
    </row>
    <row r="133">
      <c r="A133" t="inlineStr">
        <is>
          <t>BOR100131</t>
        </is>
      </c>
      <c r="B133" t="inlineStr">
        <is>
          <t>Services</t>
        </is>
      </c>
      <c r="C133" t="inlineStr">
        <is>
          <t>Mombasa</t>
        </is>
      </c>
      <c r="D133" s="7" t="n">
        <v>45703</v>
      </c>
      <c r="E133" t="n">
        <v>17</v>
      </c>
      <c r="F133" t="n">
        <v>22900</v>
      </c>
      <c r="G133" t="n">
        <v>2</v>
      </c>
      <c r="H133" t="inlineStr">
        <is>
          <t>Female</t>
        </is>
      </c>
      <c r="I133" t="n">
        <v>532</v>
      </c>
    </row>
    <row r="134">
      <c r="A134" t="inlineStr">
        <is>
          <t>BOR100132</t>
        </is>
      </c>
      <c r="B134" t="inlineStr">
        <is>
          <t>Retail &amp; Trade</t>
        </is>
      </c>
      <c r="C134" t="inlineStr">
        <is>
          <t>Kisumu</t>
        </is>
      </c>
      <c r="D134" s="7" t="n">
        <v>42698</v>
      </c>
      <c r="E134" t="n">
        <v>58</v>
      </c>
      <c r="F134" t="n">
        <v>72700</v>
      </c>
      <c r="G134" t="n">
        <v>15</v>
      </c>
      <c r="H134" t="inlineStr">
        <is>
          <t>Female</t>
        </is>
      </c>
      <c r="I134" t="n">
        <v>605</v>
      </c>
    </row>
    <row r="135">
      <c r="A135" t="inlineStr">
        <is>
          <t>BOR100133</t>
        </is>
      </c>
      <c r="B135" t="inlineStr">
        <is>
          <t>Services</t>
        </is>
      </c>
      <c r="C135" t="inlineStr">
        <is>
          <t>Nakuru</t>
        </is>
      </c>
      <c r="D135" s="7" t="n">
        <v>43363</v>
      </c>
      <c r="E135" t="n">
        <v>118</v>
      </c>
      <c r="F135" t="n">
        <v>88600</v>
      </c>
      <c r="G135" t="n">
        <v>12</v>
      </c>
      <c r="H135" t="inlineStr">
        <is>
          <t>Female</t>
        </is>
      </c>
      <c r="I135" t="n">
        <v>512</v>
      </c>
    </row>
    <row r="136">
      <c r="A136" t="inlineStr">
        <is>
          <t>BOR100134</t>
        </is>
      </c>
      <c r="B136" t="inlineStr">
        <is>
          <t>Transport &amp; Logistics</t>
        </is>
      </c>
      <c r="C136" t="inlineStr">
        <is>
          <t>Kisumu</t>
        </is>
      </c>
      <c r="D136" s="7" t="n">
        <v>45035</v>
      </c>
      <c r="E136" t="n">
        <v>74</v>
      </c>
      <c r="F136" t="n">
        <v>59200</v>
      </c>
      <c r="G136" t="n">
        <v>20</v>
      </c>
      <c r="H136" t="inlineStr">
        <is>
          <t>Female</t>
        </is>
      </c>
      <c r="I136" t="n">
        <v>563</v>
      </c>
    </row>
    <row r="137">
      <c r="A137" t="inlineStr">
        <is>
          <t>BOR100135</t>
        </is>
      </c>
      <c r="B137" t="inlineStr">
        <is>
          <t>Agriculture</t>
        </is>
      </c>
      <c r="C137" t="inlineStr">
        <is>
          <t>Nairobi</t>
        </is>
      </c>
      <c r="D137" s="7" t="n">
        <v>45199</v>
      </c>
      <c r="E137" t="n">
        <v>71</v>
      </c>
      <c r="F137" t="n">
        <v>20000</v>
      </c>
      <c r="G137" t="n">
        <v>22</v>
      </c>
      <c r="H137" t="inlineStr">
        <is>
          <t>Female</t>
        </is>
      </c>
      <c r="I137" t="n">
        <v>576</v>
      </c>
    </row>
    <row r="138">
      <c r="A138" t="inlineStr">
        <is>
          <t>BOR100136</t>
        </is>
      </c>
      <c r="B138" t="inlineStr">
        <is>
          <t>Services</t>
        </is>
      </c>
      <c r="C138" t="inlineStr">
        <is>
          <t>Nairobi</t>
        </is>
      </c>
      <c r="D138" s="7" t="n">
        <v>43497</v>
      </c>
      <c r="E138" t="n">
        <v>37</v>
      </c>
      <c r="F138" t="n">
        <v>58200</v>
      </c>
      <c r="G138" t="n">
        <v>14</v>
      </c>
      <c r="H138" t="inlineStr">
        <is>
          <t>Male</t>
        </is>
      </c>
      <c r="I138" t="n">
        <v>535</v>
      </c>
    </row>
    <row r="139">
      <c r="A139" t="inlineStr">
        <is>
          <t>BOR100137</t>
        </is>
      </c>
      <c r="B139" t="inlineStr">
        <is>
          <t>Retail &amp; Trade</t>
        </is>
      </c>
      <c r="C139" t="inlineStr">
        <is>
          <t>Rural - Other</t>
        </is>
      </c>
      <c r="D139" s="7" t="n">
        <v>42588</v>
      </c>
      <c r="E139" t="n">
        <v>83</v>
      </c>
      <c r="F139" t="n">
        <v>58200</v>
      </c>
      <c r="G139" t="n">
        <v>16</v>
      </c>
      <c r="H139" t="inlineStr">
        <is>
          <t>Female</t>
        </is>
      </c>
      <c r="I139" t="n">
        <v>491</v>
      </c>
    </row>
    <row r="140">
      <c r="A140" t="inlineStr">
        <is>
          <t>BOR100138</t>
        </is>
      </c>
      <c r="B140" t="inlineStr">
        <is>
          <t>Manufacturing</t>
        </is>
      </c>
      <c r="C140" t="inlineStr">
        <is>
          <t>Nakuru</t>
        </is>
      </c>
      <c r="D140" s="7" t="n">
        <v>42588</v>
      </c>
      <c r="E140" t="n">
        <v>93</v>
      </c>
      <c r="F140" t="n">
        <v>65900</v>
      </c>
      <c r="G140" t="n">
        <v>17</v>
      </c>
      <c r="H140" t="inlineStr">
        <is>
          <t>Male</t>
        </is>
      </c>
      <c r="I140" t="n">
        <v>473</v>
      </c>
    </row>
    <row r="141">
      <c r="A141" t="inlineStr">
        <is>
          <t>BOR100139</t>
        </is>
      </c>
      <c r="B141" t="inlineStr">
        <is>
          <t>Manufacturing</t>
        </is>
      </c>
      <c r="C141" t="inlineStr">
        <is>
          <t>Nakuru</t>
        </is>
      </c>
      <c r="D141" s="7" t="n">
        <v>44921</v>
      </c>
      <c r="E141" t="n">
        <v>142</v>
      </c>
      <c r="F141" t="n">
        <v>49300</v>
      </c>
      <c r="G141" t="n">
        <v>13</v>
      </c>
      <c r="H141" t="inlineStr">
        <is>
          <t>Male</t>
        </is>
      </c>
      <c r="I141" t="n">
        <v>389</v>
      </c>
    </row>
    <row r="142">
      <c r="A142" t="inlineStr">
        <is>
          <t>BOR100140</t>
        </is>
      </c>
      <c r="B142" t="inlineStr">
        <is>
          <t>Construction</t>
        </is>
      </c>
      <c r="C142" t="inlineStr">
        <is>
          <t>Eldoret</t>
        </is>
      </c>
      <c r="D142" s="7" t="n">
        <v>43940</v>
      </c>
      <c r="E142" t="n">
        <v>106</v>
      </c>
      <c r="F142" t="n">
        <v>53600</v>
      </c>
      <c r="G142" t="n">
        <v>5</v>
      </c>
      <c r="H142" t="inlineStr">
        <is>
          <t>Female</t>
        </is>
      </c>
      <c r="I142" t="n">
        <v>505</v>
      </c>
    </row>
    <row r="143">
      <c r="A143" t="inlineStr">
        <is>
          <t>BOR100141</t>
        </is>
      </c>
      <c r="B143" t="inlineStr">
        <is>
          <t>Agriculture</t>
        </is>
      </c>
      <c r="C143" t="inlineStr">
        <is>
          <t>Rural - Other</t>
        </is>
      </c>
      <c r="D143" s="7" t="n">
        <v>44097</v>
      </c>
      <c r="E143" t="n">
        <v>89</v>
      </c>
      <c r="F143" t="n">
        <v>71100</v>
      </c>
      <c r="G143" t="n">
        <v>11</v>
      </c>
      <c r="H143" t="inlineStr">
        <is>
          <t>Male</t>
        </is>
      </c>
      <c r="I143" t="n">
        <v>656</v>
      </c>
    </row>
    <row r="144">
      <c r="A144" t="inlineStr">
        <is>
          <t>BOR100142</t>
        </is>
      </c>
      <c r="B144" t="inlineStr">
        <is>
          <t>Agriculture</t>
        </is>
      </c>
      <c r="C144" t="inlineStr">
        <is>
          <t>Nairobi</t>
        </is>
      </c>
      <c r="D144" s="7" t="n">
        <v>45479</v>
      </c>
      <c r="E144" t="n">
        <v>132</v>
      </c>
      <c r="F144" t="n">
        <v>99700</v>
      </c>
      <c r="G144" t="n">
        <v>6</v>
      </c>
      <c r="H144" t="inlineStr">
        <is>
          <t>Female</t>
        </is>
      </c>
      <c r="I144" t="n">
        <v>456</v>
      </c>
    </row>
    <row r="145">
      <c r="A145" t="inlineStr">
        <is>
          <t>BOR100143</t>
        </is>
      </c>
      <c r="B145" t="inlineStr">
        <is>
          <t>Manufacturing</t>
        </is>
      </c>
      <c r="C145" t="inlineStr">
        <is>
          <t>Mombasa</t>
        </is>
      </c>
      <c r="D145" s="7" t="n">
        <v>42076</v>
      </c>
      <c r="E145" t="n">
        <v>63</v>
      </c>
      <c r="F145" t="n">
        <v>59100</v>
      </c>
      <c r="G145" t="n">
        <v>12</v>
      </c>
      <c r="H145" t="inlineStr">
        <is>
          <t>Female</t>
        </is>
      </c>
      <c r="I145" t="n">
        <v>477</v>
      </c>
    </row>
    <row r="146">
      <c r="A146" t="inlineStr">
        <is>
          <t>BOR100144</t>
        </is>
      </c>
      <c r="B146" t="inlineStr">
        <is>
          <t>Construction</t>
        </is>
      </c>
      <c r="C146" t="inlineStr">
        <is>
          <t>Kisumu</t>
        </is>
      </c>
      <c r="D146" s="7" t="n">
        <v>45220</v>
      </c>
      <c r="E146" t="n">
        <v>135</v>
      </c>
      <c r="F146" t="n">
        <v>54900</v>
      </c>
      <c r="G146" t="n">
        <v>15</v>
      </c>
      <c r="H146" t="inlineStr">
        <is>
          <t>Male</t>
        </is>
      </c>
      <c r="I146" t="n">
        <v>761</v>
      </c>
    </row>
    <row r="147">
      <c r="A147" t="inlineStr">
        <is>
          <t>BOR100145</t>
        </is>
      </c>
      <c r="B147" t="inlineStr">
        <is>
          <t>Construction</t>
        </is>
      </c>
      <c r="C147" t="inlineStr">
        <is>
          <t>Mombasa</t>
        </is>
      </c>
      <c r="D147" s="7" t="n">
        <v>43173</v>
      </c>
      <c r="E147" t="n">
        <v>55</v>
      </c>
      <c r="F147" t="n">
        <v>78000</v>
      </c>
      <c r="G147" t="n">
        <v>6</v>
      </c>
      <c r="H147" t="inlineStr">
        <is>
          <t>Male</t>
        </is>
      </c>
      <c r="I147" t="n">
        <v>543</v>
      </c>
    </row>
    <row r="148">
      <c r="A148" t="inlineStr">
        <is>
          <t>BOR100146</t>
        </is>
      </c>
      <c r="B148" t="inlineStr">
        <is>
          <t>Retail &amp; Trade</t>
        </is>
      </c>
      <c r="C148" t="inlineStr">
        <is>
          <t>Rural - Other</t>
        </is>
      </c>
      <c r="D148" s="7" t="n">
        <v>45972</v>
      </c>
      <c r="E148" t="n">
        <v>21</v>
      </c>
      <c r="F148" t="n">
        <v>19100</v>
      </c>
      <c r="G148" t="n">
        <v>6</v>
      </c>
      <c r="H148" t="inlineStr">
        <is>
          <t>Male</t>
        </is>
      </c>
      <c r="I148" t="n">
        <v>629</v>
      </c>
    </row>
    <row r="149">
      <c r="A149" t="inlineStr">
        <is>
          <t>BOR100147</t>
        </is>
      </c>
      <c r="B149" t="inlineStr">
        <is>
          <t>Agriculture</t>
        </is>
      </c>
      <c r="C149" t="inlineStr">
        <is>
          <t>Kisumu</t>
        </is>
      </c>
      <c r="D149" s="7" t="n">
        <v>46075</v>
      </c>
      <c r="E149" t="n">
        <v>62</v>
      </c>
      <c r="F149" t="n">
        <v>102100</v>
      </c>
      <c r="G149" t="n">
        <v>20</v>
      </c>
      <c r="H149" t="inlineStr">
        <is>
          <t>Female</t>
        </is>
      </c>
      <c r="I149" t="n">
        <v>658</v>
      </c>
    </row>
    <row r="150">
      <c r="A150" t="inlineStr">
        <is>
          <t>BOR100148</t>
        </is>
      </c>
      <c r="B150" t="inlineStr">
        <is>
          <t>Transport &amp; Logistics</t>
        </is>
      </c>
      <c r="C150" t="inlineStr">
        <is>
          <t>Rural - Other</t>
        </is>
      </c>
      <c r="D150" s="7" t="n">
        <v>44144</v>
      </c>
      <c r="E150" t="n">
        <v>21</v>
      </c>
      <c r="F150" t="n">
        <v>73100</v>
      </c>
      <c r="G150" t="n">
        <v>10</v>
      </c>
      <c r="H150" t="inlineStr">
        <is>
          <t>Male</t>
        </is>
      </c>
      <c r="I150" t="n">
        <v>660</v>
      </c>
    </row>
    <row r="151">
      <c r="A151" t="inlineStr">
        <is>
          <t>BOR100149</t>
        </is>
      </c>
      <c r="B151" t="inlineStr">
        <is>
          <t>Retail &amp; Trade</t>
        </is>
      </c>
      <c r="C151" t="inlineStr">
        <is>
          <t>Rural - Other</t>
        </is>
      </c>
      <c r="D151" s="7" t="n">
        <v>43350</v>
      </c>
      <c r="E151" t="n">
        <v>19</v>
      </c>
      <c r="F151" t="n">
        <v>75200</v>
      </c>
      <c r="G151" t="n">
        <v>5</v>
      </c>
      <c r="H151" t="inlineStr">
        <is>
          <t>Female</t>
        </is>
      </c>
      <c r="I151" t="n">
        <v>463</v>
      </c>
    </row>
    <row r="152">
      <c r="A152" t="inlineStr">
        <is>
          <t>BOR100150</t>
        </is>
      </c>
      <c r="B152" t="inlineStr">
        <is>
          <t>Construction</t>
        </is>
      </c>
      <c r="C152" t="inlineStr">
        <is>
          <t>Kisumu</t>
        </is>
      </c>
      <c r="D152" s="7" t="n">
        <v>42998</v>
      </c>
      <c r="E152" t="n">
        <v>128</v>
      </c>
      <c r="F152" t="n">
        <v>143300</v>
      </c>
      <c r="G152" t="n">
        <v>18</v>
      </c>
      <c r="H152" t="inlineStr">
        <is>
          <t>Female</t>
        </is>
      </c>
      <c r="I152" t="n">
        <v>579</v>
      </c>
    </row>
    <row r="153">
      <c r="A153" t="inlineStr">
        <is>
          <t>BOR100151</t>
        </is>
      </c>
      <c r="B153" t="inlineStr">
        <is>
          <t>Agriculture</t>
        </is>
      </c>
      <c r="C153" t="inlineStr">
        <is>
          <t>Rural - Other</t>
        </is>
      </c>
      <c r="D153" s="7" t="n">
        <v>42778</v>
      </c>
      <c r="E153" t="n">
        <v>115</v>
      </c>
      <c r="F153" t="n">
        <v>18600</v>
      </c>
      <c r="G153" t="n">
        <v>18</v>
      </c>
      <c r="H153" t="inlineStr">
        <is>
          <t>Female</t>
        </is>
      </c>
      <c r="I153" t="n">
        <v>454</v>
      </c>
    </row>
    <row r="154">
      <c r="A154" t="inlineStr">
        <is>
          <t>BOR100152</t>
        </is>
      </c>
      <c r="B154" t="inlineStr">
        <is>
          <t>Construction</t>
        </is>
      </c>
      <c r="C154" t="inlineStr">
        <is>
          <t>Nakuru</t>
        </is>
      </c>
      <c r="D154" s="7" t="n">
        <v>46262</v>
      </c>
      <c r="E154" t="n">
        <v>34</v>
      </c>
      <c r="F154" t="n">
        <v>18400</v>
      </c>
      <c r="G154" t="n">
        <v>20</v>
      </c>
      <c r="H154" t="inlineStr">
        <is>
          <t>Male</t>
        </is>
      </c>
      <c r="I154" t="n">
        <v>820</v>
      </c>
    </row>
    <row r="155">
      <c r="A155" t="inlineStr">
        <is>
          <t>BOR100153</t>
        </is>
      </c>
      <c r="B155" t="inlineStr">
        <is>
          <t>Agriculture</t>
        </is>
      </c>
      <c r="C155" t="inlineStr">
        <is>
          <t>Rural - Other</t>
        </is>
      </c>
      <c r="D155" s="7" t="n">
        <v>42804</v>
      </c>
      <c r="E155" t="n">
        <v>121</v>
      </c>
      <c r="F155" t="n">
        <v>88600</v>
      </c>
      <c r="G155" t="n">
        <v>19</v>
      </c>
      <c r="H155" t="inlineStr">
        <is>
          <t>Female</t>
        </is>
      </c>
      <c r="I155" t="n">
        <v>456</v>
      </c>
    </row>
    <row r="156">
      <c r="A156" t="inlineStr">
        <is>
          <t>BOR100154</t>
        </is>
      </c>
      <c r="B156" t="inlineStr">
        <is>
          <t>Manufacturing</t>
        </is>
      </c>
      <c r="C156" t="inlineStr">
        <is>
          <t>Mombasa</t>
        </is>
      </c>
      <c r="D156" s="7" t="n">
        <v>43907</v>
      </c>
      <c r="E156" t="n">
        <v>12</v>
      </c>
      <c r="F156" t="n">
        <v>72800</v>
      </c>
      <c r="G156" t="n">
        <v>24</v>
      </c>
      <c r="H156" t="inlineStr">
        <is>
          <t>Male</t>
        </is>
      </c>
      <c r="I156" t="n">
        <v>506</v>
      </c>
    </row>
    <row r="157">
      <c r="A157" t="inlineStr">
        <is>
          <t>BOR100155</t>
        </is>
      </c>
      <c r="B157" t="inlineStr">
        <is>
          <t>Services</t>
        </is>
      </c>
      <c r="C157" t="inlineStr">
        <is>
          <t>Kisumu</t>
        </is>
      </c>
      <c r="D157" s="7" t="n">
        <v>44046</v>
      </c>
      <c r="E157" t="n">
        <v>43</v>
      </c>
      <c r="F157" t="n">
        <v>82400</v>
      </c>
      <c r="G157" t="n">
        <v>14</v>
      </c>
      <c r="H157" t="inlineStr">
        <is>
          <t>Male</t>
        </is>
      </c>
      <c r="I157" t="n">
        <v>506</v>
      </c>
    </row>
    <row r="158">
      <c r="A158" t="inlineStr">
        <is>
          <t>BOR100156</t>
        </is>
      </c>
      <c r="B158" t="inlineStr">
        <is>
          <t>Retail &amp; Trade</t>
        </is>
      </c>
      <c r="C158" t="inlineStr">
        <is>
          <t>Kisumu</t>
        </is>
      </c>
      <c r="D158" s="7" t="n">
        <v>44898</v>
      </c>
      <c r="E158" t="n">
        <v>103</v>
      </c>
      <c r="F158" t="n">
        <v>52900</v>
      </c>
      <c r="G158" t="n">
        <v>7</v>
      </c>
      <c r="H158" t="inlineStr">
        <is>
          <t>Male</t>
        </is>
      </c>
      <c r="I158" t="n">
        <v>465</v>
      </c>
    </row>
    <row r="159">
      <c r="A159" t="inlineStr">
        <is>
          <t>BOR100157</t>
        </is>
      </c>
      <c r="B159" t="inlineStr">
        <is>
          <t>Services</t>
        </is>
      </c>
      <c r="C159" t="inlineStr">
        <is>
          <t>Nairobi</t>
        </is>
      </c>
      <c r="D159" s="7" t="n">
        <v>45595</v>
      </c>
      <c r="E159" t="n">
        <v>46</v>
      </c>
      <c r="F159" t="n">
        <v>116400</v>
      </c>
      <c r="G159" t="n">
        <v>21</v>
      </c>
      <c r="H159" t="inlineStr">
        <is>
          <t>Male</t>
        </is>
      </c>
      <c r="I159" t="n">
        <v>722</v>
      </c>
    </row>
    <row r="160">
      <c r="A160" t="inlineStr">
        <is>
          <t>BOR100158</t>
        </is>
      </c>
      <c r="B160" t="inlineStr">
        <is>
          <t>Services</t>
        </is>
      </c>
      <c r="C160" t="inlineStr">
        <is>
          <t>Mombasa</t>
        </is>
      </c>
      <c r="D160" s="7" t="n">
        <v>44382</v>
      </c>
      <c r="E160" t="n">
        <v>106</v>
      </c>
      <c r="F160" t="n">
        <v>140500</v>
      </c>
      <c r="G160" t="n">
        <v>7</v>
      </c>
      <c r="H160" t="inlineStr">
        <is>
          <t>Male</t>
        </is>
      </c>
      <c r="I160" t="n">
        <v>818</v>
      </c>
    </row>
    <row r="161">
      <c r="A161" t="inlineStr">
        <is>
          <t>BOR100159</t>
        </is>
      </c>
      <c r="B161" t="inlineStr">
        <is>
          <t>Transport &amp; Logistics</t>
        </is>
      </c>
      <c r="C161" t="inlineStr">
        <is>
          <t>Rural - Other</t>
        </is>
      </c>
      <c r="D161" s="7" t="n">
        <v>45234</v>
      </c>
      <c r="E161" t="n">
        <v>127</v>
      </c>
      <c r="F161" t="n">
        <v>102600</v>
      </c>
      <c r="G161" t="n">
        <v>7</v>
      </c>
      <c r="H161" t="inlineStr">
        <is>
          <t>Female</t>
        </is>
      </c>
      <c r="I161" t="n">
        <v>557</v>
      </c>
    </row>
    <row r="162">
      <c r="A162" t="inlineStr">
        <is>
          <t>BOR100160</t>
        </is>
      </c>
      <c r="B162" t="inlineStr">
        <is>
          <t>Construction</t>
        </is>
      </c>
      <c r="C162" t="inlineStr">
        <is>
          <t>Nakuru</t>
        </is>
      </c>
      <c r="D162" s="7" t="n">
        <v>44419</v>
      </c>
      <c r="E162" t="n">
        <v>12</v>
      </c>
      <c r="F162" t="n">
        <v>60900</v>
      </c>
      <c r="G162" t="n">
        <v>20</v>
      </c>
      <c r="H162" t="inlineStr">
        <is>
          <t>Female</t>
        </is>
      </c>
      <c r="I162" t="n">
        <v>481</v>
      </c>
    </row>
    <row r="163">
      <c r="A163" t="inlineStr">
        <is>
          <t>BOR100161</t>
        </is>
      </c>
      <c r="B163" t="inlineStr">
        <is>
          <t>Services</t>
        </is>
      </c>
      <c r="C163" t="inlineStr">
        <is>
          <t>Nairobi</t>
        </is>
      </c>
      <c r="D163" s="7" t="n">
        <v>43866</v>
      </c>
      <c r="E163" t="n">
        <v>6</v>
      </c>
      <c r="F163" t="n">
        <v>16700</v>
      </c>
      <c r="G163" t="n">
        <v>22</v>
      </c>
      <c r="H163" t="inlineStr">
        <is>
          <t>Male</t>
        </is>
      </c>
      <c r="I163" t="n">
        <v>399</v>
      </c>
    </row>
    <row r="164">
      <c r="A164" t="inlineStr">
        <is>
          <t>BOR100162</t>
        </is>
      </c>
      <c r="B164" t="inlineStr">
        <is>
          <t>Manufacturing</t>
        </is>
      </c>
      <c r="C164" t="inlineStr">
        <is>
          <t>Mombasa</t>
        </is>
      </c>
      <c r="D164" s="7" t="n">
        <v>42677</v>
      </c>
      <c r="E164" t="n">
        <v>136</v>
      </c>
      <c r="F164" t="n">
        <v>125300</v>
      </c>
      <c r="G164" t="n">
        <v>9</v>
      </c>
      <c r="H164" t="inlineStr">
        <is>
          <t>Female</t>
        </is>
      </c>
      <c r="I164" t="n">
        <v>578</v>
      </c>
    </row>
    <row r="165">
      <c r="A165" t="inlineStr">
        <is>
          <t>BOR100163</t>
        </is>
      </c>
      <c r="B165" t="inlineStr">
        <is>
          <t>Manufacturing</t>
        </is>
      </c>
      <c r="C165" t="inlineStr">
        <is>
          <t>Nairobi</t>
        </is>
      </c>
      <c r="D165" s="7" t="n">
        <v>42894</v>
      </c>
      <c r="E165" t="n">
        <v>76</v>
      </c>
      <c r="F165" t="n">
        <v>172000</v>
      </c>
      <c r="G165" t="n">
        <v>18</v>
      </c>
      <c r="H165" t="inlineStr">
        <is>
          <t>Female</t>
        </is>
      </c>
      <c r="I165" t="n">
        <v>572</v>
      </c>
    </row>
    <row r="166">
      <c r="A166" t="inlineStr">
        <is>
          <t>BOR100164</t>
        </is>
      </c>
      <c r="B166" t="inlineStr">
        <is>
          <t>Manufacturing</t>
        </is>
      </c>
      <c r="C166" t="inlineStr">
        <is>
          <t>Nairobi</t>
        </is>
      </c>
      <c r="D166" s="7" t="n">
        <v>43847</v>
      </c>
      <c r="E166" t="n">
        <v>74</v>
      </c>
      <c r="F166" t="n">
        <v>114800</v>
      </c>
      <c r="G166" t="n">
        <v>23</v>
      </c>
      <c r="H166" t="inlineStr">
        <is>
          <t>Female</t>
        </is>
      </c>
      <c r="I166" t="n">
        <v>541</v>
      </c>
    </row>
    <row r="167">
      <c r="A167" t="inlineStr">
        <is>
          <t>BOR100165</t>
        </is>
      </c>
      <c r="B167" t="inlineStr">
        <is>
          <t>Transport &amp; Logistics</t>
        </is>
      </c>
      <c r="C167" t="inlineStr">
        <is>
          <t>Rural - Other</t>
        </is>
      </c>
      <c r="D167" s="7" t="n">
        <v>42201</v>
      </c>
      <c r="E167" t="n">
        <v>68</v>
      </c>
      <c r="F167" t="n">
        <v>39500</v>
      </c>
      <c r="G167" t="n">
        <v>20</v>
      </c>
      <c r="H167" t="inlineStr">
        <is>
          <t>Female</t>
        </is>
      </c>
      <c r="I167" t="n">
        <v>620</v>
      </c>
    </row>
    <row r="168">
      <c r="A168" t="inlineStr">
        <is>
          <t>BOR100166</t>
        </is>
      </c>
      <c r="B168" t="inlineStr">
        <is>
          <t>Agriculture</t>
        </is>
      </c>
      <c r="C168" t="inlineStr">
        <is>
          <t>Kisumu</t>
        </is>
      </c>
      <c r="D168" s="7" t="n">
        <v>43353</v>
      </c>
      <c r="E168" t="n">
        <v>64</v>
      </c>
      <c r="F168" t="n">
        <v>117200</v>
      </c>
      <c r="G168" t="n">
        <v>1</v>
      </c>
      <c r="H168" t="inlineStr">
        <is>
          <t>Female</t>
        </is>
      </c>
      <c r="I168" t="n">
        <v>636</v>
      </c>
    </row>
    <row r="169">
      <c r="A169" t="inlineStr">
        <is>
          <t>BOR100167</t>
        </is>
      </c>
      <c r="B169" t="inlineStr">
        <is>
          <t>Agriculture</t>
        </is>
      </c>
      <c r="C169" t="inlineStr">
        <is>
          <t>Mombasa</t>
        </is>
      </c>
      <c r="D169" s="7" t="n">
        <v>43976</v>
      </c>
      <c r="E169" t="n">
        <v>100</v>
      </c>
      <c r="F169" t="n">
        <v>133600</v>
      </c>
      <c r="G169" t="n">
        <v>16</v>
      </c>
      <c r="H169" t="inlineStr">
        <is>
          <t>Female</t>
        </is>
      </c>
      <c r="I169" t="n">
        <v>629</v>
      </c>
    </row>
    <row r="170">
      <c r="A170" t="inlineStr">
        <is>
          <t>BOR100168</t>
        </is>
      </c>
      <c r="B170" t="inlineStr">
        <is>
          <t>Manufacturing</t>
        </is>
      </c>
      <c r="C170" t="inlineStr">
        <is>
          <t>Nakuru</t>
        </is>
      </c>
      <c r="D170" s="7" t="n">
        <v>44018</v>
      </c>
      <c r="E170" t="n">
        <v>85</v>
      </c>
      <c r="F170" t="n">
        <v>217800</v>
      </c>
      <c r="G170" t="n">
        <v>5</v>
      </c>
      <c r="H170" t="inlineStr">
        <is>
          <t>Male</t>
        </is>
      </c>
      <c r="I170" t="n">
        <v>572</v>
      </c>
    </row>
    <row r="171">
      <c r="A171" t="inlineStr">
        <is>
          <t>BOR100169</t>
        </is>
      </c>
      <c r="B171" t="inlineStr">
        <is>
          <t>Retail &amp; Trade</t>
        </is>
      </c>
      <c r="C171" t="inlineStr">
        <is>
          <t>Nairobi</t>
        </is>
      </c>
      <c r="D171" s="7" t="n">
        <v>45476</v>
      </c>
      <c r="E171" t="n">
        <v>26</v>
      </c>
      <c r="F171" t="n">
        <v>39600</v>
      </c>
      <c r="G171" t="n">
        <v>21</v>
      </c>
      <c r="H171" t="inlineStr">
        <is>
          <t>Female</t>
        </is>
      </c>
      <c r="I171" t="n">
        <v>501</v>
      </c>
    </row>
    <row r="172">
      <c r="A172" t="inlineStr">
        <is>
          <t>BOR100170</t>
        </is>
      </c>
      <c r="B172" t="inlineStr">
        <is>
          <t>Retail &amp; Trade</t>
        </is>
      </c>
      <c r="C172" t="inlineStr">
        <is>
          <t>Nairobi</t>
        </is>
      </c>
      <c r="D172" s="7" t="n">
        <v>46128</v>
      </c>
      <c r="E172" t="n">
        <v>91</v>
      </c>
      <c r="F172" t="n">
        <v>62400</v>
      </c>
      <c r="G172" t="n">
        <v>2</v>
      </c>
      <c r="H172" t="inlineStr">
        <is>
          <t>Male</t>
        </is>
      </c>
      <c r="I172" t="n">
        <v>660</v>
      </c>
    </row>
    <row r="173">
      <c r="A173" t="inlineStr">
        <is>
          <t>BOR100171</t>
        </is>
      </c>
      <c r="B173" t="inlineStr">
        <is>
          <t>Retail &amp; Trade</t>
        </is>
      </c>
      <c r="C173" t="inlineStr">
        <is>
          <t>Eldoret</t>
        </is>
      </c>
      <c r="D173" s="7" t="n">
        <v>45114</v>
      </c>
      <c r="E173" t="n">
        <v>97</v>
      </c>
      <c r="F173" t="n">
        <v>123400</v>
      </c>
      <c r="G173" t="n">
        <v>24</v>
      </c>
      <c r="H173" t="inlineStr">
        <is>
          <t>Male</t>
        </is>
      </c>
      <c r="I173" t="n">
        <v>601</v>
      </c>
    </row>
    <row r="174">
      <c r="A174" t="inlineStr">
        <is>
          <t>BOR100172</t>
        </is>
      </c>
      <c r="B174" t="inlineStr">
        <is>
          <t>Transport &amp; Logistics</t>
        </is>
      </c>
      <c r="C174" t="inlineStr">
        <is>
          <t>Nakuru</t>
        </is>
      </c>
      <c r="D174" s="7" t="n">
        <v>42343</v>
      </c>
      <c r="E174" t="n">
        <v>19</v>
      </c>
      <c r="F174" t="n">
        <v>76100</v>
      </c>
      <c r="G174" t="n">
        <v>5</v>
      </c>
      <c r="H174" t="inlineStr">
        <is>
          <t>Female</t>
        </is>
      </c>
      <c r="I174" t="n">
        <v>680</v>
      </c>
    </row>
    <row r="175">
      <c r="A175" t="inlineStr">
        <is>
          <t>BOR100173</t>
        </is>
      </c>
      <c r="B175" t="inlineStr">
        <is>
          <t>Transport &amp; Logistics</t>
        </is>
      </c>
      <c r="C175" t="inlineStr">
        <is>
          <t>Rural - Other</t>
        </is>
      </c>
      <c r="D175" s="7" t="n">
        <v>43746</v>
      </c>
      <c r="E175" t="n">
        <v>56</v>
      </c>
      <c r="F175" t="n">
        <v>33500</v>
      </c>
      <c r="G175" t="n">
        <v>11</v>
      </c>
      <c r="H175" t="inlineStr">
        <is>
          <t>Male</t>
        </is>
      </c>
      <c r="I175" t="n">
        <v>671</v>
      </c>
    </row>
    <row r="176">
      <c r="A176" t="inlineStr">
        <is>
          <t>BOR100174</t>
        </is>
      </c>
      <c r="B176" t="inlineStr">
        <is>
          <t>Transport &amp; Logistics</t>
        </is>
      </c>
      <c r="C176" t="inlineStr">
        <is>
          <t>Nakuru</t>
        </is>
      </c>
      <c r="D176" s="7" t="n">
        <v>45115</v>
      </c>
      <c r="E176" t="n">
        <v>115</v>
      </c>
      <c r="F176" t="n">
        <v>97800</v>
      </c>
      <c r="G176" t="n">
        <v>6</v>
      </c>
      <c r="H176" t="inlineStr">
        <is>
          <t>Male</t>
        </is>
      </c>
      <c r="I176" t="n">
        <v>472</v>
      </c>
    </row>
    <row r="177">
      <c r="A177" t="inlineStr">
        <is>
          <t>BOR100175</t>
        </is>
      </c>
      <c r="B177" t="inlineStr">
        <is>
          <t>Manufacturing</t>
        </is>
      </c>
      <c r="C177" t="inlineStr">
        <is>
          <t>Kisumu</t>
        </is>
      </c>
      <c r="D177" s="7" t="n">
        <v>44539</v>
      </c>
      <c r="E177" t="n">
        <v>90</v>
      </c>
      <c r="F177" t="n">
        <v>109700</v>
      </c>
      <c r="G177" t="n">
        <v>20</v>
      </c>
      <c r="H177" t="inlineStr">
        <is>
          <t>Male</t>
        </is>
      </c>
      <c r="I177" t="n">
        <v>471</v>
      </c>
    </row>
    <row r="178">
      <c r="A178" t="inlineStr">
        <is>
          <t>BOR100176</t>
        </is>
      </c>
      <c r="B178" t="inlineStr">
        <is>
          <t>Transport &amp; Logistics</t>
        </is>
      </c>
      <c r="C178" t="inlineStr">
        <is>
          <t>Rural - Other</t>
        </is>
      </c>
      <c r="D178" s="7" t="n">
        <v>43955</v>
      </c>
      <c r="E178" t="n">
        <v>22</v>
      </c>
      <c r="F178" t="n">
        <v>77800</v>
      </c>
      <c r="G178" t="n">
        <v>10</v>
      </c>
      <c r="H178" t="inlineStr">
        <is>
          <t>Female</t>
        </is>
      </c>
      <c r="I178" t="n">
        <v>532</v>
      </c>
    </row>
    <row r="179">
      <c r="A179" t="inlineStr">
        <is>
          <t>BOR100177</t>
        </is>
      </c>
      <c r="B179" t="inlineStr">
        <is>
          <t>Retail &amp; Trade</t>
        </is>
      </c>
      <c r="C179" t="inlineStr">
        <is>
          <t>Rural - Other</t>
        </is>
      </c>
      <c r="D179" s="7" t="n">
        <v>43863</v>
      </c>
      <c r="E179" t="n">
        <v>8</v>
      </c>
      <c r="F179" t="n">
        <v>85300</v>
      </c>
      <c r="G179" t="n">
        <v>18</v>
      </c>
      <c r="H179" t="inlineStr">
        <is>
          <t>Female</t>
        </is>
      </c>
      <c r="I179" t="n">
        <v>505</v>
      </c>
    </row>
    <row r="180">
      <c r="A180" t="inlineStr">
        <is>
          <t>BOR100178</t>
        </is>
      </c>
      <c r="B180" t="inlineStr">
        <is>
          <t>Construction</t>
        </is>
      </c>
      <c r="C180" t="inlineStr">
        <is>
          <t>Eldoret</t>
        </is>
      </c>
      <c r="D180" s="7" t="n">
        <v>43734</v>
      </c>
      <c r="E180" t="n">
        <v>85</v>
      </c>
      <c r="F180" t="n">
        <v>61000</v>
      </c>
      <c r="G180" t="n">
        <v>2</v>
      </c>
      <c r="H180" t="inlineStr">
        <is>
          <t>Female</t>
        </is>
      </c>
      <c r="I180" t="n">
        <v>668</v>
      </c>
    </row>
    <row r="181">
      <c r="A181" t="inlineStr">
        <is>
          <t>BOR100179</t>
        </is>
      </c>
      <c r="B181" t="inlineStr">
        <is>
          <t>Services</t>
        </is>
      </c>
      <c r="C181" t="inlineStr">
        <is>
          <t>Rural - Other</t>
        </is>
      </c>
      <c r="D181" s="7" t="n">
        <v>44472</v>
      </c>
      <c r="E181" t="n">
        <v>68</v>
      </c>
      <c r="F181" t="n">
        <v>205800</v>
      </c>
      <c r="G181" t="n">
        <v>11</v>
      </c>
      <c r="H181" t="inlineStr">
        <is>
          <t>Male</t>
        </is>
      </c>
      <c r="I181" t="n">
        <v>632</v>
      </c>
    </row>
    <row r="182">
      <c r="A182" t="inlineStr">
        <is>
          <t>BOR100180</t>
        </is>
      </c>
      <c r="B182" t="inlineStr">
        <is>
          <t>Construction</t>
        </is>
      </c>
      <c r="C182" t="inlineStr">
        <is>
          <t>Rural - Other</t>
        </is>
      </c>
      <c r="D182" s="7" t="n">
        <v>42766</v>
      </c>
      <c r="E182" t="n">
        <v>139</v>
      </c>
      <c r="F182" t="n">
        <v>38900</v>
      </c>
      <c r="G182" t="n">
        <v>22</v>
      </c>
      <c r="H182" t="inlineStr">
        <is>
          <t>Male</t>
        </is>
      </c>
      <c r="I182" t="n">
        <v>699</v>
      </c>
    </row>
    <row r="183">
      <c r="A183" t="inlineStr">
        <is>
          <t>BOR100181</t>
        </is>
      </c>
      <c r="B183" t="inlineStr">
        <is>
          <t>Retail &amp; Trade</t>
        </is>
      </c>
      <c r="C183" t="inlineStr">
        <is>
          <t>Rural - Other</t>
        </is>
      </c>
      <c r="D183" s="7" t="n">
        <v>44210</v>
      </c>
      <c r="E183" t="n">
        <v>77</v>
      </c>
      <c r="F183" t="n">
        <v>48500</v>
      </c>
      <c r="G183" t="n">
        <v>23</v>
      </c>
      <c r="H183" t="inlineStr">
        <is>
          <t>Male</t>
        </is>
      </c>
      <c r="I183" t="n">
        <v>636</v>
      </c>
    </row>
    <row r="184">
      <c r="A184" t="inlineStr">
        <is>
          <t>BOR100182</t>
        </is>
      </c>
      <c r="B184" t="inlineStr">
        <is>
          <t>Manufacturing</t>
        </is>
      </c>
      <c r="C184" t="inlineStr">
        <is>
          <t>Nairobi</t>
        </is>
      </c>
      <c r="D184" s="7" t="n">
        <v>42882</v>
      </c>
      <c r="E184" t="n">
        <v>135</v>
      </c>
      <c r="F184" t="n">
        <v>73700</v>
      </c>
      <c r="G184" t="n">
        <v>6</v>
      </c>
      <c r="H184" t="inlineStr">
        <is>
          <t>Male</t>
        </is>
      </c>
      <c r="I184" t="n">
        <v>619</v>
      </c>
    </row>
    <row r="185">
      <c r="A185" t="inlineStr">
        <is>
          <t>BOR100183</t>
        </is>
      </c>
      <c r="B185" t="inlineStr">
        <is>
          <t>Transport &amp; Logistics</t>
        </is>
      </c>
      <c r="C185" t="inlineStr">
        <is>
          <t>Eldoret</t>
        </is>
      </c>
      <c r="D185" s="7" t="n">
        <v>44906</v>
      </c>
      <c r="E185" t="n">
        <v>33</v>
      </c>
      <c r="F185" t="n">
        <v>135300</v>
      </c>
      <c r="G185" t="n">
        <v>10</v>
      </c>
      <c r="H185" t="inlineStr">
        <is>
          <t>Male</t>
        </is>
      </c>
      <c r="I185" t="n">
        <v>708</v>
      </c>
    </row>
    <row r="186">
      <c r="A186" t="inlineStr">
        <is>
          <t>BOR100184</t>
        </is>
      </c>
      <c r="B186" t="inlineStr">
        <is>
          <t>Manufacturing</t>
        </is>
      </c>
      <c r="C186" t="inlineStr">
        <is>
          <t>Kisumu</t>
        </is>
      </c>
      <c r="D186" s="7" t="n">
        <v>45689</v>
      </c>
      <c r="E186" t="n">
        <v>66</v>
      </c>
      <c r="F186" t="n">
        <v>25600</v>
      </c>
      <c r="G186" t="n">
        <v>10</v>
      </c>
      <c r="H186" t="inlineStr">
        <is>
          <t>Male</t>
        </is>
      </c>
      <c r="I186" t="n">
        <v>642</v>
      </c>
    </row>
    <row r="187">
      <c r="A187" t="inlineStr">
        <is>
          <t>BOR100185</t>
        </is>
      </c>
      <c r="B187" t="inlineStr">
        <is>
          <t>Manufacturing</t>
        </is>
      </c>
      <c r="C187" t="inlineStr">
        <is>
          <t>Nakuru</t>
        </is>
      </c>
      <c r="D187" s="7" t="n">
        <v>44168</v>
      </c>
      <c r="E187" t="n">
        <v>22</v>
      </c>
      <c r="F187" t="n">
        <v>29200</v>
      </c>
      <c r="G187" t="n">
        <v>14</v>
      </c>
      <c r="H187" t="inlineStr">
        <is>
          <t>Female</t>
        </is>
      </c>
      <c r="I187" t="n">
        <v>606</v>
      </c>
    </row>
    <row r="188">
      <c r="A188" t="inlineStr">
        <is>
          <t>BOR100186</t>
        </is>
      </c>
      <c r="B188" t="inlineStr">
        <is>
          <t>Retail &amp; Trade</t>
        </is>
      </c>
      <c r="C188" t="inlineStr">
        <is>
          <t>Nakuru</t>
        </is>
      </c>
      <c r="D188" s="7" t="n">
        <v>43656</v>
      </c>
      <c r="E188" t="n">
        <v>84</v>
      </c>
      <c r="F188" t="n">
        <v>17600</v>
      </c>
      <c r="G188" t="n">
        <v>13</v>
      </c>
      <c r="H188" t="inlineStr">
        <is>
          <t>Male</t>
        </is>
      </c>
      <c r="I188" t="n">
        <v>733</v>
      </c>
    </row>
    <row r="189">
      <c r="A189" t="inlineStr">
        <is>
          <t>BOR100187</t>
        </is>
      </c>
      <c r="B189" t="inlineStr">
        <is>
          <t>Manufacturing</t>
        </is>
      </c>
      <c r="C189" t="inlineStr">
        <is>
          <t>Rural - Other</t>
        </is>
      </c>
      <c r="D189" s="7" t="n">
        <v>46012</v>
      </c>
      <c r="E189" t="n">
        <v>29</v>
      </c>
      <c r="F189" t="n">
        <v>74800</v>
      </c>
      <c r="G189" t="n">
        <v>3</v>
      </c>
      <c r="H189" t="inlineStr">
        <is>
          <t>Female</t>
        </is>
      </c>
      <c r="I189" t="n">
        <v>610</v>
      </c>
    </row>
    <row r="190">
      <c r="A190" t="inlineStr">
        <is>
          <t>BOR100188</t>
        </is>
      </c>
      <c r="B190" t="inlineStr">
        <is>
          <t>Agriculture</t>
        </is>
      </c>
      <c r="C190" t="inlineStr">
        <is>
          <t>Rural - Other</t>
        </is>
      </c>
      <c r="D190" s="7" t="n">
        <v>44815</v>
      </c>
      <c r="E190" t="n">
        <v>72</v>
      </c>
      <c r="F190" t="n">
        <v>33400</v>
      </c>
      <c r="G190" t="n">
        <v>19</v>
      </c>
      <c r="H190" t="inlineStr">
        <is>
          <t>Female</t>
        </is>
      </c>
      <c r="I190" t="n">
        <v>573</v>
      </c>
    </row>
    <row r="191">
      <c r="A191" t="inlineStr">
        <is>
          <t>BOR100189</t>
        </is>
      </c>
      <c r="B191" t="inlineStr">
        <is>
          <t>Agriculture</t>
        </is>
      </c>
      <c r="C191" t="inlineStr">
        <is>
          <t>Mombasa</t>
        </is>
      </c>
      <c r="D191" s="7" t="n">
        <v>43828</v>
      </c>
      <c r="E191" t="n">
        <v>51</v>
      </c>
      <c r="F191" t="n">
        <v>55900</v>
      </c>
      <c r="G191" t="n">
        <v>6</v>
      </c>
      <c r="H191" t="inlineStr">
        <is>
          <t>Female</t>
        </is>
      </c>
      <c r="I191" t="n">
        <v>525</v>
      </c>
    </row>
    <row r="192">
      <c r="A192" t="inlineStr">
        <is>
          <t>BOR100190</t>
        </is>
      </c>
      <c r="B192" t="inlineStr">
        <is>
          <t>Transport &amp; Logistics</t>
        </is>
      </c>
      <c r="C192" t="inlineStr">
        <is>
          <t>Eldoret</t>
        </is>
      </c>
      <c r="D192" s="7" t="n">
        <v>42127</v>
      </c>
      <c r="E192" t="n">
        <v>29</v>
      </c>
      <c r="F192" t="n">
        <v>116200</v>
      </c>
      <c r="G192" t="n">
        <v>8</v>
      </c>
      <c r="H192" t="inlineStr">
        <is>
          <t>Male</t>
        </is>
      </c>
      <c r="I192" t="n">
        <v>663</v>
      </c>
    </row>
    <row r="193">
      <c r="A193" t="inlineStr">
        <is>
          <t>BOR100191</t>
        </is>
      </c>
      <c r="B193" t="inlineStr">
        <is>
          <t>Services</t>
        </is>
      </c>
      <c r="C193" t="inlineStr">
        <is>
          <t>Eldoret</t>
        </is>
      </c>
      <c r="D193" s="7" t="n">
        <v>42072</v>
      </c>
      <c r="E193" t="n">
        <v>16</v>
      </c>
      <c r="F193" t="n">
        <v>46700</v>
      </c>
      <c r="G193" t="n">
        <v>21</v>
      </c>
      <c r="H193" t="inlineStr">
        <is>
          <t>Female</t>
        </is>
      </c>
      <c r="I193" t="n">
        <v>711</v>
      </c>
    </row>
    <row r="194">
      <c r="A194" t="inlineStr">
        <is>
          <t>BOR100192</t>
        </is>
      </c>
      <c r="B194" t="inlineStr">
        <is>
          <t>Services</t>
        </is>
      </c>
      <c r="C194" t="inlineStr">
        <is>
          <t>Mombasa</t>
        </is>
      </c>
      <c r="D194" s="7" t="n">
        <v>42948</v>
      </c>
      <c r="E194" t="n">
        <v>75</v>
      </c>
      <c r="F194" t="n">
        <v>86000</v>
      </c>
      <c r="G194" t="n">
        <v>17</v>
      </c>
      <c r="H194" t="inlineStr">
        <is>
          <t>Female</t>
        </is>
      </c>
      <c r="I194" t="n">
        <v>595</v>
      </c>
    </row>
    <row r="195">
      <c r="A195" t="inlineStr">
        <is>
          <t>BOR100193</t>
        </is>
      </c>
      <c r="B195" t="inlineStr">
        <is>
          <t>Manufacturing</t>
        </is>
      </c>
      <c r="C195" t="inlineStr">
        <is>
          <t>Nairobi</t>
        </is>
      </c>
      <c r="D195" s="7" t="n">
        <v>43012</v>
      </c>
      <c r="E195" t="n">
        <v>137</v>
      </c>
      <c r="F195" t="n">
        <v>59300</v>
      </c>
      <c r="G195" t="n">
        <v>10</v>
      </c>
      <c r="H195" t="inlineStr">
        <is>
          <t>Female</t>
        </is>
      </c>
      <c r="I195" t="n">
        <v>718</v>
      </c>
    </row>
    <row r="196">
      <c r="A196" t="inlineStr">
        <is>
          <t>BOR100194</t>
        </is>
      </c>
      <c r="B196" t="inlineStr">
        <is>
          <t>Construction</t>
        </is>
      </c>
      <c r="C196" t="inlineStr">
        <is>
          <t>Nairobi</t>
        </is>
      </c>
      <c r="D196" s="7" t="n">
        <v>45078</v>
      </c>
      <c r="E196" t="n">
        <v>31</v>
      </c>
      <c r="F196" t="n">
        <v>117100</v>
      </c>
      <c r="G196" t="n">
        <v>22</v>
      </c>
      <c r="H196" t="inlineStr">
        <is>
          <t>Female</t>
        </is>
      </c>
      <c r="I196" t="n">
        <v>423</v>
      </c>
    </row>
    <row r="197">
      <c r="A197" t="inlineStr">
        <is>
          <t>BOR100195</t>
        </is>
      </c>
      <c r="B197" t="inlineStr">
        <is>
          <t>Retail &amp; Trade</t>
        </is>
      </c>
      <c r="C197" t="inlineStr">
        <is>
          <t>Rural - Other</t>
        </is>
      </c>
      <c r="D197" s="7" t="n">
        <v>44138</v>
      </c>
      <c r="E197" t="n">
        <v>60</v>
      </c>
      <c r="F197" t="n">
        <v>102000</v>
      </c>
      <c r="G197" t="n">
        <v>10</v>
      </c>
      <c r="H197" t="inlineStr">
        <is>
          <t>Female</t>
        </is>
      </c>
      <c r="I197" t="n">
        <v>595</v>
      </c>
    </row>
    <row r="198">
      <c r="A198" t="inlineStr">
        <is>
          <t>BOR100196</t>
        </is>
      </c>
      <c r="B198" t="inlineStr">
        <is>
          <t>Manufacturing</t>
        </is>
      </c>
      <c r="C198" t="inlineStr">
        <is>
          <t>Kisumu</t>
        </is>
      </c>
      <c r="D198" s="7" t="n">
        <v>46265</v>
      </c>
      <c r="E198" t="n">
        <v>34</v>
      </c>
      <c r="F198" t="n">
        <v>45100</v>
      </c>
      <c r="G198" t="n">
        <v>14</v>
      </c>
      <c r="H198" t="inlineStr">
        <is>
          <t>Male</t>
        </is>
      </c>
      <c r="I198" t="n">
        <v>596</v>
      </c>
    </row>
    <row r="199">
      <c r="A199" t="inlineStr">
        <is>
          <t>BOR100197</t>
        </is>
      </c>
      <c r="B199" t="inlineStr">
        <is>
          <t>Retail &amp; Trade</t>
        </is>
      </c>
      <c r="C199" t="inlineStr">
        <is>
          <t>Rural - Other</t>
        </is>
      </c>
      <c r="D199" s="7" t="n">
        <v>44308</v>
      </c>
      <c r="E199" t="n">
        <v>117</v>
      </c>
      <c r="F199" t="n">
        <v>65000</v>
      </c>
      <c r="G199" t="n">
        <v>6</v>
      </c>
      <c r="H199" t="inlineStr">
        <is>
          <t>Male</t>
        </is>
      </c>
      <c r="I199" t="n">
        <v>535</v>
      </c>
    </row>
    <row r="200">
      <c r="A200" t="inlineStr">
        <is>
          <t>BOR100198</t>
        </is>
      </c>
      <c r="B200" t="inlineStr">
        <is>
          <t>Manufacturing</t>
        </is>
      </c>
      <c r="C200" t="inlineStr">
        <is>
          <t>Kisumu</t>
        </is>
      </c>
      <c r="D200" s="7" t="n">
        <v>45853</v>
      </c>
      <c r="E200" t="n">
        <v>61</v>
      </c>
      <c r="F200" t="n">
        <v>151800</v>
      </c>
      <c r="G200" t="n">
        <v>5</v>
      </c>
      <c r="H200" t="inlineStr">
        <is>
          <t>Female</t>
        </is>
      </c>
      <c r="I200" t="n">
        <v>815</v>
      </c>
    </row>
    <row r="201">
      <c r="A201" t="inlineStr">
        <is>
          <t>BOR100199</t>
        </is>
      </c>
      <c r="B201" t="inlineStr">
        <is>
          <t>Construction</t>
        </is>
      </c>
      <c r="C201" t="inlineStr">
        <is>
          <t>Rural - Other</t>
        </is>
      </c>
      <c r="D201" s="7" t="n">
        <v>44358</v>
      </c>
      <c r="E201" t="n">
        <v>141</v>
      </c>
      <c r="F201" t="n">
        <v>96300</v>
      </c>
      <c r="G201" t="n">
        <v>12</v>
      </c>
      <c r="H201" t="inlineStr">
        <is>
          <t>Female</t>
        </is>
      </c>
      <c r="I201" t="n">
        <v>594</v>
      </c>
    </row>
    <row r="202">
      <c r="A202" t="inlineStr">
        <is>
          <t>BOR100200</t>
        </is>
      </c>
      <c r="B202" t="inlineStr">
        <is>
          <t>Manufacturing</t>
        </is>
      </c>
      <c r="C202" t="inlineStr">
        <is>
          <t>Mombasa</t>
        </is>
      </c>
      <c r="D202" s="7" t="n">
        <v>43531</v>
      </c>
      <c r="E202" t="n">
        <v>37</v>
      </c>
      <c r="F202" t="n">
        <v>27500</v>
      </c>
      <c r="G202" t="n">
        <v>14</v>
      </c>
      <c r="H202" t="inlineStr">
        <is>
          <t>Female</t>
        </is>
      </c>
      <c r="I202" t="n">
        <v>563</v>
      </c>
    </row>
    <row r="203">
      <c r="A203" t="inlineStr">
        <is>
          <t>BOR100201</t>
        </is>
      </c>
      <c r="B203" t="inlineStr">
        <is>
          <t>Construction</t>
        </is>
      </c>
      <c r="C203" t="inlineStr">
        <is>
          <t>Rural - Other</t>
        </is>
      </c>
      <c r="D203" s="7" t="n">
        <v>45049</v>
      </c>
      <c r="E203" t="n">
        <v>14</v>
      </c>
      <c r="F203" t="n">
        <v>115700</v>
      </c>
      <c r="G203" t="n">
        <v>20</v>
      </c>
      <c r="H203" t="inlineStr">
        <is>
          <t>Female</t>
        </is>
      </c>
      <c r="I203" t="n">
        <v>602</v>
      </c>
    </row>
    <row r="204">
      <c r="A204" t="inlineStr">
        <is>
          <t>BOR100202</t>
        </is>
      </c>
      <c r="B204" t="inlineStr">
        <is>
          <t>Manufacturing</t>
        </is>
      </c>
      <c r="C204" t="inlineStr">
        <is>
          <t>Nairobi</t>
        </is>
      </c>
      <c r="D204" s="7" t="n">
        <v>43920</v>
      </c>
      <c r="E204" t="n">
        <v>85</v>
      </c>
      <c r="F204" t="n">
        <v>34200</v>
      </c>
      <c r="G204" t="n">
        <v>10</v>
      </c>
      <c r="H204" t="inlineStr">
        <is>
          <t>Male</t>
        </is>
      </c>
      <c r="I204" t="n">
        <v>420</v>
      </c>
    </row>
    <row r="205">
      <c r="A205" t="inlineStr">
        <is>
          <t>BOR100203</t>
        </is>
      </c>
      <c r="B205" t="inlineStr">
        <is>
          <t>Transport &amp; Logistics</t>
        </is>
      </c>
      <c r="C205" t="inlineStr">
        <is>
          <t>Nakuru</t>
        </is>
      </c>
      <c r="D205" s="7" t="n">
        <v>43175</v>
      </c>
      <c r="E205" t="n">
        <v>95</v>
      </c>
      <c r="F205" t="n">
        <v>196600</v>
      </c>
      <c r="G205" t="n">
        <v>22</v>
      </c>
      <c r="H205" t="inlineStr">
        <is>
          <t>Male</t>
        </is>
      </c>
      <c r="I205" t="n">
        <v>532</v>
      </c>
    </row>
    <row r="206">
      <c r="A206" t="inlineStr">
        <is>
          <t>BOR100204</t>
        </is>
      </c>
      <c r="B206" t="inlineStr">
        <is>
          <t>Manufacturing</t>
        </is>
      </c>
      <c r="C206" t="inlineStr">
        <is>
          <t>Rural - Other</t>
        </is>
      </c>
      <c r="D206" s="7" t="n">
        <v>44021</v>
      </c>
      <c r="E206" t="n">
        <v>143</v>
      </c>
      <c r="F206" t="n">
        <v>149800</v>
      </c>
      <c r="G206" t="n">
        <v>15</v>
      </c>
      <c r="H206" t="inlineStr">
        <is>
          <t>Male</t>
        </is>
      </c>
      <c r="I206" t="n">
        <v>688</v>
      </c>
    </row>
    <row r="207">
      <c r="A207" t="inlineStr">
        <is>
          <t>BOR100205</t>
        </is>
      </c>
      <c r="B207" t="inlineStr">
        <is>
          <t>Agriculture</t>
        </is>
      </c>
      <c r="C207" t="inlineStr">
        <is>
          <t>Rural - Other</t>
        </is>
      </c>
      <c r="D207" s="7" t="n">
        <v>44838</v>
      </c>
      <c r="E207" t="n">
        <v>126</v>
      </c>
      <c r="F207" t="n">
        <v>89600</v>
      </c>
      <c r="G207" t="n">
        <v>2</v>
      </c>
      <c r="H207" t="inlineStr">
        <is>
          <t>Female</t>
        </is>
      </c>
      <c r="I207" t="n">
        <v>543</v>
      </c>
    </row>
    <row r="208">
      <c r="A208" t="inlineStr">
        <is>
          <t>BOR100206</t>
        </is>
      </c>
      <c r="B208" t="inlineStr">
        <is>
          <t>Transport &amp; Logistics</t>
        </is>
      </c>
      <c r="C208" t="inlineStr">
        <is>
          <t>Rural - Other</t>
        </is>
      </c>
      <c r="D208" s="7" t="n">
        <v>43605</v>
      </c>
      <c r="E208" t="n">
        <v>128</v>
      </c>
      <c r="F208" t="n">
        <v>81600</v>
      </c>
      <c r="G208" t="n">
        <v>18</v>
      </c>
      <c r="H208" t="inlineStr">
        <is>
          <t>Male</t>
        </is>
      </c>
      <c r="I208" t="n">
        <v>525</v>
      </c>
    </row>
    <row r="209">
      <c r="A209" t="inlineStr">
        <is>
          <t>BOR100207</t>
        </is>
      </c>
      <c r="B209" t="inlineStr">
        <is>
          <t>Construction</t>
        </is>
      </c>
      <c r="C209" t="inlineStr">
        <is>
          <t>Nairobi</t>
        </is>
      </c>
      <c r="D209" s="7" t="n">
        <v>45004</v>
      </c>
      <c r="E209" t="n">
        <v>93</v>
      </c>
      <c r="F209" t="n">
        <v>63200</v>
      </c>
      <c r="G209" t="n">
        <v>14</v>
      </c>
      <c r="H209" t="inlineStr">
        <is>
          <t>Female</t>
        </is>
      </c>
      <c r="I209" t="n">
        <v>718</v>
      </c>
    </row>
    <row r="210">
      <c r="A210" t="inlineStr">
        <is>
          <t>BOR100208</t>
        </is>
      </c>
      <c r="B210" t="inlineStr">
        <is>
          <t>Agriculture</t>
        </is>
      </c>
      <c r="C210" t="inlineStr">
        <is>
          <t>Mombasa</t>
        </is>
      </c>
      <c r="D210" s="7" t="n">
        <v>46183</v>
      </c>
      <c r="E210" t="n">
        <v>54</v>
      </c>
      <c r="F210" t="n">
        <v>117600</v>
      </c>
      <c r="G210" t="n">
        <v>10</v>
      </c>
      <c r="H210" t="inlineStr">
        <is>
          <t>Female</t>
        </is>
      </c>
      <c r="I210" t="n">
        <v>721</v>
      </c>
    </row>
    <row r="211">
      <c r="A211" t="inlineStr">
        <is>
          <t>BOR100209</t>
        </is>
      </c>
      <c r="B211" t="inlineStr">
        <is>
          <t>Transport &amp; Logistics</t>
        </is>
      </c>
      <c r="C211" t="inlineStr">
        <is>
          <t>Nairobi</t>
        </is>
      </c>
      <c r="D211" s="7" t="n">
        <v>43757</v>
      </c>
      <c r="E211" t="n">
        <v>63</v>
      </c>
      <c r="F211" t="n">
        <v>56400</v>
      </c>
      <c r="G211" t="n">
        <v>12</v>
      </c>
      <c r="H211" t="inlineStr">
        <is>
          <t>Male</t>
        </is>
      </c>
      <c r="I211" t="n">
        <v>647</v>
      </c>
    </row>
    <row r="212">
      <c r="A212" t="inlineStr">
        <is>
          <t>BOR100210</t>
        </is>
      </c>
      <c r="B212" t="inlineStr">
        <is>
          <t>Agriculture</t>
        </is>
      </c>
      <c r="C212" t="inlineStr">
        <is>
          <t>Nairobi</t>
        </is>
      </c>
      <c r="D212" s="7" t="n">
        <v>43262</v>
      </c>
      <c r="E212" t="n">
        <v>21</v>
      </c>
      <c r="F212" t="n">
        <v>86200</v>
      </c>
      <c r="G212" t="n">
        <v>8</v>
      </c>
      <c r="H212" t="inlineStr">
        <is>
          <t>Male</t>
        </is>
      </c>
      <c r="I212" t="n">
        <v>559</v>
      </c>
    </row>
    <row r="213">
      <c r="A213" t="inlineStr">
        <is>
          <t>BOR100211</t>
        </is>
      </c>
      <c r="B213" t="inlineStr">
        <is>
          <t>Transport &amp; Logistics</t>
        </is>
      </c>
      <c r="C213" t="inlineStr">
        <is>
          <t>Eldoret</t>
        </is>
      </c>
      <c r="D213" s="7" t="n">
        <v>43718</v>
      </c>
      <c r="E213" t="n">
        <v>64</v>
      </c>
      <c r="F213" t="n">
        <v>134600</v>
      </c>
      <c r="G213" t="n">
        <v>15</v>
      </c>
      <c r="H213" t="inlineStr">
        <is>
          <t>Male</t>
        </is>
      </c>
      <c r="I213" t="n">
        <v>578</v>
      </c>
    </row>
    <row r="214">
      <c r="A214" t="inlineStr">
        <is>
          <t>BOR100212</t>
        </is>
      </c>
      <c r="B214" t="inlineStr">
        <is>
          <t>Transport &amp; Logistics</t>
        </is>
      </c>
      <c r="C214" t="inlineStr">
        <is>
          <t>Eldoret</t>
        </is>
      </c>
      <c r="D214" s="7" t="n">
        <v>45576</v>
      </c>
      <c r="E214" t="n">
        <v>54</v>
      </c>
      <c r="F214" t="n">
        <v>49400</v>
      </c>
      <c r="G214" t="n">
        <v>14</v>
      </c>
      <c r="H214" t="inlineStr">
        <is>
          <t>Male</t>
        </is>
      </c>
      <c r="I214" t="n">
        <v>528</v>
      </c>
    </row>
    <row r="215">
      <c r="A215" t="inlineStr">
        <is>
          <t>BOR100213</t>
        </is>
      </c>
      <c r="B215" t="inlineStr">
        <is>
          <t>Manufacturing</t>
        </is>
      </c>
      <c r="C215" t="inlineStr">
        <is>
          <t>Rural - Other</t>
        </is>
      </c>
      <c r="D215" s="7" t="n">
        <v>42767</v>
      </c>
      <c r="E215" t="n">
        <v>8</v>
      </c>
      <c r="F215" t="n">
        <v>47500</v>
      </c>
      <c r="G215" t="n">
        <v>11</v>
      </c>
      <c r="H215" t="inlineStr">
        <is>
          <t>Male</t>
        </is>
      </c>
      <c r="I215" t="n">
        <v>510</v>
      </c>
    </row>
    <row r="216">
      <c r="A216" t="inlineStr">
        <is>
          <t>BOR100214</t>
        </is>
      </c>
      <c r="B216" t="inlineStr">
        <is>
          <t>Transport &amp; Logistics</t>
        </is>
      </c>
      <c r="C216" t="inlineStr">
        <is>
          <t>Rural - Other</t>
        </is>
      </c>
      <c r="D216" s="7" t="n">
        <v>46153</v>
      </c>
      <c r="E216" t="n">
        <v>32</v>
      </c>
      <c r="F216" t="n">
        <v>31700</v>
      </c>
      <c r="G216" t="n">
        <v>7</v>
      </c>
      <c r="H216" t="inlineStr">
        <is>
          <t>Male</t>
        </is>
      </c>
      <c r="I216" t="n">
        <v>506</v>
      </c>
    </row>
    <row r="217">
      <c r="A217" t="inlineStr">
        <is>
          <t>BOR100215</t>
        </is>
      </c>
      <c r="B217" t="inlineStr">
        <is>
          <t>Agriculture</t>
        </is>
      </c>
      <c r="C217" t="inlineStr">
        <is>
          <t>Eldoret</t>
        </is>
      </c>
      <c r="D217" s="7" t="n">
        <v>43769</v>
      </c>
      <c r="E217" t="n">
        <v>78</v>
      </c>
      <c r="F217" t="n">
        <v>34700</v>
      </c>
      <c r="G217" t="n">
        <v>10</v>
      </c>
      <c r="H217" t="inlineStr">
        <is>
          <t>Female</t>
        </is>
      </c>
      <c r="I217" t="n">
        <v>544</v>
      </c>
    </row>
    <row r="218">
      <c r="A218" t="inlineStr">
        <is>
          <t>BOR100216</t>
        </is>
      </c>
      <c r="B218" t="inlineStr">
        <is>
          <t>Retail &amp; Trade</t>
        </is>
      </c>
      <c r="C218" t="inlineStr">
        <is>
          <t>Rural - Other</t>
        </is>
      </c>
      <c r="D218" s="7" t="n">
        <v>45591</v>
      </c>
      <c r="E218" t="n">
        <v>55</v>
      </c>
      <c r="F218" t="n">
        <v>20300</v>
      </c>
      <c r="G218" t="n">
        <v>12</v>
      </c>
      <c r="H218" t="inlineStr">
        <is>
          <t>Female</t>
        </is>
      </c>
      <c r="I218" t="n">
        <v>507</v>
      </c>
    </row>
    <row r="219">
      <c r="A219" t="inlineStr">
        <is>
          <t>BOR100217</t>
        </is>
      </c>
      <c r="B219" t="inlineStr">
        <is>
          <t>Retail &amp; Trade</t>
        </is>
      </c>
      <c r="C219" t="inlineStr">
        <is>
          <t>Nairobi</t>
        </is>
      </c>
      <c r="D219" s="7" t="n">
        <v>45357</v>
      </c>
      <c r="E219" t="n">
        <v>144</v>
      </c>
      <c r="F219" t="n">
        <v>121900</v>
      </c>
      <c r="G219" t="n">
        <v>12</v>
      </c>
      <c r="H219" t="inlineStr">
        <is>
          <t>Female</t>
        </is>
      </c>
      <c r="I219" t="n">
        <v>459</v>
      </c>
    </row>
    <row r="220">
      <c r="A220" t="inlineStr">
        <is>
          <t>BOR100218</t>
        </is>
      </c>
      <c r="B220" t="inlineStr">
        <is>
          <t>Manufacturing</t>
        </is>
      </c>
      <c r="C220" t="inlineStr">
        <is>
          <t>Nairobi</t>
        </is>
      </c>
      <c r="D220" s="7" t="n">
        <v>45343</v>
      </c>
      <c r="E220" t="n">
        <v>70</v>
      </c>
      <c r="F220" t="n">
        <v>259400</v>
      </c>
      <c r="G220" t="n">
        <v>8</v>
      </c>
      <c r="H220" t="inlineStr">
        <is>
          <t>Female</t>
        </is>
      </c>
      <c r="I220" t="n">
        <v>620</v>
      </c>
    </row>
    <row r="221">
      <c r="A221" t="inlineStr">
        <is>
          <t>BOR100219</t>
        </is>
      </c>
      <c r="B221" t="inlineStr">
        <is>
          <t>Construction</t>
        </is>
      </c>
      <c r="C221" t="inlineStr">
        <is>
          <t>Nakuru</t>
        </is>
      </c>
      <c r="D221" s="7" t="n">
        <v>45878</v>
      </c>
      <c r="E221" t="n">
        <v>139</v>
      </c>
      <c r="F221" t="n">
        <v>198300</v>
      </c>
      <c r="G221" t="n">
        <v>14</v>
      </c>
      <c r="H221" t="inlineStr">
        <is>
          <t>Female</t>
        </is>
      </c>
      <c r="I221" t="n">
        <v>621</v>
      </c>
    </row>
    <row r="222">
      <c r="A222" t="inlineStr">
        <is>
          <t>BOR100220</t>
        </is>
      </c>
      <c r="B222" t="inlineStr">
        <is>
          <t>Retail &amp; Trade</t>
        </is>
      </c>
      <c r="C222" t="inlineStr">
        <is>
          <t>Rural - Other</t>
        </is>
      </c>
      <c r="D222" s="7" t="n">
        <v>42792</v>
      </c>
      <c r="E222" t="n">
        <v>96</v>
      </c>
      <c r="F222" t="n">
        <v>23400</v>
      </c>
      <c r="G222" t="n">
        <v>6</v>
      </c>
      <c r="H222" t="inlineStr">
        <is>
          <t>Female</t>
        </is>
      </c>
      <c r="I222" t="n">
        <v>753</v>
      </c>
    </row>
    <row r="223">
      <c r="A223" t="inlineStr">
        <is>
          <t>BOR100221</t>
        </is>
      </c>
      <c r="B223" t="inlineStr">
        <is>
          <t>Manufacturing</t>
        </is>
      </c>
      <c r="C223" t="inlineStr">
        <is>
          <t>Nairobi</t>
        </is>
      </c>
      <c r="D223" s="7" t="n">
        <v>44534</v>
      </c>
      <c r="E223" t="n">
        <v>8</v>
      </c>
      <c r="F223" t="n">
        <v>121500</v>
      </c>
      <c r="G223" t="n">
        <v>13</v>
      </c>
      <c r="H223" t="inlineStr">
        <is>
          <t>Male</t>
        </is>
      </c>
      <c r="I223" t="n">
        <v>540</v>
      </c>
    </row>
    <row r="224">
      <c r="A224" t="inlineStr">
        <is>
          <t>BOR100222</t>
        </is>
      </c>
      <c r="B224" t="inlineStr">
        <is>
          <t>Transport &amp; Logistics</t>
        </is>
      </c>
      <c r="C224" t="inlineStr">
        <is>
          <t>Kisumu</t>
        </is>
      </c>
      <c r="D224" s="7" t="n">
        <v>42426</v>
      </c>
      <c r="E224" t="n">
        <v>31</v>
      </c>
      <c r="F224" t="n">
        <v>197900</v>
      </c>
      <c r="G224" t="n">
        <v>3</v>
      </c>
      <c r="H224" t="inlineStr">
        <is>
          <t>Male</t>
        </is>
      </c>
      <c r="I224" t="n">
        <v>627</v>
      </c>
    </row>
    <row r="225">
      <c r="A225" t="inlineStr">
        <is>
          <t>BOR100223</t>
        </is>
      </c>
      <c r="B225" t="inlineStr">
        <is>
          <t>Agriculture</t>
        </is>
      </c>
      <c r="C225" t="inlineStr">
        <is>
          <t>Eldoret</t>
        </is>
      </c>
      <c r="D225" s="7" t="n">
        <v>43280</v>
      </c>
      <c r="E225" t="n">
        <v>103</v>
      </c>
      <c r="F225" t="n">
        <v>53100</v>
      </c>
      <c r="G225" t="n">
        <v>12</v>
      </c>
      <c r="H225" t="inlineStr">
        <is>
          <t>Male</t>
        </is>
      </c>
      <c r="I225" t="n">
        <v>628</v>
      </c>
    </row>
    <row r="226">
      <c r="A226" t="inlineStr">
        <is>
          <t>BOR100224</t>
        </is>
      </c>
      <c r="B226" t="inlineStr">
        <is>
          <t>Transport &amp; Logistics</t>
        </is>
      </c>
      <c r="C226" t="inlineStr">
        <is>
          <t>Nairobi</t>
        </is>
      </c>
      <c r="D226" s="7" t="n">
        <v>42177</v>
      </c>
      <c r="E226" t="n">
        <v>80</v>
      </c>
      <c r="F226" t="n">
        <v>78500</v>
      </c>
      <c r="G226" t="n">
        <v>19</v>
      </c>
      <c r="H226" t="inlineStr">
        <is>
          <t>Female</t>
        </is>
      </c>
      <c r="I226" t="n">
        <v>577</v>
      </c>
    </row>
    <row r="227">
      <c r="A227" t="inlineStr">
        <is>
          <t>BOR100225</t>
        </is>
      </c>
      <c r="B227" t="inlineStr">
        <is>
          <t>Agriculture</t>
        </is>
      </c>
      <c r="C227" t="inlineStr">
        <is>
          <t>Mombasa</t>
        </is>
      </c>
      <c r="D227" s="7" t="n">
        <v>44912</v>
      </c>
      <c r="E227" t="n">
        <v>45</v>
      </c>
      <c r="F227" t="n">
        <v>17900</v>
      </c>
      <c r="G227" t="n">
        <v>20</v>
      </c>
      <c r="H227" t="inlineStr">
        <is>
          <t>Male</t>
        </is>
      </c>
      <c r="I227" t="n">
        <v>667</v>
      </c>
    </row>
    <row r="228">
      <c r="A228" t="inlineStr">
        <is>
          <t>BOR100226</t>
        </is>
      </c>
      <c r="B228" t="inlineStr">
        <is>
          <t>Transport &amp; Logistics</t>
        </is>
      </c>
      <c r="C228" t="inlineStr">
        <is>
          <t>Rural - Other</t>
        </is>
      </c>
      <c r="D228" s="7" t="n">
        <v>44594</v>
      </c>
      <c r="E228" t="n">
        <v>77</v>
      </c>
      <c r="F228" t="n">
        <v>88100</v>
      </c>
      <c r="G228" t="n">
        <v>17</v>
      </c>
      <c r="H228" t="inlineStr">
        <is>
          <t>Female</t>
        </is>
      </c>
      <c r="I228" t="n">
        <v>670</v>
      </c>
    </row>
    <row r="229">
      <c r="A229" t="inlineStr">
        <is>
          <t>BOR100227</t>
        </is>
      </c>
      <c r="B229" t="inlineStr">
        <is>
          <t>Services</t>
        </is>
      </c>
      <c r="C229" t="inlineStr">
        <is>
          <t>Eldoret</t>
        </is>
      </c>
      <c r="D229" s="7" t="n">
        <v>45158</v>
      </c>
      <c r="E229" t="n">
        <v>131</v>
      </c>
      <c r="F229" t="n">
        <v>34700</v>
      </c>
      <c r="G229" t="n">
        <v>18</v>
      </c>
      <c r="H229" t="inlineStr">
        <is>
          <t>Female</t>
        </is>
      </c>
      <c r="I229" t="n">
        <v>629</v>
      </c>
    </row>
    <row r="230">
      <c r="A230" t="inlineStr">
        <is>
          <t>BOR100228</t>
        </is>
      </c>
      <c r="B230" t="inlineStr">
        <is>
          <t>Services</t>
        </is>
      </c>
      <c r="C230" t="inlineStr">
        <is>
          <t>Nairobi</t>
        </is>
      </c>
      <c r="D230" s="7" t="n">
        <v>42755</v>
      </c>
      <c r="E230" t="n">
        <v>58</v>
      </c>
      <c r="F230" t="n">
        <v>84100</v>
      </c>
      <c r="G230" t="n">
        <v>2</v>
      </c>
      <c r="H230" t="inlineStr">
        <is>
          <t>Female</t>
        </is>
      </c>
      <c r="I230" t="n">
        <v>577</v>
      </c>
    </row>
    <row r="231">
      <c r="A231" t="inlineStr">
        <is>
          <t>BOR100229</t>
        </is>
      </c>
      <c r="B231" t="inlineStr">
        <is>
          <t>Agriculture</t>
        </is>
      </c>
      <c r="C231" t="inlineStr">
        <is>
          <t>Rural - Other</t>
        </is>
      </c>
      <c r="D231" s="7" t="n">
        <v>43420</v>
      </c>
      <c r="E231" t="n">
        <v>9</v>
      </c>
      <c r="F231" t="n">
        <v>24500</v>
      </c>
      <c r="G231" t="n">
        <v>9</v>
      </c>
      <c r="H231" t="inlineStr">
        <is>
          <t>Female</t>
        </is>
      </c>
      <c r="I231" t="n">
        <v>568</v>
      </c>
    </row>
    <row r="232">
      <c r="A232" t="inlineStr">
        <is>
          <t>BOR100230</t>
        </is>
      </c>
      <c r="B232" t="inlineStr">
        <is>
          <t>Manufacturing</t>
        </is>
      </c>
      <c r="C232" t="inlineStr">
        <is>
          <t>Mombasa</t>
        </is>
      </c>
      <c r="D232" s="7" t="n">
        <v>44886</v>
      </c>
      <c r="E232" t="n">
        <v>47</v>
      </c>
      <c r="F232" t="n">
        <v>106900</v>
      </c>
      <c r="G232" t="n">
        <v>16</v>
      </c>
      <c r="H232" t="inlineStr">
        <is>
          <t>Female</t>
        </is>
      </c>
      <c r="I232" t="n">
        <v>477</v>
      </c>
    </row>
    <row r="233">
      <c r="A233" t="inlineStr">
        <is>
          <t>BOR100231</t>
        </is>
      </c>
      <c r="B233" t="inlineStr">
        <is>
          <t>Construction</t>
        </is>
      </c>
      <c r="C233" t="inlineStr">
        <is>
          <t>Rural - Other</t>
        </is>
      </c>
      <c r="D233" s="7" t="n">
        <v>45526</v>
      </c>
      <c r="E233" t="n">
        <v>135</v>
      </c>
      <c r="F233" t="n">
        <v>149800</v>
      </c>
      <c r="G233" t="n">
        <v>20</v>
      </c>
      <c r="H233" t="inlineStr">
        <is>
          <t>Male</t>
        </is>
      </c>
      <c r="I233" t="n">
        <v>527</v>
      </c>
    </row>
    <row r="234">
      <c r="A234" t="inlineStr">
        <is>
          <t>BOR100232</t>
        </is>
      </c>
      <c r="B234" t="inlineStr">
        <is>
          <t>Retail &amp; Trade</t>
        </is>
      </c>
      <c r="C234" t="inlineStr">
        <is>
          <t>Mombasa</t>
        </is>
      </c>
      <c r="D234" s="7" t="n">
        <v>45778</v>
      </c>
      <c r="E234" t="n">
        <v>111</v>
      </c>
      <c r="F234" t="n">
        <v>42300</v>
      </c>
      <c r="G234" t="n">
        <v>14</v>
      </c>
      <c r="H234" t="inlineStr">
        <is>
          <t>Male</t>
        </is>
      </c>
      <c r="I234" t="n">
        <v>544</v>
      </c>
    </row>
    <row r="235">
      <c r="A235" t="inlineStr">
        <is>
          <t>BOR100233</t>
        </is>
      </c>
      <c r="B235" t="inlineStr">
        <is>
          <t>Transport &amp; Logistics</t>
        </is>
      </c>
      <c r="C235" t="inlineStr">
        <is>
          <t>Nakuru</t>
        </is>
      </c>
      <c r="D235" s="7" t="n">
        <v>42319</v>
      </c>
      <c r="E235" t="n">
        <v>121</v>
      </c>
      <c r="F235" t="n">
        <v>33000</v>
      </c>
      <c r="G235" t="n">
        <v>21</v>
      </c>
      <c r="H235" t="inlineStr">
        <is>
          <t>Male</t>
        </is>
      </c>
      <c r="I235" t="n">
        <v>499</v>
      </c>
    </row>
    <row r="236">
      <c r="A236" t="inlineStr">
        <is>
          <t>BOR100234</t>
        </is>
      </c>
      <c r="B236" t="inlineStr">
        <is>
          <t>Manufacturing</t>
        </is>
      </c>
      <c r="C236" t="inlineStr">
        <is>
          <t>Mombasa</t>
        </is>
      </c>
      <c r="D236" s="7" t="n">
        <v>43720</v>
      </c>
      <c r="E236" t="n">
        <v>132</v>
      </c>
      <c r="F236" t="n">
        <v>16200</v>
      </c>
      <c r="G236" t="n">
        <v>7</v>
      </c>
      <c r="H236" t="inlineStr">
        <is>
          <t>Female</t>
        </is>
      </c>
      <c r="I236" t="n">
        <v>640</v>
      </c>
    </row>
    <row r="237">
      <c r="A237" t="inlineStr">
        <is>
          <t>BOR100235</t>
        </is>
      </c>
      <c r="B237" t="inlineStr">
        <is>
          <t>Transport &amp; Logistics</t>
        </is>
      </c>
      <c r="C237" t="inlineStr">
        <is>
          <t>Nairobi</t>
        </is>
      </c>
      <c r="D237" s="7" t="n">
        <v>42050</v>
      </c>
      <c r="E237" t="n">
        <v>19</v>
      </c>
      <c r="F237" t="n">
        <v>60700</v>
      </c>
      <c r="G237" t="n">
        <v>4</v>
      </c>
      <c r="H237" t="inlineStr">
        <is>
          <t>Male</t>
        </is>
      </c>
      <c r="I237" t="n">
        <v>708</v>
      </c>
    </row>
    <row r="238">
      <c r="A238" t="inlineStr">
        <is>
          <t>BOR100236</t>
        </is>
      </c>
      <c r="B238" t="inlineStr">
        <is>
          <t>Services</t>
        </is>
      </c>
      <c r="C238" t="inlineStr">
        <is>
          <t>Rural - Other</t>
        </is>
      </c>
      <c r="D238" s="7" t="n">
        <v>45492</v>
      </c>
      <c r="E238" t="n">
        <v>43</v>
      </c>
      <c r="F238" t="n">
        <v>48700</v>
      </c>
      <c r="G238" t="n">
        <v>3</v>
      </c>
      <c r="H238" t="inlineStr">
        <is>
          <t>Male</t>
        </is>
      </c>
      <c r="I238" t="n">
        <v>518</v>
      </c>
    </row>
    <row r="239">
      <c r="A239" t="inlineStr">
        <is>
          <t>BOR100237</t>
        </is>
      </c>
      <c r="B239" t="inlineStr">
        <is>
          <t>Manufacturing</t>
        </is>
      </c>
      <c r="C239" t="inlineStr">
        <is>
          <t>Nairobi</t>
        </is>
      </c>
      <c r="D239" s="7" t="n">
        <v>42528</v>
      </c>
      <c r="E239" t="n">
        <v>11</v>
      </c>
      <c r="F239" t="n">
        <v>24700</v>
      </c>
      <c r="G239" t="n">
        <v>14</v>
      </c>
      <c r="H239" t="inlineStr">
        <is>
          <t>Female</t>
        </is>
      </c>
      <c r="I239" t="n">
        <v>626</v>
      </c>
    </row>
    <row r="240">
      <c r="A240" t="inlineStr">
        <is>
          <t>BOR100238</t>
        </is>
      </c>
      <c r="B240" t="inlineStr">
        <is>
          <t>Agriculture</t>
        </is>
      </c>
      <c r="C240" t="inlineStr">
        <is>
          <t>Nairobi</t>
        </is>
      </c>
      <c r="D240" s="7" t="n">
        <v>45508</v>
      </c>
      <c r="E240" t="n">
        <v>3</v>
      </c>
      <c r="F240" t="n">
        <v>100400</v>
      </c>
      <c r="G240" t="n">
        <v>16</v>
      </c>
      <c r="H240" t="inlineStr">
        <is>
          <t>Male</t>
        </is>
      </c>
      <c r="I240" t="n">
        <v>507</v>
      </c>
    </row>
    <row r="241">
      <c r="A241" t="inlineStr">
        <is>
          <t>BOR100239</t>
        </is>
      </c>
      <c r="B241" t="inlineStr">
        <is>
          <t>Services</t>
        </is>
      </c>
      <c r="C241" t="inlineStr">
        <is>
          <t>Mombasa</t>
        </is>
      </c>
      <c r="D241" s="7" t="n">
        <v>42669</v>
      </c>
      <c r="E241" t="n">
        <v>121</v>
      </c>
      <c r="F241" t="n">
        <v>53400</v>
      </c>
      <c r="G241" t="n">
        <v>7</v>
      </c>
      <c r="H241" t="inlineStr">
        <is>
          <t>Female</t>
        </is>
      </c>
      <c r="I241" t="n">
        <v>573</v>
      </c>
    </row>
    <row r="242">
      <c r="A242" t="inlineStr">
        <is>
          <t>BOR100240</t>
        </is>
      </c>
      <c r="B242" t="inlineStr">
        <is>
          <t>Retail &amp; Trade</t>
        </is>
      </c>
      <c r="C242" t="inlineStr">
        <is>
          <t>Eldoret</t>
        </is>
      </c>
      <c r="D242" s="7" t="n">
        <v>42070</v>
      </c>
      <c r="E242" t="n">
        <v>136</v>
      </c>
      <c r="F242" t="n">
        <v>34400</v>
      </c>
      <c r="G242" t="n">
        <v>19</v>
      </c>
      <c r="H242" t="inlineStr">
        <is>
          <t>Female</t>
        </is>
      </c>
      <c r="I242" t="n">
        <v>538</v>
      </c>
    </row>
    <row r="243">
      <c r="A243" t="inlineStr">
        <is>
          <t>BOR100241</t>
        </is>
      </c>
      <c r="B243" t="inlineStr">
        <is>
          <t>Services</t>
        </is>
      </c>
      <c r="C243" t="inlineStr">
        <is>
          <t>Rural - Other</t>
        </is>
      </c>
      <c r="D243" s="7" t="n">
        <v>45750</v>
      </c>
      <c r="E243" t="n">
        <v>25</v>
      </c>
      <c r="F243" t="n">
        <v>49600</v>
      </c>
      <c r="G243" t="n">
        <v>18</v>
      </c>
      <c r="H243" t="inlineStr">
        <is>
          <t>Female</t>
        </is>
      </c>
      <c r="I243" t="n">
        <v>654</v>
      </c>
    </row>
    <row r="244">
      <c r="A244" t="inlineStr">
        <is>
          <t>BOR100242</t>
        </is>
      </c>
      <c r="B244" t="inlineStr">
        <is>
          <t>Retail &amp; Trade</t>
        </is>
      </c>
      <c r="C244" t="inlineStr">
        <is>
          <t>Rural - Other</t>
        </is>
      </c>
      <c r="D244" s="7" t="n">
        <v>43874</v>
      </c>
      <c r="E244" t="n">
        <v>105</v>
      </c>
      <c r="F244" t="n">
        <v>154800</v>
      </c>
      <c r="G244" t="n">
        <v>9</v>
      </c>
      <c r="H244" t="inlineStr">
        <is>
          <t>Female</t>
        </is>
      </c>
      <c r="I244" t="n">
        <v>539</v>
      </c>
    </row>
    <row r="245">
      <c r="A245" t="inlineStr">
        <is>
          <t>BOR100243</t>
        </is>
      </c>
      <c r="B245" t="inlineStr">
        <is>
          <t>Services</t>
        </is>
      </c>
      <c r="C245" t="inlineStr">
        <is>
          <t>Mombasa</t>
        </is>
      </c>
      <c r="D245" s="7" t="n">
        <v>43815</v>
      </c>
      <c r="E245" t="n">
        <v>78</v>
      </c>
      <c r="F245" t="n">
        <v>111500</v>
      </c>
      <c r="G245" t="n">
        <v>6</v>
      </c>
      <c r="H245" t="inlineStr">
        <is>
          <t>Female</t>
        </is>
      </c>
      <c r="I245" t="n">
        <v>691</v>
      </c>
    </row>
    <row r="246">
      <c r="A246" t="inlineStr">
        <is>
          <t>BOR100244</t>
        </is>
      </c>
      <c r="B246" t="inlineStr">
        <is>
          <t>Services</t>
        </is>
      </c>
      <c r="C246" t="inlineStr">
        <is>
          <t>Mombasa</t>
        </is>
      </c>
      <c r="D246" s="7" t="n">
        <v>44760</v>
      </c>
      <c r="E246" t="n">
        <v>12</v>
      </c>
      <c r="F246" t="n">
        <v>66800</v>
      </c>
      <c r="G246" t="n">
        <v>18</v>
      </c>
      <c r="H246" t="inlineStr">
        <is>
          <t>Female</t>
        </is>
      </c>
      <c r="I246" t="n">
        <v>578</v>
      </c>
    </row>
    <row r="247">
      <c r="A247" t="inlineStr">
        <is>
          <t>BOR100245</t>
        </is>
      </c>
      <c r="B247" t="inlineStr">
        <is>
          <t>Retail &amp; Trade</t>
        </is>
      </c>
      <c r="C247" t="inlineStr">
        <is>
          <t>Nairobi</t>
        </is>
      </c>
      <c r="D247" s="7" t="n">
        <v>43176</v>
      </c>
      <c r="E247" t="n">
        <v>133</v>
      </c>
      <c r="F247" t="n">
        <v>112800</v>
      </c>
      <c r="G247" t="n">
        <v>17</v>
      </c>
      <c r="H247" t="inlineStr">
        <is>
          <t>Female</t>
        </is>
      </c>
      <c r="I247" t="n">
        <v>542</v>
      </c>
    </row>
    <row r="248">
      <c r="A248" t="inlineStr">
        <is>
          <t>BOR100246</t>
        </is>
      </c>
      <c r="B248" t="inlineStr">
        <is>
          <t>Transport &amp; Logistics</t>
        </is>
      </c>
      <c r="C248" t="inlineStr">
        <is>
          <t>Nakuru</t>
        </is>
      </c>
      <c r="D248" s="7" t="n">
        <v>44948</v>
      </c>
      <c r="E248" t="n">
        <v>126</v>
      </c>
      <c r="F248" t="n">
        <v>32400</v>
      </c>
      <c r="G248" t="n">
        <v>5</v>
      </c>
      <c r="H248" t="inlineStr">
        <is>
          <t>Male</t>
        </is>
      </c>
      <c r="I248" t="n">
        <v>487</v>
      </c>
    </row>
    <row r="249">
      <c r="A249" t="inlineStr">
        <is>
          <t>BOR100247</t>
        </is>
      </c>
      <c r="B249" t="inlineStr">
        <is>
          <t>Manufacturing</t>
        </is>
      </c>
      <c r="C249" t="inlineStr">
        <is>
          <t>Rural - Other</t>
        </is>
      </c>
      <c r="D249" s="7" t="n">
        <v>43833</v>
      </c>
      <c r="E249" t="n">
        <v>83</v>
      </c>
      <c r="F249" t="n">
        <v>74800</v>
      </c>
      <c r="G249" t="n">
        <v>7</v>
      </c>
      <c r="H249" t="inlineStr">
        <is>
          <t>Female</t>
        </is>
      </c>
      <c r="I249" t="n">
        <v>623</v>
      </c>
    </row>
    <row r="250">
      <c r="A250" t="inlineStr">
        <is>
          <t>BOR100248</t>
        </is>
      </c>
      <c r="B250" t="inlineStr">
        <is>
          <t>Transport &amp; Logistics</t>
        </is>
      </c>
      <c r="C250" t="inlineStr">
        <is>
          <t>Eldoret</t>
        </is>
      </c>
      <c r="D250" s="7" t="n">
        <v>43166</v>
      </c>
      <c r="E250" t="n">
        <v>103</v>
      </c>
      <c r="F250" t="n">
        <v>81100</v>
      </c>
      <c r="G250" t="n">
        <v>12</v>
      </c>
      <c r="H250" t="inlineStr">
        <is>
          <t>Female</t>
        </is>
      </c>
      <c r="I250" t="n">
        <v>681</v>
      </c>
    </row>
    <row r="251">
      <c r="A251" t="inlineStr">
        <is>
          <t>BOR100249</t>
        </is>
      </c>
      <c r="B251" t="inlineStr">
        <is>
          <t>Retail &amp; Trade</t>
        </is>
      </c>
      <c r="C251" t="inlineStr">
        <is>
          <t>Nakuru</t>
        </is>
      </c>
      <c r="D251" s="7" t="n">
        <v>43687</v>
      </c>
      <c r="E251" t="n">
        <v>59</v>
      </c>
      <c r="F251" t="n">
        <v>52600</v>
      </c>
      <c r="G251" t="n">
        <v>13</v>
      </c>
      <c r="H251" t="inlineStr">
        <is>
          <t>Female</t>
        </is>
      </c>
      <c r="I251" t="n">
        <v>625</v>
      </c>
    </row>
    <row r="252">
      <c r="A252" t="inlineStr">
        <is>
          <t>BOR100250</t>
        </is>
      </c>
      <c r="B252" t="inlineStr">
        <is>
          <t>Agriculture</t>
        </is>
      </c>
      <c r="C252" t="inlineStr">
        <is>
          <t>Mombasa</t>
        </is>
      </c>
      <c r="D252" s="7" t="n">
        <v>42031</v>
      </c>
      <c r="E252" t="n">
        <v>115</v>
      </c>
      <c r="F252" t="n">
        <v>99200</v>
      </c>
      <c r="G252" t="n">
        <v>4</v>
      </c>
      <c r="H252" t="inlineStr">
        <is>
          <t>Male</t>
        </is>
      </c>
      <c r="I252" t="n">
        <v>801</v>
      </c>
    </row>
    <row r="253">
      <c r="A253" t="inlineStr">
        <is>
          <t>BOR100251</t>
        </is>
      </c>
      <c r="B253" t="inlineStr">
        <is>
          <t>Manufacturing</t>
        </is>
      </c>
      <c r="C253" t="inlineStr">
        <is>
          <t>Rural - Other</t>
        </is>
      </c>
      <c r="D253" s="7" t="n">
        <v>43289</v>
      </c>
      <c r="E253" t="n">
        <v>66</v>
      </c>
      <c r="F253" t="n">
        <v>42300</v>
      </c>
      <c r="G253" t="n">
        <v>23</v>
      </c>
      <c r="H253" t="inlineStr">
        <is>
          <t>Male</t>
        </is>
      </c>
      <c r="I253" t="n">
        <v>729</v>
      </c>
    </row>
    <row r="254">
      <c r="A254" t="inlineStr">
        <is>
          <t>BOR100252</t>
        </is>
      </c>
      <c r="B254" t="inlineStr">
        <is>
          <t>Agriculture</t>
        </is>
      </c>
      <c r="C254" t="inlineStr">
        <is>
          <t>Kisumu</t>
        </is>
      </c>
      <c r="D254" s="7" t="n">
        <v>44525</v>
      </c>
      <c r="E254" t="n">
        <v>143</v>
      </c>
      <c r="F254" t="n">
        <v>104500</v>
      </c>
      <c r="G254" t="n">
        <v>10</v>
      </c>
      <c r="H254" t="inlineStr">
        <is>
          <t>Male</t>
        </is>
      </c>
      <c r="I254" t="n">
        <v>572</v>
      </c>
    </row>
    <row r="255">
      <c r="A255" t="inlineStr">
        <is>
          <t>BOR100253</t>
        </is>
      </c>
      <c r="B255" t="inlineStr">
        <is>
          <t>Agriculture</t>
        </is>
      </c>
      <c r="C255" t="inlineStr">
        <is>
          <t>Nairobi</t>
        </is>
      </c>
      <c r="D255" s="7" t="n">
        <v>42592</v>
      </c>
      <c r="E255" t="n">
        <v>11</v>
      </c>
      <c r="F255" t="n">
        <v>107600</v>
      </c>
      <c r="G255" t="n">
        <v>10</v>
      </c>
      <c r="H255" t="inlineStr">
        <is>
          <t>Female</t>
        </is>
      </c>
      <c r="I255" t="n">
        <v>571</v>
      </c>
    </row>
    <row r="256">
      <c r="A256" t="inlineStr">
        <is>
          <t>BOR100254</t>
        </is>
      </c>
      <c r="B256" t="inlineStr">
        <is>
          <t>Services</t>
        </is>
      </c>
      <c r="C256" t="inlineStr">
        <is>
          <t>Mombasa</t>
        </is>
      </c>
      <c r="D256" s="7" t="n">
        <v>42510</v>
      </c>
      <c r="E256" t="n">
        <v>27</v>
      </c>
      <c r="F256" t="n">
        <v>15000</v>
      </c>
      <c r="G256" t="n">
        <v>2</v>
      </c>
      <c r="H256" t="inlineStr">
        <is>
          <t>Female</t>
        </is>
      </c>
      <c r="I256" t="n">
        <v>642</v>
      </c>
    </row>
    <row r="257">
      <c r="A257" t="inlineStr">
        <is>
          <t>BOR100255</t>
        </is>
      </c>
      <c r="B257" t="inlineStr">
        <is>
          <t>Retail &amp; Trade</t>
        </is>
      </c>
      <c r="C257" t="inlineStr">
        <is>
          <t>Nairobi</t>
        </is>
      </c>
      <c r="D257" s="7" t="n">
        <v>44799</v>
      </c>
      <c r="E257" t="n">
        <v>140</v>
      </c>
      <c r="F257" t="n">
        <v>168300</v>
      </c>
      <c r="G257" t="n">
        <v>22</v>
      </c>
      <c r="H257" t="inlineStr">
        <is>
          <t>Male</t>
        </is>
      </c>
      <c r="I257" t="n">
        <v>525</v>
      </c>
    </row>
    <row r="258">
      <c r="A258" t="inlineStr">
        <is>
          <t>BOR100256</t>
        </is>
      </c>
      <c r="B258" t="inlineStr">
        <is>
          <t>Transport &amp; Logistics</t>
        </is>
      </c>
      <c r="C258" t="inlineStr">
        <is>
          <t>Nairobi</t>
        </is>
      </c>
      <c r="D258" s="7" t="n">
        <v>43829</v>
      </c>
      <c r="E258" t="n">
        <v>44</v>
      </c>
      <c r="F258" t="n">
        <v>15000</v>
      </c>
      <c r="G258" t="n">
        <v>6</v>
      </c>
      <c r="H258" t="inlineStr">
        <is>
          <t>Female</t>
        </is>
      </c>
      <c r="I258" t="n">
        <v>705</v>
      </c>
    </row>
    <row r="259">
      <c r="A259" t="inlineStr">
        <is>
          <t>BOR100257</t>
        </is>
      </c>
      <c r="B259" t="inlineStr">
        <is>
          <t>Retail &amp; Trade</t>
        </is>
      </c>
      <c r="C259" t="inlineStr">
        <is>
          <t>Nairobi</t>
        </is>
      </c>
      <c r="D259" s="7" t="n">
        <v>42587</v>
      </c>
      <c r="E259" t="n">
        <v>47</v>
      </c>
      <c r="F259" t="n">
        <v>47500</v>
      </c>
      <c r="G259" t="n">
        <v>24</v>
      </c>
      <c r="H259" t="inlineStr">
        <is>
          <t>Male</t>
        </is>
      </c>
      <c r="I259" t="n">
        <v>633</v>
      </c>
    </row>
    <row r="260">
      <c r="A260" t="inlineStr">
        <is>
          <t>BOR100258</t>
        </is>
      </c>
      <c r="B260" t="inlineStr">
        <is>
          <t>Agriculture</t>
        </is>
      </c>
      <c r="C260" t="inlineStr">
        <is>
          <t>Kisumu</t>
        </is>
      </c>
      <c r="D260" s="7" t="n">
        <v>45191</v>
      </c>
      <c r="E260" t="n">
        <v>115</v>
      </c>
      <c r="F260" t="n">
        <v>149900</v>
      </c>
      <c r="G260" t="n">
        <v>12</v>
      </c>
      <c r="H260" t="inlineStr">
        <is>
          <t>Male</t>
        </is>
      </c>
      <c r="I260" t="n">
        <v>623</v>
      </c>
    </row>
    <row r="261">
      <c r="A261" t="inlineStr">
        <is>
          <t>BOR100259</t>
        </is>
      </c>
      <c r="B261" t="inlineStr">
        <is>
          <t>Services</t>
        </is>
      </c>
      <c r="C261" t="inlineStr">
        <is>
          <t>Nakuru</t>
        </is>
      </c>
      <c r="D261" s="7" t="n">
        <v>45309</v>
      </c>
      <c r="E261" t="n">
        <v>29</v>
      </c>
      <c r="F261" t="n">
        <v>58600</v>
      </c>
      <c r="G261" t="n">
        <v>21</v>
      </c>
      <c r="H261" t="inlineStr">
        <is>
          <t>Female</t>
        </is>
      </c>
      <c r="I261" t="n">
        <v>662</v>
      </c>
    </row>
    <row r="262">
      <c r="A262" t="inlineStr">
        <is>
          <t>BOR100260</t>
        </is>
      </c>
      <c r="B262" t="inlineStr">
        <is>
          <t>Transport &amp; Logistics</t>
        </is>
      </c>
      <c r="C262" t="inlineStr">
        <is>
          <t>Mombasa</t>
        </is>
      </c>
      <c r="D262" s="7" t="n">
        <v>42153</v>
      </c>
      <c r="E262" t="n">
        <v>75</v>
      </c>
      <c r="F262" t="n">
        <v>26200</v>
      </c>
      <c r="G262" t="n">
        <v>5</v>
      </c>
      <c r="H262" t="inlineStr">
        <is>
          <t>Male</t>
        </is>
      </c>
      <c r="I262" t="n">
        <v>755</v>
      </c>
    </row>
    <row r="263">
      <c r="A263" t="inlineStr">
        <is>
          <t>BOR100261</t>
        </is>
      </c>
      <c r="B263" t="inlineStr">
        <is>
          <t>Agriculture</t>
        </is>
      </c>
      <c r="C263" t="inlineStr">
        <is>
          <t>Kisumu</t>
        </is>
      </c>
      <c r="D263" s="7" t="n">
        <v>42864</v>
      </c>
      <c r="E263" t="n">
        <v>43</v>
      </c>
      <c r="F263" t="n">
        <v>34000</v>
      </c>
      <c r="G263" t="n">
        <v>4</v>
      </c>
      <c r="H263" t="inlineStr">
        <is>
          <t>Male</t>
        </is>
      </c>
      <c r="I263" t="n">
        <v>615</v>
      </c>
    </row>
    <row r="264">
      <c r="A264" t="inlineStr">
        <is>
          <t>BOR100262</t>
        </is>
      </c>
      <c r="B264" t="inlineStr">
        <is>
          <t>Agriculture</t>
        </is>
      </c>
      <c r="C264" t="inlineStr">
        <is>
          <t>Rural - Other</t>
        </is>
      </c>
      <c r="D264" s="7" t="n">
        <v>43583</v>
      </c>
      <c r="E264" t="n">
        <v>31</v>
      </c>
      <c r="F264" t="n">
        <v>150100</v>
      </c>
      <c r="G264" t="n">
        <v>20</v>
      </c>
      <c r="H264" t="inlineStr">
        <is>
          <t>Female</t>
        </is>
      </c>
      <c r="I264" t="n">
        <v>590</v>
      </c>
    </row>
    <row r="265">
      <c r="A265" t="inlineStr">
        <is>
          <t>BOR100263</t>
        </is>
      </c>
      <c r="B265" t="inlineStr">
        <is>
          <t>Construction</t>
        </is>
      </c>
      <c r="C265" t="inlineStr">
        <is>
          <t>Eldoret</t>
        </is>
      </c>
      <c r="D265" s="7" t="n">
        <v>45121</v>
      </c>
      <c r="E265" t="n">
        <v>139</v>
      </c>
      <c r="F265" t="n">
        <v>19100</v>
      </c>
      <c r="G265" t="n">
        <v>20</v>
      </c>
      <c r="H265" t="inlineStr">
        <is>
          <t>Female</t>
        </is>
      </c>
      <c r="I265" t="n">
        <v>736</v>
      </c>
    </row>
    <row r="266">
      <c r="A266" t="inlineStr">
        <is>
          <t>BOR100264</t>
        </is>
      </c>
      <c r="B266" t="inlineStr">
        <is>
          <t>Construction</t>
        </is>
      </c>
      <c r="C266" t="inlineStr">
        <is>
          <t>Nakuru</t>
        </is>
      </c>
      <c r="D266" s="7" t="n">
        <v>42320</v>
      </c>
      <c r="E266" t="n">
        <v>31</v>
      </c>
      <c r="F266" t="n">
        <v>161200</v>
      </c>
      <c r="G266" t="n">
        <v>14</v>
      </c>
      <c r="H266" t="inlineStr">
        <is>
          <t>Female</t>
        </is>
      </c>
      <c r="I266" t="n">
        <v>687</v>
      </c>
    </row>
    <row r="267">
      <c r="A267" t="inlineStr">
        <is>
          <t>BOR100265</t>
        </is>
      </c>
      <c r="B267" t="inlineStr">
        <is>
          <t>Services</t>
        </is>
      </c>
      <c r="C267" t="inlineStr">
        <is>
          <t>Mombasa</t>
        </is>
      </c>
      <c r="D267" s="7" t="n">
        <v>45437</v>
      </c>
      <c r="E267" t="n">
        <v>16</v>
      </c>
      <c r="F267" t="n">
        <v>70400</v>
      </c>
      <c r="G267" t="n">
        <v>1</v>
      </c>
      <c r="H267" t="inlineStr">
        <is>
          <t>Male</t>
        </is>
      </c>
      <c r="I267" t="n">
        <v>571</v>
      </c>
    </row>
    <row r="268">
      <c r="A268" t="inlineStr">
        <is>
          <t>BOR100266</t>
        </is>
      </c>
      <c r="B268" t="inlineStr">
        <is>
          <t>Manufacturing</t>
        </is>
      </c>
      <c r="C268" t="inlineStr">
        <is>
          <t>Rural - Other</t>
        </is>
      </c>
      <c r="D268" s="7" t="n">
        <v>43366</v>
      </c>
      <c r="E268" t="n">
        <v>98</v>
      </c>
      <c r="F268" t="n">
        <v>31700</v>
      </c>
      <c r="G268" t="n">
        <v>23</v>
      </c>
      <c r="H268" t="inlineStr">
        <is>
          <t>Female</t>
        </is>
      </c>
      <c r="I268" t="n">
        <v>600</v>
      </c>
    </row>
    <row r="269">
      <c r="A269" t="inlineStr">
        <is>
          <t>BOR100267</t>
        </is>
      </c>
      <c r="B269" t="inlineStr">
        <is>
          <t>Manufacturing</t>
        </is>
      </c>
      <c r="C269" t="inlineStr">
        <is>
          <t>Nairobi</t>
        </is>
      </c>
      <c r="D269" s="7" t="n">
        <v>42539</v>
      </c>
      <c r="E269" t="n">
        <v>126</v>
      </c>
      <c r="F269" t="n">
        <v>48600</v>
      </c>
      <c r="G269" t="n">
        <v>10</v>
      </c>
      <c r="H269" t="inlineStr">
        <is>
          <t>Female</t>
        </is>
      </c>
      <c r="I269" t="n">
        <v>618</v>
      </c>
    </row>
    <row r="270">
      <c r="A270" t="inlineStr">
        <is>
          <t>BOR100268</t>
        </is>
      </c>
      <c r="B270" t="inlineStr">
        <is>
          <t>Services</t>
        </is>
      </c>
      <c r="C270" t="inlineStr">
        <is>
          <t>Mombasa</t>
        </is>
      </c>
      <c r="D270" s="7" t="n">
        <v>45683</v>
      </c>
      <c r="E270" t="n">
        <v>21</v>
      </c>
      <c r="F270" t="n">
        <v>35900</v>
      </c>
      <c r="G270" t="n">
        <v>23</v>
      </c>
      <c r="H270" t="inlineStr">
        <is>
          <t>Male</t>
        </is>
      </c>
      <c r="I270" t="n">
        <v>633</v>
      </c>
    </row>
    <row r="271">
      <c r="A271" t="inlineStr">
        <is>
          <t>BOR100269</t>
        </is>
      </c>
      <c r="B271" t="inlineStr">
        <is>
          <t>Services</t>
        </is>
      </c>
      <c r="C271" t="inlineStr">
        <is>
          <t>Rural - Other</t>
        </is>
      </c>
      <c r="D271" s="7" t="n">
        <v>42374</v>
      </c>
      <c r="E271" t="n">
        <v>103</v>
      </c>
      <c r="F271" t="n">
        <v>134100</v>
      </c>
      <c r="G271" t="n">
        <v>21</v>
      </c>
      <c r="H271" t="inlineStr">
        <is>
          <t>Female</t>
        </is>
      </c>
      <c r="I271" t="n">
        <v>478</v>
      </c>
    </row>
    <row r="272">
      <c r="A272" t="inlineStr">
        <is>
          <t>BOR100270</t>
        </is>
      </c>
      <c r="B272" t="inlineStr">
        <is>
          <t>Agriculture</t>
        </is>
      </c>
      <c r="C272" t="inlineStr">
        <is>
          <t>Kisumu</t>
        </is>
      </c>
      <c r="D272" s="7" t="n">
        <v>42557</v>
      </c>
      <c r="E272" t="n">
        <v>79</v>
      </c>
      <c r="F272" t="n">
        <v>122100</v>
      </c>
      <c r="G272" t="n">
        <v>21</v>
      </c>
      <c r="H272" t="inlineStr">
        <is>
          <t>Female</t>
        </is>
      </c>
      <c r="I272" t="n">
        <v>461</v>
      </c>
    </row>
    <row r="273">
      <c r="A273" t="inlineStr">
        <is>
          <t>BOR100271</t>
        </is>
      </c>
      <c r="B273" t="inlineStr">
        <is>
          <t>Retail &amp; Trade</t>
        </is>
      </c>
      <c r="C273" t="inlineStr">
        <is>
          <t>Eldoret</t>
        </is>
      </c>
      <c r="D273" s="7" t="n">
        <v>46051</v>
      </c>
      <c r="E273" t="n">
        <v>120</v>
      </c>
      <c r="F273" t="n">
        <v>22000</v>
      </c>
      <c r="G273" t="n">
        <v>17</v>
      </c>
      <c r="H273" t="inlineStr">
        <is>
          <t>Male</t>
        </is>
      </c>
      <c r="I273" t="n">
        <v>520</v>
      </c>
    </row>
    <row r="274">
      <c r="A274" t="inlineStr">
        <is>
          <t>BOR100272</t>
        </is>
      </c>
      <c r="B274" t="inlineStr">
        <is>
          <t>Retail &amp; Trade</t>
        </is>
      </c>
      <c r="C274" t="inlineStr">
        <is>
          <t>Nakuru</t>
        </is>
      </c>
      <c r="D274" s="7" t="n">
        <v>44218</v>
      </c>
      <c r="E274" t="n">
        <v>21</v>
      </c>
      <c r="F274" t="n">
        <v>55100</v>
      </c>
      <c r="G274" t="n">
        <v>17</v>
      </c>
      <c r="H274" t="inlineStr">
        <is>
          <t>Female</t>
        </is>
      </c>
      <c r="I274" t="n">
        <v>513</v>
      </c>
    </row>
    <row r="275">
      <c r="A275" t="inlineStr">
        <is>
          <t>BOR100273</t>
        </is>
      </c>
      <c r="B275" t="inlineStr">
        <is>
          <t>Construction</t>
        </is>
      </c>
      <c r="C275" t="inlineStr">
        <is>
          <t>Nakuru</t>
        </is>
      </c>
      <c r="D275" s="7" t="n">
        <v>43978</v>
      </c>
      <c r="E275" t="n">
        <v>141</v>
      </c>
      <c r="F275" t="n">
        <v>40000</v>
      </c>
      <c r="G275" t="n">
        <v>13</v>
      </c>
      <c r="H275" t="inlineStr">
        <is>
          <t>Female</t>
        </is>
      </c>
      <c r="I275" t="n">
        <v>542</v>
      </c>
    </row>
    <row r="276">
      <c r="A276" t="inlineStr">
        <is>
          <t>BOR100274</t>
        </is>
      </c>
      <c r="B276" t="inlineStr">
        <is>
          <t>Manufacturing</t>
        </is>
      </c>
      <c r="C276" t="inlineStr">
        <is>
          <t>Mombasa</t>
        </is>
      </c>
      <c r="D276" s="7" t="n">
        <v>44933</v>
      </c>
      <c r="E276" t="n">
        <v>90</v>
      </c>
      <c r="F276" t="n">
        <v>180900</v>
      </c>
      <c r="G276" t="n">
        <v>1</v>
      </c>
      <c r="H276" t="inlineStr">
        <is>
          <t>Female</t>
        </is>
      </c>
      <c r="I276" t="n">
        <v>657</v>
      </c>
    </row>
    <row r="277">
      <c r="A277" t="inlineStr">
        <is>
          <t>BOR100275</t>
        </is>
      </c>
      <c r="B277" t="inlineStr">
        <is>
          <t>Manufacturing</t>
        </is>
      </c>
      <c r="C277" t="inlineStr">
        <is>
          <t>Nairobi</t>
        </is>
      </c>
      <c r="D277" s="7" t="n">
        <v>44690</v>
      </c>
      <c r="E277" t="n">
        <v>122</v>
      </c>
      <c r="F277" t="n">
        <v>28400</v>
      </c>
      <c r="G277" t="n">
        <v>10</v>
      </c>
      <c r="H277" t="inlineStr">
        <is>
          <t>Female</t>
        </is>
      </c>
      <c r="I277" t="n">
        <v>585</v>
      </c>
    </row>
    <row r="278">
      <c r="A278" t="inlineStr">
        <is>
          <t>BOR100276</t>
        </is>
      </c>
      <c r="B278" t="inlineStr">
        <is>
          <t>Manufacturing</t>
        </is>
      </c>
      <c r="C278" t="inlineStr">
        <is>
          <t>Mombasa</t>
        </is>
      </c>
      <c r="D278" s="7" t="n">
        <v>44619</v>
      </c>
      <c r="E278" t="n">
        <v>54</v>
      </c>
      <c r="F278" t="n">
        <v>224800</v>
      </c>
      <c r="G278" t="n">
        <v>18</v>
      </c>
      <c r="H278" t="inlineStr">
        <is>
          <t>Female</t>
        </is>
      </c>
      <c r="I278" t="n">
        <v>618</v>
      </c>
    </row>
    <row r="279">
      <c r="A279" t="inlineStr">
        <is>
          <t>BOR100277</t>
        </is>
      </c>
      <c r="B279" t="inlineStr">
        <is>
          <t>Transport &amp; Logistics</t>
        </is>
      </c>
      <c r="C279" t="inlineStr">
        <is>
          <t>Nairobi</t>
        </is>
      </c>
      <c r="D279" s="7" t="n">
        <v>42104</v>
      </c>
      <c r="E279" t="n">
        <v>136</v>
      </c>
      <c r="F279" t="n">
        <v>71400</v>
      </c>
      <c r="G279" t="n">
        <v>20</v>
      </c>
      <c r="H279" t="inlineStr">
        <is>
          <t>Male</t>
        </is>
      </c>
      <c r="I279" t="n">
        <v>490</v>
      </c>
    </row>
    <row r="280">
      <c r="A280" t="inlineStr">
        <is>
          <t>BOR100278</t>
        </is>
      </c>
      <c r="B280" t="inlineStr">
        <is>
          <t>Retail &amp; Trade</t>
        </is>
      </c>
      <c r="C280" t="inlineStr">
        <is>
          <t>Rural - Other</t>
        </is>
      </c>
      <c r="D280" s="7" t="n">
        <v>44355</v>
      </c>
      <c r="E280" t="n">
        <v>91</v>
      </c>
      <c r="F280" t="n">
        <v>32400</v>
      </c>
      <c r="G280" t="n">
        <v>14</v>
      </c>
      <c r="H280" t="inlineStr">
        <is>
          <t>Male</t>
        </is>
      </c>
      <c r="I280" t="n">
        <v>558</v>
      </c>
    </row>
    <row r="281">
      <c r="A281" t="inlineStr">
        <is>
          <t>BOR100279</t>
        </is>
      </c>
      <c r="B281" t="inlineStr">
        <is>
          <t>Retail &amp; Trade</t>
        </is>
      </c>
      <c r="C281" t="inlineStr">
        <is>
          <t>Mombasa</t>
        </is>
      </c>
      <c r="D281" s="7" t="n">
        <v>43192</v>
      </c>
      <c r="E281" t="n">
        <v>21</v>
      </c>
      <c r="F281" t="n">
        <v>45500</v>
      </c>
      <c r="G281" t="n">
        <v>18</v>
      </c>
      <c r="H281" t="inlineStr">
        <is>
          <t>Female</t>
        </is>
      </c>
      <c r="I281" t="n">
        <v>653</v>
      </c>
    </row>
    <row r="282">
      <c r="A282" t="inlineStr">
        <is>
          <t>BOR100280</t>
        </is>
      </c>
      <c r="B282" t="inlineStr">
        <is>
          <t>Agriculture</t>
        </is>
      </c>
      <c r="C282" t="inlineStr">
        <is>
          <t>Nakuru</t>
        </is>
      </c>
      <c r="D282" s="7" t="n">
        <v>45446</v>
      </c>
      <c r="E282" t="n">
        <v>134</v>
      </c>
      <c r="F282" t="n">
        <v>41700</v>
      </c>
      <c r="G282" t="n">
        <v>1</v>
      </c>
      <c r="H282" t="inlineStr">
        <is>
          <t>Male</t>
        </is>
      </c>
      <c r="I282" t="n">
        <v>654</v>
      </c>
    </row>
    <row r="283">
      <c r="A283" t="inlineStr">
        <is>
          <t>BOR100281</t>
        </is>
      </c>
      <c r="B283" t="inlineStr">
        <is>
          <t>Manufacturing</t>
        </is>
      </c>
      <c r="C283" t="inlineStr">
        <is>
          <t>Rural - Other</t>
        </is>
      </c>
      <c r="D283" s="7" t="n">
        <v>44158</v>
      </c>
      <c r="E283" t="n">
        <v>116</v>
      </c>
      <c r="F283" t="n">
        <v>30000</v>
      </c>
      <c r="G283" t="n">
        <v>12</v>
      </c>
      <c r="H283" t="inlineStr">
        <is>
          <t>Male</t>
        </is>
      </c>
      <c r="I283" t="n">
        <v>535</v>
      </c>
    </row>
    <row r="284">
      <c r="A284" t="inlineStr">
        <is>
          <t>BOR100282</t>
        </is>
      </c>
      <c r="B284" t="inlineStr">
        <is>
          <t>Transport &amp; Logistics</t>
        </is>
      </c>
      <c r="C284" t="inlineStr">
        <is>
          <t>Rural - Other</t>
        </is>
      </c>
      <c r="D284" s="7" t="n">
        <v>42532</v>
      </c>
      <c r="E284" t="n">
        <v>45</v>
      </c>
      <c r="F284" t="n">
        <v>78100</v>
      </c>
      <c r="G284" t="n">
        <v>13</v>
      </c>
      <c r="H284" t="inlineStr">
        <is>
          <t>Male</t>
        </is>
      </c>
      <c r="I284" t="n">
        <v>615</v>
      </c>
    </row>
    <row r="285">
      <c r="A285" t="inlineStr">
        <is>
          <t>BOR100283</t>
        </is>
      </c>
      <c r="B285" t="inlineStr">
        <is>
          <t>Manufacturing</t>
        </is>
      </c>
      <c r="C285" t="inlineStr">
        <is>
          <t>Kisumu</t>
        </is>
      </c>
      <c r="D285" s="7" t="n">
        <v>45781</v>
      </c>
      <c r="E285" t="n">
        <v>80</v>
      </c>
      <c r="F285" t="n">
        <v>31000</v>
      </c>
      <c r="G285" t="n">
        <v>22</v>
      </c>
      <c r="H285" t="inlineStr">
        <is>
          <t>Male</t>
        </is>
      </c>
      <c r="I285" t="n">
        <v>798</v>
      </c>
    </row>
    <row r="286">
      <c r="A286" t="inlineStr">
        <is>
          <t>BOR100284</t>
        </is>
      </c>
      <c r="B286" t="inlineStr">
        <is>
          <t>Manufacturing</t>
        </is>
      </c>
      <c r="C286" t="inlineStr">
        <is>
          <t>Kisumu</t>
        </is>
      </c>
      <c r="D286" s="7" t="n">
        <v>43216</v>
      </c>
      <c r="E286" t="n">
        <v>58</v>
      </c>
      <c r="F286" t="n">
        <v>15900</v>
      </c>
      <c r="G286" t="n">
        <v>8</v>
      </c>
      <c r="H286" t="inlineStr">
        <is>
          <t>Male</t>
        </is>
      </c>
      <c r="I286" t="n">
        <v>598</v>
      </c>
    </row>
    <row r="287">
      <c r="A287" t="inlineStr">
        <is>
          <t>BOR100285</t>
        </is>
      </c>
      <c r="B287" t="inlineStr">
        <is>
          <t>Construction</t>
        </is>
      </c>
      <c r="C287" t="inlineStr">
        <is>
          <t>Rural - Other</t>
        </is>
      </c>
      <c r="D287" s="7" t="n">
        <v>43161</v>
      </c>
      <c r="E287" t="n">
        <v>80</v>
      </c>
      <c r="F287" t="n">
        <v>56100</v>
      </c>
      <c r="G287" t="n">
        <v>6</v>
      </c>
      <c r="H287" t="inlineStr">
        <is>
          <t>Male</t>
        </is>
      </c>
      <c r="I287" t="n">
        <v>538</v>
      </c>
    </row>
    <row r="288">
      <c r="A288" t="inlineStr">
        <is>
          <t>BOR100286</t>
        </is>
      </c>
      <c r="B288" t="inlineStr">
        <is>
          <t>Retail &amp; Trade</t>
        </is>
      </c>
      <c r="C288" t="inlineStr">
        <is>
          <t>Eldoret</t>
        </is>
      </c>
      <c r="D288" s="7" t="n">
        <v>45994</v>
      </c>
      <c r="E288" t="n">
        <v>140</v>
      </c>
      <c r="F288" t="n">
        <v>20700</v>
      </c>
      <c r="G288" t="n">
        <v>9</v>
      </c>
      <c r="H288" t="inlineStr">
        <is>
          <t>Female</t>
        </is>
      </c>
      <c r="I288" t="n">
        <v>584</v>
      </c>
    </row>
    <row r="289">
      <c r="A289" t="inlineStr">
        <is>
          <t>BOR100287</t>
        </is>
      </c>
      <c r="B289" t="inlineStr">
        <is>
          <t>Services</t>
        </is>
      </c>
      <c r="C289" t="inlineStr">
        <is>
          <t>Rural - Other</t>
        </is>
      </c>
      <c r="D289" s="7" t="n">
        <v>45308</v>
      </c>
      <c r="E289" t="n">
        <v>130</v>
      </c>
      <c r="F289" t="n">
        <v>43200</v>
      </c>
      <c r="G289" t="n">
        <v>5</v>
      </c>
      <c r="H289" t="inlineStr">
        <is>
          <t>Male</t>
        </is>
      </c>
      <c r="I289" t="n">
        <v>608</v>
      </c>
    </row>
    <row r="290">
      <c r="A290" t="inlineStr">
        <is>
          <t>BOR100288</t>
        </is>
      </c>
      <c r="B290" t="inlineStr">
        <is>
          <t>Services</t>
        </is>
      </c>
      <c r="C290" t="inlineStr">
        <is>
          <t>Rural - Other</t>
        </is>
      </c>
      <c r="D290" s="7" t="n">
        <v>45667</v>
      </c>
      <c r="E290" t="n">
        <v>33</v>
      </c>
      <c r="F290" t="n">
        <v>38700</v>
      </c>
      <c r="G290" t="n">
        <v>14</v>
      </c>
      <c r="H290" t="inlineStr">
        <is>
          <t>Female</t>
        </is>
      </c>
      <c r="I290" t="n">
        <v>586</v>
      </c>
    </row>
    <row r="291">
      <c r="A291" t="inlineStr">
        <is>
          <t>BOR100289</t>
        </is>
      </c>
      <c r="B291" t="inlineStr">
        <is>
          <t>Manufacturing</t>
        </is>
      </c>
      <c r="C291" t="inlineStr">
        <is>
          <t>Rural - Other</t>
        </is>
      </c>
      <c r="D291" s="7" t="n">
        <v>44826</v>
      </c>
      <c r="E291" t="n">
        <v>140</v>
      </c>
      <c r="F291" t="n">
        <v>39700</v>
      </c>
      <c r="G291" t="n">
        <v>16</v>
      </c>
      <c r="H291" t="inlineStr">
        <is>
          <t>Female</t>
        </is>
      </c>
      <c r="I291" t="n">
        <v>597</v>
      </c>
    </row>
    <row r="292">
      <c r="A292" t="inlineStr">
        <is>
          <t>BOR100290</t>
        </is>
      </c>
      <c r="B292" t="inlineStr">
        <is>
          <t>Transport &amp; Logistics</t>
        </is>
      </c>
      <c r="C292" t="inlineStr">
        <is>
          <t>Nairobi</t>
        </is>
      </c>
      <c r="D292" s="7" t="n">
        <v>45884</v>
      </c>
      <c r="E292" t="n">
        <v>65</v>
      </c>
      <c r="F292" t="n">
        <v>296800</v>
      </c>
      <c r="G292" t="n">
        <v>20</v>
      </c>
      <c r="H292" t="inlineStr">
        <is>
          <t>Male</t>
        </is>
      </c>
      <c r="I292" t="n">
        <v>470</v>
      </c>
    </row>
    <row r="293">
      <c r="A293" t="inlineStr">
        <is>
          <t>BOR100291</t>
        </is>
      </c>
      <c r="B293" t="inlineStr">
        <is>
          <t>Agriculture</t>
        </is>
      </c>
      <c r="C293" t="inlineStr">
        <is>
          <t>Nakuru</t>
        </is>
      </c>
      <c r="D293" s="7" t="n">
        <v>42496</v>
      </c>
      <c r="E293" t="n">
        <v>103</v>
      </c>
      <c r="F293" t="n">
        <v>76100</v>
      </c>
      <c r="G293" t="n">
        <v>24</v>
      </c>
      <c r="H293" t="inlineStr">
        <is>
          <t>Female</t>
        </is>
      </c>
      <c r="I293" t="n">
        <v>513</v>
      </c>
    </row>
    <row r="294">
      <c r="A294" t="inlineStr">
        <is>
          <t>BOR100292</t>
        </is>
      </c>
      <c r="B294" t="inlineStr">
        <is>
          <t>Construction</t>
        </is>
      </c>
      <c r="C294" t="inlineStr">
        <is>
          <t>Nairobi</t>
        </is>
      </c>
      <c r="D294" s="7" t="n">
        <v>44561</v>
      </c>
      <c r="E294" t="n">
        <v>111</v>
      </c>
      <c r="F294" t="n">
        <v>86800</v>
      </c>
      <c r="G294" t="n">
        <v>2</v>
      </c>
      <c r="H294" t="inlineStr">
        <is>
          <t>Female</t>
        </is>
      </c>
      <c r="I294" t="n">
        <v>587</v>
      </c>
    </row>
    <row r="295">
      <c r="A295" t="inlineStr">
        <is>
          <t>BOR100293</t>
        </is>
      </c>
      <c r="B295" t="inlineStr">
        <is>
          <t>Agriculture</t>
        </is>
      </c>
      <c r="C295" t="inlineStr">
        <is>
          <t>Nakuru</t>
        </is>
      </c>
      <c r="D295" s="7" t="n">
        <v>43255</v>
      </c>
      <c r="E295" t="n">
        <v>71</v>
      </c>
      <c r="F295" t="n">
        <v>21100</v>
      </c>
      <c r="G295" t="n">
        <v>6</v>
      </c>
      <c r="H295" t="inlineStr">
        <is>
          <t>Female</t>
        </is>
      </c>
      <c r="I295" t="n">
        <v>585</v>
      </c>
    </row>
    <row r="296">
      <c r="A296" t="inlineStr">
        <is>
          <t>BOR100294</t>
        </is>
      </c>
      <c r="B296" t="inlineStr">
        <is>
          <t>Services</t>
        </is>
      </c>
      <c r="C296" t="inlineStr">
        <is>
          <t>Rural - Other</t>
        </is>
      </c>
      <c r="D296" s="7" t="n">
        <v>43702</v>
      </c>
      <c r="E296" t="n">
        <v>67</v>
      </c>
      <c r="F296" t="n">
        <v>46300</v>
      </c>
      <c r="G296" t="n">
        <v>8</v>
      </c>
      <c r="H296" t="inlineStr">
        <is>
          <t>Female</t>
        </is>
      </c>
      <c r="I296" t="n">
        <v>549</v>
      </c>
    </row>
    <row r="297">
      <c r="A297" t="inlineStr">
        <is>
          <t>BOR100295</t>
        </is>
      </c>
      <c r="B297" t="inlineStr">
        <is>
          <t>Services</t>
        </is>
      </c>
      <c r="C297" t="inlineStr">
        <is>
          <t>Kisumu</t>
        </is>
      </c>
      <c r="D297" s="7" t="n">
        <v>43018</v>
      </c>
      <c r="E297" t="n">
        <v>67</v>
      </c>
      <c r="F297" t="n">
        <v>85000</v>
      </c>
      <c r="G297" t="n">
        <v>6</v>
      </c>
      <c r="H297" t="inlineStr">
        <is>
          <t>Male</t>
        </is>
      </c>
      <c r="I297" t="n">
        <v>584</v>
      </c>
    </row>
    <row r="298">
      <c r="A298" t="inlineStr">
        <is>
          <t>BOR100296</t>
        </is>
      </c>
      <c r="B298" t="inlineStr">
        <is>
          <t>Construction</t>
        </is>
      </c>
      <c r="C298" t="inlineStr">
        <is>
          <t>Kisumu</t>
        </is>
      </c>
      <c r="D298" s="7" t="n">
        <v>42878</v>
      </c>
      <c r="E298" t="n">
        <v>125</v>
      </c>
      <c r="F298" t="n">
        <v>35700</v>
      </c>
      <c r="G298" t="n">
        <v>20</v>
      </c>
      <c r="H298" t="inlineStr">
        <is>
          <t>Male</t>
        </is>
      </c>
      <c r="I298" t="n">
        <v>605</v>
      </c>
    </row>
    <row r="299">
      <c r="A299" t="inlineStr">
        <is>
          <t>BOR100297</t>
        </is>
      </c>
      <c r="B299" t="inlineStr">
        <is>
          <t>Manufacturing</t>
        </is>
      </c>
      <c r="C299" t="inlineStr">
        <is>
          <t>Nairobi</t>
        </is>
      </c>
      <c r="D299" s="7" t="n">
        <v>43890</v>
      </c>
      <c r="E299" t="n">
        <v>57</v>
      </c>
      <c r="F299" t="n">
        <v>138100</v>
      </c>
      <c r="G299" t="n">
        <v>4</v>
      </c>
      <c r="H299" t="inlineStr">
        <is>
          <t>Female</t>
        </is>
      </c>
      <c r="I299" t="n">
        <v>680</v>
      </c>
    </row>
    <row r="300">
      <c r="A300" t="inlineStr">
        <is>
          <t>BOR100298</t>
        </is>
      </c>
      <c r="B300" t="inlineStr">
        <is>
          <t>Agriculture</t>
        </is>
      </c>
      <c r="C300" t="inlineStr">
        <is>
          <t>Rural - Other</t>
        </is>
      </c>
      <c r="D300" s="7" t="n">
        <v>45917</v>
      </c>
      <c r="E300" t="n">
        <v>42</v>
      </c>
      <c r="F300" t="n">
        <v>31500</v>
      </c>
      <c r="G300" t="n">
        <v>1</v>
      </c>
      <c r="H300" t="inlineStr">
        <is>
          <t>Female</t>
        </is>
      </c>
      <c r="I300" t="n">
        <v>591</v>
      </c>
    </row>
    <row r="301">
      <c r="A301" t="inlineStr">
        <is>
          <t>BOR100299</t>
        </is>
      </c>
      <c r="B301" t="inlineStr">
        <is>
          <t>Retail &amp; Trade</t>
        </is>
      </c>
      <c r="C301" t="inlineStr">
        <is>
          <t>Nairobi</t>
        </is>
      </c>
      <c r="D301" s="7" t="n">
        <v>44712</v>
      </c>
      <c r="E301" t="n">
        <v>54</v>
      </c>
      <c r="F301" t="n">
        <v>59800</v>
      </c>
      <c r="G301" t="n">
        <v>21</v>
      </c>
      <c r="H301" t="inlineStr">
        <is>
          <t>Female</t>
        </is>
      </c>
      <c r="I301" t="n">
        <v>636</v>
      </c>
    </row>
    <row r="302">
      <c r="A302" t="inlineStr">
        <is>
          <t>BOR100300</t>
        </is>
      </c>
      <c r="B302" t="inlineStr">
        <is>
          <t>Manufacturing</t>
        </is>
      </c>
      <c r="C302" t="inlineStr">
        <is>
          <t>Nairobi</t>
        </is>
      </c>
      <c r="D302" s="7" t="n">
        <v>43493</v>
      </c>
      <c r="E302" t="n">
        <v>30</v>
      </c>
      <c r="F302" t="n">
        <v>48500</v>
      </c>
      <c r="G302" t="n">
        <v>24</v>
      </c>
      <c r="H302" t="inlineStr">
        <is>
          <t>Female</t>
        </is>
      </c>
      <c r="I302" t="n">
        <v>551</v>
      </c>
    </row>
    <row r="303">
      <c r="A303" t="inlineStr">
        <is>
          <t>BOR100301</t>
        </is>
      </c>
      <c r="B303" t="inlineStr">
        <is>
          <t>Transport &amp; Logistics</t>
        </is>
      </c>
      <c r="C303" t="inlineStr">
        <is>
          <t>Nairobi</t>
        </is>
      </c>
      <c r="D303" s="7" t="n">
        <v>43851</v>
      </c>
      <c r="E303" t="n">
        <v>58</v>
      </c>
      <c r="F303" t="n">
        <v>82000</v>
      </c>
      <c r="G303" t="n">
        <v>6</v>
      </c>
      <c r="H303" t="inlineStr">
        <is>
          <t>Male</t>
        </is>
      </c>
      <c r="I303" t="n">
        <v>651</v>
      </c>
    </row>
    <row r="304">
      <c r="A304" t="inlineStr">
        <is>
          <t>BOR100302</t>
        </is>
      </c>
      <c r="B304" t="inlineStr">
        <is>
          <t>Retail &amp; Trade</t>
        </is>
      </c>
      <c r="C304" t="inlineStr">
        <is>
          <t>Nairobi</t>
        </is>
      </c>
      <c r="D304" s="7" t="n">
        <v>44262</v>
      </c>
      <c r="E304" t="n">
        <v>19</v>
      </c>
      <c r="F304" t="n">
        <v>46700</v>
      </c>
      <c r="G304" t="n">
        <v>8</v>
      </c>
      <c r="H304" t="inlineStr">
        <is>
          <t>Male</t>
        </is>
      </c>
      <c r="I304" t="n">
        <v>634</v>
      </c>
    </row>
    <row r="305">
      <c r="A305" t="inlineStr">
        <is>
          <t>BOR100303</t>
        </is>
      </c>
      <c r="B305" t="inlineStr">
        <is>
          <t>Construction</t>
        </is>
      </c>
      <c r="C305" t="inlineStr">
        <is>
          <t>Kisumu</t>
        </is>
      </c>
      <c r="D305" s="7" t="n">
        <v>43046</v>
      </c>
      <c r="E305" t="n">
        <v>15</v>
      </c>
      <c r="F305" t="n">
        <v>60500</v>
      </c>
      <c r="G305" t="n">
        <v>13</v>
      </c>
      <c r="H305" t="inlineStr">
        <is>
          <t>Female</t>
        </is>
      </c>
      <c r="I305" t="n">
        <v>678</v>
      </c>
    </row>
    <row r="306">
      <c r="A306" t="inlineStr">
        <is>
          <t>BOR100304</t>
        </is>
      </c>
      <c r="B306" t="inlineStr">
        <is>
          <t>Services</t>
        </is>
      </c>
      <c r="C306" t="inlineStr">
        <is>
          <t>Kisumu</t>
        </is>
      </c>
      <c r="D306" s="7" t="n">
        <v>44225</v>
      </c>
      <c r="E306" t="n">
        <v>105</v>
      </c>
      <c r="F306" t="n">
        <v>62000</v>
      </c>
      <c r="G306" t="n">
        <v>13</v>
      </c>
      <c r="H306" t="inlineStr">
        <is>
          <t>Female</t>
        </is>
      </c>
      <c r="I306" t="n">
        <v>664</v>
      </c>
    </row>
    <row r="307">
      <c r="A307" t="inlineStr">
        <is>
          <t>BOR100305</t>
        </is>
      </c>
      <c r="B307" t="inlineStr">
        <is>
          <t>Retail &amp; Trade</t>
        </is>
      </c>
      <c r="C307" t="inlineStr">
        <is>
          <t>Mombasa</t>
        </is>
      </c>
      <c r="D307" s="7" t="n">
        <v>44970</v>
      </c>
      <c r="E307" t="n">
        <v>13</v>
      </c>
      <c r="F307" t="n">
        <v>43700</v>
      </c>
      <c r="G307" t="n">
        <v>24</v>
      </c>
      <c r="H307" t="inlineStr">
        <is>
          <t>Male</t>
        </is>
      </c>
      <c r="I307" t="n">
        <v>653</v>
      </c>
    </row>
    <row r="308">
      <c r="A308" t="inlineStr">
        <is>
          <t>BOR100306</t>
        </is>
      </c>
      <c r="B308" t="inlineStr">
        <is>
          <t>Agriculture</t>
        </is>
      </c>
      <c r="C308" t="inlineStr">
        <is>
          <t>Nairobi</t>
        </is>
      </c>
      <c r="D308" s="7" t="n">
        <v>43041</v>
      </c>
      <c r="E308" t="n">
        <v>83</v>
      </c>
      <c r="F308" t="n">
        <v>102700</v>
      </c>
      <c r="G308" t="n">
        <v>10</v>
      </c>
      <c r="H308" t="inlineStr">
        <is>
          <t>Male</t>
        </is>
      </c>
      <c r="I308" t="n">
        <v>591</v>
      </c>
    </row>
    <row r="309">
      <c r="A309" t="inlineStr">
        <is>
          <t>BOR100307</t>
        </is>
      </c>
      <c r="B309" t="inlineStr">
        <is>
          <t>Services</t>
        </is>
      </c>
      <c r="C309" t="inlineStr">
        <is>
          <t>Nairobi</t>
        </is>
      </c>
      <c r="D309" s="7" t="n">
        <v>44495</v>
      </c>
      <c r="E309" t="n">
        <v>113</v>
      </c>
      <c r="F309" t="n">
        <v>86400</v>
      </c>
      <c r="G309" t="n">
        <v>1</v>
      </c>
      <c r="H309" t="inlineStr">
        <is>
          <t>Female</t>
        </is>
      </c>
      <c r="I309" t="n">
        <v>622</v>
      </c>
    </row>
    <row r="310">
      <c r="A310" t="inlineStr">
        <is>
          <t>BOR100308</t>
        </is>
      </c>
      <c r="B310" t="inlineStr">
        <is>
          <t>Agriculture</t>
        </is>
      </c>
      <c r="C310" t="inlineStr">
        <is>
          <t>Mombasa</t>
        </is>
      </c>
      <c r="D310" s="7" t="n">
        <v>45023</v>
      </c>
      <c r="E310" t="n">
        <v>105</v>
      </c>
      <c r="F310" t="n">
        <v>68700</v>
      </c>
      <c r="G310" t="n">
        <v>11</v>
      </c>
      <c r="H310" t="inlineStr">
        <is>
          <t>Female</t>
        </is>
      </c>
      <c r="I310" t="n">
        <v>696</v>
      </c>
    </row>
    <row r="311">
      <c r="A311" t="inlineStr">
        <is>
          <t>BOR100309</t>
        </is>
      </c>
      <c r="B311" t="inlineStr">
        <is>
          <t>Retail &amp; Trade</t>
        </is>
      </c>
      <c r="C311" t="inlineStr">
        <is>
          <t>Nairobi</t>
        </is>
      </c>
      <c r="D311" s="7" t="n">
        <v>44217</v>
      </c>
      <c r="E311" t="n">
        <v>66</v>
      </c>
      <c r="F311" t="n">
        <v>54100</v>
      </c>
      <c r="G311" t="n">
        <v>14</v>
      </c>
      <c r="H311" t="inlineStr">
        <is>
          <t>Female</t>
        </is>
      </c>
      <c r="I311" t="n">
        <v>541</v>
      </c>
    </row>
    <row r="312">
      <c r="A312" t="inlineStr">
        <is>
          <t>BOR100310</t>
        </is>
      </c>
      <c r="B312" t="inlineStr">
        <is>
          <t>Services</t>
        </is>
      </c>
      <c r="C312" t="inlineStr">
        <is>
          <t>Eldoret</t>
        </is>
      </c>
      <c r="D312" s="7" t="n">
        <v>43249</v>
      </c>
      <c r="E312" t="n">
        <v>30</v>
      </c>
      <c r="F312" t="n">
        <v>127700</v>
      </c>
      <c r="G312" t="n">
        <v>13</v>
      </c>
      <c r="H312" t="inlineStr">
        <is>
          <t>Male</t>
        </is>
      </c>
      <c r="I312" t="n">
        <v>543</v>
      </c>
    </row>
    <row r="313">
      <c r="A313" t="inlineStr">
        <is>
          <t>BOR100311</t>
        </is>
      </c>
      <c r="B313" t="inlineStr">
        <is>
          <t>Transport &amp; Logistics</t>
        </is>
      </c>
      <c r="C313" t="inlineStr">
        <is>
          <t>Nairobi</t>
        </is>
      </c>
      <c r="D313" s="7" t="n">
        <v>44367</v>
      </c>
      <c r="E313" t="n">
        <v>135</v>
      </c>
      <c r="F313" t="n">
        <v>62000</v>
      </c>
      <c r="G313" t="n">
        <v>13</v>
      </c>
      <c r="H313" t="inlineStr">
        <is>
          <t>Female</t>
        </is>
      </c>
      <c r="I313" t="n">
        <v>616</v>
      </c>
    </row>
    <row r="314">
      <c r="A314" t="inlineStr">
        <is>
          <t>BOR100312</t>
        </is>
      </c>
      <c r="B314" t="inlineStr">
        <is>
          <t>Retail &amp; Trade</t>
        </is>
      </c>
      <c r="C314" t="inlineStr">
        <is>
          <t>Mombasa</t>
        </is>
      </c>
      <c r="D314" s="7" t="n">
        <v>45384</v>
      </c>
      <c r="E314" t="n">
        <v>121</v>
      </c>
      <c r="F314" t="n">
        <v>59000</v>
      </c>
      <c r="G314" t="n">
        <v>23</v>
      </c>
      <c r="H314" t="inlineStr">
        <is>
          <t>Female</t>
        </is>
      </c>
      <c r="I314" t="n">
        <v>637</v>
      </c>
    </row>
    <row r="315">
      <c r="A315" t="inlineStr">
        <is>
          <t>BOR100313</t>
        </is>
      </c>
      <c r="B315" t="inlineStr">
        <is>
          <t>Agriculture</t>
        </is>
      </c>
      <c r="C315" t="inlineStr">
        <is>
          <t>Mombasa</t>
        </is>
      </c>
      <c r="D315" s="7" t="n">
        <v>42950</v>
      </c>
      <c r="E315" t="n">
        <v>89</v>
      </c>
      <c r="F315" t="n">
        <v>78700</v>
      </c>
      <c r="G315" t="n">
        <v>20</v>
      </c>
      <c r="H315" t="inlineStr">
        <is>
          <t>Male</t>
        </is>
      </c>
      <c r="I315" t="n">
        <v>526</v>
      </c>
    </row>
    <row r="316">
      <c r="A316" t="inlineStr">
        <is>
          <t>BOR100314</t>
        </is>
      </c>
      <c r="B316" t="inlineStr">
        <is>
          <t>Agriculture</t>
        </is>
      </c>
      <c r="C316" t="inlineStr">
        <is>
          <t>Mombasa</t>
        </is>
      </c>
      <c r="D316" s="7" t="n">
        <v>44453</v>
      </c>
      <c r="E316" t="n">
        <v>15</v>
      </c>
      <c r="F316" t="n">
        <v>239800</v>
      </c>
      <c r="G316" t="n">
        <v>7</v>
      </c>
      <c r="H316" t="inlineStr">
        <is>
          <t>Male</t>
        </is>
      </c>
      <c r="I316" t="n">
        <v>593</v>
      </c>
    </row>
    <row r="317">
      <c r="A317" t="inlineStr">
        <is>
          <t>BOR100315</t>
        </is>
      </c>
      <c r="B317" t="inlineStr">
        <is>
          <t>Services</t>
        </is>
      </c>
      <c r="C317" t="inlineStr">
        <is>
          <t>Nairobi</t>
        </is>
      </c>
      <c r="D317" s="7" t="n">
        <v>44904</v>
      </c>
      <c r="E317" t="n">
        <v>7</v>
      </c>
      <c r="F317" t="n">
        <v>28600</v>
      </c>
      <c r="G317" t="n">
        <v>9</v>
      </c>
      <c r="H317" t="inlineStr">
        <is>
          <t>Female</t>
        </is>
      </c>
      <c r="I317" t="n">
        <v>592</v>
      </c>
    </row>
    <row r="318">
      <c r="A318" t="inlineStr">
        <is>
          <t>BOR100316</t>
        </is>
      </c>
      <c r="B318" t="inlineStr">
        <is>
          <t>Transport &amp; Logistics</t>
        </is>
      </c>
      <c r="C318" t="inlineStr">
        <is>
          <t>Nairobi</t>
        </is>
      </c>
      <c r="D318" s="7" t="n">
        <v>43374</v>
      </c>
      <c r="E318" t="n">
        <v>47</v>
      </c>
      <c r="F318" t="n">
        <v>125400</v>
      </c>
      <c r="G318" t="n">
        <v>17</v>
      </c>
      <c r="H318" t="inlineStr">
        <is>
          <t>Female</t>
        </is>
      </c>
      <c r="I318" t="n">
        <v>401</v>
      </c>
    </row>
    <row r="319">
      <c r="A319" t="inlineStr">
        <is>
          <t>BOR100317</t>
        </is>
      </c>
      <c r="B319" t="inlineStr">
        <is>
          <t>Transport &amp; Logistics</t>
        </is>
      </c>
      <c r="C319" t="inlineStr">
        <is>
          <t>Rural - Other</t>
        </is>
      </c>
      <c r="D319" s="7" t="n">
        <v>43656</v>
      </c>
      <c r="E319" t="n">
        <v>25</v>
      </c>
      <c r="F319" t="n">
        <v>19400</v>
      </c>
      <c r="G319" t="n">
        <v>10</v>
      </c>
      <c r="H319" t="inlineStr">
        <is>
          <t>Female</t>
        </is>
      </c>
      <c r="I319" t="n">
        <v>580</v>
      </c>
    </row>
    <row r="320">
      <c r="A320" t="inlineStr">
        <is>
          <t>BOR100318</t>
        </is>
      </c>
      <c r="B320" t="inlineStr">
        <is>
          <t>Construction</t>
        </is>
      </c>
      <c r="C320" t="inlineStr">
        <is>
          <t>Nairobi</t>
        </is>
      </c>
      <c r="D320" s="7" t="n">
        <v>45792</v>
      </c>
      <c r="E320" t="n">
        <v>125</v>
      </c>
      <c r="F320" t="n">
        <v>85100</v>
      </c>
      <c r="G320" t="n">
        <v>11</v>
      </c>
      <c r="H320" t="inlineStr">
        <is>
          <t>Male</t>
        </is>
      </c>
      <c r="I320" t="n">
        <v>586</v>
      </c>
    </row>
    <row r="321">
      <c r="A321" t="inlineStr">
        <is>
          <t>BOR100319</t>
        </is>
      </c>
      <c r="B321" t="inlineStr">
        <is>
          <t>Transport &amp; Logistics</t>
        </is>
      </c>
      <c r="C321" t="inlineStr">
        <is>
          <t>Kisumu</t>
        </is>
      </c>
      <c r="D321" s="7" t="n">
        <v>43553</v>
      </c>
      <c r="E321" t="n">
        <v>32</v>
      </c>
      <c r="F321" t="n">
        <v>220300</v>
      </c>
      <c r="G321" t="n">
        <v>5</v>
      </c>
      <c r="H321" t="inlineStr">
        <is>
          <t>Female</t>
        </is>
      </c>
      <c r="I321" t="n">
        <v>586</v>
      </c>
    </row>
    <row r="322">
      <c r="A322" t="inlineStr">
        <is>
          <t>BOR100320</t>
        </is>
      </c>
      <c r="B322" t="inlineStr">
        <is>
          <t>Agriculture</t>
        </is>
      </c>
      <c r="C322" t="inlineStr">
        <is>
          <t>Kisumu</t>
        </is>
      </c>
      <c r="D322" s="7" t="n">
        <v>44554</v>
      </c>
      <c r="E322" t="n">
        <v>43</v>
      </c>
      <c r="F322" t="n">
        <v>103000</v>
      </c>
      <c r="G322" t="n">
        <v>7</v>
      </c>
      <c r="H322" t="inlineStr">
        <is>
          <t>Male</t>
        </is>
      </c>
      <c r="I322" t="n">
        <v>727</v>
      </c>
    </row>
    <row r="323">
      <c r="A323" t="inlineStr">
        <is>
          <t>BOR100321</t>
        </is>
      </c>
      <c r="B323" t="inlineStr">
        <is>
          <t>Retail &amp; Trade</t>
        </is>
      </c>
      <c r="C323" t="inlineStr">
        <is>
          <t>Mombasa</t>
        </is>
      </c>
      <c r="D323" s="7" t="n">
        <v>42643</v>
      </c>
      <c r="E323" t="n">
        <v>141</v>
      </c>
      <c r="F323" t="n">
        <v>82400</v>
      </c>
      <c r="G323" t="n">
        <v>18</v>
      </c>
      <c r="H323" t="inlineStr">
        <is>
          <t>Male</t>
        </is>
      </c>
      <c r="I323" t="n">
        <v>491</v>
      </c>
    </row>
    <row r="324">
      <c r="A324" t="inlineStr">
        <is>
          <t>BOR100322</t>
        </is>
      </c>
      <c r="B324" t="inlineStr">
        <is>
          <t>Services</t>
        </is>
      </c>
      <c r="C324" t="inlineStr">
        <is>
          <t>Kisumu</t>
        </is>
      </c>
      <c r="D324" s="7" t="n">
        <v>45950</v>
      </c>
      <c r="E324" t="n">
        <v>119</v>
      </c>
      <c r="F324" t="n">
        <v>49400</v>
      </c>
      <c r="G324" t="n">
        <v>21</v>
      </c>
      <c r="H324" t="inlineStr">
        <is>
          <t>Male</t>
        </is>
      </c>
      <c r="I324" t="n">
        <v>526</v>
      </c>
    </row>
    <row r="325">
      <c r="A325" t="inlineStr">
        <is>
          <t>BOR100323</t>
        </is>
      </c>
      <c r="B325" t="inlineStr">
        <is>
          <t>Construction</t>
        </is>
      </c>
      <c r="C325" t="inlineStr">
        <is>
          <t>Rural - Other</t>
        </is>
      </c>
      <c r="D325" s="7" t="n">
        <v>44548</v>
      </c>
      <c r="E325" t="n">
        <v>34</v>
      </c>
      <c r="F325" t="n">
        <v>74700</v>
      </c>
      <c r="G325" t="n">
        <v>19</v>
      </c>
      <c r="H325" t="inlineStr">
        <is>
          <t>Male</t>
        </is>
      </c>
      <c r="I325" t="n">
        <v>365</v>
      </c>
    </row>
    <row r="326">
      <c r="A326" t="inlineStr">
        <is>
          <t>BOR100324</t>
        </is>
      </c>
      <c r="B326" t="inlineStr">
        <is>
          <t>Construction</t>
        </is>
      </c>
      <c r="C326" t="inlineStr">
        <is>
          <t>Rural - Other</t>
        </is>
      </c>
      <c r="D326" s="7" t="n">
        <v>45244</v>
      </c>
      <c r="E326" t="n">
        <v>57</v>
      </c>
      <c r="F326" t="n">
        <v>61300</v>
      </c>
      <c r="G326" t="n">
        <v>8</v>
      </c>
      <c r="H326" t="inlineStr">
        <is>
          <t>Female</t>
        </is>
      </c>
      <c r="I326" t="n">
        <v>557</v>
      </c>
    </row>
    <row r="327">
      <c r="A327" t="inlineStr">
        <is>
          <t>BOR100325</t>
        </is>
      </c>
      <c r="B327" t="inlineStr">
        <is>
          <t>Agriculture</t>
        </is>
      </c>
      <c r="C327" t="inlineStr">
        <is>
          <t>Nairobi</t>
        </is>
      </c>
      <c r="D327" s="7" t="n">
        <v>44572</v>
      </c>
      <c r="E327" t="n">
        <v>76</v>
      </c>
      <c r="F327" t="n">
        <v>42200</v>
      </c>
      <c r="G327" t="n">
        <v>4</v>
      </c>
      <c r="H327" t="inlineStr">
        <is>
          <t>Female</t>
        </is>
      </c>
      <c r="I327" t="n">
        <v>564</v>
      </c>
    </row>
    <row r="328">
      <c r="A328" t="inlineStr">
        <is>
          <t>BOR100326</t>
        </is>
      </c>
      <c r="B328" t="inlineStr">
        <is>
          <t>Agriculture</t>
        </is>
      </c>
      <c r="C328" t="inlineStr">
        <is>
          <t>Mombasa</t>
        </is>
      </c>
      <c r="D328" s="7" t="n">
        <v>43519</v>
      </c>
      <c r="E328" t="n">
        <v>97</v>
      </c>
      <c r="F328" t="n">
        <v>59700</v>
      </c>
      <c r="G328" t="n">
        <v>4</v>
      </c>
      <c r="H328" t="inlineStr">
        <is>
          <t>Male</t>
        </is>
      </c>
      <c r="I328" t="n">
        <v>554</v>
      </c>
    </row>
    <row r="329">
      <c r="A329" t="inlineStr">
        <is>
          <t>BOR100327</t>
        </is>
      </c>
      <c r="B329" t="inlineStr">
        <is>
          <t>Retail &amp; Trade</t>
        </is>
      </c>
      <c r="C329" t="inlineStr">
        <is>
          <t>Nairobi</t>
        </is>
      </c>
      <c r="D329" s="7" t="n">
        <v>43455</v>
      </c>
      <c r="E329" t="n">
        <v>135</v>
      </c>
      <c r="F329" t="n">
        <v>84000</v>
      </c>
      <c r="G329" t="n">
        <v>10</v>
      </c>
      <c r="H329" t="inlineStr">
        <is>
          <t>Female</t>
        </is>
      </c>
      <c r="I329" t="n">
        <v>700</v>
      </c>
    </row>
    <row r="330">
      <c r="A330" t="inlineStr">
        <is>
          <t>BOR100328</t>
        </is>
      </c>
      <c r="B330" t="inlineStr">
        <is>
          <t>Retail &amp; Trade</t>
        </is>
      </c>
      <c r="C330" t="inlineStr">
        <is>
          <t>Kisumu</t>
        </is>
      </c>
      <c r="D330" s="7" t="n">
        <v>44992</v>
      </c>
      <c r="E330" t="n">
        <v>126</v>
      </c>
      <c r="F330" t="n">
        <v>42700</v>
      </c>
      <c r="G330" t="n">
        <v>13</v>
      </c>
      <c r="H330" t="inlineStr">
        <is>
          <t>Female</t>
        </is>
      </c>
      <c r="I330" t="n">
        <v>677</v>
      </c>
    </row>
    <row r="331">
      <c r="A331" t="inlineStr">
        <is>
          <t>BOR100329</t>
        </is>
      </c>
      <c r="B331" t="inlineStr">
        <is>
          <t>Services</t>
        </is>
      </c>
      <c r="C331" t="inlineStr">
        <is>
          <t>Eldoret</t>
        </is>
      </c>
      <c r="D331" s="7" t="n">
        <v>45668</v>
      </c>
      <c r="E331" t="n">
        <v>141</v>
      </c>
      <c r="F331" t="n">
        <v>41600</v>
      </c>
      <c r="G331" t="n">
        <v>22</v>
      </c>
      <c r="H331" t="inlineStr">
        <is>
          <t>Female</t>
        </is>
      </c>
      <c r="I331" t="n">
        <v>607</v>
      </c>
    </row>
    <row r="332">
      <c r="A332" t="inlineStr">
        <is>
          <t>BOR100330</t>
        </is>
      </c>
      <c r="B332" t="inlineStr">
        <is>
          <t>Services</t>
        </is>
      </c>
      <c r="C332" t="inlineStr">
        <is>
          <t>Nairobi</t>
        </is>
      </c>
      <c r="D332" s="7" t="n">
        <v>42548</v>
      </c>
      <c r="E332" t="n">
        <v>8</v>
      </c>
      <c r="F332" t="n">
        <v>28200</v>
      </c>
      <c r="G332" t="n">
        <v>22</v>
      </c>
      <c r="H332" t="inlineStr">
        <is>
          <t>Female</t>
        </is>
      </c>
      <c r="I332" t="n">
        <v>567</v>
      </c>
    </row>
    <row r="333">
      <c r="A333" t="inlineStr">
        <is>
          <t>BOR100331</t>
        </is>
      </c>
      <c r="B333" t="inlineStr">
        <is>
          <t>Manufacturing</t>
        </is>
      </c>
      <c r="C333" t="inlineStr">
        <is>
          <t>Mombasa</t>
        </is>
      </c>
      <c r="D333" s="7" t="n">
        <v>45607</v>
      </c>
      <c r="E333" t="n">
        <v>36</v>
      </c>
      <c r="F333" t="n">
        <v>96100</v>
      </c>
      <c r="G333" t="n">
        <v>1</v>
      </c>
      <c r="H333" t="inlineStr">
        <is>
          <t>Female</t>
        </is>
      </c>
      <c r="I333" t="n">
        <v>692</v>
      </c>
    </row>
    <row r="334">
      <c r="A334" t="inlineStr">
        <is>
          <t>BOR100332</t>
        </is>
      </c>
      <c r="B334" t="inlineStr">
        <is>
          <t>Agriculture</t>
        </is>
      </c>
      <c r="C334" t="inlineStr">
        <is>
          <t>Rural - Other</t>
        </is>
      </c>
      <c r="D334" s="7" t="n">
        <v>45541</v>
      </c>
      <c r="E334" t="n">
        <v>82</v>
      </c>
      <c r="F334" t="n">
        <v>107100</v>
      </c>
      <c r="G334" t="n">
        <v>17</v>
      </c>
      <c r="H334" t="inlineStr">
        <is>
          <t>Male</t>
        </is>
      </c>
      <c r="I334" t="n">
        <v>598</v>
      </c>
    </row>
    <row r="335">
      <c r="A335" t="inlineStr">
        <is>
          <t>BOR100333</t>
        </is>
      </c>
      <c r="B335" t="inlineStr">
        <is>
          <t>Transport &amp; Logistics</t>
        </is>
      </c>
      <c r="C335" t="inlineStr">
        <is>
          <t>Nairobi</t>
        </is>
      </c>
      <c r="D335" s="7" t="n">
        <v>42469</v>
      </c>
      <c r="E335" t="n">
        <v>9</v>
      </c>
      <c r="F335" t="n">
        <v>86000</v>
      </c>
      <c r="G335" t="n">
        <v>8</v>
      </c>
      <c r="H335" t="inlineStr">
        <is>
          <t>Male</t>
        </is>
      </c>
      <c r="I335" t="n">
        <v>526</v>
      </c>
    </row>
    <row r="336">
      <c r="A336" t="inlineStr">
        <is>
          <t>BOR100334</t>
        </is>
      </c>
      <c r="B336" t="inlineStr">
        <is>
          <t>Manufacturing</t>
        </is>
      </c>
      <c r="C336" t="inlineStr">
        <is>
          <t>Kisumu</t>
        </is>
      </c>
      <c r="D336" s="7" t="n">
        <v>42465</v>
      </c>
      <c r="E336" t="n">
        <v>53</v>
      </c>
      <c r="F336" t="n">
        <v>143700</v>
      </c>
      <c r="G336" t="n">
        <v>5</v>
      </c>
      <c r="H336" t="inlineStr">
        <is>
          <t>Male</t>
        </is>
      </c>
      <c r="I336" t="n">
        <v>446</v>
      </c>
    </row>
    <row r="337">
      <c r="A337" t="inlineStr">
        <is>
          <t>BOR100335</t>
        </is>
      </c>
      <c r="B337" t="inlineStr">
        <is>
          <t>Transport &amp; Logistics</t>
        </is>
      </c>
      <c r="C337" t="inlineStr">
        <is>
          <t>Eldoret</t>
        </is>
      </c>
      <c r="D337" s="7" t="n">
        <v>44966</v>
      </c>
      <c r="E337" t="n">
        <v>24</v>
      </c>
      <c r="F337" t="n">
        <v>77800</v>
      </c>
      <c r="G337" t="n">
        <v>14</v>
      </c>
      <c r="H337" t="inlineStr">
        <is>
          <t>Male</t>
        </is>
      </c>
      <c r="I337" t="n">
        <v>560</v>
      </c>
    </row>
    <row r="338">
      <c r="A338" t="inlineStr">
        <is>
          <t>BOR100336</t>
        </is>
      </c>
      <c r="B338" t="inlineStr">
        <is>
          <t>Construction</t>
        </is>
      </c>
      <c r="C338" t="inlineStr">
        <is>
          <t>Nairobi</t>
        </is>
      </c>
      <c r="D338" s="7" t="n">
        <v>45596</v>
      </c>
      <c r="E338" t="n">
        <v>135</v>
      </c>
      <c r="F338" t="n">
        <v>96200</v>
      </c>
      <c r="G338" t="n">
        <v>1</v>
      </c>
      <c r="H338" t="inlineStr">
        <is>
          <t>Female</t>
        </is>
      </c>
      <c r="I338" t="n">
        <v>668</v>
      </c>
    </row>
    <row r="339">
      <c r="A339" t="inlineStr">
        <is>
          <t>BOR100337</t>
        </is>
      </c>
      <c r="B339" t="inlineStr">
        <is>
          <t>Agriculture</t>
        </is>
      </c>
      <c r="C339" t="inlineStr">
        <is>
          <t>Nairobi</t>
        </is>
      </c>
      <c r="D339" s="7" t="n">
        <v>43683</v>
      </c>
      <c r="E339" t="n">
        <v>11</v>
      </c>
      <c r="F339" t="n">
        <v>90500</v>
      </c>
      <c r="G339" t="n">
        <v>9</v>
      </c>
      <c r="H339" t="inlineStr">
        <is>
          <t>Male</t>
        </is>
      </c>
      <c r="I339" t="n">
        <v>805</v>
      </c>
    </row>
    <row r="340">
      <c r="A340" t="inlineStr">
        <is>
          <t>BOR100338</t>
        </is>
      </c>
      <c r="B340" t="inlineStr">
        <is>
          <t>Agriculture</t>
        </is>
      </c>
      <c r="C340" t="inlineStr">
        <is>
          <t>Nairobi</t>
        </is>
      </c>
      <c r="D340" s="7" t="n">
        <v>44734</v>
      </c>
      <c r="E340" t="n">
        <v>24</v>
      </c>
      <c r="F340" t="n">
        <v>68600</v>
      </c>
      <c r="G340" t="n">
        <v>14</v>
      </c>
      <c r="H340" t="inlineStr">
        <is>
          <t>Female</t>
        </is>
      </c>
      <c r="I340" t="n">
        <v>606</v>
      </c>
    </row>
    <row r="341">
      <c r="A341" t="inlineStr">
        <is>
          <t>BOR100339</t>
        </is>
      </c>
      <c r="B341" t="inlineStr">
        <is>
          <t>Construction</t>
        </is>
      </c>
      <c r="C341" t="inlineStr">
        <is>
          <t>Rural - Other</t>
        </is>
      </c>
      <c r="D341" s="7" t="n">
        <v>46264</v>
      </c>
      <c r="E341" t="n">
        <v>30</v>
      </c>
      <c r="F341" t="n">
        <v>50400</v>
      </c>
      <c r="G341" t="n">
        <v>7</v>
      </c>
      <c r="H341" t="inlineStr">
        <is>
          <t>Female</t>
        </is>
      </c>
      <c r="I341" t="n">
        <v>531</v>
      </c>
    </row>
    <row r="342">
      <c r="A342" t="inlineStr">
        <is>
          <t>BOR100340</t>
        </is>
      </c>
      <c r="B342" t="inlineStr">
        <is>
          <t>Services</t>
        </is>
      </c>
      <c r="C342" t="inlineStr">
        <is>
          <t>Nairobi</t>
        </is>
      </c>
      <c r="D342" s="7" t="n">
        <v>43380</v>
      </c>
      <c r="E342" t="n">
        <v>24</v>
      </c>
      <c r="F342" t="n">
        <v>344500</v>
      </c>
      <c r="G342" t="n">
        <v>15</v>
      </c>
      <c r="H342" t="inlineStr">
        <is>
          <t>Male</t>
        </is>
      </c>
      <c r="I342" t="n">
        <v>493</v>
      </c>
    </row>
    <row r="343">
      <c r="A343" t="inlineStr">
        <is>
          <t>BOR100341</t>
        </is>
      </c>
      <c r="B343" t="inlineStr">
        <is>
          <t>Agriculture</t>
        </is>
      </c>
      <c r="C343" t="inlineStr">
        <is>
          <t>Nairobi</t>
        </is>
      </c>
      <c r="D343" s="7" t="n">
        <v>42963</v>
      </c>
      <c r="E343" t="n">
        <v>83</v>
      </c>
      <c r="F343" t="n">
        <v>53300</v>
      </c>
      <c r="G343" t="n">
        <v>12</v>
      </c>
      <c r="H343" t="inlineStr">
        <is>
          <t>Female</t>
        </is>
      </c>
      <c r="I343" t="n">
        <v>650</v>
      </c>
    </row>
    <row r="344">
      <c r="A344" t="inlineStr">
        <is>
          <t>BOR100342</t>
        </is>
      </c>
      <c r="B344" t="inlineStr">
        <is>
          <t>Services</t>
        </is>
      </c>
      <c r="C344" t="inlineStr">
        <is>
          <t>Nairobi</t>
        </is>
      </c>
      <c r="D344" s="7" t="n">
        <v>46230</v>
      </c>
      <c r="E344" t="n">
        <v>54</v>
      </c>
      <c r="F344" t="n">
        <v>45900</v>
      </c>
      <c r="G344" t="n">
        <v>20</v>
      </c>
      <c r="H344" t="inlineStr">
        <is>
          <t>Female</t>
        </is>
      </c>
      <c r="I344" t="n">
        <v>441</v>
      </c>
    </row>
    <row r="345">
      <c r="A345" t="inlineStr">
        <is>
          <t>BOR100343</t>
        </is>
      </c>
      <c r="B345" t="inlineStr">
        <is>
          <t>Services</t>
        </is>
      </c>
      <c r="C345" t="inlineStr">
        <is>
          <t>Nairobi</t>
        </is>
      </c>
      <c r="D345" s="7" t="n">
        <v>43200</v>
      </c>
      <c r="E345" t="n">
        <v>132</v>
      </c>
      <c r="F345" t="n">
        <v>99100</v>
      </c>
      <c r="G345" t="n">
        <v>5</v>
      </c>
      <c r="H345" t="inlineStr">
        <is>
          <t>Female</t>
        </is>
      </c>
      <c r="I345" t="n">
        <v>650</v>
      </c>
    </row>
    <row r="346">
      <c r="A346" t="inlineStr">
        <is>
          <t>BOR100344</t>
        </is>
      </c>
      <c r="B346" t="inlineStr">
        <is>
          <t>Construction</t>
        </is>
      </c>
      <c r="C346" t="inlineStr">
        <is>
          <t>Nakuru</t>
        </is>
      </c>
      <c r="D346" s="7" t="n">
        <v>44018</v>
      </c>
      <c r="E346" t="n">
        <v>40</v>
      </c>
      <c r="F346" t="n">
        <v>87200</v>
      </c>
      <c r="G346" t="n">
        <v>2</v>
      </c>
      <c r="H346" t="inlineStr">
        <is>
          <t>Female</t>
        </is>
      </c>
      <c r="I346" t="n">
        <v>674</v>
      </c>
    </row>
    <row r="347">
      <c r="A347" t="inlineStr">
        <is>
          <t>BOR100345</t>
        </is>
      </c>
      <c r="B347" t="inlineStr">
        <is>
          <t>Agriculture</t>
        </is>
      </c>
      <c r="C347" t="inlineStr">
        <is>
          <t>Nairobi</t>
        </is>
      </c>
      <c r="D347" s="7" t="n">
        <v>43888</v>
      </c>
      <c r="E347" t="n">
        <v>79</v>
      </c>
      <c r="F347" t="n">
        <v>27400</v>
      </c>
      <c r="G347" t="n">
        <v>13</v>
      </c>
      <c r="H347" t="inlineStr">
        <is>
          <t>Female</t>
        </is>
      </c>
      <c r="I347" t="n">
        <v>639</v>
      </c>
    </row>
    <row r="348">
      <c r="A348" t="inlineStr">
        <is>
          <t>BOR100346</t>
        </is>
      </c>
      <c r="B348" t="inlineStr">
        <is>
          <t>Construction</t>
        </is>
      </c>
      <c r="C348" t="inlineStr">
        <is>
          <t>Nakuru</t>
        </is>
      </c>
      <c r="D348" s="7" t="n">
        <v>44234</v>
      </c>
      <c r="E348" t="n">
        <v>96</v>
      </c>
      <c r="F348" t="n">
        <v>160500</v>
      </c>
      <c r="G348" t="n">
        <v>7</v>
      </c>
      <c r="H348" t="inlineStr">
        <is>
          <t>Male</t>
        </is>
      </c>
      <c r="I348" t="n">
        <v>580</v>
      </c>
    </row>
    <row r="349">
      <c r="A349" t="inlineStr">
        <is>
          <t>BOR100347</t>
        </is>
      </c>
      <c r="B349" t="inlineStr">
        <is>
          <t>Construction</t>
        </is>
      </c>
      <c r="C349" t="inlineStr">
        <is>
          <t>Nakuru</t>
        </is>
      </c>
      <c r="D349" s="7" t="n">
        <v>43149</v>
      </c>
      <c r="E349" t="n">
        <v>91</v>
      </c>
      <c r="F349" t="n">
        <v>68500</v>
      </c>
      <c r="G349" t="n">
        <v>17</v>
      </c>
      <c r="H349" t="inlineStr">
        <is>
          <t>Male</t>
        </is>
      </c>
      <c r="I349" t="n">
        <v>651</v>
      </c>
    </row>
    <row r="350">
      <c r="A350" t="inlineStr">
        <is>
          <t>BOR100348</t>
        </is>
      </c>
      <c r="B350" t="inlineStr">
        <is>
          <t>Agriculture</t>
        </is>
      </c>
      <c r="C350" t="inlineStr">
        <is>
          <t>Rural - Other</t>
        </is>
      </c>
      <c r="D350" s="7" t="n">
        <v>44898</v>
      </c>
      <c r="E350" t="n">
        <v>116</v>
      </c>
      <c r="F350" t="n">
        <v>33600</v>
      </c>
      <c r="G350" t="n">
        <v>3</v>
      </c>
      <c r="H350" t="inlineStr">
        <is>
          <t>Female</t>
        </is>
      </c>
      <c r="I350" t="n">
        <v>615</v>
      </c>
    </row>
    <row r="351">
      <c r="A351" t="inlineStr">
        <is>
          <t>BOR100349</t>
        </is>
      </c>
      <c r="B351" t="inlineStr">
        <is>
          <t>Retail &amp; Trade</t>
        </is>
      </c>
      <c r="C351" t="inlineStr">
        <is>
          <t>Nairobi</t>
        </is>
      </c>
      <c r="D351" s="7" t="n">
        <v>44953</v>
      </c>
      <c r="E351" t="n">
        <v>31</v>
      </c>
      <c r="F351" t="n">
        <v>168100</v>
      </c>
      <c r="G351" t="n">
        <v>14</v>
      </c>
      <c r="H351" t="inlineStr">
        <is>
          <t>Male</t>
        </is>
      </c>
      <c r="I351" t="n">
        <v>530</v>
      </c>
    </row>
    <row r="352">
      <c r="A352" t="inlineStr">
        <is>
          <t>BOR100350</t>
        </is>
      </c>
      <c r="B352" t="inlineStr">
        <is>
          <t>Services</t>
        </is>
      </c>
      <c r="C352" t="inlineStr">
        <is>
          <t>Rural - Other</t>
        </is>
      </c>
      <c r="D352" s="7" t="n">
        <v>42859</v>
      </c>
      <c r="E352" t="n">
        <v>75</v>
      </c>
      <c r="F352" t="n">
        <v>113300</v>
      </c>
      <c r="G352" t="n">
        <v>24</v>
      </c>
      <c r="H352" t="inlineStr">
        <is>
          <t>Female</t>
        </is>
      </c>
      <c r="I352" t="n">
        <v>767</v>
      </c>
    </row>
    <row r="353">
      <c r="A353" t="inlineStr">
        <is>
          <t>BOR100351</t>
        </is>
      </c>
      <c r="B353" t="inlineStr">
        <is>
          <t>Retail &amp; Trade</t>
        </is>
      </c>
      <c r="C353" t="inlineStr">
        <is>
          <t>Nakuru</t>
        </is>
      </c>
      <c r="D353" s="7" t="n">
        <v>44054</v>
      </c>
      <c r="E353" t="n">
        <v>116</v>
      </c>
      <c r="F353" t="n">
        <v>30200</v>
      </c>
      <c r="G353" t="n">
        <v>3</v>
      </c>
      <c r="H353" t="inlineStr">
        <is>
          <t>Male</t>
        </is>
      </c>
      <c r="I353" t="n">
        <v>568</v>
      </c>
    </row>
    <row r="354">
      <c r="A354" t="inlineStr">
        <is>
          <t>BOR100352</t>
        </is>
      </c>
      <c r="B354" t="inlineStr">
        <is>
          <t>Agriculture</t>
        </is>
      </c>
      <c r="C354" t="inlineStr">
        <is>
          <t>Nairobi</t>
        </is>
      </c>
      <c r="D354" s="7" t="n">
        <v>42249</v>
      </c>
      <c r="E354" t="n">
        <v>125</v>
      </c>
      <c r="F354" t="n">
        <v>253700</v>
      </c>
      <c r="G354" t="n">
        <v>8</v>
      </c>
      <c r="H354" t="inlineStr">
        <is>
          <t>Female</t>
        </is>
      </c>
      <c r="I354" t="n">
        <v>670</v>
      </c>
    </row>
    <row r="355">
      <c r="A355" t="inlineStr">
        <is>
          <t>BOR100353</t>
        </is>
      </c>
      <c r="B355" t="inlineStr">
        <is>
          <t>Manufacturing</t>
        </is>
      </c>
      <c r="C355" t="inlineStr">
        <is>
          <t>Rural - Other</t>
        </is>
      </c>
      <c r="D355" s="7" t="n">
        <v>42946</v>
      </c>
      <c r="E355" t="n">
        <v>90</v>
      </c>
      <c r="F355" t="n">
        <v>116000</v>
      </c>
      <c r="G355" t="n">
        <v>21</v>
      </c>
      <c r="H355" t="inlineStr">
        <is>
          <t>Female</t>
        </is>
      </c>
      <c r="I355" t="n">
        <v>382</v>
      </c>
    </row>
    <row r="356">
      <c r="A356" t="inlineStr">
        <is>
          <t>BOR100354</t>
        </is>
      </c>
      <c r="B356" t="inlineStr">
        <is>
          <t>Construction</t>
        </is>
      </c>
      <c r="C356" t="inlineStr">
        <is>
          <t>Rural - Other</t>
        </is>
      </c>
      <c r="D356" s="7" t="n">
        <v>46211</v>
      </c>
      <c r="E356" t="n">
        <v>95</v>
      </c>
      <c r="F356" t="n">
        <v>72600</v>
      </c>
      <c r="G356" t="n">
        <v>13</v>
      </c>
      <c r="H356" t="inlineStr">
        <is>
          <t>Female</t>
        </is>
      </c>
      <c r="I356" t="n">
        <v>715</v>
      </c>
    </row>
    <row r="357">
      <c r="A357" t="inlineStr">
        <is>
          <t>BOR100355</t>
        </is>
      </c>
      <c r="B357" t="inlineStr">
        <is>
          <t>Construction</t>
        </is>
      </c>
      <c r="C357" t="inlineStr">
        <is>
          <t>Nairobi</t>
        </is>
      </c>
      <c r="D357" s="7" t="n">
        <v>44162</v>
      </c>
      <c r="E357" t="n">
        <v>125</v>
      </c>
      <c r="F357" t="n">
        <v>222600</v>
      </c>
      <c r="G357" t="n">
        <v>5</v>
      </c>
      <c r="H357" t="inlineStr">
        <is>
          <t>Male</t>
        </is>
      </c>
      <c r="I357" t="n">
        <v>732</v>
      </c>
    </row>
    <row r="358">
      <c r="A358" t="inlineStr">
        <is>
          <t>BOR100356</t>
        </is>
      </c>
      <c r="B358" t="inlineStr">
        <is>
          <t>Retail &amp; Trade</t>
        </is>
      </c>
      <c r="C358" t="inlineStr">
        <is>
          <t>Rural - Other</t>
        </is>
      </c>
      <c r="D358" s="7" t="n">
        <v>44658</v>
      </c>
      <c r="E358" t="n">
        <v>91</v>
      </c>
      <c r="F358" t="n">
        <v>81800</v>
      </c>
      <c r="G358" t="n">
        <v>6</v>
      </c>
      <c r="H358" t="inlineStr">
        <is>
          <t>Male</t>
        </is>
      </c>
      <c r="I358" t="n">
        <v>603</v>
      </c>
    </row>
    <row r="359">
      <c r="A359" t="inlineStr">
        <is>
          <t>BOR100357</t>
        </is>
      </c>
      <c r="B359" t="inlineStr">
        <is>
          <t>Construction</t>
        </is>
      </c>
      <c r="C359" t="inlineStr">
        <is>
          <t>Kisumu</t>
        </is>
      </c>
      <c r="D359" s="7" t="n">
        <v>45792</v>
      </c>
      <c r="E359" t="n">
        <v>137</v>
      </c>
      <c r="F359" t="n">
        <v>71700</v>
      </c>
      <c r="G359" t="n">
        <v>19</v>
      </c>
      <c r="H359" t="inlineStr">
        <is>
          <t>Male</t>
        </is>
      </c>
      <c r="I359" t="n">
        <v>650</v>
      </c>
    </row>
    <row r="360">
      <c r="A360" t="inlineStr">
        <is>
          <t>BOR100358</t>
        </is>
      </c>
      <c r="B360" t="inlineStr">
        <is>
          <t>Retail &amp; Trade</t>
        </is>
      </c>
      <c r="C360" t="inlineStr">
        <is>
          <t>Nakuru</t>
        </is>
      </c>
      <c r="D360" s="7" t="n">
        <v>45046</v>
      </c>
      <c r="E360" t="n">
        <v>21</v>
      </c>
      <c r="F360" t="n">
        <v>46100</v>
      </c>
      <c r="G360" t="n">
        <v>21</v>
      </c>
      <c r="H360" t="inlineStr">
        <is>
          <t>Male</t>
        </is>
      </c>
      <c r="I360" t="n">
        <v>650</v>
      </c>
    </row>
    <row r="361">
      <c r="A361" t="inlineStr">
        <is>
          <t>BOR100359</t>
        </is>
      </c>
      <c r="B361" t="inlineStr">
        <is>
          <t>Transport &amp; Logistics</t>
        </is>
      </c>
      <c r="C361" t="inlineStr">
        <is>
          <t>Rural - Other</t>
        </is>
      </c>
      <c r="D361" s="7" t="n">
        <v>45381</v>
      </c>
      <c r="E361" t="n">
        <v>52</v>
      </c>
      <c r="F361" t="n">
        <v>109900</v>
      </c>
      <c r="G361" t="n">
        <v>9</v>
      </c>
      <c r="H361" t="inlineStr">
        <is>
          <t>Female</t>
        </is>
      </c>
      <c r="I361" t="n">
        <v>542</v>
      </c>
    </row>
    <row r="362">
      <c r="A362" t="inlineStr">
        <is>
          <t>BOR100360</t>
        </is>
      </c>
      <c r="B362" t="inlineStr">
        <is>
          <t>Construction</t>
        </is>
      </c>
      <c r="C362" t="inlineStr">
        <is>
          <t>Mombasa</t>
        </is>
      </c>
      <c r="D362" s="7" t="n">
        <v>45039</v>
      </c>
      <c r="E362" t="n">
        <v>18</v>
      </c>
      <c r="F362" t="n">
        <v>102100</v>
      </c>
      <c r="G362" t="n">
        <v>12</v>
      </c>
      <c r="H362" t="inlineStr">
        <is>
          <t>Female</t>
        </is>
      </c>
      <c r="I362" t="n">
        <v>649</v>
      </c>
    </row>
    <row r="363">
      <c r="A363" t="inlineStr">
        <is>
          <t>BOR100361</t>
        </is>
      </c>
      <c r="B363" t="inlineStr">
        <is>
          <t>Construction</t>
        </is>
      </c>
      <c r="C363" t="inlineStr">
        <is>
          <t>Rural - Other</t>
        </is>
      </c>
      <c r="D363" s="7" t="n">
        <v>44130</v>
      </c>
      <c r="E363" t="n">
        <v>15</v>
      </c>
      <c r="F363" t="n">
        <v>73900</v>
      </c>
      <c r="G363" t="n">
        <v>19</v>
      </c>
      <c r="H363" t="inlineStr">
        <is>
          <t>Female</t>
        </is>
      </c>
      <c r="I363" t="n">
        <v>527</v>
      </c>
    </row>
    <row r="364">
      <c r="A364" t="inlineStr">
        <is>
          <t>BOR100362</t>
        </is>
      </c>
      <c r="B364" t="inlineStr">
        <is>
          <t>Agriculture</t>
        </is>
      </c>
      <c r="C364" t="inlineStr">
        <is>
          <t>Mombasa</t>
        </is>
      </c>
      <c r="D364" s="7" t="n">
        <v>44700</v>
      </c>
      <c r="E364" t="n">
        <v>70</v>
      </c>
      <c r="F364" t="n">
        <v>42100</v>
      </c>
      <c r="G364" t="n">
        <v>5</v>
      </c>
      <c r="H364" t="inlineStr">
        <is>
          <t>Female</t>
        </is>
      </c>
      <c r="I364" t="n">
        <v>545</v>
      </c>
    </row>
    <row r="365">
      <c r="A365" t="inlineStr">
        <is>
          <t>BOR100363</t>
        </is>
      </c>
      <c r="B365" t="inlineStr">
        <is>
          <t>Construction</t>
        </is>
      </c>
      <c r="C365" t="inlineStr">
        <is>
          <t>Rural - Other</t>
        </is>
      </c>
      <c r="D365" s="7" t="n">
        <v>43234</v>
      </c>
      <c r="E365" t="n">
        <v>35</v>
      </c>
      <c r="F365" t="n">
        <v>80100</v>
      </c>
      <c r="G365" t="n">
        <v>5</v>
      </c>
      <c r="H365" t="inlineStr">
        <is>
          <t>Female</t>
        </is>
      </c>
      <c r="I365" t="n">
        <v>701</v>
      </c>
    </row>
    <row r="366">
      <c r="A366" t="inlineStr">
        <is>
          <t>BOR100364</t>
        </is>
      </c>
      <c r="B366" t="inlineStr">
        <is>
          <t>Retail &amp; Trade</t>
        </is>
      </c>
      <c r="C366" t="inlineStr">
        <is>
          <t>Nakuru</t>
        </is>
      </c>
      <c r="D366" s="7" t="n">
        <v>45799</v>
      </c>
      <c r="E366" t="n">
        <v>60</v>
      </c>
      <c r="F366" t="n">
        <v>69600</v>
      </c>
      <c r="G366" t="n">
        <v>19</v>
      </c>
      <c r="H366" t="inlineStr">
        <is>
          <t>Female</t>
        </is>
      </c>
      <c r="I366" t="n">
        <v>688</v>
      </c>
    </row>
    <row r="367">
      <c r="A367" t="inlineStr">
        <is>
          <t>BOR100365</t>
        </is>
      </c>
      <c r="B367" t="inlineStr">
        <is>
          <t>Services</t>
        </is>
      </c>
      <c r="C367" t="inlineStr">
        <is>
          <t>Nairobi</t>
        </is>
      </c>
      <c r="D367" s="7" t="n">
        <v>42771</v>
      </c>
      <c r="E367" t="n">
        <v>65</v>
      </c>
      <c r="F367" t="n">
        <v>28800</v>
      </c>
      <c r="G367" t="n">
        <v>5</v>
      </c>
      <c r="H367" t="inlineStr">
        <is>
          <t>Female</t>
        </is>
      </c>
      <c r="I367" t="n">
        <v>536</v>
      </c>
    </row>
    <row r="368">
      <c r="A368" t="inlineStr">
        <is>
          <t>BOR100366</t>
        </is>
      </c>
      <c r="B368" t="inlineStr">
        <is>
          <t>Manufacturing</t>
        </is>
      </c>
      <c r="C368" t="inlineStr">
        <is>
          <t>Mombasa</t>
        </is>
      </c>
      <c r="D368" s="7" t="n">
        <v>45772</v>
      </c>
      <c r="E368" t="n">
        <v>91</v>
      </c>
      <c r="F368" t="n">
        <v>26100</v>
      </c>
      <c r="G368" t="n">
        <v>19</v>
      </c>
      <c r="H368" t="inlineStr">
        <is>
          <t>Male</t>
        </is>
      </c>
      <c r="I368" t="n">
        <v>534</v>
      </c>
    </row>
    <row r="369">
      <c r="A369" t="inlineStr">
        <is>
          <t>BOR100367</t>
        </is>
      </c>
      <c r="B369" t="inlineStr">
        <is>
          <t>Agriculture</t>
        </is>
      </c>
      <c r="C369" t="inlineStr">
        <is>
          <t>Mombasa</t>
        </is>
      </c>
      <c r="D369" s="7" t="n">
        <v>45747</v>
      </c>
      <c r="E369" t="n">
        <v>137</v>
      </c>
      <c r="F369" t="n">
        <v>108600</v>
      </c>
      <c r="G369" t="n">
        <v>12</v>
      </c>
      <c r="H369" t="inlineStr">
        <is>
          <t>Female</t>
        </is>
      </c>
      <c r="I369" t="n">
        <v>542</v>
      </c>
    </row>
    <row r="370">
      <c r="A370" t="inlineStr">
        <is>
          <t>BOR100368</t>
        </is>
      </c>
      <c r="B370" t="inlineStr">
        <is>
          <t>Retail &amp; Trade</t>
        </is>
      </c>
      <c r="C370" t="inlineStr">
        <is>
          <t>Nairobi</t>
        </is>
      </c>
      <c r="D370" s="7" t="n">
        <v>42611</v>
      </c>
      <c r="E370" t="n">
        <v>123</v>
      </c>
      <c r="F370" t="n">
        <v>15000</v>
      </c>
      <c r="G370" t="n">
        <v>24</v>
      </c>
      <c r="H370" t="inlineStr">
        <is>
          <t>Male</t>
        </is>
      </c>
      <c r="I370" t="n">
        <v>666</v>
      </c>
    </row>
    <row r="371">
      <c r="A371" t="inlineStr">
        <is>
          <t>BOR100369</t>
        </is>
      </c>
      <c r="B371" t="inlineStr">
        <is>
          <t>Transport &amp; Logistics</t>
        </is>
      </c>
      <c r="C371" t="inlineStr">
        <is>
          <t>Nairobi</t>
        </is>
      </c>
      <c r="D371" s="7" t="n">
        <v>45031</v>
      </c>
      <c r="E371" t="n">
        <v>56</v>
      </c>
      <c r="F371" t="n">
        <v>84400</v>
      </c>
      <c r="G371" t="n">
        <v>1</v>
      </c>
      <c r="H371" t="inlineStr">
        <is>
          <t>Male</t>
        </is>
      </c>
      <c r="I371" t="n">
        <v>510</v>
      </c>
    </row>
    <row r="372">
      <c r="A372" t="inlineStr">
        <is>
          <t>BOR100370</t>
        </is>
      </c>
      <c r="B372" t="inlineStr">
        <is>
          <t>Manufacturing</t>
        </is>
      </c>
      <c r="C372" t="inlineStr">
        <is>
          <t>Mombasa</t>
        </is>
      </c>
      <c r="D372" s="7" t="n">
        <v>46221</v>
      </c>
      <c r="E372" t="n">
        <v>49</v>
      </c>
      <c r="F372" t="n">
        <v>52300</v>
      </c>
      <c r="G372" t="n">
        <v>23</v>
      </c>
      <c r="H372" t="inlineStr">
        <is>
          <t>Female</t>
        </is>
      </c>
      <c r="I372" t="n">
        <v>632</v>
      </c>
    </row>
    <row r="373">
      <c r="A373" t="inlineStr">
        <is>
          <t>BOR100371</t>
        </is>
      </c>
      <c r="B373" t="inlineStr">
        <is>
          <t>Services</t>
        </is>
      </c>
      <c r="C373" t="inlineStr">
        <is>
          <t>Nairobi</t>
        </is>
      </c>
      <c r="D373" s="7" t="n">
        <v>44442</v>
      </c>
      <c r="E373" t="n">
        <v>112</v>
      </c>
      <c r="F373" t="n">
        <v>182700</v>
      </c>
      <c r="G373" t="n">
        <v>6</v>
      </c>
      <c r="H373" t="inlineStr">
        <is>
          <t>Female</t>
        </is>
      </c>
      <c r="I373" t="n">
        <v>667</v>
      </c>
    </row>
    <row r="374">
      <c r="A374" t="inlineStr">
        <is>
          <t>BOR100372</t>
        </is>
      </c>
      <c r="B374" t="inlineStr">
        <is>
          <t>Manufacturing</t>
        </is>
      </c>
      <c r="C374" t="inlineStr">
        <is>
          <t>Nairobi</t>
        </is>
      </c>
      <c r="D374" s="7" t="n">
        <v>43455</v>
      </c>
      <c r="E374" t="n">
        <v>20</v>
      </c>
      <c r="F374" t="n">
        <v>51800</v>
      </c>
      <c r="G374" t="n">
        <v>1</v>
      </c>
      <c r="H374" t="inlineStr">
        <is>
          <t>Male</t>
        </is>
      </c>
      <c r="I374" t="n">
        <v>592</v>
      </c>
    </row>
    <row r="375">
      <c r="A375" t="inlineStr">
        <is>
          <t>BOR100373</t>
        </is>
      </c>
      <c r="B375" t="inlineStr">
        <is>
          <t>Manufacturing</t>
        </is>
      </c>
      <c r="C375" t="inlineStr">
        <is>
          <t>Eldoret</t>
        </is>
      </c>
      <c r="D375" s="7" t="n">
        <v>45752</v>
      </c>
      <c r="E375" t="n">
        <v>79</v>
      </c>
      <c r="F375" t="n">
        <v>116000</v>
      </c>
      <c r="G375" t="n">
        <v>18</v>
      </c>
      <c r="H375" t="inlineStr">
        <is>
          <t>Male</t>
        </is>
      </c>
      <c r="I375" t="n">
        <v>691</v>
      </c>
    </row>
    <row r="376">
      <c r="A376" t="inlineStr">
        <is>
          <t>BOR100374</t>
        </is>
      </c>
      <c r="B376" t="inlineStr">
        <is>
          <t>Construction</t>
        </is>
      </c>
      <c r="C376" t="inlineStr">
        <is>
          <t>Eldoret</t>
        </is>
      </c>
      <c r="D376" s="7" t="n">
        <v>44189</v>
      </c>
      <c r="E376" t="n">
        <v>63</v>
      </c>
      <c r="F376" t="n">
        <v>55400</v>
      </c>
      <c r="G376" t="n">
        <v>13</v>
      </c>
      <c r="H376" t="inlineStr">
        <is>
          <t>Female</t>
        </is>
      </c>
      <c r="I376" t="n">
        <v>573</v>
      </c>
    </row>
    <row r="377">
      <c r="A377" t="inlineStr">
        <is>
          <t>BOR100375</t>
        </is>
      </c>
      <c r="B377" t="inlineStr">
        <is>
          <t>Retail &amp; Trade</t>
        </is>
      </c>
      <c r="C377" t="inlineStr">
        <is>
          <t>Eldoret</t>
        </is>
      </c>
      <c r="D377" s="7" t="n">
        <v>42523</v>
      </c>
      <c r="E377" t="n">
        <v>28</v>
      </c>
      <c r="F377" t="n">
        <v>79200</v>
      </c>
      <c r="G377" t="n">
        <v>21</v>
      </c>
      <c r="H377" t="inlineStr">
        <is>
          <t>Female</t>
        </is>
      </c>
      <c r="I377" t="n">
        <v>581</v>
      </c>
    </row>
    <row r="378">
      <c r="A378" t="inlineStr">
        <is>
          <t>BOR100376</t>
        </is>
      </c>
      <c r="B378" t="inlineStr">
        <is>
          <t>Transport &amp; Logistics</t>
        </is>
      </c>
      <c r="C378" t="inlineStr">
        <is>
          <t>Mombasa</t>
        </is>
      </c>
      <c r="D378" s="7" t="n">
        <v>43067</v>
      </c>
      <c r="E378" t="n">
        <v>90</v>
      </c>
      <c r="F378" t="n">
        <v>122500</v>
      </c>
      <c r="G378" t="n">
        <v>3</v>
      </c>
      <c r="H378" t="inlineStr">
        <is>
          <t>Male</t>
        </is>
      </c>
      <c r="I378" t="n">
        <v>512</v>
      </c>
    </row>
    <row r="379">
      <c r="A379" t="inlineStr">
        <is>
          <t>BOR100377</t>
        </is>
      </c>
      <c r="B379" t="inlineStr">
        <is>
          <t>Transport &amp; Logistics</t>
        </is>
      </c>
      <c r="C379" t="inlineStr">
        <is>
          <t>Rural - Other</t>
        </is>
      </c>
      <c r="D379" s="7" t="n">
        <v>44913</v>
      </c>
      <c r="E379" t="n">
        <v>48</v>
      </c>
      <c r="F379" t="n">
        <v>52900</v>
      </c>
      <c r="G379" t="n">
        <v>2</v>
      </c>
      <c r="H379" t="inlineStr">
        <is>
          <t>Male</t>
        </is>
      </c>
      <c r="I379" t="n">
        <v>692</v>
      </c>
    </row>
    <row r="380">
      <c r="A380" t="inlineStr">
        <is>
          <t>BOR100378</t>
        </is>
      </c>
      <c r="B380" t="inlineStr">
        <is>
          <t>Manufacturing</t>
        </is>
      </c>
      <c r="C380" t="inlineStr">
        <is>
          <t>Nakuru</t>
        </is>
      </c>
      <c r="D380" s="7" t="n">
        <v>43945</v>
      </c>
      <c r="E380" t="n">
        <v>29</v>
      </c>
      <c r="F380" t="n">
        <v>146900</v>
      </c>
      <c r="G380" t="n">
        <v>14</v>
      </c>
      <c r="H380" t="inlineStr">
        <is>
          <t>Female</t>
        </is>
      </c>
      <c r="I380" t="n">
        <v>531</v>
      </c>
    </row>
    <row r="381">
      <c r="A381" t="inlineStr">
        <is>
          <t>BOR100379</t>
        </is>
      </c>
      <c r="B381" t="inlineStr">
        <is>
          <t>Agriculture</t>
        </is>
      </c>
      <c r="C381" t="inlineStr">
        <is>
          <t>Nairobi</t>
        </is>
      </c>
      <c r="D381" s="7" t="n">
        <v>42928</v>
      </c>
      <c r="E381" t="n">
        <v>95</v>
      </c>
      <c r="F381" t="n">
        <v>36500</v>
      </c>
      <c r="G381" t="n">
        <v>22</v>
      </c>
      <c r="H381" t="inlineStr">
        <is>
          <t>Female</t>
        </is>
      </c>
      <c r="I381" t="n">
        <v>631</v>
      </c>
    </row>
    <row r="382">
      <c r="A382" t="inlineStr">
        <is>
          <t>BOR100380</t>
        </is>
      </c>
      <c r="B382" t="inlineStr">
        <is>
          <t>Retail &amp; Trade</t>
        </is>
      </c>
      <c r="C382" t="inlineStr">
        <is>
          <t>Nairobi</t>
        </is>
      </c>
      <c r="D382" s="7" t="n">
        <v>45409</v>
      </c>
      <c r="E382" t="n">
        <v>27</v>
      </c>
      <c r="F382" t="n">
        <v>89900</v>
      </c>
      <c r="G382" t="n">
        <v>10</v>
      </c>
      <c r="H382" t="inlineStr">
        <is>
          <t>Male</t>
        </is>
      </c>
      <c r="I382" t="n">
        <v>594</v>
      </c>
    </row>
    <row r="383">
      <c r="A383" t="inlineStr">
        <is>
          <t>BOR100381</t>
        </is>
      </c>
      <c r="B383" t="inlineStr">
        <is>
          <t>Construction</t>
        </is>
      </c>
      <c r="C383" t="inlineStr">
        <is>
          <t>Eldoret</t>
        </is>
      </c>
      <c r="D383" s="7" t="n">
        <v>42518</v>
      </c>
      <c r="E383" t="n">
        <v>98</v>
      </c>
      <c r="F383" t="n">
        <v>139500</v>
      </c>
      <c r="G383" t="n">
        <v>20</v>
      </c>
      <c r="H383" t="inlineStr">
        <is>
          <t>Female</t>
        </is>
      </c>
      <c r="I383" t="n">
        <v>505</v>
      </c>
    </row>
    <row r="384">
      <c r="A384" t="inlineStr">
        <is>
          <t>BOR100382</t>
        </is>
      </c>
      <c r="B384" t="inlineStr">
        <is>
          <t>Construction</t>
        </is>
      </c>
      <c r="C384" t="inlineStr">
        <is>
          <t>Nairobi</t>
        </is>
      </c>
      <c r="D384" s="7" t="n">
        <v>42938</v>
      </c>
      <c r="E384" t="n">
        <v>26</v>
      </c>
      <c r="F384" t="n">
        <v>116100</v>
      </c>
      <c r="G384" t="n">
        <v>22</v>
      </c>
      <c r="H384" t="inlineStr">
        <is>
          <t>Male</t>
        </is>
      </c>
      <c r="I384" t="n">
        <v>545</v>
      </c>
    </row>
    <row r="385">
      <c r="A385" t="inlineStr">
        <is>
          <t>BOR100383</t>
        </is>
      </c>
      <c r="B385" t="inlineStr">
        <is>
          <t>Agriculture</t>
        </is>
      </c>
      <c r="C385" t="inlineStr">
        <is>
          <t>Kisumu</t>
        </is>
      </c>
      <c r="D385" s="7" t="n">
        <v>43988</v>
      </c>
      <c r="E385" t="n">
        <v>64</v>
      </c>
      <c r="F385" t="n">
        <v>279700</v>
      </c>
      <c r="G385" t="n">
        <v>21</v>
      </c>
      <c r="H385" t="inlineStr">
        <is>
          <t>Female</t>
        </is>
      </c>
      <c r="I385" t="n">
        <v>724</v>
      </c>
    </row>
    <row r="386">
      <c r="A386" t="inlineStr">
        <is>
          <t>BOR100384</t>
        </is>
      </c>
      <c r="B386" t="inlineStr">
        <is>
          <t>Retail &amp; Trade</t>
        </is>
      </c>
      <c r="C386" t="inlineStr">
        <is>
          <t>Rural - Other</t>
        </is>
      </c>
      <c r="D386" s="7" t="n">
        <v>42173</v>
      </c>
      <c r="E386" t="n">
        <v>117</v>
      </c>
      <c r="F386" t="n">
        <v>42900</v>
      </c>
      <c r="G386" t="n">
        <v>13</v>
      </c>
      <c r="H386" t="inlineStr">
        <is>
          <t>Female</t>
        </is>
      </c>
      <c r="I386" t="n">
        <v>618</v>
      </c>
    </row>
    <row r="387">
      <c r="A387" t="inlineStr">
        <is>
          <t>BOR100385</t>
        </is>
      </c>
      <c r="B387" t="inlineStr">
        <is>
          <t>Retail &amp; Trade</t>
        </is>
      </c>
      <c r="C387" t="inlineStr">
        <is>
          <t>Nairobi</t>
        </is>
      </c>
      <c r="D387" s="7" t="n">
        <v>43655</v>
      </c>
      <c r="E387" t="n">
        <v>35</v>
      </c>
      <c r="F387" t="n">
        <v>27900</v>
      </c>
      <c r="G387" t="n">
        <v>17</v>
      </c>
      <c r="H387" t="inlineStr">
        <is>
          <t>Female</t>
        </is>
      </c>
      <c r="I387" t="n">
        <v>509</v>
      </c>
    </row>
    <row r="388">
      <c r="A388" t="inlineStr">
        <is>
          <t>BOR100386</t>
        </is>
      </c>
      <c r="B388" t="inlineStr">
        <is>
          <t>Retail &amp; Trade</t>
        </is>
      </c>
      <c r="C388" t="inlineStr">
        <is>
          <t>Nairobi</t>
        </is>
      </c>
      <c r="D388" s="7" t="n">
        <v>45882</v>
      </c>
      <c r="E388" t="n">
        <v>112</v>
      </c>
      <c r="F388" t="n">
        <v>36500</v>
      </c>
      <c r="G388" t="n">
        <v>13</v>
      </c>
      <c r="H388" t="inlineStr">
        <is>
          <t>Female</t>
        </is>
      </c>
      <c r="I388" t="n">
        <v>627</v>
      </c>
    </row>
    <row r="389">
      <c r="A389" t="inlineStr">
        <is>
          <t>BOR100387</t>
        </is>
      </c>
      <c r="B389" t="inlineStr">
        <is>
          <t>Transport &amp; Logistics</t>
        </is>
      </c>
      <c r="C389" t="inlineStr">
        <is>
          <t>Rural - Other</t>
        </is>
      </c>
      <c r="D389" s="7" t="n">
        <v>46015</v>
      </c>
      <c r="E389" t="n">
        <v>105</v>
      </c>
      <c r="F389" t="n">
        <v>116100</v>
      </c>
      <c r="G389" t="n">
        <v>17</v>
      </c>
      <c r="H389" t="inlineStr">
        <is>
          <t>Male</t>
        </is>
      </c>
      <c r="I389" t="n">
        <v>587</v>
      </c>
    </row>
    <row r="390">
      <c r="A390" t="inlineStr">
        <is>
          <t>BOR100388</t>
        </is>
      </c>
      <c r="B390" t="inlineStr">
        <is>
          <t>Construction</t>
        </is>
      </c>
      <c r="C390" t="inlineStr">
        <is>
          <t>Nakuru</t>
        </is>
      </c>
      <c r="D390" s="7" t="n">
        <v>45720</v>
      </c>
      <c r="E390" t="n">
        <v>131</v>
      </c>
      <c r="F390" t="n">
        <v>103600</v>
      </c>
      <c r="G390" t="n">
        <v>14</v>
      </c>
      <c r="H390" t="inlineStr">
        <is>
          <t>Female</t>
        </is>
      </c>
      <c r="I390" t="n">
        <v>850</v>
      </c>
    </row>
    <row r="391">
      <c r="A391" t="inlineStr">
        <is>
          <t>BOR100389</t>
        </is>
      </c>
      <c r="B391" t="inlineStr">
        <is>
          <t>Retail &amp; Trade</t>
        </is>
      </c>
      <c r="C391" t="inlineStr">
        <is>
          <t>Nairobi</t>
        </is>
      </c>
      <c r="D391" s="7" t="n">
        <v>43385</v>
      </c>
      <c r="E391" t="n">
        <v>26</v>
      </c>
      <c r="F391" t="n">
        <v>78600</v>
      </c>
      <c r="G391" t="n">
        <v>13</v>
      </c>
      <c r="H391" t="inlineStr">
        <is>
          <t>Male</t>
        </is>
      </c>
      <c r="I391" t="n">
        <v>626</v>
      </c>
    </row>
    <row r="392">
      <c r="A392" t="inlineStr">
        <is>
          <t>BOR100390</t>
        </is>
      </c>
      <c r="B392" t="inlineStr">
        <is>
          <t>Transport &amp; Logistics</t>
        </is>
      </c>
      <c r="C392" t="inlineStr">
        <is>
          <t>Rural - Other</t>
        </is>
      </c>
      <c r="D392" s="7" t="n">
        <v>42281</v>
      </c>
      <c r="E392" t="n">
        <v>104</v>
      </c>
      <c r="F392" t="n">
        <v>33300</v>
      </c>
      <c r="G392" t="n">
        <v>11</v>
      </c>
      <c r="H392" t="inlineStr">
        <is>
          <t>Female</t>
        </is>
      </c>
      <c r="I392" t="n">
        <v>566</v>
      </c>
    </row>
    <row r="393">
      <c r="A393" t="inlineStr">
        <is>
          <t>BOR100391</t>
        </is>
      </c>
      <c r="B393" t="inlineStr">
        <is>
          <t>Agriculture</t>
        </is>
      </c>
      <c r="C393" t="inlineStr">
        <is>
          <t>Rural - Other</t>
        </is>
      </c>
      <c r="D393" s="7" t="n">
        <v>45477</v>
      </c>
      <c r="E393" t="n">
        <v>136</v>
      </c>
      <c r="F393" t="n">
        <v>125100</v>
      </c>
      <c r="G393" t="n">
        <v>16</v>
      </c>
      <c r="H393" t="inlineStr">
        <is>
          <t>Male</t>
        </is>
      </c>
      <c r="I393" t="n">
        <v>728</v>
      </c>
    </row>
    <row r="394">
      <c r="A394" t="inlineStr">
        <is>
          <t>BOR100392</t>
        </is>
      </c>
      <c r="B394" t="inlineStr">
        <is>
          <t>Manufacturing</t>
        </is>
      </c>
      <c r="C394" t="inlineStr">
        <is>
          <t>Kisumu</t>
        </is>
      </c>
      <c r="D394" s="7" t="n">
        <v>43595</v>
      </c>
      <c r="E394" t="n">
        <v>111</v>
      </c>
      <c r="F394" t="n">
        <v>31000</v>
      </c>
      <c r="G394" t="n">
        <v>19</v>
      </c>
      <c r="H394" t="inlineStr">
        <is>
          <t>Male</t>
        </is>
      </c>
      <c r="I394" t="n">
        <v>434</v>
      </c>
    </row>
    <row r="395">
      <c r="A395" t="inlineStr">
        <is>
          <t>BOR100393</t>
        </is>
      </c>
      <c r="B395" t="inlineStr">
        <is>
          <t>Services</t>
        </is>
      </c>
      <c r="C395" t="inlineStr">
        <is>
          <t>Nakuru</t>
        </is>
      </c>
      <c r="D395" s="7" t="n">
        <v>45195</v>
      </c>
      <c r="E395" t="n">
        <v>29</v>
      </c>
      <c r="F395" t="n">
        <v>164600</v>
      </c>
      <c r="G395" t="n">
        <v>23</v>
      </c>
      <c r="H395" t="inlineStr">
        <is>
          <t>Male</t>
        </is>
      </c>
      <c r="I395" t="n">
        <v>608</v>
      </c>
    </row>
    <row r="396">
      <c r="A396" t="inlineStr">
        <is>
          <t>BOR100394</t>
        </is>
      </c>
      <c r="B396" t="inlineStr">
        <is>
          <t>Transport &amp; Logistics</t>
        </is>
      </c>
      <c r="C396" t="inlineStr">
        <is>
          <t>Nairobi</t>
        </is>
      </c>
      <c r="D396" s="7" t="n">
        <v>42512</v>
      </c>
      <c r="E396" t="n">
        <v>119</v>
      </c>
      <c r="F396" t="n">
        <v>540500</v>
      </c>
      <c r="G396" t="n">
        <v>15</v>
      </c>
      <c r="H396" t="inlineStr">
        <is>
          <t>Female</t>
        </is>
      </c>
      <c r="I396" t="n">
        <v>779</v>
      </c>
    </row>
    <row r="397">
      <c r="A397" t="inlineStr">
        <is>
          <t>BOR100395</t>
        </is>
      </c>
      <c r="B397" t="inlineStr">
        <is>
          <t>Construction</t>
        </is>
      </c>
      <c r="C397" t="inlineStr">
        <is>
          <t>Nairobi</t>
        </is>
      </c>
      <c r="D397" s="7" t="n">
        <v>44851</v>
      </c>
      <c r="E397" t="n">
        <v>18</v>
      </c>
      <c r="F397" t="n">
        <v>94500</v>
      </c>
      <c r="G397" t="n">
        <v>3</v>
      </c>
      <c r="H397" t="inlineStr">
        <is>
          <t>Male</t>
        </is>
      </c>
      <c r="I397" t="n">
        <v>590</v>
      </c>
    </row>
    <row r="398">
      <c r="A398" t="inlineStr">
        <is>
          <t>BOR100396</t>
        </is>
      </c>
      <c r="B398" t="inlineStr">
        <is>
          <t>Retail &amp; Trade</t>
        </is>
      </c>
      <c r="C398" t="inlineStr">
        <is>
          <t>Nakuru</t>
        </is>
      </c>
      <c r="D398" s="7" t="n">
        <v>44503</v>
      </c>
      <c r="E398" t="n">
        <v>86</v>
      </c>
      <c r="F398" t="n">
        <v>110000</v>
      </c>
      <c r="G398" t="n">
        <v>15</v>
      </c>
      <c r="H398" t="inlineStr">
        <is>
          <t>Male</t>
        </is>
      </c>
      <c r="I398" t="n">
        <v>444</v>
      </c>
    </row>
    <row r="399">
      <c r="A399" t="inlineStr">
        <is>
          <t>BOR100397</t>
        </is>
      </c>
      <c r="B399" t="inlineStr">
        <is>
          <t>Agriculture</t>
        </is>
      </c>
      <c r="C399" t="inlineStr">
        <is>
          <t>Mombasa</t>
        </is>
      </c>
      <c r="D399" s="7" t="n">
        <v>45926</v>
      </c>
      <c r="E399" t="n">
        <v>73</v>
      </c>
      <c r="F399" t="n">
        <v>51800</v>
      </c>
      <c r="G399" t="n">
        <v>8</v>
      </c>
      <c r="H399" t="inlineStr">
        <is>
          <t>Male</t>
        </is>
      </c>
      <c r="I399" t="n">
        <v>564</v>
      </c>
    </row>
    <row r="400">
      <c r="A400" t="inlineStr">
        <is>
          <t>BOR100398</t>
        </is>
      </c>
      <c r="B400" t="inlineStr">
        <is>
          <t>Agriculture</t>
        </is>
      </c>
      <c r="C400" t="inlineStr">
        <is>
          <t>Eldoret</t>
        </is>
      </c>
      <c r="D400" s="7" t="n">
        <v>42439</v>
      </c>
      <c r="E400" t="n">
        <v>78</v>
      </c>
      <c r="F400" t="n">
        <v>20600</v>
      </c>
      <c r="G400" t="n">
        <v>1</v>
      </c>
      <c r="H400" t="inlineStr">
        <is>
          <t>Female</t>
        </is>
      </c>
      <c r="I400" t="n">
        <v>731</v>
      </c>
    </row>
    <row r="401">
      <c r="A401" t="inlineStr">
        <is>
          <t>BOR100399</t>
        </is>
      </c>
      <c r="B401" t="inlineStr">
        <is>
          <t>Agriculture</t>
        </is>
      </c>
      <c r="C401" t="inlineStr">
        <is>
          <t>Rural - Other</t>
        </is>
      </c>
      <c r="D401" s="7" t="n">
        <v>43743</v>
      </c>
      <c r="E401" t="n">
        <v>76</v>
      </c>
      <c r="F401" t="n">
        <v>48000</v>
      </c>
      <c r="G401" t="n">
        <v>2</v>
      </c>
      <c r="H401" t="inlineStr">
        <is>
          <t>Female</t>
        </is>
      </c>
      <c r="I401" t="n">
        <v>634</v>
      </c>
    </row>
    <row r="402">
      <c r="A402" t="inlineStr">
        <is>
          <t>BOR100400</t>
        </is>
      </c>
      <c r="B402" t="inlineStr">
        <is>
          <t>Construction</t>
        </is>
      </c>
      <c r="C402" t="inlineStr">
        <is>
          <t>Nairobi</t>
        </is>
      </c>
      <c r="D402" s="7" t="n">
        <v>46223</v>
      </c>
      <c r="E402" t="n">
        <v>7</v>
      </c>
      <c r="F402" t="n">
        <v>34000</v>
      </c>
      <c r="G402" t="n">
        <v>15</v>
      </c>
      <c r="H402" t="inlineStr">
        <is>
          <t>Female</t>
        </is>
      </c>
      <c r="I402" t="n">
        <v>525</v>
      </c>
    </row>
    <row r="403">
      <c r="A403" t="inlineStr">
        <is>
          <t>BOR100401</t>
        </is>
      </c>
      <c r="B403" t="inlineStr">
        <is>
          <t>Transport &amp; Logistics</t>
        </is>
      </c>
      <c r="C403" t="inlineStr">
        <is>
          <t>Nakuru</t>
        </is>
      </c>
      <c r="D403" s="7" t="n">
        <v>43665</v>
      </c>
      <c r="E403" t="n">
        <v>75</v>
      </c>
      <c r="F403" t="n">
        <v>26600</v>
      </c>
      <c r="G403" t="n">
        <v>23</v>
      </c>
      <c r="H403" t="inlineStr">
        <is>
          <t>Male</t>
        </is>
      </c>
      <c r="I403" t="n">
        <v>538</v>
      </c>
    </row>
    <row r="404">
      <c r="A404" t="inlineStr">
        <is>
          <t>BOR100402</t>
        </is>
      </c>
      <c r="B404" t="inlineStr">
        <is>
          <t>Agriculture</t>
        </is>
      </c>
      <c r="C404" t="inlineStr">
        <is>
          <t>Nairobi</t>
        </is>
      </c>
      <c r="D404" s="7" t="n">
        <v>44808</v>
      </c>
      <c r="E404" t="n">
        <v>136</v>
      </c>
      <c r="F404" t="n">
        <v>244200</v>
      </c>
      <c r="G404" t="n">
        <v>13</v>
      </c>
      <c r="H404" t="inlineStr">
        <is>
          <t>Male</t>
        </is>
      </c>
      <c r="I404" t="n">
        <v>550</v>
      </c>
    </row>
    <row r="405">
      <c r="A405" t="inlineStr">
        <is>
          <t>BOR100403</t>
        </is>
      </c>
      <c r="B405" t="inlineStr">
        <is>
          <t>Construction</t>
        </is>
      </c>
      <c r="C405" t="inlineStr">
        <is>
          <t>Rural - Other</t>
        </is>
      </c>
      <c r="D405" s="7" t="n">
        <v>42690</v>
      </c>
      <c r="E405" t="n">
        <v>65</v>
      </c>
      <c r="F405" t="n">
        <v>88500</v>
      </c>
      <c r="G405" t="n">
        <v>11</v>
      </c>
      <c r="H405" t="inlineStr">
        <is>
          <t>Female</t>
        </is>
      </c>
      <c r="I405" t="n">
        <v>633</v>
      </c>
    </row>
    <row r="406">
      <c r="A406" t="inlineStr">
        <is>
          <t>BOR100404</t>
        </is>
      </c>
      <c r="B406" t="inlineStr">
        <is>
          <t>Manufacturing</t>
        </is>
      </c>
      <c r="C406" t="inlineStr">
        <is>
          <t>Nairobi</t>
        </is>
      </c>
      <c r="D406" s="7" t="n">
        <v>45108</v>
      </c>
      <c r="E406" t="n">
        <v>42</v>
      </c>
      <c r="F406" t="n">
        <v>95400</v>
      </c>
      <c r="G406" t="n">
        <v>3</v>
      </c>
      <c r="H406" t="inlineStr">
        <is>
          <t>Male</t>
        </is>
      </c>
      <c r="I406" t="n">
        <v>720</v>
      </c>
    </row>
    <row r="407">
      <c r="A407" t="inlineStr">
        <is>
          <t>BOR100405</t>
        </is>
      </c>
      <c r="B407" t="inlineStr">
        <is>
          <t>Services</t>
        </is>
      </c>
      <c r="C407" t="inlineStr">
        <is>
          <t>Nakuru</t>
        </is>
      </c>
      <c r="D407" s="7" t="n">
        <v>43180</v>
      </c>
      <c r="E407" t="n">
        <v>144</v>
      </c>
      <c r="F407" t="n">
        <v>58900</v>
      </c>
      <c r="G407" t="n">
        <v>17</v>
      </c>
      <c r="H407" t="inlineStr">
        <is>
          <t>Male</t>
        </is>
      </c>
      <c r="I407" t="n">
        <v>695</v>
      </c>
    </row>
    <row r="408">
      <c r="A408" t="inlineStr">
        <is>
          <t>BOR100406</t>
        </is>
      </c>
      <c r="B408" t="inlineStr">
        <is>
          <t>Manufacturing</t>
        </is>
      </c>
      <c r="C408" t="inlineStr">
        <is>
          <t>Nakuru</t>
        </is>
      </c>
      <c r="D408" s="7" t="n">
        <v>44443</v>
      </c>
      <c r="E408" t="n">
        <v>17</v>
      </c>
      <c r="F408" t="n">
        <v>64800</v>
      </c>
      <c r="G408" t="n">
        <v>2</v>
      </c>
      <c r="H408" t="inlineStr">
        <is>
          <t>Female</t>
        </is>
      </c>
      <c r="I408" t="n">
        <v>641</v>
      </c>
    </row>
    <row r="409">
      <c r="A409" t="inlineStr">
        <is>
          <t>BOR100407</t>
        </is>
      </c>
      <c r="B409" t="inlineStr">
        <is>
          <t>Retail &amp; Trade</t>
        </is>
      </c>
      <c r="C409" t="inlineStr">
        <is>
          <t>Mombasa</t>
        </is>
      </c>
      <c r="D409" s="7" t="n">
        <v>45753</v>
      </c>
      <c r="E409" t="n">
        <v>72</v>
      </c>
      <c r="F409" t="n">
        <v>143700</v>
      </c>
      <c r="G409" t="n">
        <v>21</v>
      </c>
      <c r="H409" t="inlineStr">
        <is>
          <t>Female</t>
        </is>
      </c>
      <c r="I409" t="n">
        <v>480</v>
      </c>
    </row>
    <row r="410">
      <c r="A410" t="inlineStr">
        <is>
          <t>BOR100408</t>
        </is>
      </c>
      <c r="B410" t="inlineStr">
        <is>
          <t>Construction</t>
        </is>
      </c>
      <c r="C410" t="inlineStr">
        <is>
          <t>Eldoret</t>
        </is>
      </c>
      <c r="D410" s="7" t="n">
        <v>44821</v>
      </c>
      <c r="E410" t="n">
        <v>75</v>
      </c>
      <c r="F410" t="n">
        <v>71500</v>
      </c>
      <c r="G410" t="n">
        <v>20</v>
      </c>
      <c r="H410" t="inlineStr">
        <is>
          <t>Male</t>
        </is>
      </c>
      <c r="I410" t="n">
        <v>480</v>
      </c>
    </row>
    <row r="411">
      <c r="A411" t="inlineStr">
        <is>
          <t>BOR100409</t>
        </is>
      </c>
      <c r="B411" t="inlineStr">
        <is>
          <t>Retail &amp; Trade</t>
        </is>
      </c>
      <c r="C411" t="inlineStr">
        <is>
          <t>Eldoret</t>
        </is>
      </c>
      <c r="D411" s="7" t="n">
        <v>44026</v>
      </c>
      <c r="E411" t="n">
        <v>70</v>
      </c>
      <c r="F411" t="n">
        <v>106000</v>
      </c>
      <c r="G411" t="n">
        <v>24</v>
      </c>
      <c r="H411" t="inlineStr">
        <is>
          <t>Male</t>
        </is>
      </c>
      <c r="I411" t="n">
        <v>648</v>
      </c>
    </row>
    <row r="412">
      <c r="A412" t="inlineStr">
        <is>
          <t>BOR100410</t>
        </is>
      </c>
      <c r="B412" t="inlineStr">
        <is>
          <t>Agriculture</t>
        </is>
      </c>
      <c r="C412" t="inlineStr">
        <is>
          <t>Nakuru</t>
        </is>
      </c>
      <c r="D412" s="7" t="n">
        <v>42814</v>
      </c>
      <c r="E412" t="n">
        <v>133</v>
      </c>
      <c r="F412" t="n">
        <v>63800</v>
      </c>
      <c r="G412" t="n">
        <v>7</v>
      </c>
      <c r="H412" t="inlineStr">
        <is>
          <t>Female</t>
        </is>
      </c>
      <c r="I412" t="n">
        <v>479</v>
      </c>
    </row>
    <row r="413">
      <c r="A413" t="inlineStr">
        <is>
          <t>BOR100411</t>
        </is>
      </c>
      <c r="B413" t="inlineStr">
        <is>
          <t>Agriculture</t>
        </is>
      </c>
      <c r="C413" t="inlineStr">
        <is>
          <t>Eldoret</t>
        </is>
      </c>
      <c r="D413" s="7" t="n">
        <v>43459</v>
      </c>
      <c r="E413" t="n">
        <v>62</v>
      </c>
      <c r="F413" t="n">
        <v>57600</v>
      </c>
      <c r="G413" t="n">
        <v>4</v>
      </c>
      <c r="H413" t="inlineStr">
        <is>
          <t>Male</t>
        </is>
      </c>
      <c r="I413" t="n">
        <v>580</v>
      </c>
    </row>
    <row r="414">
      <c r="A414" t="inlineStr">
        <is>
          <t>BOR100412</t>
        </is>
      </c>
      <c r="B414" t="inlineStr">
        <is>
          <t>Agriculture</t>
        </is>
      </c>
      <c r="C414" t="inlineStr">
        <is>
          <t>Rural - Other</t>
        </is>
      </c>
      <c r="D414" s="7" t="n">
        <v>45623</v>
      </c>
      <c r="E414" t="n">
        <v>141</v>
      </c>
      <c r="F414" t="n">
        <v>27300</v>
      </c>
      <c r="G414" t="n">
        <v>8</v>
      </c>
      <c r="H414" t="inlineStr">
        <is>
          <t>Male</t>
        </is>
      </c>
      <c r="I414" t="n">
        <v>627</v>
      </c>
    </row>
    <row r="415">
      <c r="A415" t="inlineStr">
        <is>
          <t>BOR100413</t>
        </is>
      </c>
      <c r="B415" t="inlineStr">
        <is>
          <t>Retail &amp; Trade</t>
        </is>
      </c>
      <c r="C415" t="inlineStr">
        <is>
          <t>Mombasa</t>
        </is>
      </c>
      <c r="D415" s="7" t="n">
        <v>42925</v>
      </c>
      <c r="E415" t="n">
        <v>12</v>
      </c>
      <c r="F415" t="n">
        <v>18300</v>
      </c>
      <c r="G415" t="n">
        <v>20</v>
      </c>
      <c r="H415" t="inlineStr">
        <is>
          <t>Male</t>
        </is>
      </c>
      <c r="I415" t="n">
        <v>498</v>
      </c>
    </row>
    <row r="416">
      <c r="A416" t="inlineStr">
        <is>
          <t>BOR100414</t>
        </is>
      </c>
      <c r="B416" t="inlineStr">
        <is>
          <t>Retail &amp; Trade</t>
        </is>
      </c>
      <c r="C416" t="inlineStr">
        <is>
          <t>Kisumu</t>
        </is>
      </c>
      <c r="D416" s="7" t="n">
        <v>44801</v>
      </c>
      <c r="E416" t="n">
        <v>107</v>
      </c>
      <c r="F416" t="n">
        <v>60900</v>
      </c>
      <c r="G416" t="n">
        <v>6</v>
      </c>
      <c r="H416" t="inlineStr">
        <is>
          <t>Male</t>
        </is>
      </c>
      <c r="I416" t="n">
        <v>508</v>
      </c>
    </row>
    <row r="417">
      <c r="A417" t="inlineStr">
        <is>
          <t>BOR100415</t>
        </is>
      </c>
      <c r="B417" t="inlineStr">
        <is>
          <t>Transport &amp; Logistics</t>
        </is>
      </c>
      <c r="C417" t="inlineStr">
        <is>
          <t>Nairobi</t>
        </is>
      </c>
      <c r="D417" s="7" t="n">
        <v>44071</v>
      </c>
      <c r="E417" t="n">
        <v>87</v>
      </c>
      <c r="F417" t="n">
        <v>76100</v>
      </c>
      <c r="G417" t="n">
        <v>22</v>
      </c>
      <c r="H417" t="inlineStr">
        <is>
          <t>Male</t>
        </is>
      </c>
      <c r="I417" t="n">
        <v>592</v>
      </c>
    </row>
    <row r="418">
      <c r="A418" t="inlineStr">
        <is>
          <t>BOR100416</t>
        </is>
      </c>
      <c r="B418" t="inlineStr">
        <is>
          <t>Construction</t>
        </is>
      </c>
      <c r="C418" t="inlineStr">
        <is>
          <t>Rural - Other</t>
        </is>
      </c>
      <c r="D418" s="7" t="n">
        <v>43372</v>
      </c>
      <c r="E418" t="n">
        <v>37</v>
      </c>
      <c r="F418" t="n">
        <v>29700</v>
      </c>
      <c r="G418" t="n">
        <v>4</v>
      </c>
      <c r="H418" t="inlineStr">
        <is>
          <t>Female</t>
        </is>
      </c>
      <c r="I418" t="n">
        <v>645</v>
      </c>
    </row>
    <row r="419">
      <c r="A419" t="inlineStr">
        <is>
          <t>BOR100417</t>
        </is>
      </c>
      <c r="B419" t="inlineStr">
        <is>
          <t>Retail &amp; Trade</t>
        </is>
      </c>
      <c r="C419" t="inlineStr">
        <is>
          <t>Kisumu</t>
        </is>
      </c>
      <c r="D419" s="7" t="n">
        <v>45058</v>
      </c>
      <c r="E419" t="n">
        <v>35</v>
      </c>
      <c r="F419" t="n">
        <v>71400</v>
      </c>
      <c r="G419" t="n">
        <v>2</v>
      </c>
      <c r="H419" t="inlineStr">
        <is>
          <t>Female</t>
        </is>
      </c>
      <c r="I419" t="n">
        <v>696</v>
      </c>
    </row>
    <row r="420">
      <c r="A420" t="inlineStr">
        <is>
          <t>BOR100418</t>
        </is>
      </c>
      <c r="B420" t="inlineStr">
        <is>
          <t>Agriculture</t>
        </is>
      </c>
      <c r="C420" t="inlineStr">
        <is>
          <t>Mombasa</t>
        </is>
      </c>
      <c r="D420" s="7" t="n">
        <v>43548</v>
      </c>
      <c r="E420" t="n">
        <v>105</v>
      </c>
      <c r="F420" t="n">
        <v>75900</v>
      </c>
      <c r="G420" t="n">
        <v>6</v>
      </c>
      <c r="H420" t="inlineStr">
        <is>
          <t>Female</t>
        </is>
      </c>
      <c r="I420" t="n">
        <v>655</v>
      </c>
    </row>
    <row r="421">
      <c r="A421" t="inlineStr">
        <is>
          <t>BOR100419</t>
        </is>
      </c>
      <c r="B421" t="inlineStr">
        <is>
          <t>Services</t>
        </is>
      </c>
      <c r="C421" t="inlineStr">
        <is>
          <t>Nairobi</t>
        </is>
      </c>
      <c r="D421" s="7" t="n">
        <v>43226</v>
      </c>
      <c r="E421" t="n">
        <v>93</v>
      </c>
      <c r="F421" t="n">
        <v>16200</v>
      </c>
      <c r="G421" t="n">
        <v>19</v>
      </c>
      <c r="H421" t="inlineStr">
        <is>
          <t>Female</t>
        </is>
      </c>
      <c r="I421" t="n">
        <v>607</v>
      </c>
    </row>
    <row r="422">
      <c r="A422" t="inlineStr">
        <is>
          <t>BOR100420</t>
        </is>
      </c>
      <c r="B422" t="inlineStr">
        <is>
          <t>Construction</t>
        </is>
      </c>
      <c r="C422" t="inlineStr">
        <is>
          <t>Rural - Other</t>
        </is>
      </c>
      <c r="D422" s="7" t="n">
        <v>44260</v>
      </c>
      <c r="E422" t="n">
        <v>89</v>
      </c>
      <c r="F422" t="n">
        <v>38500</v>
      </c>
      <c r="G422" t="n">
        <v>15</v>
      </c>
      <c r="H422" t="inlineStr">
        <is>
          <t>Male</t>
        </is>
      </c>
      <c r="I422" t="n">
        <v>533</v>
      </c>
    </row>
    <row r="423">
      <c r="A423" t="inlineStr">
        <is>
          <t>BOR100421</t>
        </is>
      </c>
      <c r="B423" t="inlineStr">
        <is>
          <t>Transport &amp; Logistics</t>
        </is>
      </c>
      <c r="C423" t="inlineStr">
        <is>
          <t>Mombasa</t>
        </is>
      </c>
      <c r="D423" s="7" t="n">
        <v>45233</v>
      </c>
      <c r="E423" t="n">
        <v>10</v>
      </c>
      <c r="F423" t="n">
        <v>97300</v>
      </c>
      <c r="G423" t="n">
        <v>9</v>
      </c>
      <c r="H423" t="inlineStr">
        <is>
          <t>Female</t>
        </is>
      </c>
      <c r="I423" t="n">
        <v>504</v>
      </c>
    </row>
    <row r="424">
      <c r="A424" t="inlineStr">
        <is>
          <t>BOR100422</t>
        </is>
      </c>
      <c r="B424" t="inlineStr">
        <is>
          <t>Transport &amp; Logistics</t>
        </is>
      </c>
      <c r="C424" t="inlineStr">
        <is>
          <t>Eldoret</t>
        </is>
      </c>
      <c r="D424" s="7" t="n">
        <v>45687</v>
      </c>
      <c r="E424" t="n">
        <v>87</v>
      </c>
      <c r="F424" t="n">
        <v>95900</v>
      </c>
      <c r="G424" t="n">
        <v>16</v>
      </c>
      <c r="H424" t="inlineStr">
        <is>
          <t>Female</t>
        </is>
      </c>
      <c r="I424" t="n">
        <v>554</v>
      </c>
    </row>
    <row r="425">
      <c r="A425" t="inlineStr">
        <is>
          <t>BOR100423</t>
        </is>
      </c>
      <c r="B425" t="inlineStr">
        <is>
          <t>Services</t>
        </is>
      </c>
      <c r="C425" t="inlineStr">
        <is>
          <t>Nairobi</t>
        </is>
      </c>
      <c r="D425" s="7" t="n">
        <v>44688</v>
      </c>
      <c r="E425" t="n">
        <v>142</v>
      </c>
      <c r="F425" t="n">
        <v>32600</v>
      </c>
      <c r="G425" t="n">
        <v>16</v>
      </c>
      <c r="H425" t="inlineStr">
        <is>
          <t>Female</t>
        </is>
      </c>
      <c r="I425" t="n">
        <v>637</v>
      </c>
    </row>
    <row r="426">
      <c r="A426" t="inlineStr">
        <is>
          <t>BOR100424</t>
        </is>
      </c>
      <c r="B426" t="inlineStr">
        <is>
          <t>Manufacturing</t>
        </is>
      </c>
      <c r="C426" t="inlineStr">
        <is>
          <t>Rural - Other</t>
        </is>
      </c>
      <c r="D426" s="7" t="n">
        <v>44825</v>
      </c>
      <c r="E426" t="n">
        <v>5</v>
      </c>
      <c r="F426" t="n">
        <v>81700</v>
      </c>
      <c r="G426" t="n">
        <v>14</v>
      </c>
      <c r="H426" t="inlineStr">
        <is>
          <t>Female</t>
        </is>
      </c>
      <c r="I426" t="n">
        <v>630</v>
      </c>
    </row>
    <row r="427">
      <c r="A427" t="inlineStr">
        <is>
          <t>BOR100425</t>
        </is>
      </c>
      <c r="B427" t="inlineStr">
        <is>
          <t>Agriculture</t>
        </is>
      </c>
      <c r="C427" t="inlineStr">
        <is>
          <t>Nairobi</t>
        </is>
      </c>
      <c r="D427" s="7" t="n">
        <v>45360</v>
      </c>
      <c r="E427" t="n">
        <v>69</v>
      </c>
      <c r="F427" t="n">
        <v>149600</v>
      </c>
      <c r="G427" t="n">
        <v>13</v>
      </c>
      <c r="H427" t="inlineStr">
        <is>
          <t>Female</t>
        </is>
      </c>
      <c r="I427" t="n">
        <v>411</v>
      </c>
    </row>
    <row r="428">
      <c r="A428" t="inlineStr">
        <is>
          <t>BOR100426</t>
        </is>
      </c>
      <c r="B428" t="inlineStr">
        <is>
          <t>Construction</t>
        </is>
      </c>
      <c r="C428" t="inlineStr">
        <is>
          <t>Nairobi</t>
        </is>
      </c>
      <c r="D428" s="7" t="n">
        <v>43152</v>
      </c>
      <c r="E428" t="n">
        <v>73</v>
      </c>
      <c r="F428" t="n">
        <v>126000</v>
      </c>
      <c r="G428" t="n">
        <v>3</v>
      </c>
      <c r="H428" t="inlineStr">
        <is>
          <t>Male</t>
        </is>
      </c>
      <c r="I428" t="n">
        <v>529</v>
      </c>
    </row>
    <row r="429">
      <c r="A429" t="inlineStr">
        <is>
          <t>BOR100427</t>
        </is>
      </c>
      <c r="B429" t="inlineStr">
        <is>
          <t>Transport &amp; Logistics</t>
        </is>
      </c>
      <c r="C429" t="inlineStr">
        <is>
          <t>Rural - Other</t>
        </is>
      </c>
      <c r="D429" s="7" t="n">
        <v>43074</v>
      </c>
      <c r="E429" t="n">
        <v>130</v>
      </c>
      <c r="F429" t="n">
        <v>68400</v>
      </c>
      <c r="G429" t="n">
        <v>7</v>
      </c>
      <c r="H429" t="inlineStr">
        <is>
          <t>Male</t>
        </is>
      </c>
      <c r="I429" t="n">
        <v>708</v>
      </c>
    </row>
    <row r="430">
      <c r="A430" t="inlineStr">
        <is>
          <t>BOR100428</t>
        </is>
      </c>
      <c r="B430" t="inlineStr">
        <is>
          <t>Retail &amp; Trade</t>
        </is>
      </c>
      <c r="C430" t="inlineStr">
        <is>
          <t>Rural - Other</t>
        </is>
      </c>
      <c r="D430" s="7" t="n">
        <v>44067</v>
      </c>
      <c r="E430" t="n">
        <v>43</v>
      </c>
      <c r="F430" t="n">
        <v>52700</v>
      </c>
      <c r="G430" t="n">
        <v>13</v>
      </c>
      <c r="H430" t="inlineStr">
        <is>
          <t>Female</t>
        </is>
      </c>
      <c r="I430" t="n">
        <v>607</v>
      </c>
    </row>
    <row r="431">
      <c r="A431" t="inlineStr">
        <is>
          <t>BOR100429</t>
        </is>
      </c>
      <c r="B431" t="inlineStr">
        <is>
          <t>Transport &amp; Logistics</t>
        </is>
      </c>
      <c r="C431" t="inlineStr">
        <is>
          <t>Nairobi</t>
        </is>
      </c>
      <c r="D431" s="7" t="n">
        <v>44693</v>
      </c>
      <c r="E431" t="n">
        <v>70</v>
      </c>
      <c r="F431" t="n">
        <v>47100</v>
      </c>
      <c r="G431" t="n">
        <v>4</v>
      </c>
      <c r="H431" t="inlineStr">
        <is>
          <t>Male</t>
        </is>
      </c>
      <c r="I431" t="n">
        <v>472</v>
      </c>
    </row>
    <row r="432">
      <c r="A432" t="inlineStr">
        <is>
          <t>BOR100430</t>
        </is>
      </c>
      <c r="B432" t="inlineStr">
        <is>
          <t>Retail &amp; Trade</t>
        </is>
      </c>
      <c r="C432" t="inlineStr">
        <is>
          <t>Kisumu</t>
        </is>
      </c>
      <c r="D432" s="7" t="n">
        <v>44757</v>
      </c>
      <c r="E432" t="n">
        <v>104</v>
      </c>
      <c r="F432" t="n">
        <v>101500</v>
      </c>
      <c r="G432" t="n">
        <v>12</v>
      </c>
      <c r="H432" t="inlineStr">
        <is>
          <t>Male</t>
        </is>
      </c>
      <c r="I432" t="n">
        <v>812</v>
      </c>
    </row>
    <row r="433">
      <c r="A433" t="inlineStr">
        <is>
          <t>BOR100431</t>
        </is>
      </c>
      <c r="B433" t="inlineStr">
        <is>
          <t>Transport &amp; Logistics</t>
        </is>
      </c>
      <c r="C433" t="inlineStr">
        <is>
          <t>Eldoret</t>
        </is>
      </c>
      <c r="D433" s="7" t="n">
        <v>42660</v>
      </c>
      <c r="E433" t="n">
        <v>11</v>
      </c>
      <c r="F433" t="n">
        <v>83800</v>
      </c>
      <c r="G433" t="n">
        <v>3</v>
      </c>
      <c r="H433" t="inlineStr">
        <is>
          <t>Female</t>
        </is>
      </c>
      <c r="I433" t="n">
        <v>597</v>
      </c>
    </row>
    <row r="434">
      <c r="A434" t="inlineStr">
        <is>
          <t>BOR100432</t>
        </is>
      </c>
      <c r="B434" t="inlineStr">
        <is>
          <t>Transport &amp; Logistics</t>
        </is>
      </c>
      <c r="C434" t="inlineStr">
        <is>
          <t>Rural - Other</t>
        </is>
      </c>
      <c r="D434" s="7" t="n">
        <v>45331</v>
      </c>
      <c r="E434" t="n">
        <v>116</v>
      </c>
      <c r="F434" t="n">
        <v>113600</v>
      </c>
      <c r="G434" t="n">
        <v>19</v>
      </c>
      <c r="H434" t="inlineStr">
        <is>
          <t>Male</t>
        </is>
      </c>
      <c r="I434" t="n">
        <v>635</v>
      </c>
    </row>
    <row r="435">
      <c r="A435" t="inlineStr">
        <is>
          <t>BOR100433</t>
        </is>
      </c>
      <c r="B435" t="inlineStr">
        <is>
          <t>Retail &amp; Trade</t>
        </is>
      </c>
      <c r="C435" t="inlineStr">
        <is>
          <t>Mombasa</t>
        </is>
      </c>
      <c r="D435" s="7" t="n">
        <v>43555</v>
      </c>
      <c r="E435" t="n">
        <v>119</v>
      </c>
      <c r="F435" t="n">
        <v>80200</v>
      </c>
      <c r="G435" t="n">
        <v>3</v>
      </c>
      <c r="H435" t="inlineStr">
        <is>
          <t>Female</t>
        </is>
      </c>
      <c r="I435" t="n">
        <v>636</v>
      </c>
    </row>
    <row r="436">
      <c r="A436" t="inlineStr">
        <is>
          <t>BOR100434</t>
        </is>
      </c>
      <c r="B436" t="inlineStr">
        <is>
          <t>Manufacturing</t>
        </is>
      </c>
      <c r="C436" t="inlineStr">
        <is>
          <t>Kisumu</t>
        </is>
      </c>
      <c r="D436" s="7" t="n">
        <v>45743</v>
      </c>
      <c r="E436" t="n">
        <v>105</v>
      </c>
      <c r="F436" t="n">
        <v>129700</v>
      </c>
      <c r="G436" t="n">
        <v>3</v>
      </c>
      <c r="H436" t="inlineStr">
        <is>
          <t>Female</t>
        </is>
      </c>
      <c r="I436" t="n">
        <v>567</v>
      </c>
    </row>
    <row r="437">
      <c r="A437" t="inlineStr">
        <is>
          <t>BOR100435</t>
        </is>
      </c>
      <c r="B437" t="inlineStr">
        <is>
          <t>Retail &amp; Trade</t>
        </is>
      </c>
      <c r="C437" t="inlineStr">
        <is>
          <t>Eldoret</t>
        </is>
      </c>
      <c r="D437" s="7" t="n">
        <v>45091</v>
      </c>
      <c r="E437" t="n">
        <v>95</v>
      </c>
      <c r="F437" t="n">
        <v>78100</v>
      </c>
      <c r="G437" t="n">
        <v>16</v>
      </c>
      <c r="H437" t="inlineStr">
        <is>
          <t>Male</t>
        </is>
      </c>
      <c r="I437" t="n">
        <v>535</v>
      </c>
    </row>
    <row r="438">
      <c r="A438" t="inlineStr">
        <is>
          <t>BOR100436</t>
        </is>
      </c>
      <c r="B438" t="inlineStr">
        <is>
          <t>Services</t>
        </is>
      </c>
      <c r="C438" t="inlineStr">
        <is>
          <t>Eldoret</t>
        </is>
      </c>
      <c r="D438" s="7" t="n">
        <v>46193</v>
      </c>
      <c r="E438" t="n">
        <v>109</v>
      </c>
      <c r="F438" t="n">
        <v>126700</v>
      </c>
      <c r="G438" t="n">
        <v>6</v>
      </c>
      <c r="H438" t="inlineStr">
        <is>
          <t>Female</t>
        </is>
      </c>
      <c r="I438" t="n">
        <v>791</v>
      </c>
    </row>
    <row r="439">
      <c r="A439" t="inlineStr">
        <is>
          <t>BOR100437</t>
        </is>
      </c>
      <c r="B439" t="inlineStr">
        <is>
          <t>Construction</t>
        </is>
      </c>
      <c r="C439" t="inlineStr">
        <is>
          <t>Rural - Other</t>
        </is>
      </c>
      <c r="D439" s="7" t="n">
        <v>44696</v>
      </c>
      <c r="E439" t="n">
        <v>114</v>
      </c>
      <c r="F439" t="n">
        <v>134500</v>
      </c>
      <c r="G439" t="n">
        <v>9</v>
      </c>
      <c r="H439" t="inlineStr">
        <is>
          <t>Male</t>
        </is>
      </c>
      <c r="I439" t="n">
        <v>690</v>
      </c>
    </row>
    <row r="440">
      <c r="A440" t="inlineStr">
        <is>
          <t>BOR100438</t>
        </is>
      </c>
      <c r="B440" t="inlineStr">
        <is>
          <t>Retail &amp; Trade</t>
        </is>
      </c>
      <c r="C440" t="inlineStr">
        <is>
          <t>Nakuru</t>
        </is>
      </c>
      <c r="D440" s="7" t="n">
        <v>44252</v>
      </c>
      <c r="E440" t="n">
        <v>131</v>
      </c>
      <c r="F440" t="n">
        <v>41600</v>
      </c>
      <c r="G440" t="n">
        <v>8</v>
      </c>
      <c r="H440" t="inlineStr">
        <is>
          <t>Male</t>
        </is>
      </c>
      <c r="I440" t="n">
        <v>674</v>
      </c>
    </row>
    <row r="441">
      <c r="A441" t="inlineStr">
        <is>
          <t>BOR100439</t>
        </is>
      </c>
      <c r="B441" t="inlineStr">
        <is>
          <t>Manufacturing</t>
        </is>
      </c>
      <c r="C441" t="inlineStr">
        <is>
          <t>Nairobi</t>
        </is>
      </c>
      <c r="D441" s="7" t="n">
        <v>42805</v>
      </c>
      <c r="E441" t="n">
        <v>63</v>
      </c>
      <c r="F441" t="n">
        <v>20600</v>
      </c>
      <c r="G441" t="n">
        <v>6</v>
      </c>
      <c r="H441" t="inlineStr">
        <is>
          <t>Male</t>
        </is>
      </c>
      <c r="I441" t="n">
        <v>652</v>
      </c>
    </row>
    <row r="442">
      <c r="A442" t="inlineStr">
        <is>
          <t>BOR100440</t>
        </is>
      </c>
      <c r="B442" t="inlineStr">
        <is>
          <t>Construction</t>
        </is>
      </c>
      <c r="C442" t="inlineStr">
        <is>
          <t>Rural - Other</t>
        </is>
      </c>
      <c r="D442" s="7" t="n">
        <v>43703</v>
      </c>
      <c r="E442" t="n">
        <v>67</v>
      </c>
      <c r="F442" t="n">
        <v>215400</v>
      </c>
      <c r="G442" t="n">
        <v>19</v>
      </c>
      <c r="H442" t="inlineStr">
        <is>
          <t>Male</t>
        </is>
      </c>
      <c r="I442" t="n">
        <v>510</v>
      </c>
    </row>
    <row r="443">
      <c r="A443" t="inlineStr">
        <is>
          <t>BOR100441</t>
        </is>
      </c>
      <c r="B443" t="inlineStr">
        <is>
          <t>Agriculture</t>
        </is>
      </c>
      <c r="C443" t="inlineStr">
        <is>
          <t>Rural - Other</t>
        </is>
      </c>
      <c r="D443" s="7" t="n">
        <v>45662</v>
      </c>
      <c r="E443" t="n">
        <v>93</v>
      </c>
      <c r="F443" t="n">
        <v>87500</v>
      </c>
      <c r="G443" t="n">
        <v>17</v>
      </c>
      <c r="H443" t="inlineStr">
        <is>
          <t>Male</t>
        </is>
      </c>
      <c r="I443" t="n">
        <v>715</v>
      </c>
    </row>
    <row r="444">
      <c r="A444" t="inlineStr">
        <is>
          <t>BOR100442</t>
        </is>
      </c>
      <c r="B444" t="inlineStr">
        <is>
          <t>Retail &amp; Trade</t>
        </is>
      </c>
      <c r="C444" t="inlineStr">
        <is>
          <t>Rural - Other</t>
        </is>
      </c>
      <c r="D444" s="7" t="n">
        <v>43632</v>
      </c>
      <c r="E444" t="n">
        <v>30</v>
      </c>
      <c r="F444" t="n">
        <v>22000</v>
      </c>
      <c r="G444" t="n">
        <v>6</v>
      </c>
      <c r="H444" t="inlineStr">
        <is>
          <t>Male</t>
        </is>
      </c>
      <c r="I444" t="n">
        <v>524</v>
      </c>
    </row>
    <row r="445">
      <c r="A445" t="inlineStr">
        <is>
          <t>BOR100443</t>
        </is>
      </c>
      <c r="B445" t="inlineStr">
        <is>
          <t>Manufacturing</t>
        </is>
      </c>
      <c r="C445" t="inlineStr">
        <is>
          <t>Nairobi</t>
        </is>
      </c>
      <c r="D445" s="7" t="n">
        <v>42232</v>
      </c>
      <c r="E445" t="n">
        <v>124</v>
      </c>
      <c r="F445" t="n">
        <v>44400</v>
      </c>
      <c r="G445" t="n">
        <v>17</v>
      </c>
      <c r="H445" t="inlineStr">
        <is>
          <t>Female</t>
        </is>
      </c>
      <c r="I445" t="n">
        <v>625</v>
      </c>
    </row>
    <row r="446">
      <c r="A446" t="inlineStr">
        <is>
          <t>BOR100444</t>
        </is>
      </c>
      <c r="B446" t="inlineStr">
        <is>
          <t>Services</t>
        </is>
      </c>
      <c r="C446" t="inlineStr">
        <is>
          <t>Nairobi</t>
        </is>
      </c>
      <c r="D446" s="7" t="n">
        <v>43049</v>
      </c>
      <c r="E446" t="n">
        <v>112</v>
      </c>
      <c r="F446" t="n">
        <v>125500</v>
      </c>
      <c r="G446" t="n">
        <v>18</v>
      </c>
      <c r="H446" t="inlineStr">
        <is>
          <t>Female</t>
        </is>
      </c>
      <c r="I446" t="n">
        <v>452</v>
      </c>
    </row>
    <row r="447">
      <c r="A447" t="inlineStr">
        <is>
          <t>BOR100445</t>
        </is>
      </c>
      <c r="B447" t="inlineStr">
        <is>
          <t>Services</t>
        </is>
      </c>
      <c r="C447" t="inlineStr">
        <is>
          <t>Eldoret</t>
        </is>
      </c>
      <c r="D447" s="7" t="n">
        <v>44541</v>
      </c>
      <c r="E447" t="n">
        <v>92</v>
      </c>
      <c r="F447" t="n">
        <v>60100</v>
      </c>
      <c r="G447" t="n">
        <v>13</v>
      </c>
      <c r="H447" t="inlineStr">
        <is>
          <t>Male</t>
        </is>
      </c>
      <c r="I447" t="n">
        <v>416</v>
      </c>
    </row>
    <row r="448">
      <c r="A448" t="inlineStr">
        <is>
          <t>BOR100446</t>
        </is>
      </c>
      <c r="B448" t="inlineStr">
        <is>
          <t>Agriculture</t>
        </is>
      </c>
      <c r="C448" t="inlineStr">
        <is>
          <t>Nairobi</t>
        </is>
      </c>
      <c r="D448" s="7" t="n">
        <v>44685</v>
      </c>
      <c r="E448" t="n">
        <v>45</v>
      </c>
      <c r="F448" t="n">
        <v>51100</v>
      </c>
      <c r="G448" t="n">
        <v>14</v>
      </c>
      <c r="H448" t="inlineStr">
        <is>
          <t>Female</t>
        </is>
      </c>
      <c r="I448" t="n">
        <v>629</v>
      </c>
    </row>
    <row r="449">
      <c r="A449" t="inlineStr">
        <is>
          <t>BOR100447</t>
        </is>
      </c>
      <c r="B449" t="inlineStr">
        <is>
          <t>Construction</t>
        </is>
      </c>
      <c r="C449" t="inlineStr">
        <is>
          <t>Rural - Other</t>
        </is>
      </c>
      <c r="D449" s="7" t="n">
        <v>46197</v>
      </c>
      <c r="E449" t="n">
        <v>52</v>
      </c>
      <c r="F449" t="n">
        <v>195000</v>
      </c>
      <c r="G449" t="n">
        <v>23</v>
      </c>
      <c r="H449" t="inlineStr">
        <is>
          <t>Female</t>
        </is>
      </c>
      <c r="I449" t="n">
        <v>527</v>
      </c>
    </row>
    <row r="450">
      <c r="A450" t="inlineStr">
        <is>
          <t>BOR100448</t>
        </is>
      </c>
      <c r="B450" t="inlineStr">
        <is>
          <t>Services</t>
        </is>
      </c>
      <c r="C450" t="inlineStr">
        <is>
          <t>Mombasa</t>
        </is>
      </c>
      <c r="D450" s="7" t="n">
        <v>45984</v>
      </c>
      <c r="E450" t="n">
        <v>64</v>
      </c>
      <c r="F450" t="n">
        <v>35100</v>
      </c>
      <c r="G450" t="n">
        <v>11</v>
      </c>
      <c r="H450" t="inlineStr">
        <is>
          <t>Female</t>
        </is>
      </c>
      <c r="I450" t="n">
        <v>421</v>
      </c>
    </row>
    <row r="451">
      <c r="A451" t="inlineStr">
        <is>
          <t>BOR100449</t>
        </is>
      </c>
      <c r="B451" t="inlineStr">
        <is>
          <t>Agriculture</t>
        </is>
      </c>
      <c r="C451" t="inlineStr">
        <is>
          <t>Eldoret</t>
        </is>
      </c>
      <c r="D451" s="7" t="n">
        <v>44269</v>
      </c>
      <c r="E451" t="n">
        <v>97</v>
      </c>
      <c r="F451" t="n">
        <v>41800</v>
      </c>
      <c r="G451" t="n">
        <v>10</v>
      </c>
      <c r="H451" t="inlineStr">
        <is>
          <t>Male</t>
        </is>
      </c>
      <c r="I451" t="n">
        <v>649</v>
      </c>
    </row>
    <row r="452">
      <c r="A452" t="inlineStr">
        <is>
          <t>BOR100450</t>
        </is>
      </c>
      <c r="B452" t="inlineStr">
        <is>
          <t>Construction</t>
        </is>
      </c>
      <c r="C452" t="inlineStr">
        <is>
          <t>Rural - Other</t>
        </is>
      </c>
      <c r="D452" s="7" t="n">
        <v>44367</v>
      </c>
      <c r="E452" t="n">
        <v>113</v>
      </c>
      <c r="F452" t="n">
        <v>84800</v>
      </c>
      <c r="G452" t="n">
        <v>13</v>
      </c>
      <c r="H452" t="inlineStr">
        <is>
          <t>Female</t>
        </is>
      </c>
      <c r="I452" t="n">
        <v>791</v>
      </c>
    </row>
    <row r="453">
      <c r="A453" t="inlineStr">
        <is>
          <t>BOR100451</t>
        </is>
      </c>
      <c r="B453" t="inlineStr">
        <is>
          <t>Construction</t>
        </is>
      </c>
      <c r="C453" t="inlineStr">
        <is>
          <t>Mombasa</t>
        </is>
      </c>
      <c r="D453" s="7" t="n">
        <v>45416</v>
      </c>
      <c r="E453" t="n">
        <v>98</v>
      </c>
      <c r="F453" t="n">
        <v>96100</v>
      </c>
      <c r="G453" t="n">
        <v>21</v>
      </c>
      <c r="H453" t="inlineStr">
        <is>
          <t>Female</t>
        </is>
      </c>
      <c r="I453" t="n">
        <v>725</v>
      </c>
    </row>
    <row r="454">
      <c r="A454" t="inlineStr">
        <is>
          <t>BOR100452</t>
        </is>
      </c>
      <c r="B454" t="inlineStr">
        <is>
          <t>Manufacturing</t>
        </is>
      </c>
      <c r="C454" t="inlineStr">
        <is>
          <t>Mombasa</t>
        </is>
      </c>
      <c r="D454" s="7" t="n">
        <v>42212</v>
      </c>
      <c r="E454" t="n">
        <v>135</v>
      </c>
      <c r="F454" t="n">
        <v>103500</v>
      </c>
      <c r="G454" t="n">
        <v>18</v>
      </c>
      <c r="H454" t="inlineStr">
        <is>
          <t>Female</t>
        </is>
      </c>
      <c r="I454" t="n">
        <v>577</v>
      </c>
    </row>
    <row r="455">
      <c r="A455" t="inlineStr">
        <is>
          <t>BOR100453</t>
        </is>
      </c>
      <c r="B455" t="inlineStr">
        <is>
          <t>Retail &amp; Trade</t>
        </is>
      </c>
      <c r="C455" t="inlineStr">
        <is>
          <t>Nakuru</t>
        </is>
      </c>
      <c r="D455" s="7" t="n">
        <v>44541</v>
      </c>
      <c r="E455" t="n">
        <v>139</v>
      </c>
      <c r="F455" t="n">
        <v>138400</v>
      </c>
      <c r="G455" t="n">
        <v>2</v>
      </c>
      <c r="H455" t="inlineStr">
        <is>
          <t>Female</t>
        </is>
      </c>
      <c r="I455" t="n">
        <v>601</v>
      </c>
    </row>
    <row r="456">
      <c r="A456" t="inlineStr">
        <is>
          <t>BOR100454</t>
        </is>
      </c>
      <c r="B456" t="inlineStr">
        <is>
          <t>Services</t>
        </is>
      </c>
      <c r="C456" t="inlineStr">
        <is>
          <t>Nakuru</t>
        </is>
      </c>
      <c r="D456" s="7" t="n">
        <v>44024</v>
      </c>
      <c r="E456" t="n">
        <v>103</v>
      </c>
      <c r="F456" t="n">
        <v>84000</v>
      </c>
      <c r="G456" t="n">
        <v>12</v>
      </c>
      <c r="H456" t="inlineStr">
        <is>
          <t>Male</t>
        </is>
      </c>
      <c r="I456" t="n">
        <v>680</v>
      </c>
    </row>
    <row r="457">
      <c r="A457" t="inlineStr">
        <is>
          <t>BOR100455</t>
        </is>
      </c>
      <c r="B457" t="inlineStr">
        <is>
          <t>Services</t>
        </is>
      </c>
      <c r="C457" t="inlineStr">
        <is>
          <t>Mombasa</t>
        </is>
      </c>
      <c r="D457" s="7" t="n">
        <v>45341</v>
      </c>
      <c r="E457" t="n">
        <v>55</v>
      </c>
      <c r="F457" t="n">
        <v>103000</v>
      </c>
      <c r="G457" t="n">
        <v>18</v>
      </c>
      <c r="H457" t="inlineStr">
        <is>
          <t>Female</t>
        </is>
      </c>
      <c r="I457" t="n">
        <v>701</v>
      </c>
    </row>
    <row r="458">
      <c r="A458" t="inlineStr">
        <is>
          <t>BOR100456</t>
        </is>
      </c>
      <c r="B458" t="inlineStr">
        <is>
          <t>Retail &amp; Trade</t>
        </is>
      </c>
      <c r="C458" t="inlineStr">
        <is>
          <t>Nakuru</t>
        </is>
      </c>
      <c r="D458" s="7" t="n">
        <v>45415</v>
      </c>
      <c r="E458" t="n">
        <v>88</v>
      </c>
      <c r="F458" t="n">
        <v>61000</v>
      </c>
      <c r="G458" t="n">
        <v>6</v>
      </c>
      <c r="H458" t="inlineStr">
        <is>
          <t>Male</t>
        </is>
      </c>
      <c r="I458" t="n">
        <v>569</v>
      </c>
    </row>
    <row r="459">
      <c r="A459" t="inlineStr">
        <is>
          <t>BOR100457</t>
        </is>
      </c>
      <c r="B459" t="inlineStr">
        <is>
          <t>Services</t>
        </is>
      </c>
      <c r="C459" t="inlineStr">
        <is>
          <t>Rural - Other</t>
        </is>
      </c>
      <c r="D459" s="7" t="n">
        <v>44798</v>
      </c>
      <c r="E459" t="n">
        <v>63</v>
      </c>
      <c r="F459" t="n">
        <v>76400</v>
      </c>
      <c r="G459" t="n">
        <v>24</v>
      </c>
      <c r="H459" t="inlineStr">
        <is>
          <t>Male</t>
        </is>
      </c>
      <c r="I459" t="n">
        <v>603</v>
      </c>
    </row>
    <row r="460">
      <c r="A460" t="inlineStr">
        <is>
          <t>BOR100458</t>
        </is>
      </c>
      <c r="B460" t="inlineStr">
        <is>
          <t>Construction</t>
        </is>
      </c>
      <c r="C460" t="inlineStr">
        <is>
          <t>Kisumu</t>
        </is>
      </c>
      <c r="D460" s="7" t="n">
        <v>44805</v>
      </c>
      <c r="E460" t="n">
        <v>92</v>
      </c>
      <c r="F460" t="n">
        <v>78800</v>
      </c>
      <c r="G460" t="n">
        <v>20</v>
      </c>
      <c r="H460" t="inlineStr">
        <is>
          <t>Female</t>
        </is>
      </c>
      <c r="I460" t="n">
        <v>627</v>
      </c>
    </row>
    <row r="461">
      <c r="A461" t="inlineStr">
        <is>
          <t>BOR100459</t>
        </is>
      </c>
      <c r="B461" t="inlineStr">
        <is>
          <t>Retail &amp; Trade</t>
        </is>
      </c>
      <c r="C461" t="inlineStr">
        <is>
          <t>Nairobi</t>
        </is>
      </c>
      <c r="D461" s="7" t="n">
        <v>44949</v>
      </c>
      <c r="E461" t="n">
        <v>118</v>
      </c>
      <c r="F461" t="n">
        <v>85000</v>
      </c>
      <c r="G461" t="n">
        <v>21</v>
      </c>
      <c r="H461" t="inlineStr">
        <is>
          <t>Male</t>
        </is>
      </c>
      <c r="I461" t="n">
        <v>650</v>
      </c>
    </row>
    <row r="462">
      <c r="A462" t="inlineStr">
        <is>
          <t>BOR100460</t>
        </is>
      </c>
      <c r="B462" t="inlineStr">
        <is>
          <t>Transport &amp; Logistics</t>
        </is>
      </c>
      <c r="C462" t="inlineStr">
        <is>
          <t>Mombasa</t>
        </is>
      </c>
      <c r="D462" s="7" t="n">
        <v>44476</v>
      </c>
      <c r="E462" t="n">
        <v>55</v>
      </c>
      <c r="F462" t="n">
        <v>125600</v>
      </c>
      <c r="G462" t="n">
        <v>2</v>
      </c>
      <c r="H462" t="inlineStr">
        <is>
          <t>Male</t>
        </is>
      </c>
      <c r="I462" t="n">
        <v>588</v>
      </c>
    </row>
    <row r="463">
      <c r="A463" t="inlineStr">
        <is>
          <t>BOR100461</t>
        </is>
      </c>
      <c r="B463" t="inlineStr">
        <is>
          <t>Retail &amp; Trade</t>
        </is>
      </c>
      <c r="C463" t="inlineStr">
        <is>
          <t>Mombasa</t>
        </is>
      </c>
      <c r="D463" s="7" t="n">
        <v>42975</v>
      </c>
      <c r="E463" t="n">
        <v>74</v>
      </c>
      <c r="F463" t="n">
        <v>107900</v>
      </c>
      <c r="G463" t="n">
        <v>14</v>
      </c>
      <c r="H463" t="inlineStr">
        <is>
          <t>Male</t>
        </is>
      </c>
      <c r="I463" t="n">
        <v>589</v>
      </c>
    </row>
    <row r="464">
      <c r="A464" t="inlineStr">
        <is>
          <t>BOR100462</t>
        </is>
      </c>
      <c r="B464" t="inlineStr">
        <is>
          <t>Transport &amp; Logistics</t>
        </is>
      </c>
      <c r="C464" t="inlineStr">
        <is>
          <t>Nairobi</t>
        </is>
      </c>
      <c r="D464" s="7" t="n">
        <v>43217</v>
      </c>
      <c r="E464" t="n">
        <v>9</v>
      </c>
      <c r="F464" t="n">
        <v>75400</v>
      </c>
      <c r="G464" t="n">
        <v>13</v>
      </c>
      <c r="H464" t="inlineStr">
        <is>
          <t>Female</t>
        </is>
      </c>
      <c r="I464" t="n">
        <v>724</v>
      </c>
    </row>
    <row r="465">
      <c r="A465" t="inlineStr">
        <is>
          <t>BOR100463</t>
        </is>
      </c>
      <c r="B465" t="inlineStr">
        <is>
          <t>Manufacturing</t>
        </is>
      </c>
      <c r="C465" t="inlineStr">
        <is>
          <t>Nairobi</t>
        </is>
      </c>
      <c r="D465" s="7" t="n">
        <v>45165</v>
      </c>
      <c r="E465" t="n">
        <v>107</v>
      </c>
      <c r="F465" t="n">
        <v>41500</v>
      </c>
      <c r="G465" t="n">
        <v>16</v>
      </c>
      <c r="H465" t="inlineStr">
        <is>
          <t>Female</t>
        </is>
      </c>
      <c r="I465" t="n">
        <v>709</v>
      </c>
    </row>
    <row r="466">
      <c r="A466" t="inlineStr">
        <is>
          <t>BOR100464</t>
        </is>
      </c>
      <c r="B466" t="inlineStr">
        <is>
          <t>Retail &amp; Trade</t>
        </is>
      </c>
      <c r="C466" t="inlineStr">
        <is>
          <t>Eldoret</t>
        </is>
      </c>
      <c r="D466" s="7" t="n">
        <v>44639</v>
      </c>
      <c r="E466" t="n">
        <v>72</v>
      </c>
      <c r="F466" t="n">
        <v>76700</v>
      </c>
      <c r="G466" t="n">
        <v>21</v>
      </c>
      <c r="H466" t="inlineStr">
        <is>
          <t>Male</t>
        </is>
      </c>
      <c r="I466" t="n">
        <v>643</v>
      </c>
    </row>
    <row r="467">
      <c r="A467" t="inlineStr">
        <is>
          <t>BOR100465</t>
        </is>
      </c>
      <c r="B467" t="inlineStr">
        <is>
          <t>Construction</t>
        </is>
      </c>
      <c r="C467" t="inlineStr">
        <is>
          <t>Mombasa</t>
        </is>
      </c>
      <c r="D467" s="7" t="n">
        <v>43018</v>
      </c>
      <c r="E467" t="n">
        <v>68</v>
      </c>
      <c r="F467" t="n">
        <v>71700</v>
      </c>
      <c r="G467" t="n">
        <v>9</v>
      </c>
      <c r="H467" t="inlineStr">
        <is>
          <t>Male</t>
        </is>
      </c>
      <c r="I467" t="n">
        <v>755</v>
      </c>
    </row>
    <row r="468">
      <c r="A468" t="inlineStr">
        <is>
          <t>BOR100466</t>
        </is>
      </c>
      <c r="B468" t="inlineStr">
        <is>
          <t>Retail &amp; Trade</t>
        </is>
      </c>
      <c r="C468" t="inlineStr">
        <is>
          <t>Rural - Other</t>
        </is>
      </c>
      <c r="D468" s="7" t="n">
        <v>45745</v>
      </c>
      <c r="E468" t="n">
        <v>78</v>
      </c>
      <c r="F468" t="n">
        <v>83700</v>
      </c>
      <c r="G468" t="n">
        <v>13</v>
      </c>
      <c r="H468" t="inlineStr">
        <is>
          <t>Male</t>
        </is>
      </c>
      <c r="I468" t="n">
        <v>565</v>
      </c>
    </row>
    <row r="469">
      <c r="A469" t="inlineStr">
        <is>
          <t>BOR100467</t>
        </is>
      </c>
      <c r="B469" t="inlineStr">
        <is>
          <t>Services</t>
        </is>
      </c>
      <c r="C469" t="inlineStr">
        <is>
          <t>Nairobi</t>
        </is>
      </c>
      <c r="D469" s="7" t="n">
        <v>46183</v>
      </c>
      <c r="E469" t="n">
        <v>33</v>
      </c>
      <c r="F469" t="n">
        <v>342700</v>
      </c>
      <c r="G469" t="n">
        <v>17</v>
      </c>
      <c r="H469" t="inlineStr">
        <is>
          <t>Male</t>
        </is>
      </c>
      <c r="I469" t="n">
        <v>746</v>
      </c>
    </row>
    <row r="470">
      <c r="A470" t="inlineStr">
        <is>
          <t>BOR100468</t>
        </is>
      </c>
      <c r="B470" t="inlineStr">
        <is>
          <t>Agriculture</t>
        </is>
      </c>
      <c r="C470" t="inlineStr">
        <is>
          <t>Nairobi</t>
        </is>
      </c>
      <c r="D470" s="7" t="n">
        <v>44672</v>
      </c>
      <c r="E470" t="n">
        <v>87</v>
      </c>
      <c r="F470" t="n">
        <v>50700</v>
      </c>
      <c r="G470" t="n">
        <v>19</v>
      </c>
      <c r="H470" t="inlineStr">
        <is>
          <t>Female</t>
        </is>
      </c>
      <c r="I470" t="n">
        <v>649</v>
      </c>
    </row>
    <row r="471">
      <c r="A471" t="inlineStr">
        <is>
          <t>BOR100469</t>
        </is>
      </c>
      <c r="B471" t="inlineStr">
        <is>
          <t>Construction</t>
        </is>
      </c>
      <c r="C471" t="inlineStr">
        <is>
          <t>Eldoret</t>
        </is>
      </c>
      <c r="D471" s="7" t="n">
        <v>42975</v>
      </c>
      <c r="E471" t="n">
        <v>108</v>
      </c>
      <c r="F471" t="n">
        <v>98300</v>
      </c>
      <c r="G471" t="n">
        <v>19</v>
      </c>
      <c r="H471" t="inlineStr">
        <is>
          <t>Male</t>
        </is>
      </c>
      <c r="I471" t="n">
        <v>850</v>
      </c>
    </row>
    <row r="472">
      <c r="A472" t="inlineStr">
        <is>
          <t>BOR100470</t>
        </is>
      </c>
      <c r="B472" t="inlineStr">
        <is>
          <t>Transport &amp; Logistics</t>
        </is>
      </c>
      <c r="C472" t="inlineStr">
        <is>
          <t>Rural - Other</t>
        </is>
      </c>
      <c r="D472" s="7" t="n">
        <v>46003</v>
      </c>
      <c r="E472" t="n">
        <v>52</v>
      </c>
      <c r="F472" t="n">
        <v>154500</v>
      </c>
      <c r="G472" t="n">
        <v>9</v>
      </c>
      <c r="H472" t="inlineStr">
        <is>
          <t>Female</t>
        </is>
      </c>
      <c r="I472" t="n">
        <v>493</v>
      </c>
    </row>
    <row r="473">
      <c r="A473" t="inlineStr">
        <is>
          <t>BOR100471</t>
        </is>
      </c>
      <c r="B473" t="inlineStr">
        <is>
          <t>Transport &amp; Logistics</t>
        </is>
      </c>
      <c r="C473" t="inlineStr">
        <is>
          <t>Nairobi</t>
        </is>
      </c>
      <c r="D473" s="7" t="n">
        <v>43013</v>
      </c>
      <c r="E473" t="n">
        <v>21</v>
      </c>
      <c r="F473" t="n">
        <v>78300</v>
      </c>
      <c r="G473" t="n">
        <v>24</v>
      </c>
      <c r="H473" t="inlineStr">
        <is>
          <t>Male</t>
        </is>
      </c>
      <c r="I473" t="n">
        <v>538</v>
      </c>
    </row>
    <row r="474">
      <c r="A474" t="inlineStr">
        <is>
          <t>BOR100472</t>
        </is>
      </c>
      <c r="B474" t="inlineStr">
        <is>
          <t>Manufacturing</t>
        </is>
      </c>
      <c r="C474" t="inlineStr">
        <is>
          <t>Nairobi</t>
        </is>
      </c>
      <c r="D474" s="7" t="n">
        <v>43847</v>
      </c>
      <c r="E474" t="n">
        <v>57</v>
      </c>
      <c r="F474" t="n">
        <v>375700</v>
      </c>
      <c r="G474" t="n">
        <v>1</v>
      </c>
      <c r="H474" t="inlineStr">
        <is>
          <t>Female</t>
        </is>
      </c>
      <c r="I474" t="n">
        <v>638</v>
      </c>
    </row>
    <row r="475">
      <c r="A475" t="inlineStr">
        <is>
          <t>BOR100473</t>
        </is>
      </c>
      <c r="B475" t="inlineStr">
        <is>
          <t>Manufacturing</t>
        </is>
      </c>
      <c r="C475" t="inlineStr">
        <is>
          <t>Nairobi</t>
        </is>
      </c>
      <c r="D475" s="7" t="n">
        <v>45663</v>
      </c>
      <c r="E475" t="n">
        <v>31</v>
      </c>
      <c r="F475" t="n">
        <v>56100</v>
      </c>
      <c r="G475" t="n">
        <v>12</v>
      </c>
      <c r="H475" t="inlineStr">
        <is>
          <t>Female</t>
        </is>
      </c>
      <c r="I475" t="n">
        <v>636</v>
      </c>
    </row>
    <row r="476">
      <c r="A476" t="inlineStr">
        <is>
          <t>BOR100474</t>
        </is>
      </c>
      <c r="B476" t="inlineStr">
        <is>
          <t>Services</t>
        </is>
      </c>
      <c r="C476" t="inlineStr">
        <is>
          <t>Kisumu</t>
        </is>
      </c>
      <c r="D476" s="7" t="n">
        <v>44223</v>
      </c>
      <c r="E476" t="n">
        <v>56</v>
      </c>
      <c r="F476" t="n">
        <v>91800</v>
      </c>
      <c r="G476" t="n">
        <v>15</v>
      </c>
      <c r="H476" t="inlineStr">
        <is>
          <t>Male</t>
        </is>
      </c>
      <c r="I476" t="n">
        <v>776</v>
      </c>
    </row>
    <row r="477">
      <c r="A477" t="inlineStr">
        <is>
          <t>BOR100475</t>
        </is>
      </c>
      <c r="B477" t="inlineStr">
        <is>
          <t>Transport &amp; Logistics</t>
        </is>
      </c>
      <c r="C477" t="inlineStr">
        <is>
          <t>Kisumu</t>
        </is>
      </c>
      <c r="D477" s="7" t="n">
        <v>43040</v>
      </c>
      <c r="E477" t="n">
        <v>92</v>
      </c>
      <c r="F477" t="n">
        <v>41800</v>
      </c>
      <c r="G477" t="n">
        <v>2</v>
      </c>
      <c r="H477" t="inlineStr">
        <is>
          <t>Male</t>
        </is>
      </c>
      <c r="I477" t="n">
        <v>540</v>
      </c>
    </row>
    <row r="478">
      <c r="A478" t="inlineStr">
        <is>
          <t>BOR100476</t>
        </is>
      </c>
      <c r="B478" t="inlineStr">
        <is>
          <t>Construction</t>
        </is>
      </c>
      <c r="C478" t="inlineStr">
        <is>
          <t>Nairobi</t>
        </is>
      </c>
      <c r="D478" s="7" t="n">
        <v>42346</v>
      </c>
      <c r="E478" t="n">
        <v>19</v>
      </c>
      <c r="F478" t="n">
        <v>57200</v>
      </c>
      <c r="G478" t="n">
        <v>11</v>
      </c>
      <c r="H478" t="inlineStr">
        <is>
          <t>Male</t>
        </is>
      </c>
      <c r="I478" t="n">
        <v>681</v>
      </c>
    </row>
    <row r="479">
      <c r="A479" t="inlineStr">
        <is>
          <t>BOR100477</t>
        </is>
      </c>
      <c r="B479" t="inlineStr">
        <is>
          <t>Retail &amp; Trade</t>
        </is>
      </c>
      <c r="C479" t="inlineStr">
        <is>
          <t>Nairobi</t>
        </is>
      </c>
      <c r="D479" s="7" t="n">
        <v>43542</v>
      </c>
      <c r="E479" t="n">
        <v>109</v>
      </c>
      <c r="F479" t="n">
        <v>87100</v>
      </c>
      <c r="G479" t="n">
        <v>15</v>
      </c>
      <c r="H479" t="inlineStr">
        <is>
          <t>Female</t>
        </is>
      </c>
      <c r="I479" t="n">
        <v>705</v>
      </c>
    </row>
    <row r="480">
      <c r="A480" t="inlineStr">
        <is>
          <t>BOR100478</t>
        </is>
      </c>
      <c r="B480" t="inlineStr">
        <is>
          <t>Services</t>
        </is>
      </c>
      <c r="C480" t="inlineStr">
        <is>
          <t>Kisumu</t>
        </is>
      </c>
      <c r="D480" s="7" t="n">
        <v>44868</v>
      </c>
      <c r="E480" t="n">
        <v>34</v>
      </c>
      <c r="F480" t="n">
        <v>132200</v>
      </c>
      <c r="G480" t="n">
        <v>15</v>
      </c>
      <c r="H480" t="inlineStr">
        <is>
          <t>Female</t>
        </is>
      </c>
      <c r="I480" t="n">
        <v>663</v>
      </c>
    </row>
    <row r="481">
      <c r="A481" t="inlineStr">
        <is>
          <t>BOR100479</t>
        </is>
      </c>
      <c r="B481" t="inlineStr">
        <is>
          <t>Retail &amp; Trade</t>
        </is>
      </c>
      <c r="C481" t="inlineStr">
        <is>
          <t>Rural - Other</t>
        </is>
      </c>
      <c r="D481" s="7" t="n">
        <v>45050</v>
      </c>
      <c r="E481" t="n">
        <v>130</v>
      </c>
      <c r="F481" t="n">
        <v>91400</v>
      </c>
      <c r="G481" t="n">
        <v>3</v>
      </c>
      <c r="H481" t="inlineStr">
        <is>
          <t>Male</t>
        </is>
      </c>
      <c r="I481" t="n">
        <v>514</v>
      </c>
    </row>
    <row r="482">
      <c r="A482" t="inlineStr">
        <is>
          <t>BOR100480</t>
        </is>
      </c>
      <c r="B482" t="inlineStr">
        <is>
          <t>Agriculture</t>
        </is>
      </c>
      <c r="C482" t="inlineStr">
        <is>
          <t>Nakuru</t>
        </is>
      </c>
      <c r="D482" s="7" t="n">
        <v>42954</v>
      </c>
      <c r="E482" t="n">
        <v>107</v>
      </c>
      <c r="F482" t="n">
        <v>176600</v>
      </c>
      <c r="G482" t="n">
        <v>7</v>
      </c>
      <c r="H482" t="inlineStr">
        <is>
          <t>Female</t>
        </is>
      </c>
      <c r="I482" t="n">
        <v>727</v>
      </c>
    </row>
    <row r="483">
      <c r="A483" t="inlineStr">
        <is>
          <t>BOR100481</t>
        </is>
      </c>
      <c r="B483" t="inlineStr">
        <is>
          <t>Transport &amp; Logistics</t>
        </is>
      </c>
      <c r="C483" t="inlineStr">
        <is>
          <t>Kisumu</t>
        </is>
      </c>
      <c r="D483" s="7" t="n">
        <v>42681</v>
      </c>
      <c r="E483" t="n">
        <v>41</v>
      </c>
      <c r="F483" t="n">
        <v>68400</v>
      </c>
      <c r="G483" t="n">
        <v>6</v>
      </c>
      <c r="H483" t="inlineStr">
        <is>
          <t>Female</t>
        </is>
      </c>
      <c r="I483" t="n">
        <v>711</v>
      </c>
    </row>
    <row r="484">
      <c r="A484" t="inlineStr">
        <is>
          <t>BOR100482</t>
        </is>
      </c>
      <c r="B484" t="inlineStr">
        <is>
          <t>Agriculture</t>
        </is>
      </c>
      <c r="C484" t="inlineStr">
        <is>
          <t>Nairobi</t>
        </is>
      </c>
      <c r="D484" s="7" t="n">
        <v>44993</v>
      </c>
      <c r="E484" t="n">
        <v>82</v>
      </c>
      <c r="F484" t="n">
        <v>58000</v>
      </c>
      <c r="G484" t="n">
        <v>16</v>
      </c>
      <c r="H484" t="inlineStr">
        <is>
          <t>Male</t>
        </is>
      </c>
      <c r="I484" t="n">
        <v>654</v>
      </c>
    </row>
    <row r="485">
      <c r="A485" t="inlineStr">
        <is>
          <t>BOR100483</t>
        </is>
      </c>
      <c r="B485" t="inlineStr">
        <is>
          <t>Transport &amp; Logistics</t>
        </is>
      </c>
      <c r="C485" t="inlineStr">
        <is>
          <t>Nairobi</t>
        </is>
      </c>
      <c r="D485" s="7" t="n">
        <v>42682</v>
      </c>
      <c r="E485" t="n">
        <v>18</v>
      </c>
      <c r="F485" t="n">
        <v>485400</v>
      </c>
      <c r="G485" t="n">
        <v>8</v>
      </c>
      <c r="H485" t="inlineStr">
        <is>
          <t>Female</t>
        </is>
      </c>
      <c r="I485" t="n">
        <v>618</v>
      </c>
    </row>
    <row r="486">
      <c r="A486" t="inlineStr">
        <is>
          <t>BOR100484</t>
        </is>
      </c>
      <c r="B486" t="inlineStr">
        <is>
          <t>Manufacturing</t>
        </is>
      </c>
      <c r="C486" t="inlineStr">
        <is>
          <t>Mombasa</t>
        </is>
      </c>
      <c r="D486" s="7" t="n">
        <v>42278</v>
      </c>
      <c r="E486" t="n">
        <v>17</v>
      </c>
      <c r="F486" t="n">
        <v>96400</v>
      </c>
      <c r="G486" t="n">
        <v>14</v>
      </c>
      <c r="H486" t="inlineStr">
        <is>
          <t>Male</t>
        </is>
      </c>
      <c r="I486" t="n">
        <v>620</v>
      </c>
    </row>
    <row r="487">
      <c r="A487" t="inlineStr">
        <is>
          <t>BOR100485</t>
        </is>
      </c>
      <c r="B487" t="inlineStr">
        <is>
          <t>Agriculture</t>
        </is>
      </c>
      <c r="C487" t="inlineStr">
        <is>
          <t>Rural - Other</t>
        </is>
      </c>
      <c r="D487" s="7" t="n">
        <v>44077</v>
      </c>
      <c r="E487" t="n">
        <v>138</v>
      </c>
      <c r="F487" t="n">
        <v>44200</v>
      </c>
      <c r="G487" t="n">
        <v>18</v>
      </c>
      <c r="H487" t="inlineStr">
        <is>
          <t>Female</t>
        </is>
      </c>
      <c r="I487" t="n">
        <v>593</v>
      </c>
    </row>
    <row r="488">
      <c r="A488" t="inlineStr">
        <is>
          <t>BOR100486</t>
        </is>
      </c>
      <c r="B488" t="inlineStr">
        <is>
          <t>Manufacturing</t>
        </is>
      </c>
      <c r="C488" t="inlineStr">
        <is>
          <t>Rural - Other</t>
        </is>
      </c>
      <c r="D488" s="7" t="n">
        <v>44437</v>
      </c>
      <c r="E488" t="n">
        <v>116</v>
      </c>
      <c r="F488" t="n">
        <v>45000</v>
      </c>
      <c r="G488" t="n">
        <v>20</v>
      </c>
      <c r="H488" t="inlineStr">
        <is>
          <t>Male</t>
        </is>
      </c>
      <c r="I488" t="n">
        <v>658</v>
      </c>
    </row>
    <row r="489">
      <c r="A489" t="inlineStr">
        <is>
          <t>BOR100487</t>
        </is>
      </c>
      <c r="B489" t="inlineStr">
        <is>
          <t>Services</t>
        </is>
      </c>
      <c r="C489" t="inlineStr">
        <is>
          <t>Rural - Other</t>
        </is>
      </c>
      <c r="D489" s="7" t="n">
        <v>43043</v>
      </c>
      <c r="E489" t="n">
        <v>24</v>
      </c>
      <c r="F489" t="n">
        <v>37800</v>
      </c>
      <c r="G489" t="n">
        <v>5</v>
      </c>
      <c r="H489" t="inlineStr">
        <is>
          <t>Male</t>
        </is>
      </c>
      <c r="I489" t="n">
        <v>603</v>
      </c>
    </row>
    <row r="490">
      <c r="A490" t="inlineStr">
        <is>
          <t>BOR100488</t>
        </is>
      </c>
      <c r="B490" t="inlineStr">
        <is>
          <t>Transport &amp; Logistics</t>
        </is>
      </c>
      <c r="C490" t="inlineStr">
        <is>
          <t>Rural - Other</t>
        </is>
      </c>
      <c r="D490" s="7" t="n">
        <v>42905</v>
      </c>
      <c r="E490" t="n">
        <v>43</v>
      </c>
      <c r="F490" t="n">
        <v>140900</v>
      </c>
      <c r="G490" t="n">
        <v>22</v>
      </c>
      <c r="H490" t="inlineStr">
        <is>
          <t>Male</t>
        </is>
      </c>
      <c r="I490" t="n">
        <v>524</v>
      </c>
    </row>
    <row r="491">
      <c r="A491" t="inlineStr">
        <is>
          <t>BOR100489</t>
        </is>
      </c>
      <c r="B491" t="inlineStr">
        <is>
          <t>Services</t>
        </is>
      </c>
      <c r="C491" t="inlineStr">
        <is>
          <t>Rural - Other</t>
        </is>
      </c>
      <c r="D491" s="7" t="n">
        <v>43009</v>
      </c>
      <c r="E491" t="n">
        <v>31</v>
      </c>
      <c r="F491" t="n">
        <v>56700</v>
      </c>
      <c r="G491" t="n">
        <v>4</v>
      </c>
      <c r="H491" t="inlineStr">
        <is>
          <t>Male</t>
        </is>
      </c>
      <c r="I491" t="n">
        <v>506</v>
      </c>
    </row>
    <row r="492">
      <c r="A492" t="inlineStr">
        <is>
          <t>BOR100490</t>
        </is>
      </c>
      <c r="B492" t="inlineStr">
        <is>
          <t>Construction</t>
        </is>
      </c>
      <c r="C492" t="inlineStr">
        <is>
          <t>Rural - Other</t>
        </is>
      </c>
      <c r="D492" s="7" t="n">
        <v>43465</v>
      </c>
      <c r="E492" t="n">
        <v>59</v>
      </c>
      <c r="F492" t="n">
        <v>79900</v>
      </c>
      <c r="G492" t="n">
        <v>1</v>
      </c>
      <c r="H492" t="inlineStr">
        <is>
          <t>Female</t>
        </is>
      </c>
      <c r="I492" t="n">
        <v>532</v>
      </c>
    </row>
    <row r="493">
      <c r="A493" t="inlineStr">
        <is>
          <t>BOR100491</t>
        </is>
      </c>
      <c r="B493" t="inlineStr">
        <is>
          <t>Construction</t>
        </is>
      </c>
      <c r="C493" t="inlineStr">
        <is>
          <t>Nairobi</t>
        </is>
      </c>
      <c r="D493" s="7" t="n">
        <v>42044</v>
      </c>
      <c r="E493" t="n">
        <v>44</v>
      </c>
      <c r="F493" t="n">
        <v>70000</v>
      </c>
      <c r="G493" t="n">
        <v>2</v>
      </c>
      <c r="H493" t="inlineStr">
        <is>
          <t>Male</t>
        </is>
      </c>
      <c r="I493" t="n">
        <v>620</v>
      </c>
    </row>
    <row r="494">
      <c r="A494" t="inlineStr">
        <is>
          <t>BOR100492</t>
        </is>
      </c>
      <c r="B494" t="inlineStr">
        <is>
          <t>Transport &amp; Logistics</t>
        </is>
      </c>
      <c r="C494" t="inlineStr">
        <is>
          <t>Nairobi</t>
        </is>
      </c>
      <c r="D494" s="7" t="n">
        <v>42055</v>
      </c>
      <c r="E494" t="n">
        <v>49</v>
      </c>
      <c r="F494" t="n">
        <v>122000</v>
      </c>
      <c r="G494" t="n">
        <v>5</v>
      </c>
      <c r="H494" t="inlineStr">
        <is>
          <t>Male</t>
        </is>
      </c>
      <c r="I494" t="n">
        <v>598</v>
      </c>
    </row>
    <row r="495">
      <c r="A495" t="inlineStr">
        <is>
          <t>BOR100493</t>
        </is>
      </c>
      <c r="B495" t="inlineStr">
        <is>
          <t>Services</t>
        </is>
      </c>
      <c r="C495" t="inlineStr">
        <is>
          <t>Mombasa</t>
        </is>
      </c>
      <c r="D495" s="7" t="n">
        <v>43583</v>
      </c>
      <c r="E495" t="n">
        <v>78</v>
      </c>
      <c r="F495" t="n">
        <v>40400</v>
      </c>
      <c r="G495" t="n">
        <v>21</v>
      </c>
      <c r="H495" t="inlineStr">
        <is>
          <t>Male</t>
        </is>
      </c>
      <c r="I495" t="n">
        <v>619</v>
      </c>
    </row>
    <row r="496">
      <c r="A496" t="inlineStr">
        <is>
          <t>BOR100494</t>
        </is>
      </c>
      <c r="B496" t="inlineStr">
        <is>
          <t>Agriculture</t>
        </is>
      </c>
      <c r="C496" t="inlineStr">
        <is>
          <t>Nakuru</t>
        </is>
      </c>
      <c r="D496" s="7" t="n">
        <v>42089</v>
      </c>
      <c r="E496" t="n">
        <v>29</v>
      </c>
      <c r="F496" t="n">
        <v>34400</v>
      </c>
      <c r="G496" t="n">
        <v>5</v>
      </c>
      <c r="H496" t="inlineStr">
        <is>
          <t>Male</t>
        </is>
      </c>
      <c r="I496" t="n">
        <v>645</v>
      </c>
    </row>
    <row r="497">
      <c r="A497" t="inlineStr">
        <is>
          <t>BOR100495</t>
        </is>
      </c>
      <c r="B497" t="inlineStr">
        <is>
          <t>Manufacturing</t>
        </is>
      </c>
      <c r="C497" t="inlineStr">
        <is>
          <t>Nairobi</t>
        </is>
      </c>
      <c r="D497" s="7" t="n">
        <v>43361</v>
      </c>
      <c r="E497" t="n">
        <v>128</v>
      </c>
      <c r="F497" t="n">
        <v>85600</v>
      </c>
      <c r="G497" t="n">
        <v>17</v>
      </c>
      <c r="H497" t="inlineStr">
        <is>
          <t>Male</t>
        </is>
      </c>
      <c r="I497" t="n">
        <v>544</v>
      </c>
    </row>
    <row r="498">
      <c r="A498" t="inlineStr">
        <is>
          <t>BOR100496</t>
        </is>
      </c>
      <c r="B498" t="inlineStr">
        <is>
          <t>Retail &amp; Trade</t>
        </is>
      </c>
      <c r="C498" t="inlineStr">
        <is>
          <t>Rural - Other</t>
        </is>
      </c>
      <c r="D498" s="7" t="n">
        <v>44480</v>
      </c>
      <c r="E498" t="n">
        <v>106</v>
      </c>
      <c r="F498" t="n">
        <v>111400</v>
      </c>
      <c r="G498" t="n">
        <v>11</v>
      </c>
      <c r="H498" t="inlineStr">
        <is>
          <t>Male</t>
        </is>
      </c>
      <c r="I498" t="n">
        <v>732</v>
      </c>
    </row>
    <row r="499">
      <c r="A499" t="inlineStr">
        <is>
          <t>BOR100497</t>
        </is>
      </c>
      <c r="B499" t="inlineStr">
        <is>
          <t>Manufacturing</t>
        </is>
      </c>
      <c r="C499" t="inlineStr">
        <is>
          <t>Nakuru</t>
        </is>
      </c>
      <c r="D499" s="7" t="n">
        <v>42137</v>
      </c>
      <c r="E499" t="n">
        <v>110</v>
      </c>
      <c r="F499" t="n">
        <v>92300</v>
      </c>
      <c r="G499" t="n">
        <v>1</v>
      </c>
      <c r="H499" t="inlineStr">
        <is>
          <t>Male</t>
        </is>
      </c>
      <c r="I499" t="n">
        <v>576</v>
      </c>
    </row>
    <row r="500">
      <c r="A500" t="inlineStr">
        <is>
          <t>BOR100498</t>
        </is>
      </c>
      <c r="B500" t="inlineStr">
        <is>
          <t>Construction</t>
        </is>
      </c>
      <c r="C500" t="inlineStr">
        <is>
          <t>Nakuru</t>
        </is>
      </c>
      <c r="D500" s="7" t="n">
        <v>44637</v>
      </c>
      <c r="E500" t="n">
        <v>27</v>
      </c>
      <c r="F500" t="n">
        <v>41500</v>
      </c>
      <c r="G500" t="n">
        <v>11</v>
      </c>
      <c r="H500" t="inlineStr">
        <is>
          <t>Female</t>
        </is>
      </c>
      <c r="I500" t="n">
        <v>561</v>
      </c>
    </row>
    <row r="501">
      <c r="A501" t="inlineStr">
        <is>
          <t>BOR100499</t>
        </is>
      </c>
      <c r="B501" t="inlineStr">
        <is>
          <t>Manufacturing</t>
        </is>
      </c>
      <c r="C501" t="inlineStr">
        <is>
          <t>Nairobi</t>
        </is>
      </c>
      <c r="D501" s="7" t="n">
        <v>44652</v>
      </c>
      <c r="E501" t="n">
        <v>103</v>
      </c>
      <c r="F501" t="n">
        <v>117500</v>
      </c>
      <c r="G501" t="n">
        <v>1</v>
      </c>
      <c r="H501" t="inlineStr">
        <is>
          <t>Female</t>
        </is>
      </c>
      <c r="I501" t="n">
        <v>643</v>
      </c>
    </row>
    <row r="502">
      <c r="A502" t="inlineStr">
        <is>
          <t>BOR100500</t>
        </is>
      </c>
      <c r="B502" t="inlineStr">
        <is>
          <t>Retail &amp; Trade</t>
        </is>
      </c>
      <c r="C502" t="inlineStr">
        <is>
          <t>Nairobi</t>
        </is>
      </c>
      <c r="D502" s="7" t="n">
        <v>44447</v>
      </c>
      <c r="E502" t="n">
        <v>121</v>
      </c>
      <c r="F502" t="n">
        <v>43400</v>
      </c>
      <c r="G502" t="n">
        <v>12</v>
      </c>
      <c r="H502" t="inlineStr">
        <is>
          <t>Male</t>
        </is>
      </c>
      <c r="I502" t="n">
        <v>435</v>
      </c>
    </row>
    <row r="503">
      <c r="A503" t="inlineStr">
        <is>
          <t>BOR100501</t>
        </is>
      </c>
      <c r="B503" t="inlineStr">
        <is>
          <t>Services</t>
        </is>
      </c>
      <c r="C503" t="inlineStr">
        <is>
          <t>Nairobi</t>
        </is>
      </c>
      <c r="D503" s="7" t="n">
        <v>44675</v>
      </c>
      <c r="E503" t="n">
        <v>27</v>
      </c>
      <c r="F503" t="n">
        <v>50800</v>
      </c>
      <c r="G503" t="n">
        <v>14</v>
      </c>
      <c r="H503" t="inlineStr">
        <is>
          <t>Female</t>
        </is>
      </c>
      <c r="I503" t="n">
        <v>529</v>
      </c>
    </row>
    <row r="504">
      <c r="A504" t="inlineStr">
        <is>
          <t>BOR100502</t>
        </is>
      </c>
      <c r="B504" t="inlineStr">
        <is>
          <t>Construction</t>
        </is>
      </c>
      <c r="C504" t="inlineStr">
        <is>
          <t>Rural - Other</t>
        </is>
      </c>
      <c r="D504" s="7" t="n">
        <v>45453</v>
      </c>
      <c r="E504" t="n">
        <v>109</v>
      </c>
      <c r="F504" t="n">
        <v>37800</v>
      </c>
      <c r="G504" t="n">
        <v>13</v>
      </c>
      <c r="H504" t="inlineStr">
        <is>
          <t>Male</t>
        </is>
      </c>
      <c r="I504" t="n">
        <v>688</v>
      </c>
    </row>
    <row r="505">
      <c r="A505" t="inlineStr">
        <is>
          <t>BOR100503</t>
        </is>
      </c>
      <c r="B505" t="inlineStr">
        <is>
          <t>Construction</t>
        </is>
      </c>
      <c r="C505" t="inlineStr">
        <is>
          <t>Nakuru</t>
        </is>
      </c>
      <c r="D505" s="7" t="n">
        <v>42306</v>
      </c>
      <c r="E505" t="n">
        <v>53</v>
      </c>
      <c r="F505" t="n">
        <v>181800</v>
      </c>
      <c r="G505" t="n">
        <v>7</v>
      </c>
      <c r="H505" t="inlineStr">
        <is>
          <t>Male</t>
        </is>
      </c>
      <c r="I505" t="n">
        <v>444</v>
      </c>
    </row>
    <row r="506">
      <c r="A506" t="inlineStr">
        <is>
          <t>BOR100504</t>
        </is>
      </c>
      <c r="B506" t="inlineStr">
        <is>
          <t>Agriculture</t>
        </is>
      </c>
      <c r="C506" t="inlineStr">
        <is>
          <t>Eldoret</t>
        </is>
      </c>
      <c r="D506" s="7" t="n">
        <v>42724</v>
      </c>
      <c r="E506" t="n">
        <v>114</v>
      </c>
      <c r="F506" t="n">
        <v>113900</v>
      </c>
      <c r="G506" t="n">
        <v>19</v>
      </c>
      <c r="H506" t="inlineStr">
        <is>
          <t>Female</t>
        </is>
      </c>
      <c r="I506" t="n">
        <v>701</v>
      </c>
    </row>
    <row r="507">
      <c r="A507" t="inlineStr">
        <is>
          <t>BOR100505</t>
        </is>
      </c>
      <c r="B507" t="inlineStr">
        <is>
          <t>Manufacturing</t>
        </is>
      </c>
      <c r="C507" t="inlineStr">
        <is>
          <t>Mombasa</t>
        </is>
      </c>
      <c r="D507" s="7" t="n">
        <v>43355</v>
      </c>
      <c r="E507" t="n">
        <v>70</v>
      </c>
      <c r="F507" t="n">
        <v>111700</v>
      </c>
      <c r="G507" t="n">
        <v>15</v>
      </c>
      <c r="H507" t="inlineStr">
        <is>
          <t>Male</t>
        </is>
      </c>
      <c r="I507" t="n">
        <v>736</v>
      </c>
    </row>
    <row r="508">
      <c r="A508" t="inlineStr">
        <is>
          <t>BOR100506</t>
        </is>
      </c>
      <c r="B508" t="inlineStr">
        <is>
          <t>Services</t>
        </is>
      </c>
      <c r="C508" t="inlineStr">
        <is>
          <t>Mombasa</t>
        </is>
      </c>
      <c r="D508" s="7" t="n">
        <v>44937</v>
      </c>
      <c r="E508" t="n">
        <v>116</v>
      </c>
      <c r="F508" t="n">
        <v>175100</v>
      </c>
      <c r="G508" t="n">
        <v>7</v>
      </c>
      <c r="H508" t="inlineStr">
        <is>
          <t>Male</t>
        </is>
      </c>
      <c r="I508" t="n">
        <v>567</v>
      </c>
    </row>
    <row r="509">
      <c r="A509" t="inlineStr">
        <is>
          <t>BOR100507</t>
        </is>
      </c>
      <c r="B509" t="inlineStr">
        <is>
          <t>Agriculture</t>
        </is>
      </c>
      <c r="C509" t="inlineStr">
        <is>
          <t>Mombasa</t>
        </is>
      </c>
      <c r="D509" s="7" t="n">
        <v>45724</v>
      </c>
      <c r="E509" t="n">
        <v>23</v>
      </c>
      <c r="F509" t="n">
        <v>523800</v>
      </c>
      <c r="G509" t="n">
        <v>11</v>
      </c>
      <c r="H509" t="inlineStr">
        <is>
          <t>Male</t>
        </is>
      </c>
      <c r="I509" t="n">
        <v>626</v>
      </c>
    </row>
    <row r="510">
      <c r="A510" t="inlineStr">
        <is>
          <t>BOR100508</t>
        </is>
      </c>
      <c r="B510" t="inlineStr">
        <is>
          <t>Agriculture</t>
        </is>
      </c>
      <c r="C510" t="inlineStr">
        <is>
          <t>Rural - Other</t>
        </is>
      </c>
      <c r="D510" s="7" t="n">
        <v>45919</v>
      </c>
      <c r="E510" t="n">
        <v>58</v>
      </c>
      <c r="F510" t="n">
        <v>22100</v>
      </c>
      <c r="G510" t="n">
        <v>3</v>
      </c>
      <c r="H510" t="inlineStr">
        <is>
          <t>Female</t>
        </is>
      </c>
      <c r="I510" t="n">
        <v>701</v>
      </c>
    </row>
    <row r="511">
      <c r="A511" t="inlineStr">
        <is>
          <t>BOR100509</t>
        </is>
      </c>
      <c r="B511" t="inlineStr">
        <is>
          <t>Agriculture</t>
        </is>
      </c>
      <c r="C511" t="inlineStr">
        <is>
          <t>Rural - Other</t>
        </is>
      </c>
      <c r="D511" s="7" t="n">
        <v>44485</v>
      </c>
      <c r="E511" t="n">
        <v>41</v>
      </c>
      <c r="F511" t="n">
        <v>43600</v>
      </c>
      <c r="G511" t="n">
        <v>23</v>
      </c>
      <c r="H511" t="inlineStr">
        <is>
          <t>Male</t>
        </is>
      </c>
      <c r="I511" t="n">
        <v>558</v>
      </c>
    </row>
    <row r="512">
      <c r="A512" t="inlineStr">
        <is>
          <t>BOR100510</t>
        </is>
      </c>
      <c r="B512" t="inlineStr">
        <is>
          <t>Construction</t>
        </is>
      </c>
      <c r="C512" t="inlineStr">
        <is>
          <t>Nairobi</t>
        </is>
      </c>
      <c r="D512" s="7" t="n">
        <v>43752</v>
      </c>
      <c r="E512" t="n">
        <v>38</v>
      </c>
      <c r="F512" t="n">
        <v>47500</v>
      </c>
      <c r="G512" t="n">
        <v>19</v>
      </c>
      <c r="H512" t="inlineStr">
        <is>
          <t>Female</t>
        </is>
      </c>
      <c r="I512" t="n">
        <v>678</v>
      </c>
    </row>
    <row r="513">
      <c r="A513" t="inlineStr">
        <is>
          <t>BOR100511</t>
        </is>
      </c>
      <c r="B513" t="inlineStr">
        <is>
          <t>Transport &amp; Logistics</t>
        </is>
      </c>
      <c r="C513" t="inlineStr">
        <is>
          <t>Rural - Other</t>
        </is>
      </c>
      <c r="D513" s="7" t="n">
        <v>43760</v>
      </c>
      <c r="E513" t="n">
        <v>46</v>
      </c>
      <c r="F513" t="n">
        <v>40300</v>
      </c>
      <c r="G513" t="n">
        <v>7</v>
      </c>
      <c r="H513" t="inlineStr">
        <is>
          <t>Male</t>
        </is>
      </c>
      <c r="I513" t="n">
        <v>540</v>
      </c>
    </row>
    <row r="514">
      <c r="A514" t="inlineStr">
        <is>
          <t>BOR100512</t>
        </is>
      </c>
      <c r="B514" t="inlineStr">
        <is>
          <t>Construction</t>
        </is>
      </c>
      <c r="C514" t="inlineStr">
        <is>
          <t>Nairobi</t>
        </is>
      </c>
      <c r="D514" s="7" t="n">
        <v>42259</v>
      </c>
      <c r="E514" t="n">
        <v>57</v>
      </c>
      <c r="F514" t="n">
        <v>34400</v>
      </c>
      <c r="G514" t="n">
        <v>17</v>
      </c>
      <c r="H514" t="inlineStr">
        <is>
          <t>Female</t>
        </is>
      </c>
      <c r="I514" t="n">
        <v>557</v>
      </c>
    </row>
    <row r="515">
      <c r="A515" t="inlineStr">
        <is>
          <t>BOR100513</t>
        </is>
      </c>
      <c r="B515" t="inlineStr">
        <is>
          <t>Transport &amp; Logistics</t>
        </is>
      </c>
      <c r="C515" t="inlineStr">
        <is>
          <t>Rural - Other</t>
        </is>
      </c>
      <c r="D515" s="7" t="n">
        <v>43986</v>
      </c>
      <c r="E515" t="n">
        <v>21</v>
      </c>
      <c r="F515" t="n">
        <v>59300</v>
      </c>
      <c r="G515" t="n">
        <v>17</v>
      </c>
      <c r="H515" t="inlineStr">
        <is>
          <t>Male</t>
        </is>
      </c>
      <c r="I515" t="n">
        <v>528</v>
      </c>
    </row>
    <row r="516">
      <c r="A516" t="inlineStr">
        <is>
          <t>BOR100514</t>
        </is>
      </c>
      <c r="B516" t="inlineStr">
        <is>
          <t>Construction</t>
        </is>
      </c>
      <c r="C516" t="inlineStr">
        <is>
          <t>Nairobi</t>
        </is>
      </c>
      <c r="D516" s="7" t="n">
        <v>44190</v>
      </c>
      <c r="E516" t="n">
        <v>103</v>
      </c>
      <c r="F516" t="n">
        <v>31200</v>
      </c>
      <c r="G516" t="n">
        <v>15</v>
      </c>
      <c r="H516" t="inlineStr">
        <is>
          <t>Male</t>
        </is>
      </c>
      <c r="I516" t="n">
        <v>631</v>
      </c>
    </row>
    <row r="517">
      <c r="A517" t="inlineStr">
        <is>
          <t>BOR100515</t>
        </is>
      </c>
      <c r="B517" t="inlineStr">
        <is>
          <t>Retail &amp; Trade</t>
        </is>
      </c>
      <c r="C517" t="inlineStr">
        <is>
          <t>Nairobi</t>
        </is>
      </c>
      <c r="D517" s="7" t="n">
        <v>42892</v>
      </c>
      <c r="E517" t="n">
        <v>81</v>
      </c>
      <c r="F517" t="n">
        <v>92500</v>
      </c>
      <c r="G517" t="n">
        <v>2</v>
      </c>
      <c r="H517" t="inlineStr">
        <is>
          <t>Male</t>
        </is>
      </c>
      <c r="I517" t="n">
        <v>704</v>
      </c>
    </row>
    <row r="518">
      <c r="A518" t="inlineStr">
        <is>
          <t>BOR100516</t>
        </is>
      </c>
      <c r="B518" t="inlineStr">
        <is>
          <t>Construction</t>
        </is>
      </c>
      <c r="C518" t="inlineStr">
        <is>
          <t>Rural - Other</t>
        </is>
      </c>
      <c r="D518" s="7" t="n">
        <v>45277</v>
      </c>
      <c r="E518" t="n">
        <v>120</v>
      </c>
      <c r="F518" t="n">
        <v>75800</v>
      </c>
      <c r="G518" t="n">
        <v>22</v>
      </c>
      <c r="H518" t="inlineStr">
        <is>
          <t>Female</t>
        </is>
      </c>
      <c r="I518" t="n">
        <v>583</v>
      </c>
    </row>
    <row r="519">
      <c r="A519" t="inlineStr">
        <is>
          <t>BOR100517</t>
        </is>
      </c>
      <c r="B519" t="inlineStr">
        <is>
          <t>Retail &amp; Trade</t>
        </is>
      </c>
      <c r="C519" t="inlineStr">
        <is>
          <t>Nairobi</t>
        </is>
      </c>
      <c r="D519" s="7" t="n">
        <v>45464</v>
      </c>
      <c r="E519" t="n">
        <v>103</v>
      </c>
      <c r="F519" t="n">
        <v>102400</v>
      </c>
      <c r="G519" t="n">
        <v>23</v>
      </c>
      <c r="H519" t="inlineStr">
        <is>
          <t>Male</t>
        </is>
      </c>
      <c r="I519" t="n">
        <v>486</v>
      </c>
    </row>
    <row r="520">
      <c r="A520" t="inlineStr">
        <is>
          <t>BOR100518</t>
        </is>
      </c>
      <c r="B520" t="inlineStr">
        <is>
          <t>Manufacturing</t>
        </is>
      </c>
      <c r="C520" t="inlineStr">
        <is>
          <t>Mombasa</t>
        </is>
      </c>
      <c r="D520" s="7" t="n">
        <v>43291</v>
      </c>
      <c r="E520" t="n">
        <v>24</v>
      </c>
      <c r="F520" t="n">
        <v>104300</v>
      </c>
      <c r="G520" t="n">
        <v>24</v>
      </c>
      <c r="H520" t="inlineStr">
        <is>
          <t>Male</t>
        </is>
      </c>
      <c r="I520" t="n">
        <v>503</v>
      </c>
    </row>
    <row r="521">
      <c r="A521" t="inlineStr">
        <is>
          <t>BOR100519</t>
        </is>
      </c>
      <c r="B521" t="inlineStr">
        <is>
          <t>Services</t>
        </is>
      </c>
      <c r="C521" t="inlineStr">
        <is>
          <t>Kisumu</t>
        </is>
      </c>
      <c r="D521" s="7" t="n">
        <v>45899</v>
      </c>
      <c r="E521" t="n">
        <v>12</v>
      </c>
      <c r="F521" t="n">
        <v>111500</v>
      </c>
      <c r="G521" t="n">
        <v>24</v>
      </c>
      <c r="H521" t="inlineStr">
        <is>
          <t>Female</t>
        </is>
      </c>
      <c r="I521" t="n">
        <v>636</v>
      </c>
    </row>
    <row r="522">
      <c r="A522" t="inlineStr">
        <is>
          <t>BOR100520</t>
        </is>
      </c>
      <c r="B522" t="inlineStr">
        <is>
          <t>Manufacturing</t>
        </is>
      </c>
      <c r="C522" t="inlineStr">
        <is>
          <t>Nairobi</t>
        </is>
      </c>
      <c r="D522" s="7" t="n">
        <v>42461</v>
      </c>
      <c r="E522" t="n">
        <v>63</v>
      </c>
      <c r="F522" t="n">
        <v>56300</v>
      </c>
      <c r="G522" t="n">
        <v>23</v>
      </c>
      <c r="H522" t="inlineStr">
        <is>
          <t>Male</t>
        </is>
      </c>
      <c r="I522" t="n">
        <v>766</v>
      </c>
    </row>
    <row r="523">
      <c r="A523" t="inlineStr">
        <is>
          <t>BOR100521</t>
        </is>
      </c>
      <c r="B523" t="inlineStr">
        <is>
          <t>Retail &amp; Trade</t>
        </is>
      </c>
      <c r="C523" t="inlineStr">
        <is>
          <t>Eldoret</t>
        </is>
      </c>
      <c r="D523" s="7" t="n">
        <v>45885</v>
      </c>
      <c r="E523" t="n">
        <v>71</v>
      </c>
      <c r="F523" t="n">
        <v>322800</v>
      </c>
      <c r="G523" t="n">
        <v>18</v>
      </c>
      <c r="H523" t="inlineStr">
        <is>
          <t>Male</t>
        </is>
      </c>
      <c r="I523" t="n">
        <v>635</v>
      </c>
    </row>
    <row r="524">
      <c r="A524" t="inlineStr">
        <is>
          <t>BOR100522</t>
        </is>
      </c>
      <c r="B524" t="inlineStr">
        <is>
          <t>Agriculture</t>
        </is>
      </c>
      <c r="C524" t="inlineStr">
        <is>
          <t>Rural - Other</t>
        </is>
      </c>
      <c r="D524" s="7" t="n">
        <v>45277</v>
      </c>
      <c r="E524" t="n">
        <v>37</v>
      </c>
      <c r="F524" t="n">
        <v>86200</v>
      </c>
      <c r="G524" t="n">
        <v>2</v>
      </c>
      <c r="H524" t="inlineStr">
        <is>
          <t>Male</t>
        </is>
      </c>
      <c r="I524" t="n">
        <v>565</v>
      </c>
    </row>
    <row r="525">
      <c r="A525" t="inlineStr">
        <is>
          <t>BOR100523</t>
        </is>
      </c>
      <c r="B525" t="inlineStr">
        <is>
          <t>Transport &amp; Logistics</t>
        </is>
      </c>
      <c r="C525" t="inlineStr">
        <is>
          <t>Rural - Other</t>
        </is>
      </c>
      <c r="D525" s="7" t="n">
        <v>42959</v>
      </c>
      <c r="E525" t="n">
        <v>114</v>
      </c>
      <c r="F525" t="n">
        <v>19900</v>
      </c>
      <c r="G525" t="n">
        <v>12</v>
      </c>
      <c r="H525" t="inlineStr">
        <is>
          <t>Male</t>
        </is>
      </c>
      <c r="I525" t="n">
        <v>669</v>
      </c>
    </row>
    <row r="526">
      <c r="A526" t="inlineStr">
        <is>
          <t>BOR100524</t>
        </is>
      </c>
      <c r="B526" t="inlineStr">
        <is>
          <t>Agriculture</t>
        </is>
      </c>
      <c r="C526" t="inlineStr">
        <is>
          <t>Mombasa</t>
        </is>
      </c>
      <c r="D526" s="7" t="n">
        <v>44775</v>
      </c>
      <c r="E526" t="n">
        <v>85</v>
      </c>
      <c r="F526" t="n">
        <v>36300</v>
      </c>
      <c r="G526" t="n">
        <v>6</v>
      </c>
      <c r="H526" t="inlineStr">
        <is>
          <t>Male</t>
        </is>
      </c>
      <c r="I526" t="n">
        <v>578</v>
      </c>
    </row>
    <row r="527">
      <c r="A527" t="inlineStr">
        <is>
          <t>BOR100525</t>
        </is>
      </c>
      <c r="B527" t="inlineStr">
        <is>
          <t>Agriculture</t>
        </is>
      </c>
      <c r="C527" t="inlineStr">
        <is>
          <t>Kisumu</t>
        </is>
      </c>
      <c r="D527" s="7" t="n">
        <v>43329</v>
      </c>
      <c r="E527" t="n">
        <v>109</v>
      </c>
      <c r="F527" t="n">
        <v>21600</v>
      </c>
      <c r="G527" t="n">
        <v>6</v>
      </c>
      <c r="H527" t="inlineStr">
        <is>
          <t>Male</t>
        </is>
      </c>
      <c r="I527" t="n">
        <v>566</v>
      </c>
    </row>
    <row r="528">
      <c r="A528" t="inlineStr">
        <is>
          <t>BOR100526</t>
        </is>
      </c>
      <c r="B528" t="inlineStr">
        <is>
          <t>Construction</t>
        </is>
      </c>
      <c r="C528" t="inlineStr">
        <is>
          <t>Nairobi</t>
        </is>
      </c>
      <c r="D528" s="7" t="n">
        <v>45412</v>
      </c>
      <c r="E528" t="n">
        <v>18</v>
      </c>
      <c r="F528" t="n">
        <v>74000</v>
      </c>
      <c r="G528" t="n">
        <v>20</v>
      </c>
      <c r="H528" t="inlineStr">
        <is>
          <t>Male</t>
        </is>
      </c>
      <c r="I528" t="n">
        <v>514</v>
      </c>
    </row>
    <row r="529">
      <c r="A529" t="inlineStr">
        <is>
          <t>BOR100527</t>
        </is>
      </c>
      <c r="B529" t="inlineStr">
        <is>
          <t>Retail &amp; Trade</t>
        </is>
      </c>
      <c r="C529" t="inlineStr">
        <is>
          <t>Nairobi</t>
        </is>
      </c>
      <c r="D529" s="7" t="n">
        <v>42689</v>
      </c>
      <c r="E529" t="n">
        <v>118</v>
      </c>
      <c r="F529" t="n">
        <v>67200</v>
      </c>
      <c r="G529" t="n">
        <v>20</v>
      </c>
      <c r="H529" t="inlineStr">
        <is>
          <t>Female</t>
        </is>
      </c>
      <c r="I529" t="n">
        <v>727</v>
      </c>
    </row>
    <row r="530">
      <c r="A530" t="inlineStr">
        <is>
          <t>BOR100528</t>
        </is>
      </c>
      <c r="B530" t="inlineStr">
        <is>
          <t>Construction</t>
        </is>
      </c>
      <c r="C530" t="inlineStr">
        <is>
          <t>Nairobi</t>
        </is>
      </c>
      <c r="D530" s="7" t="n">
        <v>43048</v>
      </c>
      <c r="E530" t="n">
        <v>32</v>
      </c>
      <c r="F530" t="n">
        <v>52700</v>
      </c>
      <c r="G530" t="n">
        <v>13</v>
      </c>
      <c r="H530" t="inlineStr">
        <is>
          <t>Male</t>
        </is>
      </c>
      <c r="I530" t="n">
        <v>371</v>
      </c>
    </row>
    <row r="531">
      <c r="A531" t="inlineStr">
        <is>
          <t>BOR100529</t>
        </is>
      </c>
      <c r="B531" t="inlineStr">
        <is>
          <t>Construction</t>
        </is>
      </c>
      <c r="C531" t="inlineStr">
        <is>
          <t>Rural - Other</t>
        </is>
      </c>
      <c r="D531" s="7" t="n">
        <v>43313</v>
      </c>
      <c r="E531" t="n">
        <v>66</v>
      </c>
      <c r="F531" t="n">
        <v>298800</v>
      </c>
      <c r="G531" t="n">
        <v>18</v>
      </c>
      <c r="H531" t="inlineStr">
        <is>
          <t>Male</t>
        </is>
      </c>
      <c r="I531" t="n">
        <v>672</v>
      </c>
    </row>
    <row r="532">
      <c r="A532" t="inlineStr">
        <is>
          <t>BOR100530</t>
        </is>
      </c>
      <c r="B532" t="inlineStr">
        <is>
          <t>Services</t>
        </is>
      </c>
      <c r="C532" t="inlineStr">
        <is>
          <t>Rural - Other</t>
        </is>
      </c>
      <c r="D532" s="7" t="n">
        <v>42855</v>
      </c>
      <c r="E532" t="n">
        <v>65</v>
      </c>
      <c r="F532" t="n">
        <v>107400</v>
      </c>
      <c r="G532" t="n">
        <v>4</v>
      </c>
      <c r="H532" t="inlineStr">
        <is>
          <t>Male</t>
        </is>
      </c>
      <c r="I532" t="n">
        <v>558</v>
      </c>
    </row>
    <row r="533">
      <c r="A533" t="inlineStr">
        <is>
          <t>BOR100531</t>
        </is>
      </c>
      <c r="B533" t="inlineStr">
        <is>
          <t>Retail &amp; Trade</t>
        </is>
      </c>
      <c r="C533" t="inlineStr">
        <is>
          <t>Rural - Other</t>
        </is>
      </c>
      <c r="D533" s="7" t="n">
        <v>43423</v>
      </c>
      <c r="E533" t="n">
        <v>119</v>
      </c>
      <c r="F533" t="n">
        <v>121600</v>
      </c>
      <c r="G533" t="n">
        <v>6</v>
      </c>
      <c r="H533" t="inlineStr">
        <is>
          <t>Male</t>
        </is>
      </c>
      <c r="I533" t="n">
        <v>563</v>
      </c>
    </row>
    <row r="534">
      <c r="A534" t="inlineStr">
        <is>
          <t>BOR100532</t>
        </is>
      </c>
      <c r="B534" t="inlineStr">
        <is>
          <t>Retail &amp; Trade</t>
        </is>
      </c>
      <c r="C534" t="inlineStr">
        <is>
          <t>Kisumu</t>
        </is>
      </c>
      <c r="D534" s="7" t="n">
        <v>44572</v>
      </c>
      <c r="E534" t="n">
        <v>42</v>
      </c>
      <c r="F534" t="n">
        <v>38100</v>
      </c>
      <c r="G534" t="n">
        <v>21</v>
      </c>
      <c r="H534" t="inlineStr">
        <is>
          <t>Female</t>
        </is>
      </c>
      <c r="I534" t="n">
        <v>752</v>
      </c>
    </row>
    <row r="535">
      <c r="A535" t="inlineStr">
        <is>
          <t>BOR100533</t>
        </is>
      </c>
      <c r="B535" t="inlineStr">
        <is>
          <t>Agriculture</t>
        </is>
      </c>
      <c r="C535" t="inlineStr">
        <is>
          <t>Kisumu</t>
        </is>
      </c>
      <c r="D535" s="7" t="n">
        <v>44702</v>
      </c>
      <c r="E535" t="n">
        <v>37</v>
      </c>
      <c r="F535" t="n">
        <v>36300</v>
      </c>
      <c r="G535" t="n">
        <v>11</v>
      </c>
      <c r="H535" t="inlineStr">
        <is>
          <t>Female</t>
        </is>
      </c>
      <c r="I535" t="n">
        <v>536</v>
      </c>
    </row>
    <row r="536">
      <c r="A536" t="inlineStr">
        <is>
          <t>BOR100534</t>
        </is>
      </c>
      <c r="B536" t="inlineStr">
        <is>
          <t>Services</t>
        </is>
      </c>
      <c r="C536" t="inlineStr">
        <is>
          <t>Kisumu</t>
        </is>
      </c>
      <c r="D536" s="7" t="n">
        <v>44365</v>
      </c>
      <c r="E536" t="n">
        <v>51</v>
      </c>
      <c r="F536" t="n">
        <v>75000</v>
      </c>
      <c r="G536" t="n">
        <v>14</v>
      </c>
      <c r="H536" t="inlineStr">
        <is>
          <t>Female</t>
        </is>
      </c>
      <c r="I536" t="n">
        <v>539</v>
      </c>
    </row>
    <row r="537">
      <c r="A537" t="inlineStr">
        <is>
          <t>BOR100535</t>
        </is>
      </c>
      <c r="B537" t="inlineStr">
        <is>
          <t>Retail &amp; Trade</t>
        </is>
      </c>
      <c r="C537" t="inlineStr">
        <is>
          <t>Kisumu</t>
        </is>
      </c>
      <c r="D537" s="7" t="n">
        <v>42813</v>
      </c>
      <c r="E537" t="n">
        <v>54</v>
      </c>
      <c r="F537" t="n">
        <v>82500</v>
      </c>
      <c r="G537" t="n">
        <v>12</v>
      </c>
      <c r="H537" t="inlineStr">
        <is>
          <t>Female</t>
        </is>
      </c>
      <c r="I537" t="n">
        <v>588</v>
      </c>
    </row>
    <row r="538">
      <c r="A538" t="inlineStr">
        <is>
          <t>BOR100536</t>
        </is>
      </c>
      <c r="B538" t="inlineStr">
        <is>
          <t>Manufacturing</t>
        </is>
      </c>
      <c r="C538" t="inlineStr">
        <is>
          <t>Kisumu</t>
        </is>
      </c>
      <c r="D538" s="7" t="n">
        <v>42867</v>
      </c>
      <c r="E538" t="n">
        <v>28</v>
      </c>
      <c r="F538" t="n">
        <v>19900</v>
      </c>
      <c r="G538" t="n">
        <v>5</v>
      </c>
      <c r="H538" t="inlineStr">
        <is>
          <t>Female</t>
        </is>
      </c>
      <c r="I538" t="n">
        <v>637</v>
      </c>
    </row>
    <row r="539">
      <c r="A539" t="inlineStr">
        <is>
          <t>BOR100537</t>
        </is>
      </c>
      <c r="B539" t="inlineStr">
        <is>
          <t>Retail &amp; Trade</t>
        </is>
      </c>
      <c r="C539" t="inlineStr">
        <is>
          <t>Nairobi</t>
        </is>
      </c>
      <c r="D539" s="7" t="n">
        <v>45922</v>
      </c>
      <c r="E539" t="n">
        <v>28</v>
      </c>
      <c r="F539" t="n">
        <v>64500</v>
      </c>
      <c r="G539" t="n">
        <v>20</v>
      </c>
      <c r="H539" t="inlineStr">
        <is>
          <t>Female</t>
        </is>
      </c>
      <c r="I539" t="n">
        <v>560</v>
      </c>
    </row>
    <row r="540">
      <c r="A540" t="inlineStr">
        <is>
          <t>BOR100538</t>
        </is>
      </c>
      <c r="B540" t="inlineStr">
        <is>
          <t>Services</t>
        </is>
      </c>
      <c r="C540" t="inlineStr">
        <is>
          <t>Nairobi</t>
        </is>
      </c>
      <c r="D540" s="7" t="n">
        <v>43075</v>
      </c>
      <c r="E540" t="n">
        <v>35</v>
      </c>
      <c r="F540" t="n">
        <v>73900</v>
      </c>
      <c r="G540" t="n">
        <v>19</v>
      </c>
      <c r="H540" t="inlineStr">
        <is>
          <t>Male</t>
        </is>
      </c>
      <c r="I540" t="n">
        <v>458</v>
      </c>
    </row>
    <row r="541">
      <c r="A541" t="inlineStr">
        <is>
          <t>BOR100539</t>
        </is>
      </c>
      <c r="B541" t="inlineStr">
        <is>
          <t>Retail &amp; Trade</t>
        </is>
      </c>
      <c r="C541" t="inlineStr">
        <is>
          <t>Rural - Other</t>
        </is>
      </c>
      <c r="D541" s="7" t="n">
        <v>42444</v>
      </c>
      <c r="E541" t="n">
        <v>69</v>
      </c>
      <c r="F541" t="n">
        <v>62900</v>
      </c>
      <c r="G541" t="n">
        <v>17</v>
      </c>
      <c r="H541" t="inlineStr">
        <is>
          <t>Female</t>
        </is>
      </c>
      <c r="I541" t="n">
        <v>522</v>
      </c>
    </row>
    <row r="542">
      <c r="A542" t="inlineStr">
        <is>
          <t>BOR100540</t>
        </is>
      </c>
      <c r="B542" t="inlineStr">
        <is>
          <t>Transport &amp; Logistics</t>
        </is>
      </c>
      <c r="C542" t="inlineStr">
        <is>
          <t>Kisumu</t>
        </is>
      </c>
      <c r="D542" s="7" t="n">
        <v>43939</v>
      </c>
      <c r="E542" t="n">
        <v>51</v>
      </c>
      <c r="F542" t="n">
        <v>41400</v>
      </c>
      <c r="G542" t="n">
        <v>9</v>
      </c>
      <c r="H542" t="inlineStr">
        <is>
          <t>Female</t>
        </is>
      </c>
      <c r="I542" t="n">
        <v>715</v>
      </c>
    </row>
    <row r="543">
      <c r="A543" t="inlineStr">
        <is>
          <t>BOR100541</t>
        </is>
      </c>
      <c r="B543" t="inlineStr">
        <is>
          <t>Retail &amp; Trade</t>
        </is>
      </c>
      <c r="C543" t="inlineStr">
        <is>
          <t>Rural - Other</t>
        </is>
      </c>
      <c r="D543" s="7" t="n">
        <v>42034</v>
      </c>
      <c r="E543" t="n">
        <v>58</v>
      </c>
      <c r="F543" t="n">
        <v>50100</v>
      </c>
      <c r="G543" t="n">
        <v>16</v>
      </c>
      <c r="H543" t="inlineStr">
        <is>
          <t>Female</t>
        </is>
      </c>
      <c r="I543" t="n">
        <v>607</v>
      </c>
    </row>
    <row r="544">
      <c r="A544" t="inlineStr">
        <is>
          <t>BOR100542</t>
        </is>
      </c>
      <c r="B544" t="inlineStr">
        <is>
          <t>Agriculture</t>
        </is>
      </c>
      <c r="C544" t="inlineStr">
        <is>
          <t>Nairobi</t>
        </is>
      </c>
      <c r="D544" s="7" t="n">
        <v>43465</v>
      </c>
      <c r="E544" t="n">
        <v>105</v>
      </c>
      <c r="F544" t="n">
        <v>64600</v>
      </c>
      <c r="G544" t="n">
        <v>23</v>
      </c>
      <c r="H544" t="inlineStr">
        <is>
          <t>Female</t>
        </is>
      </c>
      <c r="I544" t="n">
        <v>641</v>
      </c>
    </row>
    <row r="545">
      <c r="A545" t="inlineStr">
        <is>
          <t>BOR100543</t>
        </is>
      </c>
      <c r="B545" t="inlineStr">
        <is>
          <t>Agriculture</t>
        </is>
      </c>
      <c r="C545" t="inlineStr">
        <is>
          <t>Nakuru</t>
        </is>
      </c>
      <c r="D545" s="7" t="n">
        <v>45647</v>
      </c>
      <c r="E545" t="n">
        <v>37</v>
      </c>
      <c r="F545" t="n">
        <v>77900</v>
      </c>
      <c r="G545" t="n">
        <v>16</v>
      </c>
      <c r="H545" t="inlineStr">
        <is>
          <t>Female</t>
        </is>
      </c>
      <c r="I545" t="n">
        <v>576</v>
      </c>
    </row>
    <row r="546">
      <c r="A546" t="inlineStr">
        <is>
          <t>BOR100544</t>
        </is>
      </c>
      <c r="B546" t="inlineStr">
        <is>
          <t>Transport &amp; Logistics</t>
        </is>
      </c>
      <c r="C546" t="inlineStr">
        <is>
          <t>Nairobi</t>
        </is>
      </c>
      <c r="D546" s="7" t="n">
        <v>43144</v>
      </c>
      <c r="E546" t="n">
        <v>132</v>
      </c>
      <c r="F546" t="n">
        <v>111700</v>
      </c>
      <c r="G546" t="n">
        <v>12</v>
      </c>
      <c r="H546" t="inlineStr">
        <is>
          <t>Male</t>
        </is>
      </c>
      <c r="I546" t="n">
        <v>541</v>
      </c>
    </row>
    <row r="547">
      <c r="A547" t="inlineStr">
        <is>
          <t>BOR100545</t>
        </is>
      </c>
      <c r="B547" t="inlineStr">
        <is>
          <t>Retail &amp; Trade</t>
        </is>
      </c>
      <c r="C547" t="inlineStr">
        <is>
          <t>Nairobi</t>
        </is>
      </c>
      <c r="D547" s="7" t="n">
        <v>45003</v>
      </c>
      <c r="E547" t="n">
        <v>109</v>
      </c>
      <c r="F547" t="n">
        <v>155800</v>
      </c>
      <c r="G547" t="n">
        <v>7</v>
      </c>
      <c r="H547" t="inlineStr">
        <is>
          <t>Male</t>
        </is>
      </c>
      <c r="I547" t="n">
        <v>751</v>
      </c>
    </row>
    <row r="548">
      <c r="A548" t="inlineStr">
        <is>
          <t>BOR100546</t>
        </is>
      </c>
      <c r="B548" t="inlineStr">
        <is>
          <t>Manufacturing</t>
        </is>
      </c>
      <c r="C548" t="inlineStr">
        <is>
          <t>Nairobi</t>
        </is>
      </c>
      <c r="D548" s="7" t="n">
        <v>44092</v>
      </c>
      <c r="E548" t="n">
        <v>27</v>
      </c>
      <c r="F548" t="n">
        <v>59500</v>
      </c>
      <c r="G548" t="n">
        <v>13</v>
      </c>
      <c r="H548" t="inlineStr">
        <is>
          <t>Female</t>
        </is>
      </c>
      <c r="I548" t="n">
        <v>583</v>
      </c>
    </row>
    <row r="549">
      <c r="A549" t="inlineStr">
        <is>
          <t>BOR100547</t>
        </is>
      </c>
      <c r="B549" t="inlineStr">
        <is>
          <t>Services</t>
        </is>
      </c>
      <c r="C549" t="inlineStr">
        <is>
          <t>Nairobi</t>
        </is>
      </c>
      <c r="D549" s="7" t="n">
        <v>43519</v>
      </c>
      <c r="E549" t="n">
        <v>47</v>
      </c>
      <c r="F549" t="n">
        <v>53100</v>
      </c>
      <c r="G549" t="n">
        <v>9</v>
      </c>
      <c r="H549" t="inlineStr">
        <is>
          <t>Male</t>
        </is>
      </c>
      <c r="I549" t="n">
        <v>560</v>
      </c>
    </row>
    <row r="550">
      <c r="A550" t="inlineStr">
        <is>
          <t>BOR100548</t>
        </is>
      </c>
      <c r="B550" t="inlineStr">
        <is>
          <t>Services</t>
        </is>
      </c>
      <c r="C550" t="inlineStr">
        <is>
          <t>Rural - Other</t>
        </is>
      </c>
      <c r="D550" s="7" t="n">
        <v>44823</v>
      </c>
      <c r="E550" t="n">
        <v>29</v>
      </c>
      <c r="F550" t="n">
        <v>99300</v>
      </c>
      <c r="G550" t="n">
        <v>15</v>
      </c>
      <c r="H550" t="inlineStr">
        <is>
          <t>Female</t>
        </is>
      </c>
      <c r="I550" t="n">
        <v>699</v>
      </c>
    </row>
    <row r="551">
      <c r="A551" t="inlineStr">
        <is>
          <t>BOR100549</t>
        </is>
      </c>
      <c r="B551" t="inlineStr">
        <is>
          <t>Transport &amp; Logistics</t>
        </is>
      </c>
      <c r="C551" t="inlineStr">
        <is>
          <t>Mombasa</t>
        </is>
      </c>
      <c r="D551" s="7" t="n">
        <v>44542</v>
      </c>
      <c r="E551" t="n">
        <v>41</v>
      </c>
      <c r="F551" t="n">
        <v>112100</v>
      </c>
      <c r="G551" t="n">
        <v>2</v>
      </c>
      <c r="H551" t="inlineStr">
        <is>
          <t>Female</t>
        </is>
      </c>
      <c r="I551" t="n">
        <v>535</v>
      </c>
    </row>
    <row r="552">
      <c r="A552" t="inlineStr">
        <is>
          <t>BOR100550</t>
        </is>
      </c>
      <c r="B552" t="inlineStr">
        <is>
          <t>Transport &amp; Logistics</t>
        </is>
      </c>
      <c r="C552" t="inlineStr">
        <is>
          <t>Nakuru</t>
        </is>
      </c>
      <c r="D552" s="7" t="n">
        <v>43360</v>
      </c>
      <c r="E552" t="n">
        <v>54</v>
      </c>
      <c r="F552" t="n">
        <v>54000</v>
      </c>
      <c r="G552" t="n">
        <v>5</v>
      </c>
      <c r="H552" t="inlineStr">
        <is>
          <t>Male</t>
        </is>
      </c>
      <c r="I552" t="n">
        <v>546</v>
      </c>
    </row>
    <row r="553">
      <c r="A553" t="inlineStr">
        <is>
          <t>BOR100551</t>
        </is>
      </c>
      <c r="B553" t="inlineStr">
        <is>
          <t>Manufacturing</t>
        </is>
      </c>
      <c r="C553" t="inlineStr">
        <is>
          <t>Kisumu</t>
        </is>
      </c>
      <c r="D553" s="7" t="n">
        <v>42957</v>
      </c>
      <c r="E553" t="n">
        <v>21</v>
      </c>
      <c r="F553" t="n">
        <v>127200</v>
      </c>
      <c r="G553" t="n">
        <v>19</v>
      </c>
      <c r="H553" t="inlineStr">
        <is>
          <t>Male</t>
        </is>
      </c>
      <c r="I553" t="n">
        <v>601</v>
      </c>
    </row>
    <row r="554">
      <c r="A554" t="inlineStr">
        <is>
          <t>BOR100552</t>
        </is>
      </c>
      <c r="B554" t="inlineStr">
        <is>
          <t>Transport &amp; Logistics</t>
        </is>
      </c>
      <c r="C554" t="inlineStr">
        <is>
          <t>Mombasa</t>
        </is>
      </c>
      <c r="D554" s="7" t="n">
        <v>45911</v>
      </c>
      <c r="E554" t="n">
        <v>5</v>
      </c>
      <c r="F554" t="n">
        <v>145200</v>
      </c>
      <c r="G554" t="n">
        <v>10</v>
      </c>
      <c r="H554" t="inlineStr">
        <is>
          <t>Male</t>
        </is>
      </c>
      <c r="I554" t="n">
        <v>600</v>
      </c>
    </row>
    <row r="555">
      <c r="A555" t="inlineStr">
        <is>
          <t>BOR100553</t>
        </is>
      </c>
      <c r="B555" t="inlineStr">
        <is>
          <t>Agriculture</t>
        </is>
      </c>
      <c r="C555" t="inlineStr">
        <is>
          <t>Kisumu</t>
        </is>
      </c>
      <c r="D555" s="7" t="n">
        <v>42722</v>
      </c>
      <c r="E555" t="n">
        <v>65</v>
      </c>
      <c r="F555" t="n">
        <v>180600</v>
      </c>
      <c r="G555" t="n">
        <v>11</v>
      </c>
      <c r="H555" t="inlineStr">
        <is>
          <t>Female</t>
        </is>
      </c>
      <c r="I555" t="n">
        <v>623</v>
      </c>
    </row>
    <row r="556">
      <c r="A556" t="inlineStr">
        <is>
          <t>BOR100554</t>
        </is>
      </c>
      <c r="B556" t="inlineStr">
        <is>
          <t>Construction</t>
        </is>
      </c>
      <c r="C556" t="inlineStr">
        <is>
          <t>Nairobi</t>
        </is>
      </c>
      <c r="D556" s="7" t="n">
        <v>46093</v>
      </c>
      <c r="E556" t="n">
        <v>102</v>
      </c>
      <c r="F556" t="n">
        <v>253900</v>
      </c>
      <c r="G556" t="n">
        <v>14</v>
      </c>
      <c r="H556" t="inlineStr">
        <is>
          <t>Female</t>
        </is>
      </c>
      <c r="I556" t="n">
        <v>788</v>
      </c>
    </row>
    <row r="557">
      <c r="A557" t="inlineStr">
        <is>
          <t>BOR100555</t>
        </is>
      </c>
      <c r="B557" t="inlineStr">
        <is>
          <t>Services</t>
        </is>
      </c>
      <c r="C557" t="inlineStr">
        <is>
          <t>Rural - Other</t>
        </is>
      </c>
      <c r="D557" s="7" t="n">
        <v>44012</v>
      </c>
      <c r="E557" t="n">
        <v>46</v>
      </c>
      <c r="F557" t="n">
        <v>39900</v>
      </c>
      <c r="G557" t="n">
        <v>11</v>
      </c>
      <c r="H557" t="inlineStr">
        <is>
          <t>Female</t>
        </is>
      </c>
      <c r="I557" t="n">
        <v>630</v>
      </c>
    </row>
    <row r="558">
      <c r="A558" t="inlineStr">
        <is>
          <t>BOR100556</t>
        </is>
      </c>
      <c r="B558" t="inlineStr">
        <is>
          <t>Transport &amp; Logistics</t>
        </is>
      </c>
      <c r="C558" t="inlineStr">
        <is>
          <t>Rural - Other</t>
        </is>
      </c>
      <c r="D558" s="7" t="n">
        <v>46252</v>
      </c>
      <c r="E558" t="n">
        <v>125</v>
      </c>
      <c r="F558" t="n">
        <v>73800</v>
      </c>
      <c r="G558" t="n">
        <v>19</v>
      </c>
      <c r="H558" t="inlineStr">
        <is>
          <t>Female</t>
        </is>
      </c>
      <c r="I558" t="n">
        <v>386</v>
      </c>
    </row>
    <row r="559">
      <c r="A559" t="inlineStr">
        <is>
          <t>BOR100557</t>
        </is>
      </c>
      <c r="B559" t="inlineStr">
        <is>
          <t>Construction</t>
        </is>
      </c>
      <c r="C559" t="inlineStr">
        <is>
          <t>Eldoret</t>
        </is>
      </c>
      <c r="D559" s="7" t="n">
        <v>43509</v>
      </c>
      <c r="E559" t="n">
        <v>55</v>
      </c>
      <c r="F559" t="n">
        <v>73700</v>
      </c>
      <c r="G559" t="n">
        <v>6</v>
      </c>
      <c r="H559" t="inlineStr">
        <is>
          <t>Male</t>
        </is>
      </c>
      <c r="I559" t="n">
        <v>629</v>
      </c>
    </row>
    <row r="560">
      <c r="A560" t="inlineStr">
        <is>
          <t>BOR100558</t>
        </is>
      </c>
      <c r="B560" t="inlineStr">
        <is>
          <t>Transport &amp; Logistics</t>
        </is>
      </c>
      <c r="C560" t="inlineStr">
        <is>
          <t>Kisumu</t>
        </is>
      </c>
      <c r="D560" s="7" t="n">
        <v>44414</v>
      </c>
      <c r="E560" t="n">
        <v>130</v>
      </c>
      <c r="F560" t="n">
        <v>68300</v>
      </c>
      <c r="G560" t="n">
        <v>19</v>
      </c>
      <c r="H560" t="inlineStr">
        <is>
          <t>Female</t>
        </is>
      </c>
      <c r="I560" t="n">
        <v>603</v>
      </c>
    </row>
    <row r="561">
      <c r="A561" t="inlineStr">
        <is>
          <t>BOR100559</t>
        </is>
      </c>
      <c r="B561" t="inlineStr">
        <is>
          <t>Construction</t>
        </is>
      </c>
      <c r="C561" t="inlineStr">
        <is>
          <t>Nairobi</t>
        </is>
      </c>
      <c r="D561" s="7" t="n">
        <v>44626</v>
      </c>
      <c r="E561" t="n">
        <v>36</v>
      </c>
      <c r="F561" t="n">
        <v>46400</v>
      </c>
      <c r="G561" t="n">
        <v>6</v>
      </c>
      <c r="H561" t="inlineStr">
        <is>
          <t>Male</t>
        </is>
      </c>
      <c r="I561" t="n">
        <v>604</v>
      </c>
    </row>
    <row r="562">
      <c r="A562" t="inlineStr">
        <is>
          <t>BOR100560</t>
        </is>
      </c>
      <c r="B562" t="inlineStr">
        <is>
          <t>Services</t>
        </is>
      </c>
      <c r="C562" t="inlineStr">
        <is>
          <t>Rural - Other</t>
        </is>
      </c>
      <c r="D562" s="7" t="n">
        <v>43448</v>
      </c>
      <c r="E562" t="n">
        <v>79</v>
      </c>
      <c r="F562" t="n">
        <v>25900</v>
      </c>
      <c r="G562" t="n">
        <v>9</v>
      </c>
      <c r="H562" t="inlineStr">
        <is>
          <t>Male</t>
        </is>
      </c>
      <c r="I562" t="n">
        <v>622</v>
      </c>
    </row>
    <row r="563">
      <c r="A563" t="inlineStr">
        <is>
          <t>BOR100561</t>
        </is>
      </c>
      <c r="B563" t="inlineStr">
        <is>
          <t>Retail &amp; Trade</t>
        </is>
      </c>
      <c r="C563" t="inlineStr">
        <is>
          <t>Mombasa</t>
        </is>
      </c>
      <c r="D563" s="7" t="n">
        <v>42934</v>
      </c>
      <c r="E563" t="n">
        <v>111</v>
      </c>
      <c r="F563" t="n">
        <v>78000</v>
      </c>
      <c r="G563" t="n">
        <v>15</v>
      </c>
      <c r="H563" t="inlineStr">
        <is>
          <t>Male</t>
        </is>
      </c>
      <c r="I563" t="n">
        <v>597</v>
      </c>
    </row>
    <row r="564">
      <c r="A564" t="inlineStr">
        <is>
          <t>BOR100562</t>
        </is>
      </c>
      <c r="B564" t="inlineStr">
        <is>
          <t>Manufacturing</t>
        </is>
      </c>
      <c r="C564" t="inlineStr">
        <is>
          <t>Nairobi</t>
        </is>
      </c>
      <c r="D564" s="7" t="n">
        <v>44222</v>
      </c>
      <c r="E564" t="n">
        <v>11</v>
      </c>
      <c r="F564" t="n">
        <v>42700</v>
      </c>
      <c r="G564" t="n">
        <v>22</v>
      </c>
      <c r="H564" t="inlineStr">
        <is>
          <t>Female</t>
        </is>
      </c>
      <c r="I564" t="n">
        <v>595</v>
      </c>
    </row>
    <row r="565">
      <c r="A565" t="inlineStr">
        <is>
          <t>BOR100563</t>
        </is>
      </c>
      <c r="B565" t="inlineStr">
        <is>
          <t>Agriculture</t>
        </is>
      </c>
      <c r="C565" t="inlineStr">
        <is>
          <t>Mombasa</t>
        </is>
      </c>
      <c r="D565" s="7" t="n">
        <v>44829</v>
      </c>
      <c r="E565" t="n">
        <v>135</v>
      </c>
      <c r="F565" t="n">
        <v>77700</v>
      </c>
      <c r="G565" t="n">
        <v>6</v>
      </c>
      <c r="H565" t="inlineStr">
        <is>
          <t>Female</t>
        </is>
      </c>
      <c r="I565" t="n">
        <v>655</v>
      </c>
    </row>
    <row r="566">
      <c r="A566" t="inlineStr">
        <is>
          <t>BOR100564</t>
        </is>
      </c>
      <c r="B566" t="inlineStr">
        <is>
          <t>Construction</t>
        </is>
      </c>
      <c r="C566" t="inlineStr">
        <is>
          <t>Rural - Other</t>
        </is>
      </c>
      <c r="D566" s="7" t="n">
        <v>43118</v>
      </c>
      <c r="E566" t="n">
        <v>54</v>
      </c>
      <c r="F566" t="n">
        <v>41900</v>
      </c>
      <c r="G566" t="n">
        <v>15</v>
      </c>
      <c r="H566" t="inlineStr">
        <is>
          <t>Female</t>
        </is>
      </c>
      <c r="I566" t="n">
        <v>551</v>
      </c>
    </row>
    <row r="567">
      <c r="A567" t="inlineStr">
        <is>
          <t>BOR100565</t>
        </is>
      </c>
      <c r="B567" t="inlineStr">
        <is>
          <t>Agriculture</t>
        </is>
      </c>
      <c r="C567" t="inlineStr">
        <is>
          <t>Nakuru</t>
        </is>
      </c>
      <c r="D567" s="7" t="n">
        <v>45272</v>
      </c>
      <c r="E567" t="n">
        <v>73</v>
      </c>
      <c r="F567" t="n">
        <v>33900</v>
      </c>
      <c r="G567" t="n">
        <v>2</v>
      </c>
      <c r="H567" t="inlineStr">
        <is>
          <t>Male</t>
        </is>
      </c>
      <c r="I567" t="n">
        <v>515</v>
      </c>
    </row>
    <row r="568">
      <c r="A568" t="inlineStr">
        <is>
          <t>BOR100566</t>
        </is>
      </c>
      <c r="B568" t="inlineStr">
        <is>
          <t>Agriculture</t>
        </is>
      </c>
      <c r="C568" t="inlineStr">
        <is>
          <t>Eldoret</t>
        </is>
      </c>
      <c r="D568" s="7" t="n">
        <v>44727</v>
      </c>
      <c r="E568" t="n">
        <v>92</v>
      </c>
      <c r="F568" t="n">
        <v>86200</v>
      </c>
      <c r="G568" t="n">
        <v>2</v>
      </c>
      <c r="H568" t="inlineStr">
        <is>
          <t>Female</t>
        </is>
      </c>
      <c r="I568" t="n">
        <v>850</v>
      </c>
    </row>
    <row r="569">
      <c r="A569" t="inlineStr">
        <is>
          <t>BOR100567</t>
        </is>
      </c>
      <c r="B569" t="inlineStr">
        <is>
          <t>Agriculture</t>
        </is>
      </c>
      <c r="C569" t="inlineStr">
        <is>
          <t>Rural - Other</t>
        </is>
      </c>
      <c r="D569" s="7" t="n">
        <v>42715</v>
      </c>
      <c r="E569" t="n">
        <v>94</v>
      </c>
      <c r="F569" t="n">
        <v>81300</v>
      </c>
      <c r="G569" t="n">
        <v>19</v>
      </c>
      <c r="H569" t="inlineStr">
        <is>
          <t>Male</t>
        </is>
      </c>
      <c r="I569" t="n">
        <v>536</v>
      </c>
    </row>
    <row r="570">
      <c r="A570" t="inlineStr">
        <is>
          <t>BOR100568</t>
        </is>
      </c>
      <c r="B570" t="inlineStr">
        <is>
          <t>Services</t>
        </is>
      </c>
      <c r="C570" t="inlineStr">
        <is>
          <t>Nairobi</t>
        </is>
      </c>
      <c r="D570" s="7" t="n">
        <v>46004</v>
      </c>
      <c r="E570" t="n">
        <v>6</v>
      </c>
      <c r="F570" t="n">
        <v>109700</v>
      </c>
      <c r="G570" t="n">
        <v>18</v>
      </c>
      <c r="H570" t="inlineStr">
        <is>
          <t>Male</t>
        </is>
      </c>
      <c r="I570" t="n">
        <v>609</v>
      </c>
    </row>
    <row r="571">
      <c r="A571" t="inlineStr">
        <is>
          <t>BOR100569</t>
        </is>
      </c>
      <c r="B571" t="inlineStr">
        <is>
          <t>Services</t>
        </is>
      </c>
      <c r="C571" t="inlineStr">
        <is>
          <t>Rural - Other</t>
        </is>
      </c>
      <c r="D571" s="7" t="n">
        <v>42191</v>
      </c>
      <c r="E571" t="n">
        <v>126</v>
      </c>
      <c r="F571" t="n">
        <v>337800</v>
      </c>
      <c r="G571" t="n">
        <v>10</v>
      </c>
      <c r="H571" t="inlineStr">
        <is>
          <t>Female</t>
        </is>
      </c>
      <c r="I571" t="n">
        <v>465</v>
      </c>
    </row>
    <row r="572">
      <c r="A572" t="inlineStr">
        <is>
          <t>BOR100570</t>
        </is>
      </c>
      <c r="B572" t="inlineStr">
        <is>
          <t>Construction</t>
        </is>
      </c>
      <c r="C572" t="inlineStr">
        <is>
          <t>Kisumu</t>
        </is>
      </c>
      <c r="D572" s="7" t="n">
        <v>44790</v>
      </c>
      <c r="E572" t="n">
        <v>91</v>
      </c>
      <c r="F572" t="n">
        <v>88800</v>
      </c>
      <c r="G572" t="n">
        <v>15</v>
      </c>
      <c r="H572" t="inlineStr">
        <is>
          <t>Male</t>
        </is>
      </c>
      <c r="I572" t="n">
        <v>610</v>
      </c>
    </row>
    <row r="573">
      <c r="A573" t="inlineStr">
        <is>
          <t>BOR100571</t>
        </is>
      </c>
      <c r="B573" t="inlineStr">
        <is>
          <t>Manufacturing</t>
        </is>
      </c>
      <c r="C573" t="inlineStr">
        <is>
          <t>Nakuru</t>
        </is>
      </c>
      <c r="D573" s="7" t="n">
        <v>43878</v>
      </c>
      <c r="E573" t="n">
        <v>144</v>
      </c>
      <c r="F573" t="n">
        <v>102700</v>
      </c>
      <c r="G573" t="n">
        <v>10</v>
      </c>
      <c r="H573" t="inlineStr">
        <is>
          <t>Female</t>
        </is>
      </c>
      <c r="I573" t="n">
        <v>516</v>
      </c>
    </row>
    <row r="574">
      <c r="A574" t="inlineStr">
        <is>
          <t>BOR100572</t>
        </is>
      </c>
      <c r="B574" t="inlineStr">
        <is>
          <t>Agriculture</t>
        </is>
      </c>
      <c r="C574" t="inlineStr">
        <is>
          <t>Nairobi</t>
        </is>
      </c>
      <c r="D574" s="7" t="n">
        <v>44790</v>
      </c>
      <c r="E574" t="n">
        <v>69</v>
      </c>
      <c r="F574" t="n">
        <v>34400</v>
      </c>
      <c r="G574" t="n">
        <v>7</v>
      </c>
      <c r="H574" t="inlineStr">
        <is>
          <t>Male</t>
        </is>
      </c>
      <c r="I574" t="n">
        <v>560</v>
      </c>
    </row>
    <row r="575">
      <c r="A575" t="inlineStr">
        <is>
          <t>BOR100573</t>
        </is>
      </c>
      <c r="B575" t="inlineStr">
        <is>
          <t>Retail &amp; Trade</t>
        </is>
      </c>
      <c r="C575" t="inlineStr">
        <is>
          <t>Rural - Other</t>
        </is>
      </c>
      <c r="D575" s="7" t="n">
        <v>45303</v>
      </c>
      <c r="E575" t="n">
        <v>90</v>
      </c>
      <c r="F575" t="n">
        <v>29700</v>
      </c>
      <c r="G575" t="n">
        <v>11</v>
      </c>
      <c r="H575" t="inlineStr">
        <is>
          <t>Female</t>
        </is>
      </c>
      <c r="I575" t="n">
        <v>694</v>
      </c>
    </row>
    <row r="576">
      <c r="A576" t="inlineStr">
        <is>
          <t>BOR100574</t>
        </is>
      </c>
      <c r="B576" t="inlineStr">
        <is>
          <t>Retail &amp; Trade</t>
        </is>
      </c>
      <c r="C576" t="inlineStr">
        <is>
          <t>Mombasa</t>
        </is>
      </c>
      <c r="D576" s="7" t="n">
        <v>44933</v>
      </c>
      <c r="E576" t="n">
        <v>65</v>
      </c>
      <c r="F576" t="n">
        <v>221500</v>
      </c>
      <c r="G576" t="n">
        <v>8</v>
      </c>
      <c r="H576" t="inlineStr">
        <is>
          <t>Male</t>
        </is>
      </c>
      <c r="I576" t="n">
        <v>642</v>
      </c>
    </row>
    <row r="577">
      <c r="A577" t="inlineStr">
        <is>
          <t>BOR100575</t>
        </is>
      </c>
      <c r="B577" t="inlineStr">
        <is>
          <t>Manufacturing</t>
        </is>
      </c>
      <c r="C577" t="inlineStr">
        <is>
          <t>Nairobi</t>
        </is>
      </c>
      <c r="D577" s="7" t="n">
        <v>44777</v>
      </c>
      <c r="E577" t="n">
        <v>129</v>
      </c>
      <c r="F577" t="n">
        <v>38300</v>
      </c>
      <c r="G577" t="n">
        <v>20</v>
      </c>
      <c r="H577" t="inlineStr">
        <is>
          <t>Male</t>
        </is>
      </c>
      <c r="I577" t="n">
        <v>651</v>
      </c>
    </row>
    <row r="578">
      <c r="A578" t="inlineStr">
        <is>
          <t>BOR100576</t>
        </is>
      </c>
      <c r="B578" t="inlineStr">
        <is>
          <t>Construction</t>
        </is>
      </c>
      <c r="C578" t="inlineStr">
        <is>
          <t>Kisumu</t>
        </is>
      </c>
      <c r="D578" s="7" t="n">
        <v>45588</v>
      </c>
      <c r="E578" t="n">
        <v>121</v>
      </c>
      <c r="F578" t="n">
        <v>35200</v>
      </c>
      <c r="G578" t="n">
        <v>10</v>
      </c>
      <c r="H578" t="inlineStr">
        <is>
          <t>Male</t>
        </is>
      </c>
      <c r="I578" t="n">
        <v>441</v>
      </c>
    </row>
    <row r="579">
      <c r="A579" t="inlineStr">
        <is>
          <t>BOR100577</t>
        </is>
      </c>
      <c r="B579" t="inlineStr">
        <is>
          <t>Services</t>
        </is>
      </c>
      <c r="C579" t="inlineStr">
        <is>
          <t>Nairobi</t>
        </is>
      </c>
      <c r="D579" s="7" t="n">
        <v>44995</v>
      </c>
      <c r="E579" t="n">
        <v>132</v>
      </c>
      <c r="F579" t="n">
        <v>71200</v>
      </c>
      <c r="G579" t="n">
        <v>8</v>
      </c>
      <c r="H579" t="inlineStr">
        <is>
          <t>Female</t>
        </is>
      </c>
      <c r="I579" t="n">
        <v>765</v>
      </c>
    </row>
    <row r="580">
      <c r="A580" t="inlineStr">
        <is>
          <t>BOR100578</t>
        </is>
      </c>
      <c r="B580" t="inlineStr">
        <is>
          <t>Construction</t>
        </is>
      </c>
      <c r="C580" t="inlineStr">
        <is>
          <t>Nairobi</t>
        </is>
      </c>
      <c r="D580" s="7" t="n">
        <v>45472</v>
      </c>
      <c r="E580" t="n">
        <v>74</v>
      </c>
      <c r="F580" t="n">
        <v>68700</v>
      </c>
      <c r="G580" t="n">
        <v>13</v>
      </c>
      <c r="H580" t="inlineStr">
        <is>
          <t>Male</t>
        </is>
      </c>
      <c r="I580" t="n">
        <v>493</v>
      </c>
    </row>
    <row r="581">
      <c r="A581" t="inlineStr">
        <is>
          <t>BOR100579</t>
        </is>
      </c>
      <c r="B581" t="inlineStr">
        <is>
          <t>Retail &amp; Trade</t>
        </is>
      </c>
      <c r="C581" t="inlineStr">
        <is>
          <t>Nakuru</t>
        </is>
      </c>
      <c r="D581" s="7" t="n">
        <v>43721</v>
      </c>
      <c r="E581" t="n">
        <v>115</v>
      </c>
      <c r="F581" t="n">
        <v>38900</v>
      </c>
      <c r="G581" t="n">
        <v>19</v>
      </c>
      <c r="H581" t="inlineStr">
        <is>
          <t>Female</t>
        </is>
      </c>
      <c r="I581" t="n">
        <v>738</v>
      </c>
    </row>
    <row r="582">
      <c r="A582" t="inlineStr">
        <is>
          <t>BOR100580</t>
        </is>
      </c>
      <c r="B582" t="inlineStr">
        <is>
          <t>Retail &amp; Trade</t>
        </is>
      </c>
      <c r="C582" t="inlineStr">
        <is>
          <t>Mombasa</t>
        </is>
      </c>
      <c r="D582" s="7" t="n">
        <v>42869</v>
      </c>
      <c r="E582" t="n">
        <v>53</v>
      </c>
      <c r="F582" t="n">
        <v>59100</v>
      </c>
      <c r="G582" t="n">
        <v>7</v>
      </c>
      <c r="H582" t="inlineStr">
        <is>
          <t>Male</t>
        </is>
      </c>
      <c r="I582" t="n">
        <v>692</v>
      </c>
    </row>
    <row r="583">
      <c r="A583" t="inlineStr">
        <is>
          <t>BOR100581</t>
        </is>
      </c>
      <c r="B583" t="inlineStr">
        <is>
          <t>Construction</t>
        </is>
      </c>
      <c r="C583" t="inlineStr">
        <is>
          <t>Rural - Other</t>
        </is>
      </c>
      <c r="D583" s="7" t="n">
        <v>43006</v>
      </c>
      <c r="E583" t="n">
        <v>68</v>
      </c>
      <c r="F583" t="n">
        <v>172900</v>
      </c>
      <c r="G583" t="n">
        <v>23</v>
      </c>
      <c r="H583" t="inlineStr">
        <is>
          <t>Female</t>
        </is>
      </c>
      <c r="I583" t="n">
        <v>652</v>
      </c>
    </row>
    <row r="584">
      <c r="A584" t="inlineStr">
        <is>
          <t>BOR100582</t>
        </is>
      </c>
      <c r="B584" t="inlineStr">
        <is>
          <t>Retail &amp; Trade</t>
        </is>
      </c>
      <c r="C584" t="inlineStr">
        <is>
          <t>Mombasa</t>
        </is>
      </c>
      <c r="D584" s="7" t="n">
        <v>44613</v>
      </c>
      <c r="E584" t="n">
        <v>110</v>
      </c>
      <c r="F584" t="n">
        <v>41600</v>
      </c>
      <c r="G584" t="n">
        <v>12</v>
      </c>
      <c r="H584" t="inlineStr">
        <is>
          <t>Female</t>
        </is>
      </c>
      <c r="I584" t="n">
        <v>523</v>
      </c>
    </row>
    <row r="585">
      <c r="A585" t="inlineStr">
        <is>
          <t>BOR100583</t>
        </is>
      </c>
      <c r="B585" t="inlineStr">
        <is>
          <t>Retail &amp; Trade</t>
        </is>
      </c>
      <c r="C585" t="inlineStr">
        <is>
          <t>Eldoret</t>
        </is>
      </c>
      <c r="D585" s="7" t="n">
        <v>44270</v>
      </c>
      <c r="E585" t="n">
        <v>14</v>
      </c>
      <c r="F585" t="n">
        <v>27600</v>
      </c>
      <c r="G585" t="n">
        <v>16</v>
      </c>
      <c r="H585" t="inlineStr">
        <is>
          <t>Female</t>
        </is>
      </c>
      <c r="I585" t="n">
        <v>614</v>
      </c>
    </row>
    <row r="586">
      <c r="A586" t="inlineStr">
        <is>
          <t>BOR100584</t>
        </is>
      </c>
      <c r="B586" t="inlineStr">
        <is>
          <t>Manufacturing</t>
        </is>
      </c>
      <c r="C586" t="inlineStr">
        <is>
          <t>Kisumu</t>
        </is>
      </c>
      <c r="D586" s="7" t="n">
        <v>42333</v>
      </c>
      <c r="E586" t="n">
        <v>103</v>
      </c>
      <c r="F586" t="n">
        <v>141500</v>
      </c>
      <c r="G586" t="n">
        <v>23</v>
      </c>
      <c r="H586" t="inlineStr">
        <is>
          <t>Female</t>
        </is>
      </c>
      <c r="I586" t="n">
        <v>558</v>
      </c>
    </row>
    <row r="587">
      <c r="A587" t="inlineStr">
        <is>
          <t>BOR100585</t>
        </is>
      </c>
      <c r="B587" t="inlineStr">
        <is>
          <t>Construction</t>
        </is>
      </c>
      <c r="C587" t="inlineStr">
        <is>
          <t>Nakuru</t>
        </is>
      </c>
      <c r="D587" s="7" t="n">
        <v>42875</v>
      </c>
      <c r="E587" t="n">
        <v>5</v>
      </c>
      <c r="F587" t="n">
        <v>103200</v>
      </c>
      <c r="G587" t="n">
        <v>11</v>
      </c>
      <c r="H587" t="inlineStr">
        <is>
          <t>Female</t>
        </is>
      </c>
      <c r="I587" t="n">
        <v>603</v>
      </c>
    </row>
    <row r="588">
      <c r="A588" t="inlineStr">
        <is>
          <t>BOR100586</t>
        </is>
      </c>
      <c r="B588" t="inlineStr">
        <is>
          <t>Transport &amp; Logistics</t>
        </is>
      </c>
      <c r="C588" t="inlineStr">
        <is>
          <t>Nakuru</t>
        </is>
      </c>
      <c r="D588" s="7" t="n">
        <v>46127</v>
      </c>
      <c r="E588" t="n">
        <v>85</v>
      </c>
      <c r="F588" t="n">
        <v>47400</v>
      </c>
      <c r="G588" t="n">
        <v>5</v>
      </c>
      <c r="H588" t="inlineStr">
        <is>
          <t>Male</t>
        </is>
      </c>
      <c r="I588" t="n">
        <v>578</v>
      </c>
    </row>
    <row r="589">
      <c r="A589" t="inlineStr">
        <is>
          <t>BOR100587</t>
        </is>
      </c>
      <c r="B589" t="inlineStr">
        <is>
          <t>Retail &amp; Trade</t>
        </is>
      </c>
      <c r="C589" t="inlineStr">
        <is>
          <t>Kisumu</t>
        </is>
      </c>
      <c r="D589" s="7" t="n">
        <v>45099</v>
      </c>
      <c r="E589" t="n">
        <v>70</v>
      </c>
      <c r="F589" t="n">
        <v>24200</v>
      </c>
      <c r="G589" t="n">
        <v>18</v>
      </c>
      <c r="H589" t="inlineStr">
        <is>
          <t>Female</t>
        </is>
      </c>
      <c r="I589" t="n">
        <v>417</v>
      </c>
    </row>
    <row r="590">
      <c r="A590" t="inlineStr">
        <is>
          <t>BOR100588</t>
        </is>
      </c>
      <c r="B590" t="inlineStr">
        <is>
          <t>Construction</t>
        </is>
      </c>
      <c r="C590" t="inlineStr">
        <is>
          <t>Rural - Other</t>
        </is>
      </c>
      <c r="D590" s="7" t="n">
        <v>45221</v>
      </c>
      <c r="E590" t="n">
        <v>69</v>
      </c>
      <c r="F590" t="n">
        <v>43400</v>
      </c>
      <c r="G590" t="n">
        <v>1</v>
      </c>
      <c r="H590" t="inlineStr">
        <is>
          <t>Male</t>
        </is>
      </c>
      <c r="I590" t="n">
        <v>701</v>
      </c>
    </row>
    <row r="591">
      <c r="A591" t="inlineStr">
        <is>
          <t>BOR100589</t>
        </is>
      </c>
      <c r="B591" t="inlineStr">
        <is>
          <t>Construction</t>
        </is>
      </c>
      <c r="C591" t="inlineStr">
        <is>
          <t>Mombasa</t>
        </is>
      </c>
      <c r="D591" s="7" t="n">
        <v>42844</v>
      </c>
      <c r="E591" t="n">
        <v>73</v>
      </c>
      <c r="F591" t="n">
        <v>70400</v>
      </c>
      <c r="G591" t="n">
        <v>11</v>
      </c>
      <c r="H591" t="inlineStr">
        <is>
          <t>Female</t>
        </is>
      </c>
      <c r="I591" t="n">
        <v>593</v>
      </c>
    </row>
    <row r="592">
      <c r="A592" t="inlineStr">
        <is>
          <t>BOR100590</t>
        </is>
      </c>
      <c r="B592" t="inlineStr">
        <is>
          <t>Transport &amp; Logistics</t>
        </is>
      </c>
      <c r="C592" t="inlineStr">
        <is>
          <t>Nairobi</t>
        </is>
      </c>
      <c r="D592" s="7" t="n">
        <v>42278</v>
      </c>
      <c r="E592" t="n">
        <v>72</v>
      </c>
      <c r="F592" t="n">
        <v>165400</v>
      </c>
      <c r="G592" t="n">
        <v>24</v>
      </c>
      <c r="H592" t="inlineStr">
        <is>
          <t>Male</t>
        </is>
      </c>
      <c r="I592" t="n">
        <v>556</v>
      </c>
    </row>
    <row r="593">
      <c r="A593" t="inlineStr">
        <is>
          <t>BOR100591</t>
        </is>
      </c>
      <c r="B593" t="inlineStr">
        <is>
          <t>Construction</t>
        </is>
      </c>
      <c r="C593" t="inlineStr">
        <is>
          <t>Eldoret</t>
        </is>
      </c>
      <c r="D593" s="7" t="n">
        <v>43246</v>
      </c>
      <c r="E593" t="n">
        <v>60</v>
      </c>
      <c r="F593" t="n">
        <v>35400</v>
      </c>
      <c r="G593" t="n">
        <v>10</v>
      </c>
      <c r="H593" t="inlineStr">
        <is>
          <t>Male</t>
        </is>
      </c>
      <c r="I593" t="n">
        <v>550</v>
      </c>
    </row>
    <row r="594">
      <c r="A594" t="inlineStr">
        <is>
          <t>BOR100592</t>
        </is>
      </c>
      <c r="B594" t="inlineStr">
        <is>
          <t>Agriculture</t>
        </is>
      </c>
      <c r="C594" t="inlineStr">
        <is>
          <t>Rural - Other</t>
        </is>
      </c>
      <c r="D594" s="7" t="n">
        <v>45656</v>
      </c>
      <c r="E594" t="n">
        <v>67</v>
      </c>
      <c r="F594" t="n">
        <v>68900</v>
      </c>
      <c r="G594" t="n">
        <v>17</v>
      </c>
      <c r="H594" t="inlineStr">
        <is>
          <t>Female</t>
        </is>
      </c>
      <c r="I594" t="n">
        <v>632</v>
      </c>
    </row>
    <row r="595">
      <c r="A595" t="inlineStr">
        <is>
          <t>BOR100593</t>
        </is>
      </c>
      <c r="B595" t="inlineStr">
        <is>
          <t>Construction</t>
        </is>
      </c>
      <c r="C595" t="inlineStr">
        <is>
          <t>Nairobi</t>
        </is>
      </c>
      <c r="D595" s="7" t="n">
        <v>44163</v>
      </c>
      <c r="E595" t="n">
        <v>83</v>
      </c>
      <c r="F595" t="n">
        <v>117300</v>
      </c>
      <c r="G595" t="n">
        <v>13</v>
      </c>
      <c r="H595" t="inlineStr">
        <is>
          <t>Male</t>
        </is>
      </c>
      <c r="I595" t="n">
        <v>520</v>
      </c>
    </row>
    <row r="596">
      <c r="A596" t="inlineStr">
        <is>
          <t>BOR100594</t>
        </is>
      </c>
      <c r="B596" t="inlineStr">
        <is>
          <t>Agriculture</t>
        </is>
      </c>
      <c r="C596" t="inlineStr">
        <is>
          <t>Kisumu</t>
        </is>
      </c>
      <c r="D596" s="7" t="n">
        <v>45348</v>
      </c>
      <c r="E596" t="n">
        <v>111</v>
      </c>
      <c r="F596" t="n">
        <v>15000</v>
      </c>
      <c r="G596" t="n">
        <v>6</v>
      </c>
      <c r="H596" t="inlineStr">
        <is>
          <t>Male</t>
        </is>
      </c>
      <c r="I596" t="n">
        <v>397</v>
      </c>
    </row>
    <row r="597">
      <c r="A597" t="inlineStr">
        <is>
          <t>BOR100595</t>
        </is>
      </c>
      <c r="B597" t="inlineStr">
        <is>
          <t>Transport &amp; Logistics</t>
        </is>
      </c>
      <c r="C597" t="inlineStr">
        <is>
          <t>Rural - Other</t>
        </is>
      </c>
      <c r="D597" s="7" t="n">
        <v>44078</v>
      </c>
      <c r="E597" t="n">
        <v>81</v>
      </c>
      <c r="F597" t="n">
        <v>150800</v>
      </c>
      <c r="G597" t="n">
        <v>8</v>
      </c>
      <c r="H597" t="inlineStr">
        <is>
          <t>Male</t>
        </is>
      </c>
      <c r="I597" t="n">
        <v>637</v>
      </c>
    </row>
    <row r="598">
      <c r="A598" t="inlineStr">
        <is>
          <t>BOR100596</t>
        </is>
      </c>
      <c r="B598" t="inlineStr">
        <is>
          <t>Services</t>
        </is>
      </c>
      <c r="C598" t="inlineStr">
        <is>
          <t>Eldoret</t>
        </is>
      </c>
      <c r="D598" s="7" t="n">
        <v>44093</v>
      </c>
      <c r="E598" t="n">
        <v>94</v>
      </c>
      <c r="F598" t="n">
        <v>32000</v>
      </c>
      <c r="G598" t="n">
        <v>13</v>
      </c>
      <c r="H598" t="inlineStr">
        <is>
          <t>Female</t>
        </is>
      </c>
      <c r="I598" t="n">
        <v>647</v>
      </c>
    </row>
    <row r="599">
      <c r="A599" t="inlineStr">
        <is>
          <t>BOR100597</t>
        </is>
      </c>
      <c r="B599" t="inlineStr">
        <is>
          <t>Transport &amp; Logistics</t>
        </is>
      </c>
      <c r="C599" t="inlineStr">
        <is>
          <t>Rural - Other</t>
        </is>
      </c>
      <c r="D599" s="7" t="n">
        <v>44565</v>
      </c>
      <c r="E599" t="n">
        <v>121</v>
      </c>
      <c r="F599" t="n">
        <v>92300</v>
      </c>
      <c r="G599" t="n">
        <v>3</v>
      </c>
      <c r="H599" t="inlineStr">
        <is>
          <t>Female</t>
        </is>
      </c>
      <c r="I599" t="n">
        <v>582</v>
      </c>
    </row>
    <row r="600">
      <c r="A600" t="inlineStr">
        <is>
          <t>BOR100598</t>
        </is>
      </c>
      <c r="B600" t="inlineStr">
        <is>
          <t>Services</t>
        </is>
      </c>
      <c r="C600" t="inlineStr">
        <is>
          <t>Kisumu</t>
        </is>
      </c>
      <c r="D600" s="7" t="n">
        <v>46090</v>
      </c>
      <c r="E600" t="n">
        <v>143</v>
      </c>
      <c r="F600" t="n">
        <v>86900</v>
      </c>
      <c r="G600" t="n">
        <v>10</v>
      </c>
      <c r="H600" t="inlineStr">
        <is>
          <t>Male</t>
        </is>
      </c>
      <c r="I600" t="n">
        <v>497</v>
      </c>
    </row>
    <row r="601">
      <c r="A601" t="inlineStr">
        <is>
          <t>BOR100599</t>
        </is>
      </c>
      <c r="B601" t="inlineStr">
        <is>
          <t>Services</t>
        </is>
      </c>
      <c r="C601" t="inlineStr">
        <is>
          <t>Nakuru</t>
        </is>
      </c>
      <c r="D601" s="7" t="n">
        <v>43868</v>
      </c>
      <c r="E601" t="n">
        <v>18</v>
      </c>
      <c r="F601" t="n">
        <v>156200</v>
      </c>
      <c r="G601" t="n">
        <v>10</v>
      </c>
      <c r="H601" t="inlineStr">
        <is>
          <t>Female</t>
        </is>
      </c>
      <c r="I601" t="n">
        <v>608</v>
      </c>
    </row>
    <row r="602">
      <c r="A602" t="inlineStr">
        <is>
          <t>BOR100600</t>
        </is>
      </c>
      <c r="B602" t="inlineStr">
        <is>
          <t>Services</t>
        </is>
      </c>
      <c r="C602" t="inlineStr">
        <is>
          <t>Mombasa</t>
        </is>
      </c>
      <c r="D602" s="7" t="n">
        <v>44543</v>
      </c>
      <c r="E602" t="n">
        <v>104</v>
      </c>
      <c r="F602" t="n">
        <v>107500</v>
      </c>
      <c r="G602" t="n">
        <v>21</v>
      </c>
      <c r="H602" t="inlineStr">
        <is>
          <t>Male</t>
        </is>
      </c>
      <c r="I602" t="n">
        <v>468</v>
      </c>
    </row>
    <row r="603">
      <c r="A603" t="inlineStr">
        <is>
          <t>BOR100601</t>
        </is>
      </c>
      <c r="B603" t="inlineStr">
        <is>
          <t>Transport &amp; Logistics</t>
        </is>
      </c>
      <c r="C603" t="inlineStr">
        <is>
          <t>Rural - Other</t>
        </is>
      </c>
      <c r="D603" s="7" t="n">
        <v>45922</v>
      </c>
      <c r="E603" t="n">
        <v>34</v>
      </c>
      <c r="F603" t="n">
        <v>15000</v>
      </c>
      <c r="G603" t="n">
        <v>3</v>
      </c>
      <c r="H603" t="inlineStr">
        <is>
          <t>Female</t>
        </is>
      </c>
      <c r="I603" t="n">
        <v>508</v>
      </c>
    </row>
    <row r="604">
      <c r="A604" t="inlineStr">
        <is>
          <t>BOR100602</t>
        </is>
      </c>
      <c r="B604" t="inlineStr">
        <is>
          <t>Transport &amp; Logistics</t>
        </is>
      </c>
      <c r="C604" t="inlineStr">
        <is>
          <t>Mombasa</t>
        </is>
      </c>
      <c r="D604" s="7" t="n">
        <v>43591</v>
      </c>
      <c r="E604" t="n">
        <v>30</v>
      </c>
      <c r="F604" t="n">
        <v>42200</v>
      </c>
      <c r="G604" t="n">
        <v>21</v>
      </c>
      <c r="H604" t="inlineStr">
        <is>
          <t>Male</t>
        </is>
      </c>
      <c r="I604" t="n">
        <v>532</v>
      </c>
    </row>
    <row r="605">
      <c r="A605" t="inlineStr">
        <is>
          <t>BOR100603</t>
        </is>
      </c>
      <c r="B605" t="inlineStr">
        <is>
          <t>Retail &amp; Trade</t>
        </is>
      </c>
      <c r="C605" t="inlineStr">
        <is>
          <t>Eldoret</t>
        </is>
      </c>
      <c r="D605" s="7" t="n">
        <v>45583</v>
      </c>
      <c r="E605" t="n">
        <v>115</v>
      </c>
      <c r="F605" t="n">
        <v>80600</v>
      </c>
      <c r="G605" t="n">
        <v>10</v>
      </c>
      <c r="H605" t="inlineStr">
        <is>
          <t>Female</t>
        </is>
      </c>
      <c r="I605" t="n">
        <v>676</v>
      </c>
    </row>
    <row r="606">
      <c r="A606" t="inlineStr">
        <is>
          <t>BOR100604</t>
        </is>
      </c>
      <c r="B606" t="inlineStr">
        <is>
          <t>Transport &amp; Logistics</t>
        </is>
      </c>
      <c r="C606" t="inlineStr">
        <is>
          <t>Mombasa</t>
        </is>
      </c>
      <c r="D606" s="7" t="n">
        <v>44284</v>
      </c>
      <c r="E606" t="n">
        <v>12</v>
      </c>
      <c r="F606" t="n">
        <v>63800</v>
      </c>
      <c r="G606" t="n">
        <v>16</v>
      </c>
      <c r="H606" t="inlineStr">
        <is>
          <t>Female</t>
        </is>
      </c>
      <c r="I606" t="n">
        <v>567</v>
      </c>
    </row>
    <row r="607">
      <c r="A607" t="inlineStr">
        <is>
          <t>BOR100605</t>
        </is>
      </c>
      <c r="B607" t="inlineStr">
        <is>
          <t>Services</t>
        </is>
      </c>
      <c r="C607" t="inlineStr">
        <is>
          <t>Nakuru</t>
        </is>
      </c>
      <c r="D607" s="7" t="n">
        <v>45750</v>
      </c>
      <c r="E607" t="n">
        <v>123</v>
      </c>
      <c r="F607" t="n">
        <v>102200</v>
      </c>
      <c r="G607" t="n">
        <v>14</v>
      </c>
      <c r="H607" t="inlineStr">
        <is>
          <t>Male</t>
        </is>
      </c>
      <c r="I607" t="n">
        <v>560</v>
      </c>
    </row>
    <row r="608">
      <c r="A608" t="inlineStr">
        <is>
          <t>BOR100606</t>
        </is>
      </c>
      <c r="B608" t="inlineStr">
        <is>
          <t>Agriculture</t>
        </is>
      </c>
      <c r="C608" t="inlineStr">
        <is>
          <t>Eldoret</t>
        </is>
      </c>
      <c r="D608" s="7" t="n">
        <v>43998</v>
      </c>
      <c r="E608" t="n">
        <v>112</v>
      </c>
      <c r="F608" t="n">
        <v>127100</v>
      </c>
      <c r="G608" t="n">
        <v>8</v>
      </c>
      <c r="H608" t="inlineStr">
        <is>
          <t>Male</t>
        </is>
      </c>
      <c r="I608" t="n">
        <v>776</v>
      </c>
    </row>
    <row r="609">
      <c r="A609" t="inlineStr">
        <is>
          <t>BOR100607</t>
        </is>
      </c>
      <c r="B609" t="inlineStr">
        <is>
          <t>Services</t>
        </is>
      </c>
      <c r="C609" t="inlineStr">
        <is>
          <t>Kisumu</t>
        </is>
      </c>
      <c r="D609" s="7" t="n">
        <v>44687</v>
      </c>
      <c r="E609" t="n">
        <v>144</v>
      </c>
      <c r="F609" t="n">
        <v>112000</v>
      </c>
      <c r="G609" t="n">
        <v>23</v>
      </c>
      <c r="H609" t="inlineStr">
        <is>
          <t>Male</t>
        </is>
      </c>
      <c r="I609" t="n">
        <v>632</v>
      </c>
    </row>
    <row r="610">
      <c r="A610" t="inlineStr">
        <is>
          <t>BOR100608</t>
        </is>
      </c>
      <c r="B610" t="inlineStr">
        <is>
          <t>Construction</t>
        </is>
      </c>
      <c r="C610" t="inlineStr">
        <is>
          <t>Rural - Other</t>
        </is>
      </c>
      <c r="D610" s="7" t="n">
        <v>43382</v>
      </c>
      <c r="E610" t="n">
        <v>97</v>
      </c>
      <c r="F610" t="n">
        <v>62900</v>
      </c>
      <c r="G610" t="n">
        <v>6</v>
      </c>
      <c r="H610" t="inlineStr">
        <is>
          <t>Male</t>
        </is>
      </c>
      <c r="I610" t="n">
        <v>631</v>
      </c>
    </row>
    <row r="611">
      <c r="A611" t="inlineStr">
        <is>
          <t>BOR100609</t>
        </is>
      </c>
      <c r="B611" t="inlineStr">
        <is>
          <t>Construction</t>
        </is>
      </c>
      <c r="C611" t="inlineStr">
        <is>
          <t>Mombasa</t>
        </is>
      </c>
      <c r="D611" s="7" t="n">
        <v>44710</v>
      </c>
      <c r="E611" t="n">
        <v>126</v>
      </c>
      <c r="F611" t="n">
        <v>20100</v>
      </c>
      <c r="G611" t="n">
        <v>1</v>
      </c>
      <c r="H611" t="inlineStr">
        <is>
          <t>Female</t>
        </is>
      </c>
      <c r="I611" t="n">
        <v>567</v>
      </c>
    </row>
    <row r="612">
      <c r="A612" t="inlineStr">
        <is>
          <t>BOR100610</t>
        </is>
      </c>
      <c r="B612" t="inlineStr">
        <is>
          <t>Construction</t>
        </is>
      </c>
      <c r="C612" t="inlineStr">
        <is>
          <t>Nakuru</t>
        </is>
      </c>
      <c r="D612" s="7" t="n">
        <v>43395</v>
      </c>
      <c r="E612" t="n">
        <v>19</v>
      </c>
      <c r="F612" t="n">
        <v>53200</v>
      </c>
      <c r="G612" t="n">
        <v>19</v>
      </c>
      <c r="H612" t="inlineStr">
        <is>
          <t>Female</t>
        </is>
      </c>
      <c r="I612" t="n">
        <v>546</v>
      </c>
    </row>
    <row r="613">
      <c r="A613" t="inlineStr">
        <is>
          <t>BOR100611</t>
        </is>
      </c>
      <c r="B613" t="inlineStr">
        <is>
          <t>Manufacturing</t>
        </is>
      </c>
      <c r="C613" t="inlineStr">
        <is>
          <t>Mombasa</t>
        </is>
      </c>
      <c r="D613" s="7" t="n">
        <v>44600</v>
      </c>
      <c r="E613" t="n">
        <v>129</v>
      </c>
      <c r="F613" t="n">
        <v>97900</v>
      </c>
      <c r="G613" t="n">
        <v>15</v>
      </c>
      <c r="H613" t="inlineStr">
        <is>
          <t>Female</t>
        </is>
      </c>
      <c r="I613" t="n">
        <v>403</v>
      </c>
    </row>
    <row r="614">
      <c r="A614" t="inlineStr">
        <is>
          <t>BOR100612</t>
        </is>
      </c>
      <c r="B614" t="inlineStr">
        <is>
          <t>Transport &amp; Logistics</t>
        </is>
      </c>
      <c r="C614" t="inlineStr">
        <is>
          <t>Mombasa</t>
        </is>
      </c>
      <c r="D614" s="7" t="n">
        <v>45365</v>
      </c>
      <c r="E614" t="n">
        <v>25</v>
      </c>
      <c r="F614" t="n">
        <v>34100</v>
      </c>
      <c r="G614" t="n">
        <v>22</v>
      </c>
      <c r="H614" t="inlineStr">
        <is>
          <t>Female</t>
        </is>
      </c>
      <c r="I614" t="n">
        <v>687</v>
      </c>
    </row>
    <row r="615">
      <c r="A615" t="inlineStr">
        <is>
          <t>BOR100613</t>
        </is>
      </c>
      <c r="B615" t="inlineStr">
        <is>
          <t>Manufacturing</t>
        </is>
      </c>
      <c r="C615" t="inlineStr">
        <is>
          <t>Kisumu</t>
        </is>
      </c>
      <c r="D615" s="7" t="n">
        <v>43858</v>
      </c>
      <c r="E615" t="n">
        <v>47</v>
      </c>
      <c r="F615" t="n">
        <v>113800</v>
      </c>
      <c r="G615" t="n">
        <v>11</v>
      </c>
      <c r="H615" t="inlineStr">
        <is>
          <t>Female</t>
        </is>
      </c>
      <c r="I615" t="n">
        <v>640</v>
      </c>
    </row>
    <row r="616">
      <c r="A616" t="inlineStr">
        <is>
          <t>BOR100614</t>
        </is>
      </c>
      <c r="B616" t="inlineStr">
        <is>
          <t>Transport &amp; Logistics</t>
        </is>
      </c>
      <c r="C616" t="inlineStr">
        <is>
          <t>Nairobi</t>
        </is>
      </c>
      <c r="D616" s="7" t="n">
        <v>43833</v>
      </c>
      <c r="E616" t="n">
        <v>21</v>
      </c>
      <c r="F616" t="n">
        <v>138100</v>
      </c>
      <c r="G616" t="n">
        <v>1</v>
      </c>
      <c r="H616" t="inlineStr">
        <is>
          <t>Male</t>
        </is>
      </c>
      <c r="I616" t="n">
        <v>584</v>
      </c>
    </row>
    <row r="617">
      <c r="A617" t="inlineStr">
        <is>
          <t>BOR100615</t>
        </is>
      </c>
      <c r="B617" t="inlineStr">
        <is>
          <t>Services</t>
        </is>
      </c>
      <c r="C617" t="inlineStr">
        <is>
          <t>Nairobi</t>
        </is>
      </c>
      <c r="D617" s="7" t="n">
        <v>43377</v>
      </c>
      <c r="E617" t="n">
        <v>60</v>
      </c>
      <c r="F617" t="n">
        <v>79900</v>
      </c>
      <c r="G617" t="n">
        <v>1</v>
      </c>
      <c r="H617" t="inlineStr">
        <is>
          <t>Female</t>
        </is>
      </c>
      <c r="I617" t="n">
        <v>588</v>
      </c>
    </row>
    <row r="618">
      <c r="A618" t="inlineStr">
        <is>
          <t>BOR100616</t>
        </is>
      </c>
      <c r="B618" t="inlineStr">
        <is>
          <t>Agriculture</t>
        </is>
      </c>
      <c r="C618" t="inlineStr">
        <is>
          <t>Eldoret</t>
        </is>
      </c>
      <c r="D618" s="7" t="n">
        <v>45117</v>
      </c>
      <c r="E618" t="n">
        <v>109</v>
      </c>
      <c r="F618" t="n">
        <v>15000</v>
      </c>
      <c r="G618" t="n">
        <v>11</v>
      </c>
      <c r="H618" t="inlineStr">
        <is>
          <t>Female</t>
        </is>
      </c>
      <c r="I618" t="n">
        <v>666</v>
      </c>
    </row>
    <row r="619">
      <c r="A619" t="inlineStr">
        <is>
          <t>BOR100617</t>
        </is>
      </c>
      <c r="B619" t="inlineStr">
        <is>
          <t>Agriculture</t>
        </is>
      </c>
      <c r="C619" t="inlineStr">
        <is>
          <t>Nakuru</t>
        </is>
      </c>
      <c r="D619" s="7" t="n">
        <v>44527</v>
      </c>
      <c r="E619" t="n">
        <v>41</v>
      </c>
      <c r="F619" t="n">
        <v>29900</v>
      </c>
      <c r="G619" t="n">
        <v>6</v>
      </c>
      <c r="H619" t="inlineStr">
        <is>
          <t>Female</t>
        </is>
      </c>
      <c r="I619" t="n">
        <v>460</v>
      </c>
    </row>
    <row r="620">
      <c r="A620" t="inlineStr">
        <is>
          <t>BOR100618</t>
        </is>
      </c>
      <c r="B620" t="inlineStr">
        <is>
          <t>Retail &amp; Trade</t>
        </is>
      </c>
      <c r="C620" t="inlineStr">
        <is>
          <t>Eldoret</t>
        </is>
      </c>
      <c r="D620" s="7" t="n">
        <v>44205</v>
      </c>
      <c r="E620" t="n">
        <v>119</v>
      </c>
      <c r="F620" t="n">
        <v>273800</v>
      </c>
      <c r="G620" t="n">
        <v>23</v>
      </c>
      <c r="H620" t="inlineStr">
        <is>
          <t>Female</t>
        </is>
      </c>
      <c r="I620" t="n">
        <v>547</v>
      </c>
    </row>
    <row r="621">
      <c r="A621" t="inlineStr">
        <is>
          <t>BOR100619</t>
        </is>
      </c>
      <c r="B621" t="inlineStr">
        <is>
          <t>Retail &amp; Trade</t>
        </is>
      </c>
      <c r="C621" t="inlineStr">
        <is>
          <t>Nairobi</t>
        </is>
      </c>
      <c r="D621" s="7" t="n">
        <v>42113</v>
      </c>
      <c r="E621" t="n">
        <v>89</v>
      </c>
      <c r="F621" t="n">
        <v>49900</v>
      </c>
      <c r="G621" t="n">
        <v>3</v>
      </c>
      <c r="H621" t="inlineStr">
        <is>
          <t>Female</t>
        </is>
      </c>
      <c r="I621" t="n">
        <v>498</v>
      </c>
    </row>
    <row r="622">
      <c r="A622" t="inlineStr">
        <is>
          <t>BOR100620</t>
        </is>
      </c>
      <c r="B622" t="inlineStr">
        <is>
          <t>Manufacturing</t>
        </is>
      </c>
      <c r="C622" t="inlineStr">
        <is>
          <t>Mombasa</t>
        </is>
      </c>
      <c r="D622" s="7" t="n">
        <v>42474</v>
      </c>
      <c r="E622" t="n">
        <v>92</v>
      </c>
      <c r="F622" t="n">
        <v>18200</v>
      </c>
      <c r="G622" t="n">
        <v>22</v>
      </c>
      <c r="H622" t="inlineStr">
        <is>
          <t>Male</t>
        </is>
      </c>
      <c r="I622" t="n">
        <v>759</v>
      </c>
    </row>
    <row r="623">
      <c r="A623" t="inlineStr">
        <is>
          <t>BOR100621</t>
        </is>
      </c>
      <c r="B623" t="inlineStr">
        <is>
          <t>Manufacturing</t>
        </is>
      </c>
      <c r="C623" t="inlineStr">
        <is>
          <t>Nairobi</t>
        </is>
      </c>
      <c r="D623" s="7" t="n">
        <v>42036</v>
      </c>
      <c r="E623" t="n">
        <v>136</v>
      </c>
      <c r="F623" t="n">
        <v>173600</v>
      </c>
      <c r="G623" t="n">
        <v>6</v>
      </c>
      <c r="H623" t="inlineStr">
        <is>
          <t>Female</t>
        </is>
      </c>
      <c r="I623" t="n">
        <v>679</v>
      </c>
    </row>
    <row r="624">
      <c r="A624" t="inlineStr">
        <is>
          <t>BOR100622</t>
        </is>
      </c>
      <c r="B624" t="inlineStr">
        <is>
          <t>Retail &amp; Trade</t>
        </is>
      </c>
      <c r="C624" t="inlineStr">
        <is>
          <t>Rural - Other</t>
        </is>
      </c>
      <c r="D624" s="7" t="n">
        <v>45627</v>
      </c>
      <c r="E624" t="n">
        <v>64</v>
      </c>
      <c r="F624" t="n">
        <v>73800</v>
      </c>
      <c r="G624" t="n">
        <v>3</v>
      </c>
      <c r="H624" t="inlineStr">
        <is>
          <t>Male</t>
        </is>
      </c>
      <c r="I624" t="n">
        <v>402</v>
      </c>
    </row>
    <row r="625">
      <c r="A625" t="inlineStr">
        <is>
          <t>BOR100623</t>
        </is>
      </c>
      <c r="B625" t="inlineStr">
        <is>
          <t>Manufacturing</t>
        </is>
      </c>
      <c r="C625" t="inlineStr">
        <is>
          <t>Rural - Other</t>
        </is>
      </c>
      <c r="D625" s="7" t="n">
        <v>45633</v>
      </c>
      <c r="E625" t="n">
        <v>51</v>
      </c>
      <c r="F625" t="n">
        <v>158500</v>
      </c>
      <c r="G625" t="n">
        <v>7</v>
      </c>
      <c r="H625" t="inlineStr">
        <is>
          <t>Male</t>
        </is>
      </c>
      <c r="I625" t="n">
        <v>464</v>
      </c>
    </row>
    <row r="626">
      <c r="A626" t="inlineStr">
        <is>
          <t>BOR100624</t>
        </is>
      </c>
      <c r="B626" t="inlineStr">
        <is>
          <t>Services</t>
        </is>
      </c>
      <c r="C626" t="inlineStr">
        <is>
          <t>Nairobi</t>
        </is>
      </c>
      <c r="D626" s="7" t="n">
        <v>42294</v>
      </c>
      <c r="E626" t="n">
        <v>144</v>
      </c>
      <c r="F626" t="n">
        <v>88800</v>
      </c>
      <c r="G626" t="n">
        <v>4</v>
      </c>
      <c r="H626" t="inlineStr">
        <is>
          <t>Male</t>
        </is>
      </c>
      <c r="I626" t="n">
        <v>588</v>
      </c>
    </row>
    <row r="627">
      <c r="A627" t="inlineStr">
        <is>
          <t>BOR100625</t>
        </is>
      </c>
      <c r="B627" t="inlineStr">
        <is>
          <t>Agriculture</t>
        </is>
      </c>
      <c r="C627" t="inlineStr">
        <is>
          <t>Eldoret</t>
        </is>
      </c>
      <c r="D627" s="7" t="n">
        <v>42202</v>
      </c>
      <c r="E627" t="n">
        <v>82</v>
      </c>
      <c r="F627" t="n">
        <v>100800</v>
      </c>
      <c r="G627" t="n">
        <v>10</v>
      </c>
      <c r="H627" t="inlineStr">
        <is>
          <t>Male</t>
        </is>
      </c>
      <c r="I627" t="n">
        <v>557</v>
      </c>
    </row>
    <row r="628">
      <c r="A628" t="inlineStr">
        <is>
          <t>BOR100626</t>
        </is>
      </c>
      <c r="B628" t="inlineStr">
        <is>
          <t>Manufacturing</t>
        </is>
      </c>
      <c r="C628" t="inlineStr">
        <is>
          <t>Nairobi</t>
        </is>
      </c>
      <c r="D628" s="7" t="n">
        <v>45334</v>
      </c>
      <c r="E628" t="n">
        <v>90</v>
      </c>
      <c r="F628" t="n">
        <v>94300</v>
      </c>
      <c r="G628" t="n">
        <v>8</v>
      </c>
      <c r="H628" t="inlineStr">
        <is>
          <t>Female</t>
        </is>
      </c>
      <c r="I628" t="n">
        <v>481</v>
      </c>
    </row>
    <row r="629">
      <c r="A629" t="inlineStr">
        <is>
          <t>BOR100627</t>
        </is>
      </c>
      <c r="B629" t="inlineStr">
        <is>
          <t>Manufacturing</t>
        </is>
      </c>
      <c r="C629" t="inlineStr">
        <is>
          <t>Nairobi</t>
        </is>
      </c>
      <c r="D629" s="7" t="n">
        <v>44241</v>
      </c>
      <c r="E629" t="n">
        <v>45</v>
      </c>
      <c r="F629" t="n">
        <v>119200</v>
      </c>
      <c r="G629" t="n">
        <v>13</v>
      </c>
      <c r="H629" t="inlineStr">
        <is>
          <t>Female</t>
        </is>
      </c>
      <c r="I629" t="n">
        <v>775</v>
      </c>
    </row>
    <row r="630">
      <c r="A630" t="inlineStr">
        <is>
          <t>BOR100628</t>
        </is>
      </c>
      <c r="B630" t="inlineStr">
        <is>
          <t>Services</t>
        </is>
      </c>
      <c r="C630" t="inlineStr">
        <is>
          <t>Nairobi</t>
        </is>
      </c>
      <c r="D630" s="7" t="n">
        <v>43321</v>
      </c>
      <c r="E630" t="n">
        <v>33</v>
      </c>
      <c r="F630" t="n">
        <v>360100</v>
      </c>
      <c r="G630" t="n">
        <v>13</v>
      </c>
      <c r="H630" t="inlineStr">
        <is>
          <t>Female</t>
        </is>
      </c>
      <c r="I630" t="n">
        <v>628</v>
      </c>
    </row>
    <row r="631">
      <c r="A631" t="inlineStr">
        <is>
          <t>BOR100629</t>
        </is>
      </c>
      <c r="B631" t="inlineStr">
        <is>
          <t>Manufacturing</t>
        </is>
      </c>
      <c r="C631" t="inlineStr">
        <is>
          <t>Mombasa</t>
        </is>
      </c>
      <c r="D631" s="7" t="n">
        <v>44625</v>
      </c>
      <c r="E631" t="n">
        <v>27</v>
      </c>
      <c r="F631" t="n">
        <v>144300</v>
      </c>
      <c r="G631" t="n">
        <v>1</v>
      </c>
      <c r="H631" t="inlineStr">
        <is>
          <t>Male</t>
        </is>
      </c>
      <c r="I631" t="n">
        <v>643</v>
      </c>
    </row>
    <row r="632">
      <c r="A632" t="inlineStr">
        <is>
          <t>BOR100630</t>
        </is>
      </c>
      <c r="B632" t="inlineStr">
        <is>
          <t>Transport &amp; Logistics</t>
        </is>
      </c>
      <c r="C632" t="inlineStr">
        <is>
          <t>Eldoret</t>
        </is>
      </c>
      <c r="D632" s="7" t="n">
        <v>43012</v>
      </c>
      <c r="E632" t="n">
        <v>34</v>
      </c>
      <c r="F632" t="n">
        <v>24200</v>
      </c>
      <c r="G632" t="n">
        <v>3</v>
      </c>
      <c r="H632" t="inlineStr">
        <is>
          <t>Male</t>
        </is>
      </c>
      <c r="I632" t="n">
        <v>538</v>
      </c>
    </row>
    <row r="633">
      <c r="A633" t="inlineStr">
        <is>
          <t>BOR100631</t>
        </is>
      </c>
      <c r="B633" t="inlineStr">
        <is>
          <t>Agriculture</t>
        </is>
      </c>
      <c r="C633" t="inlineStr">
        <is>
          <t>Rural - Other</t>
        </is>
      </c>
      <c r="D633" s="7" t="n">
        <v>42849</v>
      </c>
      <c r="E633" t="n">
        <v>30</v>
      </c>
      <c r="F633" t="n">
        <v>100000</v>
      </c>
      <c r="G633" t="n">
        <v>4</v>
      </c>
      <c r="H633" t="inlineStr">
        <is>
          <t>Female</t>
        </is>
      </c>
      <c r="I633" t="n">
        <v>665</v>
      </c>
    </row>
    <row r="634">
      <c r="A634" t="inlineStr">
        <is>
          <t>BOR100632</t>
        </is>
      </c>
      <c r="B634" t="inlineStr">
        <is>
          <t>Manufacturing</t>
        </is>
      </c>
      <c r="C634" t="inlineStr">
        <is>
          <t>Nairobi</t>
        </is>
      </c>
      <c r="D634" s="7" t="n">
        <v>43570</v>
      </c>
      <c r="E634" t="n">
        <v>109</v>
      </c>
      <c r="F634" t="n">
        <v>162600</v>
      </c>
      <c r="G634" t="n">
        <v>5</v>
      </c>
      <c r="H634" t="inlineStr">
        <is>
          <t>Female</t>
        </is>
      </c>
      <c r="I634" t="n">
        <v>566</v>
      </c>
    </row>
    <row r="635">
      <c r="A635" t="inlineStr">
        <is>
          <t>BOR100633</t>
        </is>
      </c>
      <c r="B635" t="inlineStr">
        <is>
          <t>Manufacturing</t>
        </is>
      </c>
      <c r="C635" t="inlineStr">
        <is>
          <t>Nakuru</t>
        </is>
      </c>
      <c r="D635" s="7" t="n">
        <v>45821</v>
      </c>
      <c r="E635" t="n">
        <v>11</v>
      </c>
      <c r="F635" t="n">
        <v>169700</v>
      </c>
      <c r="G635" t="n">
        <v>3</v>
      </c>
      <c r="H635" t="inlineStr">
        <is>
          <t>Male</t>
        </is>
      </c>
      <c r="I635" t="n">
        <v>574</v>
      </c>
    </row>
    <row r="636">
      <c r="A636" t="inlineStr">
        <is>
          <t>BOR100634</t>
        </is>
      </c>
      <c r="B636" t="inlineStr">
        <is>
          <t>Agriculture</t>
        </is>
      </c>
      <c r="C636" t="inlineStr">
        <is>
          <t>Eldoret</t>
        </is>
      </c>
      <c r="D636" s="7" t="n">
        <v>45273</v>
      </c>
      <c r="E636" t="n">
        <v>92</v>
      </c>
      <c r="F636" t="n">
        <v>54300</v>
      </c>
      <c r="G636" t="n">
        <v>8</v>
      </c>
      <c r="H636" t="inlineStr">
        <is>
          <t>Male</t>
        </is>
      </c>
      <c r="I636" t="n">
        <v>655</v>
      </c>
    </row>
    <row r="637">
      <c r="A637" t="inlineStr">
        <is>
          <t>BOR100635</t>
        </is>
      </c>
      <c r="B637" t="inlineStr">
        <is>
          <t>Transport &amp; Logistics</t>
        </is>
      </c>
      <c r="C637" t="inlineStr">
        <is>
          <t>Rural - Other</t>
        </is>
      </c>
      <c r="D637" s="7" t="n">
        <v>42814</v>
      </c>
      <c r="E637" t="n">
        <v>137</v>
      </c>
      <c r="F637" t="n">
        <v>165300</v>
      </c>
      <c r="G637" t="n">
        <v>14</v>
      </c>
      <c r="H637" t="inlineStr">
        <is>
          <t>Male</t>
        </is>
      </c>
      <c r="I637" t="n">
        <v>453</v>
      </c>
    </row>
    <row r="638">
      <c r="A638" t="inlineStr">
        <is>
          <t>BOR100636</t>
        </is>
      </c>
      <c r="B638" t="inlineStr">
        <is>
          <t>Agriculture</t>
        </is>
      </c>
      <c r="C638" t="inlineStr">
        <is>
          <t>Nakuru</t>
        </is>
      </c>
      <c r="D638" s="7" t="n">
        <v>44398</v>
      </c>
      <c r="E638" t="n">
        <v>111</v>
      </c>
      <c r="F638" t="n">
        <v>140000</v>
      </c>
      <c r="G638" t="n">
        <v>8</v>
      </c>
      <c r="H638" t="inlineStr">
        <is>
          <t>Male</t>
        </is>
      </c>
      <c r="I638" t="n">
        <v>744</v>
      </c>
    </row>
    <row r="639">
      <c r="A639" t="inlineStr">
        <is>
          <t>BOR100637</t>
        </is>
      </c>
      <c r="B639" t="inlineStr">
        <is>
          <t>Agriculture</t>
        </is>
      </c>
      <c r="C639" t="inlineStr">
        <is>
          <t>Nairobi</t>
        </is>
      </c>
      <c r="D639" s="7" t="n">
        <v>45773</v>
      </c>
      <c r="E639" t="n">
        <v>60</v>
      </c>
      <c r="F639" t="n">
        <v>442800</v>
      </c>
      <c r="G639" t="n">
        <v>8</v>
      </c>
      <c r="H639" t="inlineStr">
        <is>
          <t>Male</t>
        </is>
      </c>
      <c r="I639" t="n">
        <v>616</v>
      </c>
    </row>
    <row r="640">
      <c r="A640" t="inlineStr">
        <is>
          <t>BOR100638</t>
        </is>
      </c>
      <c r="B640" t="inlineStr">
        <is>
          <t>Transport &amp; Logistics</t>
        </is>
      </c>
      <c r="C640" t="inlineStr">
        <is>
          <t>Nakuru</t>
        </is>
      </c>
      <c r="D640" s="7" t="n">
        <v>46059</v>
      </c>
      <c r="E640" t="n">
        <v>11</v>
      </c>
      <c r="F640" t="n">
        <v>43300</v>
      </c>
      <c r="G640" t="n">
        <v>12</v>
      </c>
      <c r="H640" t="inlineStr">
        <is>
          <t>Male</t>
        </is>
      </c>
      <c r="I640" t="n">
        <v>715</v>
      </c>
    </row>
    <row r="641">
      <c r="A641" t="inlineStr">
        <is>
          <t>BOR100639</t>
        </is>
      </c>
      <c r="B641" t="inlineStr">
        <is>
          <t>Construction</t>
        </is>
      </c>
      <c r="C641" t="inlineStr">
        <is>
          <t>Mombasa</t>
        </is>
      </c>
      <c r="D641" s="7" t="n">
        <v>45256</v>
      </c>
      <c r="E641" t="n">
        <v>121</v>
      </c>
      <c r="F641" t="n">
        <v>51300</v>
      </c>
      <c r="G641" t="n">
        <v>14</v>
      </c>
      <c r="H641" t="inlineStr">
        <is>
          <t>Female</t>
        </is>
      </c>
      <c r="I641" t="n">
        <v>503</v>
      </c>
    </row>
    <row r="642">
      <c r="A642" t="inlineStr">
        <is>
          <t>BOR100640</t>
        </is>
      </c>
      <c r="B642" t="inlineStr">
        <is>
          <t>Transport &amp; Logistics</t>
        </is>
      </c>
      <c r="C642" t="inlineStr">
        <is>
          <t>Rural - Other</t>
        </is>
      </c>
      <c r="D642" s="7" t="n">
        <v>42554</v>
      </c>
      <c r="E642" t="n">
        <v>3</v>
      </c>
      <c r="F642" t="n">
        <v>59000</v>
      </c>
      <c r="G642" t="n">
        <v>8</v>
      </c>
      <c r="H642" t="inlineStr">
        <is>
          <t>Female</t>
        </is>
      </c>
      <c r="I642" t="n">
        <v>517</v>
      </c>
    </row>
    <row r="643">
      <c r="A643" t="inlineStr">
        <is>
          <t>BOR100641</t>
        </is>
      </c>
      <c r="B643" t="inlineStr">
        <is>
          <t>Construction</t>
        </is>
      </c>
      <c r="C643" t="inlineStr">
        <is>
          <t>Mombasa</t>
        </is>
      </c>
      <c r="D643" s="7" t="n">
        <v>43030</v>
      </c>
      <c r="E643" t="n">
        <v>99</v>
      </c>
      <c r="F643" t="n">
        <v>51900</v>
      </c>
      <c r="G643" t="n">
        <v>6</v>
      </c>
      <c r="H643" t="inlineStr">
        <is>
          <t>Male</t>
        </is>
      </c>
      <c r="I643" t="n">
        <v>495</v>
      </c>
    </row>
    <row r="644">
      <c r="A644" t="inlineStr">
        <is>
          <t>BOR100642</t>
        </is>
      </c>
      <c r="B644" t="inlineStr">
        <is>
          <t>Construction</t>
        </is>
      </c>
      <c r="C644" t="inlineStr">
        <is>
          <t>Eldoret</t>
        </is>
      </c>
      <c r="D644" s="7" t="n">
        <v>42936</v>
      </c>
      <c r="E644" t="n">
        <v>98</v>
      </c>
      <c r="F644" t="n">
        <v>39200</v>
      </c>
      <c r="G644" t="n">
        <v>10</v>
      </c>
      <c r="H644" t="inlineStr">
        <is>
          <t>Male</t>
        </is>
      </c>
      <c r="I644" t="n">
        <v>623</v>
      </c>
    </row>
    <row r="645">
      <c r="A645" t="inlineStr">
        <is>
          <t>BOR100643</t>
        </is>
      </c>
      <c r="B645" t="inlineStr">
        <is>
          <t>Manufacturing</t>
        </is>
      </c>
      <c r="C645" t="inlineStr">
        <is>
          <t>Nairobi</t>
        </is>
      </c>
      <c r="D645" s="7" t="n">
        <v>42647</v>
      </c>
      <c r="E645" t="n">
        <v>30</v>
      </c>
      <c r="F645" t="n">
        <v>15000</v>
      </c>
      <c r="G645" t="n">
        <v>1</v>
      </c>
      <c r="H645" t="inlineStr">
        <is>
          <t>Female</t>
        </is>
      </c>
      <c r="I645" t="n">
        <v>606</v>
      </c>
    </row>
    <row r="646">
      <c r="A646" t="inlineStr">
        <is>
          <t>BOR100644</t>
        </is>
      </c>
      <c r="B646" t="inlineStr">
        <is>
          <t>Transport &amp; Logistics</t>
        </is>
      </c>
      <c r="C646" t="inlineStr">
        <is>
          <t>Mombasa</t>
        </is>
      </c>
      <c r="D646" s="7" t="n">
        <v>42752</v>
      </c>
      <c r="E646" t="n">
        <v>108</v>
      </c>
      <c r="F646" t="n">
        <v>53900</v>
      </c>
      <c r="G646" t="n">
        <v>12</v>
      </c>
      <c r="H646" t="inlineStr">
        <is>
          <t>Male</t>
        </is>
      </c>
      <c r="I646" t="n">
        <v>558</v>
      </c>
    </row>
    <row r="647">
      <c r="A647" t="inlineStr">
        <is>
          <t>BOR100645</t>
        </is>
      </c>
      <c r="B647" t="inlineStr">
        <is>
          <t>Agriculture</t>
        </is>
      </c>
      <c r="C647" t="inlineStr">
        <is>
          <t>Rural - Other</t>
        </is>
      </c>
      <c r="D647" s="7" t="n">
        <v>43352</v>
      </c>
      <c r="E647" t="n">
        <v>27</v>
      </c>
      <c r="F647" t="n">
        <v>94700</v>
      </c>
      <c r="G647" t="n">
        <v>23</v>
      </c>
      <c r="H647" t="inlineStr">
        <is>
          <t>Female</t>
        </is>
      </c>
      <c r="I647" t="n">
        <v>509</v>
      </c>
    </row>
    <row r="648">
      <c r="A648" t="inlineStr">
        <is>
          <t>BOR100646</t>
        </is>
      </c>
      <c r="B648" t="inlineStr">
        <is>
          <t>Manufacturing</t>
        </is>
      </c>
      <c r="C648" t="inlineStr">
        <is>
          <t>Nakuru</t>
        </is>
      </c>
      <c r="D648" s="7" t="n">
        <v>44372</v>
      </c>
      <c r="E648" t="n">
        <v>35</v>
      </c>
      <c r="F648" t="n">
        <v>51800</v>
      </c>
      <c r="G648" t="n">
        <v>10</v>
      </c>
      <c r="H648" t="inlineStr">
        <is>
          <t>Male</t>
        </is>
      </c>
      <c r="I648" t="n">
        <v>486</v>
      </c>
    </row>
    <row r="649">
      <c r="A649" t="inlineStr">
        <is>
          <t>BOR100647</t>
        </is>
      </c>
      <c r="B649" t="inlineStr">
        <is>
          <t>Services</t>
        </is>
      </c>
      <c r="C649" t="inlineStr">
        <is>
          <t>Kisumu</t>
        </is>
      </c>
      <c r="D649" s="7" t="n">
        <v>43700</v>
      </c>
      <c r="E649" t="n">
        <v>118</v>
      </c>
      <c r="F649" t="n">
        <v>283400</v>
      </c>
      <c r="G649" t="n">
        <v>3</v>
      </c>
      <c r="H649" t="inlineStr">
        <is>
          <t>Female</t>
        </is>
      </c>
      <c r="I649" t="n">
        <v>596</v>
      </c>
    </row>
    <row r="650">
      <c r="A650" t="inlineStr">
        <is>
          <t>BOR100648</t>
        </is>
      </c>
      <c r="B650" t="inlineStr">
        <is>
          <t>Construction</t>
        </is>
      </c>
      <c r="C650" t="inlineStr">
        <is>
          <t>Rural - Other</t>
        </is>
      </c>
      <c r="D650" s="7" t="n">
        <v>43798</v>
      </c>
      <c r="E650" t="n">
        <v>142</v>
      </c>
      <c r="F650" t="n">
        <v>73800</v>
      </c>
      <c r="G650" t="n">
        <v>17</v>
      </c>
      <c r="H650" t="inlineStr">
        <is>
          <t>Male</t>
        </is>
      </c>
      <c r="I650" t="n">
        <v>558</v>
      </c>
    </row>
    <row r="651">
      <c r="A651" t="inlineStr">
        <is>
          <t>BOR100649</t>
        </is>
      </c>
      <c r="B651" t="inlineStr">
        <is>
          <t>Construction</t>
        </is>
      </c>
      <c r="C651" t="inlineStr">
        <is>
          <t>Rural - Other</t>
        </is>
      </c>
      <c r="D651" s="7" t="n">
        <v>43052</v>
      </c>
      <c r="E651" t="n">
        <v>40</v>
      </c>
      <c r="F651" t="n">
        <v>180500</v>
      </c>
      <c r="G651" t="n">
        <v>4</v>
      </c>
      <c r="H651" t="inlineStr">
        <is>
          <t>Male</t>
        </is>
      </c>
      <c r="I651" t="n">
        <v>538</v>
      </c>
    </row>
    <row r="652">
      <c r="A652" t="inlineStr">
        <is>
          <t>BOR100650</t>
        </is>
      </c>
      <c r="B652" t="inlineStr">
        <is>
          <t>Manufacturing</t>
        </is>
      </c>
      <c r="C652" t="inlineStr">
        <is>
          <t>Mombasa</t>
        </is>
      </c>
      <c r="D652" s="7" t="n">
        <v>42648</v>
      </c>
      <c r="E652" t="n">
        <v>133</v>
      </c>
      <c r="F652" t="n">
        <v>87800</v>
      </c>
      <c r="G652" t="n">
        <v>5</v>
      </c>
      <c r="H652" t="inlineStr">
        <is>
          <t>Female</t>
        </is>
      </c>
      <c r="I652" t="n">
        <v>739</v>
      </c>
    </row>
    <row r="653">
      <c r="A653" t="inlineStr">
        <is>
          <t>BOR100651</t>
        </is>
      </c>
      <c r="B653" t="inlineStr">
        <is>
          <t>Services</t>
        </is>
      </c>
      <c r="C653" t="inlineStr">
        <is>
          <t>Nakuru</t>
        </is>
      </c>
      <c r="D653" s="7" t="n">
        <v>46261</v>
      </c>
      <c r="E653" t="n">
        <v>132</v>
      </c>
      <c r="F653" t="n">
        <v>130400</v>
      </c>
      <c r="G653" t="n">
        <v>4</v>
      </c>
      <c r="H653" t="inlineStr">
        <is>
          <t>Female</t>
        </is>
      </c>
      <c r="I653" t="n">
        <v>593</v>
      </c>
    </row>
    <row r="654">
      <c r="A654" t="inlineStr">
        <is>
          <t>BOR100652</t>
        </is>
      </c>
      <c r="B654" t="inlineStr">
        <is>
          <t>Agriculture</t>
        </is>
      </c>
      <c r="C654" t="inlineStr">
        <is>
          <t>Kisumu</t>
        </is>
      </c>
      <c r="D654" s="7" t="n">
        <v>44557</v>
      </c>
      <c r="E654" t="n">
        <v>112</v>
      </c>
      <c r="F654" t="n">
        <v>88900</v>
      </c>
      <c r="G654" t="n">
        <v>22</v>
      </c>
      <c r="H654" t="inlineStr">
        <is>
          <t>Male</t>
        </is>
      </c>
      <c r="I654" t="n">
        <v>714</v>
      </c>
    </row>
    <row r="655">
      <c r="A655" t="inlineStr">
        <is>
          <t>BOR100653</t>
        </is>
      </c>
      <c r="B655" t="inlineStr">
        <is>
          <t>Transport &amp; Logistics</t>
        </is>
      </c>
      <c r="C655" t="inlineStr">
        <is>
          <t>Nakuru</t>
        </is>
      </c>
      <c r="D655" s="7" t="n">
        <v>42983</v>
      </c>
      <c r="E655" t="n">
        <v>22</v>
      </c>
      <c r="F655" t="n">
        <v>190600</v>
      </c>
      <c r="G655" t="n">
        <v>24</v>
      </c>
      <c r="H655" t="inlineStr">
        <is>
          <t>Female</t>
        </is>
      </c>
      <c r="I655" t="n">
        <v>552</v>
      </c>
    </row>
    <row r="656">
      <c r="A656" t="inlineStr">
        <is>
          <t>BOR100654</t>
        </is>
      </c>
      <c r="B656" t="inlineStr">
        <is>
          <t>Services</t>
        </is>
      </c>
      <c r="C656" t="inlineStr">
        <is>
          <t>Mombasa</t>
        </is>
      </c>
      <c r="D656" s="7" t="n">
        <v>45456</v>
      </c>
      <c r="E656" t="n">
        <v>45</v>
      </c>
      <c r="F656" t="n">
        <v>76100</v>
      </c>
      <c r="G656" t="n">
        <v>14</v>
      </c>
      <c r="H656" t="inlineStr">
        <is>
          <t>Female</t>
        </is>
      </c>
      <c r="I656" t="n">
        <v>622</v>
      </c>
    </row>
    <row r="657">
      <c r="A657" t="inlineStr">
        <is>
          <t>BOR100655</t>
        </is>
      </c>
      <c r="B657" t="inlineStr">
        <is>
          <t>Services</t>
        </is>
      </c>
      <c r="C657" t="inlineStr">
        <is>
          <t>Nairobi</t>
        </is>
      </c>
      <c r="D657" s="7" t="n">
        <v>45544</v>
      </c>
      <c r="E657" t="n">
        <v>99</v>
      </c>
      <c r="F657" t="n">
        <v>103500</v>
      </c>
      <c r="G657" t="n">
        <v>15</v>
      </c>
      <c r="H657" t="inlineStr">
        <is>
          <t>Male</t>
        </is>
      </c>
      <c r="I657" t="n">
        <v>595</v>
      </c>
    </row>
    <row r="658">
      <c r="A658" t="inlineStr">
        <is>
          <t>BOR100656</t>
        </is>
      </c>
      <c r="B658" t="inlineStr">
        <is>
          <t>Transport &amp; Logistics</t>
        </is>
      </c>
      <c r="C658" t="inlineStr">
        <is>
          <t>Rural - Other</t>
        </is>
      </c>
      <c r="D658" s="7" t="n">
        <v>46124</v>
      </c>
      <c r="E658" t="n">
        <v>144</v>
      </c>
      <c r="F658" t="n">
        <v>94500</v>
      </c>
      <c r="G658" t="n">
        <v>16</v>
      </c>
      <c r="H658" t="inlineStr">
        <is>
          <t>Female</t>
        </is>
      </c>
      <c r="I658" t="n">
        <v>447</v>
      </c>
    </row>
    <row r="659">
      <c r="A659" t="inlineStr">
        <is>
          <t>BOR100657</t>
        </is>
      </c>
      <c r="B659" t="inlineStr">
        <is>
          <t>Services</t>
        </is>
      </c>
      <c r="C659" t="inlineStr">
        <is>
          <t>Rural - Other</t>
        </is>
      </c>
      <c r="D659" s="7" t="n">
        <v>42683</v>
      </c>
      <c r="E659" t="n">
        <v>118</v>
      </c>
      <c r="F659" t="n">
        <v>59800</v>
      </c>
      <c r="G659" t="n">
        <v>15</v>
      </c>
      <c r="H659" t="inlineStr">
        <is>
          <t>Female</t>
        </is>
      </c>
      <c r="I659" t="n">
        <v>729</v>
      </c>
    </row>
    <row r="660">
      <c r="A660" t="inlineStr">
        <is>
          <t>BOR100658</t>
        </is>
      </c>
      <c r="B660" t="inlineStr">
        <is>
          <t>Retail &amp; Trade</t>
        </is>
      </c>
      <c r="C660" t="inlineStr">
        <is>
          <t>Rural - Other</t>
        </is>
      </c>
      <c r="D660" s="7" t="n">
        <v>44731</v>
      </c>
      <c r="E660" t="n">
        <v>62</v>
      </c>
      <c r="F660" t="n">
        <v>97100</v>
      </c>
      <c r="G660" t="n">
        <v>14</v>
      </c>
      <c r="H660" t="inlineStr">
        <is>
          <t>Female</t>
        </is>
      </c>
      <c r="I660" t="n">
        <v>588</v>
      </c>
    </row>
    <row r="661">
      <c r="A661" t="inlineStr">
        <is>
          <t>BOR100659</t>
        </is>
      </c>
      <c r="B661" t="inlineStr">
        <is>
          <t>Agriculture</t>
        </is>
      </c>
      <c r="C661" t="inlineStr">
        <is>
          <t>Rural - Other</t>
        </is>
      </c>
      <c r="D661" s="7" t="n">
        <v>46181</v>
      </c>
      <c r="E661" t="n">
        <v>36</v>
      </c>
      <c r="F661" t="n">
        <v>349400</v>
      </c>
      <c r="G661" t="n">
        <v>24</v>
      </c>
      <c r="H661" t="inlineStr">
        <is>
          <t>Male</t>
        </is>
      </c>
      <c r="I661" t="n">
        <v>667</v>
      </c>
    </row>
    <row r="662">
      <c r="A662" t="inlineStr">
        <is>
          <t>BOR100660</t>
        </is>
      </c>
      <c r="B662" t="inlineStr">
        <is>
          <t>Agriculture</t>
        </is>
      </c>
      <c r="C662" t="inlineStr">
        <is>
          <t>Eldoret</t>
        </is>
      </c>
      <c r="D662" s="7" t="n">
        <v>45442</v>
      </c>
      <c r="E662" t="n">
        <v>139</v>
      </c>
      <c r="F662" t="n">
        <v>60500</v>
      </c>
      <c r="G662" t="n">
        <v>18</v>
      </c>
      <c r="H662" t="inlineStr">
        <is>
          <t>Female</t>
        </is>
      </c>
      <c r="I662" t="n">
        <v>532</v>
      </c>
    </row>
    <row r="663">
      <c r="A663" t="inlineStr">
        <is>
          <t>BOR100661</t>
        </is>
      </c>
      <c r="B663" t="inlineStr">
        <is>
          <t>Transport &amp; Logistics</t>
        </is>
      </c>
      <c r="C663" t="inlineStr">
        <is>
          <t>Rural - Other</t>
        </is>
      </c>
      <c r="D663" s="7" t="n">
        <v>42965</v>
      </c>
      <c r="E663" t="n">
        <v>42</v>
      </c>
      <c r="F663" t="n">
        <v>98100</v>
      </c>
      <c r="G663" t="n">
        <v>3</v>
      </c>
      <c r="H663" t="inlineStr">
        <is>
          <t>Female</t>
        </is>
      </c>
      <c r="I663" t="n">
        <v>585</v>
      </c>
    </row>
    <row r="664">
      <c r="A664" t="inlineStr">
        <is>
          <t>BOR100662</t>
        </is>
      </c>
      <c r="B664" t="inlineStr">
        <is>
          <t>Retail &amp; Trade</t>
        </is>
      </c>
      <c r="C664" t="inlineStr">
        <is>
          <t>Rural - Other</t>
        </is>
      </c>
      <c r="D664" s="7" t="n">
        <v>45810</v>
      </c>
      <c r="E664" t="n">
        <v>51</v>
      </c>
      <c r="F664" t="n">
        <v>176400</v>
      </c>
      <c r="G664" t="n">
        <v>10</v>
      </c>
      <c r="H664" t="inlineStr">
        <is>
          <t>Female</t>
        </is>
      </c>
      <c r="I664" t="n">
        <v>522</v>
      </c>
    </row>
    <row r="665">
      <c r="A665" t="inlineStr">
        <is>
          <t>BOR100663</t>
        </is>
      </c>
      <c r="B665" t="inlineStr">
        <is>
          <t>Agriculture</t>
        </is>
      </c>
      <c r="C665" t="inlineStr">
        <is>
          <t>Kisumu</t>
        </is>
      </c>
      <c r="D665" s="7" t="n">
        <v>43801</v>
      </c>
      <c r="E665" t="n">
        <v>139</v>
      </c>
      <c r="F665" t="n">
        <v>162500</v>
      </c>
      <c r="G665" t="n">
        <v>24</v>
      </c>
      <c r="H665" t="inlineStr">
        <is>
          <t>Female</t>
        </is>
      </c>
      <c r="I665" t="n">
        <v>711</v>
      </c>
    </row>
    <row r="666">
      <c r="A666" t="inlineStr">
        <is>
          <t>BOR100664</t>
        </is>
      </c>
      <c r="B666" t="inlineStr">
        <is>
          <t>Services</t>
        </is>
      </c>
      <c r="C666" t="inlineStr">
        <is>
          <t>Kisumu</t>
        </is>
      </c>
      <c r="D666" s="7" t="n">
        <v>44088</v>
      </c>
      <c r="E666" t="n">
        <v>82</v>
      </c>
      <c r="F666" t="n">
        <v>73700</v>
      </c>
      <c r="G666" t="n">
        <v>10</v>
      </c>
      <c r="H666" t="inlineStr">
        <is>
          <t>Female</t>
        </is>
      </c>
      <c r="I666" t="n">
        <v>628</v>
      </c>
    </row>
    <row r="667">
      <c r="A667" t="inlineStr">
        <is>
          <t>BOR100665</t>
        </is>
      </c>
      <c r="B667" t="inlineStr">
        <is>
          <t>Transport &amp; Logistics</t>
        </is>
      </c>
      <c r="C667" t="inlineStr">
        <is>
          <t>Nairobi</t>
        </is>
      </c>
      <c r="D667" s="7" t="n">
        <v>44385</v>
      </c>
      <c r="E667" t="n">
        <v>40</v>
      </c>
      <c r="F667" t="n">
        <v>15000</v>
      </c>
      <c r="G667" t="n">
        <v>5</v>
      </c>
      <c r="H667" t="inlineStr">
        <is>
          <t>Female</t>
        </is>
      </c>
      <c r="I667" t="n">
        <v>633</v>
      </c>
    </row>
    <row r="668">
      <c r="A668" t="inlineStr">
        <is>
          <t>BOR100666</t>
        </is>
      </c>
      <c r="B668" t="inlineStr">
        <is>
          <t>Services</t>
        </is>
      </c>
      <c r="C668" t="inlineStr">
        <is>
          <t>Nakuru</t>
        </is>
      </c>
      <c r="D668" s="7" t="n">
        <v>45291</v>
      </c>
      <c r="E668" t="n">
        <v>3</v>
      </c>
      <c r="F668" t="n">
        <v>105000</v>
      </c>
      <c r="G668" t="n">
        <v>21</v>
      </c>
      <c r="H668" t="inlineStr">
        <is>
          <t>Female</t>
        </is>
      </c>
      <c r="I668" t="n">
        <v>722</v>
      </c>
    </row>
    <row r="669">
      <c r="A669" t="inlineStr">
        <is>
          <t>BOR100667</t>
        </is>
      </c>
      <c r="B669" t="inlineStr">
        <is>
          <t>Construction</t>
        </is>
      </c>
      <c r="C669" t="inlineStr">
        <is>
          <t>Mombasa</t>
        </is>
      </c>
      <c r="D669" s="7" t="n">
        <v>42517</v>
      </c>
      <c r="E669" t="n">
        <v>64</v>
      </c>
      <c r="F669" t="n">
        <v>15500</v>
      </c>
      <c r="G669" t="n">
        <v>15</v>
      </c>
      <c r="H669" t="inlineStr">
        <is>
          <t>Female</t>
        </is>
      </c>
      <c r="I669" t="n">
        <v>704</v>
      </c>
    </row>
    <row r="670">
      <c r="A670" t="inlineStr">
        <is>
          <t>BOR100668</t>
        </is>
      </c>
      <c r="B670" t="inlineStr">
        <is>
          <t>Construction</t>
        </is>
      </c>
      <c r="C670" t="inlineStr">
        <is>
          <t>Nairobi</t>
        </is>
      </c>
      <c r="D670" s="7" t="n">
        <v>44302</v>
      </c>
      <c r="E670" t="n">
        <v>143</v>
      </c>
      <c r="F670" t="n">
        <v>204600</v>
      </c>
      <c r="G670" t="n">
        <v>14</v>
      </c>
      <c r="H670" t="inlineStr">
        <is>
          <t>Male</t>
        </is>
      </c>
      <c r="I670" t="n">
        <v>669</v>
      </c>
    </row>
    <row r="671">
      <c r="A671" t="inlineStr">
        <is>
          <t>BOR100669</t>
        </is>
      </c>
      <c r="B671" t="inlineStr">
        <is>
          <t>Retail &amp; Trade</t>
        </is>
      </c>
      <c r="C671" t="inlineStr">
        <is>
          <t>Nakuru</t>
        </is>
      </c>
      <c r="D671" s="7" t="n">
        <v>45485</v>
      </c>
      <c r="E671" t="n">
        <v>64</v>
      </c>
      <c r="F671" t="n">
        <v>82300</v>
      </c>
      <c r="G671" t="n">
        <v>11</v>
      </c>
      <c r="H671" t="inlineStr">
        <is>
          <t>Female</t>
        </is>
      </c>
      <c r="I671" t="n">
        <v>472</v>
      </c>
    </row>
    <row r="672">
      <c r="A672" t="inlineStr">
        <is>
          <t>BOR100670</t>
        </is>
      </c>
      <c r="B672" t="inlineStr">
        <is>
          <t>Construction</t>
        </is>
      </c>
      <c r="C672" t="inlineStr">
        <is>
          <t>Mombasa</t>
        </is>
      </c>
      <c r="D672" s="7" t="n">
        <v>44342</v>
      </c>
      <c r="E672" t="n">
        <v>102</v>
      </c>
      <c r="F672" t="n">
        <v>147200</v>
      </c>
      <c r="G672" t="n">
        <v>3</v>
      </c>
      <c r="H672" t="inlineStr">
        <is>
          <t>Female</t>
        </is>
      </c>
      <c r="I672" t="n">
        <v>537</v>
      </c>
    </row>
    <row r="673">
      <c r="A673" t="inlineStr">
        <is>
          <t>BOR100671</t>
        </is>
      </c>
      <c r="B673" t="inlineStr">
        <is>
          <t>Services</t>
        </is>
      </c>
      <c r="C673" t="inlineStr">
        <is>
          <t>Nairobi</t>
        </is>
      </c>
      <c r="D673" s="7" t="n">
        <v>43175</v>
      </c>
      <c r="E673" t="n">
        <v>38</v>
      </c>
      <c r="F673" t="n">
        <v>38900</v>
      </c>
      <c r="G673" t="n">
        <v>10</v>
      </c>
      <c r="H673" t="inlineStr">
        <is>
          <t>Male</t>
        </is>
      </c>
      <c r="I673" t="n">
        <v>510</v>
      </c>
    </row>
    <row r="674">
      <c r="A674" t="inlineStr">
        <is>
          <t>BOR100672</t>
        </is>
      </c>
      <c r="B674" t="inlineStr">
        <is>
          <t>Services</t>
        </is>
      </c>
      <c r="C674" t="inlineStr">
        <is>
          <t>Rural - Other</t>
        </is>
      </c>
      <c r="D674" s="7" t="n">
        <v>42244</v>
      </c>
      <c r="E674" t="n">
        <v>113</v>
      </c>
      <c r="F674" t="n">
        <v>24700</v>
      </c>
      <c r="G674" t="n">
        <v>11</v>
      </c>
      <c r="H674" t="inlineStr">
        <is>
          <t>Male</t>
        </is>
      </c>
      <c r="I674" t="n">
        <v>665</v>
      </c>
    </row>
    <row r="675">
      <c r="A675" t="inlineStr">
        <is>
          <t>BOR100673</t>
        </is>
      </c>
      <c r="B675" t="inlineStr">
        <is>
          <t>Retail &amp; Trade</t>
        </is>
      </c>
      <c r="C675" t="inlineStr">
        <is>
          <t>Rural - Other</t>
        </is>
      </c>
      <c r="D675" s="7" t="n">
        <v>44345</v>
      </c>
      <c r="E675" t="n">
        <v>113</v>
      </c>
      <c r="F675" t="n">
        <v>87800</v>
      </c>
      <c r="G675" t="n">
        <v>23</v>
      </c>
      <c r="H675" t="inlineStr">
        <is>
          <t>Male</t>
        </is>
      </c>
      <c r="I675" t="n">
        <v>615</v>
      </c>
    </row>
    <row r="676">
      <c r="A676" t="inlineStr">
        <is>
          <t>BOR100674</t>
        </is>
      </c>
      <c r="B676" t="inlineStr">
        <is>
          <t>Services</t>
        </is>
      </c>
      <c r="C676" t="inlineStr">
        <is>
          <t>Nairobi</t>
        </is>
      </c>
      <c r="D676" s="7" t="n">
        <v>45001</v>
      </c>
      <c r="E676" t="n">
        <v>89</v>
      </c>
      <c r="F676" t="n">
        <v>71400</v>
      </c>
      <c r="G676" t="n">
        <v>8</v>
      </c>
      <c r="H676" t="inlineStr">
        <is>
          <t>Female</t>
        </is>
      </c>
      <c r="I676" t="n">
        <v>475</v>
      </c>
    </row>
    <row r="677">
      <c r="A677" t="inlineStr">
        <is>
          <t>BOR100675</t>
        </is>
      </c>
      <c r="B677" t="inlineStr">
        <is>
          <t>Transport &amp; Logistics</t>
        </is>
      </c>
      <c r="C677" t="inlineStr">
        <is>
          <t>Nairobi</t>
        </is>
      </c>
      <c r="D677" s="7" t="n">
        <v>44346</v>
      </c>
      <c r="E677" t="n">
        <v>112</v>
      </c>
      <c r="F677" t="n">
        <v>51800</v>
      </c>
      <c r="G677" t="n">
        <v>4</v>
      </c>
      <c r="H677" t="inlineStr">
        <is>
          <t>Female</t>
        </is>
      </c>
      <c r="I677" t="n">
        <v>583</v>
      </c>
    </row>
    <row r="678">
      <c r="A678" t="inlineStr">
        <is>
          <t>BOR100676</t>
        </is>
      </c>
      <c r="B678" t="inlineStr">
        <is>
          <t>Services</t>
        </is>
      </c>
      <c r="C678" t="inlineStr">
        <is>
          <t>Mombasa</t>
        </is>
      </c>
      <c r="D678" s="7" t="n">
        <v>46178</v>
      </c>
      <c r="E678" t="n">
        <v>85</v>
      </c>
      <c r="F678" t="n">
        <v>77600</v>
      </c>
      <c r="G678" t="n">
        <v>11</v>
      </c>
      <c r="H678" t="inlineStr">
        <is>
          <t>Female</t>
        </is>
      </c>
      <c r="I678" t="n">
        <v>466</v>
      </c>
    </row>
    <row r="679">
      <c r="A679" t="inlineStr">
        <is>
          <t>BOR100677</t>
        </is>
      </c>
      <c r="B679" t="inlineStr">
        <is>
          <t>Retail &amp; Trade</t>
        </is>
      </c>
      <c r="C679" t="inlineStr">
        <is>
          <t>Rural - Other</t>
        </is>
      </c>
      <c r="D679" s="7" t="n">
        <v>44572</v>
      </c>
      <c r="E679" t="n">
        <v>56</v>
      </c>
      <c r="F679" t="n">
        <v>507500</v>
      </c>
      <c r="G679" t="n">
        <v>24</v>
      </c>
      <c r="H679" t="inlineStr">
        <is>
          <t>Female</t>
        </is>
      </c>
      <c r="I679" t="n">
        <v>595</v>
      </c>
    </row>
    <row r="680">
      <c r="A680" t="inlineStr">
        <is>
          <t>BOR100678</t>
        </is>
      </c>
      <c r="B680" t="inlineStr">
        <is>
          <t>Services</t>
        </is>
      </c>
      <c r="C680" t="inlineStr">
        <is>
          <t>Rural - Other</t>
        </is>
      </c>
      <c r="D680" s="7" t="n">
        <v>44170</v>
      </c>
      <c r="E680" t="n">
        <v>107</v>
      </c>
      <c r="F680" t="n">
        <v>131200</v>
      </c>
      <c r="G680" t="n">
        <v>12</v>
      </c>
      <c r="H680" t="inlineStr">
        <is>
          <t>Female</t>
        </is>
      </c>
      <c r="I680" t="n">
        <v>451</v>
      </c>
    </row>
    <row r="681">
      <c r="A681" t="inlineStr">
        <is>
          <t>BOR100679</t>
        </is>
      </c>
      <c r="B681" t="inlineStr">
        <is>
          <t>Construction</t>
        </is>
      </c>
      <c r="C681" t="inlineStr">
        <is>
          <t>Nairobi</t>
        </is>
      </c>
      <c r="D681" s="7" t="n">
        <v>42241</v>
      </c>
      <c r="E681" t="n">
        <v>121</v>
      </c>
      <c r="F681" t="n">
        <v>152500</v>
      </c>
      <c r="G681" t="n">
        <v>10</v>
      </c>
      <c r="H681" t="inlineStr">
        <is>
          <t>Male</t>
        </is>
      </c>
      <c r="I681" t="n">
        <v>648</v>
      </c>
    </row>
    <row r="682">
      <c r="A682" t="inlineStr">
        <is>
          <t>BOR100680</t>
        </is>
      </c>
      <c r="B682" t="inlineStr">
        <is>
          <t>Transport &amp; Logistics</t>
        </is>
      </c>
      <c r="C682" t="inlineStr">
        <is>
          <t>Rural - Other</t>
        </is>
      </c>
      <c r="D682" s="7" t="n">
        <v>44385</v>
      </c>
      <c r="E682" t="n">
        <v>122</v>
      </c>
      <c r="F682" t="n">
        <v>132000</v>
      </c>
      <c r="G682" t="n">
        <v>17</v>
      </c>
      <c r="H682" t="inlineStr">
        <is>
          <t>Female</t>
        </is>
      </c>
      <c r="I682" t="n">
        <v>634</v>
      </c>
    </row>
    <row r="683">
      <c r="A683" t="inlineStr">
        <is>
          <t>BOR100681</t>
        </is>
      </c>
      <c r="B683" t="inlineStr">
        <is>
          <t>Retail &amp; Trade</t>
        </is>
      </c>
      <c r="C683" t="inlineStr">
        <is>
          <t>Nairobi</t>
        </is>
      </c>
      <c r="D683" s="7" t="n">
        <v>42723</v>
      </c>
      <c r="E683" t="n">
        <v>33</v>
      </c>
      <c r="F683" t="n">
        <v>206000</v>
      </c>
      <c r="G683" t="n">
        <v>16</v>
      </c>
      <c r="H683" t="inlineStr">
        <is>
          <t>Male</t>
        </is>
      </c>
      <c r="I683" t="n">
        <v>772</v>
      </c>
    </row>
    <row r="684">
      <c r="A684" t="inlineStr">
        <is>
          <t>BOR100682</t>
        </is>
      </c>
      <c r="B684" t="inlineStr">
        <is>
          <t>Construction</t>
        </is>
      </c>
      <c r="C684" t="inlineStr">
        <is>
          <t>Mombasa</t>
        </is>
      </c>
      <c r="D684" s="7" t="n">
        <v>45093</v>
      </c>
      <c r="E684" t="n">
        <v>99</v>
      </c>
      <c r="F684" t="n">
        <v>64000</v>
      </c>
      <c r="G684" t="n">
        <v>8</v>
      </c>
      <c r="H684" t="inlineStr">
        <is>
          <t>Female</t>
        </is>
      </c>
      <c r="I684" t="n">
        <v>676</v>
      </c>
    </row>
    <row r="685">
      <c r="A685" t="inlineStr">
        <is>
          <t>BOR100683</t>
        </is>
      </c>
      <c r="B685" t="inlineStr">
        <is>
          <t>Construction</t>
        </is>
      </c>
      <c r="C685" t="inlineStr">
        <is>
          <t>Rural - Other</t>
        </is>
      </c>
      <c r="D685" s="7" t="n">
        <v>42691</v>
      </c>
      <c r="E685" t="n">
        <v>3</v>
      </c>
      <c r="F685" t="n">
        <v>17400</v>
      </c>
      <c r="G685" t="n">
        <v>24</v>
      </c>
      <c r="H685" t="inlineStr">
        <is>
          <t>Female</t>
        </is>
      </c>
      <c r="I685" t="n">
        <v>562</v>
      </c>
    </row>
    <row r="686">
      <c r="A686" t="inlineStr">
        <is>
          <t>BOR100684</t>
        </is>
      </c>
      <c r="B686" t="inlineStr">
        <is>
          <t>Agriculture</t>
        </is>
      </c>
      <c r="C686" t="inlineStr">
        <is>
          <t>Nairobi</t>
        </is>
      </c>
      <c r="D686" s="7" t="n">
        <v>45868</v>
      </c>
      <c r="E686" t="n">
        <v>84</v>
      </c>
      <c r="F686" t="n">
        <v>64100</v>
      </c>
      <c r="G686" t="n">
        <v>15</v>
      </c>
      <c r="H686" t="inlineStr">
        <is>
          <t>Male</t>
        </is>
      </c>
      <c r="I686" t="n">
        <v>674</v>
      </c>
    </row>
    <row r="687">
      <c r="A687" t="inlineStr">
        <is>
          <t>BOR100685</t>
        </is>
      </c>
      <c r="B687" t="inlineStr">
        <is>
          <t>Transport &amp; Logistics</t>
        </is>
      </c>
      <c r="C687" t="inlineStr">
        <is>
          <t>Nairobi</t>
        </is>
      </c>
      <c r="D687" s="7" t="n">
        <v>43292</v>
      </c>
      <c r="E687" t="n">
        <v>84</v>
      </c>
      <c r="F687" t="n">
        <v>129100</v>
      </c>
      <c r="G687" t="n">
        <v>2</v>
      </c>
      <c r="H687" t="inlineStr">
        <is>
          <t>Male</t>
        </is>
      </c>
      <c r="I687" t="n">
        <v>474</v>
      </c>
    </row>
    <row r="688">
      <c r="A688" t="inlineStr">
        <is>
          <t>BOR100686</t>
        </is>
      </c>
      <c r="B688" t="inlineStr">
        <is>
          <t>Manufacturing</t>
        </is>
      </c>
      <c r="C688" t="inlineStr">
        <is>
          <t>Kisumu</t>
        </is>
      </c>
      <c r="D688" s="7" t="n">
        <v>43854</v>
      </c>
      <c r="E688" t="n">
        <v>54</v>
      </c>
      <c r="F688" t="n">
        <v>37100</v>
      </c>
      <c r="G688" t="n">
        <v>10</v>
      </c>
      <c r="H688" t="inlineStr">
        <is>
          <t>Female</t>
        </is>
      </c>
      <c r="I688" t="n">
        <v>513</v>
      </c>
    </row>
    <row r="689">
      <c r="A689" t="inlineStr">
        <is>
          <t>BOR100687</t>
        </is>
      </c>
      <c r="B689" t="inlineStr">
        <is>
          <t>Services</t>
        </is>
      </c>
      <c r="C689" t="inlineStr">
        <is>
          <t>Nakuru</t>
        </is>
      </c>
      <c r="D689" s="7" t="n">
        <v>42622</v>
      </c>
      <c r="E689" t="n">
        <v>144</v>
      </c>
      <c r="F689" t="n">
        <v>64600</v>
      </c>
      <c r="G689" t="n">
        <v>23</v>
      </c>
      <c r="H689" t="inlineStr">
        <is>
          <t>Male</t>
        </is>
      </c>
      <c r="I689" t="n">
        <v>630</v>
      </c>
    </row>
    <row r="690">
      <c r="A690" t="inlineStr">
        <is>
          <t>BOR100688</t>
        </is>
      </c>
      <c r="B690" t="inlineStr">
        <is>
          <t>Manufacturing</t>
        </is>
      </c>
      <c r="C690" t="inlineStr">
        <is>
          <t>Rural - Other</t>
        </is>
      </c>
      <c r="D690" s="7" t="n">
        <v>42902</v>
      </c>
      <c r="E690" t="n">
        <v>128</v>
      </c>
      <c r="F690" t="n">
        <v>45100</v>
      </c>
      <c r="G690" t="n">
        <v>10</v>
      </c>
      <c r="H690" t="inlineStr">
        <is>
          <t>Female</t>
        </is>
      </c>
      <c r="I690" t="n">
        <v>406</v>
      </c>
    </row>
    <row r="691">
      <c r="A691" t="inlineStr">
        <is>
          <t>BOR100689</t>
        </is>
      </c>
      <c r="B691" t="inlineStr">
        <is>
          <t>Transport &amp; Logistics</t>
        </is>
      </c>
      <c r="C691" t="inlineStr">
        <is>
          <t>Rural - Other</t>
        </is>
      </c>
      <c r="D691" s="7" t="n">
        <v>45933</v>
      </c>
      <c r="E691" t="n">
        <v>8</v>
      </c>
      <c r="F691" t="n">
        <v>209300</v>
      </c>
      <c r="G691" t="n">
        <v>14</v>
      </c>
      <c r="H691" t="inlineStr">
        <is>
          <t>Female</t>
        </is>
      </c>
      <c r="I691" t="n">
        <v>597</v>
      </c>
    </row>
    <row r="692">
      <c r="A692" t="inlineStr">
        <is>
          <t>BOR100690</t>
        </is>
      </c>
      <c r="B692" t="inlineStr">
        <is>
          <t>Construction</t>
        </is>
      </c>
      <c r="C692" t="inlineStr">
        <is>
          <t>Nairobi</t>
        </is>
      </c>
      <c r="D692" s="7" t="n">
        <v>43213</v>
      </c>
      <c r="E692" t="n">
        <v>32</v>
      </c>
      <c r="F692" t="n">
        <v>123600</v>
      </c>
      <c r="G692" t="n">
        <v>15</v>
      </c>
      <c r="H692" t="inlineStr">
        <is>
          <t>Male</t>
        </is>
      </c>
      <c r="I692" t="n">
        <v>508</v>
      </c>
    </row>
    <row r="693">
      <c r="A693" t="inlineStr">
        <is>
          <t>BOR100691</t>
        </is>
      </c>
      <c r="B693" t="inlineStr">
        <is>
          <t>Transport &amp; Logistics</t>
        </is>
      </c>
      <c r="C693" t="inlineStr">
        <is>
          <t>Nairobi</t>
        </is>
      </c>
      <c r="D693" s="7" t="n">
        <v>44190</v>
      </c>
      <c r="E693" t="n">
        <v>32</v>
      </c>
      <c r="F693" t="n">
        <v>115400</v>
      </c>
      <c r="G693" t="n">
        <v>17</v>
      </c>
      <c r="H693" t="inlineStr">
        <is>
          <t>Female</t>
        </is>
      </c>
      <c r="I693" t="n">
        <v>609</v>
      </c>
    </row>
    <row r="694">
      <c r="A694" t="inlineStr">
        <is>
          <t>BOR100692</t>
        </is>
      </c>
      <c r="B694" t="inlineStr">
        <is>
          <t>Construction</t>
        </is>
      </c>
      <c r="C694" t="inlineStr">
        <is>
          <t>Rural - Other</t>
        </is>
      </c>
      <c r="D694" s="7" t="n">
        <v>46186</v>
      </c>
      <c r="E694" t="n">
        <v>130</v>
      </c>
      <c r="F694" t="n">
        <v>113000</v>
      </c>
      <c r="G694" t="n">
        <v>21</v>
      </c>
      <c r="H694" t="inlineStr">
        <is>
          <t>Female</t>
        </is>
      </c>
      <c r="I694" t="n">
        <v>503</v>
      </c>
    </row>
    <row r="695">
      <c r="A695" t="inlineStr">
        <is>
          <t>BOR100693</t>
        </is>
      </c>
      <c r="B695" t="inlineStr">
        <is>
          <t>Construction</t>
        </is>
      </c>
      <c r="C695" t="inlineStr">
        <is>
          <t>Nairobi</t>
        </is>
      </c>
      <c r="D695" s="7" t="n">
        <v>44662</v>
      </c>
      <c r="E695" t="n">
        <v>76</v>
      </c>
      <c r="F695" t="n">
        <v>71200</v>
      </c>
      <c r="G695" t="n">
        <v>4</v>
      </c>
      <c r="H695" t="inlineStr">
        <is>
          <t>Female</t>
        </is>
      </c>
      <c r="I695" t="n">
        <v>638</v>
      </c>
    </row>
    <row r="696">
      <c r="A696" t="inlineStr">
        <is>
          <t>BOR100694</t>
        </is>
      </c>
      <c r="B696" t="inlineStr">
        <is>
          <t>Retail &amp; Trade</t>
        </is>
      </c>
      <c r="C696" t="inlineStr">
        <is>
          <t>Rural - Other</t>
        </is>
      </c>
      <c r="D696" s="7" t="n">
        <v>42182</v>
      </c>
      <c r="E696" t="n">
        <v>106</v>
      </c>
      <c r="F696" t="n">
        <v>84000</v>
      </c>
      <c r="G696" t="n">
        <v>13</v>
      </c>
      <c r="H696" t="inlineStr">
        <is>
          <t>Female</t>
        </is>
      </c>
      <c r="I696" t="n">
        <v>602</v>
      </c>
    </row>
    <row r="697">
      <c r="A697" t="inlineStr">
        <is>
          <t>BOR100695</t>
        </is>
      </c>
      <c r="B697" t="inlineStr">
        <is>
          <t>Agriculture</t>
        </is>
      </c>
      <c r="C697" t="inlineStr">
        <is>
          <t>Eldoret</t>
        </is>
      </c>
      <c r="D697" s="7" t="n">
        <v>43528</v>
      </c>
      <c r="E697" t="n">
        <v>118</v>
      </c>
      <c r="F697" t="n">
        <v>31900</v>
      </c>
      <c r="G697" t="n">
        <v>13</v>
      </c>
      <c r="H697" t="inlineStr">
        <is>
          <t>Female</t>
        </is>
      </c>
      <c r="I697" t="n">
        <v>726</v>
      </c>
    </row>
    <row r="698">
      <c r="A698" t="inlineStr">
        <is>
          <t>BOR100696</t>
        </is>
      </c>
      <c r="B698" t="inlineStr">
        <is>
          <t>Transport &amp; Logistics</t>
        </is>
      </c>
      <c r="C698" t="inlineStr">
        <is>
          <t>Nairobi</t>
        </is>
      </c>
      <c r="D698" s="7" t="n">
        <v>43653</v>
      </c>
      <c r="E698" t="n">
        <v>112</v>
      </c>
      <c r="F698" t="n">
        <v>15800</v>
      </c>
      <c r="G698" t="n">
        <v>4</v>
      </c>
      <c r="H698" t="inlineStr">
        <is>
          <t>Female</t>
        </is>
      </c>
      <c r="I698" t="n">
        <v>601</v>
      </c>
    </row>
    <row r="699">
      <c r="A699" t="inlineStr">
        <is>
          <t>BOR100697</t>
        </is>
      </c>
      <c r="B699" t="inlineStr">
        <is>
          <t>Services</t>
        </is>
      </c>
      <c r="C699" t="inlineStr">
        <is>
          <t>Rural - Other</t>
        </is>
      </c>
      <c r="D699" s="7" t="n">
        <v>43182</v>
      </c>
      <c r="E699" t="n">
        <v>15</v>
      </c>
      <c r="F699" t="n">
        <v>81200</v>
      </c>
      <c r="G699" t="n">
        <v>17</v>
      </c>
      <c r="H699" t="inlineStr">
        <is>
          <t>Male</t>
        </is>
      </c>
      <c r="I699" t="n">
        <v>531</v>
      </c>
    </row>
    <row r="700">
      <c r="A700" t="inlineStr">
        <is>
          <t>BOR100698</t>
        </is>
      </c>
      <c r="B700" t="inlineStr">
        <is>
          <t>Retail &amp; Trade</t>
        </is>
      </c>
      <c r="C700" t="inlineStr">
        <is>
          <t>Nairobi</t>
        </is>
      </c>
      <c r="D700" s="7" t="n">
        <v>43032</v>
      </c>
      <c r="E700" t="n">
        <v>22</v>
      </c>
      <c r="F700" t="n">
        <v>91700</v>
      </c>
      <c r="G700" t="n">
        <v>3</v>
      </c>
      <c r="H700" t="inlineStr">
        <is>
          <t>Male</t>
        </is>
      </c>
      <c r="I700" t="n">
        <v>578</v>
      </c>
    </row>
    <row r="701">
      <c r="A701" t="inlineStr">
        <is>
          <t>BOR100699</t>
        </is>
      </c>
      <c r="B701" t="inlineStr">
        <is>
          <t>Retail &amp; Trade</t>
        </is>
      </c>
      <c r="C701" t="inlineStr">
        <is>
          <t>Kisumu</t>
        </is>
      </c>
      <c r="D701" s="7" t="n">
        <v>44149</v>
      </c>
      <c r="E701" t="n">
        <v>59</v>
      </c>
      <c r="F701" t="n">
        <v>170500</v>
      </c>
      <c r="G701" t="n">
        <v>11</v>
      </c>
      <c r="H701" t="inlineStr">
        <is>
          <t>Female</t>
        </is>
      </c>
      <c r="I701" t="n">
        <v>479</v>
      </c>
    </row>
    <row r="702">
      <c r="A702" t="inlineStr">
        <is>
          <t>BOR100700</t>
        </is>
      </c>
      <c r="B702" t="inlineStr">
        <is>
          <t>Services</t>
        </is>
      </c>
      <c r="C702" t="inlineStr">
        <is>
          <t>Nakuru</t>
        </is>
      </c>
      <c r="D702" s="7" t="n">
        <v>43611</v>
      </c>
      <c r="E702" t="n">
        <v>51</v>
      </c>
      <c r="F702" t="n">
        <v>219700</v>
      </c>
      <c r="G702" t="n">
        <v>8</v>
      </c>
      <c r="H702" t="inlineStr">
        <is>
          <t>Female</t>
        </is>
      </c>
      <c r="I702" t="n">
        <v>637</v>
      </c>
    </row>
    <row r="703">
      <c r="A703" t="inlineStr">
        <is>
          <t>BOR100701</t>
        </is>
      </c>
      <c r="B703" t="inlineStr">
        <is>
          <t>Services</t>
        </is>
      </c>
      <c r="C703" t="inlineStr">
        <is>
          <t>Kisumu</t>
        </is>
      </c>
      <c r="D703" s="7" t="n">
        <v>43259</v>
      </c>
      <c r="E703" t="n">
        <v>109</v>
      </c>
      <c r="F703" t="n">
        <v>219500</v>
      </c>
      <c r="G703" t="n">
        <v>4</v>
      </c>
      <c r="H703" t="inlineStr">
        <is>
          <t>Male</t>
        </is>
      </c>
      <c r="I703" t="n">
        <v>653</v>
      </c>
    </row>
    <row r="704">
      <c r="A704" t="inlineStr">
        <is>
          <t>BOR100702</t>
        </is>
      </c>
      <c r="B704" t="inlineStr">
        <is>
          <t>Agriculture</t>
        </is>
      </c>
      <c r="C704" t="inlineStr">
        <is>
          <t>Eldoret</t>
        </is>
      </c>
      <c r="D704" s="7" t="n">
        <v>43764</v>
      </c>
      <c r="E704" t="n">
        <v>25</v>
      </c>
      <c r="F704" t="n">
        <v>36400</v>
      </c>
      <c r="G704" t="n">
        <v>20</v>
      </c>
      <c r="H704" t="inlineStr">
        <is>
          <t>Female</t>
        </is>
      </c>
      <c r="I704" t="n">
        <v>822</v>
      </c>
    </row>
    <row r="705">
      <c r="A705" t="inlineStr">
        <is>
          <t>BOR100703</t>
        </is>
      </c>
      <c r="B705" t="inlineStr">
        <is>
          <t>Agriculture</t>
        </is>
      </c>
      <c r="C705" t="inlineStr">
        <is>
          <t>Nakuru</t>
        </is>
      </c>
      <c r="D705" s="7" t="n">
        <v>43469</v>
      </c>
      <c r="E705" t="n">
        <v>55</v>
      </c>
      <c r="F705" t="n">
        <v>57100</v>
      </c>
      <c r="G705" t="n">
        <v>6</v>
      </c>
      <c r="H705" t="inlineStr">
        <is>
          <t>Male</t>
        </is>
      </c>
      <c r="I705" t="n">
        <v>544</v>
      </c>
    </row>
    <row r="706">
      <c r="A706" t="inlineStr">
        <is>
          <t>BOR100704</t>
        </is>
      </c>
      <c r="B706" t="inlineStr">
        <is>
          <t>Retail &amp; Trade</t>
        </is>
      </c>
      <c r="C706" t="inlineStr">
        <is>
          <t>Rural - Other</t>
        </is>
      </c>
      <c r="D706" s="7" t="n">
        <v>42979</v>
      </c>
      <c r="E706" t="n">
        <v>36</v>
      </c>
      <c r="F706" t="n">
        <v>102400</v>
      </c>
      <c r="G706" t="n">
        <v>7</v>
      </c>
      <c r="H706" t="inlineStr">
        <is>
          <t>Male</t>
        </is>
      </c>
      <c r="I706" t="n">
        <v>576</v>
      </c>
    </row>
    <row r="707">
      <c r="A707" t="inlineStr">
        <is>
          <t>BOR100705</t>
        </is>
      </c>
      <c r="B707" t="inlineStr">
        <is>
          <t>Services</t>
        </is>
      </c>
      <c r="C707" t="inlineStr">
        <is>
          <t>Rural - Other</t>
        </is>
      </c>
      <c r="D707" s="7" t="n">
        <v>43934</v>
      </c>
      <c r="E707" t="n">
        <v>29</v>
      </c>
      <c r="F707" t="n">
        <v>430300</v>
      </c>
      <c r="G707" t="n">
        <v>21</v>
      </c>
      <c r="H707" t="inlineStr">
        <is>
          <t>Female</t>
        </is>
      </c>
      <c r="I707" t="n">
        <v>548</v>
      </c>
    </row>
    <row r="708">
      <c r="A708" t="inlineStr">
        <is>
          <t>BOR100706</t>
        </is>
      </c>
      <c r="B708" t="inlineStr">
        <is>
          <t>Retail &amp; Trade</t>
        </is>
      </c>
      <c r="C708" t="inlineStr">
        <is>
          <t>Kisumu</t>
        </is>
      </c>
      <c r="D708" s="7" t="n">
        <v>46020</v>
      </c>
      <c r="E708" t="n">
        <v>27</v>
      </c>
      <c r="F708" t="n">
        <v>206100</v>
      </c>
      <c r="G708" t="n">
        <v>22</v>
      </c>
      <c r="H708" t="inlineStr">
        <is>
          <t>Female</t>
        </is>
      </c>
      <c r="I708" t="n">
        <v>619</v>
      </c>
    </row>
    <row r="709">
      <c r="A709" t="inlineStr">
        <is>
          <t>BOR100707</t>
        </is>
      </c>
      <c r="B709" t="inlineStr">
        <is>
          <t>Services</t>
        </is>
      </c>
      <c r="C709" t="inlineStr">
        <is>
          <t>Nairobi</t>
        </is>
      </c>
      <c r="D709" s="7" t="n">
        <v>44159</v>
      </c>
      <c r="E709" t="n">
        <v>30</v>
      </c>
      <c r="F709" t="n">
        <v>160100</v>
      </c>
      <c r="G709" t="n">
        <v>1</v>
      </c>
      <c r="H709" t="inlineStr">
        <is>
          <t>Female</t>
        </is>
      </c>
      <c r="I709" t="n">
        <v>634</v>
      </c>
    </row>
    <row r="710">
      <c r="A710" t="inlineStr">
        <is>
          <t>BOR100708</t>
        </is>
      </c>
      <c r="B710" t="inlineStr">
        <is>
          <t>Manufacturing</t>
        </is>
      </c>
      <c r="C710" t="inlineStr">
        <is>
          <t>Eldoret</t>
        </is>
      </c>
      <c r="D710" s="7" t="n">
        <v>44551</v>
      </c>
      <c r="E710" t="n">
        <v>83</v>
      </c>
      <c r="F710" t="n">
        <v>55700</v>
      </c>
      <c r="G710" t="n">
        <v>7</v>
      </c>
      <c r="H710" t="inlineStr">
        <is>
          <t>Female</t>
        </is>
      </c>
      <c r="I710" t="n">
        <v>595</v>
      </c>
    </row>
    <row r="711">
      <c r="A711" t="inlineStr">
        <is>
          <t>BOR100709</t>
        </is>
      </c>
      <c r="B711" t="inlineStr">
        <is>
          <t>Manufacturing</t>
        </is>
      </c>
      <c r="C711" t="inlineStr">
        <is>
          <t>Rural - Other</t>
        </is>
      </c>
      <c r="D711" s="7" t="n">
        <v>46199</v>
      </c>
      <c r="E711" t="n">
        <v>61</v>
      </c>
      <c r="F711" t="n">
        <v>39400</v>
      </c>
      <c r="G711" t="n">
        <v>18</v>
      </c>
      <c r="H711" t="inlineStr">
        <is>
          <t>Female</t>
        </is>
      </c>
      <c r="I711" t="n">
        <v>698</v>
      </c>
    </row>
    <row r="712">
      <c r="A712" t="inlineStr">
        <is>
          <t>BOR100710</t>
        </is>
      </c>
      <c r="B712" t="inlineStr">
        <is>
          <t>Transport &amp; Logistics</t>
        </is>
      </c>
      <c r="C712" t="inlineStr">
        <is>
          <t>Mombasa</t>
        </is>
      </c>
      <c r="D712" s="7" t="n">
        <v>44619</v>
      </c>
      <c r="E712" t="n">
        <v>64</v>
      </c>
      <c r="F712" t="n">
        <v>127000</v>
      </c>
      <c r="G712" t="n">
        <v>19</v>
      </c>
      <c r="H712" t="inlineStr">
        <is>
          <t>Male</t>
        </is>
      </c>
      <c r="I712" t="n">
        <v>544</v>
      </c>
    </row>
    <row r="713">
      <c r="A713" t="inlineStr">
        <is>
          <t>BOR100711</t>
        </is>
      </c>
      <c r="B713" t="inlineStr">
        <is>
          <t>Services</t>
        </is>
      </c>
      <c r="C713" t="inlineStr">
        <is>
          <t>Kisumu</t>
        </is>
      </c>
      <c r="D713" s="7" t="n">
        <v>42956</v>
      </c>
      <c r="E713" t="n">
        <v>71</v>
      </c>
      <c r="F713" t="n">
        <v>33800</v>
      </c>
      <c r="G713" t="n">
        <v>24</v>
      </c>
      <c r="H713" t="inlineStr">
        <is>
          <t>Female</t>
        </is>
      </c>
      <c r="I713" t="n">
        <v>689</v>
      </c>
    </row>
    <row r="714">
      <c r="A714" t="inlineStr">
        <is>
          <t>BOR100712</t>
        </is>
      </c>
      <c r="B714" t="inlineStr">
        <is>
          <t>Transport &amp; Logistics</t>
        </is>
      </c>
      <c r="C714" t="inlineStr">
        <is>
          <t>Kisumu</t>
        </is>
      </c>
      <c r="D714" s="7" t="n">
        <v>43702</v>
      </c>
      <c r="E714" t="n">
        <v>108</v>
      </c>
      <c r="F714" t="n">
        <v>61900</v>
      </c>
      <c r="G714" t="n">
        <v>14</v>
      </c>
      <c r="H714" t="inlineStr">
        <is>
          <t>Male</t>
        </is>
      </c>
      <c r="I714" t="n">
        <v>648</v>
      </c>
    </row>
    <row r="715">
      <c r="A715" t="inlineStr">
        <is>
          <t>BOR100713</t>
        </is>
      </c>
      <c r="B715" t="inlineStr">
        <is>
          <t>Transport &amp; Logistics</t>
        </is>
      </c>
      <c r="C715" t="inlineStr">
        <is>
          <t>Nairobi</t>
        </is>
      </c>
      <c r="D715" s="7" t="n">
        <v>44084</v>
      </c>
      <c r="E715" t="n">
        <v>125</v>
      </c>
      <c r="F715" t="n">
        <v>67500</v>
      </c>
      <c r="G715" t="n">
        <v>1</v>
      </c>
      <c r="H715" t="inlineStr">
        <is>
          <t>Male</t>
        </is>
      </c>
      <c r="I715" t="n">
        <v>599</v>
      </c>
    </row>
    <row r="716">
      <c r="A716" t="inlineStr">
        <is>
          <t>BOR100714</t>
        </is>
      </c>
      <c r="B716" t="inlineStr">
        <is>
          <t>Construction</t>
        </is>
      </c>
      <c r="C716" t="inlineStr">
        <is>
          <t>Eldoret</t>
        </is>
      </c>
      <c r="D716" s="7" t="n">
        <v>44028</v>
      </c>
      <c r="E716" t="n">
        <v>77</v>
      </c>
      <c r="F716" t="n">
        <v>223000</v>
      </c>
      <c r="G716" t="n">
        <v>21</v>
      </c>
      <c r="H716" t="inlineStr">
        <is>
          <t>Female</t>
        </is>
      </c>
      <c r="I716" t="n">
        <v>572</v>
      </c>
    </row>
    <row r="717">
      <c r="A717" t="inlineStr">
        <is>
          <t>BOR100715</t>
        </is>
      </c>
      <c r="B717" t="inlineStr">
        <is>
          <t>Transport &amp; Logistics</t>
        </is>
      </c>
      <c r="C717" t="inlineStr">
        <is>
          <t>Mombasa</t>
        </is>
      </c>
      <c r="D717" s="7" t="n">
        <v>42642</v>
      </c>
      <c r="E717" t="n">
        <v>94</v>
      </c>
      <c r="F717" t="n">
        <v>57100</v>
      </c>
      <c r="G717" t="n">
        <v>4</v>
      </c>
      <c r="H717" t="inlineStr">
        <is>
          <t>Female</t>
        </is>
      </c>
      <c r="I717" t="n">
        <v>818</v>
      </c>
    </row>
    <row r="718">
      <c r="A718" t="inlineStr">
        <is>
          <t>BOR100716</t>
        </is>
      </c>
      <c r="B718" t="inlineStr">
        <is>
          <t>Services</t>
        </is>
      </c>
      <c r="C718" t="inlineStr">
        <is>
          <t>Rural - Other</t>
        </is>
      </c>
      <c r="D718" s="7" t="n">
        <v>42455</v>
      </c>
      <c r="E718" t="n">
        <v>107</v>
      </c>
      <c r="F718" t="n">
        <v>15000</v>
      </c>
      <c r="G718" t="n">
        <v>3</v>
      </c>
      <c r="H718" t="inlineStr">
        <is>
          <t>Female</t>
        </is>
      </c>
      <c r="I718" t="n">
        <v>526</v>
      </c>
    </row>
    <row r="719">
      <c r="A719" t="inlineStr">
        <is>
          <t>BOR100717</t>
        </is>
      </c>
      <c r="B719" t="inlineStr">
        <is>
          <t>Manufacturing</t>
        </is>
      </c>
      <c r="C719" t="inlineStr">
        <is>
          <t>Rural - Other</t>
        </is>
      </c>
      <c r="D719" s="7" t="n">
        <v>43496</v>
      </c>
      <c r="E719" t="n">
        <v>101</v>
      </c>
      <c r="F719" t="n">
        <v>104100</v>
      </c>
      <c r="G719" t="n">
        <v>17</v>
      </c>
      <c r="H719" t="inlineStr">
        <is>
          <t>Male</t>
        </is>
      </c>
      <c r="I719" t="n">
        <v>627</v>
      </c>
    </row>
    <row r="720">
      <c r="A720" t="inlineStr">
        <is>
          <t>BOR100718</t>
        </is>
      </c>
      <c r="B720" t="inlineStr">
        <is>
          <t>Agriculture</t>
        </is>
      </c>
      <c r="C720" t="inlineStr">
        <is>
          <t>Rural - Other</t>
        </is>
      </c>
      <c r="D720" s="7" t="n">
        <v>45900</v>
      </c>
      <c r="E720" t="n">
        <v>22</v>
      </c>
      <c r="F720" t="n">
        <v>44800</v>
      </c>
      <c r="G720" t="n">
        <v>15</v>
      </c>
      <c r="H720" t="inlineStr">
        <is>
          <t>Female</t>
        </is>
      </c>
      <c r="I720" t="n">
        <v>532</v>
      </c>
    </row>
    <row r="721">
      <c r="A721" t="inlineStr">
        <is>
          <t>BOR100719</t>
        </is>
      </c>
      <c r="B721" t="inlineStr">
        <is>
          <t>Services</t>
        </is>
      </c>
      <c r="C721" t="inlineStr">
        <is>
          <t>Mombasa</t>
        </is>
      </c>
      <c r="D721" s="7" t="n">
        <v>45061</v>
      </c>
      <c r="E721" t="n">
        <v>142</v>
      </c>
      <c r="F721" t="n">
        <v>75300</v>
      </c>
      <c r="G721" t="n">
        <v>2</v>
      </c>
      <c r="H721" t="inlineStr">
        <is>
          <t>Male</t>
        </is>
      </c>
      <c r="I721" t="n">
        <v>761</v>
      </c>
    </row>
    <row r="722">
      <c r="A722" t="inlineStr">
        <is>
          <t>BOR100720</t>
        </is>
      </c>
      <c r="B722" t="inlineStr">
        <is>
          <t>Retail &amp; Trade</t>
        </is>
      </c>
      <c r="C722" t="inlineStr">
        <is>
          <t>Mombasa</t>
        </is>
      </c>
      <c r="D722" s="7" t="n">
        <v>45591</v>
      </c>
      <c r="E722" t="n">
        <v>26</v>
      </c>
      <c r="F722" t="n">
        <v>68800</v>
      </c>
      <c r="G722" t="n">
        <v>5</v>
      </c>
      <c r="H722" t="inlineStr">
        <is>
          <t>Male</t>
        </is>
      </c>
      <c r="I722" t="n">
        <v>680</v>
      </c>
    </row>
    <row r="723">
      <c r="A723" t="inlineStr">
        <is>
          <t>BOR100721</t>
        </is>
      </c>
      <c r="B723" t="inlineStr">
        <is>
          <t>Construction</t>
        </is>
      </c>
      <c r="C723" t="inlineStr">
        <is>
          <t>Eldoret</t>
        </is>
      </c>
      <c r="D723" s="7" t="n">
        <v>42748</v>
      </c>
      <c r="E723" t="n">
        <v>61</v>
      </c>
      <c r="F723" t="n">
        <v>60400</v>
      </c>
      <c r="G723" t="n">
        <v>15</v>
      </c>
      <c r="H723" t="inlineStr">
        <is>
          <t>Male</t>
        </is>
      </c>
      <c r="I723" t="n">
        <v>539</v>
      </c>
    </row>
    <row r="724">
      <c r="A724" t="inlineStr">
        <is>
          <t>BOR100722</t>
        </is>
      </c>
      <c r="B724" t="inlineStr">
        <is>
          <t>Construction</t>
        </is>
      </c>
      <c r="C724" t="inlineStr">
        <is>
          <t>Rural - Other</t>
        </is>
      </c>
      <c r="D724" s="7" t="n">
        <v>43770</v>
      </c>
      <c r="E724" t="n">
        <v>95</v>
      </c>
      <c r="F724" t="n">
        <v>127200</v>
      </c>
      <c r="G724" t="n">
        <v>7</v>
      </c>
      <c r="H724" t="inlineStr">
        <is>
          <t>Male</t>
        </is>
      </c>
      <c r="I724" t="n">
        <v>646</v>
      </c>
    </row>
    <row r="725">
      <c r="A725" t="inlineStr">
        <is>
          <t>BOR100723</t>
        </is>
      </c>
      <c r="B725" t="inlineStr">
        <is>
          <t>Retail &amp; Trade</t>
        </is>
      </c>
      <c r="C725" t="inlineStr">
        <is>
          <t>Kisumu</t>
        </is>
      </c>
      <c r="D725" s="7" t="n">
        <v>44482</v>
      </c>
      <c r="E725" t="n">
        <v>60</v>
      </c>
      <c r="F725" t="n">
        <v>25000</v>
      </c>
      <c r="G725" t="n">
        <v>17</v>
      </c>
      <c r="H725" t="inlineStr">
        <is>
          <t>Male</t>
        </is>
      </c>
      <c r="I725" t="n">
        <v>623</v>
      </c>
    </row>
    <row r="726">
      <c r="A726" t="inlineStr">
        <is>
          <t>BOR100724</t>
        </is>
      </c>
      <c r="B726" t="inlineStr">
        <is>
          <t>Transport &amp; Logistics</t>
        </is>
      </c>
      <c r="C726" t="inlineStr">
        <is>
          <t>Rural - Other</t>
        </is>
      </c>
      <c r="D726" s="7" t="n">
        <v>43855</v>
      </c>
      <c r="E726" t="n">
        <v>37</v>
      </c>
      <c r="F726" t="n">
        <v>50900</v>
      </c>
      <c r="G726" t="n">
        <v>10</v>
      </c>
      <c r="H726" t="inlineStr">
        <is>
          <t>Male</t>
        </is>
      </c>
      <c r="I726" t="n">
        <v>554</v>
      </c>
    </row>
    <row r="727">
      <c r="A727" t="inlineStr">
        <is>
          <t>BOR100725</t>
        </is>
      </c>
      <c r="B727" t="inlineStr">
        <is>
          <t>Retail &amp; Trade</t>
        </is>
      </c>
      <c r="C727" t="inlineStr">
        <is>
          <t>Nairobi</t>
        </is>
      </c>
      <c r="D727" s="7" t="n">
        <v>43780</v>
      </c>
      <c r="E727" t="n">
        <v>134</v>
      </c>
      <c r="F727" t="n">
        <v>118000</v>
      </c>
      <c r="G727" t="n">
        <v>15</v>
      </c>
      <c r="H727" t="inlineStr">
        <is>
          <t>Male</t>
        </is>
      </c>
      <c r="I727" t="n">
        <v>668</v>
      </c>
    </row>
    <row r="728">
      <c r="A728" t="inlineStr">
        <is>
          <t>BOR100726</t>
        </is>
      </c>
      <c r="B728" t="inlineStr">
        <is>
          <t>Transport &amp; Logistics</t>
        </is>
      </c>
      <c r="C728" t="inlineStr">
        <is>
          <t>Rural - Other</t>
        </is>
      </c>
      <c r="D728" s="7" t="n">
        <v>43538</v>
      </c>
      <c r="E728" t="n">
        <v>13</v>
      </c>
      <c r="F728" t="n">
        <v>47600</v>
      </c>
      <c r="G728" t="n">
        <v>12</v>
      </c>
      <c r="H728" t="inlineStr">
        <is>
          <t>Male</t>
        </is>
      </c>
      <c r="I728" t="n">
        <v>635</v>
      </c>
    </row>
    <row r="729">
      <c r="A729" t="inlineStr">
        <is>
          <t>BOR100727</t>
        </is>
      </c>
      <c r="B729" t="inlineStr">
        <is>
          <t>Retail &amp; Trade</t>
        </is>
      </c>
      <c r="C729" t="inlineStr">
        <is>
          <t>Nairobi</t>
        </is>
      </c>
      <c r="D729" s="7" t="n">
        <v>42224</v>
      </c>
      <c r="E729" t="n">
        <v>37</v>
      </c>
      <c r="F729" t="n">
        <v>23700</v>
      </c>
      <c r="G729" t="n">
        <v>9</v>
      </c>
      <c r="H729" t="inlineStr">
        <is>
          <t>Male</t>
        </is>
      </c>
      <c r="I729" t="n">
        <v>619</v>
      </c>
    </row>
    <row r="730">
      <c r="A730" t="inlineStr">
        <is>
          <t>BOR100728</t>
        </is>
      </c>
      <c r="B730" t="inlineStr">
        <is>
          <t>Manufacturing</t>
        </is>
      </c>
      <c r="C730" t="inlineStr">
        <is>
          <t>Nairobi</t>
        </is>
      </c>
      <c r="D730" s="7" t="n">
        <v>45657</v>
      </c>
      <c r="E730" t="n">
        <v>144</v>
      </c>
      <c r="F730" t="n">
        <v>116800</v>
      </c>
      <c r="G730" t="n">
        <v>9</v>
      </c>
      <c r="H730" t="inlineStr">
        <is>
          <t>Male</t>
        </is>
      </c>
      <c r="I730" t="n">
        <v>596</v>
      </c>
    </row>
    <row r="731">
      <c r="A731" t="inlineStr">
        <is>
          <t>BOR100729</t>
        </is>
      </c>
      <c r="B731" t="inlineStr">
        <is>
          <t>Services</t>
        </is>
      </c>
      <c r="C731" t="inlineStr">
        <is>
          <t>Kisumu</t>
        </is>
      </c>
      <c r="D731" s="7" t="n">
        <v>45980</v>
      </c>
      <c r="E731" t="n">
        <v>106</v>
      </c>
      <c r="F731" t="n">
        <v>160500</v>
      </c>
      <c r="G731" t="n">
        <v>17</v>
      </c>
      <c r="H731" t="inlineStr">
        <is>
          <t>Female</t>
        </is>
      </c>
      <c r="I731" t="n">
        <v>639</v>
      </c>
    </row>
    <row r="732">
      <c r="A732" t="inlineStr">
        <is>
          <t>BOR100730</t>
        </is>
      </c>
      <c r="B732" t="inlineStr">
        <is>
          <t>Transport &amp; Logistics</t>
        </is>
      </c>
      <c r="C732" t="inlineStr">
        <is>
          <t>Nairobi</t>
        </is>
      </c>
      <c r="D732" s="7" t="n">
        <v>42349</v>
      </c>
      <c r="E732" t="n">
        <v>15</v>
      </c>
      <c r="F732" t="n">
        <v>70900</v>
      </c>
      <c r="G732" t="n">
        <v>13</v>
      </c>
      <c r="H732" t="inlineStr">
        <is>
          <t>Male</t>
        </is>
      </c>
      <c r="I732" t="n">
        <v>621</v>
      </c>
    </row>
    <row r="733">
      <c r="A733" t="inlineStr">
        <is>
          <t>BOR100731</t>
        </is>
      </c>
      <c r="B733" t="inlineStr">
        <is>
          <t>Manufacturing</t>
        </is>
      </c>
      <c r="C733" t="inlineStr">
        <is>
          <t>Nairobi</t>
        </is>
      </c>
      <c r="D733" s="7" t="n">
        <v>43767</v>
      </c>
      <c r="E733" t="n">
        <v>110</v>
      </c>
      <c r="F733" t="n">
        <v>18500</v>
      </c>
      <c r="G733" t="n">
        <v>15</v>
      </c>
      <c r="H733" t="inlineStr">
        <is>
          <t>Female</t>
        </is>
      </c>
      <c r="I733" t="n">
        <v>605</v>
      </c>
    </row>
    <row r="734">
      <c r="A734" t="inlineStr">
        <is>
          <t>BOR100732</t>
        </is>
      </c>
      <c r="B734" t="inlineStr">
        <is>
          <t>Construction</t>
        </is>
      </c>
      <c r="C734" t="inlineStr">
        <is>
          <t>Nairobi</t>
        </is>
      </c>
      <c r="D734" s="7" t="n">
        <v>44211</v>
      </c>
      <c r="E734" t="n">
        <v>140</v>
      </c>
      <c r="F734" t="n">
        <v>119900</v>
      </c>
      <c r="G734" t="n">
        <v>14</v>
      </c>
      <c r="H734" t="inlineStr">
        <is>
          <t>Male</t>
        </is>
      </c>
      <c r="I734" t="n">
        <v>542</v>
      </c>
    </row>
    <row r="735">
      <c r="A735" t="inlineStr">
        <is>
          <t>BOR100733</t>
        </is>
      </c>
      <c r="B735" t="inlineStr">
        <is>
          <t>Transport &amp; Logistics</t>
        </is>
      </c>
      <c r="C735" t="inlineStr">
        <is>
          <t>Kisumu</t>
        </is>
      </c>
      <c r="D735" s="7" t="n">
        <v>45345</v>
      </c>
      <c r="E735" t="n">
        <v>16</v>
      </c>
      <c r="F735" t="n">
        <v>22900</v>
      </c>
      <c r="G735" t="n">
        <v>5</v>
      </c>
      <c r="H735" t="inlineStr">
        <is>
          <t>Female</t>
        </is>
      </c>
      <c r="I735" t="n">
        <v>752</v>
      </c>
    </row>
    <row r="736">
      <c r="A736" t="inlineStr">
        <is>
          <t>BOR100734</t>
        </is>
      </c>
      <c r="B736" t="inlineStr">
        <is>
          <t>Agriculture</t>
        </is>
      </c>
      <c r="C736" t="inlineStr">
        <is>
          <t>Rural - Other</t>
        </is>
      </c>
      <c r="D736" s="7" t="n">
        <v>46209</v>
      </c>
      <c r="E736" t="n">
        <v>61</v>
      </c>
      <c r="F736" t="n">
        <v>90800</v>
      </c>
      <c r="G736" t="n">
        <v>22</v>
      </c>
      <c r="H736" t="inlineStr">
        <is>
          <t>Male</t>
        </is>
      </c>
      <c r="I736" t="n">
        <v>505</v>
      </c>
    </row>
    <row r="737">
      <c r="A737" t="inlineStr">
        <is>
          <t>BOR100735</t>
        </is>
      </c>
      <c r="B737" t="inlineStr">
        <is>
          <t>Transport &amp; Logistics</t>
        </is>
      </c>
      <c r="C737" t="inlineStr">
        <is>
          <t>Nairobi</t>
        </is>
      </c>
      <c r="D737" s="7" t="n">
        <v>43778</v>
      </c>
      <c r="E737" t="n">
        <v>69</v>
      </c>
      <c r="F737" t="n">
        <v>39300</v>
      </c>
      <c r="G737" t="n">
        <v>14</v>
      </c>
      <c r="H737" t="inlineStr">
        <is>
          <t>Male</t>
        </is>
      </c>
      <c r="I737" t="n">
        <v>638</v>
      </c>
    </row>
    <row r="738">
      <c r="A738" t="inlineStr">
        <is>
          <t>BOR100736</t>
        </is>
      </c>
      <c r="B738" t="inlineStr">
        <is>
          <t>Transport &amp; Logistics</t>
        </is>
      </c>
      <c r="C738" t="inlineStr">
        <is>
          <t>Nakuru</t>
        </is>
      </c>
      <c r="D738" s="7" t="n">
        <v>45196</v>
      </c>
      <c r="E738" t="n">
        <v>21</v>
      </c>
      <c r="F738" t="n">
        <v>32500</v>
      </c>
      <c r="G738" t="n">
        <v>18</v>
      </c>
      <c r="H738" t="inlineStr">
        <is>
          <t>Male</t>
        </is>
      </c>
      <c r="I738" t="n">
        <v>571</v>
      </c>
    </row>
    <row r="739">
      <c r="A739" t="inlineStr">
        <is>
          <t>BOR100737</t>
        </is>
      </c>
      <c r="B739" t="inlineStr">
        <is>
          <t>Manufacturing</t>
        </is>
      </c>
      <c r="C739" t="inlineStr">
        <is>
          <t>Rural - Other</t>
        </is>
      </c>
      <c r="D739" s="7" t="n">
        <v>45999</v>
      </c>
      <c r="E739" t="n">
        <v>31</v>
      </c>
      <c r="F739" t="n">
        <v>53700</v>
      </c>
      <c r="G739" t="n">
        <v>22</v>
      </c>
      <c r="H739" t="inlineStr">
        <is>
          <t>Female</t>
        </is>
      </c>
      <c r="I739" t="n">
        <v>758</v>
      </c>
    </row>
    <row r="740">
      <c r="A740" t="inlineStr">
        <is>
          <t>BOR100738</t>
        </is>
      </c>
      <c r="B740" t="inlineStr">
        <is>
          <t>Transport &amp; Logistics</t>
        </is>
      </c>
      <c r="C740" t="inlineStr">
        <is>
          <t>Nairobi</t>
        </is>
      </c>
      <c r="D740" s="7" t="n">
        <v>45542</v>
      </c>
      <c r="E740" t="n">
        <v>27</v>
      </c>
      <c r="F740" t="n">
        <v>64300</v>
      </c>
      <c r="G740" t="n">
        <v>23</v>
      </c>
      <c r="H740" t="inlineStr">
        <is>
          <t>Male</t>
        </is>
      </c>
      <c r="I740" t="n">
        <v>519</v>
      </c>
    </row>
    <row r="741">
      <c r="A741" t="inlineStr">
        <is>
          <t>BOR100739</t>
        </is>
      </c>
      <c r="B741" t="inlineStr">
        <is>
          <t>Construction</t>
        </is>
      </c>
      <c r="C741" t="inlineStr">
        <is>
          <t>Nairobi</t>
        </is>
      </c>
      <c r="D741" s="7" t="n">
        <v>43242</v>
      </c>
      <c r="E741" t="n">
        <v>29</v>
      </c>
      <c r="F741" t="n">
        <v>46600</v>
      </c>
      <c r="G741" t="n">
        <v>17</v>
      </c>
      <c r="H741" t="inlineStr">
        <is>
          <t>Male</t>
        </is>
      </c>
      <c r="I741" t="n">
        <v>534</v>
      </c>
    </row>
    <row r="742">
      <c r="A742" t="inlineStr">
        <is>
          <t>BOR100740</t>
        </is>
      </c>
      <c r="B742" t="inlineStr">
        <is>
          <t>Transport &amp; Logistics</t>
        </is>
      </c>
      <c r="C742" t="inlineStr">
        <is>
          <t>Rural - Other</t>
        </is>
      </c>
      <c r="D742" s="7" t="n">
        <v>45488</v>
      </c>
      <c r="E742" t="n">
        <v>60</v>
      </c>
      <c r="F742" t="n">
        <v>110400</v>
      </c>
      <c r="G742" t="n">
        <v>19</v>
      </c>
      <c r="H742" t="inlineStr">
        <is>
          <t>Male</t>
        </is>
      </c>
      <c r="I742" t="n">
        <v>513</v>
      </c>
    </row>
    <row r="743">
      <c r="A743" t="inlineStr">
        <is>
          <t>BOR100741</t>
        </is>
      </c>
      <c r="B743" t="inlineStr">
        <is>
          <t>Transport &amp; Logistics</t>
        </is>
      </c>
      <c r="C743" t="inlineStr">
        <is>
          <t>Rural - Other</t>
        </is>
      </c>
      <c r="D743" s="7" t="n">
        <v>43761</v>
      </c>
      <c r="E743" t="n">
        <v>68</v>
      </c>
      <c r="F743" t="n">
        <v>53500</v>
      </c>
      <c r="G743" t="n">
        <v>12</v>
      </c>
      <c r="H743" t="inlineStr">
        <is>
          <t>Male</t>
        </is>
      </c>
      <c r="I743" t="n">
        <v>629</v>
      </c>
    </row>
    <row r="744">
      <c r="A744" t="inlineStr">
        <is>
          <t>BOR100742</t>
        </is>
      </c>
      <c r="B744" t="inlineStr">
        <is>
          <t>Services</t>
        </is>
      </c>
      <c r="C744" t="inlineStr">
        <is>
          <t>Kisumu</t>
        </is>
      </c>
      <c r="D744" s="7" t="n">
        <v>42079</v>
      </c>
      <c r="E744" t="n">
        <v>36</v>
      </c>
      <c r="F744" t="n">
        <v>145200</v>
      </c>
      <c r="G744" t="n">
        <v>18</v>
      </c>
      <c r="H744" t="inlineStr">
        <is>
          <t>Male</t>
        </is>
      </c>
      <c r="I744" t="n">
        <v>476</v>
      </c>
    </row>
    <row r="745">
      <c r="A745" t="inlineStr">
        <is>
          <t>BOR100743</t>
        </is>
      </c>
      <c r="B745" t="inlineStr">
        <is>
          <t>Agriculture</t>
        </is>
      </c>
      <c r="C745" t="inlineStr">
        <is>
          <t>Rural - Other</t>
        </is>
      </c>
      <c r="D745" s="7" t="n">
        <v>45238</v>
      </c>
      <c r="E745" t="n">
        <v>44</v>
      </c>
      <c r="F745" t="n">
        <v>89000</v>
      </c>
      <c r="G745" t="n">
        <v>8</v>
      </c>
      <c r="H745" t="inlineStr">
        <is>
          <t>Male</t>
        </is>
      </c>
      <c r="I745" t="n">
        <v>557</v>
      </c>
    </row>
    <row r="746">
      <c r="A746" t="inlineStr">
        <is>
          <t>BOR100744</t>
        </is>
      </c>
      <c r="B746" t="inlineStr">
        <is>
          <t>Transport &amp; Logistics</t>
        </is>
      </c>
      <c r="C746" t="inlineStr">
        <is>
          <t>Nairobi</t>
        </is>
      </c>
      <c r="D746" s="7" t="n">
        <v>45564</v>
      </c>
      <c r="E746" t="n">
        <v>30</v>
      </c>
      <c r="F746" t="n">
        <v>44900</v>
      </c>
      <c r="G746" t="n">
        <v>18</v>
      </c>
      <c r="H746" t="inlineStr">
        <is>
          <t>Female</t>
        </is>
      </c>
      <c r="I746" t="n">
        <v>406</v>
      </c>
    </row>
    <row r="747">
      <c r="A747" t="inlineStr">
        <is>
          <t>BOR100745</t>
        </is>
      </c>
      <c r="B747" t="inlineStr">
        <is>
          <t>Manufacturing</t>
        </is>
      </c>
      <c r="C747" t="inlineStr">
        <is>
          <t>Mombasa</t>
        </is>
      </c>
      <c r="D747" s="7" t="n">
        <v>43469</v>
      </c>
      <c r="E747" t="n">
        <v>116</v>
      </c>
      <c r="F747" t="n">
        <v>39900</v>
      </c>
      <c r="G747" t="n">
        <v>3</v>
      </c>
      <c r="H747" t="inlineStr">
        <is>
          <t>Male</t>
        </is>
      </c>
      <c r="I747" t="n">
        <v>622</v>
      </c>
    </row>
    <row r="748">
      <c r="A748" t="inlineStr">
        <is>
          <t>BOR100746</t>
        </is>
      </c>
      <c r="B748" t="inlineStr">
        <is>
          <t>Services</t>
        </is>
      </c>
      <c r="C748" t="inlineStr">
        <is>
          <t>Eldoret</t>
        </is>
      </c>
      <c r="D748" s="7" t="n">
        <v>43926</v>
      </c>
      <c r="E748" t="n">
        <v>33</v>
      </c>
      <c r="F748" t="n">
        <v>23100</v>
      </c>
      <c r="G748" t="n">
        <v>22</v>
      </c>
      <c r="H748" t="inlineStr">
        <is>
          <t>Female</t>
        </is>
      </c>
      <c r="I748" t="n">
        <v>555</v>
      </c>
    </row>
    <row r="749">
      <c r="A749" t="inlineStr">
        <is>
          <t>BOR100747</t>
        </is>
      </c>
      <c r="B749" t="inlineStr">
        <is>
          <t>Agriculture</t>
        </is>
      </c>
      <c r="C749" t="inlineStr">
        <is>
          <t>Nairobi</t>
        </is>
      </c>
      <c r="D749" s="7" t="n">
        <v>43557</v>
      </c>
      <c r="E749" t="n">
        <v>131</v>
      </c>
      <c r="F749" t="n">
        <v>89600</v>
      </c>
      <c r="G749" t="n">
        <v>6</v>
      </c>
      <c r="H749" t="inlineStr">
        <is>
          <t>Male</t>
        </is>
      </c>
      <c r="I749" t="n">
        <v>466</v>
      </c>
    </row>
    <row r="750">
      <c r="A750" t="inlineStr">
        <is>
          <t>BOR100748</t>
        </is>
      </c>
      <c r="B750" t="inlineStr">
        <is>
          <t>Agriculture</t>
        </is>
      </c>
      <c r="C750" t="inlineStr">
        <is>
          <t>Eldoret</t>
        </is>
      </c>
      <c r="D750" s="7" t="n">
        <v>42503</v>
      </c>
      <c r="E750" t="n">
        <v>79</v>
      </c>
      <c r="F750" t="n">
        <v>57100</v>
      </c>
      <c r="G750" t="n">
        <v>16</v>
      </c>
      <c r="H750" t="inlineStr">
        <is>
          <t>Male</t>
        </is>
      </c>
      <c r="I750" t="n">
        <v>698</v>
      </c>
    </row>
    <row r="751">
      <c r="A751" t="inlineStr">
        <is>
          <t>BOR100749</t>
        </is>
      </c>
      <c r="B751" t="inlineStr">
        <is>
          <t>Retail &amp; Trade</t>
        </is>
      </c>
      <c r="C751" t="inlineStr">
        <is>
          <t>Kisumu</t>
        </is>
      </c>
      <c r="D751" s="7" t="n">
        <v>46243</v>
      </c>
      <c r="E751" t="n">
        <v>116</v>
      </c>
      <c r="F751" t="n">
        <v>15000</v>
      </c>
      <c r="G751" t="n">
        <v>1</v>
      </c>
      <c r="H751" t="inlineStr">
        <is>
          <t>Female</t>
        </is>
      </c>
      <c r="I751" t="n">
        <v>482</v>
      </c>
    </row>
    <row r="752">
      <c r="A752" t="inlineStr">
        <is>
          <t>BOR100750</t>
        </is>
      </c>
      <c r="B752" t="inlineStr">
        <is>
          <t>Construction</t>
        </is>
      </c>
      <c r="C752" t="inlineStr">
        <is>
          <t>Eldoret</t>
        </is>
      </c>
      <c r="D752" s="7" t="n">
        <v>42101</v>
      </c>
      <c r="E752" t="n">
        <v>93</v>
      </c>
      <c r="F752" t="n">
        <v>50300</v>
      </c>
      <c r="G752" t="n">
        <v>4</v>
      </c>
      <c r="H752" t="inlineStr">
        <is>
          <t>Female</t>
        </is>
      </c>
      <c r="I752" t="n">
        <v>672</v>
      </c>
    </row>
    <row r="753">
      <c r="A753" t="inlineStr">
        <is>
          <t>BOR100751</t>
        </is>
      </c>
      <c r="B753" t="inlineStr">
        <is>
          <t>Retail &amp; Trade</t>
        </is>
      </c>
      <c r="C753" t="inlineStr">
        <is>
          <t>Kisumu</t>
        </is>
      </c>
      <c r="D753" s="7" t="n">
        <v>44372</v>
      </c>
      <c r="E753" t="n">
        <v>40</v>
      </c>
      <c r="F753" t="n">
        <v>38900</v>
      </c>
      <c r="G753" t="n">
        <v>24</v>
      </c>
      <c r="H753" t="inlineStr">
        <is>
          <t>Female</t>
        </is>
      </c>
      <c r="I753" t="n">
        <v>537</v>
      </c>
    </row>
    <row r="754">
      <c r="A754" t="inlineStr">
        <is>
          <t>BOR100752</t>
        </is>
      </c>
      <c r="B754" t="inlineStr">
        <is>
          <t>Retail &amp; Trade</t>
        </is>
      </c>
      <c r="C754" t="inlineStr">
        <is>
          <t>Mombasa</t>
        </is>
      </c>
      <c r="D754" s="7" t="n">
        <v>42068</v>
      </c>
      <c r="E754" t="n">
        <v>88</v>
      </c>
      <c r="F754" t="n">
        <v>220400</v>
      </c>
      <c r="G754" t="n">
        <v>21</v>
      </c>
      <c r="H754" t="inlineStr">
        <is>
          <t>Male</t>
        </is>
      </c>
      <c r="I754" t="n">
        <v>744</v>
      </c>
    </row>
    <row r="755">
      <c r="A755" t="inlineStr">
        <is>
          <t>BOR100753</t>
        </is>
      </c>
      <c r="B755" t="inlineStr">
        <is>
          <t>Construction</t>
        </is>
      </c>
      <c r="C755" t="inlineStr">
        <is>
          <t>Nairobi</t>
        </is>
      </c>
      <c r="D755" s="7" t="n">
        <v>44942</v>
      </c>
      <c r="E755" t="n">
        <v>41</v>
      </c>
      <c r="F755" t="n">
        <v>22200</v>
      </c>
      <c r="G755" t="n">
        <v>6</v>
      </c>
      <c r="H755" t="inlineStr">
        <is>
          <t>Female</t>
        </is>
      </c>
      <c r="I755" t="n">
        <v>667</v>
      </c>
    </row>
    <row r="756">
      <c r="A756" t="inlineStr">
        <is>
          <t>BOR100754</t>
        </is>
      </c>
      <c r="B756" t="inlineStr">
        <is>
          <t>Services</t>
        </is>
      </c>
      <c r="C756" t="inlineStr">
        <is>
          <t>Nairobi</t>
        </is>
      </c>
      <c r="D756" s="7" t="n">
        <v>45843</v>
      </c>
      <c r="E756" t="n">
        <v>19</v>
      </c>
      <c r="F756" t="n">
        <v>26700</v>
      </c>
      <c r="G756" t="n">
        <v>4</v>
      </c>
      <c r="H756" t="inlineStr">
        <is>
          <t>Female</t>
        </is>
      </c>
      <c r="I756" t="n">
        <v>509</v>
      </c>
    </row>
    <row r="757">
      <c r="A757" t="inlineStr">
        <is>
          <t>BOR100755</t>
        </is>
      </c>
      <c r="B757" t="inlineStr">
        <is>
          <t>Manufacturing</t>
        </is>
      </c>
      <c r="C757" t="inlineStr">
        <is>
          <t>Eldoret</t>
        </is>
      </c>
      <c r="D757" s="7" t="n">
        <v>44746</v>
      </c>
      <c r="E757" t="n">
        <v>39</v>
      </c>
      <c r="F757" t="n">
        <v>159100</v>
      </c>
      <c r="G757" t="n">
        <v>20</v>
      </c>
      <c r="H757" t="inlineStr">
        <is>
          <t>Male</t>
        </is>
      </c>
      <c r="I757" t="n">
        <v>517</v>
      </c>
    </row>
    <row r="758">
      <c r="A758" t="inlineStr">
        <is>
          <t>BOR100756</t>
        </is>
      </c>
      <c r="B758" t="inlineStr">
        <is>
          <t>Transport &amp; Logistics</t>
        </is>
      </c>
      <c r="C758" t="inlineStr">
        <is>
          <t>Nairobi</t>
        </is>
      </c>
      <c r="D758" s="7" t="n">
        <v>44587</v>
      </c>
      <c r="E758" t="n">
        <v>42</v>
      </c>
      <c r="F758" t="n">
        <v>189000</v>
      </c>
      <c r="G758" t="n">
        <v>24</v>
      </c>
      <c r="H758" t="inlineStr">
        <is>
          <t>Female</t>
        </is>
      </c>
      <c r="I758" t="n">
        <v>654</v>
      </c>
    </row>
    <row r="759">
      <c r="A759" t="inlineStr">
        <is>
          <t>BOR100757</t>
        </is>
      </c>
      <c r="B759" t="inlineStr">
        <is>
          <t>Manufacturing</t>
        </is>
      </c>
      <c r="C759" t="inlineStr">
        <is>
          <t>Nairobi</t>
        </is>
      </c>
      <c r="D759" s="7" t="n">
        <v>45532</v>
      </c>
      <c r="E759" t="n">
        <v>22</v>
      </c>
      <c r="F759" t="n">
        <v>43400</v>
      </c>
      <c r="G759" t="n">
        <v>5</v>
      </c>
      <c r="H759" t="inlineStr">
        <is>
          <t>Male</t>
        </is>
      </c>
      <c r="I759" t="n">
        <v>576</v>
      </c>
    </row>
    <row r="760">
      <c r="A760" t="inlineStr">
        <is>
          <t>BOR100758</t>
        </is>
      </c>
      <c r="B760" t="inlineStr">
        <is>
          <t>Retail &amp; Trade</t>
        </is>
      </c>
      <c r="C760" t="inlineStr">
        <is>
          <t>Nairobi</t>
        </is>
      </c>
      <c r="D760" s="7" t="n">
        <v>46156</v>
      </c>
      <c r="E760" t="n">
        <v>6</v>
      </c>
      <c r="F760" t="n">
        <v>47000</v>
      </c>
      <c r="G760" t="n">
        <v>16</v>
      </c>
      <c r="H760" t="inlineStr">
        <is>
          <t>Female</t>
        </is>
      </c>
      <c r="I760" t="n">
        <v>585</v>
      </c>
    </row>
    <row r="761">
      <c r="A761" t="inlineStr">
        <is>
          <t>BOR100759</t>
        </is>
      </c>
      <c r="B761" t="inlineStr">
        <is>
          <t>Transport &amp; Logistics</t>
        </is>
      </c>
      <c r="C761" t="inlineStr">
        <is>
          <t>Nairobi</t>
        </is>
      </c>
      <c r="D761" s="7" t="n">
        <v>45677</v>
      </c>
      <c r="E761" t="n">
        <v>137</v>
      </c>
      <c r="F761" t="n">
        <v>112600</v>
      </c>
      <c r="G761" t="n">
        <v>7</v>
      </c>
      <c r="H761" t="inlineStr">
        <is>
          <t>Female</t>
        </is>
      </c>
      <c r="I761" t="n">
        <v>715</v>
      </c>
    </row>
    <row r="762">
      <c r="A762" t="inlineStr">
        <is>
          <t>BOR100760</t>
        </is>
      </c>
      <c r="B762" t="inlineStr">
        <is>
          <t>Agriculture</t>
        </is>
      </c>
      <c r="C762" t="inlineStr">
        <is>
          <t>Rural - Other</t>
        </is>
      </c>
      <c r="D762" s="7" t="n">
        <v>42991</v>
      </c>
      <c r="E762" t="n">
        <v>75</v>
      </c>
      <c r="F762" t="n">
        <v>15000</v>
      </c>
      <c r="G762" t="n">
        <v>18</v>
      </c>
      <c r="H762" t="inlineStr">
        <is>
          <t>Female</t>
        </is>
      </c>
      <c r="I762" t="n">
        <v>533</v>
      </c>
    </row>
    <row r="763">
      <c r="A763" t="inlineStr">
        <is>
          <t>BOR100761</t>
        </is>
      </c>
      <c r="B763" t="inlineStr">
        <is>
          <t>Services</t>
        </is>
      </c>
      <c r="C763" t="inlineStr">
        <is>
          <t>Mombasa</t>
        </is>
      </c>
      <c r="D763" s="7" t="n">
        <v>44405</v>
      </c>
      <c r="E763" t="n">
        <v>60</v>
      </c>
      <c r="F763" t="n">
        <v>19900</v>
      </c>
      <c r="G763" t="n">
        <v>11</v>
      </c>
      <c r="H763" t="inlineStr">
        <is>
          <t>Female</t>
        </is>
      </c>
      <c r="I763" t="n">
        <v>608</v>
      </c>
    </row>
    <row r="764">
      <c r="A764" t="inlineStr">
        <is>
          <t>BOR100762</t>
        </is>
      </c>
      <c r="B764" t="inlineStr">
        <is>
          <t>Construction</t>
        </is>
      </c>
      <c r="C764" t="inlineStr">
        <is>
          <t>Rural - Other</t>
        </is>
      </c>
      <c r="D764" s="7" t="n">
        <v>45493</v>
      </c>
      <c r="E764" t="n">
        <v>135</v>
      </c>
      <c r="F764" t="n">
        <v>60100</v>
      </c>
      <c r="G764" t="n">
        <v>4</v>
      </c>
      <c r="H764" t="inlineStr">
        <is>
          <t>Female</t>
        </is>
      </c>
      <c r="I764" t="n">
        <v>686</v>
      </c>
    </row>
    <row r="765">
      <c r="A765" t="inlineStr">
        <is>
          <t>BOR100763</t>
        </is>
      </c>
      <c r="B765" t="inlineStr">
        <is>
          <t>Construction</t>
        </is>
      </c>
      <c r="C765" t="inlineStr">
        <is>
          <t>Nairobi</t>
        </is>
      </c>
      <c r="D765" s="7" t="n">
        <v>43260</v>
      </c>
      <c r="E765" t="n">
        <v>34</v>
      </c>
      <c r="F765" t="n">
        <v>216400</v>
      </c>
      <c r="G765" t="n">
        <v>8</v>
      </c>
      <c r="H765" t="inlineStr">
        <is>
          <t>Male</t>
        </is>
      </c>
      <c r="I765" t="n">
        <v>673</v>
      </c>
    </row>
    <row r="766">
      <c r="A766" t="inlineStr">
        <is>
          <t>BOR100764</t>
        </is>
      </c>
      <c r="B766" t="inlineStr">
        <is>
          <t>Manufacturing</t>
        </is>
      </c>
      <c r="C766" t="inlineStr">
        <is>
          <t>Nakuru</t>
        </is>
      </c>
      <c r="D766" s="7" t="n">
        <v>44882</v>
      </c>
      <c r="E766" t="n">
        <v>60</v>
      </c>
      <c r="F766" t="n">
        <v>53900</v>
      </c>
      <c r="G766" t="n">
        <v>13</v>
      </c>
      <c r="H766" t="inlineStr">
        <is>
          <t>Female</t>
        </is>
      </c>
      <c r="I766" t="n">
        <v>586</v>
      </c>
    </row>
    <row r="767">
      <c r="A767" t="inlineStr">
        <is>
          <t>BOR100765</t>
        </is>
      </c>
      <c r="B767" t="inlineStr">
        <is>
          <t>Transport &amp; Logistics</t>
        </is>
      </c>
      <c r="C767" t="inlineStr">
        <is>
          <t>Kisumu</t>
        </is>
      </c>
      <c r="D767" s="7" t="n">
        <v>42102</v>
      </c>
      <c r="E767" t="n">
        <v>123</v>
      </c>
      <c r="F767" t="n">
        <v>78500</v>
      </c>
      <c r="G767" t="n">
        <v>20</v>
      </c>
      <c r="H767" t="inlineStr">
        <is>
          <t>Female</t>
        </is>
      </c>
      <c r="I767" t="n">
        <v>574</v>
      </c>
    </row>
    <row r="768">
      <c r="A768" t="inlineStr">
        <is>
          <t>BOR100766</t>
        </is>
      </c>
      <c r="B768" t="inlineStr">
        <is>
          <t>Services</t>
        </is>
      </c>
      <c r="C768" t="inlineStr">
        <is>
          <t>Mombasa</t>
        </is>
      </c>
      <c r="D768" s="7" t="n">
        <v>45743</v>
      </c>
      <c r="E768" t="n">
        <v>92</v>
      </c>
      <c r="F768" t="n">
        <v>161700</v>
      </c>
      <c r="G768" t="n">
        <v>1</v>
      </c>
      <c r="H768" t="inlineStr">
        <is>
          <t>Female</t>
        </is>
      </c>
      <c r="I768" t="n">
        <v>444</v>
      </c>
    </row>
    <row r="769">
      <c r="A769" t="inlineStr">
        <is>
          <t>BOR100767</t>
        </is>
      </c>
      <c r="B769" t="inlineStr">
        <is>
          <t>Manufacturing</t>
        </is>
      </c>
      <c r="C769" t="inlineStr">
        <is>
          <t>Rural - Other</t>
        </is>
      </c>
      <c r="D769" s="7" t="n">
        <v>44622</v>
      </c>
      <c r="E769" t="n">
        <v>59</v>
      </c>
      <c r="F769" t="n">
        <v>319600</v>
      </c>
      <c r="G769" t="n">
        <v>23</v>
      </c>
      <c r="H769" t="inlineStr">
        <is>
          <t>Female</t>
        </is>
      </c>
      <c r="I769" t="n">
        <v>505</v>
      </c>
    </row>
    <row r="770">
      <c r="A770" t="inlineStr">
        <is>
          <t>BOR100768</t>
        </is>
      </c>
      <c r="B770" t="inlineStr">
        <is>
          <t>Retail &amp; Trade</t>
        </is>
      </c>
      <c r="C770" t="inlineStr">
        <is>
          <t>Rural - Other</t>
        </is>
      </c>
      <c r="D770" s="7" t="n">
        <v>45171</v>
      </c>
      <c r="E770" t="n">
        <v>39</v>
      </c>
      <c r="F770" t="n">
        <v>48800</v>
      </c>
      <c r="G770" t="n">
        <v>16</v>
      </c>
      <c r="H770" t="inlineStr">
        <is>
          <t>Male</t>
        </is>
      </c>
      <c r="I770" t="n">
        <v>629</v>
      </c>
    </row>
    <row r="771">
      <c r="A771" t="inlineStr">
        <is>
          <t>BOR100769</t>
        </is>
      </c>
      <c r="B771" t="inlineStr">
        <is>
          <t>Manufacturing</t>
        </is>
      </c>
      <c r="C771" t="inlineStr">
        <is>
          <t>Rural - Other</t>
        </is>
      </c>
      <c r="D771" s="7" t="n">
        <v>45522</v>
      </c>
      <c r="E771" t="n">
        <v>7</v>
      </c>
      <c r="F771" t="n">
        <v>72300</v>
      </c>
      <c r="G771" t="n">
        <v>22</v>
      </c>
      <c r="H771" t="inlineStr">
        <is>
          <t>Female</t>
        </is>
      </c>
      <c r="I771" t="n">
        <v>588</v>
      </c>
    </row>
    <row r="772">
      <c r="A772" t="inlineStr">
        <is>
          <t>BOR100770</t>
        </is>
      </c>
      <c r="B772" t="inlineStr">
        <is>
          <t>Services</t>
        </is>
      </c>
      <c r="C772" t="inlineStr">
        <is>
          <t>Nairobi</t>
        </is>
      </c>
      <c r="D772" s="7" t="n">
        <v>42937</v>
      </c>
      <c r="E772" t="n">
        <v>15</v>
      </c>
      <c r="F772" t="n">
        <v>261800</v>
      </c>
      <c r="G772" t="n">
        <v>23</v>
      </c>
      <c r="H772" t="inlineStr">
        <is>
          <t>Male</t>
        </is>
      </c>
      <c r="I772" t="n">
        <v>607</v>
      </c>
    </row>
    <row r="773">
      <c r="A773" t="inlineStr">
        <is>
          <t>BOR100771</t>
        </is>
      </c>
      <c r="B773" t="inlineStr">
        <is>
          <t>Construction</t>
        </is>
      </c>
      <c r="C773" t="inlineStr">
        <is>
          <t>Nairobi</t>
        </is>
      </c>
      <c r="D773" s="7" t="n">
        <v>43924</v>
      </c>
      <c r="E773" t="n">
        <v>25</v>
      </c>
      <c r="F773" t="n">
        <v>25200</v>
      </c>
      <c r="G773" t="n">
        <v>4</v>
      </c>
      <c r="H773" t="inlineStr">
        <is>
          <t>Female</t>
        </is>
      </c>
      <c r="I773" t="n">
        <v>694</v>
      </c>
    </row>
    <row r="774">
      <c r="A774" t="inlineStr">
        <is>
          <t>BOR100772</t>
        </is>
      </c>
      <c r="B774" t="inlineStr">
        <is>
          <t>Retail &amp; Trade</t>
        </is>
      </c>
      <c r="C774" t="inlineStr">
        <is>
          <t>Nakuru</t>
        </is>
      </c>
      <c r="D774" s="7" t="n">
        <v>45663</v>
      </c>
      <c r="E774" t="n">
        <v>114</v>
      </c>
      <c r="F774" t="n">
        <v>150100</v>
      </c>
      <c r="G774" t="n">
        <v>3</v>
      </c>
      <c r="H774" t="inlineStr">
        <is>
          <t>Female</t>
        </is>
      </c>
      <c r="I774" t="n">
        <v>493</v>
      </c>
    </row>
    <row r="775">
      <c r="A775" t="inlineStr">
        <is>
          <t>BOR100773</t>
        </is>
      </c>
      <c r="B775" t="inlineStr">
        <is>
          <t>Transport &amp; Logistics</t>
        </is>
      </c>
      <c r="C775" t="inlineStr">
        <is>
          <t>Mombasa</t>
        </is>
      </c>
      <c r="D775" s="7" t="n">
        <v>42706</v>
      </c>
      <c r="E775" t="n">
        <v>93</v>
      </c>
      <c r="F775" t="n">
        <v>35900</v>
      </c>
      <c r="G775" t="n">
        <v>19</v>
      </c>
      <c r="H775" t="inlineStr">
        <is>
          <t>Female</t>
        </is>
      </c>
      <c r="I775" t="n">
        <v>579</v>
      </c>
    </row>
    <row r="776">
      <c r="A776" t="inlineStr">
        <is>
          <t>BOR100774</t>
        </is>
      </c>
      <c r="B776" t="inlineStr">
        <is>
          <t>Construction</t>
        </is>
      </c>
      <c r="C776" t="inlineStr">
        <is>
          <t>Eldoret</t>
        </is>
      </c>
      <c r="D776" s="7" t="n">
        <v>45509</v>
      </c>
      <c r="E776" t="n">
        <v>64</v>
      </c>
      <c r="F776" t="n">
        <v>78600</v>
      </c>
      <c r="G776" t="n">
        <v>5</v>
      </c>
      <c r="H776" t="inlineStr">
        <is>
          <t>Female</t>
        </is>
      </c>
      <c r="I776" t="n">
        <v>617</v>
      </c>
    </row>
    <row r="777">
      <c r="A777" t="inlineStr">
        <is>
          <t>BOR100775</t>
        </is>
      </c>
      <c r="B777" t="inlineStr">
        <is>
          <t>Construction</t>
        </is>
      </c>
      <c r="C777" t="inlineStr">
        <is>
          <t>Nakuru</t>
        </is>
      </c>
      <c r="D777" s="7" t="n">
        <v>43232</v>
      </c>
      <c r="E777" t="n">
        <v>114</v>
      </c>
      <c r="F777" t="n">
        <v>61700</v>
      </c>
      <c r="G777" t="n">
        <v>4</v>
      </c>
      <c r="H777" t="inlineStr">
        <is>
          <t>Male</t>
        </is>
      </c>
      <c r="I777" t="n">
        <v>537</v>
      </c>
    </row>
    <row r="778">
      <c r="A778" t="inlineStr">
        <is>
          <t>BOR100776</t>
        </is>
      </c>
      <c r="B778" t="inlineStr">
        <is>
          <t>Manufacturing</t>
        </is>
      </c>
      <c r="C778" t="inlineStr">
        <is>
          <t>Nakuru</t>
        </is>
      </c>
      <c r="D778" s="7" t="n">
        <v>44457</v>
      </c>
      <c r="E778" t="n">
        <v>25</v>
      </c>
      <c r="F778" t="n">
        <v>37400</v>
      </c>
      <c r="G778" t="n">
        <v>12</v>
      </c>
      <c r="H778" t="inlineStr">
        <is>
          <t>Female</t>
        </is>
      </c>
      <c r="I778" t="n">
        <v>729</v>
      </c>
    </row>
    <row r="779">
      <c r="A779" t="inlineStr">
        <is>
          <t>BOR100777</t>
        </is>
      </c>
      <c r="B779" t="inlineStr">
        <is>
          <t>Retail &amp; Trade</t>
        </is>
      </c>
      <c r="C779" t="inlineStr">
        <is>
          <t>Rural - Other</t>
        </is>
      </c>
      <c r="D779" s="7" t="n">
        <v>44178</v>
      </c>
      <c r="E779" t="n">
        <v>32</v>
      </c>
      <c r="F779" t="n">
        <v>36700</v>
      </c>
      <c r="G779" t="n">
        <v>22</v>
      </c>
      <c r="H779" t="inlineStr">
        <is>
          <t>Female</t>
        </is>
      </c>
      <c r="I779" t="n">
        <v>682</v>
      </c>
    </row>
    <row r="780">
      <c r="A780" t="inlineStr">
        <is>
          <t>BOR100778</t>
        </is>
      </c>
      <c r="B780" t="inlineStr">
        <is>
          <t>Agriculture</t>
        </is>
      </c>
      <c r="C780" t="inlineStr">
        <is>
          <t>Eldoret</t>
        </is>
      </c>
      <c r="D780" s="7" t="n">
        <v>44930</v>
      </c>
      <c r="E780" t="n">
        <v>58</v>
      </c>
      <c r="F780" t="n">
        <v>88700</v>
      </c>
      <c r="G780" t="n">
        <v>20</v>
      </c>
      <c r="H780" t="inlineStr">
        <is>
          <t>Male</t>
        </is>
      </c>
      <c r="I780" t="n">
        <v>626</v>
      </c>
    </row>
    <row r="781">
      <c r="A781" t="inlineStr">
        <is>
          <t>BOR100779</t>
        </is>
      </c>
      <c r="B781" t="inlineStr">
        <is>
          <t>Construction</t>
        </is>
      </c>
      <c r="C781" t="inlineStr">
        <is>
          <t>Nairobi</t>
        </is>
      </c>
      <c r="D781" s="7" t="n">
        <v>45570</v>
      </c>
      <c r="E781" t="n">
        <v>133</v>
      </c>
      <c r="F781" t="n">
        <v>146800</v>
      </c>
      <c r="G781" t="n">
        <v>13</v>
      </c>
      <c r="H781" t="inlineStr">
        <is>
          <t>Male</t>
        </is>
      </c>
      <c r="I781" t="n">
        <v>761</v>
      </c>
    </row>
    <row r="782">
      <c r="A782" t="inlineStr">
        <is>
          <t>BOR100780</t>
        </is>
      </c>
      <c r="B782" t="inlineStr">
        <is>
          <t>Construction</t>
        </is>
      </c>
      <c r="C782" t="inlineStr">
        <is>
          <t>Nairobi</t>
        </is>
      </c>
      <c r="D782" s="7" t="n">
        <v>43491</v>
      </c>
      <c r="E782" t="n">
        <v>90</v>
      </c>
      <c r="F782" t="n">
        <v>66800</v>
      </c>
      <c r="G782" t="n">
        <v>5</v>
      </c>
      <c r="H782" t="inlineStr">
        <is>
          <t>Male</t>
        </is>
      </c>
      <c r="I782" t="n">
        <v>465</v>
      </c>
    </row>
    <row r="783">
      <c r="A783" t="inlineStr">
        <is>
          <t>BOR100781</t>
        </is>
      </c>
      <c r="B783" t="inlineStr">
        <is>
          <t>Services</t>
        </is>
      </c>
      <c r="C783" t="inlineStr">
        <is>
          <t>Nakuru</t>
        </is>
      </c>
      <c r="D783" s="7" t="n">
        <v>42736</v>
      </c>
      <c r="E783" t="n">
        <v>123</v>
      </c>
      <c r="F783" t="n">
        <v>76800</v>
      </c>
      <c r="G783" t="n">
        <v>9</v>
      </c>
      <c r="H783" t="inlineStr">
        <is>
          <t>Male</t>
        </is>
      </c>
      <c r="I783" t="n">
        <v>599</v>
      </c>
    </row>
    <row r="784">
      <c r="A784" t="inlineStr">
        <is>
          <t>BOR100782</t>
        </is>
      </c>
      <c r="B784" t="inlineStr">
        <is>
          <t>Retail &amp; Trade</t>
        </is>
      </c>
      <c r="C784" t="inlineStr">
        <is>
          <t>Kisumu</t>
        </is>
      </c>
      <c r="D784" s="7" t="n">
        <v>43806</v>
      </c>
      <c r="E784" t="n">
        <v>38</v>
      </c>
      <c r="F784" t="n">
        <v>109100</v>
      </c>
      <c r="G784" t="n">
        <v>17</v>
      </c>
      <c r="H784" t="inlineStr">
        <is>
          <t>Male</t>
        </is>
      </c>
      <c r="I784" t="n">
        <v>633</v>
      </c>
    </row>
    <row r="785">
      <c r="A785" t="inlineStr">
        <is>
          <t>BOR100783</t>
        </is>
      </c>
      <c r="B785" t="inlineStr">
        <is>
          <t>Retail &amp; Trade</t>
        </is>
      </c>
      <c r="C785" t="inlineStr">
        <is>
          <t>Nairobi</t>
        </is>
      </c>
      <c r="D785" s="7" t="n">
        <v>44613</v>
      </c>
      <c r="E785" t="n">
        <v>123</v>
      </c>
      <c r="F785" t="n">
        <v>37000</v>
      </c>
      <c r="G785" t="n">
        <v>4</v>
      </c>
      <c r="H785" t="inlineStr">
        <is>
          <t>Male</t>
        </is>
      </c>
      <c r="I785" t="n">
        <v>518</v>
      </c>
    </row>
    <row r="786">
      <c r="A786" t="inlineStr">
        <is>
          <t>BOR100784</t>
        </is>
      </c>
      <c r="B786" t="inlineStr">
        <is>
          <t>Manufacturing</t>
        </is>
      </c>
      <c r="C786" t="inlineStr">
        <is>
          <t>Mombasa</t>
        </is>
      </c>
      <c r="D786" s="7" t="n">
        <v>45202</v>
      </c>
      <c r="E786" t="n">
        <v>13</v>
      </c>
      <c r="F786" t="n">
        <v>122700</v>
      </c>
      <c r="G786" t="n">
        <v>13</v>
      </c>
      <c r="H786" t="inlineStr">
        <is>
          <t>Male</t>
        </is>
      </c>
      <c r="I786" t="n">
        <v>627</v>
      </c>
    </row>
    <row r="787">
      <c r="A787" t="inlineStr">
        <is>
          <t>BOR100785</t>
        </is>
      </c>
      <c r="B787" t="inlineStr">
        <is>
          <t>Services</t>
        </is>
      </c>
      <c r="C787" t="inlineStr">
        <is>
          <t>Eldoret</t>
        </is>
      </c>
      <c r="D787" s="7" t="n">
        <v>45215</v>
      </c>
      <c r="E787" t="n">
        <v>35</v>
      </c>
      <c r="F787" t="n">
        <v>129800</v>
      </c>
      <c r="G787" t="n">
        <v>1</v>
      </c>
      <c r="H787" t="inlineStr">
        <is>
          <t>Female</t>
        </is>
      </c>
      <c r="I787" t="n">
        <v>500</v>
      </c>
    </row>
    <row r="788">
      <c r="A788" t="inlineStr">
        <is>
          <t>BOR100786</t>
        </is>
      </c>
      <c r="B788" t="inlineStr">
        <is>
          <t>Retail &amp; Trade</t>
        </is>
      </c>
      <c r="C788" t="inlineStr">
        <is>
          <t>Rural - Other</t>
        </is>
      </c>
      <c r="D788" s="7" t="n">
        <v>43453</v>
      </c>
      <c r="E788" t="n">
        <v>77</v>
      </c>
      <c r="F788" t="n">
        <v>452500</v>
      </c>
      <c r="G788" t="n">
        <v>8</v>
      </c>
      <c r="H788" t="inlineStr">
        <is>
          <t>Male</t>
        </is>
      </c>
      <c r="I788" t="n">
        <v>662</v>
      </c>
    </row>
    <row r="789">
      <c r="A789" t="inlineStr">
        <is>
          <t>BOR100787</t>
        </is>
      </c>
      <c r="B789" t="inlineStr">
        <is>
          <t>Transport &amp; Logistics</t>
        </is>
      </c>
      <c r="C789" t="inlineStr">
        <is>
          <t>Nakuru</t>
        </is>
      </c>
      <c r="D789" s="7" t="n">
        <v>45993</v>
      </c>
      <c r="E789" t="n">
        <v>10</v>
      </c>
      <c r="F789" t="n">
        <v>56200</v>
      </c>
      <c r="G789" t="n">
        <v>6</v>
      </c>
      <c r="H789" t="inlineStr">
        <is>
          <t>Female</t>
        </is>
      </c>
      <c r="I789" t="n">
        <v>695</v>
      </c>
    </row>
    <row r="790">
      <c r="A790" t="inlineStr">
        <is>
          <t>BOR100788</t>
        </is>
      </c>
      <c r="B790" t="inlineStr">
        <is>
          <t>Services</t>
        </is>
      </c>
      <c r="C790" t="inlineStr">
        <is>
          <t>Mombasa</t>
        </is>
      </c>
      <c r="D790" s="7" t="n">
        <v>42359</v>
      </c>
      <c r="E790" t="n">
        <v>124</v>
      </c>
      <c r="F790" t="n">
        <v>53100</v>
      </c>
      <c r="G790" t="n">
        <v>17</v>
      </c>
      <c r="H790" t="inlineStr">
        <is>
          <t>Male</t>
        </is>
      </c>
      <c r="I790" t="n">
        <v>625</v>
      </c>
    </row>
    <row r="791">
      <c r="A791" t="inlineStr">
        <is>
          <t>BOR100789</t>
        </is>
      </c>
      <c r="B791" t="inlineStr">
        <is>
          <t>Retail &amp; Trade</t>
        </is>
      </c>
      <c r="C791" t="inlineStr">
        <is>
          <t>Nairobi</t>
        </is>
      </c>
      <c r="D791" s="7" t="n">
        <v>42502</v>
      </c>
      <c r="E791" t="n">
        <v>126</v>
      </c>
      <c r="F791" t="n">
        <v>125300</v>
      </c>
      <c r="G791" t="n">
        <v>22</v>
      </c>
      <c r="H791" t="inlineStr">
        <is>
          <t>Male</t>
        </is>
      </c>
      <c r="I791" t="n">
        <v>433</v>
      </c>
    </row>
    <row r="792">
      <c r="A792" t="inlineStr">
        <is>
          <t>BOR100790</t>
        </is>
      </c>
      <c r="B792" t="inlineStr">
        <is>
          <t>Retail &amp; Trade</t>
        </is>
      </c>
      <c r="C792" t="inlineStr">
        <is>
          <t>Kisumu</t>
        </is>
      </c>
      <c r="D792" s="7" t="n">
        <v>42110</v>
      </c>
      <c r="E792" t="n">
        <v>79</v>
      </c>
      <c r="F792" t="n">
        <v>129800</v>
      </c>
      <c r="G792" t="n">
        <v>4</v>
      </c>
      <c r="H792" t="inlineStr">
        <is>
          <t>Female</t>
        </is>
      </c>
      <c r="I792" t="n">
        <v>513</v>
      </c>
    </row>
    <row r="793">
      <c r="A793" t="inlineStr">
        <is>
          <t>BOR100791</t>
        </is>
      </c>
      <c r="B793" t="inlineStr">
        <is>
          <t>Manufacturing</t>
        </is>
      </c>
      <c r="C793" t="inlineStr">
        <is>
          <t>Mombasa</t>
        </is>
      </c>
      <c r="D793" s="7" t="n">
        <v>45952</v>
      </c>
      <c r="E793" t="n">
        <v>46</v>
      </c>
      <c r="F793" t="n">
        <v>50300</v>
      </c>
      <c r="G793" t="n">
        <v>20</v>
      </c>
      <c r="H793" t="inlineStr">
        <is>
          <t>Male</t>
        </is>
      </c>
      <c r="I793" t="n">
        <v>651</v>
      </c>
    </row>
    <row r="794">
      <c r="A794" t="inlineStr">
        <is>
          <t>BOR100792</t>
        </is>
      </c>
      <c r="B794" t="inlineStr">
        <is>
          <t>Transport &amp; Logistics</t>
        </is>
      </c>
      <c r="C794" t="inlineStr">
        <is>
          <t>Nakuru</t>
        </is>
      </c>
      <c r="D794" s="7" t="n">
        <v>42772</v>
      </c>
      <c r="E794" t="n">
        <v>17</v>
      </c>
      <c r="F794" t="n">
        <v>55100</v>
      </c>
      <c r="G794" t="n">
        <v>16</v>
      </c>
      <c r="H794" t="inlineStr">
        <is>
          <t>Male</t>
        </is>
      </c>
      <c r="I794" t="n">
        <v>602</v>
      </c>
    </row>
    <row r="795">
      <c r="A795" t="inlineStr">
        <is>
          <t>BOR100793</t>
        </is>
      </c>
      <c r="B795" t="inlineStr">
        <is>
          <t>Transport &amp; Logistics</t>
        </is>
      </c>
      <c r="C795" t="inlineStr">
        <is>
          <t>Eldoret</t>
        </is>
      </c>
      <c r="D795" s="7" t="n">
        <v>44567</v>
      </c>
      <c r="E795" t="n">
        <v>90</v>
      </c>
      <c r="F795" t="n">
        <v>106800</v>
      </c>
      <c r="G795" t="n">
        <v>24</v>
      </c>
      <c r="H795" t="inlineStr">
        <is>
          <t>Female</t>
        </is>
      </c>
      <c r="I795" t="n">
        <v>358</v>
      </c>
    </row>
    <row r="796">
      <c r="A796" t="inlineStr">
        <is>
          <t>BOR100794</t>
        </is>
      </c>
      <c r="B796" t="inlineStr">
        <is>
          <t>Manufacturing</t>
        </is>
      </c>
      <c r="C796" t="inlineStr">
        <is>
          <t>Nairobi</t>
        </is>
      </c>
      <c r="D796" s="7" t="n">
        <v>45468</v>
      </c>
      <c r="E796" t="n">
        <v>79</v>
      </c>
      <c r="F796" t="n">
        <v>41000</v>
      </c>
      <c r="G796" t="n">
        <v>22</v>
      </c>
      <c r="H796" t="inlineStr">
        <is>
          <t>Male</t>
        </is>
      </c>
      <c r="I796" t="n">
        <v>712</v>
      </c>
    </row>
    <row r="797">
      <c r="A797" t="inlineStr">
        <is>
          <t>BOR100795</t>
        </is>
      </c>
      <c r="B797" t="inlineStr">
        <is>
          <t>Agriculture</t>
        </is>
      </c>
      <c r="C797" t="inlineStr">
        <is>
          <t>Nairobi</t>
        </is>
      </c>
      <c r="D797" s="7" t="n">
        <v>45271</v>
      </c>
      <c r="E797" t="n">
        <v>110</v>
      </c>
      <c r="F797" t="n">
        <v>54900</v>
      </c>
      <c r="G797" t="n">
        <v>3</v>
      </c>
      <c r="H797" t="inlineStr">
        <is>
          <t>Male</t>
        </is>
      </c>
      <c r="I797" t="n">
        <v>612</v>
      </c>
    </row>
    <row r="798">
      <c r="A798" t="inlineStr">
        <is>
          <t>BOR100796</t>
        </is>
      </c>
      <c r="B798" t="inlineStr">
        <is>
          <t>Construction</t>
        </is>
      </c>
      <c r="C798" t="inlineStr">
        <is>
          <t>Nairobi</t>
        </is>
      </c>
      <c r="D798" s="7" t="n">
        <v>46048</v>
      </c>
      <c r="E798" t="n">
        <v>88</v>
      </c>
      <c r="F798" t="n">
        <v>77900</v>
      </c>
      <c r="G798" t="n">
        <v>18</v>
      </c>
      <c r="H798" t="inlineStr">
        <is>
          <t>Male</t>
        </is>
      </c>
      <c r="I798" t="n">
        <v>526</v>
      </c>
    </row>
    <row r="799">
      <c r="A799" t="inlineStr">
        <is>
          <t>BOR100797</t>
        </is>
      </c>
      <c r="B799" t="inlineStr">
        <is>
          <t>Manufacturing</t>
        </is>
      </c>
      <c r="C799" t="inlineStr">
        <is>
          <t>Rural - Other</t>
        </is>
      </c>
      <c r="D799" s="7" t="n">
        <v>42234</v>
      </c>
      <c r="E799" t="n">
        <v>21</v>
      </c>
      <c r="F799" t="n">
        <v>146800</v>
      </c>
      <c r="G799" t="n">
        <v>15</v>
      </c>
      <c r="H799" t="inlineStr">
        <is>
          <t>Female</t>
        </is>
      </c>
      <c r="I799" t="n">
        <v>690</v>
      </c>
    </row>
    <row r="800">
      <c r="A800" t="inlineStr">
        <is>
          <t>BOR100798</t>
        </is>
      </c>
      <c r="B800" t="inlineStr">
        <is>
          <t>Agriculture</t>
        </is>
      </c>
      <c r="C800" t="inlineStr">
        <is>
          <t>Nakuru</t>
        </is>
      </c>
      <c r="D800" s="7" t="n">
        <v>43739</v>
      </c>
      <c r="E800" t="n">
        <v>20</v>
      </c>
      <c r="F800" t="n">
        <v>47900</v>
      </c>
      <c r="G800" t="n">
        <v>3</v>
      </c>
      <c r="H800" t="inlineStr">
        <is>
          <t>Female</t>
        </is>
      </c>
      <c r="I800" t="n">
        <v>539</v>
      </c>
    </row>
    <row r="801">
      <c r="A801" t="inlineStr">
        <is>
          <t>BOR100799</t>
        </is>
      </c>
      <c r="B801" t="inlineStr">
        <is>
          <t>Manufacturing</t>
        </is>
      </c>
      <c r="C801" t="inlineStr">
        <is>
          <t>Nairobi</t>
        </is>
      </c>
      <c r="D801" s="7" t="n">
        <v>44161</v>
      </c>
      <c r="E801" t="n">
        <v>113</v>
      </c>
      <c r="F801" t="n">
        <v>20100</v>
      </c>
      <c r="G801" t="n">
        <v>7</v>
      </c>
      <c r="H801" t="inlineStr">
        <is>
          <t>Male</t>
        </is>
      </c>
      <c r="I801" t="n">
        <v>538</v>
      </c>
    </row>
    <row r="802">
      <c r="A802" t="inlineStr">
        <is>
          <t>BOR100800</t>
        </is>
      </c>
      <c r="B802" t="inlineStr">
        <is>
          <t>Retail &amp; Trade</t>
        </is>
      </c>
      <c r="C802" t="inlineStr">
        <is>
          <t>Rural - Other</t>
        </is>
      </c>
      <c r="D802" s="7" t="n">
        <v>44971</v>
      </c>
      <c r="E802" t="n">
        <v>25</v>
      </c>
      <c r="F802" t="n">
        <v>19100</v>
      </c>
      <c r="G802" t="n">
        <v>23</v>
      </c>
      <c r="H802" t="inlineStr">
        <is>
          <t>Female</t>
        </is>
      </c>
      <c r="I802" t="n">
        <v>632</v>
      </c>
    </row>
    <row r="803">
      <c r="A803" t="inlineStr">
        <is>
          <t>BOR100801</t>
        </is>
      </c>
      <c r="B803" t="inlineStr">
        <is>
          <t>Agriculture</t>
        </is>
      </c>
      <c r="C803" t="inlineStr">
        <is>
          <t>Kisumu</t>
        </is>
      </c>
      <c r="D803" s="7" t="n">
        <v>44658</v>
      </c>
      <c r="E803" t="n">
        <v>136</v>
      </c>
      <c r="F803" t="n">
        <v>30300</v>
      </c>
      <c r="G803" t="n">
        <v>14</v>
      </c>
      <c r="H803" t="inlineStr">
        <is>
          <t>Female</t>
        </is>
      </c>
      <c r="I803" t="n">
        <v>760</v>
      </c>
    </row>
    <row r="804">
      <c r="A804" t="inlineStr">
        <is>
          <t>BOR100802</t>
        </is>
      </c>
      <c r="B804" t="inlineStr">
        <is>
          <t>Services</t>
        </is>
      </c>
      <c r="C804" t="inlineStr">
        <is>
          <t>Kisumu</t>
        </is>
      </c>
      <c r="D804" s="7" t="n">
        <v>44390</v>
      </c>
      <c r="E804" t="n">
        <v>18</v>
      </c>
      <c r="F804" t="n">
        <v>29200</v>
      </c>
      <c r="G804" t="n">
        <v>9</v>
      </c>
      <c r="H804" t="inlineStr">
        <is>
          <t>Female</t>
        </is>
      </c>
      <c r="I804" t="n">
        <v>746</v>
      </c>
    </row>
    <row r="805">
      <c r="A805" t="inlineStr">
        <is>
          <t>BOR100803</t>
        </is>
      </c>
      <c r="B805" t="inlineStr">
        <is>
          <t>Construction</t>
        </is>
      </c>
      <c r="C805" t="inlineStr">
        <is>
          <t>Rural - Other</t>
        </is>
      </c>
      <c r="D805" s="7" t="n">
        <v>43312</v>
      </c>
      <c r="E805" t="n">
        <v>106</v>
      </c>
      <c r="F805" t="n">
        <v>65600</v>
      </c>
      <c r="G805" t="n">
        <v>8</v>
      </c>
      <c r="H805" t="inlineStr">
        <is>
          <t>Female</t>
        </is>
      </c>
      <c r="I805" t="n">
        <v>632</v>
      </c>
    </row>
    <row r="806">
      <c r="A806" t="inlineStr">
        <is>
          <t>BOR100804</t>
        </is>
      </c>
      <c r="B806" t="inlineStr">
        <is>
          <t>Transport &amp; Logistics</t>
        </is>
      </c>
      <c r="C806" t="inlineStr">
        <is>
          <t>Nairobi</t>
        </is>
      </c>
      <c r="D806" s="7" t="n">
        <v>42458</v>
      </c>
      <c r="E806" t="n">
        <v>141</v>
      </c>
      <c r="F806" t="n">
        <v>31800</v>
      </c>
      <c r="G806" t="n">
        <v>21</v>
      </c>
      <c r="H806" t="inlineStr">
        <is>
          <t>Male</t>
        </is>
      </c>
      <c r="I806" t="n">
        <v>642</v>
      </c>
    </row>
    <row r="807">
      <c r="A807" t="inlineStr">
        <is>
          <t>BOR100805</t>
        </is>
      </c>
      <c r="B807" t="inlineStr">
        <is>
          <t>Transport &amp; Logistics</t>
        </is>
      </c>
      <c r="C807" t="inlineStr">
        <is>
          <t>Nairobi</t>
        </is>
      </c>
      <c r="D807" s="7" t="n">
        <v>43844</v>
      </c>
      <c r="E807" t="n">
        <v>65</v>
      </c>
      <c r="F807" t="n">
        <v>44700</v>
      </c>
      <c r="G807" t="n">
        <v>7</v>
      </c>
      <c r="H807" t="inlineStr">
        <is>
          <t>Male</t>
        </is>
      </c>
      <c r="I807" t="n">
        <v>671</v>
      </c>
    </row>
    <row r="808">
      <c r="A808" t="inlineStr">
        <is>
          <t>BOR100806</t>
        </is>
      </c>
      <c r="B808" t="inlineStr">
        <is>
          <t>Services</t>
        </is>
      </c>
      <c r="C808" t="inlineStr">
        <is>
          <t>Nakuru</t>
        </is>
      </c>
      <c r="D808" s="7" t="n">
        <v>43111</v>
      </c>
      <c r="E808" t="n">
        <v>11</v>
      </c>
      <c r="F808" t="n">
        <v>42500</v>
      </c>
      <c r="G808" t="n">
        <v>4</v>
      </c>
      <c r="H808" t="inlineStr">
        <is>
          <t>Male</t>
        </is>
      </c>
      <c r="I808" t="n">
        <v>487</v>
      </c>
    </row>
    <row r="809">
      <c r="A809" t="inlineStr">
        <is>
          <t>BOR100807</t>
        </is>
      </c>
      <c r="B809" t="inlineStr">
        <is>
          <t>Retail &amp; Trade</t>
        </is>
      </c>
      <c r="C809" t="inlineStr">
        <is>
          <t>Nairobi</t>
        </is>
      </c>
      <c r="D809" s="7" t="n">
        <v>44366</v>
      </c>
      <c r="E809" t="n">
        <v>127</v>
      </c>
      <c r="F809" t="n">
        <v>53700</v>
      </c>
      <c r="G809" t="n">
        <v>14</v>
      </c>
      <c r="H809" t="inlineStr">
        <is>
          <t>Male</t>
        </is>
      </c>
      <c r="I809" t="n">
        <v>658</v>
      </c>
    </row>
    <row r="810">
      <c r="A810" t="inlineStr">
        <is>
          <t>BOR100808</t>
        </is>
      </c>
      <c r="B810" t="inlineStr">
        <is>
          <t>Manufacturing</t>
        </is>
      </c>
      <c r="C810" t="inlineStr">
        <is>
          <t>Eldoret</t>
        </is>
      </c>
      <c r="D810" s="7" t="n">
        <v>45401</v>
      </c>
      <c r="E810" t="n">
        <v>29</v>
      </c>
      <c r="F810" t="n">
        <v>184600</v>
      </c>
      <c r="G810" t="n">
        <v>24</v>
      </c>
      <c r="H810" t="inlineStr">
        <is>
          <t>Female</t>
        </is>
      </c>
      <c r="I810" t="n">
        <v>534</v>
      </c>
    </row>
    <row r="811">
      <c r="A811" t="inlineStr">
        <is>
          <t>BOR100809</t>
        </is>
      </c>
      <c r="B811" t="inlineStr">
        <is>
          <t>Construction</t>
        </is>
      </c>
      <c r="C811" t="inlineStr">
        <is>
          <t>Nairobi</t>
        </is>
      </c>
      <c r="D811" s="7" t="n">
        <v>44359</v>
      </c>
      <c r="E811" t="n">
        <v>77</v>
      </c>
      <c r="F811" t="n">
        <v>116200</v>
      </c>
      <c r="G811" t="n">
        <v>5</v>
      </c>
      <c r="H811" t="inlineStr">
        <is>
          <t>Female</t>
        </is>
      </c>
      <c r="I811" t="n">
        <v>629</v>
      </c>
    </row>
    <row r="812">
      <c r="A812" t="inlineStr">
        <is>
          <t>BOR100810</t>
        </is>
      </c>
      <c r="B812" t="inlineStr">
        <is>
          <t>Retail &amp; Trade</t>
        </is>
      </c>
      <c r="C812" t="inlineStr">
        <is>
          <t>Nairobi</t>
        </is>
      </c>
      <c r="D812" s="7" t="n">
        <v>44489</v>
      </c>
      <c r="E812" t="n">
        <v>142</v>
      </c>
      <c r="F812" t="n">
        <v>74000</v>
      </c>
      <c r="G812" t="n">
        <v>7</v>
      </c>
      <c r="H812" t="inlineStr">
        <is>
          <t>Female</t>
        </is>
      </c>
      <c r="I812" t="n">
        <v>580</v>
      </c>
    </row>
    <row r="813">
      <c r="A813" t="inlineStr">
        <is>
          <t>BOR100811</t>
        </is>
      </c>
      <c r="B813" t="inlineStr">
        <is>
          <t>Construction</t>
        </is>
      </c>
      <c r="C813" t="inlineStr">
        <is>
          <t>Nairobi</t>
        </is>
      </c>
      <c r="D813" s="7" t="n">
        <v>42183</v>
      </c>
      <c r="E813" t="n">
        <v>108</v>
      </c>
      <c r="F813" t="n">
        <v>53000</v>
      </c>
      <c r="G813" t="n">
        <v>12</v>
      </c>
      <c r="H813" t="inlineStr">
        <is>
          <t>Female</t>
        </is>
      </c>
      <c r="I813" t="n">
        <v>645</v>
      </c>
    </row>
    <row r="814">
      <c r="A814" t="inlineStr">
        <is>
          <t>BOR100812</t>
        </is>
      </c>
      <c r="B814" t="inlineStr">
        <is>
          <t>Transport &amp; Logistics</t>
        </is>
      </c>
      <c r="C814" t="inlineStr">
        <is>
          <t>Kisumu</t>
        </is>
      </c>
      <c r="D814" s="7" t="n">
        <v>44751</v>
      </c>
      <c r="E814" t="n">
        <v>9</v>
      </c>
      <c r="F814" t="n">
        <v>54000</v>
      </c>
      <c r="G814" t="n">
        <v>5</v>
      </c>
      <c r="H814" t="inlineStr">
        <is>
          <t>Female</t>
        </is>
      </c>
      <c r="I814" t="n">
        <v>611</v>
      </c>
    </row>
    <row r="815">
      <c r="A815" t="inlineStr">
        <is>
          <t>BOR100813</t>
        </is>
      </c>
      <c r="B815" t="inlineStr">
        <is>
          <t>Agriculture</t>
        </is>
      </c>
      <c r="C815" t="inlineStr">
        <is>
          <t>Nairobi</t>
        </is>
      </c>
      <c r="D815" s="7" t="n">
        <v>43877</v>
      </c>
      <c r="E815" t="n">
        <v>119</v>
      </c>
      <c r="F815" t="n">
        <v>92000</v>
      </c>
      <c r="G815" t="n">
        <v>16</v>
      </c>
      <c r="H815" t="inlineStr">
        <is>
          <t>Female</t>
        </is>
      </c>
      <c r="I815" t="n">
        <v>323</v>
      </c>
    </row>
    <row r="816">
      <c r="A816" t="inlineStr">
        <is>
          <t>BOR100814</t>
        </is>
      </c>
      <c r="B816" t="inlineStr">
        <is>
          <t>Transport &amp; Logistics</t>
        </is>
      </c>
      <c r="C816" t="inlineStr">
        <is>
          <t>Nairobi</t>
        </is>
      </c>
      <c r="D816" s="7" t="n">
        <v>42532</v>
      </c>
      <c r="E816" t="n">
        <v>25</v>
      </c>
      <c r="F816" t="n">
        <v>110100</v>
      </c>
      <c r="G816" t="n">
        <v>7</v>
      </c>
      <c r="H816" t="inlineStr">
        <is>
          <t>Female</t>
        </is>
      </c>
      <c r="I816" t="n">
        <v>616</v>
      </c>
    </row>
    <row r="817">
      <c r="A817" t="inlineStr">
        <is>
          <t>BOR100815</t>
        </is>
      </c>
      <c r="B817" t="inlineStr">
        <is>
          <t>Construction</t>
        </is>
      </c>
      <c r="C817" t="inlineStr">
        <is>
          <t>Rural - Other</t>
        </is>
      </c>
      <c r="D817" s="7" t="n">
        <v>42916</v>
      </c>
      <c r="E817" t="n">
        <v>109</v>
      </c>
      <c r="F817" t="n">
        <v>38700</v>
      </c>
      <c r="G817" t="n">
        <v>4</v>
      </c>
      <c r="H817" t="inlineStr">
        <is>
          <t>Female</t>
        </is>
      </c>
      <c r="I817" t="n">
        <v>658</v>
      </c>
    </row>
    <row r="818">
      <c r="A818" t="inlineStr">
        <is>
          <t>BOR100816</t>
        </is>
      </c>
      <c r="B818" t="inlineStr">
        <is>
          <t>Retail &amp; Trade</t>
        </is>
      </c>
      <c r="C818" t="inlineStr">
        <is>
          <t>Mombasa</t>
        </is>
      </c>
      <c r="D818" s="7" t="n">
        <v>45331</v>
      </c>
      <c r="E818" t="n">
        <v>91</v>
      </c>
      <c r="F818" t="n">
        <v>75000</v>
      </c>
      <c r="G818" t="n">
        <v>7</v>
      </c>
      <c r="H818" t="inlineStr">
        <is>
          <t>Male</t>
        </is>
      </c>
      <c r="I818" t="n">
        <v>640</v>
      </c>
    </row>
    <row r="819">
      <c r="A819" t="inlineStr">
        <is>
          <t>BOR100817</t>
        </is>
      </c>
      <c r="B819" t="inlineStr">
        <is>
          <t>Retail &amp; Trade</t>
        </is>
      </c>
      <c r="C819" t="inlineStr">
        <is>
          <t>Mombasa</t>
        </is>
      </c>
      <c r="D819" s="7" t="n">
        <v>45911</v>
      </c>
      <c r="E819" t="n">
        <v>43</v>
      </c>
      <c r="F819" t="n">
        <v>17600</v>
      </c>
      <c r="G819" t="n">
        <v>23</v>
      </c>
      <c r="H819" t="inlineStr">
        <is>
          <t>Male</t>
        </is>
      </c>
      <c r="I819" t="n">
        <v>591</v>
      </c>
    </row>
    <row r="820">
      <c r="A820" t="inlineStr">
        <is>
          <t>BOR100818</t>
        </is>
      </c>
      <c r="B820" t="inlineStr">
        <is>
          <t>Services</t>
        </is>
      </c>
      <c r="C820" t="inlineStr">
        <is>
          <t>Nairobi</t>
        </is>
      </c>
      <c r="D820" s="7" t="n">
        <v>44168</v>
      </c>
      <c r="E820" t="n">
        <v>63</v>
      </c>
      <c r="F820" t="n">
        <v>84800</v>
      </c>
      <c r="G820" t="n">
        <v>23</v>
      </c>
      <c r="H820" t="inlineStr">
        <is>
          <t>Male</t>
        </is>
      </c>
      <c r="I820" t="n">
        <v>748</v>
      </c>
    </row>
    <row r="821">
      <c r="A821" t="inlineStr">
        <is>
          <t>BOR100819</t>
        </is>
      </c>
      <c r="B821" t="inlineStr">
        <is>
          <t>Construction</t>
        </is>
      </c>
      <c r="C821" t="inlineStr">
        <is>
          <t>Mombasa</t>
        </is>
      </c>
      <c r="D821" s="7" t="n">
        <v>46166</v>
      </c>
      <c r="E821" t="n">
        <v>19</v>
      </c>
      <c r="F821" t="n">
        <v>124700</v>
      </c>
      <c r="G821" t="n">
        <v>13</v>
      </c>
      <c r="H821" t="inlineStr">
        <is>
          <t>Male</t>
        </is>
      </c>
      <c r="I821" t="n">
        <v>628</v>
      </c>
    </row>
    <row r="822">
      <c r="A822" t="inlineStr">
        <is>
          <t>BOR100820</t>
        </is>
      </c>
      <c r="B822" t="inlineStr">
        <is>
          <t>Retail &amp; Trade</t>
        </is>
      </c>
      <c r="C822" t="inlineStr">
        <is>
          <t>Nairobi</t>
        </is>
      </c>
      <c r="D822" s="7" t="n">
        <v>42772</v>
      </c>
      <c r="E822" t="n">
        <v>143</v>
      </c>
      <c r="F822" t="n">
        <v>60100</v>
      </c>
      <c r="G822" t="n">
        <v>10</v>
      </c>
      <c r="H822" t="inlineStr">
        <is>
          <t>Male</t>
        </is>
      </c>
      <c r="I822" t="n">
        <v>639</v>
      </c>
    </row>
    <row r="823">
      <c r="A823" t="inlineStr">
        <is>
          <t>BOR100821</t>
        </is>
      </c>
      <c r="B823" t="inlineStr">
        <is>
          <t>Services</t>
        </is>
      </c>
      <c r="C823" t="inlineStr">
        <is>
          <t>Nakuru</t>
        </is>
      </c>
      <c r="D823" s="7" t="n">
        <v>43281</v>
      </c>
      <c r="E823" t="n">
        <v>36</v>
      </c>
      <c r="F823" t="n">
        <v>260800</v>
      </c>
      <c r="G823" t="n">
        <v>20</v>
      </c>
      <c r="H823" t="inlineStr">
        <is>
          <t>Female</t>
        </is>
      </c>
      <c r="I823" t="n">
        <v>694</v>
      </c>
    </row>
    <row r="824">
      <c r="A824" t="inlineStr">
        <is>
          <t>BOR100822</t>
        </is>
      </c>
      <c r="B824" t="inlineStr">
        <is>
          <t>Retail &amp; Trade</t>
        </is>
      </c>
      <c r="C824" t="inlineStr">
        <is>
          <t>Nairobi</t>
        </is>
      </c>
      <c r="D824" s="7" t="n">
        <v>45968</v>
      </c>
      <c r="E824" t="n">
        <v>46</v>
      </c>
      <c r="F824" t="n">
        <v>39500</v>
      </c>
      <c r="G824" t="n">
        <v>5</v>
      </c>
      <c r="H824" t="inlineStr">
        <is>
          <t>Male</t>
        </is>
      </c>
      <c r="I824" t="n">
        <v>633</v>
      </c>
    </row>
    <row r="825">
      <c r="A825" t="inlineStr">
        <is>
          <t>BOR100823</t>
        </is>
      </c>
      <c r="B825" t="inlineStr">
        <is>
          <t>Services</t>
        </is>
      </c>
      <c r="C825" t="inlineStr">
        <is>
          <t>Rural - Other</t>
        </is>
      </c>
      <c r="D825" s="7" t="n">
        <v>42751</v>
      </c>
      <c r="E825" t="n">
        <v>74</v>
      </c>
      <c r="F825" t="n">
        <v>85200</v>
      </c>
      <c r="G825" t="n">
        <v>16</v>
      </c>
      <c r="H825" t="inlineStr">
        <is>
          <t>Female</t>
        </is>
      </c>
      <c r="I825" t="n">
        <v>519</v>
      </c>
    </row>
    <row r="826">
      <c r="A826" t="inlineStr">
        <is>
          <t>BOR100824</t>
        </is>
      </c>
      <c r="B826" t="inlineStr">
        <is>
          <t>Services</t>
        </is>
      </c>
      <c r="C826" t="inlineStr">
        <is>
          <t>Rural - Other</t>
        </is>
      </c>
      <c r="D826" s="7" t="n">
        <v>44814</v>
      </c>
      <c r="E826" t="n">
        <v>98</v>
      </c>
      <c r="F826" t="n">
        <v>71300</v>
      </c>
      <c r="G826" t="n">
        <v>17</v>
      </c>
      <c r="H826" t="inlineStr">
        <is>
          <t>Female</t>
        </is>
      </c>
      <c r="I826" t="n">
        <v>381</v>
      </c>
    </row>
    <row r="827">
      <c r="A827" t="inlineStr">
        <is>
          <t>BOR100825</t>
        </is>
      </c>
      <c r="B827" t="inlineStr">
        <is>
          <t>Retail &amp; Trade</t>
        </is>
      </c>
      <c r="C827" t="inlineStr">
        <is>
          <t>Nairobi</t>
        </is>
      </c>
      <c r="D827" s="7" t="n">
        <v>42940</v>
      </c>
      <c r="E827" t="n">
        <v>74</v>
      </c>
      <c r="F827" t="n">
        <v>68200</v>
      </c>
      <c r="G827" t="n">
        <v>18</v>
      </c>
      <c r="H827" t="inlineStr">
        <is>
          <t>Female</t>
        </is>
      </c>
      <c r="I827" t="n">
        <v>557</v>
      </c>
    </row>
    <row r="828">
      <c r="A828" t="inlineStr">
        <is>
          <t>BOR100826</t>
        </is>
      </c>
      <c r="B828" t="inlineStr">
        <is>
          <t>Transport &amp; Logistics</t>
        </is>
      </c>
      <c r="C828" t="inlineStr">
        <is>
          <t>Nairobi</t>
        </is>
      </c>
      <c r="D828" s="7" t="n">
        <v>43416</v>
      </c>
      <c r="E828" t="n">
        <v>74</v>
      </c>
      <c r="F828" t="n">
        <v>67500</v>
      </c>
      <c r="G828" t="n">
        <v>6</v>
      </c>
      <c r="H828" t="inlineStr">
        <is>
          <t>Female</t>
        </is>
      </c>
      <c r="I828" t="n">
        <v>668</v>
      </c>
    </row>
    <row r="829">
      <c r="A829" t="inlineStr">
        <is>
          <t>BOR100827</t>
        </is>
      </c>
      <c r="B829" t="inlineStr">
        <is>
          <t>Construction</t>
        </is>
      </c>
      <c r="C829" t="inlineStr">
        <is>
          <t>Nairobi</t>
        </is>
      </c>
      <c r="D829" s="7" t="n">
        <v>44040</v>
      </c>
      <c r="E829" t="n">
        <v>85</v>
      </c>
      <c r="F829" t="n">
        <v>78800</v>
      </c>
      <c r="G829" t="n">
        <v>18</v>
      </c>
      <c r="H829" t="inlineStr">
        <is>
          <t>Female</t>
        </is>
      </c>
      <c r="I829" t="n">
        <v>568</v>
      </c>
    </row>
    <row r="830">
      <c r="A830" t="inlineStr">
        <is>
          <t>BOR100828</t>
        </is>
      </c>
      <c r="B830" t="inlineStr">
        <is>
          <t>Construction</t>
        </is>
      </c>
      <c r="C830" t="inlineStr">
        <is>
          <t>Nakuru</t>
        </is>
      </c>
      <c r="D830" s="7" t="n">
        <v>43538</v>
      </c>
      <c r="E830" t="n">
        <v>124</v>
      </c>
      <c r="F830" t="n">
        <v>132400</v>
      </c>
      <c r="G830" t="n">
        <v>15</v>
      </c>
      <c r="H830" t="inlineStr">
        <is>
          <t>Male</t>
        </is>
      </c>
      <c r="I830" t="n">
        <v>672</v>
      </c>
    </row>
    <row r="831">
      <c r="A831" t="inlineStr">
        <is>
          <t>BOR100829</t>
        </is>
      </c>
      <c r="B831" t="inlineStr">
        <is>
          <t>Retail &amp; Trade</t>
        </is>
      </c>
      <c r="C831" t="inlineStr">
        <is>
          <t>Nairobi</t>
        </is>
      </c>
      <c r="D831" s="7" t="n">
        <v>45731</v>
      </c>
      <c r="E831" t="n">
        <v>59</v>
      </c>
      <c r="F831" t="n">
        <v>191800</v>
      </c>
      <c r="G831" t="n">
        <v>22</v>
      </c>
      <c r="H831" t="inlineStr">
        <is>
          <t>Male</t>
        </is>
      </c>
      <c r="I831" t="n">
        <v>613</v>
      </c>
    </row>
    <row r="832">
      <c r="A832" t="inlineStr">
        <is>
          <t>BOR100830</t>
        </is>
      </c>
      <c r="B832" t="inlineStr">
        <is>
          <t>Agriculture</t>
        </is>
      </c>
      <c r="C832" t="inlineStr">
        <is>
          <t>Rural - Other</t>
        </is>
      </c>
      <c r="D832" s="7" t="n">
        <v>46150</v>
      </c>
      <c r="E832" t="n">
        <v>121</v>
      </c>
      <c r="F832" t="n">
        <v>73000</v>
      </c>
      <c r="G832" t="n">
        <v>5</v>
      </c>
      <c r="H832" t="inlineStr">
        <is>
          <t>Male</t>
        </is>
      </c>
      <c r="I832" t="n">
        <v>716</v>
      </c>
    </row>
    <row r="833">
      <c r="A833" t="inlineStr">
        <is>
          <t>BOR100831</t>
        </is>
      </c>
      <c r="B833" t="inlineStr">
        <is>
          <t>Agriculture</t>
        </is>
      </c>
      <c r="C833" t="inlineStr">
        <is>
          <t>Eldoret</t>
        </is>
      </c>
      <c r="D833" s="7" t="n">
        <v>44135</v>
      </c>
      <c r="E833" t="n">
        <v>114</v>
      </c>
      <c r="F833" t="n">
        <v>129400</v>
      </c>
      <c r="G833" t="n">
        <v>15</v>
      </c>
      <c r="H833" t="inlineStr">
        <is>
          <t>Male</t>
        </is>
      </c>
      <c r="I833" t="n">
        <v>573</v>
      </c>
    </row>
    <row r="834">
      <c r="A834" t="inlineStr">
        <is>
          <t>BOR100832</t>
        </is>
      </c>
      <c r="B834" t="inlineStr">
        <is>
          <t>Manufacturing</t>
        </is>
      </c>
      <c r="C834" t="inlineStr">
        <is>
          <t>Rural - Other</t>
        </is>
      </c>
      <c r="D834" s="7" t="n">
        <v>44242</v>
      </c>
      <c r="E834" t="n">
        <v>139</v>
      </c>
      <c r="F834" t="n">
        <v>44700</v>
      </c>
      <c r="G834" t="n">
        <v>20</v>
      </c>
      <c r="H834" t="inlineStr">
        <is>
          <t>Male</t>
        </is>
      </c>
      <c r="I834" t="n">
        <v>642</v>
      </c>
    </row>
    <row r="835">
      <c r="A835" t="inlineStr">
        <is>
          <t>BOR100833</t>
        </is>
      </c>
      <c r="B835" t="inlineStr">
        <is>
          <t>Retail &amp; Trade</t>
        </is>
      </c>
      <c r="C835" t="inlineStr">
        <is>
          <t>Kisumu</t>
        </is>
      </c>
      <c r="D835" s="7" t="n">
        <v>42241</v>
      </c>
      <c r="E835" t="n">
        <v>132</v>
      </c>
      <c r="F835" t="n">
        <v>125000</v>
      </c>
      <c r="G835" t="n">
        <v>7</v>
      </c>
      <c r="H835" t="inlineStr">
        <is>
          <t>Female</t>
        </is>
      </c>
      <c r="I835" t="n">
        <v>646</v>
      </c>
    </row>
    <row r="836">
      <c r="A836" t="inlineStr">
        <is>
          <t>BOR100834</t>
        </is>
      </c>
      <c r="B836" t="inlineStr">
        <is>
          <t>Construction</t>
        </is>
      </c>
      <c r="C836" t="inlineStr">
        <is>
          <t>Rural - Other</t>
        </is>
      </c>
      <c r="D836" s="7" t="n">
        <v>43002</v>
      </c>
      <c r="E836" t="n">
        <v>116</v>
      </c>
      <c r="F836" t="n">
        <v>42900</v>
      </c>
      <c r="G836" t="n">
        <v>18</v>
      </c>
      <c r="H836" t="inlineStr">
        <is>
          <t>Male</t>
        </is>
      </c>
      <c r="I836" t="n">
        <v>735</v>
      </c>
    </row>
    <row r="837">
      <c r="A837" t="inlineStr">
        <is>
          <t>BOR100835</t>
        </is>
      </c>
      <c r="B837" t="inlineStr">
        <is>
          <t>Transport &amp; Logistics</t>
        </is>
      </c>
      <c r="C837" t="inlineStr">
        <is>
          <t>Nairobi</t>
        </is>
      </c>
      <c r="D837" s="7" t="n">
        <v>42174</v>
      </c>
      <c r="E837" t="n">
        <v>38</v>
      </c>
      <c r="F837" t="n">
        <v>156900</v>
      </c>
      <c r="G837" t="n">
        <v>3</v>
      </c>
      <c r="H837" t="inlineStr">
        <is>
          <t>Male</t>
        </is>
      </c>
      <c r="I837" t="n">
        <v>446</v>
      </c>
    </row>
    <row r="838">
      <c r="A838" t="inlineStr">
        <is>
          <t>BOR100836</t>
        </is>
      </c>
      <c r="B838" t="inlineStr">
        <is>
          <t>Transport &amp; Logistics</t>
        </is>
      </c>
      <c r="C838" t="inlineStr">
        <is>
          <t>Mombasa</t>
        </is>
      </c>
      <c r="D838" s="7" t="n">
        <v>45655</v>
      </c>
      <c r="E838" t="n">
        <v>112</v>
      </c>
      <c r="F838" t="n">
        <v>343700</v>
      </c>
      <c r="G838" t="n">
        <v>18</v>
      </c>
      <c r="H838" t="inlineStr">
        <is>
          <t>Female</t>
        </is>
      </c>
      <c r="I838" t="n">
        <v>559</v>
      </c>
    </row>
    <row r="839">
      <c r="A839" t="inlineStr">
        <is>
          <t>BOR100837</t>
        </is>
      </c>
      <c r="B839" t="inlineStr">
        <is>
          <t>Agriculture</t>
        </is>
      </c>
      <c r="C839" t="inlineStr">
        <is>
          <t>Mombasa</t>
        </is>
      </c>
      <c r="D839" s="7" t="n">
        <v>42973</v>
      </c>
      <c r="E839" t="n">
        <v>107</v>
      </c>
      <c r="F839" t="n">
        <v>67100</v>
      </c>
      <c r="G839" t="n">
        <v>15</v>
      </c>
      <c r="H839" t="inlineStr">
        <is>
          <t>Female</t>
        </is>
      </c>
      <c r="I839" t="n">
        <v>676</v>
      </c>
    </row>
    <row r="840">
      <c r="A840" t="inlineStr">
        <is>
          <t>BOR100838</t>
        </is>
      </c>
      <c r="B840" t="inlineStr">
        <is>
          <t>Retail &amp; Trade</t>
        </is>
      </c>
      <c r="C840" t="inlineStr">
        <is>
          <t>Rural - Other</t>
        </is>
      </c>
      <c r="D840" s="7" t="n">
        <v>43456</v>
      </c>
      <c r="E840" t="n">
        <v>44</v>
      </c>
      <c r="F840" t="n">
        <v>15800</v>
      </c>
      <c r="G840" t="n">
        <v>5</v>
      </c>
      <c r="H840" t="inlineStr">
        <is>
          <t>Male</t>
        </is>
      </c>
      <c r="I840" t="n">
        <v>739</v>
      </c>
    </row>
    <row r="841">
      <c r="A841" t="inlineStr">
        <is>
          <t>BOR100839</t>
        </is>
      </c>
      <c r="B841" t="inlineStr">
        <is>
          <t>Construction</t>
        </is>
      </c>
      <c r="C841" t="inlineStr">
        <is>
          <t>Nakuru</t>
        </is>
      </c>
      <c r="D841" s="7" t="n">
        <v>45596</v>
      </c>
      <c r="E841" t="n">
        <v>99</v>
      </c>
      <c r="F841" t="n">
        <v>49800</v>
      </c>
      <c r="G841" t="n">
        <v>2</v>
      </c>
      <c r="H841" t="inlineStr">
        <is>
          <t>Male</t>
        </is>
      </c>
      <c r="I841" t="n">
        <v>622</v>
      </c>
    </row>
    <row r="842">
      <c r="A842" t="inlineStr">
        <is>
          <t>BOR100840</t>
        </is>
      </c>
      <c r="B842" t="inlineStr">
        <is>
          <t>Agriculture</t>
        </is>
      </c>
      <c r="C842" t="inlineStr">
        <is>
          <t>Rural - Other</t>
        </is>
      </c>
      <c r="D842" s="7" t="n">
        <v>45044</v>
      </c>
      <c r="E842" t="n">
        <v>38</v>
      </c>
      <c r="F842" t="n">
        <v>173200</v>
      </c>
      <c r="G842" t="n">
        <v>18</v>
      </c>
      <c r="H842" t="inlineStr">
        <is>
          <t>Female</t>
        </is>
      </c>
      <c r="I842" t="n">
        <v>574</v>
      </c>
    </row>
    <row r="843">
      <c r="A843" t="inlineStr">
        <is>
          <t>BOR100841</t>
        </is>
      </c>
      <c r="B843" t="inlineStr">
        <is>
          <t>Services</t>
        </is>
      </c>
      <c r="C843" t="inlineStr">
        <is>
          <t>Nairobi</t>
        </is>
      </c>
      <c r="D843" s="7" t="n">
        <v>44653</v>
      </c>
      <c r="E843" t="n">
        <v>77</v>
      </c>
      <c r="F843" t="n">
        <v>107700</v>
      </c>
      <c r="G843" t="n">
        <v>6</v>
      </c>
      <c r="H843" t="inlineStr">
        <is>
          <t>Male</t>
        </is>
      </c>
      <c r="I843" t="n">
        <v>668</v>
      </c>
    </row>
    <row r="844">
      <c r="A844" t="inlineStr">
        <is>
          <t>BOR100842</t>
        </is>
      </c>
      <c r="B844" t="inlineStr">
        <is>
          <t>Construction</t>
        </is>
      </c>
      <c r="C844" t="inlineStr">
        <is>
          <t>Rural - Other</t>
        </is>
      </c>
      <c r="D844" s="7" t="n">
        <v>42168</v>
      </c>
      <c r="E844" t="n">
        <v>116</v>
      </c>
      <c r="F844" t="n">
        <v>87100</v>
      </c>
      <c r="G844" t="n">
        <v>12</v>
      </c>
      <c r="H844" t="inlineStr">
        <is>
          <t>Female</t>
        </is>
      </c>
      <c r="I844" t="n">
        <v>678</v>
      </c>
    </row>
    <row r="845">
      <c r="A845" t="inlineStr">
        <is>
          <t>BOR100843</t>
        </is>
      </c>
      <c r="B845" t="inlineStr">
        <is>
          <t>Retail &amp; Trade</t>
        </is>
      </c>
      <c r="C845" t="inlineStr">
        <is>
          <t>Kisumu</t>
        </is>
      </c>
      <c r="D845" s="7" t="n">
        <v>44403</v>
      </c>
      <c r="E845" t="n">
        <v>29</v>
      </c>
      <c r="F845" t="n">
        <v>148200</v>
      </c>
      <c r="G845" t="n">
        <v>2</v>
      </c>
      <c r="H845" t="inlineStr">
        <is>
          <t>Female</t>
        </is>
      </c>
      <c r="I845" t="n">
        <v>568</v>
      </c>
    </row>
    <row r="846">
      <c r="A846" t="inlineStr">
        <is>
          <t>BOR100844</t>
        </is>
      </c>
      <c r="B846" t="inlineStr">
        <is>
          <t>Retail &amp; Trade</t>
        </is>
      </c>
      <c r="C846" t="inlineStr">
        <is>
          <t>Kisumu</t>
        </is>
      </c>
      <c r="D846" s="7" t="n">
        <v>44394</v>
      </c>
      <c r="E846" t="n">
        <v>50</v>
      </c>
      <c r="F846" t="n">
        <v>102700</v>
      </c>
      <c r="G846" t="n">
        <v>24</v>
      </c>
      <c r="H846" t="inlineStr">
        <is>
          <t>Female</t>
        </is>
      </c>
      <c r="I846" t="n">
        <v>630</v>
      </c>
    </row>
    <row r="847">
      <c r="A847" t="inlineStr">
        <is>
          <t>BOR100845</t>
        </is>
      </c>
      <c r="B847" t="inlineStr">
        <is>
          <t>Retail &amp; Trade</t>
        </is>
      </c>
      <c r="C847" t="inlineStr">
        <is>
          <t>Rural - Other</t>
        </is>
      </c>
      <c r="D847" s="7" t="n">
        <v>43364</v>
      </c>
      <c r="E847" t="n">
        <v>115</v>
      </c>
      <c r="F847" t="n">
        <v>171500</v>
      </c>
      <c r="G847" t="n">
        <v>14</v>
      </c>
      <c r="H847" t="inlineStr">
        <is>
          <t>Female</t>
        </is>
      </c>
      <c r="I847" t="n">
        <v>706</v>
      </c>
    </row>
    <row r="848">
      <c r="A848" t="inlineStr">
        <is>
          <t>BOR100846</t>
        </is>
      </c>
      <c r="B848" t="inlineStr">
        <is>
          <t>Retail &amp; Trade</t>
        </is>
      </c>
      <c r="C848" t="inlineStr">
        <is>
          <t>Mombasa</t>
        </is>
      </c>
      <c r="D848" s="7" t="n">
        <v>45179</v>
      </c>
      <c r="E848" t="n">
        <v>67</v>
      </c>
      <c r="F848" t="n">
        <v>139200</v>
      </c>
      <c r="G848" t="n">
        <v>23</v>
      </c>
      <c r="H848" t="inlineStr">
        <is>
          <t>Male</t>
        </is>
      </c>
      <c r="I848" t="n">
        <v>770</v>
      </c>
    </row>
    <row r="849">
      <c r="A849" t="inlineStr">
        <is>
          <t>BOR100847</t>
        </is>
      </c>
      <c r="B849" t="inlineStr">
        <is>
          <t>Retail &amp; Trade</t>
        </is>
      </c>
      <c r="C849" t="inlineStr">
        <is>
          <t>Mombasa</t>
        </is>
      </c>
      <c r="D849" s="7" t="n">
        <v>45965</v>
      </c>
      <c r="E849" t="n">
        <v>139</v>
      </c>
      <c r="F849" t="n">
        <v>212200</v>
      </c>
      <c r="G849" t="n">
        <v>4</v>
      </c>
      <c r="H849" t="inlineStr">
        <is>
          <t>Female</t>
        </is>
      </c>
      <c r="I849" t="n">
        <v>667</v>
      </c>
    </row>
    <row r="850">
      <c r="A850" t="inlineStr">
        <is>
          <t>BOR100848</t>
        </is>
      </c>
      <c r="B850" t="inlineStr">
        <is>
          <t>Transport &amp; Logistics</t>
        </is>
      </c>
      <c r="C850" t="inlineStr">
        <is>
          <t>Nakuru</t>
        </is>
      </c>
      <c r="D850" s="7" t="n">
        <v>43108</v>
      </c>
      <c r="E850" t="n">
        <v>4</v>
      </c>
      <c r="F850" t="n">
        <v>94000</v>
      </c>
      <c r="G850" t="n">
        <v>5</v>
      </c>
      <c r="H850" t="inlineStr">
        <is>
          <t>Male</t>
        </is>
      </c>
      <c r="I850" t="n">
        <v>604</v>
      </c>
    </row>
    <row r="851">
      <c r="A851" t="inlineStr">
        <is>
          <t>BOR100849</t>
        </is>
      </c>
      <c r="B851" t="inlineStr">
        <is>
          <t>Services</t>
        </is>
      </c>
      <c r="C851" t="inlineStr">
        <is>
          <t>Nairobi</t>
        </is>
      </c>
      <c r="D851" s="7" t="n">
        <v>43416</v>
      </c>
      <c r="E851" t="n">
        <v>105</v>
      </c>
      <c r="F851" t="n">
        <v>137800</v>
      </c>
      <c r="G851" t="n">
        <v>15</v>
      </c>
      <c r="H851" t="inlineStr">
        <is>
          <t>Female</t>
        </is>
      </c>
      <c r="I851" t="n">
        <v>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9" customWidth="1" min="5" max="5"/>
    <col width="16" customWidth="1" min="6" max="6"/>
    <col width="15" customWidth="1" min="7" max="7"/>
    <col width="18" customWidth="1" min="8" max="8"/>
    <col width="23" customWidth="1" min="9" max="9"/>
    <col width="14" customWidth="1" min="10" max="10"/>
    <col width="14" customWidth="1" min="11" max="11"/>
    <col width="17" customWidth="1" min="12" max="12"/>
    <col width="14" customWidth="1" min="13" max="13"/>
  </cols>
  <sheetData>
    <row r="1">
      <c r="A1" s="6" t="inlineStr">
        <is>
          <t>loan_id</t>
        </is>
      </c>
      <c r="B1" s="6" t="inlineStr">
        <is>
          <t>borrower_id</t>
        </is>
      </c>
      <c r="C1" s="6" t="inlineStr">
        <is>
          <t>disbursement_date</t>
        </is>
      </c>
      <c r="D1" s="6" t="inlineStr">
        <is>
          <t>loan_amount_kes</t>
        </is>
      </c>
      <c r="E1" s="6" t="inlineStr">
        <is>
          <t>loan_term_months</t>
        </is>
      </c>
      <c r="F1" s="6" t="inlineStr">
        <is>
          <t>interest_rate</t>
        </is>
      </c>
      <c r="G1" s="6" t="inlineStr">
        <is>
          <t>product_type</t>
        </is>
      </c>
      <c r="H1" s="6" t="inlineStr">
        <is>
          <t>loan_officer_id</t>
        </is>
      </c>
      <c r="I1" s="6" t="inlineStr">
        <is>
          <t>disbursement_channel</t>
        </is>
      </c>
      <c r="J1" s="6" t="inlineStr">
        <is>
          <t>sector</t>
        </is>
      </c>
      <c r="K1" s="6" t="inlineStr">
        <is>
          <t>region</t>
        </is>
      </c>
      <c r="L1" s="6" t="inlineStr">
        <is>
          <t>loan_size_band</t>
        </is>
      </c>
      <c r="M1" s="6" t="inlineStr">
        <is>
          <t>disb_month</t>
        </is>
      </c>
    </row>
    <row r="2">
      <c r="A2" t="inlineStr">
        <is>
          <t>LN200001</t>
        </is>
      </c>
      <c r="B2" t="inlineStr">
        <is>
          <t>BOR100000</t>
        </is>
      </c>
      <c r="C2" s="8" t="n">
        <v>45702</v>
      </c>
      <c r="D2" s="9" t="n">
        <v>78000</v>
      </c>
      <c r="E2" t="n">
        <v>12</v>
      </c>
      <c r="F2" s="10" t="n">
        <v>0.199</v>
      </c>
      <c r="G2" t="inlineStr">
        <is>
          <t>Working Capital</t>
        </is>
      </c>
      <c r="H2" t="inlineStr">
        <is>
          <t>LO023</t>
        </is>
      </c>
      <c r="I2" t="inlineStr">
        <is>
          <t>Mobile App</t>
        </is>
      </c>
      <c r="J2">
        <f>INDEX('Data - Borrowers'!$B$2:$B$851, MATCH(B2, 'Data - Borrowers'!$A$2:$A$851, 0))</f>
        <v/>
      </c>
      <c r="K2">
        <f>INDEX('Data - Borrowers'!$C$2:$C$851, MATCH(B2, 'Data - Borrowers'!$A$2:$A$851, 0))</f>
        <v/>
      </c>
      <c r="L2">
        <f>IF(D2&lt;100000, "Micro (&lt;100K)", IF(D2&lt;500000, "Small (100K-500K)", "Medium (500K+)"))</f>
        <v/>
      </c>
      <c r="M2">
        <f>TEXT(C2, "yyyy-mm")</f>
        <v/>
      </c>
    </row>
    <row r="3">
      <c r="A3" t="inlineStr">
        <is>
          <t>LN200002</t>
        </is>
      </c>
      <c r="B3" t="inlineStr">
        <is>
          <t>BOR100000</t>
        </is>
      </c>
      <c r="C3" s="8" t="n">
        <v>46079</v>
      </c>
      <c r="D3" s="9" t="n">
        <v>41000</v>
      </c>
      <c r="E3" t="n">
        <v>3</v>
      </c>
      <c r="F3" s="10" t="n">
        <v>0.159</v>
      </c>
      <c r="G3" t="inlineStr">
        <is>
          <t>Working Capital</t>
        </is>
      </c>
      <c r="H3" t="inlineStr">
        <is>
          <t>LO014</t>
        </is>
      </c>
      <c r="I3" t="inlineStr">
        <is>
          <t>Mobile App</t>
        </is>
      </c>
      <c r="J3">
        <f>INDEX('Data - Borrowers'!$B$2:$B$851, MATCH(B3, 'Data - Borrowers'!$A$2:$A$851, 0))</f>
        <v/>
      </c>
      <c r="K3">
        <f>INDEX('Data - Borrowers'!$C$2:$C$851, MATCH(B3, 'Data - Borrowers'!$A$2:$A$851, 0))</f>
        <v/>
      </c>
      <c r="L3">
        <f>IF(D3&lt;100000, "Micro (&lt;100K)", IF(D3&lt;500000, "Small (100K-500K)", "Medium (500K+)"))</f>
        <v/>
      </c>
      <c r="M3">
        <f>TEXT(C3, "yyyy-mm")</f>
        <v/>
      </c>
    </row>
    <row r="4">
      <c r="A4" t="inlineStr">
        <is>
          <t>LN200003</t>
        </is>
      </c>
      <c r="B4" t="inlineStr">
        <is>
          <t>BOR100001</t>
        </is>
      </c>
      <c r="C4" s="8" t="n">
        <v>45998</v>
      </c>
      <c r="D4" s="9" t="n">
        <v>277000</v>
      </c>
      <c r="E4" t="n">
        <v>18</v>
      </c>
      <c r="F4" s="10" t="n">
        <v>0.17</v>
      </c>
      <c r="G4" t="inlineStr">
        <is>
          <t>Invoice Discounting</t>
        </is>
      </c>
      <c r="H4" t="inlineStr">
        <is>
          <t>LO016</t>
        </is>
      </c>
      <c r="I4" t="inlineStr">
        <is>
          <t>Branch</t>
        </is>
      </c>
      <c r="J4">
        <f>INDEX('Data - Borrowers'!$B$2:$B$851, MATCH(B4, 'Data - Borrowers'!$A$2:$A$851, 0))</f>
        <v/>
      </c>
      <c r="K4">
        <f>INDEX('Data - Borrowers'!$C$2:$C$851, MATCH(B4, 'Data - Borrowers'!$A$2:$A$851, 0))</f>
        <v/>
      </c>
      <c r="L4">
        <f>IF(D4&lt;100000, "Micro (&lt;100K)", IF(D4&lt;500000, "Small (100K-500K)", "Medium (500K+)"))</f>
        <v/>
      </c>
      <c r="M4">
        <f>TEXT(C4, "yyyy-mm")</f>
        <v/>
      </c>
    </row>
    <row r="5">
      <c r="A5" t="inlineStr">
        <is>
          <t>LN200004</t>
        </is>
      </c>
      <c r="B5" t="inlineStr">
        <is>
          <t>BOR100002</t>
        </is>
      </c>
      <c r="C5" s="8" t="n">
        <v>46033</v>
      </c>
      <c r="D5" s="9" t="n">
        <v>36000</v>
      </c>
      <c r="E5" t="n">
        <v>3</v>
      </c>
      <c r="F5" s="10" t="n">
        <v>0.206</v>
      </c>
      <c r="G5" t="inlineStr">
        <is>
          <t>Asset Finance</t>
        </is>
      </c>
      <c r="H5" t="inlineStr">
        <is>
          <t>LO021</t>
        </is>
      </c>
      <c r="I5" t="inlineStr">
        <is>
          <t>Partner Referral</t>
        </is>
      </c>
      <c r="J5">
        <f>INDEX('Data - Borrowers'!$B$2:$B$851, MATCH(B5, 'Data - Borrowers'!$A$2:$A$851, 0))</f>
        <v/>
      </c>
      <c r="K5">
        <f>INDEX('Data - Borrowers'!$C$2:$C$851, MATCH(B5, 'Data - Borrowers'!$A$2:$A$851, 0))</f>
        <v/>
      </c>
      <c r="L5">
        <f>IF(D5&lt;100000, "Micro (&lt;100K)", IF(D5&lt;500000, "Small (100K-500K)", "Medium (500K+)"))</f>
        <v/>
      </c>
      <c r="M5">
        <f>TEXT(C5, "yyyy-mm")</f>
        <v/>
      </c>
    </row>
    <row r="6">
      <c r="A6" t="inlineStr">
        <is>
          <t>LN200005</t>
        </is>
      </c>
      <c r="B6" t="inlineStr">
        <is>
          <t>BOR100003</t>
        </is>
      </c>
      <c r="C6" s="8" t="n">
        <v>46019</v>
      </c>
      <c r="D6" s="9" t="n">
        <v>56000</v>
      </c>
      <c r="E6" t="n">
        <v>3</v>
      </c>
      <c r="F6" s="10" t="n">
        <v>0.121</v>
      </c>
      <c r="G6" t="inlineStr">
        <is>
          <t>Working Capital</t>
        </is>
      </c>
      <c r="H6" t="inlineStr">
        <is>
          <t>LO001</t>
        </is>
      </c>
      <c r="I6" t="inlineStr">
        <is>
          <t>Branch</t>
        </is>
      </c>
      <c r="J6">
        <f>INDEX('Data - Borrowers'!$B$2:$B$851, MATCH(B6, 'Data - Borrowers'!$A$2:$A$851, 0))</f>
        <v/>
      </c>
      <c r="K6">
        <f>INDEX('Data - Borrowers'!$C$2:$C$851, MATCH(B6, 'Data - Borrowers'!$A$2:$A$851, 0))</f>
        <v/>
      </c>
      <c r="L6">
        <f>IF(D6&lt;100000, "Micro (&lt;100K)", IF(D6&lt;500000, "Small (100K-500K)", "Medium (500K+)"))</f>
        <v/>
      </c>
      <c r="M6">
        <f>TEXT(C6, "yyyy-mm")</f>
        <v/>
      </c>
    </row>
    <row r="7">
      <c r="A7" t="inlineStr">
        <is>
          <t>LN200006</t>
        </is>
      </c>
      <c r="B7" t="inlineStr">
        <is>
          <t>BOR100004</t>
        </is>
      </c>
      <c r="C7" s="8" t="n">
        <v>45949</v>
      </c>
      <c r="D7" s="9" t="n">
        <v>424000</v>
      </c>
      <c r="E7" t="n">
        <v>3</v>
      </c>
      <c r="F7" s="10" t="n">
        <v>0.127</v>
      </c>
      <c r="G7" t="inlineStr">
        <is>
          <t>Working Capital</t>
        </is>
      </c>
      <c r="H7" t="inlineStr">
        <is>
          <t>LO004</t>
        </is>
      </c>
      <c r="I7" t="inlineStr">
        <is>
          <t>Mobile App</t>
        </is>
      </c>
      <c r="J7">
        <f>INDEX('Data - Borrowers'!$B$2:$B$851, MATCH(B7, 'Data - Borrowers'!$A$2:$A$851, 0))</f>
        <v/>
      </c>
      <c r="K7">
        <f>INDEX('Data - Borrowers'!$C$2:$C$851, MATCH(B7, 'Data - Borrowers'!$A$2:$A$851, 0))</f>
        <v/>
      </c>
      <c r="L7">
        <f>IF(D7&lt;100000, "Micro (&lt;100K)", IF(D7&lt;500000, "Small (100K-500K)", "Medium (500K+)"))</f>
        <v/>
      </c>
      <c r="M7">
        <f>TEXT(C7, "yyyy-mm")</f>
        <v/>
      </c>
    </row>
    <row r="8">
      <c r="A8" t="inlineStr">
        <is>
          <t>LN200007</t>
        </is>
      </c>
      <c r="B8" t="inlineStr">
        <is>
          <t>BOR100005</t>
        </is>
      </c>
      <c r="C8" s="8" t="n">
        <v>46158</v>
      </c>
      <c r="D8" s="9" t="n">
        <v>258000</v>
      </c>
      <c r="E8" t="n">
        <v>9</v>
      </c>
      <c r="F8" s="10" t="n">
        <v>0.202</v>
      </c>
      <c r="G8" t="inlineStr">
        <is>
          <t>Invoice Discounting</t>
        </is>
      </c>
      <c r="H8" t="inlineStr">
        <is>
          <t>LO019</t>
        </is>
      </c>
      <c r="I8" t="inlineStr">
        <is>
          <t>Branch</t>
        </is>
      </c>
      <c r="J8">
        <f>INDEX('Data - Borrowers'!$B$2:$B$851, MATCH(B8, 'Data - Borrowers'!$A$2:$A$851, 0))</f>
        <v/>
      </c>
      <c r="K8">
        <f>INDEX('Data - Borrowers'!$C$2:$C$851, MATCH(B8, 'Data - Borrowers'!$A$2:$A$851, 0))</f>
        <v/>
      </c>
      <c r="L8">
        <f>IF(D8&lt;100000, "Micro (&lt;100K)", IF(D8&lt;500000, "Small (100K-500K)", "Medium (500K+)"))</f>
        <v/>
      </c>
      <c r="M8">
        <f>TEXT(C8, "yyyy-mm")</f>
        <v/>
      </c>
    </row>
    <row r="9">
      <c r="A9" t="inlineStr">
        <is>
          <t>LN200008</t>
        </is>
      </c>
      <c r="B9" t="inlineStr">
        <is>
          <t>BOR100006</t>
        </is>
      </c>
      <c r="C9" s="8" t="n">
        <v>45728</v>
      </c>
      <c r="D9" s="9" t="n">
        <v>49000</v>
      </c>
      <c r="E9" t="n">
        <v>6</v>
      </c>
      <c r="F9" s="10" t="n">
        <v>0.21</v>
      </c>
      <c r="G9" t="inlineStr">
        <is>
          <t>Invoice Discounting</t>
        </is>
      </c>
      <c r="H9" t="inlineStr">
        <is>
          <t>LO006</t>
        </is>
      </c>
      <c r="I9" t="inlineStr">
        <is>
          <t>Mobile App</t>
        </is>
      </c>
      <c r="J9">
        <f>INDEX('Data - Borrowers'!$B$2:$B$851, MATCH(B9, 'Data - Borrowers'!$A$2:$A$851, 0))</f>
        <v/>
      </c>
      <c r="K9">
        <f>INDEX('Data - Borrowers'!$C$2:$C$851, MATCH(B9, 'Data - Borrowers'!$A$2:$A$851, 0))</f>
        <v/>
      </c>
      <c r="L9">
        <f>IF(D9&lt;100000, "Micro (&lt;100K)", IF(D9&lt;500000, "Small (100K-500K)", "Medium (500K+)"))</f>
        <v/>
      </c>
      <c r="M9">
        <f>TEXT(C9, "yyyy-mm")</f>
        <v/>
      </c>
    </row>
    <row r="10">
      <c r="A10" t="inlineStr">
        <is>
          <t>LN200009</t>
        </is>
      </c>
      <c r="B10" t="inlineStr">
        <is>
          <t>BOR100006</t>
        </is>
      </c>
      <c r="C10" s="8" t="n">
        <v>46128</v>
      </c>
      <c r="D10" s="9" t="n">
        <v>35000</v>
      </c>
      <c r="E10" t="n">
        <v>6</v>
      </c>
      <c r="F10" s="10" t="n">
        <v>0.122</v>
      </c>
      <c r="G10" t="inlineStr">
        <is>
          <t>Working Capital</t>
        </is>
      </c>
      <c r="H10" t="inlineStr">
        <is>
          <t>LO005</t>
        </is>
      </c>
      <c r="I10" t="inlineStr">
        <is>
          <t>Mobile App</t>
        </is>
      </c>
      <c r="J10">
        <f>INDEX('Data - Borrowers'!$B$2:$B$851, MATCH(B10, 'Data - Borrowers'!$A$2:$A$851, 0))</f>
        <v/>
      </c>
      <c r="K10">
        <f>INDEX('Data - Borrowers'!$C$2:$C$851, MATCH(B10, 'Data - Borrowers'!$A$2:$A$851, 0))</f>
        <v/>
      </c>
      <c r="L10">
        <f>IF(D10&lt;100000, "Micro (&lt;100K)", IF(D10&lt;500000, "Small (100K-500K)", "Medium (500K+)"))</f>
        <v/>
      </c>
      <c r="M10">
        <f>TEXT(C10, "yyyy-mm")</f>
        <v/>
      </c>
    </row>
    <row r="11">
      <c r="A11" t="inlineStr">
        <is>
          <t>LN200010</t>
        </is>
      </c>
      <c r="B11" t="inlineStr">
        <is>
          <t>BOR100007</t>
        </is>
      </c>
      <c r="C11" s="8" t="n">
        <v>45747</v>
      </c>
      <c r="D11" s="9" t="n">
        <v>78000</v>
      </c>
      <c r="E11" t="n">
        <v>6</v>
      </c>
      <c r="F11" s="10" t="n">
        <v>0.236</v>
      </c>
      <c r="G11" t="inlineStr">
        <is>
          <t>Working Capital</t>
        </is>
      </c>
      <c r="H11" t="inlineStr">
        <is>
          <t>LO002</t>
        </is>
      </c>
      <c r="I11" t="inlineStr">
        <is>
          <t>Partner Referral</t>
        </is>
      </c>
      <c r="J11">
        <f>INDEX('Data - Borrowers'!$B$2:$B$851, MATCH(B11, 'Data - Borrowers'!$A$2:$A$851, 0))</f>
        <v/>
      </c>
      <c r="K11">
        <f>INDEX('Data - Borrowers'!$C$2:$C$851, MATCH(B11, 'Data - Borrowers'!$A$2:$A$851, 0))</f>
        <v/>
      </c>
      <c r="L11">
        <f>IF(D11&lt;100000, "Micro (&lt;100K)", IF(D11&lt;500000, "Small (100K-500K)", "Medium (500K+)"))</f>
        <v/>
      </c>
      <c r="M11">
        <f>TEXT(C11, "yyyy-mm")</f>
        <v/>
      </c>
    </row>
    <row r="12">
      <c r="A12" t="inlineStr">
        <is>
          <t>LN200011</t>
        </is>
      </c>
      <c r="B12" t="inlineStr">
        <is>
          <t>BOR100007</t>
        </is>
      </c>
      <c r="C12" s="8" t="n">
        <v>46014</v>
      </c>
      <c r="D12" s="9" t="n">
        <v>48000</v>
      </c>
      <c r="E12" t="n">
        <v>6</v>
      </c>
      <c r="F12" s="10" t="n">
        <v>0.155</v>
      </c>
      <c r="G12" t="inlineStr">
        <is>
          <t>Working Capital</t>
        </is>
      </c>
      <c r="H12" t="inlineStr">
        <is>
          <t>LO002</t>
        </is>
      </c>
      <c r="I12" t="inlineStr">
        <is>
          <t>Mobile App</t>
        </is>
      </c>
      <c r="J12">
        <f>INDEX('Data - Borrowers'!$B$2:$B$851, MATCH(B12, 'Data - Borrowers'!$A$2:$A$851, 0))</f>
        <v/>
      </c>
      <c r="K12">
        <f>INDEX('Data - Borrowers'!$C$2:$C$851, MATCH(B12, 'Data - Borrowers'!$A$2:$A$851, 0))</f>
        <v/>
      </c>
      <c r="L12">
        <f>IF(D12&lt;100000, "Micro (&lt;100K)", IF(D12&lt;500000, "Small (100K-500K)", "Medium (500K+)"))</f>
        <v/>
      </c>
      <c r="M12">
        <f>TEXT(C12, "yyyy-mm")</f>
        <v/>
      </c>
    </row>
    <row r="13">
      <c r="A13" t="inlineStr">
        <is>
          <t>LN200012</t>
        </is>
      </c>
      <c r="B13" t="inlineStr">
        <is>
          <t>BOR100008</t>
        </is>
      </c>
      <c r="C13" s="8" t="n">
        <v>45728</v>
      </c>
      <c r="D13" s="9" t="n">
        <v>96000</v>
      </c>
      <c r="E13" t="n">
        <v>3</v>
      </c>
      <c r="F13" s="10" t="n">
        <v>0.173</v>
      </c>
      <c r="G13" t="inlineStr">
        <is>
          <t>Working Capital</t>
        </is>
      </c>
      <c r="H13" t="inlineStr">
        <is>
          <t>LO024</t>
        </is>
      </c>
      <c r="I13" t="inlineStr">
        <is>
          <t>Mobile App</t>
        </is>
      </c>
      <c r="J13">
        <f>INDEX('Data - Borrowers'!$B$2:$B$851, MATCH(B13, 'Data - Borrowers'!$A$2:$A$851, 0))</f>
        <v/>
      </c>
      <c r="K13">
        <f>INDEX('Data - Borrowers'!$C$2:$C$851, MATCH(B13, 'Data - Borrowers'!$A$2:$A$851, 0))</f>
        <v/>
      </c>
      <c r="L13">
        <f>IF(D13&lt;100000, "Micro (&lt;100K)", IF(D13&lt;500000, "Small (100K-500K)", "Medium (500K+)"))</f>
        <v/>
      </c>
      <c r="M13">
        <f>TEXT(C13, "yyyy-mm")</f>
        <v/>
      </c>
    </row>
    <row r="14">
      <c r="A14" t="inlineStr">
        <is>
          <t>LN200013</t>
        </is>
      </c>
      <c r="B14" t="inlineStr">
        <is>
          <t>BOR100009</t>
        </is>
      </c>
      <c r="C14" s="8" t="n">
        <v>45737</v>
      </c>
      <c r="D14" s="9" t="n">
        <v>183000</v>
      </c>
      <c r="E14" t="n">
        <v>12</v>
      </c>
      <c r="F14" s="10" t="n">
        <v>0.169</v>
      </c>
      <c r="G14" t="inlineStr">
        <is>
          <t>Working Capital</t>
        </is>
      </c>
      <c r="H14" t="inlineStr">
        <is>
          <t>LO009</t>
        </is>
      </c>
      <c r="I14" t="inlineStr">
        <is>
          <t>Branch</t>
        </is>
      </c>
      <c r="J14">
        <f>INDEX('Data - Borrowers'!$B$2:$B$851, MATCH(B14, 'Data - Borrowers'!$A$2:$A$851, 0))</f>
        <v/>
      </c>
      <c r="K14">
        <f>INDEX('Data - Borrowers'!$C$2:$C$851, MATCH(B14, 'Data - Borrowers'!$A$2:$A$851, 0))</f>
        <v/>
      </c>
      <c r="L14">
        <f>IF(D14&lt;100000, "Micro (&lt;100K)", IF(D14&lt;500000, "Small (100K-500K)", "Medium (500K+)"))</f>
        <v/>
      </c>
      <c r="M14">
        <f>TEXT(C14, "yyyy-mm")</f>
        <v/>
      </c>
    </row>
    <row r="15">
      <c r="A15" t="inlineStr">
        <is>
          <t>LN200014</t>
        </is>
      </c>
      <c r="B15" t="inlineStr">
        <is>
          <t>BOR100010</t>
        </is>
      </c>
      <c r="C15" s="8" t="n">
        <v>45892</v>
      </c>
      <c r="D15" s="9" t="n">
        <v>56000</v>
      </c>
      <c r="E15" t="n">
        <v>3</v>
      </c>
      <c r="F15" s="10" t="n">
        <v>0.188</v>
      </c>
      <c r="G15" t="inlineStr">
        <is>
          <t>Working Capital</t>
        </is>
      </c>
      <c r="H15" t="inlineStr">
        <is>
          <t>LO007</t>
        </is>
      </c>
      <c r="I15" t="inlineStr">
        <is>
          <t>Mobile App</t>
        </is>
      </c>
      <c r="J15">
        <f>INDEX('Data - Borrowers'!$B$2:$B$851, MATCH(B15, 'Data - Borrowers'!$A$2:$A$851, 0))</f>
        <v/>
      </c>
      <c r="K15">
        <f>INDEX('Data - Borrowers'!$C$2:$C$851, MATCH(B15, 'Data - Borrowers'!$A$2:$A$851, 0))</f>
        <v/>
      </c>
      <c r="L15">
        <f>IF(D15&lt;100000, "Micro (&lt;100K)", IF(D15&lt;500000, "Small (100K-500K)", "Medium (500K+)"))</f>
        <v/>
      </c>
      <c r="M15">
        <f>TEXT(C15, "yyyy-mm")</f>
        <v/>
      </c>
    </row>
    <row r="16">
      <c r="A16" t="inlineStr">
        <is>
          <t>LN200015</t>
        </is>
      </c>
      <c r="B16" t="inlineStr">
        <is>
          <t>BOR100011</t>
        </is>
      </c>
      <c r="C16" s="8" t="n">
        <v>45738</v>
      </c>
      <c r="D16" s="9" t="n">
        <v>111000</v>
      </c>
      <c r="E16" t="n">
        <v>6</v>
      </c>
      <c r="F16" s="10" t="n">
        <v>0.181</v>
      </c>
      <c r="G16" t="inlineStr">
        <is>
          <t>Working Capital</t>
        </is>
      </c>
      <c r="H16" t="inlineStr">
        <is>
          <t>LO011</t>
        </is>
      </c>
      <c r="I16" t="inlineStr">
        <is>
          <t>Mobile App</t>
        </is>
      </c>
      <c r="J16">
        <f>INDEX('Data - Borrowers'!$B$2:$B$851, MATCH(B16, 'Data - Borrowers'!$A$2:$A$851, 0))</f>
        <v/>
      </c>
      <c r="K16">
        <f>INDEX('Data - Borrowers'!$C$2:$C$851, MATCH(B16, 'Data - Borrowers'!$A$2:$A$851, 0))</f>
        <v/>
      </c>
      <c r="L16">
        <f>IF(D16&lt;100000, "Micro (&lt;100K)", IF(D16&lt;500000, "Small (100K-500K)", "Medium (500K+)"))</f>
        <v/>
      </c>
      <c r="M16">
        <f>TEXT(C16, "yyyy-mm")</f>
        <v/>
      </c>
    </row>
    <row r="17">
      <c r="A17" t="inlineStr">
        <is>
          <t>LN200016</t>
        </is>
      </c>
      <c r="B17" t="inlineStr">
        <is>
          <t>BOR100012</t>
        </is>
      </c>
      <c r="C17" s="8" t="n">
        <v>45774</v>
      </c>
      <c r="D17" s="9" t="n">
        <v>22000</v>
      </c>
      <c r="E17" t="n">
        <v>3</v>
      </c>
      <c r="F17" s="10" t="n">
        <v>0.216</v>
      </c>
      <c r="G17" t="inlineStr">
        <is>
          <t>Working Capital</t>
        </is>
      </c>
      <c r="H17" t="inlineStr">
        <is>
          <t>LO012</t>
        </is>
      </c>
      <c r="I17" t="inlineStr">
        <is>
          <t>Partner Referral</t>
        </is>
      </c>
      <c r="J17">
        <f>INDEX('Data - Borrowers'!$B$2:$B$851, MATCH(B17, 'Data - Borrowers'!$A$2:$A$851, 0))</f>
        <v/>
      </c>
      <c r="K17">
        <f>INDEX('Data - Borrowers'!$C$2:$C$851, MATCH(B17, 'Data - Borrowers'!$A$2:$A$851, 0))</f>
        <v/>
      </c>
      <c r="L17">
        <f>IF(D17&lt;100000, "Micro (&lt;100K)", IF(D17&lt;500000, "Small (100K-500K)", "Medium (500K+)"))</f>
        <v/>
      </c>
      <c r="M17">
        <f>TEXT(C17, "yyyy-mm")</f>
        <v/>
      </c>
    </row>
    <row r="18">
      <c r="A18" t="inlineStr">
        <is>
          <t>LN200017</t>
        </is>
      </c>
      <c r="B18" t="inlineStr">
        <is>
          <t>BOR100012</t>
        </is>
      </c>
      <c r="C18" s="8" t="n">
        <v>46235</v>
      </c>
      <c r="D18" s="9" t="n">
        <v>20000</v>
      </c>
      <c r="E18" t="n">
        <v>6</v>
      </c>
      <c r="F18" s="10" t="n">
        <v>0.198</v>
      </c>
      <c r="G18" t="inlineStr">
        <is>
          <t>Working Capital</t>
        </is>
      </c>
      <c r="H18" t="inlineStr">
        <is>
          <t>LO016</t>
        </is>
      </c>
      <c r="I18" t="inlineStr">
        <is>
          <t>Branch</t>
        </is>
      </c>
      <c r="J18">
        <f>INDEX('Data - Borrowers'!$B$2:$B$851, MATCH(B18, 'Data - Borrowers'!$A$2:$A$851, 0))</f>
        <v/>
      </c>
      <c r="K18">
        <f>INDEX('Data - Borrowers'!$C$2:$C$851, MATCH(B18, 'Data - Borrowers'!$A$2:$A$851, 0))</f>
        <v/>
      </c>
      <c r="L18">
        <f>IF(D18&lt;100000, "Micro (&lt;100K)", IF(D18&lt;500000, "Small (100K-500K)", "Medium (500K+)"))</f>
        <v/>
      </c>
      <c r="M18">
        <f>TEXT(C18, "yyyy-mm")</f>
        <v/>
      </c>
    </row>
    <row r="19">
      <c r="A19" t="inlineStr">
        <is>
          <t>LN200018</t>
        </is>
      </c>
      <c r="B19" t="inlineStr">
        <is>
          <t>BOR100013</t>
        </is>
      </c>
      <c r="C19" s="8" t="n">
        <v>46163</v>
      </c>
      <c r="D19" s="9" t="n">
        <v>85000</v>
      </c>
      <c r="E19" t="n">
        <v>3</v>
      </c>
      <c r="F19" s="10" t="n">
        <v>0.224</v>
      </c>
      <c r="G19" t="inlineStr">
        <is>
          <t>Working Capital</t>
        </is>
      </c>
      <c r="H19" t="inlineStr">
        <is>
          <t>LO023</t>
        </is>
      </c>
      <c r="I19" t="inlineStr">
        <is>
          <t>Partner Referral</t>
        </is>
      </c>
      <c r="J19">
        <f>INDEX('Data - Borrowers'!$B$2:$B$851, MATCH(B19, 'Data - Borrowers'!$A$2:$A$851, 0))</f>
        <v/>
      </c>
      <c r="K19">
        <f>INDEX('Data - Borrowers'!$C$2:$C$851, MATCH(B19, 'Data - Borrowers'!$A$2:$A$851, 0))</f>
        <v/>
      </c>
      <c r="L19">
        <f>IF(D19&lt;100000, "Micro (&lt;100K)", IF(D19&lt;500000, "Small (100K-500K)", "Medium (500K+)"))</f>
        <v/>
      </c>
      <c r="M19">
        <f>TEXT(C19, "yyyy-mm")</f>
        <v/>
      </c>
    </row>
    <row r="20">
      <c r="A20" t="inlineStr">
        <is>
          <t>LN200019</t>
        </is>
      </c>
      <c r="B20" t="inlineStr">
        <is>
          <t>BOR100014</t>
        </is>
      </c>
      <c r="C20" s="8" t="n">
        <v>45931</v>
      </c>
      <c r="D20" s="9" t="n">
        <v>197000</v>
      </c>
      <c r="E20" t="n">
        <v>12</v>
      </c>
      <c r="F20" s="10" t="n">
        <v>0.166</v>
      </c>
      <c r="G20" t="inlineStr">
        <is>
          <t>Invoice Discounting</t>
        </is>
      </c>
      <c r="H20" t="inlineStr">
        <is>
          <t>LO024</t>
        </is>
      </c>
      <c r="I20" t="inlineStr">
        <is>
          <t>Branch</t>
        </is>
      </c>
      <c r="J20">
        <f>INDEX('Data - Borrowers'!$B$2:$B$851, MATCH(B20, 'Data - Borrowers'!$A$2:$A$851, 0))</f>
        <v/>
      </c>
      <c r="K20">
        <f>INDEX('Data - Borrowers'!$C$2:$C$851, MATCH(B20, 'Data - Borrowers'!$A$2:$A$851, 0))</f>
        <v/>
      </c>
      <c r="L20">
        <f>IF(D20&lt;100000, "Micro (&lt;100K)", IF(D20&lt;500000, "Small (100K-500K)", "Medium (500K+)"))</f>
        <v/>
      </c>
      <c r="M20">
        <f>TEXT(C20, "yyyy-mm")</f>
        <v/>
      </c>
    </row>
    <row r="21">
      <c r="A21" t="inlineStr">
        <is>
          <t>LN200020</t>
        </is>
      </c>
      <c r="B21" t="inlineStr">
        <is>
          <t>BOR100015</t>
        </is>
      </c>
      <c r="C21" s="8" t="n">
        <v>46194</v>
      </c>
      <c r="D21" s="9" t="n">
        <v>133000</v>
      </c>
      <c r="E21" t="n">
        <v>9</v>
      </c>
      <c r="F21" s="10" t="n">
        <v>0.156</v>
      </c>
      <c r="G21" t="inlineStr">
        <is>
          <t>Working Capital</t>
        </is>
      </c>
      <c r="H21" t="inlineStr">
        <is>
          <t>LO018</t>
        </is>
      </c>
      <c r="I21" t="inlineStr">
        <is>
          <t>Partner Referral</t>
        </is>
      </c>
      <c r="J21">
        <f>INDEX('Data - Borrowers'!$B$2:$B$851, MATCH(B21, 'Data - Borrowers'!$A$2:$A$851, 0))</f>
        <v/>
      </c>
      <c r="K21">
        <f>INDEX('Data - Borrowers'!$C$2:$C$851, MATCH(B21, 'Data - Borrowers'!$A$2:$A$851, 0))</f>
        <v/>
      </c>
      <c r="L21">
        <f>IF(D21&lt;100000, "Micro (&lt;100K)", IF(D21&lt;500000, "Small (100K-500K)", "Medium (500K+)"))</f>
        <v/>
      </c>
      <c r="M21">
        <f>TEXT(C21, "yyyy-mm")</f>
        <v/>
      </c>
    </row>
    <row r="22">
      <c r="A22" t="inlineStr">
        <is>
          <t>LN200021</t>
        </is>
      </c>
      <c r="B22" t="inlineStr">
        <is>
          <t>BOR100016</t>
        </is>
      </c>
      <c r="C22" s="8" t="n">
        <v>46205</v>
      </c>
      <c r="D22" s="9" t="n">
        <v>34000</v>
      </c>
      <c r="E22" t="n">
        <v>12</v>
      </c>
      <c r="F22" s="10" t="n">
        <v>0.157</v>
      </c>
      <c r="G22" t="inlineStr">
        <is>
          <t>Working Capital</t>
        </is>
      </c>
      <c r="H22" t="inlineStr">
        <is>
          <t>LO005</t>
        </is>
      </c>
      <c r="I22" t="inlineStr">
        <is>
          <t>Branch</t>
        </is>
      </c>
      <c r="J22">
        <f>INDEX('Data - Borrowers'!$B$2:$B$851, MATCH(B22, 'Data - Borrowers'!$A$2:$A$851, 0))</f>
        <v/>
      </c>
      <c r="K22">
        <f>INDEX('Data - Borrowers'!$C$2:$C$851, MATCH(B22, 'Data - Borrowers'!$A$2:$A$851, 0))</f>
        <v/>
      </c>
      <c r="L22">
        <f>IF(D22&lt;100000, "Micro (&lt;100K)", IF(D22&lt;500000, "Small (100K-500K)", "Medium (500K+)"))</f>
        <v/>
      </c>
      <c r="M22">
        <f>TEXT(C22, "yyyy-mm")</f>
        <v/>
      </c>
    </row>
    <row r="23">
      <c r="A23" t="inlineStr">
        <is>
          <t>LN200022</t>
        </is>
      </c>
      <c r="B23" t="inlineStr">
        <is>
          <t>BOR100017</t>
        </is>
      </c>
      <c r="C23" s="8" t="n">
        <v>46024</v>
      </c>
      <c r="D23" s="9" t="n">
        <v>262000</v>
      </c>
      <c r="E23" t="n">
        <v>9</v>
      </c>
      <c r="F23" s="10" t="n">
        <v>0.19</v>
      </c>
      <c r="G23" t="inlineStr">
        <is>
          <t>Invoice Discounting</t>
        </is>
      </c>
      <c r="H23" t="inlineStr">
        <is>
          <t>LO012</t>
        </is>
      </c>
      <c r="I23" t="inlineStr">
        <is>
          <t>Partner Referral</t>
        </is>
      </c>
      <c r="J23">
        <f>INDEX('Data - Borrowers'!$B$2:$B$851, MATCH(B23, 'Data - Borrowers'!$A$2:$A$851, 0))</f>
        <v/>
      </c>
      <c r="K23">
        <f>INDEX('Data - Borrowers'!$C$2:$C$851, MATCH(B23, 'Data - Borrowers'!$A$2:$A$851, 0))</f>
        <v/>
      </c>
      <c r="L23">
        <f>IF(D23&lt;100000, "Micro (&lt;100K)", IF(D23&lt;500000, "Small (100K-500K)", "Medium (500K+)"))</f>
        <v/>
      </c>
      <c r="M23">
        <f>TEXT(C23, "yyyy-mm")</f>
        <v/>
      </c>
    </row>
    <row r="24">
      <c r="A24" t="inlineStr">
        <is>
          <t>LN200023</t>
        </is>
      </c>
      <c r="B24" t="inlineStr">
        <is>
          <t>BOR100018</t>
        </is>
      </c>
      <c r="C24" s="8" t="n">
        <v>45841</v>
      </c>
      <c r="D24" s="9" t="n">
        <v>146000</v>
      </c>
      <c r="E24" t="n">
        <v>9</v>
      </c>
      <c r="F24" s="10" t="n">
        <v>0.207</v>
      </c>
      <c r="G24" t="inlineStr">
        <is>
          <t>Working Capital</t>
        </is>
      </c>
      <c r="H24" t="inlineStr">
        <is>
          <t>LO007</t>
        </is>
      </c>
      <c r="I24" t="inlineStr">
        <is>
          <t>Mobile App</t>
        </is>
      </c>
      <c r="J24">
        <f>INDEX('Data - Borrowers'!$B$2:$B$851, MATCH(B24, 'Data - Borrowers'!$A$2:$A$851, 0))</f>
        <v/>
      </c>
      <c r="K24">
        <f>INDEX('Data - Borrowers'!$C$2:$C$851, MATCH(B24, 'Data - Borrowers'!$A$2:$A$851, 0))</f>
        <v/>
      </c>
      <c r="L24">
        <f>IF(D24&lt;100000, "Micro (&lt;100K)", IF(D24&lt;500000, "Small (100K-500K)", "Medium (500K+)"))</f>
        <v/>
      </c>
      <c r="M24">
        <f>TEXT(C24, "yyyy-mm")</f>
        <v/>
      </c>
    </row>
    <row r="25">
      <c r="A25" t="inlineStr">
        <is>
          <t>LN200024</t>
        </is>
      </c>
      <c r="B25" t="inlineStr">
        <is>
          <t>BOR100019</t>
        </is>
      </c>
      <c r="C25" s="8" t="n">
        <v>45865</v>
      </c>
      <c r="D25" s="9" t="n">
        <v>36000</v>
      </c>
      <c r="E25" t="n">
        <v>6</v>
      </c>
      <c r="F25" s="10" t="n">
        <v>0.154</v>
      </c>
      <c r="G25" t="inlineStr">
        <is>
          <t>Invoice Discounting</t>
        </is>
      </c>
      <c r="H25" t="inlineStr">
        <is>
          <t>LO016</t>
        </is>
      </c>
      <c r="I25" t="inlineStr">
        <is>
          <t>Mobile App</t>
        </is>
      </c>
      <c r="J25">
        <f>INDEX('Data - Borrowers'!$B$2:$B$851, MATCH(B25, 'Data - Borrowers'!$A$2:$A$851, 0))</f>
        <v/>
      </c>
      <c r="K25">
        <f>INDEX('Data - Borrowers'!$C$2:$C$851, MATCH(B25, 'Data - Borrowers'!$A$2:$A$851, 0))</f>
        <v/>
      </c>
      <c r="L25">
        <f>IF(D25&lt;100000, "Micro (&lt;100K)", IF(D25&lt;500000, "Small (100K-500K)", "Medium (500K+)"))</f>
        <v/>
      </c>
      <c r="M25">
        <f>TEXT(C25, "yyyy-mm")</f>
        <v/>
      </c>
    </row>
    <row r="26">
      <c r="A26" t="inlineStr">
        <is>
          <t>LN200025</t>
        </is>
      </c>
      <c r="B26" t="inlineStr">
        <is>
          <t>BOR100020</t>
        </is>
      </c>
      <c r="C26" s="8" t="n">
        <v>46220</v>
      </c>
      <c r="D26" s="9" t="n">
        <v>71000</v>
      </c>
      <c r="E26" t="n">
        <v>6</v>
      </c>
      <c r="F26" s="10" t="n">
        <v>0.125</v>
      </c>
      <c r="G26" t="inlineStr">
        <is>
          <t>Asset Finance</t>
        </is>
      </c>
      <c r="H26" t="inlineStr">
        <is>
          <t>LO009</t>
        </is>
      </c>
      <c r="I26" t="inlineStr">
        <is>
          <t>Partner Referral</t>
        </is>
      </c>
      <c r="J26">
        <f>INDEX('Data - Borrowers'!$B$2:$B$851, MATCH(B26, 'Data - Borrowers'!$A$2:$A$851, 0))</f>
        <v/>
      </c>
      <c r="K26">
        <f>INDEX('Data - Borrowers'!$C$2:$C$851, MATCH(B26, 'Data - Borrowers'!$A$2:$A$851, 0))</f>
        <v/>
      </c>
      <c r="L26">
        <f>IF(D26&lt;100000, "Micro (&lt;100K)", IF(D26&lt;500000, "Small (100K-500K)", "Medium (500K+)"))</f>
        <v/>
      </c>
      <c r="M26">
        <f>TEXT(C26, "yyyy-mm")</f>
        <v/>
      </c>
    </row>
    <row r="27">
      <c r="A27" t="inlineStr">
        <is>
          <t>LN200026</t>
        </is>
      </c>
      <c r="B27" t="inlineStr">
        <is>
          <t>BOR100021</t>
        </is>
      </c>
      <c r="C27" s="8" t="n">
        <v>46099</v>
      </c>
      <c r="D27" s="9" t="n">
        <v>50000</v>
      </c>
      <c r="E27" t="n">
        <v>9</v>
      </c>
      <c r="F27" s="10" t="n">
        <v>0.125</v>
      </c>
      <c r="G27" t="inlineStr">
        <is>
          <t>Working Capital</t>
        </is>
      </c>
      <c r="H27" t="inlineStr">
        <is>
          <t>LO009</t>
        </is>
      </c>
      <c r="I27" t="inlineStr">
        <is>
          <t>Mobile App</t>
        </is>
      </c>
      <c r="J27">
        <f>INDEX('Data - Borrowers'!$B$2:$B$851, MATCH(B27, 'Data - Borrowers'!$A$2:$A$851, 0))</f>
        <v/>
      </c>
      <c r="K27">
        <f>INDEX('Data - Borrowers'!$C$2:$C$851, MATCH(B27, 'Data - Borrowers'!$A$2:$A$851, 0))</f>
        <v/>
      </c>
      <c r="L27">
        <f>IF(D27&lt;100000, "Micro (&lt;100K)", IF(D27&lt;500000, "Small (100K-500K)", "Medium (500K+)"))</f>
        <v/>
      </c>
      <c r="M27">
        <f>TEXT(C27, "yyyy-mm")</f>
        <v/>
      </c>
    </row>
    <row r="28">
      <c r="A28" t="inlineStr">
        <is>
          <t>LN200027</t>
        </is>
      </c>
      <c r="B28" t="inlineStr">
        <is>
          <t>BOR100022</t>
        </is>
      </c>
      <c r="C28" s="8" t="n">
        <v>46190</v>
      </c>
      <c r="D28" s="9" t="n">
        <v>39000</v>
      </c>
      <c r="E28" t="n">
        <v>6</v>
      </c>
      <c r="F28" s="10" t="n">
        <v>0.212</v>
      </c>
      <c r="G28" t="inlineStr">
        <is>
          <t>Invoice Discounting</t>
        </is>
      </c>
      <c r="H28" t="inlineStr">
        <is>
          <t>LO016</t>
        </is>
      </c>
      <c r="I28" t="inlineStr">
        <is>
          <t>Branch</t>
        </is>
      </c>
      <c r="J28">
        <f>INDEX('Data - Borrowers'!$B$2:$B$851, MATCH(B28, 'Data - Borrowers'!$A$2:$A$851, 0))</f>
        <v/>
      </c>
      <c r="K28">
        <f>INDEX('Data - Borrowers'!$C$2:$C$851, MATCH(B28, 'Data - Borrowers'!$A$2:$A$851, 0))</f>
        <v/>
      </c>
      <c r="L28">
        <f>IF(D28&lt;100000, "Micro (&lt;100K)", IF(D28&lt;500000, "Small (100K-500K)", "Medium (500K+)"))</f>
        <v/>
      </c>
      <c r="M28">
        <f>TEXT(C28, "yyyy-mm")</f>
        <v/>
      </c>
    </row>
    <row r="29">
      <c r="A29" t="inlineStr">
        <is>
          <t>LN200028</t>
        </is>
      </c>
      <c r="B29" t="inlineStr">
        <is>
          <t>BOR100023</t>
        </is>
      </c>
      <c r="C29" s="8" t="n">
        <v>45916</v>
      </c>
      <c r="D29" s="9" t="n">
        <v>84000</v>
      </c>
      <c r="E29" t="n">
        <v>12</v>
      </c>
      <c r="F29" s="10" t="n">
        <v>0.2</v>
      </c>
      <c r="G29" t="inlineStr">
        <is>
          <t>Working Capital</t>
        </is>
      </c>
      <c r="H29" t="inlineStr">
        <is>
          <t>LO005</t>
        </is>
      </c>
      <c r="I29" t="inlineStr">
        <is>
          <t>Partner Referral</t>
        </is>
      </c>
      <c r="J29">
        <f>INDEX('Data - Borrowers'!$B$2:$B$851, MATCH(B29, 'Data - Borrowers'!$A$2:$A$851, 0))</f>
        <v/>
      </c>
      <c r="K29">
        <f>INDEX('Data - Borrowers'!$C$2:$C$851, MATCH(B29, 'Data - Borrowers'!$A$2:$A$851, 0))</f>
        <v/>
      </c>
      <c r="L29">
        <f>IF(D29&lt;100000, "Micro (&lt;100K)", IF(D29&lt;500000, "Small (100K-500K)", "Medium (500K+)"))</f>
        <v/>
      </c>
      <c r="M29">
        <f>TEXT(C29, "yyyy-mm")</f>
        <v/>
      </c>
    </row>
    <row r="30">
      <c r="A30" t="inlineStr">
        <is>
          <t>LN200029</t>
        </is>
      </c>
      <c r="B30" t="inlineStr">
        <is>
          <t>BOR100024</t>
        </is>
      </c>
      <c r="C30" s="8" t="n">
        <v>46163</v>
      </c>
      <c r="D30" s="9" t="n">
        <v>257000</v>
      </c>
      <c r="E30" t="n">
        <v>12</v>
      </c>
      <c r="F30" s="10" t="n">
        <v>0.156</v>
      </c>
      <c r="G30" t="inlineStr">
        <is>
          <t>Working Capital</t>
        </is>
      </c>
      <c r="H30" t="inlineStr">
        <is>
          <t>LO009</t>
        </is>
      </c>
      <c r="I30" t="inlineStr">
        <is>
          <t>Mobile App</t>
        </is>
      </c>
      <c r="J30">
        <f>INDEX('Data - Borrowers'!$B$2:$B$851, MATCH(B30, 'Data - Borrowers'!$A$2:$A$851, 0))</f>
        <v/>
      </c>
      <c r="K30">
        <f>INDEX('Data - Borrowers'!$C$2:$C$851, MATCH(B30, 'Data - Borrowers'!$A$2:$A$851, 0))</f>
        <v/>
      </c>
      <c r="L30">
        <f>IF(D30&lt;100000, "Micro (&lt;100K)", IF(D30&lt;500000, "Small (100K-500K)", "Medium (500K+)"))</f>
        <v/>
      </c>
      <c r="M30">
        <f>TEXT(C30, "yyyy-mm")</f>
        <v/>
      </c>
    </row>
    <row r="31">
      <c r="A31" t="inlineStr">
        <is>
          <t>LN200030</t>
        </is>
      </c>
      <c r="B31" t="inlineStr">
        <is>
          <t>BOR100025</t>
        </is>
      </c>
      <c r="C31" s="8" t="n">
        <v>46092</v>
      </c>
      <c r="D31" s="9" t="n">
        <v>96000</v>
      </c>
      <c r="E31" t="n">
        <v>3</v>
      </c>
      <c r="F31" s="10" t="n">
        <v>0.21</v>
      </c>
      <c r="G31" t="inlineStr">
        <is>
          <t>Asset Finance</t>
        </is>
      </c>
      <c r="H31" t="inlineStr">
        <is>
          <t>LO019</t>
        </is>
      </c>
      <c r="I31" t="inlineStr">
        <is>
          <t>Branch</t>
        </is>
      </c>
      <c r="J31">
        <f>INDEX('Data - Borrowers'!$B$2:$B$851, MATCH(B31, 'Data - Borrowers'!$A$2:$A$851, 0))</f>
        <v/>
      </c>
      <c r="K31">
        <f>INDEX('Data - Borrowers'!$C$2:$C$851, MATCH(B31, 'Data - Borrowers'!$A$2:$A$851, 0))</f>
        <v/>
      </c>
      <c r="L31">
        <f>IF(D31&lt;100000, "Micro (&lt;100K)", IF(D31&lt;500000, "Small (100K-500K)", "Medium (500K+)"))</f>
        <v/>
      </c>
      <c r="M31">
        <f>TEXT(C31, "yyyy-mm")</f>
        <v/>
      </c>
    </row>
    <row r="32">
      <c r="A32" t="inlineStr">
        <is>
          <t>LN200032</t>
        </is>
      </c>
      <c r="B32" t="inlineStr">
        <is>
          <t>BOR100026</t>
        </is>
      </c>
      <c r="C32" s="8" t="n">
        <v>46034</v>
      </c>
      <c r="D32" s="9" t="n">
        <v>138000</v>
      </c>
      <c r="E32" t="n">
        <v>9</v>
      </c>
      <c r="F32" s="10" t="n">
        <v>0.164</v>
      </c>
      <c r="G32" t="inlineStr">
        <is>
          <t>Invoice Discounting</t>
        </is>
      </c>
      <c r="H32" t="inlineStr">
        <is>
          <t>LO008</t>
        </is>
      </c>
      <c r="I32" t="inlineStr">
        <is>
          <t>Branch</t>
        </is>
      </c>
      <c r="J32">
        <f>INDEX('Data - Borrowers'!$B$2:$B$851, MATCH(B32, 'Data - Borrowers'!$A$2:$A$851, 0))</f>
        <v/>
      </c>
      <c r="K32">
        <f>INDEX('Data - Borrowers'!$C$2:$C$851, MATCH(B32, 'Data - Borrowers'!$A$2:$A$851, 0))</f>
        <v/>
      </c>
      <c r="L32">
        <f>IF(D32&lt;100000, "Micro (&lt;100K)", IF(D32&lt;500000, "Small (100K-500K)", "Medium (500K+)"))</f>
        <v/>
      </c>
      <c r="M32">
        <f>TEXT(C32, "yyyy-mm")</f>
        <v/>
      </c>
    </row>
    <row r="33">
      <c r="A33" t="inlineStr">
        <is>
          <t>LN200034</t>
        </is>
      </c>
      <c r="B33" t="inlineStr">
        <is>
          <t>BOR100027</t>
        </is>
      </c>
      <c r="C33" s="8" t="n">
        <v>46148</v>
      </c>
      <c r="D33" s="9" t="n">
        <v>106000</v>
      </c>
      <c r="E33" t="n">
        <v>12</v>
      </c>
      <c r="F33" s="10" t="n">
        <v>0.171</v>
      </c>
      <c r="G33" t="inlineStr">
        <is>
          <t>Invoice Discounting</t>
        </is>
      </c>
      <c r="H33" t="inlineStr">
        <is>
          <t>LO004</t>
        </is>
      </c>
      <c r="I33" t="inlineStr">
        <is>
          <t>Branch</t>
        </is>
      </c>
      <c r="J33">
        <f>INDEX('Data - Borrowers'!$B$2:$B$851, MATCH(B33, 'Data - Borrowers'!$A$2:$A$851, 0))</f>
        <v/>
      </c>
      <c r="K33">
        <f>INDEX('Data - Borrowers'!$C$2:$C$851, MATCH(B33, 'Data - Borrowers'!$A$2:$A$851, 0))</f>
        <v/>
      </c>
      <c r="L33">
        <f>IF(D33&lt;100000, "Micro (&lt;100K)", IF(D33&lt;500000, "Small (100K-500K)", "Medium (500K+)"))</f>
        <v/>
      </c>
      <c r="M33">
        <f>TEXT(C33, "yyyy-mm")</f>
        <v/>
      </c>
    </row>
    <row r="34">
      <c r="A34" t="inlineStr">
        <is>
          <t>LN200035</t>
        </is>
      </c>
      <c r="B34" t="inlineStr">
        <is>
          <t>BOR100028</t>
        </is>
      </c>
      <c r="C34" s="8" t="n">
        <v>45671</v>
      </c>
      <c r="D34" s="9" t="n">
        <v>48000</v>
      </c>
      <c r="E34" t="n">
        <v>18</v>
      </c>
      <c r="F34" s="10" t="n">
        <v>0.192</v>
      </c>
      <c r="G34" t="inlineStr">
        <is>
          <t>Working Capital</t>
        </is>
      </c>
      <c r="H34" t="inlineStr">
        <is>
          <t>LO008</t>
        </is>
      </c>
      <c r="I34" t="inlineStr">
        <is>
          <t>Branch</t>
        </is>
      </c>
      <c r="J34">
        <f>INDEX('Data - Borrowers'!$B$2:$B$851, MATCH(B34, 'Data - Borrowers'!$A$2:$A$851, 0))</f>
        <v/>
      </c>
      <c r="K34">
        <f>INDEX('Data - Borrowers'!$C$2:$C$851, MATCH(B34, 'Data - Borrowers'!$A$2:$A$851, 0))</f>
        <v/>
      </c>
      <c r="L34">
        <f>IF(D34&lt;100000, "Micro (&lt;100K)", IF(D34&lt;500000, "Small (100K-500K)", "Medium (500K+)"))</f>
        <v/>
      </c>
      <c r="M34">
        <f>TEXT(C34, "yyyy-mm")</f>
        <v/>
      </c>
    </row>
    <row r="35">
      <c r="A35" t="inlineStr">
        <is>
          <t>LN200036</t>
        </is>
      </c>
      <c r="B35" t="inlineStr">
        <is>
          <t>BOR100028</t>
        </is>
      </c>
      <c r="C35" s="8" t="n">
        <v>46104</v>
      </c>
      <c r="D35" s="9" t="n">
        <v>76000</v>
      </c>
      <c r="E35" t="n">
        <v>9</v>
      </c>
      <c r="F35" s="10" t="n">
        <v>0.219</v>
      </c>
      <c r="G35" t="inlineStr">
        <is>
          <t>Working Capital</t>
        </is>
      </c>
      <c r="H35" t="inlineStr">
        <is>
          <t>LO006</t>
        </is>
      </c>
      <c r="I35" t="inlineStr">
        <is>
          <t>Branch</t>
        </is>
      </c>
      <c r="J35">
        <f>INDEX('Data - Borrowers'!$B$2:$B$851, MATCH(B35, 'Data - Borrowers'!$A$2:$A$851, 0))</f>
        <v/>
      </c>
      <c r="K35">
        <f>INDEX('Data - Borrowers'!$C$2:$C$851, MATCH(B35, 'Data - Borrowers'!$A$2:$A$851, 0))</f>
        <v/>
      </c>
      <c r="L35">
        <f>IF(D35&lt;100000, "Micro (&lt;100K)", IF(D35&lt;500000, "Small (100K-500K)", "Medium (500K+)"))</f>
        <v/>
      </c>
      <c r="M35">
        <f>TEXT(C35, "yyyy-mm")</f>
        <v/>
      </c>
    </row>
    <row r="36">
      <c r="A36" t="inlineStr">
        <is>
          <t>LN200037</t>
        </is>
      </c>
      <c r="B36" t="inlineStr">
        <is>
          <t>BOR100029</t>
        </is>
      </c>
      <c r="C36" s="8" t="n">
        <v>45784</v>
      </c>
      <c r="D36" s="9" t="n">
        <v>121000</v>
      </c>
      <c r="E36" t="n">
        <v>3</v>
      </c>
      <c r="F36" s="10" t="n">
        <v>0.13</v>
      </c>
      <c r="G36" t="inlineStr">
        <is>
          <t>Working Capital</t>
        </is>
      </c>
      <c r="H36" t="inlineStr">
        <is>
          <t>LO005</t>
        </is>
      </c>
      <c r="I36" t="inlineStr">
        <is>
          <t>Mobile App</t>
        </is>
      </c>
      <c r="J36">
        <f>INDEX('Data - Borrowers'!$B$2:$B$851, MATCH(B36, 'Data - Borrowers'!$A$2:$A$851, 0))</f>
        <v/>
      </c>
      <c r="K36">
        <f>INDEX('Data - Borrowers'!$C$2:$C$851, MATCH(B36, 'Data - Borrowers'!$A$2:$A$851, 0))</f>
        <v/>
      </c>
      <c r="L36">
        <f>IF(D36&lt;100000, "Micro (&lt;100K)", IF(D36&lt;500000, "Small (100K-500K)", "Medium (500K+)"))</f>
        <v/>
      </c>
      <c r="M36">
        <f>TEXT(C36, "yyyy-mm")</f>
        <v/>
      </c>
    </row>
    <row r="37">
      <c r="A37" t="inlineStr">
        <is>
          <t>LN200038</t>
        </is>
      </c>
      <c r="B37" t="inlineStr">
        <is>
          <t>BOR100029</t>
        </is>
      </c>
      <c r="C37" s="8" t="n">
        <v>45981</v>
      </c>
      <c r="D37" s="9" t="n">
        <v>143000</v>
      </c>
      <c r="E37" t="n">
        <v>6</v>
      </c>
      <c r="F37" s="10" t="n">
        <v>0.176</v>
      </c>
      <c r="G37" t="inlineStr">
        <is>
          <t>Asset Finance</t>
        </is>
      </c>
      <c r="H37" t="inlineStr">
        <is>
          <t>LO024</t>
        </is>
      </c>
      <c r="I37" t="inlineStr">
        <is>
          <t>Mobile App</t>
        </is>
      </c>
      <c r="J37">
        <f>INDEX('Data - Borrowers'!$B$2:$B$851, MATCH(B37, 'Data - Borrowers'!$A$2:$A$851, 0))</f>
        <v/>
      </c>
      <c r="K37">
        <f>INDEX('Data - Borrowers'!$C$2:$C$851, MATCH(B37, 'Data - Borrowers'!$A$2:$A$851, 0))</f>
        <v/>
      </c>
      <c r="L37">
        <f>IF(D37&lt;100000, "Micro (&lt;100K)", IF(D37&lt;500000, "Small (100K-500K)", "Medium (500K+)"))</f>
        <v/>
      </c>
      <c r="M37">
        <f>TEXT(C37, "yyyy-mm")</f>
        <v/>
      </c>
    </row>
    <row r="38">
      <c r="A38" t="inlineStr">
        <is>
          <t>LN200039</t>
        </is>
      </c>
      <c r="B38" t="inlineStr">
        <is>
          <t>BOR100030</t>
        </is>
      </c>
      <c r="C38" s="8" t="n">
        <v>45836</v>
      </c>
      <c r="D38" s="9" t="n">
        <v>77000</v>
      </c>
      <c r="E38" t="n">
        <v>9</v>
      </c>
      <c r="F38" s="10" t="n">
        <v>0.202</v>
      </c>
      <c r="G38" t="inlineStr">
        <is>
          <t>Working Capital</t>
        </is>
      </c>
      <c r="H38" t="inlineStr">
        <is>
          <t>LO008</t>
        </is>
      </c>
      <c r="I38" t="inlineStr">
        <is>
          <t>Mobile App</t>
        </is>
      </c>
      <c r="J38">
        <f>INDEX('Data - Borrowers'!$B$2:$B$851, MATCH(B38, 'Data - Borrowers'!$A$2:$A$851, 0))</f>
        <v/>
      </c>
      <c r="K38">
        <f>INDEX('Data - Borrowers'!$C$2:$C$851, MATCH(B38, 'Data - Borrowers'!$A$2:$A$851, 0))</f>
        <v/>
      </c>
      <c r="L38">
        <f>IF(D38&lt;100000, "Micro (&lt;100K)", IF(D38&lt;500000, "Small (100K-500K)", "Medium (500K+)"))</f>
        <v/>
      </c>
      <c r="M38">
        <f>TEXT(C38, "yyyy-mm")</f>
        <v/>
      </c>
    </row>
    <row r="39">
      <c r="A39" t="inlineStr">
        <is>
          <t>LN200040</t>
        </is>
      </c>
      <c r="B39" t="inlineStr">
        <is>
          <t>BOR100031</t>
        </is>
      </c>
      <c r="C39" s="8" t="n">
        <v>46083</v>
      </c>
      <c r="D39" s="9" t="n">
        <v>55000</v>
      </c>
      <c r="E39" t="n">
        <v>9</v>
      </c>
      <c r="F39" s="10" t="n">
        <v>0.14</v>
      </c>
      <c r="G39" t="inlineStr">
        <is>
          <t>Asset Finance</t>
        </is>
      </c>
      <c r="H39" t="inlineStr">
        <is>
          <t>LO004</t>
        </is>
      </c>
      <c r="I39" t="inlineStr">
        <is>
          <t>Mobile App</t>
        </is>
      </c>
      <c r="J39">
        <f>INDEX('Data - Borrowers'!$B$2:$B$851, MATCH(B39, 'Data - Borrowers'!$A$2:$A$851, 0))</f>
        <v/>
      </c>
      <c r="K39">
        <f>INDEX('Data - Borrowers'!$C$2:$C$851, MATCH(B39, 'Data - Borrowers'!$A$2:$A$851, 0))</f>
        <v/>
      </c>
      <c r="L39">
        <f>IF(D39&lt;100000, "Micro (&lt;100K)", IF(D39&lt;500000, "Small (100K-500K)", "Medium (500K+)"))</f>
        <v/>
      </c>
      <c r="M39">
        <f>TEXT(C39, "yyyy-mm")</f>
        <v/>
      </c>
    </row>
    <row r="40">
      <c r="A40" t="inlineStr">
        <is>
          <t>LN200041</t>
        </is>
      </c>
      <c r="B40" t="inlineStr">
        <is>
          <t>BOR100032</t>
        </is>
      </c>
      <c r="C40" s="8" t="n">
        <v>46176</v>
      </c>
      <c r="D40" s="9" t="n">
        <v>20000</v>
      </c>
      <c r="E40" t="n">
        <v>6</v>
      </c>
      <c r="F40" s="10" t="n">
        <v>0.207</v>
      </c>
      <c r="G40" t="inlineStr">
        <is>
          <t>Asset Finance</t>
        </is>
      </c>
      <c r="H40" t="inlineStr">
        <is>
          <t>LO007</t>
        </is>
      </c>
      <c r="I40" t="inlineStr">
        <is>
          <t>Mobile App</t>
        </is>
      </c>
      <c r="J40">
        <f>INDEX('Data - Borrowers'!$B$2:$B$851, MATCH(B40, 'Data - Borrowers'!$A$2:$A$851, 0))</f>
        <v/>
      </c>
      <c r="K40">
        <f>INDEX('Data - Borrowers'!$C$2:$C$851, MATCH(B40, 'Data - Borrowers'!$A$2:$A$851, 0))</f>
        <v/>
      </c>
      <c r="L40">
        <f>IF(D40&lt;100000, "Micro (&lt;100K)", IF(D40&lt;500000, "Small (100K-500K)", "Medium (500K+)"))</f>
        <v/>
      </c>
      <c r="M40">
        <f>TEXT(C40, "yyyy-mm")</f>
        <v/>
      </c>
    </row>
    <row r="41">
      <c r="A41" t="inlineStr">
        <is>
          <t>LN200043</t>
        </is>
      </c>
      <c r="B41" t="inlineStr">
        <is>
          <t>BOR100033</t>
        </is>
      </c>
      <c r="C41" s="8" t="n">
        <v>45676</v>
      </c>
      <c r="D41" s="9" t="n">
        <v>32000</v>
      </c>
      <c r="E41" t="n">
        <v>6</v>
      </c>
      <c r="F41" s="10" t="n">
        <v>0.179</v>
      </c>
      <c r="G41" t="inlineStr">
        <is>
          <t>Working Capital</t>
        </is>
      </c>
      <c r="H41" t="inlineStr">
        <is>
          <t>LO020</t>
        </is>
      </c>
      <c r="I41" t="inlineStr">
        <is>
          <t>Mobile App</t>
        </is>
      </c>
      <c r="J41">
        <f>INDEX('Data - Borrowers'!$B$2:$B$851, MATCH(B41, 'Data - Borrowers'!$A$2:$A$851, 0))</f>
        <v/>
      </c>
      <c r="K41">
        <f>INDEX('Data - Borrowers'!$C$2:$C$851, MATCH(B41, 'Data - Borrowers'!$A$2:$A$851, 0))</f>
        <v/>
      </c>
      <c r="L41">
        <f>IF(D41&lt;100000, "Micro (&lt;100K)", IF(D41&lt;500000, "Small (100K-500K)", "Medium (500K+)"))</f>
        <v/>
      </c>
      <c r="M41">
        <f>TEXT(C41, "yyyy-mm")</f>
        <v/>
      </c>
    </row>
    <row r="42">
      <c r="A42" t="inlineStr">
        <is>
          <t>LN200044</t>
        </is>
      </c>
      <c r="B42" t="inlineStr">
        <is>
          <t>BOR100033</t>
        </is>
      </c>
      <c r="C42" s="8" t="n">
        <v>46208</v>
      </c>
      <c r="D42" s="9" t="n">
        <v>53000</v>
      </c>
      <c r="E42" t="n">
        <v>18</v>
      </c>
      <c r="F42" s="10" t="n">
        <v>0.231</v>
      </c>
      <c r="G42" t="inlineStr">
        <is>
          <t>Asset Finance</t>
        </is>
      </c>
      <c r="H42" t="inlineStr">
        <is>
          <t>LO024</t>
        </is>
      </c>
      <c r="I42" t="inlineStr">
        <is>
          <t>Branch</t>
        </is>
      </c>
      <c r="J42">
        <f>INDEX('Data - Borrowers'!$B$2:$B$851, MATCH(B42, 'Data - Borrowers'!$A$2:$A$851, 0))</f>
        <v/>
      </c>
      <c r="K42">
        <f>INDEX('Data - Borrowers'!$C$2:$C$851, MATCH(B42, 'Data - Borrowers'!$A$2:$A$851, 0))</f>
        <v/>
      </c>
      <c r="L42">
        <f>IF(D42&lt;100000, "Micro (&lt;100K)", IF(D42&lt;500000, "Small (100K-500K)", "Medium (500K+)"))</f>
        <v/>
      </c>
      <c r="M42">
        <f>TEXT(C42, "yyyy-mm")</f>
        <v/>
      </c>
    </row>
    <row r="43">
      <c r="A43" t="inlineStr">
        <is>
          <t>LN200046</t>
        </is>
      </c>
      <c r="B43" t="inlineStr">
        <is>
          <t>BOR100034</t>
        </is>
      </c>
      <c r="C43" s="8" t="n">
        <v>45864</v>
      </c>
      <c r="D43" s="9" t="n">
        <v>88000</v>
      </c>
      <c r="E43" t="n">
        <v>6</v>
      </c>
      <c r="F43" s="10" t="n">
        <v>0.131</v>
      </c>
      <c r="G43" t="inlineStr">
        <is>
          <t>Asset Finance</t>
        </is>
      </c>
      <c r="H43" t="inlineStr">
        <is>
          <t>LO013</t>
        </is>
      </c>
      <c r="I43" t="inlineStr">
        <is>
          <t>Mobile App</t>
        </is>
      </c>
      <c r="J43">
        <f>INDEX('Data - Borrowers'!$B$2:$B$851, MATCH(B43, 'Data - Borrowers'!$A$2:$A$851, 0))</f>
        <v/>
      </c>
      <c r="K43">
        <f>INDEX('Data - Borrowers'!$C$2:$C$851, MATCH(B43, 'Data - Borrowers'!$A$2:$A$851, 0))</f>
        <v/>
      </c>
      <c r="L43">
        <f>IF(D43&lt;100000, "Micro (&lt;100K)", IF(D43&lt;500000, "Small (100K-500K)", "Medium (500K+)"))</f>
        <v/>
      </c>
      <c r="M43">
        <f>TEXT(C43, "yyyy-mm")</f>
        <v/>
      </c>
    </row>
    <row r="44">
      <c r="A44" t="inlineStr">
        <is>
          <t>LN200047</t>
        </is>
      </c>
      <c r="B44" t="inlineStr">
        <is>
          <t>BOR100035</t>
        </is>
      </c>
      <c r="C44" s="8" t="n">
        <v>46137</v>
      </c>
      <c r="D44" s="9" t="n">
        <v>57000</v>
      </c>
      <c r="E44" t="n">
        <v>3</v>
      </c>
      <c r="F44" s="10" t="n">
        <v>0.218</v>
      </c>
      <c r="G44" t="inlineStr">
        <is>
          <t>Working Capital</t>
        </is>
      </c>
      <c r="H44" t="inlineStr">
        <is>
          <t>LO001</t>
        </is>
      </c>
      <c r="I44" t="inlineStr">
        <is>
          <t>Partner Referral</t>
        </is>
      </c>
      <c r="J44">
        <f>INDEX('Data - Borrowers'!$B$2:$B$851, MATCH(B44, 'Data - Borrowers'!$A$2:$A$851, 0))</f>
        <v/>
      </c>
      <c r="K44">
        <f>INDEX('Data - Borrowers'!$C$2:$C$851, MATCH(B44, 'Data - Borrowers'!$A$2:$A$851, 0))</f>
        <v/>
      </c>
      <c r="L44">
        <f>IF(D44&lt;100000, "Micro (&lt;100K)", IF(D44&lt;500000, "Small (100K-500K)", "Medium (500K+)"))</f>
        <v/>
      </c>
      <c r="M44">
        <f>TEXT(C44, "yyyy-mm")</f>
        <v/>
      </c>
    </row>
    <row r="45">
      <c r="A45" t="inlineStr">
        <is>
          <t>LN200049</t>
        </is>
      </c>
      <c r="B45" t="inlineStr">
        <is>
          <t>BOR100036</t>
        </is>
      </c>
      <c r="C45" s="8" t="n">
        <v>45798</v>
      </c>
      <c r="D45" s="9" t="n">
        <v>123000</v>
      </c>
      <c r="E45" t="n">
        <v>6</v>
      </c>
      <c r="F45" s="10" t="n">
        <v>0.121</v>
      </c>
      <c r="G45" t="inlineStr">
        <is>
          <t>Working Capital</t>
        </is>
      </c>
      <c r="H45" t="inlineStr">
        <is>
          <t>LO021</t>
        </is>
      </c>
      <c r="I45" t="inlineStr">
        <is>
          <t>Branch</t>
        </is>
      </c>
      <c r="J45">
        <f>INDEX('Data - Borrowers'!$B$2:$B$851, MATCH(B45, 'Data - Borrowers'!$A$2:$A$851, 0))</f>
        <v/>
      </c>
      <c r="K45">
        <f>INDEX('Data - Borrowers'!$C$2:$C$851, MATCH(B45, 'Data - Borrowers'!$A$2:$A$851, 0))</f>
        <v/>
      </c>
      <c r="L45">
        <f>IF(D45&lt;100000, "Micro (&lt;100K)", IF(D45&lt;500000, "Small (100K-500K)", "Medium (500K+)"))</f>
        <v/>
      </c>
      <c r="M45">
        <f>TEXT(C45, "yyyy-mm")</f>
        <v/>
      </c>
    </row>
    <row r="46">
      <c r="A46" t="inlineStr">
        <is>
          <t>LN200050</t>
        </is>
      </c>
      <c r="B46" t="inlineStr">
        <is>
          <t>BOR100037</t>
        </is>
      </c>
      <c r="C46" s="8" t="n">
        <v>46175</v>
      </c>
      <c r="D46" s="9" t="n">
        <v>42000</v>
      </c>
      <c r="E46" t="n">
        <v>6</v>
      </c>
      <c r="F46" s="10" t="n">
        <v>0.198</v>
      </c>
      <c r="G46" t="inlineStr">
        <is>
          <t>Invoice Discounting</t>
        </is>
      </c>
      <c r="H46" t="inlineStr">
        <is>
          <t>LO005</t>
        </is>
      </c>
      <c r="I46" t="inlineStr">
        <is>
          <t>Mobile App</t>
        </is>
      </c>
      <c r="J46">
        <f>INDEX('Data - Borrowers'!$B$2:$B$851, MATCH(B46, 'Data - Borrowers'!$A$2:$A$851, 0))</f>
        <v/>
      </c>
      <c r="K46">
        <f>INDEX('Data - Borrowers'!$C$2:$C$851, MATCH(B46, 'Data - Borrowers'!$A$2:$A$851, 0))</f>
        <v/>
      </c>
      <c r="L46">
        <f>IF(D46&lt;100000, "Micro (&lt;100K)", IF(D46&lt;500000, "Small (100K-500K)", "Medium (500K+)"))</f>
        <v/>
      </c>
      <c r="M46">
        <f>TEXT(C46, "yyyy-mm")</f>
        <v/>
      </c>
    </row>
    <row r="47">
      <c r="A47" t="inlineStr">
        <is>
          <t>LN200052</t>
        </is>
      </c>
      <c r="B47" t="inlineStr">
        <is>
          <t>BOR100038</t>
        </is>
      </c>
      <c r="C47" s="8" t="n">
        <v>45694</v>
      </c>
      <c r="D47" s="9" t="n">
        <v>678000</v>
      </c>
      <c r="E47" t="n">
        <v>3</v>
      </c>
      <c r="F47" s="10" t="n">
        <v>0.127</v>
      </c>
      <c r="G47" t="inlineStr">
        <is>
          <t>Working Capital</t>
        </is>
      </c>
      <c r="H47" t="inlineStr">
        <is>
          <t>LO008</t>
        </is>
      </c>
      <c r="I47" t="inlineStr">
        <is>
          <t>Branch</t>
        </is>
      </c>
      <c r="J47">
        <f>INDEX('Data - Borrowers'!$B$2:$B$851, MATCH(B47, 'Data - Borrowers'!$A$2:$A$851, 0))</f>
        <v/>
      </c>
      <c r="K47">
        <f>INDEX('Data - Borrowers'!$C$2:$C$851, MATCH(B47, 'Data - Borrowers'!$A$2:$A$851, 0))</f>
        <v/>
      </c>
      <c r="L47">
        <f>IF(D47&lt;100000, "Micro (&lt;100K)", IF(D47&lt;500000, "Small (100K-500K)", "Medium (500K+)"))</f>
        <v/>
      </c>
      <c r="M47">
        <f>TEXT(C47, "yyyy-mm")</f>
        <v/>
      </c>
    </row>
    <row r="48">
      <c r="A48" t="inlineStr">
        <is>
          <t>LN200053</t>
        </is>
      </c>
      <c r="B48" t="inlineStr">
        <is>
          <t>BOR100039</t>
        </is>
      </c>
      <c r="C48" s="8" t="n">
        <v>46126</v>
      </c>
      <c r="D48" s="9" t="n">
        <v>34000</v>
      </c>
      <c r="E48" t="n">
        <v>3</v>
      </c>
      <c r="F48" s="10" t="n">
        <v>0.128</v>
      </c>
      <c r="G48" t="inlineStr">
        <is>
          <t>Working Capital</t>
        </is>
      </c>
      <c r="H48" t="inlineStr">
        <is>
          <t>LO016</t>
        </is>
      </c>
      <c r="I48" t="inlineStr">
        <is>
          <t>Mobile App</t>
        </is>
      </c>
      <c r="J48">
        <f>INDEX('Data - Borrowers'!$B$2:$B$851, MATCH(B48, 'Data - Borrowers'!$A$2:$A$851, 0))</f>
        <v/>
      </c>
      <c r="K48">
        <f>INDEX('Data - Borrowers'!$C$2:$C$851, MATCH(B48, 'Data - Borrowers'!$A$2:$A$851, 0))</f>
        <v/>
      </c>
      <c r="L48">
        <f>IF(D48&lt;100000, "Micro (&lt;100K)", IF(D48&lt;500000, "Small (100K-500K)", "Medium (500K+)"))</f>
        <v/>
      </c>
      <c r="M48">
        <f>TEXT(C48, "yyyy-mm")</f>
        <v/>
      </c>
    </row>
    <row r="49">
      <c r="A49" t="inlineStr">
        <is>
          <t>LN200054</t>
        </is>
      </c>
      <c r="B49" t="inlineStr">
        <is>
          <t>BOR100040</t>
        </is>
      </c>
      <c r="C49" s="8" t="n">
        <v>46203</v>
      </c>
      <c r="D49" s="9" t="n">
        <v>107000</v>
      </c>
      <c r="E49" t="n">
        <v>3</v>
      </c>
      <c r="F49" s="10" t="n">
        <v>0.189</v>
      </c>
      <c r="G49" t="inlineStr">
        <is>
          <t>Working Capital</t>
        </is>
      </c>
      <c r="H49" t="inlineStr">
        <is>
          <t>LO017</t>
        </is>
      </c>
      <c r="I49" t="inlineStr">
        <is>
          <t>Mobile App</t>
        </is>
      </c>
      <c r="J49">
        <f>INDEX('Data - Borrowers'!$B$2:$B$851, MATCH(B49, 'Data - Borrowers'!$A$2:$A$851, 0))</f>
        <v/>
      </c>
      <c r="K49">
        <f>INDEX('Data - Borrowers'!$C$2:$C$851, MATCH(B49, 'Data - Borrowers'!$A$2:$A$851, 0))</f>
        <v/>
      </c>
      <c r="L49">
        <f>IF(D49&lt;100000, "Micro (&lt;100K)", IF(D49&lt;500000, "Small (100K-500K)", "Medium (500K+)"))</f>
        <v/>
      </c>
      <c r="M49">
        <f>TEXT(C49, "yyyy-mm")</f>
        <v/>
      </c>
    </row>
    <row r="50">
      <c r="A50" t="inlineStr">
        <is>
          <t>LN200055</t>
        </is>
      </c>
      <c r="B50" t="inlineStr">
        <is>
          <t>BOR100041</t>
        </is>
      </c>
      <c r="C50" s="8" t="n">
        <v>46235</v>
      </c>
      <c r="D50" s="9" t="n">
        <v>66000</v>
      </c>
      <c r="E50" t="n">
        <v>6</v>
      </c>
      <c r="F50" s="10" t="n">
        <v>0.23</v>
      </c>
      <c r="G50" t="inlineStr">
        <is>
          <t>Working Capital</t>
        </is>
      </c>
      <c r="H50" t="inlineStr">
        <is>
          <t>LO020</t>
        </is>
      </c>
      <c r="I50" t="inlineStr">
        <is>
          <t>Mobile App</t>
        </is>
      </c>
      <c r="J50">
        <f>INDEX('Data - Borrowers'!$B$2:$B$851, MATCH(B50, 'Data - Borrowers'!$A$2:$A$851, 0))</f>
        <v/>
      </c>
      <c r="K50">
        <f>INDEX('Data - Borrowers'!$C$2:$C$851, MATCH(B50, 'Data - Borrowers'!$A$2:$A$851, 0))</f>
        <v/>
      </c>
      <c r="L50">
        <f>IF(D50&lt;100000, "Micro (&lt;100K)", IF(D50&lt;500000, "Small (100K-500K)", "Medium (500K+)"))</f>
        <v/>
      </c>
      <c r="M50">
        <f>TEXT(C50, "yyyy-mm")</f>
        <v/>
      </c>
    </row>
    <row r="51">
      <c r="A51" t="inlineStr">
        <is>
          <t>LN200056</t>
        </is>
      </c>
      <c r="B51" t="inlineStr">
        <is>
          <t>BOR100042</t>
        </is>
      </c>
      <c r="C51" s="8" t="n">
        <v>46166</v>
      </c>
      <c r="D51" s="9" t="n">
        <v>84000</v>
      </c>
      <c r="E51" t="n">
        <v>6</v>
      </c>
      <c r="F51" s="10" t="n">
        <v>0.148</v>
      </c>
      <c r="G51" t="inlineStr">
        <is>
          <t>Asset Finance</t>
        </is>
      </c>
      <c r="H51" t="inlineStr">
        <is>
          <t>LO021</t>
        </is>
      </c>
      <c r="I51" t="inlineStr">
        <is>
          <t>Partner Referral</t>
        </is>
      </c>
      <c r="J51">
        <f>INDEX('Data - Borrowers'!$B$2:$B$851, MATCH(B51, 'Data - Borrowers'!$A$2:$A$851, 0))</f>
        <v/>
      </c>
      <c r="K51">
        <f>INDEX('Data - Borrowers'!$C$2:$C$851, MATCH(B51, 'Data - Borrowers'!$A$2:$A$851, 0))</f>
        <v/>
      </c>
      <c r="L51">
        <f>IF(D51&lt;100000, "Micro (&lt;100K)", IF(D51&lt;500000, "Small (100K-500K)", "Medium (500K+)"))</f>
        <v/>
      </c>
      <c r="M51">
        <f>TEXT(C51, "yyyy-mm")</f>
        <v/>
      </c>
    </row>
    <row r="52">
      <c r="A52" t="inlineStr">
        <is>
          <t>LN200057</t>
        </is>
      </c>
      <c r="B52" t="inlineStr">
        <is>
          <t>BOR100043</t>
        </is>
      </c>
      <c r="C52" s="8" t="n">
        <v>45844</v>
      </c>
      <c r="D52" s="9" t="n">
        <v>44000</v>
      </c>
      <c r="E52" t="n">
        <v>6</v>
      </c>
      <c r="F52" s="10" t="n">
        <v>0.151</v>
      </c>
      <c r="G52" t="inlineStr">
        <is>
          <t>Invoice Discounting</t>
        </is>
      </c>
      <c r="H52" t="inlineStr">
        <is>
          <t>LO022</t>
        </is>
      </c>
      <c r="I52" t="inlineStr">
        <is>
          <t>Branch</t>
        </is>
      </c>
      <c r="J52">
        <f>INDEX('Data - Borrowers'!$B$2:$B$851, MATCH(B52, 'Data - Borrowers'!$A$2:$A$851, 0))</f>
        <v/>
      </c>
      <c r="K52">
        <f>INDEX('Data - Borrowers'!$C$2:$C$851, MATCH(B52, 'Data - Borrowers'!$A$2:$A$851, 0))</f>
        <v/>
      </c>
      <c r="L52">
        <f>IF(D52&lt;100000, "Micro (&lt;100K)", IF(D52&lt;500000, "Small (100K-500K)", "Medium (500K+)"))</f>
        <v/>
      </c>
      <c r="M52">
        <f>TEXT(C52, "yyyy-mm")</f>
        <v/>
      </c>
    </row>
    <row r="53">
      <c r="A53" t="inlineStr">
        <is>
          <t>LN200058</t>
        </is>
      </c>
      <c r="B53" t="inlineStr">
        <is>
          <t>BOR100044</t>
        </is>
      </c>
      <c r="C53" s="8" t="n">
        <v>45756</v>
      </c>
      <c r="D53" s="9" t="n">
        <v>20000</v>
      </c>
      <c r="E53" t="n">
        <v>12</v>
      </c>
      <c r="F53" s="10" t="n">
        <v>0.14</v>
      </c>
      <c r="G53" t="inlineStr">
        <is>
          <t>Asset Finance</t>
        </is>
      </c>
      <c r="H53" t="inlineStr">
        <is>
          <t>LO012</t>
        </is>
      </c>
      <c r="I53" t="inlineStr">
        <is>
          <t>Branch</t>
        </is>
      </c>
      <c r="J53">
        <f>INDEX('Data - Borrowers'!$B$2:$B$851, MATCH(B53, 'Data - Borrowers'!$A$2:$A$851, 0))</f>
        <v/>
      </c>
      <c r="K53">
        <f>INDEX('Data - Borrowers'!$C$2:$C$851, MATCH(B53, 'Data - Borrowers'!$A$2:$A$851, 0))</f>
        <v/>
      </c>
      <c r="L53">
        <f>IF(D53&lt;100000, "Micro (&lt;100K)", IF(D53&lt;500000, "Small (100K-500K)", "Medium (500K+)"))</f>
        <v/>
      </c>
      <c r="M53">
        <f>TEXT(C53, "yyyy-mm")</f>
        <v/>
      </c>
    </row>
    <row r="54">
      <c r="A54" t="inlineStr">
        <is>
          <t>LN200059</t>
        </is>
      </c>
      <c r="B54" t="inlineStr">
        <is>
          <t>BOR100045</t>
        </is>
      </c>
      <c r="C54" s="8" t="n">
        <v>45889</v>
      </c>
      <c r="D54" s="9" t="n">
        <v>112000</v>
      </c>
      <c r="E54" t="n">
        <v>6</v>
      </c>
      <c r="F54" s="10" t="n">
        <v>0.159</v>
      </c>
      <c r="G54" t="inlineStr">
        <is>
          <t>Working Capital</t>
        </is>
      </c>
      <c r="H54" t="inlineStr">
        <is>
          <t>LO009</t>
        </is>
      </c>
      <c r="I54" t="inlineStr">
        <is>
          <t>Partner Referral</t>
        </is>
      </c>
      <c r="J54">
        <f>INDEX('Data - Borrowers'!$B$2:$B$851, MATCH(B54, 'Data - Borrowers'!$A$2:$A$851, 0))</f>
        <v/>
      </c>
      <c r="K54">
        <f>INDEX('Data - Borrowers'!$C$2:$C$851, MATCH(B54, 'Data - Borrowers'!$A$2:$A$851, 0))</f>
        <v/>
      </c>
      <c r="L54">
        <f>IF(D54&lt;100000, "Micro (&lt;100K)", IF(D54&lt;500000, "Small (100K-500K)", "Medium (500K+)"))</f>
        <v/>
      </c>
      <c r="M54">
        <f>TEXT(C54, "yyyy-mm")</f>
        <v/>
      </c>
    </row>
    <row r="55">
      <c r="A55" t="inlineStr">
        <is>
          <t>LN200060</t>
        </is>
      </c>
      <c r="B55" t="inlineStr">
        <is>
          <t>BOR100046</t>
        </is>
      </c>
      <c r="C55" s="8" t="n">
        <v>45721</v>
      </c>
      <c r="D55" s="9" t="n">
        <v>407000</v>
      </c>
      <c r="E55" t="n">
        <v>3</v>
      </c>
      <c r="F55" s="10" t="n">
        <v>0.173</v>
      </c>
      <c r="G55" t="inlineStr">
        <is>
          <t>Working Capital</t>
        </is>
      </c>
      <c r="H55" t="inlineStr">
        <is>
          <t>LO008</t>
        </is>
      </c>
      <c r="I55" t="inlineStr">
        <is>
          <t>Mobile App</t>
        </is>
      </c>
      <c r="J55">
        <f>INDEX('Data - Borrowers'!$B$2:$B$851, MATCH(B55, 'Data - Borrowers'!$A$2:$A$851, 0))</f>
        <v/>
      </c>
      <c r="K55">
        <f>INDEX('Data - Borrowers'!$C$2:$C$851, MATCH(B55, 'Data - Borrowers'!$A$2:$A$851, 0))</f>
        <v/>
      </c>
      <c r="L55">
        <f>IF(D55&lt;100000, "Micro (&lt;100K)", IF(D55&lt;500000, "Small (100K-500K)", "Medium (500K+)"))</f>
        <v/>
      </c>
      <c r="M55">
        <f>TEXT(C55, "yyyy-mm")</f>
        <v/>
      </c>
    </row>
    <row r="56">
      <c r="A56" t="inlineStr">
        <is>
          <t>LN200061</t>
        </is>
      </c>
      <c r="B56" t="inlineStr">
        <is>
          <t>BOR100047</t>
        </is>
      </c>
      <c r="C56" s="8" t="n">
        <v>45802</v>
      </c>
      <c r="D56" s="9" t="n">
        <v>54000</v>
      </c>
      <c r="E56" t="n">
        <v>12</v>
      </c>
      <c r="F56" s="10" t="n">
        <v>0.144</v>
      </c>
      <c r="G56" t="inlineStr">
        <is>
          <t>Working Capital</t>
        </is>
      </c>
      <c r="H56" t="inlineStr">
        <is>
          <t>LO004</t>
        </is>
      </c>
      <c r="I56" t="inlineStr">
        <is>
          <t>Partner Referral</t>
        </is>
      </c>
      <c r="J56">
        <f>INDEX('Data - Borrowers'!$B$2:$B$851, MATCH(B56, 'Data - Borrowers'!$A$2:$A$851, 0))</f>
        <v/>
      </c>
      <c r="K56">
        <f>INDEX('Data - Borrowers'!$C$2:$C$851, MATCH(B56, 'Data - Borrowers'!$A$2:$A$851, 0))</f>
        <v/>
      </c>
      <c r="L56">
        <f>IF(D56&lt;100000, "Micro (&lt;100K)", IF(D56&lt;500000, "Small (100K-500K)", "Medium (500K+)"))</f>
        <v/>
      </c>
      <c r="M56">
        <f>TEXT(C56, "yyyy-mm")</f>
        <v/>
      </c>
    </row>
    <row r="57">
      <c r="A57" t="inlineStr">
        <is>
          <t>LN200062</t>
        </is>
      </c>
      <c r="B57" t="inlineStr">
        <is>
          <t>BOR100048</t>
        </is>
      </c>
      <c r="C57" s="8" t="n">
        <v>46209</v>
      </c>
      <c r="D57" s="9" t="n">
        <v>96000</v>
      </c>
      <c r="E57" t="n">
        <v>6</v>
      </c>
      <c r="F57" s="10" t="n">
        <v>0.221</v>
      </c>
      <c r="G57" t="inlineStr">
        <is>
          <t>Invoice Discounting</t>
        </is>
      </c>
      <c r="H57" t="inlineStr">
        <is>
          <t>LO010</t>
        </is>
      </c>
      <c r="I57" t="inlineStr">
        <is>
          <t>Mobile App</t>
        </is>
      </c>
      <c r="J57">
        <f>INDEX('Data - Borrowers'!$B$2:$B$851, MATCH(B57, 'Data - Borrowers'!$A$2:$A$851, 0))</f>
        <v/>
      </c>
      <c r="K57">
        <f>INDEX('Data - Borrowers'!$C$2:$C$851, MATCH(B57, 'Data - Borrowers'!$A$2:$A$851, 0))</f>
        <v/>
      </c>
      <c r="L57">
        <f>IF(D57&lt;100000, "Micro (&lt;100K)", IF(D57&lt;500000, "Small (100K-500K)", "Medium (500K+)"))</f>
        <v/>
      </c>
      <c r="M57">
        <f>TEXT(C57, "yyyy-mm")</f>
        <v/>
      </c>
    </row>
    <row r="58">
      <c r="A58" t="inlineStr">
        <is>
          <t>LN200063</t>
        </is>
      </c>
      <c r="B58" t="inlineStr">
        <is>
          <t>BOR100049</t>
        </is>
      </c>
      <c r="C58" s="8" t="n">
        <v>46092</v>
      </c>
      <c r="D58" s="9" t="n">
        <v>320000</v>
      </c>
      <c r="E58" t="n">
        <v>3</v>
      </c>
      <c r="F58" s="10" t="n">
        <v>0.186</v>
      </c>
      <c r="G58" t="inlineStr">
        <is>
          <t>Working Capital</t>
        </is>
      </c>
      <c r="H58" t="inlineStr">
        <is>
          <t>LO001</t>
        </is>
      </c>
      <c r="I58" t="inlineStr">
        <is>
          <t>Branch</t>
        </is>
      </c>
      <c r="J58">
        <f>INDEX('Data - Borrowers'!$B$2:$B$851, MATCH(B58, 'Data - Borrowers'!$A$2:$A$851, 0))</f>
        <v/>
      </c>
      <c r="K58">
        <f>INDEX('Data - Borrowers'!$C$2:$C$851, MATCH(B58, 'Data - Borrowers'!$A$2:$A$851, 0))</f>
        <v/>
      </c>
      <c r="L58">
        <f>IF(D58&lt;100000, "Micro (&lt;100K)", IF(D58&lt;500000, "Small (100K-500K)", "Medium (500K+)"))</f>
        <v/>
      </c>
      <c r="M58">
        <f>TEXT(C58, "yyyy-mm")</f>
        <v/>
      </c>
    </row>
    <row r="59">
      <c r="A59" t="inlineStr">
        <is>
          <t>LN200064</t>
        </is>
      </c>
      <c r="B59" t="inlineStr">
        <is>
          <t>BOR100050</t>
        </is>
      </c>
      <c r="C59" s="8" t="n">
        <v>46003</v>
      </c>
      <c r="D59" s="9" t="n">
        <v>102000</v>
      </c>
      <c r="E59" t="n">
        <v>18</v>
      </c>
      <c r="F59" s="10" t="n">
        <v>0.201</v>
      </c>
      <c r="G59" t="inlineStr">
        <is>
          <t>Working Capital</t>
        </is>
      </c>
      <c r="H59" t="inlineStr">
        <is>
          <t>LO004</t>
        </is>
      </c>
      <c r="I59" t="inlineStr">
        <is>
          <t>Mobile App</t>
        </is>
      </c>
      <c r="J59">
        <f>INDEX('Data - Borrowers'!$B$2:$B$851, MATCH(B59, 'Data - Borrowers'!$A$2:$A$851, 0))</f>
        <v/>
      </c>
      <c r="K59">
        <f>INDEX('Data - Borrowers'!$C$2:$C$851, MATCH(B59, 'Data - Borrowers'!$A$2:$A$851, 0))</f>
        <v/>
      </c>
      <c r="L59">
        <f>IF(D59&lt;100000, "Micro (&lt;100K)", IF(D59&lt;500000, "Small (100K-500K)", "Medium (500K+)"))</f>
        <v/>
      </c>
      <c r="M59">
        <f>TEXT(C59, "yyyy-mm")</f>
        <v/>
      </c>
    </row>
    <row r="60">
      <c r="A60" t="inlineStr">
        <is>
          <t>LN200065</t>
        </is>
      </c>
      <c r="B60" t="inlineStr">
        <is>
          <t>BOR100051</t>
        </is>
      </c>
      <c r="C60" s="8" t="n">
        <v>45920</v>
      </c>
      <c r="D60" s="9" t="n">
        <v>79000</v>
      </c>
      <c r="E60" t="n">
        <v>3</v>
      </c>
      <c r="F60" s="10" t="n">
        <v>0.225</v>
      </c>
      <c r="G60" t="inlineStr">
        <is>
          <t>Working Capital</t>
        </is>
      </c>
      <c r="H60" t="inlineStr">
        <is>
          <t>LO022</t>
        </is>
      </c>
      <c r="I60" t="inlineStr">
        <is>
          <t>Mobile App</t>
        </is>
      </c>
      <c r="J60">
        <f>INDEX('Data - Borrowers'!$B$2:$B$851, MATCH(B60, 'Data - Borrowers'!$A$2:$A$851, 0))</f>
        <v/>
      </c>
      <c r="K60">
        <f>INDEX('Data - Borrowers'!$C$2:$C$851, MATCH(B60, 'Data - Borrowers'!$A$2:$A$851, 0))</f>
        <v/>
      </c>
      <c r="L60">
        <f>IF(D60&lt;100000, "Micro (&lt;100K)", IF(D60&lt;500000, "Small (100K-500K)", "Medium (500K+)"))</f>
        <v/>
      </c>
      <c r="M60">
        <f>TEXT(C60, "yyyy-mm")</f>
        <v/>
      </c>
    </row>
    <row r="61">
      <c r="A61" t="inlineStr">
        <is>
          <t>LN200066</t>
        </is>
      </c>
      <c r="B61" t="inlineStr">
        <is>
          <t>BOR100052</t>
        </is>
      </c>
      <c r="C61" s="8" t="n">
        <v>45832</v>
      </c>
      <c r="D61" s="9" t="n">
        <v>20000</v>
      </c>
      <c r="E61" t="n">
        <v>18</v>
      </c>
      <c r="F61" s="10" t="n">
        <v>0.132</v>
      </c>
      <c r="G61" t="inlineStr">
        <is>
          <t>Working Capital</t>
        </is>
      </c>
      <c r="H61" t="inlineStr">
        <is>
          <t>LO007</t>
        </is>
      </c>
      <c r="I61" t="inlineStr">
        <is>
          <t>Partner Referral</t>
        </is>
      </c>
      <c r="J61">
        <f>INDEX('Data - Borrowers'!$B$2:$B$851, MATCH(B61, 'Data - Borrowers'!$A$2:$A$851, 0))</f>
        <v/>
      </c>
      <c r="K61">
        <f>INDEX('Data - Borrowers'!$C$2:$C$851, MATCH(B61, 'Data - Borrowers'!$A$2:$A$851, 0))</f>
        <v/>
      </c>
      <c r="L61">
        <f>IF(D61&lt;100000, "Micro (&lt;100K)", IF(D61&lt;500000, "Small (100K-500K)", "Medium (500K+)"))</f>
        <v/>
      </c>
      <c r="M61">
        <f>TEXT(C61, "yyyy-mm")</f>
        <v/>
      </c>
    </row>
    <row r="62">
      <c r="A62" t="inlineStr">
        <is>
          <t>LN200067</t>
        </is>
      </c>
      <c r="B62" t="inlineStr">
        <is>
          <t>BOR100053</t>
        </is>
      </c>
      <c r="C62" s="8" t="n">
        <v>45758</v>
      </c>
      <c r="D62" s="9" t="n">
        <v>95000</v>
      </c>
      <c r="E62" t="n">
        <v>3</v>
      </c>
      <c r="F62" s="10" t="n">
        <v>0.226</v>
      </c>
      <c r="G62" t="inlineStr">
        <is>
          <t>Asset Finance</t>
        </is>
      </c>
      <c r="H62" t="inlineStr">
        <is>
          <t>LO002</t>
        </is>
      </c>
      <c r="I62" t="inlineStr">
        <is>
          <t>Mobile App</t>
        </is>
      </c>
      <c r="J62">
        <f>INDEX('Data - Borrowers'!$B$2:$B$851, MATCH(B62, 'Data - Borrowers'!$A$2:$A$851, 0))</f>
        <v/>
      </c>
      <c r="K62">
        <f>INDEX('Data - Borrowers'!$C$2:$C$851, MATCH(B62, 'Data - Borrowers'!$A$2:$A$851, 0))</f>
        <v/>
      </c>
      <c r="L62">
        <f>IF(D62&lt;100000, "Micro (&lt;100K)", IF(D62&lt;500000, "Small (100K-500K)", "Medium (500K+)"))</f>
        <v/>
      </c>
      <c r="M62">
        <f>TEXT(C62, "yyyy-mm")</f>
        <v/>
      </c>
    </row>
    <row r="63">
      <c r="A63" t="inlineStr">
        <is>
          <t>LN200068</t>
        </is>
      </c>
      <c r="B63" t="inlineStr">
        <is>
          <t>BOR100054</t>
        </is>
      </c>
      <c r="C63" s="8" t="n">
        <v>45743</v>
      </c>
      <c r="D63" s="9" t="n">
        <v>49000</v>
      </c>
      <c r="E63" t="n">
        <v>6</v>
      </c>
      <c r="F63" s="10" t="n">
        <v>0.238</v>
      </c>
      <c r="G63" t="inlineStr">
        <is>
          <t>Invoice Discounting</t>
        </is>
      </c>
      <c r="H63" t="inlineStr">
        <is>
          <t>LO015</t>
        </is>
      </c>
      <c r="I63" t="inlineStr">
        <is>
          <t>Partner Referral</t>
        </is>
      </c>
      <c r="J63">
        <f>INDEX('Data - Borrowers'!$B$2:$B$851, MATCH(B63, 'Data - Borrowers'!$A$2:$A$851, 0))</f>
        <v/>
      </c>
      <c r="K63">
        <f>INDEX('Data - Borrowers'!$C$2:$C$851, MATCH(B63, 'Data - Borrowers'!$A$2:$A$851, 0))</f>
        <v/>
      </c>
      <c r="L63">
        <f>IF(D63&lt;100000, "Micro (&lt;100K)", IF(D63&lt;500000, "Small (100K-500K)", "Medium (500K+)"))</f>
        <v/>
      </c>
      <c r="M63">
        <f>TEXT(C63, "yyyy-mm")</f>
        <v/>
      </c>
    </row>
    <row r="64">
      <c r="A64" t="inlineStr">
        <is>
          <t>LN200069</t>
        </is>
      </c>
      <c r="B64" t="inlineStr">
        <is>
          <t>BOR100055</t>
        </is>
      </c>
      <c r="C64" s="8" t="n">
        <v>46049</v>
      </c>
      <c r="D64" s="9" t="n">
        <v>38000</v>
      </c>
      <c r="E64" t="n">
        <v>6</v>
      </c>
      <c r="F64" s="10" t="n">
        <v>0.206</v>
      </c>
      <c r="G64" t="inlineStr">
        <is>
          <t>Asset Finance</t>
        </is>
      </c>
      <c r="H64" t="inlineStr">
        <is>
          <t>LO019</t>
        </is>
      </c>
      <c r="I64" t="inlineStr">
        <is>
          <t>Partner Referral</t>
        </is>
      </c>
      <c r="J64">
        <f>INDEX('Data - Borrowers'!$B$2:$B$851, MATCH(B64, 'Data - Borrowers'!$A$2:$A$851, 0))</f>
        <v/>
      </c>
      <c r="K64">
        <f>INDEX('Data - Borrowers'!$C$2:$C$851, MATCH(B64, 'Data - Borrowers'!$A$2:$A$851, 0))</f>
        <v/>
      </c>
      <c r="L64">
        <f>IF(D64&lt;100000, "Micro (&lt;100K)", IF(D64&lt;500000, "Small (100K-500K)", "Medium (500K+)"))</f>
        <v/>
      </c>
      <c r="M64">
        <f>TEXT(C64, "yyyy-mm")</f>
        <v/>
      </c>
    </row>
    <row r="65">
      <c r="A65" t="inlineStr">
        <is>
          <t>LN200071</t>
        </is>
      </c>
      <c r="B65" t="inlineStr">
        <is>
          <t>BOR100056</t>
        </is>
      </c>
      <c r="C65" s="8" t="n">
        <v>45698</v>
      </c>
      <c r="D65" s="9" t="n">
        <v>98000</v>
      </c>
      <c r="E65" t="n">
        <v>9</v>
      </c>
      <c r="F65" s="10" t="n">
        <v>0.215</v>
      </c>
      <c r="G65" t="inlineStr">
        <is>
          <t>Working Capital</t>
        </is>
      </c>
      <c r="H65" t="inlineStr">
        <is>
          <t>LO008</t>
        </is>
      </c>
      <c r="I65" t="inlineStr">
        <is>
          <t>Branch</t>
        </is>
      </c>
      <c r="J65">
        <f>INDEX('Data - Borrowers'!$B$2:$B$851, MATCH(B65, 'Data - Borrowers'!$A$2:$A$851, 0))</f>
        <v/>
      </c>
      <c r="K65">
        <f>INDEX('Data - Borrowers'!$C$2:$C$851, MATCH(B65, 'Data - Borrowers'!$A$2:$A$851, 0))</f>
        <v/>
      </c>
      <c r="L65">
        <f>IF(D65&lt;100000, "Micro (&lt;100K)", IF(D65&lt;500000, "Small (100K-500K)", "Medium (500K+)"))</f>
        <v/>
      </c>
      <c r="M65">
        <f>TEXT(C65, "yyyy-mm")</f>
        <v/>
      </c>
    </row>
    <row r="66">
      <c r="A66" t="inlineStr">
        <is>
          <t>LN200072</t>
        </is>
      </c>
      <c r="B66" t="inlineStr">
        <is>
          <t>BOR100057</t>
        </is>
      </c>
      <c r="C66" s="8" t="n">
        <v>46185</v>
      </c>
      <c r="D66" s="9" t="n">
        <v>58000</v>
      </c>
      <c r="E66" t="n">
        <v>12</v>
      </c>
      <c r="F66" s="10" t="n">
        <v>0.189</v>
      </c>
      <c r="G66" t="inlineStr">
        <is>
          <t>Asset Finance</t>
        </is>
      </c>
      <c r="H66" t="inlineStr">
        <is>
          <t>LO015</t>
        </is>
      </c>
      <c r="I66" t="inlineStr">
        <is>
          <t>Mobile App</t>
        </is>
      </c>
      <c r="J66">
        <f>INDEX('Data - Borrowers'!$B$2:$B$851, MATCH(B66, 'Data - Borrowers'!$A$2:$A$851, 0))</f>
        <v/>
      </c>
      <c r="K66">
        <f>INDEX('Data - Borrowers'!$C$2:$C$851, MATCH(B66, 'Data - Borrowers'!$A$2:$A$851, 0))</f>
        <v/>
      </c>
      <c r="L66">
        <f>IF(D66&lt;100000, "Micro (&lt;100K)", IF(D66&lt;500000, "Small (100K-500K)", "Medium (500K+)"))</f>
        <v/>
      </c>
      <c r="M66">
        <f>TEXT(C66, "yyyy-mm")</f>
        <v/>
      </c>
    </row>
    <row r="67">
      <c r="A67" t="inlineStr">
        <is>
          <t>LN200073</t>
        </is>
      </c>
      <c r="B67" t="inlineStr">
        <is>
          <t>BOR100058</t>
        </is>
      </c>
      <c r="C67" s="8" t="n">
        <v>45895</v>
      </c>
      <c r="D67" s="9" t="n">
        <v>72000</v>
      </c>
      <c r="E67" t="n">
        <v>12</v>
      </c>
      <c r="F67" s="10" t="n">
        <v>0.187</v>
      </c>
      <c r="G67" t="inlineStr">
        <is>
          <t>Invoice Discounting</t>
        </is>
      </c>
      <c r="H67" t="inlineStr">
        <is>
          <t>LO002</t>
        </is>
      </c>
      <c r="I67" t="inlineStr">
        <is>
          <t>Mobile App</t>
        </is>
      </c>
      <c r="J67">
        <f>INDEX('Data - Borrowers'!$B$2:$B$851, MATCH(B67, 'Data - Borrowers'!$A$2:$A$851, 0))</f>
        <v/>
      </c>
      <c r="K67">
        <f>INDEX('Data - Borrowers'!$C$2:$C$851, MATCH(B67, 'Data - Borrowers'!$A$2:$A$851, 0))</f>
        <v/>
      </c>
      <c r="L67">
        <f>IF(D67&lt;100000, "Micro (&lt;100K)", IF(D67&lt;500000, "Small (100K-500K)", "Medium (500K+)"))</f>
        <v/>
      </c>
      <c r="M67">
        <f>TEXT(C67, "yyyy-mm")</f>
        <v/>
      </c>
    </row>
    <row r="68">
      <c r="A68" t="inlineStr">
        <is>
          <t>LN200074</t>
        </is>
      </c>
      <c r="B68" t="inlineStr">
        <is>
          <t>BOR100059</t>
        </is>
      </c>
      <c r="C68" s="8" t="n">
        <v>45976</v>
      </c>
      <c r="D68" s="9" t="n">
        <v>191000</v>
      </c>
      <c r="E68" t="n">
        <v>3</v>
      </c>
      <c r="F68" s="10" t="n">
        <v>0.154</v>
      </c>
      <c r="G68" t="inlineStr">
        <is>
          <t>Asset Finance</t>
        </is>
      </c>
      <c r="H68" t="inlineStr">
        <is>
          <t>LO011</t>
        </is>
      </c>
      <c r="I68" t="inlineStr">
        <is>
          <t>Branch</t>
        </is>
      </c>
      <c r="J68">
        <f>INDEX('Data - Borrowers'!$B$2:$B$851, MATCH(B68, 'Data - Borrowers'!$A$2:$A$851, 0))</f>
        <v/>
      </c>
      <c r="K68">
        <f>INDEX('Data - Borrowers'!$C$2:$C$851, MATCH(B68, 'Data - Borrowers'!$A$2:$A$851, 0))</f>
        <v/>
      </c>
      <c r="L68">
        <f>IF(D68&lt;100000, "Micro (&lt;100K)", IF(D68&lt;500000, "Small (100K-500K)", "Medium (500K+)"))</f>
        <v/>
      </c>
      <c r="M68">
        <f>TEXT(C68, "yyyy-mm")</f>
        <v/>
      </c>
    </row>
    <row r="69">
      <c r="A69" t="inlineStr">
        <is>
          <t>LN200075</t>
        </is>
      </c>
      <c r="B69" t="inlineStr">
        <is>
          <t>BOR100060</t>
        </is>
      </c>
      <c r="C69" s="8" t="n">
        <v>46161</v>
      </c>
      <c r="D69" s="9" t="n">
        <v>44000</v>
      </c>
      <c r="E69" t="n">
        <v>12</v>
      </c>
      <c r="F69" s="10" t="n">
        <v>0.128</v>
      </c>
      <c r="G69" t="inlineStr">
        <is>
          <t>Working Capital</t>
        </is>
      </c>
      <c r="H69" t="inlineStr">
        <is>
          <t>LO006</t>
        </is>
      </c>
      <c r="I69" t="inlineStr">
        <is>
          <t>Mobile App</t>
        </is>
      </c>
      <c r="J69">
        <f>INDEX('Data - Borrowers'!$B$2:$B$851, MATCH(B69, 'Data - Borrowers'!$A$2:$A$851, 0))</f>
        <v/>
      </c>
      <c r="K69">
        <f>INDEX('Data - Borrowers'!$C$2:$C$851, MATCH(B69, 'Data - Borrowers'!$A$2:$A$851, 0))</f>
        <v/>
      </c>
      <c r="L69">
        <f>IF(D69&lt;100000, "Micro (&lt;100K)", IF(D69&lt;500000, "Small (100K-500K)", "Medium (500K+)"))</f>
        <v/>
      </c>
      <c r="M69">
        <f>TEXT(C69, "yyyy-mm")</f>
        <v/>
      </c>
    </row>
    <row r="70">
      <c r="A70" t="inlineStr">
        <is>
          <t>LN200076</t>
        </is>
      </c>
      <c r="B70" t="inlineStr">
        <is>
          <t>BOR100061</t>
        </is>
      </c>
      <c r="C70" s="8" t="n">
        <v>45973</v>
      </c>
      <c r="D70" s="9" t="n">
        <v>233000</v>
      </c>
      <c r="E70" t="n">
        <v>3</v>
      </c>
      <c r="F70" s="10" t="n">
        <v>0.208</v>
      </c>
      <c r="G70" t="inlineStr">
        <is>
          <t>Asset Finance</t>
        </is>
      </c>
      <c r="H70" t="inlineStr">
        <is>
          <t>LO017</t>
        </is>
      </c>
      <c r="I70" t="inlineStr">
        <is>
          <t>Branch</t>
        </is>
      </c>
      <c r="J70">
        <f>INDEX('Data - Borrowers'!$B$2:$B$851, MATCH(B70, 'Data - Borrowers'!$A$2:$A$851, 0))</f>
        <v/>
      </c>
      <c r="K70">
        <f>INDEX('Data - Borrowers'!$C$2:$C$851, MATCH(B70, 'Data - Borrowers'!$A$2:$A$851, 0))</f>
        <v/>
      </c>
      <c r="L70">
        <f>IF(D70&lt;100000, "Micro (&lt;100K)", IF(D70&lt;500000, "Small (100K-500K)", "Medium (500K+)"))</f>
        <v/>
      </c>
      <c r="M70">
        <f>TEXT(C70, "yyyy-mm")</f>
        <v/>
      </c>
    </row>
    <row r="71">
      <c r="A71" t="inlineStr">
        <is>
          <t>LN200077</t>
        </is>
      </c>
      <c r="B71" t="inlineStr">
        <is>
          <t>BOR100062</t>
        </is>
      </c>
      <c r="C71" s="8" t="n">
        <v>46029</v>
      </c>
      <c r="D71" s="9" t="n">
        <v>33000</v>
      </c>
      <c r="E71" t="n">
        <v>3</v>
      </c>
      <c r="F71" s="10" t="n">
        <v>0.129</v>
      </c>
      <c r="G71" t="inlineStr">
        <is>
          <t>Working Capital</t>
        </is>
      </c>
      <c r="H71" t="inlineStr">
        <is>
          <t>LO008</t>
        </is>
      </c>
      <c r="I71" t="inlineStr">
        <is>
          <t>Mobile App</t>
        </is>
      </c>
      <c r="J71">
        <f>INDEX('Data - Borrowers'!$B$2:$B$851, MATCH(B71, 'Data - Borrowers'!$A$2:$A$851, 0))</f>
        <v/>
      </c>
      <c r="K71">
        <f>INDEX('Data - Borrowers'!$C$2:$C$851, MATCH(B71, 'Data - Borrowers'!$A$2:$A$851, 0))</f>
        <v/>
      </c>
      <c r="L71">
        <f>IF(D71&lt;100000, "Micro (&lt;100K)", IF(D71&lt;500000, "Small (100K-500K)", "Medium (500K+)"))</f>
        <v/>
      </c>
      <c r="M71">
        <f>TEXT(C71, "yyyy-mm")</f>
        <v/>
      </c>
    </row>
    <row r="72">
      <c r="A72" t="inlineStr">
        <is>
          <t>LN200078</t>
        </is>
      </c>
      <c r="B72" t="inlineStr">
        <is>
          <t>BOR100063</t>
        </is>
      </c>
      <c r="C72" s="8" t="n">
        <v>45954</v>
      </c>
      <c r="D72" s="9" t="n">
        <v>67000</v>
      </c>
      <c r="E72" t="n">
        <v>3</v>
      </c>
      <c r="F72" s="10" t="n">
        <v>0.167</v>
      </c>
      <c r="G72" t="inlineStr">
        <is>
          <t>Asset Finance</t>
        </is>
      </c>
      <c r="H72" t="inlineStr">
        <is>
          <t>LO007</t>
        </is>
      </c>
      <c r="I72" t="inlineStr">
        <is>
          <t>Branch</t>
        </is>
      </c>
      <c r="J72">
        <f>INDEX('Data - Borrowers'!$B$2:$B$851, MATCH(B72, 'Data - Borrowers'!$A$2:$A$851, 0))</f>
        <v/>
      </c>
      <c r="K72">
        <f>INDEX('Data - Borrowers'!$C$2:$C$851, MATCH(B72, 'Data - Borrowers'!$A$2:$A$851, 0))</f>
        <v/>
      </c>
      <c r="L72">
        <f>IF(D72&lt;100000, "Micro (&lt;100K)", IF(D72&lt;500000, "Small (100K-500K)", "Medium (500K+)"))</f>
        <v/>
      </c>
      <c r="M72">
        <f>TEXT(C72, "yyyy-mm")</f>
        <v/>
      </c>
    </row>
    <row r="73">
      <c r="A73" t="inlineStr">
        <is>
          <t>LN200079</t>
        </is>
      </c>
      <c r="B73" t="inlineStr">
        <is>
          <t>BOR100064</t>
        </is>
      </c>
      <c r="C73" s="8" t="n">
        <v>45688</v>
      </c>
      <c r="D73" s="9" t="n">
        <v>418000</v>
      </c>
      <c r="E73" t="n">
        <v>3</v>
      </c>
      <c r="F73" s="10" t="n">
        <v>0.13</v>
      </c>
      <c r="G73" t="inlineStr">
        <is>
          <t>Asset Finance</t>
        </is>
      </c>
      <c r="H73" t="inlineStr">
        <is>
          <t>LO010</t>
        </is>
      </c>
      <c r="I73" t="inlineStr">
        <is>
          <t>Mobile App</t>
        </is>
      </c>
      <c r="J73">
        <f>INDEX('Data - Borrowers'!$B$2:$B$851, MATCH(B73, 'Data - Borrowers'!$A$2:$A$851, 0))</f>
        <v/>
      </c>
      <c r="K73">
        <f>INDEX('Data - Borrowers'!$C$2:$C$851, MATCH(B73, 'Data - Borrowers'!$A$2:$A$851, 0))</f>
        <v/>
      </c>
      <c r="L73">
        <f>IF(D73&lt;100000, "Micro (&lt;100K)", IF(D73&lt;500000, "Small (100K-500K)", "Medium (500K+)"))</f>
        <v/>
      </c>
      <c r="M73">
        <f>TEXT(C73, "yyyy-mm")</f>
        <v/>
      </c>
    </row>
    <row r="74">
      <c r="A74" t="inlineStr">
        <is>
          <t>LN200080</t>
        </is>
      </c>
      <c r="B74" t="inlineStr">
        <is>
          <t>BOR100064</t>
        </is>
      </c>
      <c r="C74" s="8" t="n">
        <v>45878</v>
      </c>
      <c r="D74" s="9" t="n">
        <v>423000</v>
      </c>
      <c r="E74" t="n">
        <v>6</v>
      </c>
      <c r="F74" s="10" t="n">
        <v>0.163</v>
      </c>
      <c r="G74" t="inlineStr">
        <is>
          <t>Invoice Discounting</t>
        </is>
      </c>
      <c r="H74" t="inlineStr">
        <is>
          <t>LO010</t>
        </is>
      </c>
      <c r="I74" t="inlineStr">
        <is>
          <t>Mobile App</t>
        </is>
      </c>
      <c r="J74">
        <f>INDEX('Data - Borrowers'!$B$2:$B$851, MATCH(B74, 'Data - Borrowers'!$A$2:$A$851, 0))</f>
        <v/>
      </c>
      <c r="K74">
        <f>INDEX('Data - Borrowers'!$C$2:$C$851, MATCH(B74, 'Data - Borrowers'!$A$2:$A$851, 0))</f>
        <v/>
      </c>
      <c r="L74">
        <f>IF(D74&lt;100000, "Micro (&lt;100K)", IF(D74&lt;500000, "Small (100K-500K)", "Medium (500K+)"))</f>
        <v/>
      </c>
      <c r="M74">
        <f>TEXT(C74, "yyyy-mm")</f>
        <v/>
      </c>
    </row>
    <row r="75">
      <c r="A75" t="inlineStr">
        <is>
          <t>LN200081</t>
        </is>
      </c>
      <c r="B75" t="inlineStr">
        <is>
          <t>BOR100065</t>
        </is>
      </c>
      <c r="C75" s="8" t="n">
        <v>45824</v>
      </c>
      <c r="D75" s="9" t="n">
        <v>285000</v>
      </c>
      <c r="E75" t="n">
        <v>3</v>
      </c>
      <c r="F75" s="10" t="n">
        <v>0.17</v>
      </c>
      <c r="G75" t="inlineStr">
        <is>
          <t>Asset Finance</t>
        </is>
      </c>
      <c r="H75" t="inlineStr">
        <is>
          <t>LO014</t>
        </is>
      </c>
      <c r="I75" t="inlineStr">
        <is>
          <t>Branch</t>
        </is>
      </c>
      <c r="J75">
        <f>INDEX('Data - Borrowers'!$B$2:$B$851, MATCH(B75, 'Data - Borrowers'!$A$2:$A$851, 0))</f>
        <v/>
      </c>
      <c r="K75">
        <f>INDEX('Data - Borrowers'!$C$2:$C$851, MATCH(B75, 'Data - Borrowers'!$A$2:$A$851, 0))</f>
        <v/>
      </c>
      <c r="L75">
        <f>IF(D75&lt;100000, "Micro (&lt;100K)", IF(D75&lt;500000, "Small (100K-500K)", "Medium (500K+)"))</f>
        <v/>
      </c>
      <c r="M75">
        <f>TEXT(C75, "yyyy-mm")</f>
        <v/>
      </c>
    </row>
    <row r="76">
      <c r="A76" t="inlineStr">
        <is>
          <t>LN200082</t>
        </is>
      </c>
      <c r="B76" t="inlineStr">
        <is>
          <t>BOR100065</t>
        </is>
      </c>
      <c r="C76" s="8" t="n">
        <v>45930</v>
      </c>
      <c r="D76" s="9" t="n">
        <v>151000</v>
      </c>
      <c r="E76" t="n">
        <v>9</v>
      </c>
      <c r="F76" s="10" t="n">
        <v>0.227</v>
      </c>
      <c r="G76" t="inlineStr">
        <is>
          <t>Working Capital</t>
        </is>
      </c>
      <c r="H76" t="inlineStr">
        <is>
          <t>LO004</t>
        </is>
      </c>
      <c r="I76" t="inlineStr">
        <is>
          <t>Branch</t>
        </is>
      </c>
      <c r="J76">
        <f>INDEX('Data - Borrowers'!$B$2:$B$851, MATCH(B76, 'Data - Borrowers'!$A$2:$A$851, 0))</f>
        <v/>
      </c>
      <c r="K76">
        <f>INDEX('Data - Borrowers'!$C$2:$C$851, MATCH(B76, 'Data - Borrowers'!$A$2:$A$851, 0))</f>
        <v/>
      </c>
      <c r="L76">
        <f>IF(D76&lt;100000, "Micro (&lt;100K)", IF(D76&lt;500000, "Small (100K-500K)", "Medium (500K+)"))</f>
        <v/>
      </c>
      <c r="M76">
        <f>TEXT(C76, "yyyy-mm")</f>
        <v/>
      </c>
    </row>
    <row r="77">
      <c r="A77" t="inlineStr">
        <is>
          <t>LN200083</t>
        </is>
      </c>
      <c r="B77" t="inlineStr">
        <is>
          <t>BOR100066</t>
        </is>
      </c>
      <c r="C77" s="8" t="n">
        <v>46218</v>
      </c>
      <c r="D77" s="9" t="n">
        <v>112000</v>
      </c>
      <c r="E77" t="n">
        <v>6</v>
      </c>
      <c r="F77" s="10" t="n">
        <v>0.182</v>
      </c>
      <c r="G77" t="inlineStr">
        <is>
          <t>Invoice Discounting</t>
        </is>
      </c>
      <c r="H77" t="inlineStr">
        <is>
          <t>LO016</t>
        </is>
      </c>
      <c r="I77" t="inlineStr">
        <is>
          <t>Partner Referral</t>
        </is>
      </c>
      <c r="J77">
        <f>INDEX('Data - Borrowers'!$B$2:$B$851, MATCH(B77, 'Data - Borrowers'!$A$2:$A$851, 0))</f>
        <v/>
      </c>
      <c r="K77">
        <f>INDEX('Data - Borrowers'!$C$2:$C$851, MATCH(B77, 'Data - Borrowers'!$A$2:$A$851, 0))</f>
        <v/>
      </c>
      <c r="L77">
        <f>IF(D77&lt;100000, "Micro (&lt;100K)", IF(D77&lt;500000, "Small (100K-500K)", "Medium (500K+)"))</f>
        <v/>
      </c>
      <c r="M77">
        <f>TEXT(C77, "yyyy-mm")</f>
        <v/>
      </c>
    </row>
    <row r="78">
      <c r="A78" t="inlineStr">
        <is>
          <t>LN200085</t>
        </is>
      </c>
      <c r="B78" t="inlineStr">
        <is>
          <t>BOR100067</t>
        </is>
      </c>
      <c r="C78" s="8" t="n">
        <v>45753</v>
      </c>
      <c r="D78" s="9" t="n">
        <v>75000</v>
      </c>
      <c r="E78" t="n">
        <v>6</v>
      </c>
      <c r="F78" s="10" t="n">
        <v>0.165</v>
      </c>
      <c r="G78" t="inlineStr">
        <is>
          <t>Asset Finance</t>
        </is>
      </c>
      <c r="H78" t="inlineStr">
        <is>
          <t>LO022</t>
        </is>
      </c>
      <c r="I78" t="inlineStr">
        <is>
          <t>Branch</t>
        </is>
      </c>
      <c r="J78">
        <f>INDEX('Data - Borrowers'!$B$2:$B$851, MATCH(B78, 'Data - Borrowers'!$A$2:$A$851, 0))</f>
        <v/>
      </c>
      <c r="K78">
        <f>INDEX('Data - Borrowers'!$C$2:$C$851, MATCH(B78, 'Data - Borrowers'!$A$2:$A$851, 0))</f>
        <v/>
      </c>
      <c r="L78">
        <f>IF(D78&lt;100000, "Micro (&lt;100K)", IF(D78&lt;500000, "Small (100K-500K)", "Medium (500K+)"))</f>
        <v/>
      </c>
      <c r="M78">
        <f>TEXT(C78, "yyyy-mm")</f>
        <v/>
      </c>
    </row>
    <row r="79">
      <c r="A79" t="inlineStr">
        <is>
          <t>LN200086</t>
        </is>
      </c>
      <c r="B79" t="inlineStr">
        <is>
          <t>BOR100068</t>
        </is>
      </c>
      <c r="C79" s="8" t="n">
        <v>45758</v>
      </c>
      <c r="D79" s="9" t="n">
        <v>42000</v>
      </c>
      <c r="E79" t="n">
        <v>3</v>
      </c>
      <c r="F79" s="10" t="n">
        <v>0.212</v>
      </c>
      <c r="G79" t="inlineStr">
        <is>
          <t>Working Capital</t>
        </is>
      </c>
      <c r="H79" t="inlineStr">
        <is>
          <t>LO003</t>
        </is>
      </c>
      <c r="I79" t="inlineStr">
        <is>
          <t>Branch</t>
        </is>
      </c>
      <c r="J79">
        <f>INDEX('Data - Borrowers'!$B$2:$B$851, MATCH(B79, 'Data - Borrowers'!$A$2:$A$851, 0))</f>
        <v/>
      </c>
      <c r="K79">
        <f>INDEX('Data - Borrowers'!$C$2:$C$851, MATCH(B79, 'Data - Borrowers'!$A$2:$A$851, 0))</f>
        <v/>
      </c>
      <c r="L79">
        <f>IF(D79&lt;100000, "Micro (&lt;100K)", IF(D79&lt;500000, "Small (100K-500K)", "Medium (500K+)"))</f>
        <v/>
      </c>
      <c r="M79">
        <f>TEXT(C79, "yyyy-mm")</f>
        <v/>
      </c>
    </row>
    <row r="80">
      <c r="A80" t="inlineStr">
        <is>
          <t>LN200087</t>
        </is>
      </c>
      <c r="B80" t="inlineStr">
        <is>
          <t>BOR100069</t>
        </is>
      </c>
      <c r="C80" s="8" t="n">
        <v>46173</v>
      </c>
      <c r="D80" s="9" t="n">
        <v>137000</v>
      </c>
      <c r="E80" t="n">
        <v>12</v>
      </c>
      <c r="F80" s="10" t="n">
        <v>0.155</v>
      </c>
      <c r="G80" t="inlineStr">
        <is>
          <t>Working Capital</t>
        </is>
      </c>
      <c r="H80" t="inlineStr">
        <is>
          <t>LO005</t>
        </is>
      </c>
      <c r="I80" t="inlineStr">
        <is>
          <t>Partner Referral</t>
        </is>
      </c>
      <c r="J80">
        <f>INDEX('Data - Borrowers'!$B$2:$B$851, MATCH(B80, 'Data - Borrowers'!$A$2:$A$851, 0))</f>
        <v/>
      </c>
      <c r="K80">
        <f>INDEX('Data - Borrowers'!$C$2:$C$851, MATCH(B80, 'Data - Borrowers'!$A$2:$A$851, 0))</f>
        <v/>
      </c>
      <c r="L80">
        <f>IF(D80&lt;100000, "Micro (&lt;100K)", IF(D80&lt;500000, "Small (100K-500K)", "Medium (500K+)"))</f>
        <v/>
      </c>
      <c r="M80">
        <f>TEXT(C80, "yyyy-mm")</f>
        <v/>
      </c>
    </row>
    <row r="81">
      <c r="A81" t="inlineStr">
        <is>
          <t>LN200088</t>
        </is>
      </c>
      <c r="B81" t="inlineStr">
        <is>
          <t>BOR100070</t>
        </is>
      </c>
      <c r="C81" s="8" t="n">
        <v>45729</v>
      </c>
      <c r="D81" s="9" t="n">
        <v>50000</v>
      </c>
      <c r="E81" t="n">
        <v>12</v>
      </c>
      <c r="F81" s="10" t="n">
        <v>0.128</v>
      </c>
      <c r="G81" t="inlineStr">
        <is>
          <t>Working Capital</t>
        </is>
      </c>
      <c r="H81" t="inlineStr">
        <is>
          <t>LO024</t>
        </is>
      </c>
      <c r="I81" t="inlineStr">
        <is>
          <t>Branch</t>
        </is>
      </c>
      <c r="J81">
        <f>INDEX('Data - Borrowers'!$B$2:$B$851, MATCH(B81, 'Data - Borrowers'!$A$2:$A$851, 0))</f>
        <v/>
      </c>
      <c r="K81">
        <f>INDEX('Data - Borrowers'!$C$2:$C$851, MATCH(B81, 'Data - Borrowers'!$A$2:$A$851, 0))</f>
        <v/>
      </c>
      <c r="L81">
        <f>IF(D81&lt;100000, "Micro (&lt;100K)", IF(D81&lt;500000, "Small (100K-500K)", "Medium (500K+)"))</f>
        <v/>
      </c>
      <c r="M81">
        <f>TEXT(C81, "yyyy-mm")</f>
        <v/>
      </c>
    </row>
    <row r="82">
      <c r="A82" t="inlineStr">
        <is>
          <t>LN200089</t>
        </is>
      </c>
      <c r="B82" t="inlineStr">
        <is>
          <t>BOR100070</t>
        </is>
      </c>
      <c r="C82" s="8" t="n">
        <v>45952</v>
      </c>
      <c r="D82" s="9" t="n">
        <v>45000</v>
      </c>
      <c r="E82" t="n">
        <v>12</v>
      </c>
      <c r="F82" s="10" t="n">
        <v>0.194</v>
      </c>
      <c r="G82" t="inlineStr">
        <is>
          <t>Invoice Discounting</t>
        </is>
      </c>
      <c r="H82" t="inlineStr">
        <is>
          <t>LO011</t>
        </is>
      </c>
      <c r="I82" t="inlineStr">
        <is>
          <t>Branch</t>
        </is>
      </c>
      <c r="J82">
        <f>INDEX('Data - Borrowers'!$B$2:$B$851, MATCH(B82, 'Data - Borrowers'!$A$2:$A$851, 0))</f>
        <v/>
      </c>
      <c r="K82">
        <f>INDEX('Data - Borrowers'!$C$2:$C$851, MATCH(B82, 'Data - Borrowers'!$A$2:$A$851, 0))</f>
        <v/>
      </c>
      <c r="L82">
        <f>IF(D82&lt;100000, "Micro (&lt;100K)", IF(D82&lt;500000, "Small (100K-500K)", "Medium (500K+)"))</f>
        <v/>
      </c>
      <c r="M82">
        <f>TEXT(C82, "yyyy-mm")</f>
        <v/>
      </c>
    </row>
    <row r="83">
      <c r="A83" t="inlineStr">
        <is>
          <t>LN200090</t>
        </is>
      </c>
      <c r="B83" t="inlineStr">
        <is>
          <t>BOR100071</t>
        </is>
      </c>
      <c r="C83" s="8" t="n">
        <v>45843</v>
      </c>
      <c r="D83" s="9" t="n">
        <v>57000</v>
      </c>
      <c r="E83" t="n">
        <v>3</v>
      </c>
      <c r="F83" s="10" t="n">
        <v>0.219</v>
      </c>
      <c r="G83" t="inlineStr">
        <is>
          <t>Asset Finance</t>
        </is>
      </c>
      <c r="H83" t="inlineStr">
        <is>
          <t>LO025</t>
        </is>
      </c>
      <c r="I83" t="inlineStr">
        <is>
          <t>Partner Referral</t>
        </is>
      </c>
      <c r="J83">
        <f>INDEX('Data - Borrowers'!$B$2:$B$851, MATCH(B83, 'Data - Borrowers'!$A$2:$A$851, 0))</f>
        <v/>
      </c>
      <c r="K83">
        <f>INDEX('Data - Borrowers'!$C$2:$C$851, MATCH(B83, 'Data - Borrowers'!$A$2:$A$851, 0))</f>
        <v/>
      </c>
      <c r="L83">
        <f>IF(D83&lt;100000, "Micro (&lt;100K)", IF(D83&lt;500000, "Small (100K-500K)", "Medium (500K+)"))</f>
        <v/>
      </c>
      <c r="M83">
        <f>TEXT(C83, "yyyy-mm")</f>
        <v/>
      </c>
    </row>
    <row r="84">
      <c r="A84" t="inlineStr">
        <is>
          <t>LN200091</t>
        </is>
      </c>
      <c r="B84" t="inlineStr">
        <is>
          <t>BOR100072</t>
        </is>
      </c>
      <c r="C84" s="8" t="n">
        <v>46221</v>
      </c>
      <c r="D84" s="9" t="n">
        <v>44000</v>
      </c>
      <c r="E84" t="n">
        <v>3</v>
      </c>
      <c r="F84" s="10" t="n">
        <v>0.227</v>
      </c>
      <c r="G84" t="inlineStr">
        <is>
          <t>Asset Finance</t>
        </is>
      </c>
      <c r="H84" t="inlineStr">
        <is>
          <t>LO003</t>
        </is>
      </c>
      <c r="I84" t="inlineStr">
        <is>
          <t>Partner Referral</t>
        </is>
      </c>
      <c r="J84">
        <f>INDEX('Data - Borrowers'!$B$2:$B$851, MATCH(B84, 'Data - Borrowers'!$A$2:$A$851, 0))</f>
        <v/>
      </c>
      <c r="K84">
        <f>INDEX('Data - Borrowers'!$C$2:$C$851, MATCH(B84, 'Data - Borrowers'!$A$2:$A$851, 0))</f>
        <v/>
      </c>
      <c r="L84">
        <f>IF(D84&lt;100000, "Micro (&lt;100K)", IF(D84&lt;500000, "Small (100K-500K)", "Medium (500K+)"))</f>
        <v/>
      </c>
      <c r="M84">
        <f>TEXT(C84, "yyyy-mm")</f>
        <v/>
      </c>
    </row>
    <row r="85">
      <c r="A85" t="inlineStr">
        <is>
          <t>LN200092</t>
        </is>
      </c>
      <c r="B85" t="inlineStr">
        <is>
          <t>BOR100073</t>
        </is>
      </c>
      <c r="C85" s="8" t="n">
        <v>46102</v>
      </c>
      <c r="D85" s="9" t="n">
        <v>63000</v>
      </c>
      <c r="E85" t="n">
        <v>12</v>
      </c>
      <c r="F85" s="10" t="n">
        <v>0.153</v>
      </c>
      <c r="G85" t="inlineStr">
        <is>
          <t>Working Capital</t>
        </is>
      </c>
      <c r="H85" t="inlineStr">
        <is>
          <t>LO017</t>
        </is>
      </c>
      <c r="I85" t="inlineStr">
        <is>
          <t>Partner Referral</t>
        </is>
      </c>
      <c r="J85">
        <f>INDEX('Data - Borrowers'!$B$2:$B$851, MATCH(B85, 'Data - Borrowers'!$A$2:$A$851, 0))</f>
        <v/>
      </c>
      <c r="K85">
        <f>INDEX('Data - Borrowers'!$C$2:$C$851, MATCH(B85, 'Data - Borrowers'!$A$2:$A$851, 0))</f>
        <v/>
      </c>
      <c r="L85">
        <f>IF(D85&lt;100000, "Micro (&lt;100K)", IF(D85&lt;500000, "Small (100K-500K)", "Medium (500K+)"))</f>
        <v/>
      </c>
      <c r="M85">
        <f>TEXT(C85, "yyyy-mm")</f>
        <v/>
      </c>
    </row>
    <row r="86">
      <c r="A86" t="inlineStr">
        <is>
          <t>LN200093</t>
        </is>
      </c>
      <c r="B86" t="inlineStr">
        <is>
          <t>BOR100073</t>
        </is>
      </c>
      <c r="C86" s="8" t="n">
        <v>46220</v>
      </c>
      <c r="D86" s="9" t="n">
        <v>133000</v>
      </c>
      <c r="E86" t="n">
        <v>3</v>
      </c>
      <c r="F86" s="10" t="n">
        <v>0.194</v>
      </c>
      <c r="G86" t="inlineStr">
        <is>
          <t>Invoice Discounting</t>
        </is>
      </c>
      <c r="H86" t="inlineStr">
        <is>
          <t>LO025</t>
        </is>
      </c>
      <c r="I86" t="inlineStr">
        <is>
          <t>Partner Referral</t>
        </is>
      </c>
      <c r="J86">
        <f>INDEX('Data - Borrowers'!$B$2:$B$851, MATCH(B86, 'Data - Borrowers'!$A$2:$A$851, 0))</f>
        <v/>
      </c>
      <c r="K86">
        <f>INDEX('Data - Borrowers'!$C$2:$C$851, MATCH(B86, 'Data - Borrowers'!$A$2:$A$851, 0))</f>
        <v/>
      </c>
      <c r="L86">
        <f>IF(D86&lt;100000, "Micro (&lt;100K)", IF(D86&lt;500000, "Small (100K-500K)", "Medium (500K+)"))</f>
        <v/>
      </c>
      <c r="M86">
        <f>TEXT(C86, "yyyy-mm")</f>
        <v/>
      </c>
    </row>
    <row r="87">
      <c r="A87" t="inlineStr">
        <is>
          <t>LN200094</t>
        </is>
      </c>
      <c r="B87" t="inlineStr">
        <is>
          <t>BOR100074</t>
        </is>
      </c>
      <c r="C87" s="8" t="n">
        <v>46044</v>
      </c>
      <c r="D87" s="9" t="n">
        <v>49000</v>
      </c>
      <c r="E87" t="n">
        <v>9</v>
      </c>
      <c r="F87" s="10" t="n">
        <v>0.228</v>
      </c>
      <c r="G87" t="inlineStr">
        <is>
          <t>Asset Finance</t>
        </is>
      </c>
      <c r="H87" t="inlineStr">
        <is>
          <t>LO010</t>
        </is>
      </c>
      <c r="I87" t="inlineStr">
        <is>
          <t>Mobile App</t>
        </is>
      </c>
      <c r="J87">
        <f>INDEX('Data - Borrowers'!$B$2:$B$851, MATCH(B87, 'Data - Borrowers'!$A$2:$A$851, 0))</f>
        <v/>
      </c>
      <c r="K87">
        <f>INDEX('Data - Borrowers'!$C$2:$C$851, MATCH(B87, 'Data - Borrowers'!$A$2:$A$851, 0))</f>
        <v/>
      </c>
      <c r="L87">
        <f>IF(D87&lt;100000, "Micro (&lt;100K)", IF(D87&lt;500000, "Small (100K-500K)", "Medium (500K+)"))</f>
        <v/>
      </c>
      <c r="M87">
        <f>TEXT(C87, "yyyy-mm")</f>
        <v/>
      </c>
    </row>
    <row r="88">
      <c r="A88" t="inlineStr">
        <is>
          <t>LN200095</t>
        </is>
      </c>
      <c r="B88" t="inlineStr">
        <is>
          <t>BOR100075</t>
        </is>
      </c>
      <c r="C88" s="8" t="n">
        <v>46051</v>
      </c>
      <c r="D88" s="9" t="n">
        <v>109000</v>
      </c>
      <c r="E88" t="n">
        <v>18</v>
      </c>
      <c r="F88" s="10" t="n">
        <v>0.124</v>
      </c>
      <c r="G88" t="inlineStr">
        <is>
          <t>Invoice Discounting</t>
        </is>
      </c>
      <c r="H88" t="inlineStr">
        <is>
          <t>LO019</t>
        </is>
      </c>
      <c r="I88" t="inlineStr">
        <is>
          <t>Branch</t>
        </is>
      </c>
      <c r="J88">
        <f>INDEX('Data - Borrowers'!$B$2:$B$851, MATCH(B88, 'Data - Borrowers'!$A$2:$A$851, 0))</f>
        <v/>
      </c>
      <c r="K88">
        <f>INDEX('Data - Borrowers'!$C$2:$C$851, MATCH(B88, 'Data - Borrowers'!$A$2:$A$851, 0))</f>
        <v/>
      </c>
      <c r="L88">
        <f>IF(D88&lt;100000, "Micro (&lt;100K)", IF(D88&lt;500000, "Small (100K-500K)", "Medium (500K+)"))</f>
        <v/>
      </c>
      <c r="M88">
        <f>TEXT(C88, "yyyy-mm")</f>
        <v/>
      </c>
    </row>
    <row r="89">
      <c r="A89" t="inlineStr">
        <is>
          <t>LN200096</t>
        </is>
      </c>
      <c r="B89" t="inlineStr">
        <is>
          <t>BOR100076</t>
        </is>
      </c>
      <c r="C89" s="8" t="n">
        <v>45879</v>
      </c>
      <c r="D89" s="9" t="n">
        <v>103000</v>
      </c>
      <c r="E89" t="n">
        <v>9</v>
      </c>
      <c r="F89" s="10" t="n">
        <v>0.179</v>
      </c>
      <c r="G89" t="inlineStr">
        <is>
          <t>Working Capital</t>
        </is>
      </c>
      <c r="H89" t="inlineStr">
        <is>
          <t>LO011</t>
        </is>
      </c>
      <c r="I89" t="inlineStr">
        <is>
          <t>Mobile App</t>
        </is>
      </c>
      <c r="J89">
        <f>INDEX('Data - Borrowers'!$B$2:$B$851, MATCH(B89, 'Data - Borrowers'!$A$2:$A$851, 0))</f>
        <v/>
      </c>
      <c r="K89">
        <f>INDEX('Data - Borrowers'!$C$2:$C$851, MATCH(B89, 'Data - Borrowers'!$A$2:$A$851, 0))</f>
        <v/>
      </c>
      <c r="L89">
        <f>IF(D89&lt;100000, "Micro (&lt;100K)", IF(D89&lt;500000, "Small (100K-500K)", "Medium (500K+)"))</f>
        <v/>
      </c>
      <c r="M89">
        <f>TEXT(C89, "yyyy-mm")</f>
        <v/>
      </c>
    </row>
    <row r="90">
      <c r="A90" t="inlineStr">
        <is>
          <t>LN200097</t>
        </is>
      </c>
      <c r="B90" t="inlineStr">
        <is>
          <t>BOR100076</t>
        </is>
      </c>
      <c r="C90" s="8" t="n">
        <v>46155</v>
      </c>
      <c r="D90" s="9" t="n">
        <v>289000</v>
      </c>
      <c r="E90" t="n">
        <v>9</v>
      </c>
      <c r="F90" s="10" t="n">
        <v>0.176</v>
      </c>
      <c r="G90" t="inlineStr">
        <is>
          <t>Invoice Discounting</t>
        </is>
      </c>
      <c r="H90" t="inlineStr">
        <is>
          <t>LO003</t>
        </is>
      </c>
      <c r="I90" t="inlineStr">
        <is>
          <t>Mobile App</t>
        </is>
      </c>
      <c r="J90">
        <f>INDEX('Data - Borrowers'!$B$2:$B$851, MATCH(B90, 'Data - Borrowers'!$A$2:$A$851, 0))</f>
        <v/>
      </c>
      <c r="K90">
        <f>INDEX('Data - Borrowers'!$C$2:$C$851, MATCH(B90, 'Data - Borrowers'!$A$2:$A$851, 0))</f>
        <v/>
      </c>
      <c r="L90">
        <f>IF(D90&lt;100000, "Micro (&lt;100K)", IF(D90&lt;500000, "Small (100K-500K)", "Medium (500K+)"))</f>
        <v/>
      </c>
      <c r="M90">
        <f>TEXT(C90, "yyyy-mm")</f>
        <v/>
      </c>
    </row>
    <row r="91">
      <c r="A91" t="inlineStr">
        <is>
          <t>LN200098</t>
        </is>
      </c>
      <c r="B91" t="inlineStr">
        <is>
          <t>BOR100077</t>
        </is>
      </c>
      <c r="C91" s="8" t="n">
        <v>46141</v>
      </c>
      <c r="D91" s="9" t="n">
        <v>52000</v>
      </c>
      <c r="E91" t="n">
        <v>9</v>
      </c>
      <c r="F91" s="10" t="n">
        <v>0.225</v>
      </c>
      <c r="G91" t="inlineStr">
        <is>
          <t>Working Capital</t>
        </is>
      </c>
      <c r="H91" t="inlineStr">
        <is>
          <t>LO016</t>
        </is>
      </c>
      <c r="I91" t="inlineStr">
        <is>
          <t>Mobile App</t>
        </is>
      </c>
      <c r="J91">
        <f>INDEX('Data - Borrowers'!$B$2:$B$851, MATCH(B91, 'Data - Borrowers'!$A$2:$A$851, 0))</f>
        <v/>
      </c>
      <c r="K91">
        <f>INDEX('Data - Borrowers'!$C$2:$C$851, MATCH(B91, 'Data - Borrowers'!$A$2:$A$851, 0))</f>
        <v/>
      </c>
      <c r="L91">
        <f>IF(D91&lt;100000, "Micro (&lt;100K)", IF(D91&lt;500000, "Small (100K-500K)", "Medium (500K+)"))</f>
        <v/>
      </c>
      <c r="M91">
        <f>TEXT(C91, "yyyy-mm")</f>
        <v/>
      </c>
    </row>
    <row r="92">
      <c r="A92" t="inlineStr">
        <is>
          <t>LN200099</t>
        </is>
      </c>
      <c r="B92" t="inlineStr">
        <is>
          <t>BOR100078</t>
        </is>
      </c>
      <c r="C92" s="8" t="n">
        <v>45844</v>
      </c>
      <c r="D92" s="9" t="n">
        <v>92000</v>
      </c>
      <c r="E92" t="n">
        <v>9</v>
      </c>
      <c r="F92" s="10" t="n">
        <v>0.207</v>
      </c>
      <c r="G92" t="inlineStr">
        <is>
          <t>Working Capital</t>
        </is>
      </c>
      <c r="H92" t="inlineStr">
        <is>
          <t>LO006</t>
        </is>
      </c>
      <c r="I92" t="inlineStr">
        <is>
          <t>Mobile App</t>
        </is>
      </c>
      <c r="J92">
        <f>INDEX('Data - Borrowers'!$B$2:$B$851, MATCH(B92, 'Data - Borrowers'!$A$2:$A$851, 0))</f>
        <v/>
      </c>
      <c r="K92">
        <f>INDEX('Data - Borrowers'!$C$2:$C$851, MATCH(B92, 'Data - Borrowers'!$A$2:$A$851, 0))</f>
        <v/>
      </c>
      <c r="L92">
        <f>IF(D92&lt;100000, "Micro (&lt;100K)", IF(D92&lt;500000, "Small (100K-500K)", "Medium (500K+)"))</f>
        <v/>
      </c>
      <c r="M92">
        <f>TEXT(C92, "yyyy-mm")</f>
        <v/>
      </c>
    </row>
    <row r="93">
      <c r="A93" t="inlineStr">
        <is>
          <t>LN200100</t>
        </is>
      </c>
      <c r="B93" t="inlineStr">
        <is>
          <t>BOR100079</t>
        </is>
      </c>
      <c r="C93" s="8" t="n">
        <v>46156</v>
      </c>
      <c r="D93" s="9" t="n">
        <v>38000</v>
      </c>
      <c r="E93" t="n">
        <v>12</v>
      </c>
      <c r="F93" s="10" t="n">
        <v>0.209</v>
      </c>
      <c r="G93" t="inlineStr">
        <is>
          <t>Working Capital</t>
        </is>
      </c>
      <c r="H93" t="inlineStr">
        <is>
          <t>LO025</t>
        </is>
      </c>
      <c r="I93" t="inlineStr">
        <is>
          <t>Partner Referral</t>
        </is>
      </c>
      <c r="J93">
        <f>INDEX('Data - Borrowers'!$B$2:$B$851, MATCH(B93, 'Data - Borrowers'!$A$2:$A$851, 0))</f>
        <v/>
      </c>
      <c r="K93">
        <f>INDEX('Data - Borrowers'!$C$2:$C$851, MATCH(B93, 'Data - Borrowers'!$A$2:$A$851, 0))</f>
        <v/>
      </c>
      <c r="L93">
        <f>IF(D93&lt;100000, "Micro (&lt;100K)", IF(D93&lt;500000, "Small (100K-500K)", "Medium (500K+)"))</f>
        <v/>
      </c>
      <c r="M93">
        <f>TEXT(C93, "yyyy-mm")</f>
        <v/>
      </c>
    </row>
    <row r="94">
      <c r="A94" t="inlineStr">
        <is>
          <t>LN200102</t>
        </is>
      </c>
      <c r="B94" t="inlineStr">
        <is>
          <t>BOR100080</t>
        </is>
      </c>
      <c r="C94" s="8" t="n">
        <v>46128</v>
      </c>
      <c r="D94" s="9" t="n">
        <v>132000</v>
      </c>
      <c r="E94" t="n">
        <v>12</v>
      </c>
      <c r="F94" s="10" t="n">
        <v>0.136</v>
      </c>
      <c r="G94" t="inlineStr">
        <is>
          <t>Working Capital</t>
        </is>
      </c>
      <c r="H94" t="inlineStr">
        <is>
          <t>LO005</t>
        </is>
      </c>
      <c r="I94" t="inlineStr">
        <is>
          <t>Branch</t>
        </is>
      </c>
      <c r="J94">
        <f>INDEX('Data - Borrowers'!$B$2:$B$851, MATCH(B94, 'Data - Borrowers'!$A$2:$A$851, 0))</f>
        <v/>
      </c>
      <c r="K94">
        <f>INDEX('Data - Borrowers'!$C$2:$C$851, MATCH(B94, 'Data - Borrowers'!$A$2:$A$851, 0))</f>
        <v/>
      </c>
      <c r="L94">
        <f>IF(D94&lt;100000, "Micro (&lt;100K)", IF(D94&lt;500000, "Small (100K-500K)", "Medium (500K+)"))</f>
        <v/>
      </c>
      <c r="M94">
        <f>TEXT(C94, "yyyy-mm")</f>
        <v/>
      </c>
    </row>
    <row r="95">
      <c r="A95" t="inlineStr">
        <is>
          <t>LN200103</t>
        </is>
      </c>
      <c r="B95" t="inlineStr">
        <is>
          <t>BOR100080</t>
        </is>
      </c>
      <c r="C95" s="8" t="n">
        <v>46210</v>
      </c>
      <c r="D95" s="9" t="n">
        <v>128000</v>
      </c>
      <c r="E95" t="n">
        <v>12</v>
      </c>
      <c r="F95" s="10" t="n">
        <v>0.168</v>
      </c>
      <c r="G95" t="inlineStr">
        <is>
          <t>Working Capital</t>
        </is>
      </c>
      <c r="H95" t="inlineStr">
        <is>
          <t>LO016</t>
        </is>
      </c>
      <c r="I95" t="inlineStr">
        <is>
          <t>Mobile App</t>
        </is>
      </c>
      <c r="J95">
        <f>INDEX('Data - Borrowers'!$B$2:$B$851, MATCH(B95, 'Data - Borrowers'!$A$2:$A$851, 0))</f>
        <v/>
      </c>
      <c r="K95">
        <f>INDEX('Data - Borrowers'!$C$2:$C$851, MATCH(B95, 'Data - Borrowers'!$A$2:$A$851, 0))</f>
        <v/>
      </c>
      <c r="L95">
        <f>IF(D95&lt;100000, "Micro (&lt;100K)", IF(D95&lt;500000, "Small (100K-500K)", "Medium (500K+)"))</f>
        <v/>
      </c>
      <c r="M95">
        <f>TEXT(C95, "yyyy-mm")</f>
        <v/>
      </c>
    </row>
    <row r="96">
      <c r="A96" t="inlineStr">
        <is>
          <t>LN200104</t>
        </is>
      </c>
      <c r="B96" t="inlineStr">
        <is>
          <t>BOR100081</t>
        </is>
      </c>
      <c r="C96" s="8" t="n">
        <v>46053</v>
      </c>
      <c r="D96" s="9" t="n">
        <v>97000</v>
      </c>
      <c r="E96" t="n">
        <v>6</v>
      </c>
      <c r="F96" s="10" t="n">
        <v>0.205</v>
      </c>
      <c r="G96" t="inlineStr">
        <is>
          <t>Asset Finance</t>
        </is>
      </c>
      <c r="H96" t="inlineStr">
        <is>
          <t>LO020</t>
        </is>
      </c>
      <c r="I96" t="inlineStr">
        <is>
          <t>Partner Referral</t>
        </is>
      </c>
      <c r="J96">
        <f>INDEX('Data - Borrowers'!$B$2:$B$851, MATCH(B96, 'Data - Borrowers'!$A$2:$A$851, 0))</f>
        <v/>
      </c>
      <c r="K96">
        <f>INDEX('Data - Borrowers'!$C$2:$C$851, MATCH(B96, 'Data - Borrowers'!$A$2:$A$851, 0))</f>
        <v/>
      </c>
      <c r="L96">
        <f>IF(D96&lt;100000, "Micro (&lt;100K)", IF(D96&lt;500000, "Small (100K-500K)", "Medium (500K+)"))</f>
        <v/>
      </c>
      <c r="M96">
        <f>TEXT(C96, "yyyy-mm")</f>
        <v/>
      </c>
    </row>
    <row r="97">
      <c r="A97" t="inlineStr">
        <is>
          <t>LN200105</t>
        </is>
      </c>
      <c r="B97" t="inlineStr">
        <is>
          <t>BOR100082</t>
        </is>
      </c>
      <c r="C97" s="8" t="n">
        <v>45853</v>
      </c>
      <c r="D97" s="9" t="n">
        <v>340000</v>
      </c>
      <c r="E97" t="n">
        <v>3</v>
      </c>
      <c r="F97" s="10" t="n">
        <v>0.206</v>
      </c>
      <c r="G97" t="inlineStr">
        <is>
          <t>Working Capital</t>
        </is>
      </c>
      <c r="H97" t="inlineStr">
        <is>
          <t>LO019</t>
        </is>
      </c>
      <c r="I97" t="inlineStr">
        <is>
          <t>Branch</t>
        </is>
      </c>
      <c r="J97">
        <f>INDEX('Data - Borrowers'!$B$2:$B$851, MATCH(B97, 'Data - Borrowers'!$A$2:$A$851, 0))</f>
        <v/>
      </c>
      <c r="K97">
        <f>INDEX('Data - Borrowers'!$C$2:$C$851, MATCH(B97, 'Data - Borrowers'!$A$2:$A$851, 0))</f>
        <v/>
      </c>
      <c r="L97">
        <f>IF(D97&lt;100000, "Micro (&lt;100K)", IF(D97&lt;500000, "Small (100K-500K)", "Medium (500K+)"))</f>
        <v/>
      </c>
      <c r="M97">
        <f>TEXT(C97, "yyyy-mm")</f>
        <v/>
      </c>
    </row>
    <row r="98">
      <c r="A98" t="inlineStr">
        <is>
          <t>LN200106</t>
        </is>
      </c>
      <c r="B98" t="inlineStr">
        <is>
          <t>BOR100083</t>
        </is>
      </c>
      <c r="C98" s="8" t="n">
        <v>45801</v>
      </c>
      <c r="D98" s="9" t="n">
        <v>125000</v>
      </c>
      <c r="E98" t="n">
        <v>6</v>
      </c>
      <c r="F98" s="10" t="n">
        <v>0.204</v>
      </c>
      <c r="G98" t="inlineStr">
        <is>
          <t>Working Capital</t>
        </is>
      </c>
      <c r="H98" t="inlineStr">
        <is>
          <t>LO008</t>
        </is>
      </c>
      <c r="I98" t="inlineStr">
        <is>
          <t>Partner Referral</t>
        </is>
      </c>
      <c r="J98">
        <f>INDEX('Data - Borrowers'!$B$2:$B$851, MATCH(B98, 'Data - Borrowers'!$A$2:$A$851, 0))</f>
        <v/>
      </c>
      <c r="K98">
        <f>INDEX('Data - Borrowers'!$C$2:$C$851, MATCH(B98, 'Data - Borrowers'!$A$2:$A$851, 0))</f>
        <v/>
      </c>
      <c r="L98">
        <f>IF(D98&lt;100000, "Micro (&lt;100K)", IF(D98&lt;500000, "Small (100K-500K)", "Medium (500K+)"))</f>
        <v/>
      </c>
      <c r="M98">
        <f>TEXT(C98, "yyyy-mm")</f>
        <v/>
      </c>
    </row>
    <row r="99">
      <c r="A99" t="inlineStr">
        <is>
          <t>LN200107</t>
        </is>
      </c>
      <c r="B99" t="inlineStr">
        <is>
          <t>BOR100083</t>
        </is>
      </c>
      <c r="C99" s="8" t="n">
        <v>46155</v>
      </c>
      <c r="D99" s="9" t="n">
        <v>80000</v>
      </c>
      <c r="E99" t="n">
        <v>6</v>
      </c>
      <c r="F99" s="10" t="n">
        <v>0.202</v>
      </c>
      <c r="G99" t="inlineStr">
        <is>
          <t>Working Capital</t>
        </is>
      </c>
      <c r="H99" t="inlineStr">
        <is>
          <t>LO019</t>
        </is>
      </c>
      <c r="I99" t="inlineStr">
        <is>
          <t>Branch</t>
        </is>
      </c>
      <c r="J99">
        <f>INDEX('Data - Borrowers'!$B$2:$B$851, MATCH(B99, 'Data - Borrowers'!$A$2:$A$851, 0))</f>
        <v/>
      </c>
      <c r="K99">
        <f>INDEX('Data - Borrowers'!$C$2:$C$851, MATCH(B99, 'Data - Borrowers'!$A$2:$A$851, 0))</f>
        <v/>
      </c>
      <c r="L99">
        <f>IF(D99&lt;100000, "Micro (&lt;100K)", IF(D99&lt;500000, "Small (100K-500K)", "Medium (500K+)"))</f>
        <v/>
      </c>
      <c r="M99">
        <f>TEXT(C99, "yyyy-mm")</f>
        <v/>
      </c>
    </row>
    <row r="100">
      <c r="A100" t="inlineStr">
        <is>
          <t>LN200108</t>
        </is>
      </c>
      <c r="B100" t="inlineStr">
        <is>
          <t>BOR100084</t>
        </is>
      </c>
      <c r="C100" s="8" t="n">
        <v>45801</v>
      </c>
      <c r="D100" s="9" t="n">
        <v>31000</v>
      </c>
      <c r="E100" t="n">
        <v>6</v>
      </c>
      <c r="F100" s="10" t="n">
        <v>0.198</v>
      </c>
      <c r="G100" t="inlineStr">
        <is>
          <t>Asset Finance</t>
        </is>
      </c>
      <c r="H100" t="inlineStr">
        <is>
          <t>LO016</t>
        </is>
      </c>
      <c r="I100" t="inlineStr">
        <is>
          <t>Mobile App</t>
        </is>
      </c>
      <c r="J100">
        <f>INDEX('Data - Borrowers'!$B$2:$B$851, MATCH(B100, 'Data - Borrowers'!$A$2:$A$851, 0))</f>
        <v/>
      </c>
      <c r="K100">
        <f>INDEX('Data - Borrowers'!$C$2:$C$851, MATCH(B100, 'Data - Borrowers'!$A$2:$A$851, 0))</f>
        <v/>
      </c>
      <c r="L100">
        <f>IF(D100&lt;100000, "Micro (&lt;100K)", IF(D100&lt;500000, "Small (100K-500K)", "Medium (500K+)"))</f>
        <v/>
      </c>
      <c r="M100">
        <f>TEXT(C100, "yyyy-mm")</f>
        <v/>
      </c>
    </row>
    <row r="101">
      <c r="A101" t="inlineStr">
        <is>
          <t>LN200109</t>
        </is>
      </c>
      <c r="B101" t="inlineStr">
        <is>
          <t>BOR100084</t>
        </is>
      </c>
      <c r="C101" s="8" t="n">
        <v>46210</v>
      </c>
      <c r="D101" s="9" t="n">
        <v>24000</v>
      </c>
      <c r="E101" t="n">
        <v>6</v>
      </c>
      <c r="F101" s="10" t="n">
        <v>0.165</v>
      </c>
      <c r="G101" t="inlineStr">
        <is>
          <t>Working Capital</t>
        </is>
      </c>
      <c r="H101" t="inlineStr">
        <is>
          <t>LO022</t>
        </is>
      </c>
      <c r="I101" t="inlineStr">
        <is>
          <t>Mobile App</t>
        </is>
      </c>
      <c r="J101">
        <f>INDEX('Data - Borrowers'!$B$2:$B$851, MATCH(B101, 'Data - Borrowers'!$A$2:$A$851, 0))</f>
        <v/>
      </c>
      <c r="K101">
        <f>INDEX('Data - Borrowers'!$C$2:$C$851, MATCH(B101, 'Data - Borrowers'!$A$2:$A$851, 0))</f>
        <v/>
      </c>
      <c r="L101">
        <f>IF(D101&lt;100000, "Micro (&lt;100K)", IF(D101&lt;500000, "Small (100K-500K)", "Medium (500K+)"))</f>
        <v/>
      </c>
      <c r="M101">
        <f>TEXT(C101, "yyyy-mm")</f>
        <v/>
      </c>
    </row>
    <row r="102">
      <c r="A102" t="inlineStr">
        <is>
          <t>LN200110</t>
        </is>
      </c>
      <c r="B102" t="inlineStr">
        <is>
          <t>BOR100085</t>
        </is>
      </c>
      <c r="C102" s="8" t="n">
        <v>46029</v>
      </c>
      <c r="D102" s="9" t="n">
        <v>246000</v>
      </c>
      <c r="E102" t="n">
        <v>12</v>
      </c>
      <c r="F102" s="10" t="n">
        <v>0.146</v>
      </c>
      <c r="G102" t="inlineStr">
        <is>
          <t>Working Capital</t>
        </is>
      </c>
      <c r="H102" t="inlineStr">
        <is>
          <t>LO015</t>
        </is>
      </c>
      <c r="I102" t="inlineStr">
        <is>
          <t>Mobile App</t>
        </is>
      </c>
      <c r="J102">
        <f>INDEX('Data - Borrowers'!$B$2:$B$851, MATCH(B102, 'Data - Borrowers'!$A$2:$A$851, 0))</f>
        <v/>
      </c>
      <c r="K102">
        <f>INDEX('Data - Borrowers'!$C$2:$C$851, MATCH(B102, 'Data - Borrowers'!$A$2:$A$851, 0))</f>
        <v/>
      </c>
      <c r="L102">
        <f>IF(D102&lt;100000, "Micro (&lt;100K)", IF(D102&lt;500000, "Small (100K-500K)", "Medium (500K+)"))</f>
        <v/>
      </c>
      <c r="M102">
        <f>TEXT(C102, "yyyy-mm")</f>
        <v/>
      </c>
    </row>
    <row r="103">
      <c r="A103" t="inlineStr">
        <is>
          <t>LN200111</t>
        </is>
      </c>
      <c r="B103" t="inlineStr">
        <is>
          <t>BOR100086</t>
        </is>
      </c>
      <c r="C103" s="8" t="n">
        <v>46051</v>
      </c>
      <c r="D103" s="9" t="n">
        <v>39000</v>
      </c>
      <c r="E103" t="n">
        <v>3</v>
      </c>
      <c r="F103" s="10" t="n">
        <v>0.125</v>
      </c>
      <c r="G103" t="inlineStr">
        <is>
          <t>Invoice Discounting</t>
        </is>
      </c>
      <c r="H103" t="inlineStr">
        <is>
          <t>LO025</t>
        </is>
      </c>
      <c r="I103" t="inlineStr">
        <is>
          <t>Partner Referral</t>
        </is>
      </c>
      <c r="J103">
        <f>INDEX('Data - Borrowers'!$B$2:$B$851, MATCH(B103, 'Data - Borrowers'!$A$2:$A$851, 0))</f>
        <v/>
      </c>
      <c r="K103">
        <f>INDEX('Data - Borrowers'!$C$2:$C$851, MATCH(B103, 'Data - Borrowers'!$A$2:$A$851, 0))</f>
        <v/>
      </c>
      <c r="L103">
        <f>IF(D103&lt;100000, "Micro (&lt;100K)", IF(D103&lt;500000, "Small (100K-500K)", "Medium (500K+)"))</f>
        <v/>
      </c>
      <c r="M103">
        <f>TEXT(C103, "yyyy-mm")</f>
        <v/>
      </c>
    </row>
    <row r="104">
      <c r="A104" t="inlineStr">
        <is>
          <t>LN200113</t>
        </is>
      </c>
      <c r="B104" t="inlineStr">
        <is>
          <t>BOR100087</t>
        </is>
      </c>
      <c r="C104" s="8" t="n">
        <v>45994</v>
      </c>
      <c r="D104" s="9" t="n">
        <v>74000</v>
      </c>
      <c r="E104" t="n">
        <v>6</v>
      </c>
      <c r="F104" s="10" t="n">
        <v>0.124</v>
      </c>
      <c r="G104" t="inlineStr">
        <is>
          <t>Asset Finance</t>
        </is>
      </c>
      <c r="H104" t="inlineStr">
        <is>
          <t>LO008</t>
        </is>
      </c>
      <c r="I104" t="inlineStr">
        <is>
          <t>Branch</t>
        </is>
      </c>
      <c r="J104">
        <f>INDEX('Data - Borrowers'!$B$2:$B$851, MATCH(B104, 'Data - Borrowers'!$A$2:$A$851, 0))</f>
        <v/>
      </c>
      <c r="K104">
        <f>INDEX('Data - Borrowers'!$C$2:$C$851, MATCH(B104, 'Data - Borrowers'!$A$2:$A$851, 0))</f>
        <v/>
      </c>
      <c r="L104">
        <f>IF(D104&lt;100000, "Micro (&lt;100K)", IF(D104&lt;500000, "Small (100K-500K)", "Medium (500K+)"))</f>
        <v/>
      </c>
      <c r="M104">
        <f>TEXT(C104, "yyyy-mm")</f>
        <v/>
      </c>
    </row>
    <row r="105">
      <c r="A105" t="inlineStr">
        <is>
          <t>LN200114</t>
        </is>
      </c>
      <c r="B105" t="inlineStr">
        <is>
          <t>BOR100088</t>
        </is>
      </c>
      <c r="C105" s="8" t="n">
        <v>46031</v>
      </c>
      <c r="D105" s="9" t="n">
        <v>156000</v>
      </c>
      <c r="E105" t="n">
        <v>12</v>
      </c>
      <c r="F105" s="10" t="n">
        <v>0.135</v>
      </c>
      <c r="G105" t="inlineStr">
        <is>
          <t>Working Capital</t>
        </is>
      </c>
      <c r="H105" t="inlineStr">
        <is>
          <t>LO006</t>
        </is>
      </c>
      <c r="I105" t="inlineStr">
        <is>
          <t>Branch</t>
        </is>
      </c>
      <c r="J105">
        <f>INDEX('Data - Borrowers'!$B$2:$B$851, MATCH(B105, 'Data - Borrowers'!$A$2:$A$851, 0))</f>
        <v/>
      </c>
      <c r="K105">
        <f>INDEX('Data - Borrowers'!$C$2:$C$851, MATCH(B105, 'Data - Borrowers'!$A$2:$A$851, 0))</f>
        <v/>
      </c>
      <c r="L105">
        <f>IF(D105&lt;100000, "Micro (&lt;100K)", IF(D105&lt;500000, "Small (100K-500K)", "Medium (500K+)"))</f>
        <v/>
      </c>
      <c r="M105">
        <f>TEXT(C105, "yyyy-mm")</f>
        <v/>
      </c>
    </row>
    <row r="106">
      <c r="A106" t="inlineStr">
        <is>
          <t>LN200115</t>
        </is>
      </c>
      <c r="B106" t="inlineStr">
        <is>
          <t>BOR100089</t>
        </is>
      </c>
      <c r="C106" s="8" t="n">
        <v>45770</v>
      </c>
      <c r="D106" s="9" t="n">
        <v>40000</v>
      </c>
      <c r="E106" t="n">
        <v>3</v>
      </c>
      <c r="F106" s="10" t="n">
        <v>0.177</v>
      </c>
      <c r="G106" t="inlineStr">
        <is>
          <t>Working Capital</t>
        </is>
      </c>
      <c r="H106" t="inlineStr">
        <is>
          <t>LO014</t>
        </is>
      </c>
      <c r="I106" t="inlineStr">
        <is>
          <t>Mobile App</t>
        </is>
      </c>
      <c r="J106">
        <f>INDEX('Data - Borrowers'!$B$2:$B$851, MATCH(B106, 'Data - Borrowers'!$A$2:$A$851, 0))</f>
        <v/>
      </c>
      <c r="K106">
        <f>INDEX('Data - Borrowers'!$C$2:$C$851, MATCH(B106, 'Data - Borrowers'!$A$2:$A$851, 0))</f>
        <v/>
      </c>
      <c r="L106">
        <f>IF(D106&lt;100000, "Micro (&lt;100K)", IF(D106&lt;500000, "Small (100K-500K)", "Medium (500K+)"))</f>
        <v/>
      </c>
      <c r="M106">
        <f>TEXT(C106, "yyyy-mm")</f>
        <v/>
      </c>
    </row>
    <row r="107">
      <c r="A107" t="inlineStr">
        <is>
          <t>LN200116</t>
        </is>
      </c>
      <c r="B107" t="inlineStr">
        <is>
          <t>BOR100090</t>
        </is>
      </c>
      <c r="C107" s="8" t="n">
        <v>46009</v>
      </c>
      <c r="D107" s="9" t="n">
        <v>120000</v>
      </c>
      <c r="E107" t="n">
        <v>6</v>
      </c>
      <c r="F107" s="10" t="n">
        <v>0.214</v>
      </c>
      <c r="G107" t="inlineStr">
        <is>
          <t>Working Capital</t>
        </is>
      </c>
      <c r="H107" t="inlineStr">
        <is>
          <t>LO018</t>
        </is>
      </c>
      <c r="I107" t="inlineStr">
        <is>
          <t>Mobile App</t>
        </is>
      </c>
      <c r="J107">
        <f>INDEX('Data - Borrowers'!$B$2:$B$851, MATCH(B107, 'Data - Borrowers'!$A$2:$A$851, 0))</f>
        <v/>
      </c>
      <c r="K107">
        <f>INDEX('Data - Borrowers'!$C$2:$C$851, MATCH(B107, 'Data - Borrowers'!$A$2:$A$851, 0))</f>
        <v/>
      </c>
      <c r="L107">
        <f>IF(D107&lt;100000, "Micro (&lt;100K)", IF(D107&lt;500000, "Small (100K-500K)", "Medium (500K+)"))</f>
        <v/>
      </c>
      <c r="M107">
        <f>TEXT(C107, "yyyy-mm")</f>
        <v/>
      </c>
    </row>
    <row r="108">
      <c r="A108" t="inlineStr">
        <is>
          <t>LN200118</t>
        </is>
      </c>
      <c r="B108" t="inlineStr">
        <is>
          <t>BOR100091</t>
        </is>
      </c>
      <c r="C108" s="8" t="n">
        <v>45882</v>
      </c>
      <c r="D108" s="9" t="n">
        <v>27000</v>
      </c>
      <c r="E108" t="n">
        <v>12</v>
      </c>
      <c r="F108" s="10" t="n">
        <v>0.236</v>
      </c>
      <c r="G108" t="inlineStr">
        <is>
          <t>Working Capital</t>
        </is>
      </c>
      <c r="H108" t="inlineStr">
        <is>
          <t>LO007</t>
        </is>
      </c>
      <c r="I108" t="inlineStr">
        <is>
          <t>Branch</t>
        </is>
      </c>
      <c r="J108">
        <f>INDEX('Data - Borrowers'!$B$2:$B$851, MATCH(B108, 'Data - Borrowers'!$A$2:$A$851, 0))</f>
        <v/>
      </c>
      <c r="K108">
        <f>INDEX('Data - Borrowers'!$C$2:$C$851, MATCH(B108, 'Data - Borrowers'!$A$2:$A$851, 0))</f>
        <v/>
      </c>
      <c r="L108">
        <f>IF(D108&lt;100000, "Micro (&lt;100K)", IF(D108&lt;500000, "Small (100K-500K)", "Medium (500K+)"))</f>
        <v/>
      </c>
      <c r="M108">
        <f>TEXT(C108, "yyyy-mm")</f>
        <v/>
      </c>
    </row>
    <row r="109">
      <c r="A109" t="inlineStr">
        <is>
          <t>LN200119</t>
        </is>
      </c>
      <c r="B109" t="inlineStr">
        <is>
          <t>BOR100092</t>
        </is>
      </c>
      <c r="C109" s="8" t="n">
        <v>45967</v>
      </c>
      <c r="D109" s="9" t="n">
        <v>33000</v>
      </c>
      <c r="E109" t="n">
        <v>12</v>
      </c>
      <c r="F109" s="10" t="n">
        <v>0.221</v>
      </c>
      <c r="G109" t="inlineStr">
        <is>
          <t>Working Capital</t>
        </is>
      </c>
      <c r="H109" t="inlineStr">
        <is>
          <t>LO022</t>
        </is>
      </c>
      <c r="I109" t="inlineStr">
        <is>
          <t>Branch</t>
        </is>
      </c>
      <c r="J109">
        <f>INDEX('Data - Borrowers'!$B$2:$B$851, MATCH(B109, 'Data - Borrowers'!$A$2:$A$851, 0))</f>
        <v/>
      </c>
      <c r="K109">
        <f>INDEX('Data - Borrowers'!$C$2:$C$851, MATCH(B109, 'Data - Borrowers'!$A$2:$A$851, 0))</f>
        <v/>
      </c>
      <c r="L109">
        <f>IF(D109&lt;100000, "Micro (&lt;100K)", IF(D109&lt;500000, "Small (100K-500K)", "Medium (500K+)"))</f>
        <v/>
      </c>
      <c r="M109">
        <f>TEXT(C109, "yyyy-mm")</f>
        <v/>
      </c>
    </row>
    <row r="110">
      <c r="A110" t="inlineStr">
        <is>
          <t>LN200120</t>
        </is>
      </c>
      <c r="B110" t="inlineStr">
        <is>
          <t>BOR100093</t>
        </is>
      </c>
      <c r="C110" s="8" t="n">
        <v>45777</v>
      </c>
      <c r="D110" s="9" t="n">
        <v>86000</v>
      </c>
      <c r="E110" t="n">
        <v>3</v>
      </c>
      <c r="F110" s="10" t="n">
        <v>0.176</v>
      </c>
      <c r="G110" t="inlineStr">
        <is>
          <t>Working Capital</t>
        </is>
      </c>
      <c r="H110" t="inlineStr">
        <is>
          <t>LO021</t>
        </is>
      </c>
      <c r="I110" t="inlineStr">
        <is>
          <t>Partner Referral</t>
        </is>
      </c>
      <c r="J110">
        <f>INDEX('Data - Borrowers'!$B$2:$B$851, MATCH(B110, 'Data - Borrowers'!$A$2:$A$851, 0))</f>
        <v/>
      </c>
      <c r="K110">
        <f>INDEX('Data - Borrowers'!$C$2:$C$851, MATCH(B110, 'Data - Borrowers'!$A$2:$A$851, 0))</f>
        <v/>
      </c>
      <c r="L110">
        <f>IF(D110&lt;100000, "Micro (&lt;100K)", IF(D110&lt;500000, "Small (100K-500K)", "Medium (500K+)"))</f>
        <v/>
      </c>
      <c r="M110">
        <f>TEXT(C110, "yyyy-mm")</f>
        <v/>
      </c>
    </row>
    <row r="111">
      <c r="A111" t="inlineStr">
        <is>
          <t>LN200121</t>
        </is>
      </c>
      <c r="B111" t="inlineStr">
        <is>
          <t>BOR100094</t>
        </is>
      </c>
      <c r="C111" s="8" t="n">
        <v>45736</v>
      </c>
      <c r="D111" s="9" t="n">
        <v>105000</v>
      </c>
      <c r="E111" t="n">
        <v>3</v>
      </c>
      <c r="F111" s="10" t="n">
        <v>0.133</v>
      </c>
      <c r="G111" t="inlineStr">
        <is>
          <t>Working Capital</t>
        </is>
      </c>
      <c r="H111" t="inlineStr">
        <is>
          <t>LO016</t>
        </is>
      </c>
      <c r="I111" t="inlineStr">
        <is>
          <t>Branch</t>
        </is>
      </c>
      <c r="J111">
        <f>INDEX('Data - Borrowers'!$B$2:$B$851, MATCH(B111, 'Data - Borrowers'!$A$2:$A$851, 0))</f>
        <v/>
      </c>
      <c r="K111">
        <f>INDEX('Data - Borrowers'!$C$2:$C$851, MATCH(B111, 'Data - Borrowers'!$A$2:$A$851, 0))</f>
        <v/>
      </c>
      <c r="L111">
        <f>IF(D111&lt;100000, "Micro (&lt;100K)", IF(D111&lt;500000, "Small (100K-500K)", "Medium (500K+)"))</f>
        <v/>
      </c>
      <c r="M111">
        <f>TEXT(C111, "yyyy-mm")</f>
        <v/>
      </c>
    </row>
    <row r="112">
      <c r="A112" t="inlineStr">
        <is>
          <t>LN200122</t>
        </is>
      </c>
      <c r="B112" t="inlineStr">
        <is>
          <t>BOR100095</t>
        </is>
      </c>
      <c r="C112" s="8" t="n">
        <v>46019</v>
      </c>
      <c r="D112" s="9" t="n">
        <v>288000</v>
      </c>
      <c r="E112" t="n">
        <v>12</v>
      </c>
      <c r="F112" s="10" t="n">
        <v>0.224</v>
      </c>
      <c r="G112" t="inlineStr">
        <is>
          <t>Asset Finance</t>
        </is>
      </c>
      <c r="H112" t="inlineStr">
        <is>
          <t>LO007</t>
        </is>
      </c>
      <c r="I112" t="inlineStr">
        <is>
          <t>Mobile App</t>
        </is>
      </c>
      <c r="J112">
        <f>INDEX('Data - Borrowers'!$B$2:$B$851, MATCH(B112, 'Data - Borrowers'!$A$2:$A$851, 0))</f>
        <v/>
      </c>
      <c r="K112">
        <f>INDEX('Data - Borrowers'!$C$2:$C$851, MATCH(B112, 'Data - Borrowers'!$A$2:$A$851, 0))</f>
        <v/>
      </c>
      <c r="L112">
        <f>IF(D112&lt;100000, "Micro (&lt;100K)", IF(D112&lt;500000, "Small (100K-500K)", "Medium (500K+)"))</f>
        <v/>
      </c>
      <c r="M112">
        <f>TEXT(C112, "yyyy-mm")</f>
        <v/>
      </c>
    </row>
    <row r="113">
      <c r="A113" t="inlineStr">
        <is>
          <t>LN200123</t>
        </is>
      </c>
      <c r="B113" t="inlineStr">
        <is>
          <t>BOR100096</t>
        </is>
      </c>
      <c r="C113" s="8" t="n">
        <v>46063</v>
      </c>
      <c r="D113" s="9" t="n">
        <v>165000</v>
      </c>
      <c r="E113" t="n">
        <v>6</v>
      </c>
      <c r="F113" s="10" t="n">
        <v>0.14</v>
      </c>
      <c r="G113" t="inlineStr">
        <is>
          <t>Asset Finance</t>
        </is>
      </c>
      <c r="H113" t="inlineStr">
        <is>
          <t>LO001</t>
        </is>
      </c>
      <c r="I113" t="inlineStr">
        <is>
          <t>Partner Referral</t>
        </is>
      </c>
      <c r="J113">
        <f>INDEX('Data - Borrowers'!$B$2:$B$851, MATCH(B113, 'Data - Borrowers'!$A$2:$A$851, 0))</f>
        <v/>
      </c>
      <c r="K113">
        <f>INDEX('Data - Borrowers'!$C$2:$C$851, MATCH(B113, 'Data - Borrowers'!$A$2:$A$851, 0))</f>
        <v/>
      </c>
      <c r="L113">
        <f>IF(D113&lt;100000, "Micro (&lt;100K)", IF(D113&lt;500000, "Small (100K-500K)", "Medium (500K+)"))</f>
        <v/>
      </c>
      <c r="M113">
        <f>TEXT(C113, "yyyy-mm")</f>
        <v/>
      </c>
    </row>
    <row r="114">
      <c r="A114" t="inlineStr">
        <is>
          <t>LN200124</t>
        </is>
      </c>
      <c r="B114" t="inlineStr">
        <is>
          <t>BOR100097</t>
        </is>
      </c>
      <c r="C114" s="8" t="n">
        <v>46030</v>
      </c>
      <c r="D114" s="9" t="n">
        <v>223000</v>
      </c>
      <c r="E114" t="n">
        <v>18</v>
      </c>
      <c r="F114" s="10" t="n">
        <v>0.157</v>
      </c>
      <c r="G114" t="inlineStr">
        <is>
          <t>Working Capital</t>
        </is>
      </c>
      <c r="H114" t="inlineStr">
        <is>
          <t>LO022</t>
        </is>
      </c>
      <c r="I114" t="inlineStr">
        <is>
          <t>Mobile App</t>
        </is>
      </c>
      <c r="J114">
        <f>INDEX('Data - Borrowers'!$B$2:$B$851, MATCH(B114, 'Data - Borrowers'!$A$2:$A$851, 0))</f>
        <v/>
      </c>
      <c r="K114">
        <f>INDEX('Data - Borrowers'!$C$2:$C$851, MATCH(B114, 'Data - Borrowers'!$A$2:$A$851, 0))</f>
        <v/>
      </c>
      <c r="L114">
        <f>IF(D114&lt;100000, "Micro (&lt;100K)", IF(D114&lt;500000, "Small (100K-500K)", "Medium (500K+)"))</f>
        <v/>
      </c>
      <c r="M114">
        <f>TEXT(C114, "yyyy-mm")</f>
        <v/>
      </c>
    </row>
    <row r="115">
      <c r="A115" t="inlineStr">
        <is>
          <t>LN200125</t>
        </is>
      </c>
      <c r="B115" t="inlineStr">
        <is>
          <t>BOR100097</t>
        </is>
      </c>
      <c r="C115" s="8" t="n">
        <v>46141</v>
      </c>
      <c r="D115" s="9" t="n">
        <v>283000</v>
      </c>
      <c r="E115" t="n">
        <v>3</v>
      </c>
      <c r="F115" s="10" t="n">
        <v>0.199</v>
      </c>
      <c r="G115" t="inlineStr">
        <is>
          <t>Asset Finance</t>
        </is>
      </c>
      <c r="H115" t="inlineStr">
        <is>
          <t>LO025</t>
        </is>
      </c>
      <c r="I115" t="inlineStr">
        <is>
          <t>Branch</t>
        </is>
      </c>
      <c r="J115">
        <f>INDEX('Data - Borrowers'!$B$2:$B$851, MATCH(B115, 'Data - Borrowers'!$A$2:$A$851, 0))</f>
        <v/>
      </c>
      <c r="K115">
        <f>INDEX('Data - Borrowers'!$C$2:$C$851, MATCH(B115, 'Data - Borrowers'!$A$2:$A$851, 0))</f>
        <v/>
      </c>
      <c r="L115">
        <f>IF(D115&lt;100000, "Micro (&lt;100K)", IF(D115&lt;500000, "Small (100K-500K)", "Medium (500K+)"))</f>
        <v/>
      </c>
      <c r="M115">
        <f>TEXT(C115, "yyyy-mm")</f>
        <v/>
      </c>
    </row>
    <row r="116">
      <c r="A116" t="inlineStr">
        <is>
          <t>LN200126</t>
        </is>
      </c>
      <c r="B116" t="inlineStr">
        <is>
          <t>BOR100098</t>
        </is>
      </c>
      <c r="C116" s="8" t="n">
        <v>46141</v>
      </c>
      <c r="D116" s="9" t="n">
        <v>202000</v>
      </c>
      <c r="E116" t="n">
        <v>12</v>
      </c>
      <c r="F116" s="10" t="n">
        <v>0.152</v>
      </c>
      <c r="G116" t="inlineStr">
        <is>
          <t>Working Capital</t>
        </is>
      </c>
      <c r="H116" t="inlineStr">
        <is>
          <t>LO005</t>
        </is>
      </c>
      <c r="I116" t="inlineStr">
        <is>
          <t>Branch</t>
        </is>
      </c>
      <c r="J116">
        <f>INDEX('Data - Borrowers'!$B$2:$B$851, MATCH(B116, 'Data - Borrowers'!$A$2:$A$851, 0))</f>
        <v/>
      </c>
      <c r="K116">
        <f>INDEX('Data - Borrowers'!$C$2:$C$851, MATCH(B116, 'Data - Borrowers'!$A$2:$A$851, 0))</f>
        <v/>
      </c>
      <c r="L116">
        <f>IF(D116&lt;100000, "Micro (&lt;100K)", IF(D116&lt;500000, "Small (100K-500K)", "Medium (500K+)"))</f>
        <v/>
      </c>
      <c r="M116">
        <f>TEXT(C116, "yyyy-mm")</f>
        <v/>
      </c>
    </row>
    <row r="117">
      <c r="A117" t="inlineStr">
        <is>
          <t>LN200127</t>
        </is>
      </c>
      <c r="B117" t="inlineStr">
        <is>
          <t>BOR100099</t>
        </is>
      </c>
      <c r="C117" s="8" t="n">
        <v>45690</v>
      </c>
      <c r="D117" s="9" t="n">
        <v>45000</v>
      </c>
      <c r="E117" t="n">
        <v>6</v>
      </c>
      <c r="F117" s="10" t="n">
        <v>0.175</v>
      </c>
      <c r="G117" t="inlineStr">
        <is>
          <t>Asset Finance</t>
        </is>
      </c>
      <c r="H117" t="inlineStr">
        <is>
          <t>LO021</t>
        </is>
      </c>
      <c r="I117" t="inlineStr">
        <is>
          <t>Mobile App</t>
        </is>
      </c>
      <c r="J117">
        <f>INDEX('Data - Borrowers'!$B$2:$B$851, MATCH(B117, 'Data - Borrowers'!$A$2:$A$851, 0))</f>
        <v/>
      </c>
      <c r="K117">
        <f>INDEX('Data - Borrowers'!$C$2:$C$851, MATCH(B117, 'Data - Borrowers'!$A$2:$A$851, 0))</f>
        <v/>
      </c>
      <c r="L117">
        <f>IF(D117&lt;100000, "Micro (&lt;100K)", IF(D117&lt;500000, "Small (100K-500K)", "Medium (500K+)"))</f>
        <v/>
      </c>
      <c r="M117">
        <f>TEXT(C117, "yyyy-mm")</f>
        <v/>
      </c>
    </row>
    <row r="118">
      <c r="A118" t="inlineStr">
        <is>
          <t>LN200128</t>
        </is>
      </c>
      <c r="B118" t="inlineStr">
        <is>
          <t>BOR100100</t>
        </is>
      </c>
      <c r="C118" s="8" t="n">
        <v>45684</v>
      </c>
      <c r="D118" s="9" t="n">
        <v>126000</v>
      </c>
      <c r="E118" t="n">
        <v>3</v>
      </c>
      <c r="F118" s="10" t="n">
        <v>0.157</v>
      </c>
      <c r="G118" t="inlineStr">
        <is>
          <t>Working Capital</t>
        </is>
      </c>
      <c r="H118" t="inlineStr">
        <is>
          <t>LO022</t>
        </is>
      </c>
      <c r="I118" t="inlineStr">
        <is>
          <t>Mobile App</t>
        </is>
      </c>
      <c r="J118">
        <f>INDEX('Data - Borrowers'!$B$2:$B$851, MATCH(B118, 'Data - Borrowers'!$A$2:$A$851, 0))</f>
        <v/>
      </c>
      <c r="K118">
        <f>INDEX('Data - Borrowers'!$C$2:$C$851, MATCH(B118, 'Data - Borrowers'!$A$2:$A$851, 0))</f>
        <v/>
      </c>
      <c r="L118">
        <f>IF(D118&lt;100000, "Micro (&lt;100K)", IF(D118&lt;500000, "Small (100K-500K)", "Medium (500K+)"))</f>
        <v/>
      </c>
      <c r="M118">
        <f>TEXT(C118, "yyyy-mm")</f>
        <v/>
      </c>
    </row>
    <row r="119">
      <c r="A119" t="inlineStr">
        <is>
          <t>LN200129</t>
        </is>
      </c>
      <c r="B119" t="inlineStr">
        <is>
          <t>BOR100101</t>
        </is>
      </c>
      <c r="C119" s="8" t="n">
        <v>45666</v>
      </c>
      <c r="D119" s="9" t="n">
        <v>29000</v>
      </c>
      <c r="E119" t="n">
        <v>9</v>
      </c>
      <c r="F119" s="10" t="n">
        <v>0.213</v>
      </c>
      <c r="G119" t="inlineStr">
        <is>
          <t>Working Capital</t>
        </is>
      </c>
      <c r="H119" t="inlineStr">
        <is>
          <t>LO004</t>
        </is>
      </c>
      <c r="I119" t="inlineStr">
        <is>
          <t>Branch</t>
        </is>
      </c>
      <c r="J119">
        <f>INDEX('Data - Borrowers'!$B$2:$B$851, MATCH(B119, 'Data - Borrowers'!$A$2:$A$851, 0))</f>
        <v/>
      </c>
      <c r="K119">
        <f>INDEX('Data - Borrowers'!$C$2:$C$851, MATCH(B119, 'Data - Borrowers'!$A$2:$A$851, 0))</f>
        <v/>
      </c>
      <c r="L119">
        <f>IF(D119&lt;100000, "Micro (&lt;100K)", IF(D119&lt;500000, "Small (100K-500K)", "Medium (500K+)"))</f>
        <v/>
      </c>
      <c r="M119">
        <f>TEXT(C119, "yyyy-mm")</f>
        <v/>
      </c>
    </row>
    <row r="120">
      <c r="A120" t="inlineStr">
        <is>
          <t>LN200130</t>
        </is>
      </c>
      <c r="B120" t="inlineStr">
        <is>
          <t>BOR100102</t>
        </is>
      </c>
      <c r="C120" s="8" t="n">
        <v>45823</v>
      </c>
      <c r="D120" s="9" t="n">
        <v>60000</v>
      </c>
      <c r="E120" t="n">
        <v>3</v>
      </c>
      <c r="F120" s="10" t="n">
        <v>0.239</v>
      </c>
      <c r="G120" t="inlineStr">
        <is>
          <t>Working Capital</t>
        </is>
      </c>
      <c r="H120" t="inlineStr">
        <is>
          <t>LO005</t>
        </is>
      </c>
      <c r="I120" t="inlineStr">
        <is>
          <t>Mobile App</t>
        </is>
      </c>
      <c r="J120">
        <f>INDEX('Data - Borrowers'!$B$2:$B$851, MATCH(B120, 'Data - Borrowers'!$A$2:$A$851, 0))</f>
        <v/>
      </c>
      <c r="K120">
        <f>INDEX('Data - Borrowers'!$C$2:$C$851, MATCH(B120, 'Data - Borrowers'!$A$2:$A$851, 0))</f>
        <v/>
      </c>
      <c r="L120">
        <f>IF(D120&lt;100000, "Micro (&lt;100K)", IF(D120&lt;500000, "Small (100K-500K)", "Medium (500K+)"))</f>
        <v/>
      </c>
      <c r="M120">
        <f>TEXT(C120, "yyyy-mm")</f>
        <v/>
      </c>
    </row>
    <row r="121">
      <c r="A121" t="inlineStr">
        <is>
          <t>LN200131</t>
        </is>
      </c>
      <c r="B121" t="inlineStr">
        <is>
          <t>BOR100102</t>
        </is>
      </c>
      <c r="C121" s="8" t="n">
        <v>46178</v>
      </c>
      <c r="D121" s="9" t="n">
        <v>69000</v>
      </c>
      <c r="E121" t="n">
        <v>3</v>
      </c>
      <c r="F121" s="10" t="n">
        <v>0.18</v>
      </c>
      <c r="G121" t="inlineStr">
        <is>
          <t>Working Capital</t>
        </is>
      </c>
      <c r="H121" t="inlineStr">
        <is>
          <t>LO019</t>
        </is>
      </c>
      <c r="I121" t="inlineStr">
        <is>
          <t>Branch</t>
        </is>
      </c>
      <c r="J121">
        <f>INDEX('Data - Borrowers'!$B$2:$B$851, MATCH(B121, 'Data - Borrowers'!$A$2:$A$851, 0))</f>
        <v/>
      </c>
      <c r="K121">
        <f>INDEX('Data - Borrowers'!$C$2:$C$851, MATCH(B121, 'Data - Borrowers'!$A$2:$A$851, 0))</f>
        <v/>
      </c>
      <c r="L121">
        <f>IF(D121&lt;100000, "Micro (&lt;100K)", IF(D121&lt;500000, "Small (100K-500K)", "Medium (500K+)"))</f>
        <v/>
      </c>
      <c r="M121">
        <f>TEXT(C121, "yyyy-mm")</f>
        <v/>
      </c>
    </row>
    <row r="122">
      <c r="A122" t="inlineStr">
        <is>
          <t>LN200132</t>
        </is>
      </c>
      <c r="B122" t="inlineStr">
        <is>
          <t>BOR100103</t>
        </is>
      </c>
      <c r="C122" s="8" t="n">
        <v>46011</v>
      </c>
      <c r="D122" s="9" t="n">
        <v>27000</v>
      </c>
      <c r="E122" t="n">
        <v>6</v>
      </c>
      <c r="F122" s="10" t="n">
        <v>0.165</v>
      </c>
      <c r="G122" t="inlineStr">
        <is>
          <t>Asset Finance</t>
        </is>
      </c>
      <c r="H122" t="inlineStr">
        <is>
          <t>LO009</t>
        </is>
      </c>
      <c r="I122" t="inlineStr">
        <is>
          <t>Partner Referral</t>
        </is>
      </c>
      <c r="J122">
        <f>INDEX('Data - Borrowers'!$B$2:$B$851, MATCH(B122, 'Data - Borrowers'!$A$2:$A$851, 0))</f>
        <v/>
      </c>
      <c r="K122">
        <f>INDEX('Data - Borrowers'!$C$2:$C$851, MATCH(B122, 'Data - Borrowers'!$A$2:$A$851, 0))</f>
        <v/>
      </c>
      <c r="L122">
        <f>IF(D122&lt;100000, "Micro (&lt;100K)", IF(D122&lt;500000, "Small (100K-500K)", "Medium (500K+)"))</f>
        <v/>
      </c>
      <c r="M122">
        <f>TEXT(C122, "yyyy-mm")</f>
        <v/>
      </c>
    </row>
    <row r="123">
      <c r="A123" t="inlineStr">
        <is>
          <t>LN200134</t>
        </is>
      </c>
      <c r="B123" t="inlineStr">
        <is>
          <t>BOR100104</t>
        </is>
      </c>
      <c r="C123" s="8" t="n">
        <v>45937</v>
      </c>
      <c r="D123" s="9" t="n">
        <v>71000</v>
      </c>
      <c r="E123" t="n">
        <v>18</v>
      </c>
      <c r="F123" s="10" t="n">
        <v>0.189</v>
      </c>
      <c r="G123" t="inlineStr">
        <is>
          <t>Asset Finance</t>
        </is>
      </c>
      <c r="H123" t="inlineStr">
        <is>
          <t>LO003</t>
        </is>
      </c>
      <c r="I123" t="inlineStr">
        <is>
          <t>Branch</t>
        </is>
      </c>
      <c r="J123">
        <f>INDEX('Data - Borrowers'!$B$2:$B$851, MATCH(B123, 'Data - Borrowers'!$A$2:$A$851, 0))</f>
        <v/>
      </c>
      <c r="K123">
        <f>INDEX('Data - Borrowers'!$C$2:$C$851, MATCH(B123, 'Data - Borrowers'!$A$2:$A$851, 0))</f>
        <v/>
      </c>
      <c r="L123">
        <f>IF(D123&lt;100000, "Micro (&lt;100K)", IF(D123&lt;500000, "Small (100K-500K)", "Medium (500K+)"))</f>
        <v/>
      </c>
      <c r="M123">
        <f>TEXT(C123, "yyyy-mm")</f>
        <v/>
      </c>
    </row>
    <row r="124">
      <c r="A124" t="inlineStr">
        <is>
          <t>LN200135</t>
        </is>
      </c>
      <c r="B124" t="inlineStr">
        <is>
          <t>BOR100105</t>
        </is>
      </c>
      <c r="C124" s="8" t="n">
        <v>45875</v>
      </c>
      <c r="D124" s="9" t="n">
        <v>45000</v>
      </c>
      <c r="E124" t="n">
        <v>12</v>
      </c>
      <c r="F124" s="10" t="n">
        <v>0.134</v>
      </c>
      <c r="G124" t="inlineStr">
        <is>
          <t>Invoice Discounting</t>
        </is>
      </c>
      <c r="H124" t="inlineStr">
        <is>
          <t>LO015</t>
        </is>
      </c>
      <c r="I124" t="inlineStr">
        <is>
          <t>Mobile App</t>
        </is>
      </c>
      <c r="J124">
        <f>INDEX('Data - Borrowers'!$B$2:$B$851, MATCH(B124, 'Data - Borrowers'!$A$2:$A$851, 0))</f>
        <v/>
      </c>
      <c r="K124">
        <f>INDEX('Data - Borrowers'!$C$2:$C$851, MATCH(B124, 'Data - Borrowers'!$A$2:$A$851, 0))</f>
        <v/>
      </c>
      <c r="L124">
        <f>IF(D124&lt;100000, "Micro (&lt;100K)", IF(D124&lt;500000, "Small (100K-500K)", "Medium (500K+)"))</f>
        <v/>
      </c>
      <c r="M124">
        <f>TEXT(C124, "yyyy-mm")</f>
        <v/>
      </c>
    </row>
    <row r="125">
      <c r="A125" t="inlineStr">
        <is>
          <t>LN200136</t>
        </is>
      </c>
      <c r="B125" t="inlineStr">
        <is>
          <t>BOR100105</t>
        </is>
      </c>
      <c r="C125" s="8" t="n">
        <v>46138</v>
      </c>
      <c r="D125" s="9" t="n">
        <v>68000</v>
      </c>
      <c r="E125" t="n">
        <v>9</v>
      </c>
      <c r="F125" s="10" t="n">
        <v>0.214</v>
      </c>
      <c r="G125" t="inlineStr">
        <is>
          <t>Working Capital</t>
        </is>
      </c>
      <c r="H125" t="inlineStr">
        <is>
          <t>LO002</t>
        </is>
      </c>
      <c r="I125" t="inlineStr">
        <is>
          <t>Partner Referral</t>
        </is>
      </c>
      <c r="J125">
        <f>INDEX('Data - Borrowers'!$B$2:$B$851, MATCH(B125, 'Data - Borrowers'!$A$2:$A$851, 0))</f>
        <v/>
      </c>
      <c r="K125">
        <f>INDEX('Data - Borrowers'!$C$2:$C$851, MATCH(B125, 'Data - Borrowers'!$A$2:$A$851, 0))</f>
        <v/>
      </c>
      <c r="L125">
        <f>IF(D125&lt;100000, "Micro (&lt;100K)", IF(D125&lt;500000, "Small (100K-500K)", "Medium (500K+)"))</f>
        <v/>
      </c>
      <c r="M125">
        <f>TEXT(C125, "yyyy-mm")</f>
        <v/>
      </c>
    </row>
    <row r="126">
      <c r="A126" t="inlineStr">
        <is>
          <t>LN200137</t>
        </is>
      </c>
      <c r="B126" t="inlineStr">
        <is>
          <t>BOR100106</t>
        </is>
      </c>
      <c r="C126" s="8" t="n">
        <v>46219</v>
      </c>
      <c r="D126" s="9" t="n">
        <v>47000</v>
      </c>
      <c r="E126" t="n">
        <v>9</v>
      </c>
      <c r="F126" s="10" t="n">
        <v>0.127</v>
      </c>
      <c r="G126" t="inlineStr">
        <is>
          <t>Working Capital</t>
        </is>
      </c>
      <c r="H126" t="inlineStr">
        <is>
          <t>LO018</t>
        </is>
      </c>
      <c r="I126" t="inlineStr">
        <is>
          <t>Mobile App</t>
        </is>
      </c>
      <c r="J126">
        <f>INDEX('Data - Borrowers'!$B$2:$B$851, MATCH(B126, 'Data - Borrowers'!$A$2:$A$851, 0))</f>
        <v/>
      </c>
      <c r="K126">
        <f>INDEX('Data - Borrowers'!$C$2:$C$851, MATCH(B126, 'Data - Borrowers'!$A$2:$A$851, 0))</f>
        <v/>
      </c>
      <c r="L126">
        <f>IF(D126&lt;100000, "Micro (&lt;100K)", IF(D126&lt;500000, "Small (100K-500K)", "Medium (500K+)"))</f>
        <v/>
      </c>
      <c r="M126">
        <f>TEXT(C126, "yyyy-mm")</f>
        <v/>
      </c>
    </row>
    <row r="127">
      <c r="A127" t="inlineStr">
        <is>
          <t>LN200139</t>
        </is>
      </c>
      <c r="B127" t="inlineStr">
        <is>
          <t>BOR100107</t>
        </is>
      </c>
      <c r="C127" s="8" t="n">
        <v>46133</v>
      </c>
      <c r="D127" s="9" t="n">
        <v>63000</v>
      </c>
      <c r="E127" t="n">
        <v>18</v>
      </c>
      <c r="F127" s="10" t="n">
        <v>0.136</v>
      </c>
      <c r="G127" t="inlineStr">
        <is>
          <t>Invoice Discounting</t>
        </is>
      </c>
      <c r="H127" t="inlineStr">
        <is>
          <t>LO017</t>
        </is>
      </c>
      <c r="I127" t="inlineStr">
        <is>
          <t>Partner Referral</t>
        </is>
      </c>
      <c r="J127">
        <f>INDEX('Data - Borrowers'!$B$2:$B$851, MATCH(B127, 'Data - Borrowers'!$A$2:$A$851, 0))</f>
        <v/>
      </c>
      <c r="K127">
        <f>INDEX('Data - Borrowers'!$C$2:$C$851, MATCH(B127, 'Data - Borrowers'!$A$2:$A$851, 0))</f>
        <v/>
      </c>
      <c r="L127">
        <f>IF(D127&lt;100000, "Micro (&lt;100K)", IF(D127&lt;500000, "Small (100K-500K)", "Medium (500K+)"))</f>
        <v/>
      </c>
      <c r="M127">
        <f>TEXT(C127, "yyyy-mm")</f>
        <v/>
      </c>
    </row>
    <row r="128">
      <c r="A128" t="inlineStr">
        <is>
          <t>LN200141</t>
        </is>
      </c>
      <c r="B128" t="inlineStr">
        <is>
          <t>BOR100108</t>
        </is>
      </c>
      <c r="C128" s="8" t="n">
        <v>46113</v>
      </c>
      <c r="D128" s="9" t="n">
        <v>105000</v>
      </c>
      <c r="E128" t="n">
        <v>18</v>
      </c>
      <c r="F128" s="10" t="n">
        <v>0.164</v>
      </c>
      <c r="G128" t="inlineStr">
        <is>
          <t>Working Capital</t>
        </is>
      </c>
      <c r="H128" t="inlineStr">
        <is>
          <t>LO004</t>
        </is>
      </c>
      <c r="I128" t="inlineStr">
        <is>
          <t>Mobile App</t>
        </is>
      </c>
      <c r="J128">
        <f>INDEX('Data - Borrowers'!$B$2:$B$851, MATCH(B128, 'Data - Borrowers'!$A$2:$A$851, 0))</f>
        <v/>
      </c>
      <c r="K128">
        <f>INDEX('Data - Borrowers'!$C$2:$C$851, MATCH(B128, 'Data - Borrowers'!$A$2:$A$851, 0))</f>
        <v/>
      </c>
      <c r="L128">
        <f>IF(D128&lt;100000, "Micro (&lt;100K)", IF(D128&lt;500000, "Small (100K-500K)", "Medium (500K+)"))</f>
        <v/>
      </c>
      <c r="M128">
        <f>TEXT(C128, "yyyy-mm")</f>
        <v/>
      </c>
    </row>
    <row r="129">
      <c r="A129" t="inlineStr">
        <is>
          <t>LN200142</t>
        </is>
      </c>
      <c r="B129" t="inlineStr">
        <is>
          <t>BOR100108</t>
        </is>
      </c>
      <c r="C129" s="8" t="n">
        <v>46221</v>
      </c>
      <c r="D129" s="9" t="n">
        <v>263000</v>
      </c>
      <c r="E129" t="n">
        <v>18</v>
      </c>
      <c r="F129" s="10" t="n">
        <v>0.229</v>
      </c>
      <c r="G129" t="inlineStr">
        <is>
          <t>Working Capital</t>
        </is>
      </c>
      <c r="H129" t="inlineStr">
        <is>
          <t>LO005</t>
        </is>
      </c>
      <c r="I129" t="inlineStr">
        <is>
          <t>Mobile App</t>
        </is>
      </c>
      <c r="J129">
        <f>INDEX('Data - Borrowers'!$B$2:$B$851, MATCH(B129, 'Data - Borrowers'!$A$2:$A$851, 0))</f>
        <v/>
      </c>
      <c r="K129">
        <f>INDEX('Data - Borrowers'!$C$2:$C$851, MATCH(B129, 'Data - Borrowers'!$A$2:$A$851, 0))</f>
        <v/>
      </c>
      <c r="L129">
        <f>IF(D129&lt;100000, "Micro (&lt;100K)", IF(D129&lt;500000, "Small (100K-500K)", "Medium (500K+)"))</f>
        <v/>
      </c>
      <c r="M129">
        <f>TEXT(C129, "yyyy-mm")</f>
        <v/>
      </c>
    </row>
    <row r="130">
      <c r="A130" t="inlineStr">
        <is>
          <t>LN200143</t>
        </is>
      </c>
      <c r="B130" t="inlineStr">
        <is>
          <t>BOR100109</t>
        </is>
      </c>
      <c r="C130" s="8" t="n">
        <v>45822</v>
      </c>
      <c r="D130" s="9" t="n">
        <v>70000</v>
      </c>
      <c r="E130" t="n">
        <v>3</v>
      </c>
      <c r="F130" s="10" t="n">
        <v>0.24</v>
      </c>
      <c r="G130" t="inlineStr">
        <is>
          <t>Working Capital</t>
        </is>
      </c>
      <c r="H130" t="inlineStr">
        <is>
          <t>LO020</t>
        </is>
      </c>
      <c r="I130" t="inlineStr">
        <is>
          <t>Mobile App</t>
        </is>
      </c>
      <c r="J130">
        <f>INDEX('Data - Borrowers'!$B$2:$B$851, MATCH(B130, 'Data - Borrowers'!$A$2:$A$851, 0))</f>
        <v/>
      </c>
      <c r="K130">
        <f>INDEX('Data - Borrowers'!$C$2:$C$851, MATCH(B130, 'Data - Borrowers'!$A$2:$A$851, 0))</f>
        <v/>
      </c>
      <c r="L130">
        <f>IF(D130&lt;100000, "Micro (&lt;100K)", IF(D130&lt;500000, "Small (100K-500K)", "Medium (500K+)"))</f>
        <v/>
      </c>
      <c r="M130">
        <f>TEXT(C130, "yyyy-mm")</f>
        <v/>
      </c>
    </row>
    <row r="131">
      <c r="A131" t="inlineStr">
        <is>
          <t>LN200144</t>
        </is>
      </c>
      <c r="B131" t="inlineStr">
        <is>
          <t>BOR100110</t>
        </is>
      </c>
      <c r="C131" s="8" t="n">
        <v>45963</v>
      </c>
      <c r="D131" s="9" t="n">
        <v>708000</v>
      </c>
      <c r="E131" t="n">
        <v>6</v>
      </c>
      <c r="F131" s="10" t="n">
        <v>0.172</v>
      </c>
      <c r="G131" t="inlineStr">
        <is>
          <t>Working Capital</t>
        </is>
      </c>
      <c r="H131" t="inlineStr">
        <is>
          <t>LO004</t>
        </is>
      </c>
      <c r="I131" t="inlineStr">
        <is>
          <t>Partner Referral</t>
        </is>
      </c>
      <c r="J131">
        <f>INDEX('Data - Borrowers'!$B$2:$B$851, MATCH(B131, 'Data - Borrowers'!$A$2:$A$851, 0))</f>
        <v/>
      </c>
      <c r="K131">
        <f>INDEX('Data - Borrowers'!$C$2:$C$851, MATCH(B131, 'Data - Borrowers'!$A$2:$A$851, 0))</f>
        <v/>
      </c>
      <c r="L131">
        <f>IF(D131&lt;100000, "Micro (&lt;100K)", IF(D131&lt;500000, "Small (100K-500K)", "Medium (500K+)"))</f>
        <v/>
      </c>
      <c r="M131">
        <f>TEXT(C131, "yyyy-mm")</f>
        <v/>
      </c>
    </row>
    <row r="132">
      <c r="A132" t="inlineStr">
        <is>
          <t>LN200145</t>
        </is>
      </c>
      <c r="B132" t="inlineStr">
        <is>
          <t>BOR100111</t>
        </is>
      </c>
      <c r="C132" s="8" t="n">
        <v>45973</v>
      </c>
      <c r="D132" s="9" t="n">
        <v>39000</v>
      </c>
      <c r="E132" t="n">
        <v>3</v>
      </c>
      <c r="F132" s="10" t="n">
        <v>0.188</v>
      </c>
      <c r="G132" t="inlineStr">
        <is>
          <t>Working Capital</t>
        </is>
      </c>
      <c r="H132" t="inlineStr">
        <is>
          <t>LO006</t>
        </is>
      </c>
      <c r="I132" t="inlineStr">
        <is>
          <t>Partner Referral</t>
        </is>
      </c>
      <c r="J132">
        <f>INDEX('Data - Borrowers'!$B$2:$B$851, MATCH(B132, 'Data - Borrowers'!$A$2:$A$851, 0))</f>
        <v/>
      </c>
      <c r="K132">
        <f>INDEX('Data - Borrowers'!$C$2:$C$851, MATCH(B132, 'Data - Borrowers'!$A$2:$A$851, 0))</f>
        <v/>
      </c>
      <c r="L132">
        <f>IF(D132&lt;100000, "Micro (&lt;100K)", IF(D132&lt;500000, "Small (100K-500K)", "Medium (500K+)"))</f>
        <v/>
      </c>
      <c r="M132">
        <f>TEXT(C132, "yyyy-mm")</f>
        <v/>
      </c>
    </row>
    <row r="133">
      <c r="A133" t="inlineStr">
        <is>
          <t>LN200146</t>
        </is>
      </c>
      <c r="B133" t="inlineStr">
        <is>
          <t>BOR100112</t>
        </is>
      </c>
      <c r="C133" s="8" t="n">
        <v>46125</v>
      </c>
      <c r="D133" s="9" t="n">
        <v>91000</v>
      </c>
      <c r="E133" t="n">
        <v>3</v>
      </c>
      <c r="F133" s="10" t="n">
        <v>0.16</v>
      </c>
      <c r="G133" t="inlineStr">
        <is>
          <t>Working Capital</t>
        </is>
      </c>
      <c r="H133" t="inlineStr">
        <is>
          <t>LO024</t>
        </is>
      </c>
      <c r="I133" t="inlineStr">
        <is>
          <t>Mobile App</t>
        </is>
      </c>
      <c r="J133">
        <f>INDEX('Data - Borrowers'!$B$2:$B$851, MATCH(B133, 'Data - Borrowers'!$A$2:$A$851, 0))</f>
        <v/>
      </c>
      <c r="K133">
        <f>INDEX('Data - Borrowers'!$C$2:$C$851, MATCH(B133, 'Data - Borrowers'!$A$2:$A$851, 0))</f>
        <v/>
      </c>
      <c r="L133">
        <f>IF(D133&lt;100000, "Micro (&lt;100K)", IF(D133&lt;500000, "Small (100K-500K)", "Medium (500K+)"))</f>
        <v/>
      </c>
      <c r="M133">
        <f>TEXT(C133, "yyyy-mm")</f>
        <v/>
      </c>
    </row>
    <row r="134">
      <c r="A134" t="inlineStr">
        <is>
          <t>LN200147</t>
        </is>
      </c>
      <c r="B134" t="inlineStr">
        <is>
          <t>BOR100113</t>
        </is>
      </c>
      <c r="C134" s="8" t="n">
        <v>46160</v>
      </c>
      <c r="D134" s="9" t="n">
        <v>61000</v>
      </c>
      <c r="E134" t="n">
        <v>3</v>
      </c>
      <c r="F134" s="10" t="n">
        <v>0.126</v>
      </c>
      <c r="G134" t="inlineStr">
        <is>
          <t>Working Capital</t>
        </is>
      </c>
      <c r="H134" t="inlineStr">
        <is>
          <t>LO011</t>
        </is>
      </c>
      <c r="I134" t="inlineStr">
        <is>
          <t>Mobile App</t>
        </is>
      </c>
      <c r="J134">
        <f>INDEX('Data - Borrowers'!$B$2:$B$851, MATCH(B134, 'Data - Borrowers'!$A$2:$A$851, 0))</f>
        <v/>
      </c>
      <c r="K134">
        <f>INDEX('Data - Borrowers'!$C$2:$C$851, MATCH(B134, 'Data - Borrowers'!$A$2:$A$851, 0))</f>
        <v/>
      </c>
      <c r="L134">
        <f>IF(D134&lt;100000, "Micro (&lt;100K)", IF(D134&lt;500000, "Small (100K-500K)", "Medium (500K+)"))</f>
        <v/>
      </c>
      <c r="M134">
        <f>TEXT(C134, "yyyy-mm")</f>
        <v/>
      </c>
    </row>
    <row r="135">
      <c r="A135" t="inlineStr">
        <is>
          <t>LN200148</t>
        </is>
      </c>
      <c r="B135" t="inlineStr">
        <is>
          <t>BOR100114</t>
        </is>
      </c>
      <c r="C135" s="8" t="n">
        <v>45665</v>
      </c>
      <c r="D135" s="9" t="n">
        <v>268000</v>
      </c>
      <c r="E135" t="n">
        <v>9</v>
      </c>
      <c r="F135" s="10" t="n">
        <v>0.128</v>
      </c>
      <c r="G135" t="inlineStr">
        <is>
          <t>Working Capital</t>
        </is>
      </c>
      <c r="H135" t="inlineStr">
        <is>
          <t>LO003</t>
        </is>
      </c>
      <c r="I135" t="inlineStr">
        <is>
          <t>Mobile App</t>
        </is>
      </c>
      <c r="J135">
        <f>INDEX('Data - Borrowers'!$B$2:$B$851, MATCH(B135, 'Data - Borrowers'!$A$2:$A$851, 0))</f>
        <v/>
      </c>
      <c r="K135">
        <f>INDEX('Data - Borrowers'!$C$2:$C$851, MATCH(B135, 'Data - Borrowers'!$A$2:$A$851, 0))</f>
        <v/>
      </c>
      <c r="L135">
        <f>IF(D135&lt;100000, "Micro (&lt;100K)", IF(D135&lt;500000, "Small (100K-500K)", "Medium (500K+)"))</f>
        <v/>
      </c>
      <c r="M135">
        <f>TEXT(C135, "yyyy-mm")</f>
        <v/>
      </c>
    </row>
    <row r="136">
      <c r="A136" t="inlineStr">
        <is>
          <t>LN200149</t>
        </is>
      </c>
      <c r="B136" t="inlineStr">
        <is>
          <t>BOR100114</t>
        </is>
      </c>
      <c r="C136" s="8" t="n">
        <v>45940</v>
      </c>
      <c r="D136" s="9" t="n">
        <v>160000</v>
      </c>
      <c r="E136" t="n">
        <v>3</v>
      </c>
      <c r="F136" s="10" t="n">
        <v>0.216</v>
      </c>
      <c r="G136" t="inlineStr">
        <is>
          <t>Asset Finance</t>
        </is>
      </c>
      <c r="H136" t="inlineStr">
        <is>
          <t>LO001</t>
        </is>
      </c>
      <c r="I136" t="inlineStr">
        <is>
          <t>Mobile App</t>
        </is>
      </c>
      <c r="J136">
        <f>INDEX('Data - Borrowers'!$B$2:$B$851, MATCH(B136, 'Data - Borrowers'!$A$2:$A$851, 0))</f>
        <v/>
      </c>
      <c r="K136">
        <f>INDEX('Data - Borrowers'!$C$2:$C$851, MATCH(B136, 'Data - Borrowers'!$A$2:$A$851, 0))</f>
        <v/>
      </c>
      <c r="L136">
        <f>IF(D136&lt;100000, "Micro (&lt;100K)", IF(D136&lt;500000, "Small (100K-500K)", "Medium (500K+)"))</f>
        <v/>
      </c>
      <c r="M136">
        <f>TEXT(C136, "yyyy-mm")</f>
        <v/>
      </c>
    </row>
    <row r="137">
      <c r="A137" t="inlineStr">
        <is>
          <t>LN200150</t>
        </is>
      </c>
      <c r="B137" t="inlineStr">
        <is>
          <t>BOR100115</t>
        </is>
      </c>
      <c r="C137" s="8" t="n">
        <v>46149</v>
      </c>
      <c r="D137" s="9" t="n">
        <v>112000</v>
      </c>
      <c r="E137" t="n">
        <v>3</v>
      </c>
      <c r="F137" s="10" t="n">
        <v>0.194</v>
      </c>
      <c r="G137" t="inlineStr">
        <is>
          <t>Asset Finance</t>
        </is>
      </c>
      <c r="H137" t="inlineStr">
        <is>
          <t>LO009</t>
        </is>
      </c>
      <c r="I137" t="inlineStr">
        <is>
          <t>Branch</t>
        </is>
      </c>
      <c r="J137">
        <f>INDEX('Data - Borrowers'!$B$2:$B$851, MATCH(B137, 'Data - Borrowers'!$A$2:$A$851, 0))</f>
        <v/>
      </c>
      <c r="K137">
        <f>INDEX('Data - Borrowers'!$C$2:$C$851, MATCH(B137, 'Data - Borrowers'!$A$2:$A$851, 0))</f>
        <v/>
      </c>
      <c r="L137">
        <f>IF(D137&lt;100000, "Micro (&lt;100K)", IF(D137&lt;500000, "Small (100K-500K)", "Medium (500K+)"))</f>
        <v/>
      </c>
      <c r="M137">
        <f>TEXT(C137, "yyyy-mm")</f>
        <v/>
      </c>
    </row>
    <row r="138">
      <c r="A138" t="inlineStr">
        <is>
          <t>LN200151</t>
        </is>
      </c>
      <c r="B138" t="inlineStr">
        <is>
          <t>BOR100116</t>
        </is>
      </c>
      <c r="C138" s="8" t="n">
        <v>46077</v>
      </c>
      <c r="D138" s="9" t="n">
        <v>143000</v>
      </c>
      <c r="E138" t="n">
        <v>6</v>
      </c>
      <c r="F138" s="10" t="n">
        <v>0.137</v>
      </c>
      <c r="G138" t="inlineStr">
        <is>
          <t>Working Capital</t>
        </is>
      </c>
      <c r="H138" t="inlineStr">
        <is>
          <t>LO010</t>
        </is>
      </c>
      <c r="I138" t="inlineStr">
        <is>
          <t>Branch</t>
        </is>
      </c>
      <c r="J138">
        <f>INDEX('Data - Borrowers'!$B$2:$B$851, MATCH(B138, 'Data - Borrowers'!$A$2:$A$851, 0))</f>
        <v/>
      </c>
      <c r="K138">
        <f>INDEX('Data - Borrowers'!$C$2:$C$851, MATCH(B138, 'Data - Borrowers'!$A$2:$A$851, 0))</f>
        <v/>
      </c>
      <c r="L138">
        <f>IF(D138&lt;100000, "Micro (&lt;100K)", IF(D138&lt;500000, "Small (100K-500K)", "Medium (500K+)"))</f>
        <v/>
      </c>
      <c r="M138">
        <f>TEXT(C138, "yyyy-mm")</f>
        <v/>
      </c>
    </row>
    <row r="139">
      <c r="A139" t="inlineStr">
        <is>
          <t>LN200153</t>
        </is>
      </c>
      <c r="B139" t="inlineStr">
        <is>
          <t>BOR100117</t>
        </is>
      </c>
      <c r="C139" s="8" t="n">
        <v>45772</v>
      </c>
      <c r="D139" s="9" t="n">
        <v>61000</v>
      </c>
      <c r="E139" t="n">
        <v>6</v>
      </c>
      <c r="F139" s="10" t="n">
        <v>0.238</v>
      </c>
      <c r="G139" t="inlineStr">
        <is>
          <t>Invoice Discounting</t>
        </is>
      </c>
      <c r="H139" t="inlineStr">
        <is>
          <t>LO001</t>
        </is>
      </c>
      <c r="I139" t="inlineStr">
        <is>
          <t>Mobile App</t>
        </is>
      </c>
      <c r="J139">
        <f>INDEX('Data - Borrowers'!$B$2:$B$851, MATCH(B139, 'Data - Borrowers'!$A$2:$A$851, 0))</f>
        <v/>
      </c>
      <c r="K139">
        <f>INDEX('Data - Borrowers'!$C$2:$C$851, MATCH(B139, 'Data - Borrowers'!$A$2:$A$851, 0))</f>
        <v/>
      </c>
      <c r="L139">
        <f>IF(D139&lt;100000, "Micro (&lt;100K)", IF(D139&lt;500000, "Small (100K-500K)", "Medium (500K+)"))</f>
        <v/>
      </c>
      <c r="M139">
        <f>TEXT(C139, "yyyy-mm")</f>
        <v/>
      </c>
    </row>
    <row r="140">
      <c r="A140" t="inlineStr">
        <is>
          <t>LN200154</t>
        </is>
      </c>
      <c r="B140" t="inlineStr">
        <is>
          <t>BOR100117</t>
        </is>
      </c>
      <c r="C140" s="8" t="n">
        <v>46211</v>
      </c>
      <c r="D140" s="9" t="n">
        <v>27000</v>
      </c>
      <c r="E140" t="n">
        <v>6</v>
      </c>
      <c r="F140" s="10" t="n">
        <v>0.234</v>
      </c>
      <c r="G140" t="inlineStr">
        <is>
          <t>Working Capital</t>
        </is>
      </c>
      <c r="H140" t="inlineStr">
        <is>
          <t>LO016</t>
        </is>
      </c>
      <c r="I140" t="inlineStr">
        <is>
          <t>Mobile App</t>
        </is>
      </c>
      <c r="J140">
        <f>INDEX('Data - Borrowers'!$B$2:$B$851, MATCH(B140, 'Data - Borrowers'!$A$2:$A$851, 0))</f>
        <v/>
      </c>
      <c r="K140">
        <f>INDEX('Data - Borrowers'!$C$2:$C$851, MATCH(B140, 'Data - Borrowers'!$A$2:$A$851, 0))</f>
        <v/>
      </c>
      <c r="L140">
        <f>IF(D140&lt;100000, "Micro (&lt;100K)", IF(D140&lt;500000, "Small (100K-500K)", "Medium (500K+)"))</f>
        <v/>
      </c>
      <c r="M140">
        <f>TEXT(C140, "yyyy-mm")</f>
        <v/>
      </c>
    </row>
    <row r="141">
      <c r="A141" t="inlineStr">
        <is>
          <t>LN200155</t>
        </is>
      </c>
      <c r="B141" t="inlineStr">
        <is>
          <t>BOR100118</t>
        </is>
      </c>
      <c r="C141" s="8" t="n">
        <v>45931</v>
      </c>
      <c r="D141" s="9" t="n">
        <v>42000</v>
      </c>
      <c r="E141" t="n">
        <v>12</v>
      </c>
      <c r="F141" s="10" t="n">
        <v>0.127</v>
      </c>
      <c r="G141" t="inlineStr">
        <is>
          <t>Working Capital</t>
        </is>
      </c>
      <c r="H141" t="inlineStr">
        <is>
          <t>LO010</t>
        </is>
      </c>
      <c r="I141" t="inlineStr">
        <is>
          <t>Mobile App</t>
        </is>
      </c>
      <c r="J141">
        <f>INDEX('Data - Borrowers'!$B$2:$B$851, MATCH(B141, 'Data - Borrowers'!$A$2:$A$851, 0))</f>
        <v/>
      </c>
      <c r="K141">
        <f>INDEX('Data - Borrowers'!$C$2:$C$851, MATCH(B141, 'Data - Borrowers'!$A$2:$A$851, 0))</f>
        <v/>
      </c>
      <c r="L141">
        <f>IF(D141&lt;100000, "Micro (&lt;100K)", IF(D141&lt;500000, "Small (100K-500K)", "Medium (500K+)"))</f>
        <v/>
      </c>
      <c r="M141">
        <f>TEXT(C141, "yyyy-mm")</f>
        <v/>
      </c>
    </row>
    <row r="142">
      <c r="A142" t="inlineStr">
        <is>
          <t>LN200156</t>
        </is>
      </c>
      <c r="B142" t="inlineStr">
        <is>
          <t>BOR100118</t>
        </is>
      </c>
      <c r="C142" s="8" t="n">
        <v>46166</v>
      </c>
      <c r="D142" s="9" t="n">
        <v>88000</v>
      </c>
      <c r="E142" t="n">
        <v>3</v>
      </c>
      <c r="F142" s="10" t="n">
        <v>0.149</v>
      </c>
      <c r="G142" t="inlineStr">
        <is>
          <t>Working Capital</t>
        </is>
      </c>
      <c r="H142" t="inlineStr">
        <is>
          <t>LO025</t>
        </is>
      </c>
      <c r="I142" t="inlineStr">
        <is>
          <t>Branch</t>
        </is>
      </c>
      <c r="J142">
        <f>INDEX('Data - Borrowers'!$B$2:$B$851, MATCH(B142, 'Data - Borrowers'!$A$2:$A$851, 0))</f>
        <v/>
      </c>
      <c r="K142">
        <f>INDEX('Data - Borrowers'!$C$2:$C$851, MATCH(B142, 'Data - Borrowers'!$A$2:$A$851, 0))</f>
        <v/>
      </c>
      <c r="L142">
        <f>IF(D142&lt;100000, "Micro (&lt;100K)", IF(D142&lt;500000, "Small (100K-500K)", "Medium (500K+)"))</f>
        <v/>
      </c>
      <c r="M142">
        <f>TEXT(C142, "yyyy-mm")</f>
        <v/>
      </c>
    </row>
    <row r="143">
      <c r="A143" t="inlineStr">
        <is>
          <t>LN200157</t>
        </is>
      </c>
      <c r="B143" t="inlineStr">
        <is>
          <t>BOR100119</t>
        </is>
      </c>
      <c r="C143" s="8" t="n">
        <v>45661</v>
      </c>
      <c r="D143" s="9" t="n">
        <v>58000</v>
      </c>
      <c r="E143" t="n">
        <v>9</v>
      </c>
      <c r="F143" s="10" t="n">
        <v>0.152</v>
      </c>
      <c r="G143" t="inlineStr">
        <is>
          <t>Working Capital</t>
        </is>
      </c>
      <c r="H143" t="inlineStr">
        <is>
          <t>LO007</t>
        </is>
      </c>
      <c r="I143" t="inlineStr">
        <is>
          <t>Mobile App</t>
        </is>
      </c>
      <c r="J143">
        <f>INDEX('Data - Borrowers'!$B$2:$B$851, MATCH(B143, 'Data - Borrowers'!$A$2:$A$851, 0))</f>
        <v/>
      </c>
      <c r="K143">
        <f>INDEX('Data - Borrowers'!$C$2:$C$851, MATCH(B143, 'Data - Borrowers'!$A$2:$A$851, 0))</f>
        <v/>
      </c>
      <c r="L143">
        <f>IF(D143&lt;100000, "Micro (&lt;100K)", IF(D143&lt;500000, "Small (100K-500K)", "Medium (500K+)"))</f>
        <v/>
      </c>
      <c r="M143">
        <f>TEXT(C143, "yyyy-mm")</f>
        <v/>
      </c>
    </row>
    <row r="144">
      <c r="A144" t="inlineStr">
        <is>
          <t>LN200158</t>
        </is>
      </c>
      <c r="B144" t="inlineStr">
        <is>
          <t>BOR100120</t>
        </is>
      </c>
      <c r="C144" s="8" t="n">
        <v>45848</v>
      </c>
      <c r="D144" s="9" t="n">
        <v>256000</v>
      </c>
      <c r="E144" t="n">
        <v>3</v>
      </c>
      <c r="F144" s="10" t="n">
        <v>0.143</v>
      </c>
      <c r="G144" t="inlineStr">
        <is>
          <t>Working Capital</t>
        </is>
      </c>
      <c r="H144" t="inlineStr">
        <is>
          <t>LO019</t>
        </is>
      </c>
      <c r="I144" t="inlineStr">
        <is>
          <t>Mobile App</t>
        </is>
      </c>
      <c r="J144">
        <f>INDEX('Data - Borrowers'!$B$2:$B$851, MATCH(B144, 'Data - Borrowers'!$A$2:$A$851, 0))</f>
        <v/>
      </c>
      <c r="K144">
        <f>INDEX('Data - Borrowers'!$C$2:$C$851, MATCH(B144, 'Data - Borrowers'!$A$2:$A$851, 0))</f>
        <v/>
      </c>
      <c r="L144">
        <f>IF(D144&lt;100000, "Micro (&lt;100K)", IF(D144&lt;500000, "Small (100K-500K)", "Medium (500K+)"))</f>
        <v/>
      </c>
      <c r="M144">
        <f>TEXT(C144, "yyyy-mm")</f>
        <v/>
      </c>
    </row>
    <row r="145">
      <c r="A145" t="inlineStr">
        <is>
          <t>LN200159</t>
        </is>
      </c>
      <c r="B145" t="inlineStr">
        <is>
          <t>BOR100120</t>
        </is>
      </c>
      <c r="C145" s="8" t="n">
        <v>46075</v>
      </c>
      <c r="D145" s="9" t="n">
        <v>369000</v>
      </c>
      <c r="E145" t="n">
        <v>9</v>
      </c>
      <c r="F145" s="10" t="n">
        <v>0.159</v>
      </c>
      <c r="G145" t="inlineStr">
        <is>
          <t>Asset Finance</t>
        </is>
      </c>
      <c r="H145" t="inlineStr">
        <is>
          <t>LO017</t>
        </is>
      </c>
      <c r="I145" t="inlineStr">
        <is>
          <t>Partner Referral</t>
        </is>
      </c>
      <c r="J145">
        <f>INDEX('Data - Borrowers'!$B$2:$B$851, MATCH(B145, 'Data - Borrowers'!$A$2:$A$851, 0))</f>
        <v/>
      </c>
      <c r="K145">
        <f>INDEX('Data - Borrowers'!$C$2:$C$851, MATCH(B145, 'Data - Borrowers'!$A$2:$A$851, 0))</f>
        <v/>
      </c>
      <c r="L145">
        <f>IF(D145&lt;100000, "Micro (&lt;100K)", IF(D145&lt;500000, "Small (100K-500K)", "Medium (500K+)"))</f>
        <v/>
      </c>
      <c r="M145">
        <f>TEXT(C145, "yyyy-mm")</f>
        <v/>
      </c>
    </row>
    <row r="146">
      <c r="A146" t="inlineStr">
        <is>
          <t>LN200161</t>
        </is>
      </c>
      <c r="B146" t="inlineStr">
        <is>
          <t>BOR100121</t>
        </is>
      </c>
      <c r="C146" s="8" t="n">
        <v>46081</v>
      </c>
      <c r="D146" s="9" t="n">
        <v>126000</v>
      </c>
      <c r="E146" t="n">
        <v>6</v>
      </c>
      <c r="F146" s="10" t="n">
        <v>0.171</v>
      </c>
      <c r="G146" t="inlineStr">
        <is>
          <t>Asset Finance</t>
        </is>
      </c>
      <c r="H146" t="inlineStr">
        <is>
          <t>LO006</t>
        </is>
      </c>
      <c r="I146" t="inlineStr">
        <is>
          <t>Mobile App</t>
        </is>
      </c>
      <c r="J146">
        <f>INDEX('Data - Borrowers'!$B$2:$B$851, MATCH(B146, 'Data - Borrowers'!$A$2:$A$851, 0))</f>
        <v/>
      </c>
      <c r="K146">
        <f>INDEX('Data - Borrowers'!$C$2:$C$851, MATCH(B146, 'Data - Borrowers'!$A$2:$A$851, 0))</f>
        <v/>
      </c>
      <c r="L146">
        <f>IF(D146&lt;100000, "Micro (&lt;100K)", IF(D146&lt;500000, "Small (100K-500K)", "Medium (500K+)"))</f>
        <v/>
      </c>
      <c r="M146">
        <f>TEXT(C146, "yyyy-mm")</f>
        <v/>
      </c>
    </row>
    <row r="147">
      <c r="A147" t="inlineStr">
        <is>
          <t>LN200162</t>
        </is>
      </c>
      <c r="B147" t="inlineStr">
        <is>
          <t>BOR100121</t>
        </is>
      </c>
      <c r="C147" s="8" t="n">
        <v>46197</v>
      </c>
      <c r="D147" s="9" t="n">
        <v>216000</v>
      </c>
      <c r="E147" t="n">
        <v>18</v>
      </c>
      <c r="F147" s="10" t="n">
        <v>0.187</v>
      </c>
      <c r="G147" t="inlineStr">
        <is>
          <t>Working Capital</t>
        </is>
      </c>
      <c r="H147" t="inlineStr">
        <is>
          <t>LO002</t>
        </is>
      </c>
      <c r="I147" t="inlineStr">
        <is>
          <t>Mobile App</t>
        </is>
      </c>
      <c r="J147">
        <f>INDEX('Data - Borrowers'!$B$2:$B$851, MATCH(B147, 'Data - Borrowers'!$A$2:$A$851, 0))</f>
        <v/>
      </c>
      <c r="K147">
        <f>INDEX('Data - Borrowers'!$C$2:$C$851, MATCH(B147, 'Data - Borrowers'!$A$2:$A$851, 0))</f>
        <v/>
      </c>
      <c r="L147">
        <f>IF(D147&lt;100000, "Micro (&lt;100K)", IF(D147&lt;500000, "Small (100K-500K)", "Medium (500K+)"))</f>
        <v/>
      </c>
      <c r="M147">
        <f>TEXT(C147, "yyyy-mm")</f>
        <v/>
      </c>
    </row>
    <row r="148">
      <c r="A148" t="inlineStr">
        <is>
          <t>LN200163</t>
        </is>
      </c>
      <c r="B148" t="inlineStr">
        <is>
          <t>BOR100122</t>
        </is>
      </c>
      <c r="C148" s="8" t="n">
        <v>45819</v>
      </c>
      <c r="D148" s="9" t="n">
        <v>100000</v>
      </c>
      <c r="E148" t="n">
        <v>9</v>
      </c>
      <c r="F148" s="10" t="n">
        <v>0.161</v>
      </c>
      <c r="G148" t="inlineStr">
        <is>
          <t>Asset Finance</t>
        </is>
      </c>
      <c r="H148" t="inlineStr">
        <is>
          <t>LO023</t>
        </is>
      </c>
      <c r="I148" t="inlineStr">
        <is>
          <t>Branch</t>
        </is>
      </c>
      <c r="J148">
        <f>INDEX('Data - Borrowers'!$B$2:$B$851, MATCH(B148, 'Data - Borrowers'!$A$2:$A$851, 0))</f>
        <v/>
      </c>
      <c r="K148">
        <f>INDEX('Data - Borrowers'!$C$2:$C$851, MATCH(B148, 'Data - Borrowers'!$A$2:$A$851, 0))</f>
        <v/>
      </c>
      <c r="L148">
        <f>IF(D148&lt;100000, "Micro (&lt;100K)", IF(D148&lt;500000, "Small (100K-500K)", "Medium (500K+)"))</f>
        <v/>
      </c>
      <c r="M148">
        <f>TEXT(C148, "yyyy-mm")</f>
        <v/>
      </c>
    </row>
    <row r="149">
      <c r="A149" t="inlineStr">
        <is>
          <t>LN200164</t>
        </is>
      </c>
      <c r="B149" t="inlineStr">
        <is>
          <t>BOR100123</t>
        </is>
      </c>
      <c r="C149" s="8" t="n">
        <v>45886</v>
      </c>
      <c r="D149" s="9" t="n">
        <v>20000</v>
      </c>
      <c r="E149" t="n">
        <v>6</v>
      </c>
      <c r="F149" s="10" t="n">
        <v>0.239</v>
      </c>
      <c r="G149" t="inlineStr">
        <is>
          <t>Working Capital</t>
        </is>
      </c>
      <c r="H149" t="inlineStr">
        <is>
          <t>LO011</t>
        </is>
      </c>
      <c r="I149" t="inlineStr">
        <is>
          <t>Branch</t>
        </is>
      </c>
      <c r="J149">
        <f>INDEX('Data - Borrowers'!$B$2:$B$851, MATCH(B149, 'Data - Borrowers'!$A$2:$A$851, 0))</f>
        <v/>
      </c>
      <c r="K149">
        <f>INDEX('Data - Borrowers'!$C$2:$C$851, MATCH(B149, 'Data - Borrowers'!$A$2:$A$851, 0))</f>
        <v/>
      </c>
      <c r="L149">
        <f>IF(D149&lt;100000, "Micro (&lt;100K)", IF(D149&lt;500000, "Small (100K-500K)", "Medium (500K+)"))</f>
        <v/>
      </c>
      <c r="M149">
        <f>TEXT(C149, "yyyy-mm")</f>
        <v/>
      </c>
    </row>
    <row r="150">
      <c r="A150" t="inlineStr">
        <is>
          <t>LN200165</t>
        </is>
      </c>
      <c r="B150" t="inlineStr">
        <is>
          <t>BOR100123</t>
        </is>
      </c>
      <c r="C150" s="8" t="n">
        <v>46118</v>
      </c>
      <c r="D150" s="9" t="n">
        <v>20000</v>
      </c>
      <c r="E150" t="n">
        <v>6</v>
      </c>
      <c r="F150" s="10" t="n">
        <v>0.183</v>
      </c>
      <c r="G150" t="inlineStr">
        <is>
          <t>Working Capital</t>
        </is>
      </c>
      <c r="H150" t="inlineStr">
        <is>
          <t>LO010</t>
        </is>
      </c>
      <c r="I150" t="inlineStr">
        <is>
          <t>Branch</t>
        </is>
      </c>
      <c r="J150">
        <f>INDEX('Data - Borrowers'!$B$2:$B$851, MATCH(B150, 'Data - Borrowers'!$A$2:$A$851, 0))</f>
        <v/>
      </c>
      <c r="K150">
        <f>INDEX('Data - Borrowers'!$C$2:$C$851, MATCH(B150, 'Data - Borrowers'!$A$2:$A$851, 0))</f>
        <v/>
      </c>
      <c r="L150">
        <f>IF(D150&lt;100000, "Micro (&lt;100K)", IF(D150&lt;500000, "Small (100K-500K)", "Medium (500K+)"))</f>
        <v/>
      </c>
      <c r="M150">
        <f>TEXT(C150, "yyyy-mm")</f>
        <v/>
      </c>
    </row>
    <row r="151">
      <c r="A151" t="inlineStr">
        <is>
          <t>LN200167</t>
        </is>
      </c>
      <c r="B151" t="inlineStr">
        <is>
          <t>BOR100124</t>
        </is>
      </c>
      <c r="C151" s="8" t="n">
        <v>45709</v>
      </c>
      <c r="D151" s="9" t="n">
        <v>57000</v>
      </c>
      <c r="E151" t="n">
        <v>6</v>
      </c>
      <c r="F151" s="10" t="n">
        <v>0.193</v>
      </c>
      <c r="G151" t="inlineStr">
        <is>
          <t>Asset Finance</t>
        </is>
      </c>
      <c r="H151" t="inlineStr">
        <is>
          <t>LO019</t>
        </is>
      </c>
      <c r="I151" t="inlineStr">
        <is>
          <t>Partner Referral</t>
        </is>
      </c>
      <c r="J151">
        <f>INDEX('Data - Borrowers'!$B$2:$B$851, MATCH(B151, 'Data - Borrowers'!$A$2:$A$851, 0))</f>
        <v/>
      </c>
      <c r="K151">
        <f>INDEX('Data - Borrowers'!$C$2:$C$851, MATCH(B151, 'Data - Borrowers'!$A$2:$A$851, 0))</f>
        <v/>
      </c>
      <c r="L151">
        <f>IF(D151&lt;100000, "Micro (&lt;100K)", IF(D151&lt;500000, "Small (100K-500K)", "Medium (500K+)"))</f>
        <v/>
      </c>
      <c r="M151">
        <f>TEXT(C151, "yyyy-mm")</f>
        <v/>
      </c>
    </row>
    <row r="152">
      <c r="A152" t="inlineStr">
        <is>
          <t>LN200168</t>
        </is>
      </c>
      <c r="B152" t="inlineStr">
        <is>
          <t>BOR100125</t>
        </is>
      </c>
      <c r="C152" s="8" t="n">
        <v>46165</v>
      </c>
      <c r="D152" s="9" t="n">
        <v>143000</v>
      </c>
      <c r="E152" t="n">
        <v>3</v>
      </c>
      <c r="F152" s="10" t="n">
        <v>0.215</v>
      </c>
      <c r="G152" t="inlineStr">
        <is>
          <t>Working Capital</t>
        </is>
      </c>
      <c r="H152" t="inlineStr">
        <is>
          <t>LO005</t>
        </is>
      </c>
      <c r="I152" t="inlineStr">
        <is>
          <t>Mobile App</t>
        </is>
      </c>
      <c r="J152">
        <f>INDEX('Data - Borrowers'!$B$2:$B$851, MATCH(B152, 'Data - Borrowers'!$A$2:$A$851, 0))</f>
        <v/>
      </c>
      <c r="K152">
        <f>INDEX('Data - Borrowers'!$C$2:$C$851, MATCH(B152, 'Data - Borrowers'!$A$2:$A$851, 0))</f>
        <v/>
      </c>
      <c r="L152">
        <f>IF(D152&lt;100000, "Micro (&lt;100K)", IF(D152&lt;500000, "Small (100K-500K)", "Medium (500K+)"))</f>
        <v/>
      </c>
      <c r="M152">
        <f>TEXT(C152, "yyyy-mm")</f>
        <v/>
      </c>
    </row>
    <row r="153">
      <c r="A153" t="inlineStr">
        <is>
          <t>LN200169</t>
        </is>
      </c>
      <c r="B153" t="inlineStr">
        <is>
          <t>BOR100126</t>
        </is>
      </c>
      <c r="C153" s="8" t="n">
        <v>46215</v>
      </c>
      <c r="D153" s="9" t="n">
        <v>248000</v>
      </c>
      <c r="E153" t="n">
        <v>6</v>
      </c>
      <c r="F153" s="10" t="n">
        <v>0.142</v>
      </c>
      <c r="G153" t="inlineStr">
        <is>
          <t>Working Capital</t>
        </is>
      </c>
      <c r="H153" t="inlineStr">
        <is>
          <t>LO025</t>
        </is>
      </c>
      <c r="I153" t="inlineStr">
        <is>
          <t>Mobile App</t>
        </is>
      </c>
      <c r="J153">
        <f>INDEX('Data - Borrowers'!$B$2:$B$851, MATCH(B153, 'Data - Borrowers'!$A$2:$A$851, 0))</f>
        <v/>
      </c>
      <c r="K153">
        <f>INDEX('Data - Borrowers'!$C$2:$C$851, MATCH(B153, 'Data - Borrowers'!$A$2:$A$851, 0))</f>
        <v/>
      </c>
      <c r="L153">
        <f>IF(D153&lt;100000, "Micro (&lt;100K)", IF(D153&lt;500000, "Small (100K-500K)", "Medium (500K+)"))</f>
        <v/>
      </c>
      <c r="M153">
        <f>TEXT(C153, "yyyy-mm")</f>
        <v/>
      </c>
    </row>
    <row r="154">
      <c r="A154" t="inlineStr">
        <is>
          <t>LN200170</t>
        </is>
      </c>
      <c r="B154" t="inlineStr">
        <is>
          <t>BOR100127</t>
        </is>
      </c>
      <c r="C154" s="8" t="n">
        <v>45881</v>
      </c>
      <c r="D154" s="9" t="n">
        <v>308000</v>
      </c>
      <c r="E154" t="n">
        <v>3</v>
      </c>
      <c r="F154" s="10" t="n">
        <v>0.124</v>
      </c>
      <c r="G154" t="inlineStr">
        <is>
          <t>Working Capital</t>
        </is>
      </c>
      <c r="H154" t="inlineStr">
        <is>
          <t>LO010</t>
        </is>
      </c>
      <c r="I154" t="inlineStr">
        <is>
          <t>Branch</t>
        </is>
      </c>
      <c r="J154">
        <f>INDEX('Data - Borrowers'!$B$2:$B$851, MATCH(B154, 'Data - Borrowers'!$A$2:$A$851, 0))</f>
        <v/>
      </c>
      <c r="K154">
        <f>INDEX('Data - Borrowers'!$C$2:$C$851, MATCH(B154, 'Data - Borrowers'!$A$2:$A$851, 0))</f>
        <v/>
      </c>
      <c r="L154">
        <f>IF(D154&lt;100000, "Micro (&lt;100K)", IF(D154&lt;500000, "Small (100K-500K)", "Medium (500K+)"))</f>
        <v/>
      </c>
      <c r="M154">
        <f>TEXT(C154, "yyyy-mm")</f>
        <v/>
      </c>
    </row>
    <row r="155">
      <c r="A155" t="inlineStr">
        <is>
          <t>LN200171</t>
        </is>
      </c>
      <c r="B155" t="inlineStr">
        <is>
          <t>BOR100128</t>
        </is>
      </c>
      <c r="C155" s="8" t="n">
        <v>46022</v>
      </c>
      <c r="D155" s="9" t="n">
        <v>34000</v>
      </c>
      <c r="E155" t="n">
        <v>3</v>
      </c>
      <c r="F155" s="10" t="n">
        <v>0.203</v>
      </c>
      <c r="G155" t="inlineStr">
        <is>
          <t>Working Capital</t>
        </is>
      </c>
      <c r="H155" t="inlineStr">
        <is>
          <t>LO015</t>
        </is>
      </c>
      <c r="I155" t="inlineStr">
        <is>
          <t>Mobile App</t>
        </is>
      </c>
      <c r="J155">
        <f>INDEX('Data - Borrowers'!$B$2:$B$851, MATCH(B155, 'Data - Borrowers'!$A$2:$A$851, 0))</f>
        <v/>
      </c>
      <c r="K155">
        <f>INDEX('Data - Borrowers'!$C$2:$C$851, MATCH(B155, 'Data - Borrowers'!$A$2:$A$851, 0))</f>
        <v/>
      </c>
      <c r="L155">
        <f>IF(D155&lt;100000, "Micro (&lt;100K)", IF(D155&lt;500000, "Small (100K-500K)", "Medium (500K+)"))</f>
        <v/>
      </c>
      <c r="M155">
        <f>TEXT(C155, "yyyy-mm")</f>
        <v/>
      </c>
    </row>
    <row r="156">
      <c r="A156" t="inlineStr">
        <is>
          <t>LN200172</t>
        </is>
      </c>
      <c r="B156" t="inlineStr">
        <is>
          <t>BOR100129</t>
        </is>
      </c>
      <c r="C156" s="8" t="n">
        <v>45892</v>
      </c>
      <c r="D156" s="9" t="n">
        <v>68000</v>
      </c>
      <c r="E156" t="n">
        <v>9</v>
      </c>
      <c r="F156" s="10" t="n">
        <v>0.181</v>
      </c>
      <c r="G156" t="inlineStr">
        <is>
          <t>Working Capital</t>
        </is>
      </c>
      <c r="H156" t="inlineStr">
        <is>
          <t>LO012</t>
        </is>
      </c>
      <c r="I156" t="inlineStr">
        <is>
          <t>Mobile App</t>
        </is>
      </c>
      <c r="J156">
        <f>INDEX('Data - Borrowers'!$B$2:$B$851, MATCH(B156, 'Data - Borrowers'!$A$2:$A$851, 0))</f>
        <v/>
      </c>
      <c r="K156">
        <f>INDEX('Data - Borrowers'!$C$2:$C$851, MATCH(B156, 'Data - Borrowers'!$A$2:$A$851, 0))</f>
        <v/>
      </c>
      <c r="L156">
        <f>IF(D156&lt;100000, "Micro (&lt;100K)", IF(D156&lt;500000, "Small (100K-500K)", "Medium (500K+)"))</f>
        <v/>
      </c>
      <c r="M156">
        <f>TEXT(C156, "yyyy-mm")</f>
        <v/>
      </c>
    </row>
    <row r="157">
      <c r="A157" t="inlineStr">
        <is>
          <t>LN200173</t>
        </is>
      </c>
      <c r="B157" t="inlineStr">
        <is>
          <t>BOR100130</t>
        </is>
      </c>
      <c r="C157" s="8" t="n">
        <v>45747</v>
      </c>
      <c r="D157" s="9" t="n">
        <v>304000</v>
      </c>
      <c r="E157" t="n">
        <v>6</v>
      </c>
      <c r="F157" s="10" t="n">
        <v>0.179</v>
      </c>
      <c r="G157" t="inlineStr">
        <is>
          <t>Working Capital</t>
        </is>
      </c>
      <c r="H157" t="inlineStr">
        <is>
          <t>LO008</t>
        </is>
      </c>
      <c r="I157" t="inlineStr">
        <is>
          <t>Partner Referral</t>
        </is>
      </c>
      <c r="J157">
        <f>INDEX('Data - Borrowers'!$B$2:$B$851, MATCH(B157, 'Data - Borrowers'!$A$2:$A$851, 0))</f>
        <v/>
      </c>
      <c r="K157">
        <f>INDEX('Data - Borrowers'!$C$2:$C$851, MATCH(B157, 'Data - Borrowers'!$A$2:$A$851, 0))</f>
        <v/>
      </c>
      <c r="L157">
        <f>IF(D157&lt;100000, "Micro (&lt;100K)", IF(D157&lt;500000, "Small (100K-500K)", "Medium (500K+)"))</f>
        <v/>
      </c>
      <c r="M157">
        <f>TEXT(C157, "yyyy-mm")</f>
        <v/>
      </c>
    </row>
    <row r="158">
      <c r="A158" t="inlineStr">
        <is>
          <t>LN200174</t>
        </is>
      </c>
      <c r="B158" t="inlineStr">
        <is>
          <t>BOR100131</t>
        </is>
      </c>
      <c r="C158" s="8" t="n">
        <v>45911</v>
      </c>
      <c r="D158" s="9" t="n">
        <v>37000</v>
      </c>
      <c r="E158" t="n">
        <v>6</v>
      </c>
      <c r="F158" s="10" t="n">
        <v>0.221</v>
      </c>
      <c r="G158" t="inlineStr">
        <is>
          <t>Working Capital</t>
        </is>
      </c>
      <c r="H158" t="inlineStr">
        <is>
          <t>LO009</t>
        </is>
      </c>
      <c r="I158" t="inlineStr">
        <is>
          <t>Branch</t>
        </is>
      </c>
      <c r="J158">
        <f>INDEX('Data - Borrowers'!$B$2:$B$851, MATCH(B158, 'Data - Borrowers'!$A$2:$A$851, 0))</f>
        <v/>
      </c>
      <c r="K158">
        <f>INDEX('Data - Borrowers'!$C$2:$C$851, MATCH(B158, 'Data - Borrowers'!$A$2:$A$851, 0))</f>
        <v/>
      </c>
      <c r="L158">
        <f>IF(D158&lt;100000, "Micro (&lt;100K)", IF(D158&lt;500000, "Small (100K-500K)", "Medium (500K+)"))</f>
        <v/>
      </c>
      <c r="M158">
        <f>TEXT(C158, "yyyy-mm")</f>
        <v/>
      </c>
    </row>
    <row r="159">
      <c r="A159" t="inlineStr">
        <is>
          <t>LN200175</t>
        </is>
      </c>
      <c r="B159" t="inlineStr">
        <is>
          <t>BOR100132</t>
        </is>
      </c>
      <c r="C159" s="8" t="n">
        <v>45670</v>
      </c>
      <c r="D159" s="9" t="n">
        <v>57000</v>
      </c>
      <c r="E159" t="n">
        <v>12</v>
      </c>
      <c r="F159" s="10" t="n">
        <v>0.131</v>
      </c>
      <c r="G159" t="inlineStr">
        <is>
          <t>Working Capital</t>
        </is>
      </c>
      <c r="H159" t="inlineStr">
        <is>
          <t>LO005</t>
        </is>
      </c>
      <c r="I159" t="inlineStr">
        <is>
          <t>Partner Referral</t>
        </is>
      </c>
      <c r="J159">
        <f>INDEX('Data - Borrowers'!$B$2:$B$851, MATCH(B159, 'Data - Borrowers'!$A$2:$A$851, 0))</f>
        <v/>
      </c>
      <c r="K159">
        <f>INDEX('Data - Borrowers'!$C$2:$C$851, MATCH(B159, 'Data - Borrowers'!$A$2:$A$851, 0))</f>
        <v/>
      </c>
      <c r="L159">
        <f>IF(D159&lt;100000, "Micro (&lt;100K)", IF(D159&lt;500000, "Small (100K-500K)", "Medium (500K+)"))</f>
        <v/>
      </c>
      <c r="M159">
        <f>TEXT(C159, "yyyy-mm")</f>
        <v/>
      </c>
    </row>
    <row r="160">
      <c r="A160" t="inlineStr">
        <is>
          <t>LN200176</t>
        </is>
      </c>
      <c r="B160" t="inlineStr">
        <is>
          <t>BOR100133</t>
        </is>
      </c>
      <c r="C160" s="8" t="n">
        <v>45862</v>
      </c>
      <c r="D160" s="9" t="n">
        <v>75000</v>
      </c>
      <c r="E160" t="n">
        <v>12</v>
      </c>
      <c r="F160" s="10" t="n">
        <v>0.172</v>
      </c>
      <c r="G160" t="inlineStr">
        <is>
          <t>Working Capital</t>
        </is>
      </c>
      <c r="H160" t="inlineStr">
        <is>
          <t>LO016</t>
        </is>
      </c>
      <c r="I160" t="inlineStr">
        <is>
          <t>Mobile App</t>
        </is>
      </c>
      <c r="J160">
        <f>INDEX('Data - Borrowers'!$B$2:$B$851, MATCH(B160, 'Data - Borrowers'!$A$2:$A$851, 0))</f>
        <v/>
      </c>
      <c r="K160">
        <f>INDEX('Data - Borrowers'!$C$2:$C$851, MATCH(B160, 'Data - Borrowers'!$A$2:$A$851, 0))</f>
        <v/>
      </c>
      <c r="L160">
        <f>IF(D160&lt;100000, "Micro (&lt;100K)", IF(D160&lt;500000, "Small (100K-500K)", "Medium (500K+)"))</f>
        <v/>
      </c>
      <c r="M160">
        <f>TEXT(C160, "yyyy-mm")</f>
        <v/>
      </c>
    </row>
    <row r="161">
      <c r="A161" t="inlineStr">
        <is>
          <t>LN200177</t>
        </is>
      </c>
      <c r="B161" t="inlineStr">
        <is>
          <t>BOR100133</t>
        </is>
      </c>
      <c r="C161" s="8" t="n">
        <v>46213</v>
      </c>
      <c r="D161" s="9" t="n">
        <v>61000</v>
      </c>
      <c r="E161" t="n">
        <v>9</v>
      </c>
      <c r="F161" s="10" t="n">
        <v>0.178</v>
      </c>
      <c r="G161" t="inlineStr">
        <is>
          <t>Invoice Discounting</t>
        </is>
      </c>
      <c r="H161" t="inlineStr">
        <is>
          <t>LO018</t>
        </is>
      </c>
      <c r="I161" t="inlineStr">
        <is>
          <t>Partner Referral</t>
        </is>
      </c>
      <c r="J161">
        <f>INDEX('Data - Borrowers'!$B$2:$B$851, MATCH(B161, 'Data - Borrowers'!$A$2:$A$851, 0))</f>
        <v/>
      </c>
      <c r="K161">
        <f>INDEX('Data - Borrowers'!$C$2:$C$851, MATCH(B161, 'Data - Borrowers'!$A$2:$A$851, 0))</f>
        <v/>
      </c>
      <c r="L161">
        <f>IF(D161&lt;100000, "Micro (&lt;100K)", IF(D161&lt;500000, "Small (100K-500K)", "Medium (500K+)"))</f>
        <v/>
      </c>
      <c r="M161">
        <f>TEXT(C161, "yyyy-mm")</f>
        <v/>
      </c>
    </row>
    <row r="162">
      <c r="A162" t="inlineStr">
        <is>
          <t>LN200179</t>
        </is>
      </c>
      <c r="B162" t="inlineStr">
        <is>
          <t>BOR100134</t>
        </is>
      </c>
      <c r="C162" s="8" t="n">
        <v>46038</v>
      </c>
      <c r="D162" s="9" t="n">
        <v>114000</v>
      </c>
      <c r="E162" t="n">
        <v>6</v>
      </c>
      <c r="F162" s="10" t="n">
        <v>0.129</v>
      </c>
      <c r="G162" t="inlineStr">
        <is>
          <t>Asset Finance</t>
        </is>
      </c>
      <c r="H162" t="inlineStr">
        <is>
          <t>LO002</t>
        </is>
      </c>
      <c r="I162" t="inlineStr">
        <is>
          <t>Partner Referral</t>
        </is>
      </c>
      <c r="J162">
        <f>INDEX('Data - Borrowers'!$B$2:$B$851, MATCH(B162, 'Data - Borrowers'!$A$2:$A$851, 0))</f>
        <v/>
      </c>
      <c r="K162">
        <f>INDEX('Data - Borrowers'!$C$2:$C$851, MATCH(B162, 'Data - Borrowers'!$A$2:$A$851, 0))</f>
        <v/>
      </c>
      <c r="L162">
        <f>IF(D162&lt;100000, "Micro (&lt;100K)", IF(D162&lt;500000, "Small (100K-500K)", "Medium (500K+)"))</f>
        <v/>
      </c>
      <c r="M162">
        <f>TEXT(C162, "yyyy-mm")</f>
        <v/>
      </c>
    </row>
    <row r="163">
      <c r="A163" t="inlineStr">
        <is>
          <t>LN200180</t>
        </is>
      </c>
      <c r="B163" t="inlineStr">
        <is>
          <t>BOR100135</t>
        </is>
      </c>
      <c r="C163" s="8" t="n">
        <v>45755</v>
      </c>
      <c r="D163" s="9" t="n">
        <v>30000</v>
      </c>
      <c r="E163" t="n">
        <v>3</v>
      </c>
      <c r="F163" s="10" t="n">
        <v>0.123</v>
      </c>
      <c r="G163" t="inlineStr">
        <is>
          <t>Working Capital</t>
        </is>
      </c>
      <c r="H163" t="inlineStr">
        <is>
          <t>LO001</t>
        </is>
      </c>
      <c r="I163" t="inlineStr">
        <is>
          <t>Mobile App</t>
        </is>
      </c>
      <c r="J163">
        <f>INDEX('Data - Borrowers'!$B$2:$B$851, MATCH(B163, 'Data - Borrowers'!$A$2:$A$851, 0))</f>
        <v/>
      </c>
      <c r="K163">
        <f>INDEX('Data - Borrowers'!$C$2:$C$851, MATCH(B163, 'Data - Borrowers'!$A$2:$A$851, 0))</f>
        <v/>
      </c>
      <c r="L163">
        <f>IF(D163&lt;100000, "Micro (&lt;100K)", IF(D163&lt;500000, "Small (100K-500K)", "Medium (500K+)"))</f>
        <v/>
      </c>
      <c r="M163">
        <f>TEXT(C163, "yyyy-mm")</f>
        <v/>
      </c>
    </row>
    <row r="164">
      <c r="A164" t="inlineStr">
        <is>
          <t>LN200181</t>
        </is>
      </c>
      <c r="B164" t="inlineStr">
        <is>
          <t>BOR100136</t>
        </is>
      </c>
      <c r="C164" s="8" t="n">
        <v>46041</v>
      </c>
      <c r="D164" s="9" t="n">
        <v>35000</v>
      </c>
      <c r="E164" t="n">
        <v>9</v>
      </c>
      <c r="F164" s="10" t="n">
        <v>0.212</v>
      </c>
      <c r="G164" t="inlineStr">
        <is>
          <t>Asset Finance</t>
        </is>
      </c>
      <c r="H164" t="inlineStr">
        <is>
          <t>LO006</t>
        </is>
      </c>
      <c r="I164" t="inlineStr">
        <is>
          <t>Mobile App</t>
        </is>
      </c>
      <c r="J164">
        <f>INDEX('Data - Borrowers'!$B$2:$B$851, MATCH(B164, 'Data - Borrowers'!$A$2:$A$851, 0))</f>
        <v/>
      </c>
      <c r="K164">
        <f>INDEX('Data - Borrowers'!$C$2:$C$851, MATCH(B164, 'Data - Borrowers'!$A$2:$A$851, 0))</f>
        <v/>
      </c>
      <c r="L164">
        <f>IF(D164&lt;100000, "Micro (&lt;100K)", IF(D164&lt;500000, "Small (100K-500K)", "Medium (500K+)"))</f>
        <v/>
      </c>
      <c r="M164">
        <f>TEXT(C164, "yyyy-mm")</f>
        <v/>
      </c>
    </row>
    <row r="165">
      <c r="A165" t="inlineStr">
        <is>
          <t>LN200183</t>
        </is>
      </c>
      <c r="B165" t="inlineStr">
        <is>
          <t>BOR100137</t>
        </is>
      </c>
      <c r="C165" s="8" t="n">
        <v>45883</v>
      </c>
      <c r="D165" s="9" t="n">
        <v>79000</v>
      </c>
      <c r="E165" t="n">
        <v>9</v>
      </c>
      <c r="F165" s="10" t="n">
        <v>0.236</v>
      </c>
      <c r="G165" t="inlineStr">
        <is>
          <t>Invoice Discounting</t>
        </is>
      </c>
      <c r="H165" t="inlineStr">
        <is>
          <t>LO007</t>
        </is>
      </c>
      <c r="I165" t="inlineStr">
        <is>
          <t>Partner Referral</t>
        </is>
      </c>
      <c r="J165">
        <f>INDEX('Data - Borrowers'!$B$2:$B$851, MATCH(B165, 'Data - Borrowers'!$A$2:$A$851, 0))</f>
        <v/>
      </c>
      <c r="K165">
        <f>INDEX('Data - Borrowers'!$C$2:$C$851, MATCH(B165, 'Data - Borrowers'!$A$2:$A$851, 0))</f>
        <v/>
      </c>
      <c r="L165">
        <f>IF(D165&lt;100000, "Micro (&lt;100K)", IF(D165&lt;500000, "Small (100K-500K)", "Medium (500K+)"))</f>
        <v/>
      </c>
      <c r="M165">
        <f>TEXT(C165, "yyyy-mm")</f>
        <v/>
      </c>
    </row>
    <row r="166">
      <c r="A166" t="inlineStr">
        <is>
          <t>LN200184</t>
        </is>
      </c>
      <c r="B166" t="inlineStr">
        <is>
          <t>BOR100138</t>
        </is>
      </c>
      <c r="C166" s="8" t="n">
        <v>45851</v>
      </c>
      <c r="D166" s="9" t="n">
        <v>144000</v>
      </c>
      <c r="E166" t="n">
        <v>12</v>
      </c>
      <c r="F166" s="10" t="n">
        <v>0.136</v>
      </c>
      <c r="G166" t="inlineStr">
        <is>
          <t>Invoice Discounting</t>
        </is>
      </c>
      <c r="H166" t="inlineStr">
        <is>
          <t>LO003</t>
        </is>
      </c>
      <c r="I166" t="inlineStr">
        <is>
          <t>Partner Referral</t>
        </is>
      </c>
      <c r="J166">
        <f>INDEX('Data - Borrowers'!$B$2:$B$851, MATCH(B166, 'Data - Borrowers'!$A$2:$A$851, 0))</f>
        <v/>
      </c>
      <c r="K166">
        <f>INDEX('Data - Borrowers'!$C$2:$C$851, MATCH(B166, 'Data - Borrowers'!$A$2:$A$851, 0))</f>
        <v/>
      </c>
      <c r="L166">
        <f>IF(D166&lt;100000, "Micro (&lt;100K)", IF(D166&lt;500000, "Small (100K-500K)", "Medium (500K+)"))</f>
        <v/>
      </c>
      <c r="M166">
        <f>TEXT(C166, "yyyy-mm")</f>
        <v/>
      </c>
    </row>
    <row r="167">
      <c r="A167" t="inlineStr">
        <is>
          <t>LN200185</t>
        </is>
      </c>
      <c r="B167" t="inlineStr">
        <is>
          <t>BOR100138</t>
        </is>
      </c>
      <c r="C167" s="8" t="n">
        <v>46224</v>
      </c>
      <c r="D167" s="9" t="n">
        <v>56000</v>
      </c>
      <c r="E167" t="n">
        <v>18</v>
      </c>
      <c r="F167" s="10" t="n">
        <v>0.18</v>
      </c>
      <c r="G167" t="inlineStr">
        <is>
          <t>Working Capital</t>
        </is>
      </c>
      <c r="H167" t="inlineStr">
        <is>
          <t>LO017</t>
        </is>
      </c>
      <c r="I167" t="inlineStr">
        <is>
          <t>Branch</t>
        </is>
      </c>
      <c r="J167">
        <f>INDEX('Data - Borrowers'!$B$2:$B$851, MATCH(B167, 'Data - Borrowers'!$A$2:$A$851, 0))</f>
        <v/>
      </c>
      <c r="K167">
        <f>INDEX('Data - Borrowers'!$C$2:$C$851, MATCH(B167, 'Data - Borrowers'!$A$2:$A$851, 0))</f>
        <v/>
      </c>
      <c r="L167">
        <f>IF(D167&lt;100000, "Micro (&lt;100K)", IF(D167&lt;500000, "Small (100K-500K)", "Medium (500K+)"))</f>
        <v/>
      </c>
      <c r="M167">
        <f>TEXT(C167, "yyyy-mm")</f>
        <v/>
      </c>
    </row>
    <row r="168">
      <c r="A168" t="inlineStr">
        <is>
          <t>LN200186</t>
        </is>
      </c>
      <c r="B168" t="inlineStr">
        <is>
          <t>BOR100139</t>
        </is>
      </c>
      <c r="C168" s="8" t="n">
        <v>45853</v>
      </c>
      <c r="D168" s="9" t="n">
        <v>96000</v>
      </c>
      <c r="E168" t="n">
        <v>9</v>
      </c>
      <c r="F168" s="10" t="n">
        <v>0.162</v>
      </c>
      <c r="G168" t="inlineStr">
        <is>
          <t>Working Capital</t>
        </is>
      </c>
      <c r="H168" t="inlineStr">
        <is>
          <t>LO019</t>
        </is>
      </c>
      <c r="I168" t="inlineStr">
        <is>
          <t>Branch</t>
        </is>
      </c>
      <c r="J168">
        <f>INDEX('Data - Borrowers'!$B$2:$B$851, MATCH(B168, 'Data - Borrowers'!$A$2:$A$851, 0))</f>
        <v/>
      </c>
      <c r="K168">
        <f>INDEX('Data - Borrowers'!$C$2:$C$851, MATCH(B168, 'Data - Borrowers'!$A$2:$A$851, 0))</f>
        <v/>
      </c>
      <c r="L168">
        <f>IF(D168&lt;100000, "Micro (&lt;100K)", IF(D168&lt;500000, "Small (100K-500K)", "Medium (500K+)"))</f>
        <v/>
      </c>
      <c r="M168">
        <f>TEXT(C168, "yyyy-mm")</f>
        <v/>
      </c>
    </row>
    <row r="169">
      <c r="A169" t="inlineStr">
        <is>
          <t>LN200187</t>
        </is>
      </c>
      <c r="B169" t="inlineStr">
        <is>
          <t>BOR100140</t>
        </is>
      </c>
      <c r="C169" s="8" t="n">
        <v>45845</v>
      </c>
      <c r="D169" s="9" t="n">
        <v>90000</v>
      </c>
      <c r="E169" t="n">
        <v>3</v>
      </c>
      <c r="F169" s="10" t="n">
        <v>0.181</v>
      </c>
      <c r="G169" t="inlineStr">
        <is>
          <t>Invoice Discounting</t>
        </is>
      </c>
      <c r="H169" t="inlineStr">
        <is>
          <t>LO022</t>
        </is>
      </c>
      <c r="I169" t="inlineStr">
        <is>
          <t>Branch</t>
        </is>
      </c>
      <c r="J169">
        <f>INDEX('Data - Borrowers'!$B$2:$B$851, MATCH(B169, 'Data - Borrowers'!$A$2:$A$851, 0))</f>
        <v/>
      </c>
      <c r="K169">
        <f>INDEX('Data - Borrowers'!$C$2:$C$851, MATCH(B169, 'Data - Borrowers'!$A$2:$A$851, 0))</f>
        <v/>
      </c>
      <c r="L169">
        <f>IF(D169&lt;100000, "Micro (&lt;100K)", IF(D169&lt;500000, "Small (100K-500K)", "Medium (500K+)"))</f>
        <v/>
      </c>
      <c r="M169">
        <f>TEXT(C169, "yyyy-mm")</f>
        <v/>
      </c>
    </row>
    <row r="170">
      <c r="A170" t="inlineStr">
        <is>
          <t>LN200188</t>
        </is>
      </c>
      <c r="B170" t="inlineStr">
        <is>
          <t>BOR100141</t>
        </is>
      </c>
      <c r="C170" s="8" t="n">
        <v>46167</v>
      </c>
      <c r="D170" s="9" t="n">
        <v>81000</v>
      </c>
      <c r="E170" t="n">
        <v>3</v>
      </c>
      <c r="F170" s="10" t="n">
        <v>0.224</v>
      </c>
      <c r="G170" t="inlineStr">
        <is>
          <t>Asset Finance</t>
        </is>
      </c>
      <c r="H170" t="inlineStr">
        <is>
          <t>LO013</t>
        </is>
      </c>
      <c r="I170" t="inlineStr">
        <is>
          <t>Mobile App</t>
        </is>
      </c>
      <c r="J170">
        <f>INDEX('Data - Borrowers'!$B$2:$B$851, MATCH(B170, 'Data - Borrowers'!$A$2:$A$851, 0))</f>
        <v/>
      </c>
      <c r="K170">
        <f>INDEX('Data - Borrowers'!$C$2:$C$851, MATCH(B170, 'Data - Borrowers'!$A$2:$A$851, 0))</f>
        <v/>
      </c>
      <c r="L170">
        <f>IF(D170&lt;100000, "Micro (&lt;100K)", IF(D170&lt;500000, "Small (100K-500K)", "Medium (500K+)"))</f>
        <v/>
      </c>
      <c r="M170">
        <f>TEXT(C170, "yyyy-mm")</f>
        <v/>
      </c>
    </row>
    <row r="171">
      <c r="A171" t="inlineStr">
        <is>
          <t>LN200190</t>
        </is>
      </c>
      <c r="B171" t="inlineStr">
        <is>
          <t>BOR100142</t>
        </is>
      </c>
      <c r="C171" s="8" t="n">
        <v>46003</v>
      </c>
      <c r="D171" s="9" t="n">
        <v>118000</v>
      </c>
      <c r="E171" t="n">
        <v>9</v>
      </c>
      <c r="F171" s="10" t="n">
        <v>0.15</v>
      </c>
      <c r="G171" t="inlineStr">
        <is>
          <t>Invoice Discounting</t>
        </is>
      </c>
      <c r="H171" t="inlineStr">
        <is>
          <t>LO012</t>
        </is>
      </c>
      <c r="I171" t="inlineStr">
        <is>
          <t>Partner Referral</t>
        </is>
      </c>
      <c r="J171">
        <f>INDEX('Data - Borrowers'!$B$2:$B$851, MATCH(B171, 'Data - Borrowers'!$A$2:$A$851, 0))</f>
        <v/>
      </c>
      <c r="K171">
        <f>INDEX('Data - Borrowers'!$C$2:$C$851, MATCH(B171, 'Data - Borrowers'!$A$2:$A$851, 0))</f>
        <v/>
      </c>
      <c r="L171">
        <f>IF(D171&lt;100000, "Micro (&lt;100K)", IF(D171&lt;500000, "Small (100K-500K)", "Medium (500K+)"))</f>
        <v/>
      </c>
      <c r="M171">
        <f>TEXT(C171, "yyyy-mm")</f>
        <v/>
      </c>
    </row>
    <row r="172">
      <c r="A172" t="inlineStr">
        <is>
          <t>LN200191</t>
        </is>
      </c>
      <c r="B172" t="inlineStr">
        <is>
          <t>BOR100143</t>
        </is>
      </c>
      <c r="C172" s="8" t="n">
        <v>45910</v>
      </c>
      <c r="D172" s="9" t="n">
        <v>68000</v>
      </c>
      <c r="E172" t="n">
        <v>9</v>
      </c>
      <c r="F172" s="10" t="n">
        <v>0.171</v>
      </c>
      <c r="G172" t="inlineStr">
        <is>
          <t>Working Capital</t>
        </is>
      </c>
      <c r="H172" t="inlineStr">
        <is>
          <t>LO015</t>
        </is>
      </c>
      <c r="I172" t="inlineStr">
        <is>
          <t>Mobile App</t>
        </is>
      </c>
      <c r="J172">
        <f>INDEX('Data - Borrowers'!$B$2:$B$851, MATCH(B172, 'Data - Borrowers'!$A$2:$A$851, 0))</f>
        <v/>
      </c>
      <c r="K172">
        <f>INDEX('Data - Borrowers'!$C$2:$C$851, MATCH(B172, 'Data - Borrowers'!$A$2:$A$851, 0))</f>
        <v/>
      </c>
      <c r="L172">
        <f>IF(D172&lt;100000, "Micro (&lt;100K)", IF(D172&lt;500000, "Small (100K-500K)", "Medium (500K+)"))</f>
        <v/>
      </c>
      <c r="M172">
        <f>TEXT(C172, "yyyy-mm")</f>
        <v/>
      </c>
    </row>
    <row r="173">
      <c r="A173" t="inlineStr">
        <is>
          <t>LN200192</t>
        </is>
      </c>
      <c r="B173" t="inlineStr">
        <is>
          <t>BOR100144</t>
        </is>
      </c>
      <c r="C173" s="8" t="n">
        <v>45852</v>
      </c>
      <c r="D173" s="9" t="n">
        <v>110000</v>
      </c>
      <c r="E173" t="n">
        <v>12</v>
      </c>
      <c r="F173" s="10" t="n">
        <v>0.174</v>
      </c>
      <c r="G173" t="inlineStr">
        <is>
          <t>Invoice Discounting</t>
        </is>
      </c>
      <c r="H173" t="inlineStr">
        <is>
          <t>LO011</t>
        </is>
      </c>
      <c r="I173" t="inlineStr">
        <is>
          <t>Branch</t>
        </is>
      </c>
      <c r="J173">
        <f>INDEX('Data - Borrowers'!$B$2:$B$851, MATCH(B173, 'Data - Borrowers'!$A$2:$A$851, 0))</f>
        <v/>
      </c>
      <c r="K173">
        <f>INDEX('Data - Borrowers'!$C$2:$C$851, MATCH(B173, 'Data - Borrowers'!$A$2:$A$851, 0))</f>
        <v/>
      </c>
      <c r="L173">
        <f>IF(D173&lt;100000, "Micro (&lt;100K)", IF(D173&lt;500000, "Small (100K-500K)", "Medium (500K+)"))</f>
        <v/>
      </c>
      <c r="M173">
        <f>TEXT(C173, "yyyy-mm")</f>
        <v/>
      </c>
    </row>
    <row r="174">
      <c r="A174" t="inlineStr">
        <is>
          <t>LN200193</t>
        </is>
      </c>
      <c r="B174" t="inlineStr">
        <is>
          <t>BOR100144</t>
        </is>
      </c>
      <c r="C174" s="8" t="n">
        <v>46226</v>
      </c>
      <c r="D174" s="9" t="n">
        <v>92000</v>
      </c>
      <c r="E174" t="n">
        <v>6</v>
      </c>
      <c r="F174" s="10" t="n">
        <v>0.213</v>
      </c>
      <c r="G174" t="inlineStr">
        <is>
          <t>Asset Finance</t>
        </is>
      </c>
      <c r="H174" t="inlineStr">
        <is>
          <t>LO024</t>
        </is>
      </c>
      <c r="I174" t="inlineStr">
        <is>
          <t>Partner Referral</t>
        </is>
      </c>
      <c r="J174">
        <f>INDEX('Data - Borrowers'!$B$2:$B$851, MATCH(B174, 'Data - Borrowers'!$A$2:$A$851, 0))</f>
        <v/>
      </c>
      <c r="K174">
        <f>INDEX('Data - Borrowers'!$C$2:$C$851, MATCH(B174, 'Data - Borrowers'!$A$2:$A$851, 0))</f>
        <v/>
      </c>
      <c r="L174">
        <f>IF(D174&lt;100000, "Micro (&lt;100K)", IF(D174&lt;500000, "Small (100K-500K)", "Medium (500K+)"))</f>
        <v/>
      </c>
      <c r="M174">
        <f>TEXT(C174, "yyyy-mm")</f>
        <v/>
      </c>
    </row>
    <row r="175">
      <c r="A175" t="inlineStr">
        <is>
          <t>LN200194</t>
        </is>
      </c>
      <c r="B175" t="inlineStr">
        <is>
          <t>BOR100145</t>
        </is>
      </c>
      <c r="C175" s="8" t="n">
        <v>45884</v>
      </c>
      <c r="D175" s="9" t="n">
        <v>83000</v>
      </c>
      <c r="E175" t="n">
        <v>6</v>
      </c>
      <c r="F175" s="10" t="n">
        <v>0.233</v>
      </c>
      <c r="G175" t="inlineStr">
        <is>
          <t>Working Capital</t>
        </is>
      </c>
      <c r="H175" t="inlineStr">
        <is>
          <t>LO011</t>
        </is>
      </c>
      <c r="I175" t="inlineStr">
        <is>
          <t>Branch</t>
        </is>
      </c>
      <c r="J175">
        <f>INDEX('Data - Borrowers'!$B$2:$B$851, MATCH(B175, 'Data - Borrowers'!$A$2:$A$851, 0))</f>
        <v/>
      </c>
      <c r="K175">
        <f>INDEX('Data - Borrowers'!$C$2:$C$851, MATCH(B175, 'Data - Borrowers'!$A$2:$A$851, 0))</f>
        <v/>
      </c>
      <c r="L175">
        <f>IF(D175&lt;100000, "Micro (&lt;100K)", IF(D175&lt;500000, "Small (100K-500K)", "Medium (500K+)"))</f>
        <v/>
      </c>
      <c r="M175">
        <f>TEXT(C175, "yyyy-mm")</f>
        <v/>
      </c>
    </row>
    <row r="176">
      <c r="A176" t="inlineStr">
        <is>
          <t>LN200195</t>
        </is>
      </c>
      <c r="B176" t="inlineStr">
        <is>
          <t>BOR100145</t>
        </is>
      </c>
      <c r="C176" s="8" t="n">
        <v>46161</v>
      </c>
      <c r="D176" s="9" t="n">
        <v>108000</v>
      </c>
      <c r="E176" t="n">
        <v>9</v>
      </c>
      <c r="F176" s="10" t="n">
        <v>0.135</v>
      </c>
      <c r="G176" t="inlineStr">
        <is>
          <t>Working Capital</t>
        </is>
      </c>
      <c r="H176" t="inlineStr">
        <is>
          <t>LO024</t>
        </is>
      </c>
      <c r="I176" t="inlineStr">
        <is>
          <t>Mobile App</t>
        </is>
      </c>
      <c r="J176">
        <f>INDEX('Data - Borrowers'!$B$2:$B$851, MATCH(B176, 'Data - Borrowers'!$A$2:$A$851, 0))</f>
        <v/>
      </c>
      <c r="K176">
        <f>INDEX('Data - Borrowers'!$C$2:$C$851, MATCH(B176, 'Data - Borrowers'!$A$2:$A$851, 0))</f>
        <v/>
      </c>
      <c r="L176">
        <f>IF(D176&lt;100000, "Micro (&lt;100K)", IF(D176&lt;500000, "Small (100K-500K)", "Medium (500K+)"))</f>
        <v/>
      </c>
      <c r="M176">
        <f>TEXT(C176, "yyyy-mm")</f>
        <v/>
      </c>
    </row>
    <row r="177">
      <c r="A177" t="inlineStr">
        <is>
          <t>LN200196</t>
        </is>
      </c>
      <c r="B177" t="inlineStr">
        <is>
          <t>BOR100146</t>
        </is>
      </c>
      <c r="C177" s="8" t="n">
        <v>46160</v>
      </c>
      <c r="D177" s="9" t="n">
        <v>32000</v>
      </c>
      <c r="E177" t="n">
        <v>9</v>
      </c>
      <c r="F177" s="10" t="n">
        <v>0.226</v>
      </c>
      <c r="G177" t="inlineStr">
        <is>
          <t>Working Capital</t>
        </is>
      </c>
      <c r="H177" t="inlineStr">
        <is>
          <t>LO007</t>
        </is>
      </c>
      <c r="I177" t="inlineStr">
        <is>
          <t>Partner Referral</t>
        </is>
      </c>
      <c r="J177">
        <f>INDEX('Data - Borrowers'!$B$2:$B$851, MATCH(B177, 'Data - Borrowers'!$A$2:$A$851, 0))</f>
        <v/>
      </c>
      <c r="K177">
        <f>INDEX('Data - Borrowers'!$C$2:$C$851, MATCH(B177, 'Data - Borrowers'!$A$2:$A$851, 0))</f>
        <v/>
      </c>
      <c r="L177">
        <f>IF(D177&lt;100000, "Micro (&lt;100K)", IF(D177&lt;500000, "Small (100K-500K)", "Medium (500K+)"))</f>
        <v/>
      </c>
      <c r="M177">
        <f>TEXT(C177, "yyyy-mm")</f>
        <v/>
      </c>
    </row>
    <row r="178">
      <c r="A178" t="inlineStr">
        <is>
          <t>LN200197</t>
        </is>
      </c>
      <c r="B178" t="inlineStr">
        <is>
          <t>BOR100147</t>
        </is>
      </c>
      <c r="C178" s="8" t="n">
        <v>45687</v>
      </c>
      <c r="D178" s="9" t="n">
        <v>102000</v>
      </c>
      <c r="E178" t="n">
        <v>3</v>
      </c>
      <c r="F178" s="10" t="n">
        <v>0.225</v>
      </c>
      <c r="G178" t="inlineStr">
        <is>
          <t>Working Capital</t>
        </is>
      </c>
      <c r="H178" t="inlineStr">
        <is>
          <t>LO007</t>
        </is>
      </c>
      <c r="I178" t="inlineStr">
        <is>
          <t>Mobile App</t>
        </is>
      </c>
      <c r="J178">
        <f>INDEX('Data - Borrowers'!$B$2:$B$851, MATCH(B178, 'Data - Borrowers'!$A$2:$A$851, 0))</f>
        <v/>
      </c>
      <c r="K178">
        <f>INDEX('Data - Borrowers'!$C$2:$C$851, MATCH(B178, 'Data - Borrowers'!$A$2:$A$851, 0))</f>
        <v/>
      </c>
      <c r="L178">
        <f>IF(D178&lt;100000, "Micro (&lt;100K)", IF(D178&lt;500000, "Small (100K-500K)", "Medium (500K+)"))</f>
        <v/>
      </c>
      <c r="M178">
        <f>TEXT(C178, "yyyy-mm")</f>
        <v/>
      </c>
    </row>
    <row r="179">
      <c r="A179" t="inlineStr">
        <is>
          <t>LN200198</t>
        </is>
      </c>
      <c r="B179" t="inlineStr">
        <is>
          <t>BOR100147</t>
        </is>
      </c>
      <c r="C179" s="8" t="n">
        <v>46023</v>
      </c>
      <c r="D179" s="9" t="n">
        <v>182000</v>
      </c>
      <c r="E179" t="n">
        <v>9</v>
      </c>
      <c r="F179" s="10" t="n">
        <v>0.141</v>
      </c>
      <c r="G179" t="inlineStr">
        <is>
          <t>Invoice Discounting</t>
        </is>
      </c>
      <c r="H179" t="inlineStr">
        <is>
          <t>LO018</t>
        </is>
      </c>
      <c r="I179" t="inlineStr">
        <is>
          <t>Partner Referral</t>
        </is>
      </c>
      <c r="J179">
        <f>INDEX('Data - Borrowers'!$B$2:$B$851, MATCH(B179, 'Data - Borrowers'!$A$2:$A$851, 0))</f>
        <v/>
      </c>
      <c r="K179">
        <f>INDEX('Data - Borrowers'!$C$2:$C$851, MATCH(B179, 'Data - Borrowers'!$A$2:$A$851, 0))</f>
        <v/>
      </c>
      <c r="L179">
        <f>IF(D179&lt;100000, "Micro (&lt;100K)", IF(D179&lt;500000, "Small (100K-500K)", "Medium (500K+)"))</f>
        <v/>
      </c>
      <c r="M179">
        <f>TEXT(C179, "yyyy-mm")</f>
        <v/>
      </c>
    </row>
    <row r="180">
      <c r="A180" t="inlineStr">
        <is>
          <t>LN200199</t>
        </is>
      </c>
      <c r="B180" t="inlineStr">
        <is>
          <t>BOR100148</t>
        </is>
      </c>
      <c r="C180" s="8" t="n">
        <v>45740</v>
      </c>
      <c r="D180" s="9" t="n">
        <v>54000</v>
      </c>
      <c r="E180" t="n">
        <v>3</v>
      </c>
      <c r="F180" s="10" t="n">
        <v>0.195</v>
      </c>
      <c r="G180" t="inlineStr">
        <is>
          <t>Invoice Discounting</t>
        </is>
      </c>
      <c r="H180" t="inlineStr">
        <is>
          <t>LO004</t>
        </is>
      </c>
      <c r="I180" t="inlineStr">
        <is>
          <t>Mobile App</t>
        </is>
      </c>
      <c r="J180">
        <f>INDEX('Data - Borrowers'!$B$2:$B$851, MATCH(B180, 'Data - Borrowers'!$A$2:$A$851, 0))</f>
        <v/>
      </c>
      <c r="K180">
        <f>INDEX('Data - Borrowers'!$C$2:$C$851, MATCH(B180, 'Data - Borrowers'!$A$2:$A$851, 0))</f>
        <v/>
      </c>
      <c r="L180">
        <f>IF(D180&lt;100000, "Micro (&lt;100K)", IF(D180&lt;500000, "Small (100K-500K)", "Medium (500K+)"))</f>
        <v/>
      </c>
      <c r="M180">
        <f>TEXT(C180, "yyyy-mm")</f>
        <v/>
      </c>
    </row>
    <row r="181">
      <c r="A181" t="inlineStr">
        <is>
          <t>LN200200</t>
        </is>
      </c>
      <c r="B181" t="inlineStr">
        <is>
          <t>BOR100149</t>
        </is>
      </c>
      <c r="C181" s="8" t="n">
        <v>45876</v>
      </c>
      <c r="D181" s="9" t="n">
        <v>57000</v>
      </c>
      <c r="E181" t="n">
        <v>12</v>
      </c>
      <c r="F181" s="10" t="n">
        <v>0.187</v>
      </c>
      <c r="G181" t="inlineStr">
        <is>
          <t>Asset Finance</t>
        </is>
      </c>
      <c r="H181" t="inlineStr">
        <is>
          <t>LO016</t>
        </is>
      </c>
      <c r="I181" t="inlineStr">
        <is>
          <t>Partner Referral</t>
        </is>
      </c>
      <c r="J181">
        <f>INDEX('Data - Borrowers'!$B$2:$B$851, MATCH(B181, 'Data - Borrowers'!$A$2:$A$851, 0))</f>
        <v/>
      </c>
      <c r="K181">
        <f>INDEX('Data - Borrowers'!$C$2:$C$851, MATCH(B181, 'Data - Borrowers'!$A$2:$A$851, 0))</f>
        <v/>
      </c>
      <c r="L181">
        <f>IF(D181&lt;100000, "Micro (&lt;100K)", IF(D181&lt;500000, "Small (100K-500K)", "Medium (500K+)"))</f>
        <v/>
      </c>
      <c r="M181">
        <f>TEXT(C181, "yyyy-mm")</f>
        <v/>
      </c>
    </row>
    <row r="182">
      <c r="A182" t="inlineStr">
        <is>
          <t>LN200201</t>
        </is>
      </c>
      <c r="B182" t="inlineStr">
        <is>
          <t>BOR100150</t>
        </is>
      </c>
      <c r="C182" s="8" t="n">
        <v>45839</v>
      </c>
      <c r="D182" s="9" t="n">
        <v>119000</v>
      </c>
      <c r="E182" t="n">
        <v>6</v>
      </c>
      <c r="F182" s="10" t="n">
        <v>0.207</v>
      </c>
      <c r="G182" t="inlineStr">
        <is>
          <t>Working Capital</t>
        </is>
      </c>
      <c r="H182" t="inlineStr">
        <is>
          <t>LO006</t>
        </is>
      </c>
      <c r="I182" t="inlineStr">
        <is>
          <t>Partner Referral</t>
        </is>
      </c>
      <c r="J182">
        <f>INDEX('Data - Borrowers'!$B$2:$B$851, MATCH(B182, 'Data - Borrowers'!$A$2:$A$851, 0))</f>
        <v/>
      </c>
      <c r="K182">
        <f>INDEX('Data - Borrowers'!$C$2:$C$851, MATCH(B182, 'Data - Borrowers'!$A$2:$A$851, 0))</f>
        <v/>
      </c>
      <c r="L182">
        <f>IF(D182&lt;100000, "Micro (&lt;100K)", IF(D182&lt;500000, "Small (100K-500K)", "Medium (500K+)"))</f>
        <v/>
      </c>
      <c r="M182">
        <f>TEXT(C182, "yyyy-mm")</f>
        <v/>
      </c>
    </row>
    <row r="183">
      <c r="A183" t="inlineStr">
        <is>
          <t>LN200202</t>
        </is>
      </c>
      <c r="B183" t="inlineStr">
        <is>
          <t>BOR100151</t>
        </is>
      </c>
      <c r="C183" s="8" t="n">
        <v>45921</v>
      </c>
      <c r="D183" s="9" t="n">
        <v>33000</v>
      </c>
      <c r="E183" t="n">
        <v>3</v>
      </c>
      <c r="F183" s="10" t="n">
        <v>0.172</v>
      </c>
      <c r="G183" t="inlineStr">
        <is>
          <t>Working Capital</t>
        </is>
      </c>
      <c r="H183" t="inlineStr">
        <is>
          <t>LO017</t>
        </is>
      </c>
      <c r="I183" t="inlineStr">
        <is>
          <t>Partner Referral</t>
        </is>
      </c>
      <c r="J183">
        <f>INDEX('Data - Borrowers'!$B$2:$B$851, MATCH(B183, 'Data - Borrowers'!$A$2:$A$851, 0))</f>
        <v/>
      </c>
      <c r="K183">
        <f>INDEX('Data - Borrowers'!$C$2:$C$851, MATCH(B183, 'Data - Borrowers'!$A$2:$A$851, 0))</f>
        <v/>
      </c>
      <c r="L183">
        <f>IF(D183&lt;100000, "Micro (&lt;100K)", IF(D183&lt;500000, "Small (100K-500K)", "Medium (500K+)"))</f>
        <v/>
      </c>
      <c r="M183">
        <f>TEXT(C183, "yyyy-mm")</f>
        <v/>
      </c>
    </row>
    <row r="184">
      <c r="A184" t="inlineStr">
        <is>
          <t>LN200203</t>
        </is>
      </c>
      <c r="B184" t="inlineStr">
        <is>
          <t>BOR100152</t>
        </is>
      </c>
      <c r="C184" s="8" t="n">
        <v>46196</v>
      </c>
      <c r="D184" s="9" t="n">
        <v>37000</v>
      </c>
      <c r="E184" t="n">
        <v>3</v>
      </c>
      <c r="F184" s="10" t="n">
        <v>0.203</v>
      </c>
      <c r="G184" t="inlineStr">
        <is>
          <t>Working Capital</t>
        </is>
      </c>
      <c r="H184" t="inlineStr">
        <is>
          <t>LO004</t>
        </is>
      </c>
      <c r="I184" t="inlineStr">
        <is>
          <t>Mobile App</t>
        </is>
      </c>
      <c r="J184">
        <f>INDEX('Data - Borrowers'!$B$2:$B$851, MATCH(B184, 'Data - Borrowers'!$A$2:$A$851, 0))</f>
        <v/>
      </c>
      <c r="K184">
        <f>INDEX('Data - Borrowers'!$C$2:$C$851, MATCH(B184, 'Data - Borrowers'!$A$2:$A$851, 0))</f>
        <v/>
      </c>
      <c r="L184">
        <f>IF(D184&lt;100000, "Micro (&lt;100K)", IF(D184&lt;500000, "Small (100K-500K)", "Medium (500K+)"))</f>
        <v/>
      </c>
      <c r="M184">
        <f>TEXT(C184, "yyyy-mm")</f>
        <v/>
      </c>
    </row>
    <row r="185">
      <c r="A185" t="inlineStr">
        <is>
          <t>LN200204</t>
        </is>
      </c>
      <c r="B185" t="inlineStr">
        <is>
          <t>BOR100153</t>
        </is>
      </c>
      <c r="C185" s="8" t="n">
        <v>46059</v>
      </c>
      <c r="D185" s="9" t="n">
        <v>48000</v>
      </c>
      <c r="E185" t="n">
        <v>3</v>
      </c>
      <c r="F185" s="10" t="n">
        <v>0.134</v>
      </c>
      <c r="G185" t="inlineStr">
        <is>
          <t>Asset Finance</t>
        </is>
      </c>
      <c r="H185" t="inlineStr">
        <is>
          <t>LO017</t>
        </is>
      </c>
      <c r="I185" t="inlineStr">
        <is>
          <t>Mobile App</t>
        </is>
      </c>
      <c r="J185">
        <f>INDEX('Data - Borrowers'!$B$2:$B$851, MATCH(B185, 'Data - Borrowers'!$A$2:$A$851, 0))</f>
        <v/>
      </c>
      <c r="K185">
        <f>INDEX('Data - Borrowers'!$C$2:$C$851, MATCH(B185, 'Data - Borrowers'!$A$2:$A$851, 0))</f>
        <v/>
      </c>
      <c r="L185">
        <f>IF(D185&lt;100000, "Micro (&lt;100K)", IF(D185&lt;500000, "Small (100K-500K)", "Medium (500K+)"))</f>
        <v/>
      </c>
      <c r="M185">
        <f>TEXT(C185, "yyyy-mm")</f>
        <v/>
      </c>
    </row>
    <row r="186">
      <c r="A186" t="inlineStr">
        <is>
          <t>LN200205</t>
        </is>
      </c>
      <c r="B186" t="inlineStr">
        <is>
          <t>BOR100154</t>
        </is>
      </c>
      <c r="C186" s="8" t="n">
        <v>46193</v>
      </c>
      <c r="D186" s="9" t="n">
        <v>50000</v>
      </c>
      <c r="E186" t="n">
        <v>6</v>
      </c>
      <c r="F186" s="10" t="n">
        <v>0.23</v>
      </c>
      <c r="G186" t="inlineStr">
        <is>
          <t>Working Capital</t>
        </is>
      </c>
      <c r="H186" t="inlineStr">
        <is>
          <t>LO004</t>
        </is>
      </c>
      <c r="I186" t="inlineStr">
        <is>
          <t>Branch</t>
        </is>
      </c>
      <c r="J186">
        <f>INDEX('Data - Borrowers'!$B$2:$B$851, MATCH(B186, 'Data - Borrowers'!$A$2:$A$851, 0))</f>
        <v/>
      </c>
      <c r="K186">
        <f>INDEX('Data - Borrowers'!$C$2:$C$851, MATCH(B186, 'Data - Borrowers'!$A$2:$A$851, 0))</f>
        <v/>
      </c>
      <c r="L186">
        <f>IF(D186&lt;100000, "Micro (&lt;100K)", IF(D186&lt;500000, "Small (100K-500K)", "Medium (500K+)"))</f>
        <v/>
      </c>
      <c r="M186">
        <f>TEXT(C186, "yyyy-mm")</f>
        <v/>
      </c>
    </row>
    <row r="187">
      <c r="A187" t="inlineStr">
        <is>
          <t>LN200206</t>
        </is>
      </c>
      <c r="B187" t="inlineStr">
        <is>
          <t>BOR100155</t>
        </is>
      </c>
      <c r="C187" s="8" t="n">
        <v>45727</v>
      </c>
      <c r="D187" s="9" t="n">
        <v>122000</v>
      </c>
      <c r="E187" t="n">
        <v>12</v>
      </c>
      <c r="F187" s="10" t="n">
        <v>0.179</v>
      </c>
      <c r="G187" t="inlineStr">
        <is>
          <t>Working Capital</t>
        </is>
      </c>
      <c r="H187" t="inlineStr">
        <is>
          <t>LO013</t>
        </is>
      </c>
      <c r="I187" t="inlineStr">
        <is>
          <t>Partner Referral</t>
        </is>
      </c>
      <c r="J187">
        <f>INDEX('Data - Borrowers'!$B$2:$B$851, MATCH(B187, 'Data - Borrowers'!$A$2:$A$851, 0))</f>
        <v/>
      </c>
      <c r="K187">
        <f>INDEX('Data - Borrowers'!$C$2:$C$851, MATCH(B187, 'Data - Borrowers'!$A$2:$A$851, 0))</f>
        <v/>
      </c>
      <c r="L187">
        <f>IF(D187&lt;100000, "Micro (&lt;100K)", IF(D187&lt;500000, "Small (100K-500K)", "Medium (500K+)"))</f>
        <v/>
      </c>
      <c r="M187">
        <f>TEXT(C187, "yyyy-mm")</f>
        <v/>
      </c>
    </row>
    <row r="188">
      <c r="A188" t="inlineStr">
        <is>
          <t>LN200207</t>
        </is>
      </c>
      <c r="B188" t="inlineStr">
        <is>
          <t>BOR100156</t>
        </is>
      </c>
      <c r="C188" s="8" t="n">
        <v>46120</v>
      </c>
      <c r="D188" s="9" t="n">
        <v>89000</v>
      </c>
      <c r="E188" t="n">
        <v>3</v>
      </c>
      <c r="F188" s="10" t="n">
        <v>0.176</v>
      </c>
      <c r="G188" t="inlineStr">
        <is>
          <t>Working Capital</t>
        </is>
      </c>
      <c r="H188" t="inlineStr">
        <is>
          <t>LO021</t>
        </is>
      </c>
      <c r="I188" t="inlineStr">
        <is>
          <t>Branch</t>
        </is>
      </c>
      <c r="J188">
        <f>INDEX('Data - Borrowers'!$B$2:$B$851, MATCH(B188, 'Data - Borrowers'!$A$2:$A$851, 0))</f>
        <v/>
      </c>
      <c r="K188">
        <f>INDEX('Data - Borrowers'!$C$2:$C$851, MATCH(B188, 'Data - Borrowers'!$A$2:$A$851, 0))</f>
        <v/>
      </c>
      <c r="L188">
        <f>IF(D188&lt;100000, "Micro (&lt;100K)", IF(D188&lt;500000, "Small (100K-500K)", "Medium (500K+)"))</f>
        <v/>
      </c>
      <c r="M188">
        <f>TEXT(C188, "yyyy-mm")</f>
        <v/>
      </c>
    </row>
    <row r="189">
      <c r="A189" t="inlineStr">
        <is>
          <t>LN200209</t>
        </is>
      </c>
      <c r="B189" t="inlineStr">
        <is>
          <t>BOR100157</t>
        </is>
      </c>
      <c r="C189" s="8" t="n">
        <v>46097</v>
      </c>
      <c r="D189" s="9" t="n">
        <v>112000</v>
      </c>
      <c r="E189" t="n">
        <v>6</v>
      </c>
      <c r="F189" s="10" t="n">
        <v>0.2</v>
      </c>
      <c r="G189" t="inlineStr">
        <is>
          <t>Working Capital</t>
        </is>
      </c>
      <c r="H189" t="inlineStr">
        <is>
          <t>LO025</t>
        </is>
      </c>
      <c r="I189" t="inlineStr">
        <is>
          <t>Mobile App</t>
        </is>
      </c>
      <c r="J189">
        <f>INDEX('Data - Borrowers'!$B$2:$B$851, MATCH(B189, 'Data - Borrowers'!$A$2:$A$851, 0))</f>
        <v/>
      </c>
      <c r="K189">
        <f>INDEX('Data - Borrowers'!$C$2:$C$851, MATCH(B189, 'Data - Borrowers'!$A$2:$A$851, 0))</f>
        <v/>
      </c>
      <c r="L189">
        <f>IF(D189&lt;100000, "Micro (&lt;100K)", IF(D189&lt;500000, "Small (100K-500K)", "Medium (500K+)"))</f>
        <v/>
      </c>
      <c r="M189">
        <f>TEXT(C189, "yyyy-mm")</f>
        <v/>
      </c>
    </row>
    <row r="190">
      <c r="A190" t="inlineStr">
        <is>
          <t>LN200210</t>
        </is>
      </c>
      <c r="B190" t="inlineStr">
        <is>
          <t>BOR100158</t>
        </is>
      </c>
      <c r="C190" s="8" t="n">
        <v>46089</v>
      </c>
      <c r="D190" s="9" t="n">
        <v>124000</v>
      </c>
      <c r="E190" t="n">
        <v>9</v>
      </c>
      <c r="F190" s="10" t="n">
        <v>0.209</v>
      </c>
      <c r="G190" t="inlineStr">
        <is>
          <t>Working Capital</t>
        </is>
      </c>
      <c r="H190" t="inlineStr">
        <is>
          <t>LO009</t>
        </is>
      </c>
      <c r="I190" t="inlineStr">
        <is>
          <t>Mobile App</t>
        </is>
      </c>
      <c r="J190">
        <f>INDEX('Data - Borrowers'!$B$2:$B$851, MATCH(B190, 'Data - Borrowers'!$A$2:$A$851, 0))</f>
        <v/>
      </c>
      <c r="K190">
        <f>INDEX('Data - Borrowers'!$C$2:$C$851, MATCH(B190, 'Data - Borrowers'!$A$2:$A$851, 0))</f>
        <v/>
      </c>
      <c r="L190">
        <f>IF(D190&lt;100000, "Micro (&lt;100K)", IF(D190&lt;500000, "Small (100K-500K)", "Medium (500K+)"))</f>
        <v/>
      </c>
      <c r="M190">
        <f>TEXT(C190, "yyyy-mm")</f>
        <v/>
      </c>
    </row>
    <row r="191">
      <c r="A191" t="inlineStr">
        <is>
          <t>LN200212</t>
        </is>
      </c>
      <c r="B191" t="inlineStr">
        <is>
          <t>BOR100159</t>
        </is>
      </c>
      <c r="C191" s="8" t="n">
        <v>45893</v>
      </c>
      <c r="D191" s="9" t="n">
        <v>218000</v>
      </c>
      <c r="E191" t="n">
        <v>9</v>
      </c>
      <c r="F191" s="10" t="n">
        <v>0.224</v>
      </c>
      <c r="G191" t="inlineStr">
        <is>
          <t>Working Capital</t>
        </is>
      </c>
      <c r="H191" t="inlineStr">
        <is>
          <t>LO022</t>
        </is>
      </c>
      <c r="I191" t="inlineStr">
        <is>
          <t>Mobile App</t>
        </is>
      </c>
      <c r="J191">
        <f>INDEX('Data - Borrowers'!$B$2:$B$851, MATCH(B191, 'Data - Borrowers'!$A$2:$A$851, 0))</f>
        <v/>
      </c>
      <c r="K191">
        <f>INDEX('Data - Borrowers'!$C$2:$C$851, MATCH(B191, 'Data - Borrowers'!$A$2:$A$851, 0))</f>
        <v/>
      </c>
      <c r="L191">
        <f>IF(D191&lt;100000, "Micro (&lt;100K)", IF(D191&lt;500000, "Small (100K-500K)", "Medium (500K+)"))</f>
        <v/>
      </c>
      <c r="M191">
        <f>TEXT(C191, "yyyy-mm")</f>
        <v/>
      </c>
    </row>
    <row r="192">
      <c r="A192" t="inlineStr">
        <is>
          <t>LN200213</t>
        </is>
      </c>
      <c r="B192" t="inlineStr">
        <is>
          <t>BOR100160</t>
        </is>
      </c>
      <c r="C192" s="8" t="n">
        <v>46100</v>
      </c>
      <c r="D192" s="9" t="n">
        <v>35000</v>
      </c>
      <c r="E192" t="n">
        <v>3</v>
      </c>
      <c r="F192" s="10" t="n">
        <v>0.215</v>
      </c>
      <c r="G192" t="inlineStr">
        <is>
          <t>Asset Finance</t>
        </is>
      </c>
      <c r="H192" t="inlineStr">
        <is>
          <t>LO025</t>
        </is>
      </c>
      <c r="I192" t="inlineStr">
        <is>
          <t>Mobile App</t>
        </is>
      </c>
      <c r="J192">
        <f>INDEX('Data - Borrowers'!$B$2:$B$851, MATCH(B192, 'Data - Borrowers'!$A$2:$A$851, 0))</f>
        <v/>
      </c>
      <c r="K192">
        <f>INDEX('Data - Borrowers'!$C$2:$C$851, MATCH(B192, 'Data - Borrowers'!$A$2:$A$851, 0))</f>
        <v/>
      </c>
      <c r="L192">
        <f>IF(D192&lt;100000, "Micro (&lt;100K)", IF(D192&lt;500000, "Small (100K-500K)", "Medium (500K+)"))</f>
        <v/>
      </c>
      <c r="M192">
        <f>TEXT(C192, "yyyy-mm")</f>
        <v/>
      </c>
    </row>
    <row r="193">
      <c r="A193" t="inlineStr">
        <is>
          <t>LN200214</t>
        </is>
      </c>
      <c r="B193" t="inlineStr">
        <is>
          <t>BOR100161</t>
        </is>
      </c>
      <c r="C193" s="8" t="n">
        <v>45902</v>
      </c>
      <c r="D193" s="9" t="n">
        <v>33000</v>
      </c>
      <c r="E193" t="n">
        <v>6</v>
      </c>
      <c r="F193" s="10" t="n">
        <v>0.208</v>
      </c>
      <c r="G193" t="inlineStr">
        <is>
          <t>Asset Finance</t>
        </is>
      </c>
      <c r="H193" t="inlineStr">
        <is>
          <t>LO009</t>
        </is>
      </c>
      <c r="I193" t="inlineStr">
        <is>
          <t>Partner Referral</t>
        </is>
      </c>
      <c r="J193">
        <f>INDEX('Data - Borrowers'!$B$2:$B$851, MATCH(B193, 'Data - Borrowers'!$A$2:$A$851, 0))</f>
        <v/>
      </c>
      <c r="K193">
        <f>INDEX('Data - Borrowers'!$C$2:$C$851, MATCH(B193, 'Data - Borrowers'!$A$2:$A$851, 0))</f>
        <v/>
      </c>
      <c r="L193">
        <f>IF(D193&lt;100000, "Micro (&lt;100K)", IF(D193&lt;500000, "Small (100K-500K)", "Medium (500K+)"))</f>
        <v/>
      </c>
      <c r="M193">
        <f>TEXT(C193, "yyyy-mm")</f>
        <v/>
      </c>
    </row>
    <row r="194">
      <c r="A194" t="inlineStr">
        <is>
          <t>LN200215</t>
        </is>
      </c>
      <c r="B194" t="inlineStr">
        <is>
          <t>BOR100162</t>
        </is>
      </c>
      <c r="C194" s="8" t="n">
        <v>46183</v>
      </c>
      <c r="D194" s="9" t="n">
        <v>274000</v>
      </c>
      <c r="E194" t="n">
        <v>3</v>
      </c>
      <c r="F194" s="10" t="n">
        <v>0.151</v>
      </c>
      <c r="G194" t="inlineStr">
        <is>
          <t>Asset Finance</t>
        </is>
      </c>
      <c r="H194" t="inlineStr">
        <is>
          <t>LO007</t>
        </is>
      </c>
      <c r="I194" t="inlineStr">
        <is>
          <t>Branch</t>
        </is>
      </c>
      <c r="J194">
        <f>INDEX('Data - Borrowers'!$B$2:$B$851, MATCH(B194, 'Data - Borrowers'!$A$2:$A$851, 0))</f>
        <v/>
      </c>
      <c r="K194">
        <f>INDEX('Data - Borrowers'!$C$2:$C$851, MATCH(B194, 'Data - Borrowers'!$A$2:$A$851, 0))</f>
        <v/>
      </c>
      <c r="L194">
        <f>IF(D194&lt;100000, "Micro (&lt;100K)", IF(D194&lt;500000, "Small (100K-500K)", "Medium (500K+)"))</f>
        <v/>
      </c>
      <c r="M194">
        <f>TEXT(C194, "yyyy-mm")</f>
        <v/>
      </c>
    </row>
    <row r="195">
      <c r="A195" t="inlineStr">
        <is>
          <t>LN200217</t>
        </is>
      </c>
      <c r="B195" t="inlineStr">
        <is>
          <t>BOR100163</t>
        </is>
      </c>
      <c r="C195" s="8" t="n">
        <v>46148</v>
      </c>
      <c r="D195" s="9" t="n">
        <v>215000</v>
      </c>
      <c r="E195" t="n">
        <v>3</v>
      </c>
      <c r="F195" s="10" t="n">
        <v>0.177</v>
      </c>
      <c r="G195" t="inlineStr">
        <is>
          <t>Invoice Discounting</t>
        </is>
      </c>
      <c r="H195" t="inlineStr">
        <is>
          <t>LO005</t>
        </is>
      </c>
      <c r="I195" t="inlineStr">
        <is>
          <t>Branch</t>
        </is>
      </c>
      <c r="J195">
        <f>INDEX('Data - Borrowers'!$B$2:$B$851, MATCH(B195, 'Data - Borrowers'!$A$2:$A$851, 0))</f>
        <v/>
      </c>
      <c r="K195">
        <f>INDEX('Data - Borrowers'!$C$2:$C$851, MATCH(B195, 'Data - Borrowers'!$A$2:$A$851, 0))</f>
        <v/>
      </c>
      <c r="L195">
        <f>IF(D195&lt;100000, "Micro (&lt;100K)", IF(D195&lt;500000, "Small (100K-500K)", "Medium (500K+)"))</f>
        <v/>
      </c>
      <c r="M195">
        <f>TEXT(C195, "yyyy-mm")</f>
        <v/>
      </c>
    </row>
    <row r="196">
      <c r="A196" t="inlineStr">
        <is>
          <t>LN200218</t>
        </is>
      </c>
      <c r="B196" t="inlineStr">
        <is>
          <t>BOR100164</t>
        </is>
      </c>
      <c r="C196" s="8" t="n">
        <v>45874</v>
      </c>
      <c r="D196" s="9" t="n">
        <v>229000</v>
      </c>
      <c r="E196" t="n">
        <v>9</v>
      </c>
      <c r="F196" s="10" t="n">
        <v>0.213</v>
      </c>
      <c r="G196" t="inlineStr">
        <is>
          <t>Working Capital</t>
        </is>
      </c>
      <c r="H196" t="inlineStr">
        <is>
          <t>LO005</t>
        </is>
      </c>
      <c r="I196" t="inlineStr">
        <is>
          <t>Partner Referral</t>
        </is>
      </c>
      <c r="J196">
        <f>INDEX('Data - Borrowers'!$B$2:$B$851, MATCH(B196, 'Data - Borrowers'!$A$2:$A$851, 0))</f>
        <v/>
      </c>
      <c r="K196">
        <f>INDEX('Data - Borrowers'!$C$2:$C$851, MATCH(B196, 'Data - Borrowers'!$A$2:$A$851, 0))</f>
        <v/>
      </c>
      <c r="L196">
        <f>IF(D196&lt;100000, "Micro (&lt;100K)", IF(D196&lt;500000, "Small (100K-500K)", "Medium (500K+)"))</f>
        <v/>
      </c>
      <c r="M196">
        <f>TEXT(C196, "yyyy-mm")</f>
        <v/>
      </c>
    </row>
    <row r="197">
      <c r="A197" t="inlineStr">
        <is>
          <t>LN200219</t>
        </is>
      </c>
      <c r="B197" t="inlineStr">
        <is>
          <t>BOR100164</t>
        </is>
      </c>
      <c r="C197" s="8" t="n">
        <v>46014</v>
      </c>
      <c r="D197" s="9" t="n">
        <v>211000</v>
      </c>
      <c r="E197" t="n">
        <v>9</v>
      </c>
      <c r="F197" s="10" t="n">
        <v>0.138</v>
      </c>
      <c r="G197" t="inlineStr">
        <is>
          <t>Asset Finance</t>
        </is>
      </c>
      <c r="H197" t="inlineStr">
        <is>
          <t>LO002</t>
        </is>
      </c>
      <c r="I197" t="inlineStr">
        <is>
          <t>Mobile App</t>
        </is>
      </c>
      <c r="J197">
        <f>INDEX('Data - Borrowers'!$B$2:$B$851, MATCH(B197, 'Data - Borrowers'!$A$2:$A$851, 0))</f>
        <v/>
      </c>
      <c r="K197">
        <f>INDEX('Data - Borrowers'!$C$2:$C$851, MATCH(B197, 'Data - Borrowers'!$A$2:$A$851, 0))</f>
        <v/>
      </c>
      <c r="L197">
        <f>IF(D197&lt;100000, "Micro (&lt;100K)", IF(D197&lt;500000, "Small (100K-500K)", "Medium (500K+)"))</f>
        <v/>
      </c>
      <c r="M197">
        <f>TEXT(C197, "yyyy-mm")</f>
        <v/>
      </c>
    </row>
    <row r="198">
      <c r="A198" t="inlineStr">
        <is>
          <t>LN200220</t>
        </is>
      </c>
      <c r="B198" t="inlineStr">
        <is>
          <t>BOR100165</t>
        </is>
      </c>
      <c r="C198" s="8" t="n">
        <v>45776</v>
      </c>
      <c r="D198" s="9" t="n">
        <v>63000</v>
      </c>
      <c r="E198" t="n">
        <v>9</v>
      </c>
      <c r="F198" s="10" t="n">
        <v>0.145</v>
      </c>
      <c r="G198" t="inlineStr">
        <is>
          <t>Working Capital</t>
        </is>
      </c>
      <c r="H198" t="inlineStr">
        <is>
          <t>LO004</t>
        </is>
      </c>
      <c r="I198" t="inlineStr">
        <is>
          <t>Mobile App</t>
        </is>
      </c>
      <c r="J198">
        <f>INDEX('Data - Borrowers'!$B$2:$B$851, MATCH(B198, 'Data - Borrowers'!$A$2:$A$851, 0))</f>
        <v/>
      </c>
      <c r="K198">
        <f>INDEX('Data - Borrowers'!$C$2:$C$851, MATCH(B198, 'Data - Borrowers'!$A$2:$A$851, 0))</f>
        <v/>
      </c>
      <c r="L198">
        <f>IF(D198&lt;100000, "Micro (&lt;100K)", IF(D198&lt;500000, "Small (100K-500K)", "Medium (500K+)"))</f>
        <v/>
      </c>
      <c r="M198">
        <f>TEXT(C198, "yyyy-mm")</f>
        <v/>
      </c>
    </row>
    <row r="199">
      <c r="A199" t="inlineStr">
        <is>
          <t>LN200221</t>
        </is>
      </c>
      <c r="B199" t="inlineStr">
        <is>
          <t>BOR100165</t>
        </is>
      </c>
      <c r="C199" s="8" t="n">
        <v>46223</v>
      </c>
      <c r="D199" s="9" t="n">
        <v>34000</v>
      </c>
      <c r="E199" t="n">
        <v>3</v>
      </c>
      <c r="F199" s="10" t="n">
        <v>0.161</v>
      </c>
      <c r="G199" t="inlineStr">
        <is>
          <t>Working Capital</t>
        </is>
      </c>
      <c r="H199" t="inlineStr">
        <is>
          <t>LO004</t>
        </is>
      </c>
      <c r="I199" t="inlineStr">
        <is>
          <t>Mobile App</t>
        </is>
      </c>
      <c r="J199">
        <f>INDEX('Data - Borrowers'!$B$2:$B$851, MATCH(B199, 'Data - Borrowers'!$A$2:$A$851, 0))</f>
        <v/>
      </c>
      <c r="K199">
        <f>INDEX('Data - Borrowers'!$C$2:$C$851, MATCH(B199, 'Data - Borrowers'!$A$2:$A$851, 0))</f>
        <v/>
      </c>
      <c r="L199">
        <f>IF(D199&lt;100000, "Micro (&lt;100K)", IF(D199&lt;500000, "Small (100K-500K)", "Medium (500K+)"))</f>
        <v/>
      </c>
      <c r="M199">
        <f>TEXT(C199, "yyyy-mm")</f>
        <v/>
      </c>
    </row>
    <row r="200">
      <c r="A200" t="inlineStr">
        <is>
          <t>LN200222</t>
        </is>
      </c>
      <c r="B200" t="inlineStr">
        <is>
          <t>BOR100166</t>
        </is>
      </c>
      <c r="C200" s="8" t="n">
        <v>46235</v>
      </c>
      <c r="D200" s="9" t="n">
        <v>113000</v>
      </c>
      <c r="E200" t="n">
        <v>3</v>
      </c>
      <c r="F200" s="10" t="n">
        <v>0.239</v>
      </c>
      <c r="G200" t="inlineStr">
        <is>
          <t>Working Capital</t>
        </is>
      </c>
      <c r="H200" t="inlineStr">
        <is>
          <t>LO008</t>
        </is>
      </c>
      <c r="I200" t="inlineStr">
        <is>
          <t>Mobile App</t>
        </is>
      </c>
      <c r="J200">
        <f>INDEX('Data - Borrowers'!$B$2:$B$851, MATCH(B200, 'Data - Borrowers'!$A$2:$A$851, 0))</f>
        <v/>
      </c>
      <c r="K200">
        <f>INDEX('Data - Borrowers'!$C$2:$C$851, MATCH(B200, 'Data - Borrowers'!$A$2:$A$851, 0))</f>
        <v/>
      </c>
      <c r="L200">
        <f>IF(D200&lt;100000, "Micro (&lt;100K)", IF(D200&lt;500000, "Small (100K-500K)", "Medium (500K+)"))</f>
        <v/>
      </c>
      <c r="M200">
        <f>TEXT(C200, "yyyy-mm")</f>
        <v/>
      </c>
    </row>
    <row r="201">
      <c r="A201" t="inlineStr">
        <is>
          <t>LN200223</t>
        </is>
      </c>
      <c r="B201" t="inlineStr">
        <is>
          <t>BOR100167</t>
        </is>
      </c>
      <c r="C201" s="8" t="n">
        <v>46065</v>
      </c>
      <c r="D201" s="9" t="n">
        <v>200000</v>
      </c>
      <c r="E201" t="n">
        <v>3</v>
      </c>
      <c r="F201" s="10" t="n">
        <v>0.181</v>
      </c>
      <c r="G201" t="inlineStr">
        <is>
          <t>Working Capital</t>
        </is>
      </c>
      <c r="H201" t="inlineStr">
        <is>
          <t>LO024</t>
        </is>
      </c>
      <c r="I201" t="inlineStr">
        <is>
          <t>Partner Referral</t>
        </is>
      </c>
      <c r="J201">
        <f>INDEX('Data - Borrowers'!$B$2:$B$851, MATCH(B201, 'Data - Borrowers'!$A$2:$A$851, 0))</f>
        <v/>
      </c>
      <c r="K201">
        <f>INDEX('Data - Borrowers'!$C$2:$C$851, MATCH(B201, 'Data - Borrowers'!$A$2:$A$851, 0))</f>
        <v/>
      </c>
      <c r="L201">
        <f>IF(D201&lt;100000, "Micro (&lt;100K)", IF(D201&lt;500000, "Small (100K-500K)", "Medium (500K+)"))</f>
        <v/>
      </c>
      <c r="M201">
        <f>TEXT(C201, "yyyy-mm")</f>
        <v/>
      </c>
    </row>
    <row r="202">
      <c r="A202" t="inlineStr">
        <is>
          <t>LN200224</t>
        </is>
      </c>
      <c r="B202" t="inlineStr">
        <is>
          <t>BOR100168</t>
        </is>
      </c>
      <c r="C202" s="8" t="n">
        <v>46087</v>
      </c>
      <c r="D202" s="9" t="n">
        <v>205000</v>
      </c>
      <c r="E202" t="n">
        <v>6</v>
      </c>
      <c r="F202" s="10" t="n">
        <v>0.221</v>
      </c>
      <c r="G202" t="inlineStr">
        <is>
          <t>Invoice Discounting</t>
        </is>
      </c>
      <c r="H202" t="inlineStr">
        <is>
          <t>LO025</t>
        </is>
      </c>
      <c r="I202" t="inlineStr">
        <is>
          <t>Branch</t>
        </is>
      </c>
      <c r="J202">
        <f>INDEX('Data - Borrowers'!$B$2:$B$851, MATCH(B202, 'Data - Borrowers'!$A$2:$A$851, 0))</f>
        <v/>
      </c>
      <c r="K202">
        <f>INDEX('Data - Borrowers'!$C$2:$C$851, MATCH(B202, 'Data - Borrowers'!$A$2:$A$851, 0))</f>
        <v/>
      </c>
      <c r="L202">
        <f>IF(D202&lt;100000, "Micro (&lt;100K)", IF(D202&lt;500000, "Small (100K-500K)", "Medium (500K+)"))</f>
        <v/>
      </c>
      <c r="M202">
        <f>TEXT(C202, "yyyy-mm")</f>
        <v/>
      </c>
    </row>
    <row r="203">
      <c r="A203" t="inlineStr">
        <is>
          <t>LN200225</t>
        </is>
      </c>
      <c r="B203" t="inlineStr">
        <is>
          <t>BOR100169</t>
        </is>
      </c>
      <c r="C203" s="8" t="n">
        <v>45678</v>
      </c>
      <c r="D203" s="9" t="n">
        <v>36000</v>
      </c>
      <c r="E203" t="n">
        <v>12</v>
      </c>
      <c r="F203" s="10" t="n">
        <v>0.221</v>
      </c>
      <c r="G203" t="inlineStr">
        <is>
          <t>Working Capital</t>
        </is>
      </c>
      <c r="H203" t="inlineStr">
        <is>
          <t>LO024</t>
        </is>
      </c>
      <c r="I203" t="inlineStr">
        <is>
          <t>Mobile App</t>
        </is>
      </c>
      <c r="J203">
        <f>INDEX('Data - Borrowers'!$B$2:$B$851, MATCH(B203, 'Data - Borrowers'!$A$2:$A$851, 0))</f>
        <v/>
      </c>
      <c r="K203">
        <f>INDEX('Data - Borrowers'!$C$2:$C$851, MATCH(B203, 'Data - Borrowers'!$A$2:$A$851, 0))</f>
        <v/>
      </c>
      <c r="L203">
        <f>IF(D203&lt;100000, "Micro (&lt;100K)", IF(D203&lt;500000, "Small (100K-500K)", "Medium (500K+)"))</f>
        <v/>
      </c>
      <c r="M203">
        <f>TEXT(C203, "yyyy-mm")</f>
        <v/>
      </c>
    </row>
    <row r="204">
      <c r="A204" t="inlineStr">
        <is>
          <t>LN200226</t>
        </is>
      </c>
      <c r="B204" t="inlineStr">
        <is>
          <t>BOR100169</t>
        </is>
      </c>
      <c r="C204" s="8" t="n">
        <v>45819</v>
      </c>
      <c r="D204" s="9" t="n">
        <v>79000</v>
      </c>
      <c r="E204" t="n">
        <v>3</v>
      </c>
      <c r="F204" s="10" t="n">
        <v>0.148</v>
      </c>
      <c r="G204" t="inlineStr">
        <is>
          <t>Invoice Discounting</t>
        </is>
      </c>
      <c r="H204" t="inlineStr">
        <is>
          <t>LO010</t>
        </is>
      </c>
      <c r="I204" t="inlineStr">
        <is>
          <t>Mobile App</t>
        </is>
      </c>
      <c r="J204">
        <f>INDEX('Data - Borrowers'!$B$2:$B$851, MATCH(B204, 'Data - Borrowers'!$A$2:$A$851, 0))</f>
        <v/>
      </c>
      <c r="K204">
        <f>INDEX('Data - Borrowers'!$C$2:$C$851, MATCH(B204, 'Data - Borrowers'!$A$2:$A$851, 0))</f>
        <v/>
      </c>
      <c r="L204">
        <f>IF(D204&lt;100000, "Micro (&lt;100K)", IF(D204&lt;500000, "Small (100K-500K)", "Medium (500K+)"))</f>
        <v/>
      </c>
      <c r="M204">
        <f>TEXT(C204, "yyyy-mm")</f>
        <v/>
      </c>
    </row>
    <row r="205">
      <c r="A205" t="inlineStr">
        <is>
          <t>LN200227</t>
        </is>
      </c>
      <c r="B205" t="inlineStr">
        <is>
          <t>BOR100170</t>
        </is>
      </c>
      <c r="C205" s="8" t="n">
        <v>45721</v>
      </c>
      <c r="D205" s="9" t="n">
        <v>104000</v>
      </c>
      <c r="E205" t="n">
        <v>6</v>
      </c>
      <c r="F205" s="10" t="n">
        <v>0.189</v>
      </c>
      <c r="G205" t="inlineStr">
        <is>
          <t>Invoice Discounting</t>
        </is>
      </c>
      <c r="H205" t="inlineStr">
        <is>
          <t>LO003</t>
        </is>
      </c>
      <c r="I205" t="inlineStr">
        <is>
          <t>Branch</t>
        </is>
      </c>
      <c r="J205">
        <f>INDEX('Data - Borrowers'!$B$2:$B$851, MATCH(B205, 'Data - Borrowers'!$A$2:$A$851, 0))</f>
        <v/>
      </c>
      <c r="K205">
        <f>INDEX('Data - Borrowers'!$C$2:$C$851, MATCH(B205, 'Data - Borrowers'!$A$2:$A$851, 0))</f>
        <v/>
      </c>
      <c r="L205">
        <f>IF(D205&lt;100000, "Micro (&lt;100K)", IF(D205&lt;500000, "Small (100K-500K)", "Medium (500K+)"))</f>
        <v/>
      </c>
      <c r="M205">
        <f>TEXT(C205, "yyyy-mm")</f>
        <v/>
      </c>
    </row>
    <row r="206">
      <c r="A206" t="inlineStr">
        <is>
          <t>LN200228</t>
        </is>
      </c>
      <c r="B206" t="inlineStr">
        <is>
          <t>BOR100171</t>
        </is>
      </c>
      <c r="C206" s="8" t="n">
        <v>46093</v>
      </c>
      <c r="D206" s="9" t="n">
        <v>197000</v>
      </c>
      <c r="E206" t="n">
        <v>6</v>
      </c>
      <c r="F206" s="10" t="n">
        <v>0.193</v>
      </c>
      <c r="G206" t="inlineStr">
        <is>
          <t>Asset Finance</t>
        </is>
      </c>
      <c r="H206" t="inlineStr">
        <is>
          <t>LO023</t>
        </is>
      </c>
      <c r="I206" t="inlineStr">
        <is>
          <t>Mobile App</t>
        </is>
      </c>
      <c r="J206">
        <f>INDEX('Data - Borrowers'!$B$2:$B$851, MATCH(B206, 'Data - Borrowers'!$A$2:$A$851, 0))</f>
        <v/>
      </c>
      <c r="K206">
        <f>INDEX('Data - Borrowers'!$C$2:$C$851, MATCH(B206, 'Data - Borrowers'!$A$2:$A$851, 0))</f>
        <v/>
      </c>
      <c r="L206">
        <f>IF(D206&lt;100000, "Micro (&lt;100K)", IF(D206&lt;500000, "Small (100K-500K)", "Medium (500K+)"))</f>
        <v/>
      </c>
      <c r="M206">
        <f>TEXT(C206, "yyyy-mm")</f>
        <v/>
      </c>
    </row>
    <row r="207">
      <c r="A207" t="inlineStr">
        <is>
          <t>LN200229</t>
        </is>
      </c>
      <c r="B207" t="inlineStr">
        <is>
          <t>BOR100172</t>
        </is>
      </c>
      <c r="C207" s="8" t="n">
        <v>45772</v>
      </c>
      <c r="D207" s="9" t="n">
        <v>162000</v>
      </c>
      <c r="E207" t="n">
        <v>18</v>
      </c>
      <c r="F207" s="10" t="n">
        <v>0.218</v>
      </c>
      <c r="G207" t="inlineStr">
        <is>
          <t>Asset Finance</t>
        </is>
      </c>
      <c r="H207" t="inlineStr">
        <is>
          <t>LO012</t>
        </is>
      </c>
      <c r="I207" t="inlineStr">
        <is>
          <t>Branch</t>
        </is>
      </c>
      <c r="J207">
        <f>INDEX('Data - Borrowers'!$B$2:$B$851, MATCH(B207, 'Data - Borrowers'!$A$2:$A$851, 0))</f>
        <v/>
      </c>
      <c r="K207">
        <f>INDEX('Data - Borrowers'!$C$2:$C$851, MATCH(B207, 'Data - Borrowers'!$A$2:$A$851, 0))</f>
        <v/>
      </c>
      <c r="L207">
        <f>IF(D207&lt;100000, "Micro (&lt;100K)", IF(D207&lt;500000, "Small (100K-500K)", "Medium (500K+)"))</f>
        <v/>
      </c>
      <c r="M207">
        <f>TEXT(C207, "yyyy-mm")</f>
        <v/>
      </c>
    </row>
    <row r="208">
      <c r="A208" t="inlineStr">
        <is>
          <t>LN200230</t>
        </is>
      </c>
      <c r="B208" t="inlineStr">
        <is>
          <t>BOR100173</t>
        </is>
      </c>
      <c r="C208" s="8" t="n">
        <v>45796</v>
      </c>
      <c r="D208" s="9" t="n">
        <v>20000</v>
      </c>
      <c r="E208" t="n">
        <v>6</v>
      </c>
      <c r="F208" s="10" t="n">
        <v>0.236</v>
      </c>
      <c r="G208" t="inlineStr">
        <is>
          <t>Working Capital</t>
        </is>
      </c>
      <c r="H208" t="inlineStr">
        <is>
          <t>LO005</t>
        </is>
      </c>
      <c r="I208" t="inlineStr">
        <is>
          <t>Partner Referral</t>
        </is>
      </c>
      <c r="J208">
        <f>INDEX('Data - Borrowers'!$B$2:$B$851, MATCH(B208, 'Data - Borrowers'!$A$2:$A$851, 0))</f>
        <v/>
      </c>
      <c r="K208">
        <f>INDEX('Data - Borrowers'!$C$2:$C$851, MATCH(B208, 'Data - Borrowers'!$A$2:$A$851, 0))</f>
        <v/>
      </c>
      <c r="L208">
        <f>IF(D208&lt;100000, "Micro (&lt;100K)", IF(D208&lt;500000, "Small (100K-500K)", "Medium (500K+)"))</f>
        <v/>
      </c>
      <c r="M208">
        <f>TEXT(C208, "yyyy-mm")</f>
        <v/>
      </c>
    </row>
    <row r="209">
      <c r="A209" t="inlineStr">
        <is>
          <t>LN200231</t>
        </is>
      </c>
      <c r="B209" t="inlineStr">
        <is>
          <t>BOR100173</t>
        </is>
      </c>
      <c r="C209" s="8" t="n">
        <v>46079</v>
      </c>
      <c r="D209" s="9" t="n">
        <v>42000</v>
      </c>
      <c r="E209" t="n">
        <v>9</v>
      </c>
      <c r="F209" s="10" t="n">
        <v>0.216</v>
      </c>
      <c r="G209" t="inlineStr">
        <is>
          <t>Working Capital</t>
        </is>
      </c>
      <c r="H209" t="inlineStr">
        <is>
          <t>LO025</t>
        </is>
      </c>
      <c r="I209" t="inlineStr">
        <is>
          <t>Mobile App</t>
        </is>
      </c>
      <c r="J209">
        <f>INDEX('Data - Borrowers'!$B$2:$B$851, MATCH(B209, 'Data - Borrowers'!$A$2:$A$851, 0))</f>
        <v/>
      </c>
      <c r="K209">
        <f>INDEX('Data - Borrowers'!$C$2:$C$851, MATCH(B209, 'Data - Borrowers'!$A$2:$A$851, 0))</f>
        <v/>
      </c>
      <c r="L209">
        <f>IF(D209&lt;100000, "Micro (&lt;100K)", IF(D209&lt;500000, "Small (100K-500K)", "Medium (500K+)"))</f>
        <v/>
      </c>
      <c r="M209">
        <f>TEXT(C209, "yyyy-mm")</f>
        <v/>
      </c>
    </row>
    <row r="210">
      <c r="A210" t="inlineStr">
        <is>
          <t>LN200232</t>
        </is>
      </c>
      <c r="B210" t="inlineStr">
        <is>
          <t>BOR100174</t>
        </is>
      </c>
      <c r="C210" s="8" t="n">
        <v>46235</v>
      </c>
      <c r="D210" s="9" t="n">
        <v>114000</v>
      </c>
      <c r="E210" t="n">
        <v>3</v>
      </c>
      <c r="F210" s="10" t="n">
        <v>0.122</v>
      </c>
      <c r="G210" t="inlineStr">
        <is>
          <t>Working Capital</t>
        </is>
      </c>
      <c r="H210" t="inlineStr">
        <is>
          <t>LO022</t>
        </is>
      </c>
      <c r="I210" t="inlineStr">
        <is>
          <t>Mobile App</t>
        </is>
      </c>
      <c r="J210">
        <f>INDEX('Data - Borrowers'!$B$2:$B$851, MATCH(B210, 'Data - Borrowers'!$A$2:$A$851, 0))</f>
        <v/>
      </c>
      <c r="K210">
        <f>INDEX('Data - Borrowers'!$C$2:$C$851, MATCH(B210, 'Data - Borrowers'!$A$2:$A$851, 0))</f>
        <v/>
      </c>
      <c r="L210">
        <f>IF(D210&lt;100000, "Micro (&lt;100K)", IF(D210&lt;500000, "Small (100K-500K)", "Medium (500K+)"))</f>
        <v/>
      </c>
      <c r="M210">
        <f>TEXT(C210, "yyyy-mm")</f>
        <v/>
      </c>
    </row>
    <row r="211">
      <c r="A211" t="inlineStr">
        <is>
          <t>LN200233</t>
        </is>
      </c>
      <c r="B211" t="inlineStr">
        <is>
          <t>BOR100175</t>
        </is>
      </c>
      <c r="C211" s="8" t="n">
        <v>45724</v>
      </c>
      <c r="D211" s="9" t="n">
        <v>216000</v>
      </c>
      <c r="E211" t="n">
        <v>3</v>
      </c>
      <c r="F211" s="10" t="n">
        <v>0.147</v>
      </c>
      <c r="G211" t="inlineStr">
        <is>
          <t>Asset Finance</t>
        </is>
      </c>
      <c r="H211" t="inlineStr">
        <is>
          <t>LO014</t>
        </is>
      </c>
      <c r="I211" t="inlineStr">
        <is>
          <t>Mobile App</t>
        </is>
      </c>
      <c r="J211">
        <f>INDEX('Data - Borrowers'!$B$2:$B$851, MATCH(B211, 'Data - Borrowers'!$A$2:$A$851, 0))</f>
        <v/>
      </c>
      <c r="K211">
        <f>INDEX('Data - Borrowers'!$C$2:$C$851, MATCH(B211, 'Data - Borrowers'!$A$2:$A$851, 0))</f>
        <v/>
      </c>
      <c r="L211">
        <f>IF(D211&lt;100000, "Micro (&lt;100K)", IF(D211&lt;500000, "Small (100K-500K)", "Medium (500K+)"))</f>
        <v/>
      </c>
      <c r="M211">
        <f>TEXT(C211, "yyyy-mm")</f>
        <v/>
      </c>
    </row>
    <row r="212">
      <c r="A212" t="inlineStr">
        <is>
          <t>LN200234</t>
        </is>
      </c>
      <c r="B212" t="inlineStr">
        <is>
          <t>BOR100176</t>
        </is>
      </c>
      <c r="C212" s="8" t="n">
        <v>45720</v>
      </c>
      <c r="D212" s="9" t="n">
        <v>54000</v>
      </c>
      <c r="E212" t="n">
        <v>6</v>
      </c>
      <c r="F212" s="10" t="n">
        <v>0.238</v>
      </c>
      <c r="G212" t="inlineStr">
        <is>
          <t>Working Capital</t>
        </is>
      </c>
      <c r="H212" t="inlineStr">
        <is>
          <t>LO019</t>
        </is>
      </c>
      <c r="I212" t="inlineStr">
        <is>
          <t>Mobile App</t>
        </is>
      </c>
      <c r="J212">
        <f>INDEX('Data - Borrowers'!$B$2:$B$851, MATCH(B212, 'Data - Borrowers'!$A$2:$A$851, 0))</f>
        <v/>
      </c>
      <c r="K212">
        <f>INDEX('Data - Borrowers'!$C$2:$C$851, MATCH(B212, 'Data - Borrowers'!$A$2:$A$851, 0))</f>
        <v/>
      </c>
      <c r="L212">
        <f>IF(D212&lt;100000, "Micro (&lt;100K)", IF(D212&lt;500000, "Small (100K-500K)", "Medium (500K+)"))</f>
        <v/>
      </c>
      <c r="M212">
        <f>TEXT(C212, "yyyy-mm")</f>
        <v/>
      </c>
    </row>
    <row r="213">
      <c r="A213" t="inlineStr">
        <is>
          <t>LN200235</t>
        </is>
      </c>
      <c r="B213" t="inlineStr">
        <is>
          <t>BOR100176</t>
        </is>
      </c>
      <c r="C213" s="8" t="n">
        <v>45880</v>
      </c>
      <c r="D213" s="9" t="n">
        <v>146000</v>
      </c>
      <c r="E213" t="n">
        <v>6</v>
      </c>
      <c r="F213" s="10" t="n">
        <v>0.153</v>
      </c>
      <c r="G213" t="inlineStr">
        <is>
          <t>Working Capital</t>
        </is>
      </c>
      <c r="H213" t="inlineStr">
        <is>
          <t>LO022</t>
        </is>
      </c>
      <c r="I213" t="inlineStr">
        <is>
          <t>Mobile App</t>
        </is>
      </c>
      <c r="J213">
        <f>INDEX('Data - Borrowers'!$B$2:$B$851, MATCH(B213, 'Data - Borrowers'!$A$2:$A$851, 0))</f>
        <v/>
      </c>
      <c r="K213">
        <f>INDEX('Data - Borrowers'!$C$2:$C$851, MATCH(B213, 'Data - Borrowers'!$A$2:$A$851, 0))</f>
        <v/>
      </c>
      <c r="L213">
        <f>IF(D213&lt;100000, "Micro (&lt;100K)", IF(D213&lt;500000, "Small (100K-500K)", "Medium (500K+)"))</f>
        <v/>
      </c>
      <c r="M213">
        <f>TEXT(C213, "yyyy-mm")</f>
        <v/>
      </c>
    </row>
    <row r="214">
      <c r="A214" t="inlineStr">
        <is>
          <t>LN200236</t>
        </is>
      </c>
      <c r="B214" t="inlineStr">
        <is>
          <t>BOR100177</t>
        </is>
      </c>
      <c r="C214" s="8" t="n">
        <v>46014</v>
      </c>
      <c r="D214" s="9" t="n">
        <v>127000</v>
      </c>
      <c r="E214" t="n">
        <v>9</v>
      </c>
      <c r="F214" s="10" t="n">
        <v>0.144</v>
      </c>
      <c r="G214" t="inlineStr">
        <is>
          <t>Invoice Discounting</t>
        </is>
      </c>
      <c r="H214" t="inlineStr">
        <is>
          <t>LO001</t>
        </is>
      </c>
      <c r="I214" t="inlineStr">
        <is>
          <t>Branch</t>
        </is>
      </c>
      <c r="J214">
        <f>INDEX('Data - Borrowers'!$B$2:$B$851, MATCH(B214, 'Data - Borrowers'!$A$2:$A$851, 0))</f>
        <v/>
      </c>
      <c r="K214">
        <f>INDEX('Data - Borrowers'!$C$2:$C$851, MATCH(B214, 'Data - Borrowers'!$A$2:$A$851, 0))</f>
        <v/>
      </c>
      <c r="L214">
        <f>IF(D214&lt;100000, "Micro (&lt;100K)", IF(D214&lt;500000, "Small (100K-500K)", "Medium (500K+)"))</f>
        <v/>
      </c>
      <c r="M214">
        <f>TEXT(C214, "yyyy-mm")</f>
        <v/>
      </c>
    </row>
    <row r="215">
      <c r="A215" t="inlineStr">
        <is>
          <t>LN200237</t>
        </is>
      </c>
      <c r="B215" t="inlineStr">
        <is>
          <t>BOR100178</t>
        </is>
      </c>
      <c r="C215" s="8" t="n">
        <v>46009</v>
      </c>
      <c r="D215" s="9" t="n">
        <v>113000</v>
      </c>
      <c r="E215" t="n">
        <v>9</v>
      </c>
      <c r="F215" s="10" t="n">
        <v>0.152</v>
      </c>
      <c r="G215" t="inlineStr">
        <is>
          <t>Invoice Discounting</t>
        </is>
      </c>
      <c r="H215" t="inlineStr">
        <is>
          <t>LO002</t>
        </is>
      </c>
      <c r="I215" t="inlineStr">
        <is>
          <t>Mobile App</t>
        </is>
      </c>
      <c r="J215">
        <f>INDEX('Data - Borrowers'!$B$2:$B$851, MATCH(B215, 'Data - Borrowers'!$A$2:$A$851, 0))</f>
        <v/>
      </c>
      <c r="K215">
        <f>INDEX('Data - Borrowers'!$C$2:$C$851, MATCH(B215, 'Data - Borrowers'!$A$2:$A$851, 0))</f>
        <v/>
      </c>
      <c r="L215">
        <f>IF(D215&lt;100000, "Micro (&lt;100K)", IF(D215&lt;500000, "Small (100K-500K)", "Medium (500K+)"))</f>
        <v/>
      </c>
      <c r="M215">
        <f>TEXT(C215, "yyyy-mm")</f>
        <v/>
      </c>
    </row>
    <row r="216">
      <c r="A216" t="inlineStr">
        <is>
          <t>LN200238</t>
        </is>
      </c>
      <c r="B216" t="inlineStr">
        <is>
          <t>BOR100179</t>
        </is>
      </c>
      <c r="C216" s="8" t="n">
        <v>45846</v>
      </c>
      <c r="D216" s="9" t="n">
        <v>389000</v>
      </c>
      <c r="E216" t="n">
        <v>3</v>
      </c>
      <c r="F216" s="10" t="n">
        <v>0.145</v>
      </c>
      <c r="G216" t="inlineStr">
        <is>
          <t>Working Capital</t>
        </is>
      </c>
      <c r="H216" t="inlineStr">
        <is>
          <t>LO020</t>
        </is>
      </c>
      <c r="I216" t="inlineStr">
        <is>
          <t>Mobile App</t>
        </is>
      </c>
      <c r="J216">
        <f>INDEX('Data - Borrowers'!$B$2:$B$851, MATCH(B216, 'Data - Borrowers'!$A$2:$A$851, 0))</f>
        <v/>
      </c>
      <c r="K216">
        <f>INDEX('Data - Borrowers'!$C$2:$C$851, MATCH(B216, 'Data - Borrowers'!$A$2:$A$851, 0))</f>
        <v/>
      </c>
      <c r="L216">
        <f>IF(D216&lt;100000, "Micro (&lt;100K)", IF(D216&lt;500000, "Small (100K-500K)", "Medium (500K+)"))</f>
        <v/>
      </c>
      <c r="M216">
        <f>TEXT(C216, "yyyy-mm")</f>
        <v/>
      </c>
    </row>
    <row r="217">
      <c r="A217" t="inlineStr">
        <is>
          <t>LN200239</t>
        </is>
      </c>
      <c r="B217" t="inlineStr">
        <is>
          <t>BOR100179</t>
        </is>
      </c>
      <c r="C217" s="8" t="n">
        <v>46162</v>
      </c>
      <c r="D217" s="9" t="n">
        <v>112000</v>
      </c>
      <c r="E217" t="n">
        <v>3</v>
      </c>
      <c r="F217" s="10" t="n">
        <v>0.23</v>
      </c>
      <c r="G217" t="inlineStr">
        <is>
          <t>Working Capital</t>
        </is>
      </c>
      <c r="H217" t="inlineStr">
        <is>
          <t>LO005</t>
        </is>
      </c>
      <c r="I217" t="inlineStr">
        <is>
          <t>Branch</t>
        </is>
      </c>
      <c r="J217">
        <f>INDEX('Data - Borrowers'!$B$2:$B$851, MATCH(B217, 'Data - Borrowers'!$A$2:$A$851, 0))</f>
        <v/>
      </c>
      <c r="K217">
        <f>INDEX('Data - Borrowers'!$C$2:$C$851, MATCH(B217, 'Data - Borrowers'!$A$2:$A$851, 0))</f>
        <v/>
      </c>
      <c r="L217">
        <f>IF(D217&lt;100000, "Micro (&lt;100K)", IF(D217&lt;500000, "Small (100K-500K)", "Medium (500K+)"))</f>
        <v/>
      </c>
      <c r="M217">
        <f>TEXT(C217, "yyyy-mm")</f>
        <v/>
      </c>
    </row>
    <row r="218">
      <c r="A218" t="inlineStr">
        <is>
          <t>LN200240</t>
        </is>
      </c>
      <c r="B218" t="inlineStr">
        <is>
          <t>BOR100180</t>
        </is>
      </c>
      <c r="C218" s="8" t="n">
        <v>45837</v>
      </c>
      <c r="D218" s="9" t="n">
        <v>54000</v>
      </c>
      <c r="E218" t="n">
        <v>6</v>
      </c>
      <c r="F218" s="10" t="n">
        <v>0.165</v>
      </c>
      <c r="G218" t="inlineStr">
        <is>
          <t>Asset Finance</t>
        </is>
      </c>
      <c r="H218" t="inlineStr">
        <is>
          <t>LO004</t>
        </is>
      </c>
      <c r="I218" t="inlineStr">
        <is>
          <t>Partner Referral</t>
        </is>
      </c>
      <c r="J218">
        <f>INDEX('Data - Borrowers'!$B$2:$B$851, MATCH(B218, 'Data - Borrowers'!$A$2:$A$851, 0))</f>
        <v/>
      </c>
      <c r="K218">
        <f>INDEX('Data - Borrowers'!$C$2:$C$851, MATCH(B218, 'Data - Borrowers'!$A$2:$A$851, 0))</f>
        <v/>
      </c>
      <c r="L218">
        <f>IF(D218&lt;100000, "Micro (&lt;100K)", IF(D218&lt;500000, "Small (100K-500K)", "Medium (500K+)"))</f>
        <v/>
      </c>
      <c r="M218">
        <f>TEXT(C218, "yyyy-mm")</f>
        <v/>
      </c>
    </row>
    <row r="219">
      <c r="A219" t="inlineStr">
        <is>
          <t>LN200241</t>
        </is>
      </c>
      <c r="B219" t="inlineStr">
        <is>
          <t>BOR100180</t>
        </is>
      </c>
      <c r="C219" s="8" t="n">
        <v>46129</v>
      </c>
      <c r="D219" s="9" t="n">
        <v>78000</v>
      </c>
      <c r="E219" t="n">
        <v>6</v>
      </c>
      <c r="F219" s="10" t="n">
        <v>0.136</v>
      </c>
      <c r="G219" t="inlineStr">
        <is>
          <t>Working Capital</t>
        </is>
      </c>
      <c r="H219" t="inlineStr">
        <is>
          <t>LO020</t>
        </is>
      </c>
      <c r="I219" t="inlineStr">
        <is>
          <t>Partner Referral</t>
        </is>
      </c>
      <c r="J219">
        <f>INDEX('Data - Borrowers'!$B$2:$B$851, MATCH(B219, 'Data - Borrowers'!$A$2:$A$851, 0))</f>
        <v/>
      </c>
      <c r="K219">
        <f>INDEX('Data - Borrowers'!$C$2:$C$851, MATCH(B219, 'Data - Borrowers'!$A$2:$A$851, 0))</f>
        <v/>
      </c>
      <c r="L219">
        <f>IF(D219&lt;100000, "Micro (&lt;100K)", IF(D219&lt;500000, "Small (100K-500K)", "Medium (500K+)"))</f>
        <v/>
      </c>
      <c r="M219">
        <f>TEXT(C219, "yyyy-mm")</f>
        <v/>
      </c>
    </row>
    <row r="220">
      <c r="A220" t="inlineStr">
        <is>
          <t>LN200243</t>
        </is>
      </c>
      <c r="B220" t="inlineStr">
        <is>
          <t>BOR100181</t>
        </is>
      </c>
      <c r="C220" s="8" t="n">
        <v>45805</v>
      </c>
      <c r="D220" s="9" t="n">
        <v>40000</v>
      </c>
      <c r="E220" t="n">
        <v>6</v>
      </c>
      <c r="F220" s="10" t="n">
        <v>0.221</v>
      </c>
      <c r="G220" t="inlineStr">
        <is>
          <t>Invoice Discounting</t>
        </is>
      </c>
      <c r="H220" t="inlineStr">
        <is>
          <t>LO001</t>
        </is>
      </c>
      <c r="I220" t="inlineStr">
        <is>
          <t>Mobile App</t>
        </is>
      </c>
      <c r="J220">
        <f>INDEX('Data - Borrowers'!$B$2:$B$851, MATCH(B220, 'Data - Borrowers'!$A$2:$A$851, 0))</f>
        <v/>
      </c>
      <c r="K220">
        <f>INDEX('Data - Borrowers'!$C$2:$C$851, MATCH(B220, 'Data - Borrowers'!$A$2:$A$851, 0))</f>
        <v/>
      </c>
      <c r="L220">
        <f>IF(D220&lt;100000, "Micro (&lt;100K)", IF(D220&lt;500000, "Small (100K-500K)", "Medium (500K+)"))</f>
        <v/>
      </c>
      <c r="M220">
        <f>TEXT(C220, "yyyy-mm")</f>
        <v/>
      </c>
    </row>
    <row r="221">
      <c r="A221" t="inlineStr">
        <is>
          <t>LN200244</t>
        </is>
      </c>
      <c r="B221" t="inlineStr">
        <is>
          <t>BOR100181</t>
        </is>
      </c>
      <c r="C221" s="8" t="n">
        <v>46125</v>
      </c>
      <c r="D221" s="9" t="n">
        <v>36000</v>
      </c>
      <c r="E221" t="n">
        <v>9</v>
      </c>
      <c r="F221" s="10" t="n">
        <v>0.172</v>
      </c>
      <c r="G221" t="inlineStr">
        <is>
          <t>Working Capital</t>
        </is>
      </c>
      <c r="H221" t="inlineStr">
        <is>
          <t>LO013</t>
        </is>
      </c>
      <c r="I221" t="inlineStr">
        <is>
          <t>Partner Referral</t>
        </is>
      </c>
      <c r="J221">
        <f>INDEX('Data - Borrowers'!$B$2:$B$851, MATCH(B221, 'Data - Borrowers'!$A$2:$A$851, 0))</f>
        <v/>
      </c>
      <c r="K221">
        <f>INDEX('Data - Borrowers'!$C$2:$C$851, MATCH(B221, 'Data - Borrowers'!$A$2:$A$851, 0))</f>
        <v/>
      </c>
      <c r="L221">
        <f>IF(D221&lt;100000, "Micro (&lt;100K)", IF(D221&lt;500000, "Small (100K-500K)", "Medium (500K+)"))</f>
        <v/>
      </c>
      <c r="M221">
        <f>TEXT(C221, "yyyy-mm")</f>
        <v/>
      </c>
    </row>
    <row r="222">
      <c r="A222" t="inlineStr">
        <is>
          <t>LN200245</t>
        </is>
      </c>
      <c r="B222" t="inlineStr">
        <is>
          <t>BOR100182</t>
        </is>
      </c>
      <c r="C222" s="8" t="n">
        <v>45716</v>
      </c>
      <c r="D222" s="9" t="n">
        <v>111000</v>
      </c>
      <c r="E222" t="n">
        <v>12</v>
      </c>
      <c r="F222" s="10" t="n">
        <v>0.219</v>
      </c>
      <c r="G222" t="inlineStr">
        <is>
          <t>Asset Finance</t>
        </is>
      </c>
      <c r="H222" t="inlineStr">
        <is>
          <t>LO012</t>
        </is>
      </c>
      <c r="I222" t="inlineStr">
        <is>
          <t>Mobile App</t>
        </is>
      </c>
      <c r="J222">
        <f>INDEX('Data - Borrowers'!$B$2:$B$851, MATCH(B222, 'Data - Borrowers'!$A$2:$A$851, 0))</f>
        <v/>
      </c>
      <c r="K222">
        <f>INDEX('Data - Borrowers'!$C$2:$C$851, MATCH(B222, 'Data - Borrowers'!$A$2:$A$851, 0))</f>
        <v/>
      </c>
      <c r="L222">
        <f>IF(D222&lt;100000, "Micro (&lt;100K)", IF(D222&lt;500000, "Small (100K-500K)", "Medium (500K+)"))</f>
        <v/>
      </c>
      <c r="M222">
        <f>TEXT(C222, "yyyy-mm")</f>
        <v/>
      </c>
    </row>
    <row r="223">
      <c r="A223" t="inlineStr">
        <is>
          <t>LN200246</t>
        </is>
      </c>
      <c r="B223" t="inlineStr">
        <is>
          <t>BOR100183</t>
        </is>
      </c>
      <c r="C223" s="8" t="n">
        <v>45673</v>
      </c>
      <c r="D223" s="9" t="n">
        <v>177000</v>
      </c>
      <c r="E223" t="n">
        <v>9</v>
      </c>
      <c r="F223" s="10" t="n">
        <v>0.174</v>
      </c>
      <c r="G223" t="inlineStr">
        <is>
          <t>Invoice Discounting</t>
        </is>
      </c>
      <c r="H223" t="inlineStr">
        <is>
          <t>LO024</t>
        </is>
      </c>
      <c r="I223" t="inlineStr">
        <is>
          <t>Mobile App</t>
        </is>
      </c>
      <c r="J223">
        <f>INDEX('Data - Borrowers'!$B$2:$B$851, MATCH(B223, 'Data - Borrowers'!$A$2:$A$851, 0))</f>
        <v/>
      </c>
      <c r="K223">
        <f>INDEX('Data - Borrowers'!$C$2:$C$851, MATCH(B223, 'Data - Borrowers'!$A$2:$A$851, 0))</f>
        <v/>
      </c>
      <c r="L223">
        <f>IF(D223&lt;100000, "Micro (&lt;100K)", IF(D223&lt;500000, "Small (100K-500K)", "Medium (500K+)"))</f>
        <v/>
      </c>
      <c r="M223">
        <f>TEXT(C223, "yyyy-mm")</f>
        <v/>
      </c>
    </row>
    <row r="224">
      <c r="A224" t="inlineStr">
        <is>
          <t>LN200247</t>
        </is>
      </c>
      <c r="B224" t="inlineStr">
        <is>
          <t>BOR100184</t>
        </is>
      </c>
      <c r="C224" s="8" t="n">
        <v>46167</v>
      </c>
      <c r="D224" s="9" t="n">
        <v>28000</v>
      </c>
      <c r="E224" t="n">
        <v>6</v>
      </c>
      <c r="F224" s="10" t="n">
        <v>0.135</v>
      </c>
      <c r="G224" t="inlineStr">
        <is>
          <t>Working Capital</t>
        </is>
      </c>
      <c r="H224" t="inlineStr">
        <is>
          <t>LO021</t>
        </is>
      </c>
      <c r="I224" t="inlineStr">
        <is>
          <t>Branch</t>
        </is>
      </c>
      <c r="J224">
        <f>INDEX('Data - Borrowers'!$B$2:$B$851, MATCH(B224, 'Data - Borrowers'!$A$2:$A$851, 0))</f>
        <v/>
      </c>
      <c r="K224">
        <f>INDEX('Data - Borrowers'!$C$2:$C$851, MATCH(B224, 'Data - Borrowers'!$A$2:$A$851, 0))</f>
        <v/>
      </c>
      <c r="L224">
        <f>IF(D224&lt;100000, "Micro (&lt;100K)", IF(D224&lt;500000, "Small (100K-500K)", "Medium (500K+)"))</f>
        <v/>
      </c>
      <c r="M224">
        <f>TEXT(C224, "yyyy-mm")</f>
        <v/>
      </c>
    </row>
    <row r="225">
      <c r="A225" t="inlineStr">
        <is>
          <t>LN200249</t>
        </is>
      </c>
      <c r="B225" t="inlineStr">
        <is>
          <t>BOR100185</t>
        </is>
      </c>
      <c r="C225" s="8" t="n">
        <v>45979</v>
      </c>
      <c r="D225" s="9" t="n">
        <v>21000</v>
      </c>
      <c r="E225" t="n">
        <v>18</v>
      </c>
      <c r="F225" s="10" t="n">
        <v>0.175</v>
      </c>
      <c r="G225" t="inlineStr">
        <is>
          <t>Asset Finance</t>
        </is>
      </c>
      <c r="H225" t="inlineStr">
        <is>
          <t>LO023</t>
        </is>
      </c>
      <c r="I225" t="inlineStr">
        <is>
          <t>Mobile App</t>
        </is>
      </c>
      <c r="J225">
        <f>INDEX('Data - Borrowers'!$B$2:$B$851, MATCH(B225, 'Data - Borrowers'!$A$2:$A$851, 0))</f>
        <v/>
      </c>
      <c r="K225">
        <f>INDEX('Data - Borrowers'!$C$2:$C$851, MATCH(B225, 'Data - Borrowers'!$A$2:$A$851, 0))</f>
        <v/>
      </c>
      <c r="L225">
        <f>IF(D225&lt;100000, "Micro (&lt;100K)", IF(D225&lt;500000, "Small (100K-500K)", "Medium (500K+)"))</f>
        <v/>
      </c>
      <c r="M225">
        <f>TEXT(C225, "yyyy-mm")</f>
        <v/>
      </c>
    </row>
    <row r="226">
      <c r="A226" t="inlineStr">
        <is>
          <t>LN200250</t>
        </is>
      </c>
      <c r="B226" t="inlineStr">
        <is>
          <t>BOR100186</t>
        </is>
      </c>
      <c r="C226" s="8" t="n">
        <v>45943</v>
      </c>
      <c r="D226" s="9" t="n">
        <v>20000</v>
      </c>
      <c r="E226" t="n">
        <v>3</v>
      </c>
      <c r="F226" s="10" t="n">
        <v>0.223</v>
      </c>
      <c r="G226" t="inlineStr">
        <is>
          <t>Asset Finance</t>
        </is>
      </c>
      <c r="H226" t="inlineStr">
        <is>
          <t>LO023</t>
        </is>
      </c>
      <c r="I226" t="inlineStr">
        <is>
          <t>Branch</t>
        </is>
      </c>
      <c r="J226">
        <f>INDEX('Data - Borrowers'!$B$2:$B$851, MATCH(B226, 'Data - Borrowers'!$A$2:$A$851, 0))</f>
        <v/>
      </c>
      <c r="K226">
        <f>INDEX('Data - Borrowers'!$C$2:$C$851, MATCH(B226, 'Data - Borrowers'!$A$2:$A$851, 0))</f>
        <v/>
      </c>
      <c r="L226">
        <f>IF(D226&lt;100000, "Micro (&lt;100K)", IF(D226&lt;500000, "Small (100K-500K)", "Medium (500K+)"))</f>
        <v/>
      </c>
      <c r="M226">
        <f>TEXT(C226, "yyyy-mm")</f>
        <v/>
      </c>
    </row>
    <row r="227">
      <c r="A227" t="inlineStr">
        <is>
          <t>LN200251</t>
        </is>
      </c>
      <c r="B227" t="inlineStr">
        <is>
          <t>BOR100187</t>
        </is>
      </c>
      <c r="C227" s="8" t="n">
        <v>45837</v>
      </c>
      <c r="D227" s="9" t="n">
        <v>144000</v>
      </c>
      <c r="E227" t="n">
        <v>9</v>
      </c>
      <c r="F227" s="10" t="n">
        <v>0.195</v>
      </c>
      <c r="G227" t="inlineStr">
        <is>
          <t>Invoice Discounting</t>
        </is>
      </c>
      <c r="H227" t="inlineStr">
        <is>
          <t>LO010</t>
        </is>
      </c>
      <c r="I227" t="inlineStr">
        <is>
          <t>Mobile App</t>
        </is>
      </c>
      <c r="J227">
        <f>INDEX('Data - Borrowers'!$B$2:$B$851, MATCH(B227, 'Data - Borrowers'!$A$2:$A$851, 0))</f>
        <v/>
      </c>
      <c r="K227">
        <f>INDEX('Data - Borrowers'!$C$2:$C$851, MATCH(B227, 'Data - Borrowers'!$A$2:$A$851, 0))</f>
        <v/>
      </c>
      <c r="L227">
        <f>IF(D227&lt;100000, "Micro (&lt;100K)", IF(D227&lt;500000, "Small (100K-500K)", "Medium (500K+)"))</f>
        <v/>
      </c>
      <c r="M227">
        <f>TEXT(C227, "yyyy-mm")</f>
        <v/>
      </c>
    </row>
    <row r="228">
      <c r="A228" t="inlineStr">
        <is>
          <t>LN200252</t>
        </is>
      </c>
      <c r="B228" t="inlineStr">
        <is>
          <t>BOR100188</t>
        </is>
      </c>
      <c r="C228" s="8" t="n">
        <v>45917</v>
      </c>
      <c r="D228" s="9" t="n">
        <v>41000</v>
      </c>
      <c r="E228" t="n">
        <v>3</v>
      </c>
      <c r="F228" s="10" t="n">
        <v>0.167</v>
      </c>
      <c r="G228" t="inlineStr">
        <is>
          <t>Working Capital</t>
        </is>
      </c>
      <c r="H228" t="inlineStr">
        <is>
          <t>LO009</t>
        </is>
      </c>
      <c r="I228" t="inlineStr">
        <is>
          <t>Mobile App</t>
        </is>
      </c>
      <c r="J228">
        <f>INDEX('Data - Borrowers'!$B$2:$B$851, MATCH(B228, 'Data - Borrowers'!$A$2:$A$851, 0))</f>
        <v/>
      </c>
      <c r="K228">
        <f>INDEX('Data - Borrowers'!$C$2:$C$851, MATCH(B228, 'Data - Borrowers'!$A$2:$A$851, 0))</f>
        <v/>
      </c>
      <c r="L228">
        <f>IF(D228&lt;100000, "Micro (&lt;100K)", IF(D228&lt;500000, "Small (100K-500K)", "Medium (500K+)"))</f>
        <v/>
      </c>
      <c r="M228">
        <f>TEXT(C228, "yyyy-mm")</f>
        <v/>
      </c>
    </row>
    <row r="229">
      <c r="A229" t="inlineStr">
        <is>
          <t>LN200253</t>
        </is>
      </c>
      <c r="B229" t="inlineStr">
        <is>
          <t>BOR100189</t>
        </is>
      </c>
      <c r="C229" s="8" t="n">
        <v>45677</v>
      </c>
      <c r="D229" s="9" t="n">
        <v>80000</v>
      </c>
      <c r="E229" t="n">
        <v>12</v>
      </c>
      <c r="F229" s="10" t="n">
        <v>0.222</v>
      </c>
      <c r="G229" t="inlineStr">
        <is>
          <t>Asset Finance</t>
        </is>
      </c>
      <c r="H229" t="inlineStr">
        <is>
          <t>LO006</t>
        </is>
      </c>
      <c r="I229" t="inlineStr">
        <is>
          <t>Mobile App</t>
        </is>
      </c>
      <c r="J229">
        <f>INDEX('Data - Borrowers'!$B$2:$B$851, MATCH(B229, 'Data - Borrowers'!$A$2:$A$851, 0))</f>
        <v/>
      </c>
      <c r="K229">
        <f>INDEX('Data - Borrowers'!$C$2:$C$851, MATCH(B229, 'Data - Borrowers'!$A$2:$A$851, 0))</f>
        <v/>
      </c>
      <c r="L229">
        <f>IF(D229&lt;100000, "Micro (&lt;100K)", IF(D229&lt;500000, "Small (100K-500K)", "Medium (500K+)"))</f>
        <v/>
      </c>
      <c r="M229">
        <f>TEXT(C229, "yyyy-mm")</f>
        <v/>
      </c>
    </row>
    <row r="230">
      <c r="A230" t="inlineStr">
        <is>
          <t>LN200254</t>
        </is>
      </c>
      <c r="B230" t="inlineStr">
        <is>
          <t>BOR100189</t>
        </is>
      </c>
      <c r="C230" s="8" t="n">
        <v>46098</v>
      </c>
      <c r="D230" s="9" t="n">
        <v>103000</v>
      </c>
      <c r="E230" t="n">
        <v>9</v>
      </c>
      <c r="F230" s="10" t="n">
        <v>0.16</v>
      </c>
      <c r="G230" t="inlineStr">
        <is>
          <t>Working Capital</t>
        </is>
      </c>
      <c r="H230" t="inlineStr">
        <is>
          <t>LO025</t>
        </is>
      </c>
      <c r="I230" t="inlineStr">
        <is>
          <t>Branch</t>
        </is>
      </c>
      <c r="J230">
        <f>INDEX('Data - Borrowers'!$B$2:$B$851, MATCH(B230, 'Data - Borrowers'!$A$2:$A$851, 0))</f>
        <v/>
      </c>
      <c r="K230">
        <f>INDEX('Data - Borrowers'!$C$2:$C$851, MATCH(B230, 'Data - Borrowers'!$A$2:$A$851, 0))</f>
        <v/>
      </c>
      <c r="L230">
        <f>IF(D230&lt;100000, "Micro (&lt;100K)", IF(D230&lt;500000, "Small (100K-500K)", "Medium (500K+)"))</f>
        <v/>
      </c>
      <c r="M230">
        <f>TEXT(C230, "yyyy-mm")</f>
        <v/>
      </c>
    </row>
    <row r="231">
      <c r="A231" t="inlineStr">
        <is>
          <t>LN200255</t>
        </is>
      </c>
      <c r="B231" t="inlineStr">
        <is>
          <t>BOR100190</t>
        </is>
      </c>
      <c r="C231" s="8" t="n">
        <v>45834</v>
      </c>
      <c r="D231" s="9" t="n">
        <v>78000</v>
      </c>
      <c r="E231" t="n">
        <v>3</v>
      </c>
      <c r="F231" s="10" t="n">
        <v>0.193</v>
      </c>
      <c r="G231" t="inlineStr">
        <is>
          <t>Working Capital</t>
        </is>
      </c>
      <c r="H231" t="inlineStr">
        <is>
          <t>LO002</t>
        </is>
      </c>
      <c r="I231" t="inlineStr">
        <is>
          <t>Branch</t>
        </is>
      </c>
      <c r="J231">
        <f>INDEX('Data - Borrowers'!$B$2:$B$851, MATCH(B231, 'Data - Borrowers'!$A$2:$A$851, 0))</f>
        <v/>
      </c>
      <c r="K231">
        <f>INDEX('Data - Borrowers'!$C$2:$C$851, MATCH(B231, 'Data - Borrowers'!$A$2:$A$851, 0))</f>
        <v/>
      </c>
      <c r="L231">
        <f>IF(D231&lt;100000, "Micro (&lt;100K)", IF(D231&lt;500000, "Small (100K-500K)", "Medium (500K+)"))</f>
        <v/>
      </c>
      <c r="M231">
        <f>TEXT(C231, "yyyy-mm")</f>
        <v/>
      </c>
    </row>
    <row r="232">
      <c r="A232" t="inlineStr">
        <is>
          <t>LN200256</t>
        </is>
      </c>
      <c r="B232" t="inlineStr">
        <is>
          <t>BOR100191</t>
        </is>
      </c>
      <c r="C232" s="8" t="n">
        <v>45722</v>
      </c>
      <c r="D232" s="9" t="n">
        <v>85000</v>
      </c>
      <c r="E232" t="n">
        <v>6</v>
      </c>
      <c r="F232" s="10" t="n">
        <v>0.229</v>
      </c>
      <c r="G232" t="inlineStr">
        <is>
          <t>Working Capital</t>
        </is>
      </c>
      <c r="H232" t="inlineStr">
        <is>
          <t>LO018</t>
        </is>
      </c>
      <c r="I232" t="inlineStr">
        <is>
          <t>Mobile App</t>
        </is>
      </c>
      <c r="J232">
        <f>INDEX('Data - Borrowers'!$B$2:$B$851, MATCH(B232, 'Data - Borrowers'!$A$2:$A$851, 0))</f>
        <v/>
      </c>
      <c r="K232">
        <f>INDEX('Data - Borrowers'!$C$2:$C$851, MATCH(B232, 'Data - Borrowers'!$A$2:$A$851, 0))</f>
        <v/>
      </c>
      <c r="L232">
        <f>IF(D232&lt;100000, "Micro (&lt;100K)", IF(D232&lt;500000, "Small (100K-500K)", "Medium (500K+)"))</f>
        <v/>
      </c>
      <c r="M232">
        <f>TEXT(C232, "yyyy-mm")</f>
        <v/>
      </c>
    </row>
    <row r="233">
      <c r="A233" t="inlineStr">
        <is>
          <t>LN200257</t>
        </is>
      </c>
      <c r="B233" t="inlineStr">
        <is>
          <t>BOR100192</t>
        </is>
      </c>
      <c r="C233" s="8" t="n">
        <v>45867</v>
      </c>
      <c r="D233" s="9" t="n">
        <v>79000</v>
      </c>
      <c r="E233" t="n">
        <v>6</v>
      </c>
      <c r="F233" s="10" t="n">
        <v>0.125</v>
      </c>
      <c r="G233" t="inlineStr">
        <is>
          <t>Invoice Discounting</t>
        </is>
      </c>
      <c r="H233" t="inlineStr">
        <is>
          <t>LO020</t>
        </is>
      </c>
      <c r="I233" t="inlineStr">
        <is>
          <t>Branch</t>
        </is>
      </c>
      <c r="J233">
        <f>INDEX('Data - Borrowers'!$B$2:$B$851, MATCH(B233, 'Data - Borrowers'!$A$2:$A$851, 0))</f>
        <v/>
      </c>
      <c r="K233">
        <f>INDEX('Data - Borrowers'!$C$2:$C$851, MATCH(B233, 'Data - Borrowers'!$A$2:$A$851, 0))</f>
        <v/>
      </c>
      <c r="L233">
        <f>IF(D233&lt;100000, "Micro (&lt;100K)", IF(D233&lt;500000, "Small (100K-500K)", "Medium (500K+)"))</f>
        <v/>
      </c>
      <c r="M233">
        <f>TEXT(C233, "yyyy-mm")</f>
        <v/>
      </c>
    </row>
    <row r="234">
      <c r="A234" t="inlineStr">
        <is>
          <t>LN200258</t>
        </is>
      </c>
      <c r="B234" t="inlineStr">
        <is>
          <t>BOR100193</t>
        </is>
      </c>
      <c r="C234" s="8" t="n">
        <v>46212</v>
      </c>
      <c r="D234" s="9" t="n">
        <v>114000</v>
      </c>
      <c r="E234" t="n">
        <v>9</v>
      </c>
      <c r="F234" s="10" t="n">
        <v>0.177</v>
      </c>
      <c r="G234" t="inlineStr">
        <is>
          <t>Working Capital</t>
        </is>
      </c>
      <c r="H234" t="inlineStr">
        <is>
          <t>LO017</t>
        </is>
      </c>
      <c r="I234" t="inlineStr">
        <is>
          <t>Partner Referral</t>
        </is>
      </c>
      <c r="J234">
        <f>INDEX('Data - Borrowers'!$B$2:$B$851, MATCH(B234, 'Data - Borrowers'!$A$2:$A$851, 0))</f>
        <v/>
      </c>
      <c r="K234">
        <f>INDEX('Data - Borrowers'!$C$2:$C$851, MATCH(B234, 'Data - Borrowers'!$A$2:$A$851, 0))</f>
        <v/>
      </c>
      <c r="L234">
        <f>IF(D234&lt;100000, "Micro (&lt;100K)", IF(D234&lt;500000, "Small (100K-500K)", "Medium (500K+)"))</f>
        <v/>
      </c>
      <c r="M234">
        <f>TEXT(C234, "yyyy-mm")</f>
        <v/>
      </c>
    </row>
    <row r="235">
      <c r="A235" t="inlineStr">
        <is>
          <t>LN200260</t>
        </is>
      </c>
      <c r="B235" t="inlineStr">
        <is>
          <t>BOR100194</t>
        </is>
      </c>
      <c r="C235" s="8" t="n">
        <v>45884</v>
      </c>
      <c r="D235" s="9" t="n">
        <v>253000</v>
      </c>
      <c r="E235" t="n">
        <v>6</v>
      </c>
      <c r="F235" s="10" t="n">
        <v>0.182</v>
      </c>
      <c r="G235" t="inlineStr">
        <is>
          <t>Asset Finance</t>
        </is>
      </c>
      <c r="H235" t="inlineStr">
        <is>
          <t>LO014</t>
        </is>
      </c>
      <c r="I235" t="inlineStr">
        <is>
          <t>Mobile App</t>
        </is>
      </c>
      <c r="J235">
        <f>INDEX('Data - Borrowers'!$B$2:$B$851, MATCH(B235, 'Data - Borrowers'!$A$2:$A$851, 0))</f>
        <v/>
      </c>
      <c r="K235">
        <f>INDEX('Data - Borrowers'!$C$2:$C$851, MATCH(B235, 'Data - Borrowers'!$A$2:$A$851, 0))</f>
        <v/>
      </c>
      <c r="L235">
        <f>IF(D235&lt;100000, "Micro (&lt;100K)", IF(D235&lt;500000, "Small (100K-500K)", "Medium (500K+)"))</f>
        <v/>
      </c>
      <c r="M235">
        <f>TEXT(C235, "yyyy-mm")</f>
        <v/>
      </c>
    </row>
    <row r="236">
      <c r="A236" t="inlineStr">
        <is>
          <t>LN200261</t>
        </is>
      </c>
      <c r="B236" t="inlineStr">
        <is>
          <t>BOR100195</t>
        </is>
      </c>
      <c r="C236" s="8" t="n">
        <v>45880</v>
      </c>
      <c r="D236" s="9" t="n">
        <v>117000</v>
      </c>
      <c r="E236" t="n">
        <v>9</v>
      </c>
      <c r="F236" s="10" t="n">
        <v>0.166</v>
      </c>
      <c r="G236" t="inlineStr">
        <is>
          <t>Working Capital</t>
        </is>
      </c>
      <c r="H236" t="inlineStr">
        <is>
          <t>LO015</t>
        </is>
      </c>
      <c r="I236" t="inlineStr">
        <is>
          <t>Mobile App</t>
        </is>
      </c>
      <c r="J236">
        <f>INDEX('Data - Borrowers'!$B$2:$B$851, MATCH(B236, 'Data - Borrowers'!$A$2:$A$851, 0))</f>
        <v/>
      </c>
      <c r="K236">
        <f>INDEX('Data - Borrowers'!$C$2:$C$851, MATCH(B236, 'Data - Borrowers'!$A$2:$A$851, 0))</f>
        <v/>
      </c>
      <c r="L236">
        <f>IF(D236&lt;100000, "Micro (&lt;100K)", IF(D236&lt;500000, "Small (100K-500K)", "Medium (500K+)"))</f>
        <v/>
      </c>
      <c r="M236">
        <f>TEXT(C236, "yyyy-mm")</f>
        <v/>
      </c>
    </row>
    <row r="237">
      <c r="A237" t="inlineStr">
        <is>
          <t>LN200262</t>
        </is>
      </c>
      <c r="B237" t="inlineStr">
        <is>
          <t>BOR100196</t>
        </is>
      </c>
      <c r="C237" s="8" t="n">
        <v>46014</v>
      </c>
      <c r="D237" s="9" t="n">
        <v>78000</v>
      </c>
      <c r="E237" t="n">
        <v>6</v>
      </c>
      <c r="F237" s="10" t="n">
        <v>0.211</v>
      </c>
      <c r="G237" t="inlineStr">
        <is>
          <t>Working Capital</t>
        </is>
      </c>
      <c r="H237" t="inlineStr">
        <is>
          <t>LO007</t>
        </is>
      </c>
      <c r="I237" t="inlineStr">
        <is>
          <t>Mobile App</t>
        </is>
      </c>
      <c r="J237">
        <f>INDEX('Data - Borrowers'!$B$2:$B$851, MATCH(B237, 'Data - Borrowers'!$A$2:$A$851, 0))</f>
        <v/>
      </c>
      <c r="K237">
        <f>INDEX('Data - Borrowers'!$C$2:$C$851, MATCH(B237, 'Data - Borrowers'!$A$2:$A$851, 0))</f>
        <v/>
      </c>
      <c r="L237">
        <f>IF(D237&lt;100000, "Micro (&lt;100K)", IF(D237&lt;500000, "Small (100K-500K)", "Medium (500K+)"))</f>
        <v/>
      </c>
      <c r="M237">
        <f>TEXT(C237, "yyyy-mm")</f>
        <v/>
      </c>
    </row>
    <row r="238">
      <c r="A238" t="inlineStr">
        <is>
          <t>LN200263</t>
        </is>
      </c>
      <c r="B238" t="inlineStr">
        <is>
          <t>BOR100197</t>
        </is>
      </c>
      <c r="C238" s="8" t="n">
        <v>46147</v>
      </c>
      <c r="D238" s="9" t="n">
        <v>102000</v>
      </c>
      <c r="E238" t="n">
        <v>9</v>
      </c>
      <c r="F238" s="10" t="n">
        <v>0.187</v>
      </c>
      <c r="G238" t="inlineStr">
        <is>
          <t>Asset Finance</t>
        </is>
      </c>
      <c r="H238" t="inlineStr">
        <is>
          <t>LO013</t>
        </is>
      </c>
      <c r="I238" t="inlineStr">
        <is>
          <t>Mobile App</t>
        </is>
      </c>
      <c r="J238">
        <f>INDEX('Data - Borrowers'!$B$2:$B$851, MATCH(B238, 'Data - Borrowers'!$A$2:$A$851, 0))</f>
        <v/>
      </c>
      <c r="K238">
        <f>INDEX('Data - Borrowers'!$C$2:$C$851, MATCH(B238, 'Data - Borrowers'!$A$2:$A$851, 0))</f>
        <v/>
      </c>
      <c r="L238">
        <f>IF(D238&lt;100000, "Micro (&lt;100K)", IF(D238&lt;500000, "Small (100K-500K)", "Medium (500K+)"))</f>
        <v/>
      </c>
      <c r="M238">
        <f>TEXT(C238, "yyyy-mm")</f>
        <v/>
      </c>
    </row>
    <row r="239">
      <c r="A239" t="inlineStr">
        <is>
          <t>LN200264</t>
        </is>
      </c>
      <c r="B239" t="inlineStr">
        <is>
          <t>BOR100198</t>
        </is>
      </c>
      <c r="C239" s="8" t="n">
        <v>46104</v>
      </c>
      <c r="D239" s="9" t="n">
        <v>247000</v>
      </c>
      <c r="E239" t="n">
        <v>6</v>
      </c>
      <c r="F239" s="10" t="n">
        <v>0.179</v>
      </c>
      <c r="G239" t="inlineStr">
        <is>
          <t>Working Capital</t>
        </is>
      </c>
      <c r="H239" t="inlineStr">
        <is>
          <t>LO022</t>
        </is>
      </c>
      <c r="I239" t="inlineStr">
        <is>
          <t>Partner Referral</t>
        </is>
      </c>
      <c r="J239">
        <f>INDEX('Data - Borrowers'!$B$2:$B$851, MATCH(B239, 'Data - Borrowers'!$A$2:$A$851, 0))</f>
        <v/>
      </c>
      <c r="K239">
        <f>INDEX('Data - Borrowers'!$C$2:$C$851, MATCH(B239, 'Data - Borrowers'!$A$2:$A$851, 0))</f>
        <v/>
      </c>
      <c r="L239">
        <f>IF(D239&lt;100000, "Micro (&lt;100K)", IF(D239&lt;500000, "Small (100K-500K)", "Medium (500K+)"))</f>
        <v/>
      </c>
      <c r="M239">
        <f>TEXT(C239, "yyyy-mm")</f>
        <v/>
      </c>
    </row>
    <row r="240">
      <c r="A240" t="inlineStr">
        <is>
          <t>LN200265</t>
        </is>
      </c>
      <c r="B240" t="inlineStr">
        <is>
          <t>BOR100199</t>
        </is>
      </c>
      <c r="C240" s="8" t="n">
        <v>45877</v>
      </c>
      <c r="D240" s="9" t="n">
        <v>118000</v>
      </c>
      <c r="E240" t="n">
        <v>18</v>
      </c>
      <c r="F240" s="10" t="n">
        <v>0.215</v>
      </c>
      <c r="G240" t="inlineStr">
        <is>
          <t>Working Capital</t>
        </is>
      </c>
      <c r="H240" t="inlineStr">
        <is>
          <t>LO020</t>
        </is>
      </c>
      <c r="I240" t="inlineStr">
        <is>
          <t>Mobile App</t>
        </is>
      </c>
      <c r="J240">
        <f>INDEX('Data - Borrowers'!$B$2:$B$851, MATCH(B240, 'Data - Borrowers'!$A$2:$A$851, 0))</f>
        <v/>
      </c>
      <c r="K240">
        <f>INDEX('Data - Borrowers'!$C$2:$C$851, MATCH(B240, 'Data - Borrowers'!$A$2:$A$851, 0))</f>
        <v/>
      </c>
      <c r="L240">
        <f>IF(D240&lt;100000, "Micro (&lt;100K)", IF(D240&lt;500000, "Small (100K-500K)", "Medium (500K+)"))</f>
        <v/>
      </c>
      <c r="M240">
        <f>TEXT(C240, "yyyy-mm")</f>
        <v/>
      </c>
    </row>
    <row r="241">
      <c r="A241" t="inlineStr">
        <is>
          <t>LN200266</t>
        </is>
      </c>
      <c r="B241" t="inlineStr">
        <is>
          <t>BOR100199</t>
        </is>
      </c>
      <c r="C241" s="8" t="n">
        <v>45988</v>
      </c>
      <c r="D241" s="9" t="n">
        <v>80000</v>
      </c>
      <c r="E241" t="n">
        <v>6</v>
      </c>
      <c r="F241" s="10" t="n">
        <v>0.196</v>
      </c>
      <c r="G241" t="inlineStr">
        <is>
          <t>Working Capital</t>
        </is>
      </c>
      <c r="H241" t="inlineStr">
        <is>
          <t>LO009</t>
        </is>
      </c>
      <c r="I241" t="inlineStr">
        <is>
          <t>Mobile App</t>
        </is>
      </c>
      <c r="J241">
        <f>INDEX('Data - Borrowers'!$B$2:$B$851, MATCH(B241, 'Data - Borrowers'!$A$2:$A$851, 0))</f>
        <v/>
      </c>
      <c r="K241">
        <f>INDEX('Data - Borrowers'!$C$2:$C$851, MATCH(B241, 'Data - Borrowers'!$A$2:$A$851, 0))</f>
        <v/>
      </c>
      <c r="L241">
        <f>IF(D241&lt;100000, "Micro (&lt;100K)", IF(D241&lt;500000, "Small (100K-500K)", "Medium (500K+)"))</f>
        <v/>
      </c>
      <c r="M241">
        <f>TEXT(C241, "yyyy-mm")</f>
        <v/>
      </c>
    </row>
    <row r="242">
      <c r="A242" t="inlineStr">
        <is>
          <t>LN200267</t>
        </is>
      </c>
      <c r="B242" t="inlineStr">
        <is>
          <t>BOR100200</t>
        </is>
      </c>
      <c r="C242" s="8" t="n">
        <v>45672</v>
      </c>
      <c r="D242" s="9" t="n">
        <v>37000</v>
      </c>
      <c r="E242" t="n">
        <v>18</v>
      </c>
      <c r="F242" s="10" t="n">
        <v>0.124</v>
      </c>
      <c r="G242" t="inlineStr">
        <is>
          <t>Asset Finance</t>
        </is>
      </c>
      <c r="H242" t="inlineStr">
        <is>
          <t>LO025</t>
        </is>
      </c>
      <c r="I242" t="inlineStr">
        <is>
          <t>Branch</t>
        </is>
      </c>
      <c r="J242">
        <f>INDEX('Data - Borrowers'!$B$2:$B$851, MATCH(B242, 'Data - Borrowers'!$A$2:$A$851, 0))</f>
        <v/>
      </c>
      <c r="K242">
        <f>INDEX('Data - Borrowers'!$C$2:$C$851, MATCH(B242, 'Data - Borrowers'!$A$2:$A$851, 0))</f>
        <v/>
      </c>
      <c r="L242">
        <f>IF(D242&lt;100000, "Micro (&lt;100K)", IF(D242&lt;500000, "Small (100K-500K)", "Medium (500K+)"))</f>
        <v/>
      </c>
      <c r="M242">
        <f>TEXT(C242, "yyyy-mm")</f>
        <v/>
      </c>
    </row>
    <row r="243">
      <c r="A243" t="inlineStr">
        <is>
          <t>LN200268</t>
        </is>
      </c>
      <c r="B243" t="inlineStr">
        <is>
          <t>BOR100201</t>
        </is>
      </c>
      <c r="C243" s="8" t="n">
        <v>46083</v>
      </c>
      <c r="D243" s="9" t="n">
        <v>204000</v>
      </c>
      <c r="E243" t="n">
        <v>9</v>
      </c>
      <c r="F243" s="10" t="n">
        <v>0.179</v>
      </c>
      <c r="G243" t="inlineStr">
        <is>
          <t>Invoice Discounting</t>
        </is>
      </c>
      <c r="H243" t="inlineStr">
        <is>
          <t>LO001</t>
        </is>
      </c>
      <c r="I243" t="inlineStr">
        <is>
          <t>Branch</t>
        </is>
      </c>
      <c r="J243">
        <f>INDEX('Data - Borrowers'!$B$2:$B$851, MATCH(B243, 'Data - Borrowers'!$A$2:$A$851, 0))</f>
        <v/>
      </c>
      <c r="K243">
        <f>INDEX('Data - Borrowers'!$C$2:$C$851, MATCH(B243, 'Data - Borrowers'!$A$2:$A$851, 0))</f>
        <v/>
      </c>
      <c r="L243">
        <f>IF(D243&lt;100000, "Micro (&lt;100K)", IF(D243&lt;500000, "Small (100K-500K)", "Medium (500K+)"))</f>
        <v/>
      </c>
      <c r="M243">
        <f>TEXT(C243, "yyyy-mm")</f>
        <v/>
      </c>
    </row>
    <row r="244">
      <c r="A244" t="inlineStr">
        <is>
          <t>LN200269</t>
        </is>
      </c>
      <c r="B244" t="inlineStr">
        <is>
          <t>BOR100202</t>
        </is>
      </c>
      <c r="C244" s="8" t="n">
        <v>46115</v>
      </c>
      <c r="D244" s="9" t="n">
        <v>20000</v>
      </c>
      <c r="E244" t="n">
        <v>3</v>
      </c>
      <c r="F244" s="10" t="n">
        <v>0.196</v>
      </c>
      <c r="G244" t="inlineStr">
        <is>
          <t>Working Capital</t>
        </is>
      </c>
      <c r="H244" t="inlineStr">
        <is>
          <t>LO025</t>
        </is>
      </c>
      <c r="I244" t="inlineStr">
        <is>
          <t>Partner Referral</t>
        </is>
      </c>
      <c r="J244">
        <f>INDEX('Data - Borrowers'!$B$2:$B$851, MATCH(B244, 'Data - Borrowers'!$A$2:$A$851, 0))</f>
        <v/>
      </c>
      <c r="K244">
        <f>INDEX('Data - Borrowers'!$C$2:$C$851, MATCH(B244, 'Data - Borrowers'!$A$2:$A$851, 0))</f>
        <v/>
      </c>
      <c r="L244">
        <f>IF(D244&lt;100000, "Micro (&lt;100K)", IF(D244&lt;500000, "Small (100K-500K)", "Medium (500K+)"))</f>
        <v/>
      </c>
      <c r="M244">
        <f>TEXT(C244, "yyyy-mm")</f>
        <v/>
      </c>
    </row>
    <row r="245">
      <c r="A245" t="inlineStr">
        <is>
          <t>LN200270</t>
        </is>
      </c>
      <c r="B245" t="inlineStr">
        <is>
          <t>BOR100203</t>
        </is>
      </c>
      <c r="C245" s="8" t="n">
        <v>46077</v>
      </c>
      <c r="D245" s="9" t="n">
        <v>212000</v>
      </c>
      <c r="E245" t="n">
        <v>9</v>
      </c>
      <c r="F245" s="10" t="n">
        <v>0.192</v>
      </c>
      <c r="G245" t="inlineStr">
        <is>
          <t>Invoice Discounting</t>
        </is>
      </c>
      <c r="H245" t="inlineStr">
        <is>
          <t>LO018</t>
        </is>
      </c>
      <c r="I245" t="inlineStr">
        <is>
          <t>Mobile App</t>
        </is>
      </c>
      <c r="J245">
        <f>INDEX('Data - Borrowers'!$B$2:$B$851, MATCH(B245, 'Data - Borrowers'!$A$2:$A$851, 0))</f>
        <v/>
      </c>
      <c r="K245">
        <f>INDEX('Data - Borrowers'!$C$2:$C$851, MATCH(B245, 'Data - Borrowers'!$A$2:$A$851, 0))</f>
        <v/>
      </c>
      <c r="L245">
        <f>IF(D245&lt;100000, "Micro (&lt;100K)", IF(D245&lt;500000, "Small (100K-500K)", "Medium (500K+)"))</f>
        <v/>
      </c>
      <c r="M245">
        <f>TEXT(C245, "yyyy-mm")</f>
        <v/>
      </c>
    </row>
    <row r="246">
      <c r="A246" t="inlineStr">
        <is>
          <t>LN200272</t>
        </is>
      </c>
      <c r="B246" t="inlineStr">
        <is>
          <t>BOR100204</t>
        </is>
      </c>
      <c r="C246" s="8" t="n">
        <v>45786</v>
      </c>
      <c r="D246" s="9" t="n">
        <v>328000</v>
      </c>
      <c r="E246" t="n">
        <v>18</v>
      </c>
      <c r="F246" s="10" t="n">
        <v>0.165</v>
      </c>
      <c r="G246" t="inlineStr">
        <is>
          <t>Working Capital</t>
        </is>
      </c>
      <c r="H246" t="inlineStr">
        <is>
          <t>LO015</t>
        </is>
      </c>
      <c r="I246" t="inlineStr">
        <is>
          <t>Mobile App</t>
        </is>
      </c>
      <c r="J246">
        <f>INDEX('Data - Borrowers'!$B$2:$B$851, MATCH(B246, 'Data - Borrowers'!$A$2:$A$851, 0))</f>
        <v/>
      </c>
      <c r="K246">
        <f>INDEX('Data - Borrowers'!$C$2:$C$851, MATCH(B246, 'Data - Borrowers'!$A$2:$A$851, 0))</f>
        <v/>
      </c>
      <c r="L246">
        <f>IF(D246&lt;100000, "Micro (&lt;100K)", IF(D246&lt;500000, "Small (100K-500K)", "Medium (500K+)"))</f>
        <v/>
      </c>
      <c r="M246">
        <f>TEXT(C246, "yyyy-mm")</f>
        <v/>
      </c>
    </row>
    <row r="247">
      <c r="A247" t="inlineStr">
        <is>
          <t>LN200273</t>
        </is>
      </c>
      <c r="B247" t="inlineStr">
        <is>
          <t>BOR100205</t>
        </is>
      </c>
      <c r="C247" s="8" t="n">
        <v>46067</v>
      </c>
      <c r="D247" s="9" t="n">
        <v>95000</v>
      </c>
      <c r="E247" t="n">
        <v>3</v>
      </c>
      <c r="F247" s="10" t="n">
        <v>0.146</v>
      </c>
      <c r="G247" t="inlineStr">
        <is>
          <t>Working Capital</t>
        </is>
      </c>
      <c r="H247" t="inlineStr">
        <is>
          <t>LO006</t>
        </is>
      </c>
      <c r="I247" t="inlineStr">
        <is>
          <t>Mobile App</t>
        </is>
      </c>
      <c r="J247">
        <f>INDEX('Data - Borrowers'!$B$2:$B$851, MATCH(B247, 'Data - Borrowers'!$A$2:$A$851, 0))</f>
        <v/>
      </c>
      <c r="K247">
        <f>INDEX('Data - Borrowers'!$C$2:$C$851, MATCH(B247, 'Data - Borrowers'!$A$2:$A$851, 0))</f>
        <v/>
      </c>
      <c r="L247">
        <f>IF(D247&lt;100000, "Micro (&lt;100K)", IF(D247&lt;500000, "Small (100K-500K)", "Medium (500K+)"))</f>
        <v/>
      </c>
      <c r="M247">
        <f>TEXT(C247, "yyyy-mm")</f>
        <v/>
      </c>
    </row>
    <row r="248">
      <c r="A248" t="inlineStr">
        <is>
          <t>LN200274</t>
        </is>
      </c>
      <c r="B248" t="inlineStr">
        <is>
          <t>BOR100206</t>
        </is>
      </c>
      <c r="C248" s="8" t="n">
        <v>45722</v>
      </c>
      <c r="D248" s="9" t="n">
        <v>114000</v>
      </c>
      <c r="E248" t="n">
        <v>6</v>
      </c>
      <c r="F248" s="10" t="n">
        <v>0.163</v>
      </c>
      <c r="G248" t="inlineStr">
        <is>
          <t>Working Capital</t>
        </is>
      </c>
      <c r="H248" t="inlineStr">
        <is>
          <t>LO008</t>
        </is>
      </c>
      <c r="I248" t="inlineStr">
        <is>
          <t>Mobile App</t>
        </is>
      </c>
      <c r="J248">
        <f>INDEX('Data - Borrowers'!$B$2:$B$851, MATCH(B248, 'Data - Borrowers'!$A$2:$A$851, 0))</f>
        <v/>
      </c>
      <c r="K248">
        <f>INDEX('Data - Borrowers'!$C$2:$C$851, MATCH(B248, 'Data - Borrowers'!$A$2:$A$851, 0))</f>
        <v/>
      </c>
      <c r="L248">
        <f>IF(D248&lt;100000, "Micro (&lt;100K)", IF(D248&lt;500000, "Small (100K-500K)", "Medium (500K+)"))</f>
        <v/>
      </c>
      <c r="M248">
        <f>TEXT(C248, "yyyy-mm")</f>
        <v/>
      </c>
    </row>
    <row r="249">
      <c r="A249" t="inlineStr">
        <is>
          <t>LN200275</t>
        </is>
      </c>
      <c r="B249" t="inlineStr">
        <is>
          <t>BOR100206</t>
        </is>
      </c>
      <c r="C249" s="8" t="n">
        <v>46047</v>
      </c>
      <c r="D249" s="9" t="n">
        <v>119000</v>
      </c>
      <c r="E249" t="n">
        <v>9</v>
      </c>
      <c r="F249" s="10" t="n">
        <v>0.173</v>
      </c>
      <c r="G249" t="inlineStr">
        <is>
          <t>Asset Finance</t>
        </is>
      </c>
      <c r="H249" t="inlineStr">
        <is>
          <t>LO017</t>
        </is>
      </c>
      <c r="I249" t="inlineStr">
        <is>
          <t>Mobile App</t>
        </is>
      </c>
      <c r="J249">
        <f>INDEX('Data - Borrowers'!$B$2:$B$851, MATCH(B249, 'Data - Borrowers'!$A$2:$A$851, 0))</f>
        <v/>
      </c>
      <c r="K249">
        <f>INDEX('Data - Borrowers'!$C$2:$C$851, MATCH(B249, 'Data - Borrowers'!$A$2:$A$851, 0))</f>
        <v/>
      </c>
      <c r="L249">
        <f>IF(D249&lt;100000, "Micro (&lt;100K)", IF(D249&lt;500000, "Small (100K-500K)", "Medium (500K+)"))</f>
        <v/>
      </c>
      <c r="M249">
        <f>TEXT(C249, "yyyy-mm")</f>
        <v/>
      </c>
    </row>
    <row r="250">
      <c r="A250" t="inlineStr">
        <is>
          <t>LN200276</t>
        </is>
      </c>
      <c r="B250" t="inlineStr">
        <is>
          <t>BOR100207</t>
        </is>
      </c>
      <c r="C250" s="8" t="n">
        <v>45900</v>
      </c>
      <c r="D250" s="9" t="n">
        <v>104000</v>
      </c>
      <c r="E250" t="n">
        <v>6</v>
      </c>
      <c r="F250" s="10" t="n">
        <v>0.133</v>
      </c>
      <c r="G250" t="inlineStr">
        <is>
          <t>Working Capital</t>
        </is>
      </c>
      <c r="H250" t="inlineStr">
        <is>
          <t>LO013</t>
        </is>
      </c>
      <c r="I250" t="inlineStr">
        <is>
          <t>Mobile App</t>
        </is>
      </c>
      <c r="J250">
        <f>INDEX('Data - Borrowers'!$B$2:$B$851, MATCH(B250, 'Data - Borrowers'!$A$2:$A$851, 0))</f>
        <v/>
      </c>
      <c r="K250">
        <f>INDEX('Data - Borrowers'!$C$2:$C$851, MATCH(B250, 'Data - Borrowers'!$A$2:$A$851, 0))</f>
        <v/>
      </c>
      <c r="L250">
        <f>IF(D250&lt;100000, "Micro (&lt;100K)", IF(D250&lt;500000, "Small (100K-500K)", "Medium (500K+)"))</f>
        <v/>
      </c>
      <c r="M250">
        <f>TEXT(C250, "yyyy-mm")</f>
        <v/>
      </c>
    </row>
    <row r="251">
      <c r="A251" t="inlineStr">
        <is>
          <t>LN200277</t>
        </is>
      </c>
      <c r="B251" t="inlineStr">
        <is>
          <t>BOR100208</t>
        </is>
      </c>
      <c r="C251" s="8" t="n">
        <v>45936</v>
      </c>
      <c r="D251" s="9" t="n">
        <v>250000</v>
      </c>
      <c r="E251" t="n">
        <v>18</v>
      </c>
      <c r="F251" s="10" t="n">
        <v>0.171</v>
      </c>
      <c r="G251" t="inlineStr">
        <is>
          <t>Invoice Discounting</t>
        </is>
      </c>
      <c r="H251" t="inlineStr">
        <is>
          <t>LO010</t>
        </is>
      </c>
      <c r="I251" t="inlineStr">
        <is>
          <t>Mobile App</t>
        </is>
      </c>
      <c r="J251">
        <f>INDEX('Data - Borrowers'!$B$2:$B$851, MATCH(B251, 'Data - Borrowers'!$A$2:$A$851, 0))</f>
        <v/>
      </c>
      <c r="K251">
        <f>INDEX('Data - Borrowers'!$C$2:$C$851, MATCH(B251, 'Data - Borrowers'!$A$2:$A$851, 0))</f>
        <v/>
      </c>
      <c r="L251">
        <f>IF(D251&lt;100000, "Micro (&lt;100K)", IF(D251&lt;500000, "Small (100K-500K)", "Medium (500K+)"))</f>
        <v/>
      </c>
      <c r="M251">
        <f>TEXT(C251, "yyyy-mm")</f>
        <v/>
      </c>
    </row>
    <row r="252">
      <c r="A252" t="inlineStr">
        <is>
          <t>LN200278</t>
        </is>
      </c>
      <c r="B252" t="inlineStr">
        <is>
          <t>BOR100209</t>
        </is>
      </c>
      <c r="C252" s="8" t="n">
        <v>45912</v>
      </c>
      <c r="D252" s="9" t="n">
        <v>34000</v>
      </c>
      <c r="E252" t="n">
        <v>6</v>
      </c>
      <c r="F252" s="10" t="n">
        <v>0.145</v>
      </c>
      <c r="G252" t="inlineStr">
        <is>
          <t>Asset Finance</t>
        </is>
      </c>
      <c r="H252" t="inlineStr">
        <is>
          <t>LO016</t>
        </is>
      </c>
      <c r="I252" t="inlineStr">
        <is>
          <t>Mobile App</t>
        </is>
      </c>
      <c r="J252">
        <f>INDEX('Data - Borrowers'!$B$2:$B$851, MATCH(B252, 'Data - Borrowers'!$A$2:$A$851, 0))</f>
        <v/>
      </c>
      <c r="K252">
        <f>INDEX('Data - Borrowers'!$C$2:$C$851, MATCH(B252, 'Data - Borrowers'!$A$2:$A$851, 0))</f>
        <v/>
      </c>
      <c r="L252">
        <f>IF(D252&lt;100000, "Micro (&lt;100K)", IF(D252&lt;500000, "Small (100K-500K)", "Medium (500K+)"))</f>
        <v/>
      </c>
      <c r="M252">
        <f>TEXT(C252, "yyyy-mm")</f>
        <v/>
      </c>
    </row>
    <row r="253">
      <c r="A253" t="inlineStr">
        <is>
          <t>LN200279</t>
        </is>
      </c>
      <c r="B253" t="inlineStr">
        <is>
          <t>BOR100210</t>
        </is>
      </c>
      <c r="C253" s="8" t="n">
        <v>46139</v>
      </c>
      <c r="D253" s="9" t="n">
        <v>182000</v>
      </c>
      <c r="E253" t="n">
        <v>9</v>
      </c>
      <c r="F253" s="10" t="n">
        <v>0.163</v>
      </c>
      <c r="G253" t="inlineStr">
        <is>
          <t>Working Capital</t>
        </is>
      </c>
      <c r="H253" t="inlineStr">
        <is>
          <t>LO024</t>
        </is>
      </c>
      <c r="I253" t="inlineStr">
        <is>
          <t>Branch</t>
        </is>
      </c>
      <c r="J253">
        <f>INDEX('Data - Borrowers'!$B$2:$B$851, MATCH(B253, 'Data - Borrowers'!$A$2:$A$851, 0))</f>
        <v/>
      </c>
      <c r="K253">
        <f>INDEX('Data - Borrowers'!$C$2:$C$851, MATCH(B253, 'Data - Borrowers'!$A$2:$A$851, 0))</f>
        <v/>
      </c>
      <c r="L253">
        <f>IF(D253&lt;100000, "Micro (&lt;100K)", IF(D253&lt;500000, "Small (100K-500K)", "Medium (500K+)"))</f>
        <v/>
      </c>
      <c r="M253">
        <f>TEXT(C253, "yyyy-mm")</f>
        <v/>
      </c>
    </row>
    <row r="254">
      <c r="A254" t="inlineStr">
        <is>
          <t>LN200280</t>
        </is>
      </c>
      <c r="B254" t="inlineStr">
        <is>
          <t>BOR100211</t>
        </is>
      </c>
      <c r="C254" s="8" t="n">
        <v>46143</v>
      </c>
      <c r="D254" s="9" t="n">
        <v>238000</v>
      </c>
      <c r="E254" t="n">
        <v>12</v>
      </c>
      <c r="F254" s="10" t="n">
        <v>0.217</v>
      </c>
      <c r="G254" t="inlineStr">
        <is>
          <t>Working Capital</t>
        </is>
      </c>
      <c r="H254" t="inlineStr">
        <is>
          <t>LO008</t>
        </is>
      </c>
      <c r="I254" t="inlineStr">
        <is>
          <t>Partner Referral</t>
        </is>
      </c>
      <c r="J254">
        <f>INDEX('Data - Borrowers'!$B$2:$B$851, MATCH(B254, 'Data - Borrowers'!$A$2:$A$851, 0))</f>
        <v/>
      </c>
      <c r="K254">
        <f>INDEX('Data - Borrowers'!$C$2:$C$851, MATCH(B254, 'Data - Borrowers'!$A$2:$A$851, 0))</f>
        <v/>
      </c>
      <c r="L254">
        <f>IF(D254&lt;100000, "Micro (&lt;100K)", IF(D254&lt;500000, "Small (100K-500K)", "Medium (500K+)"))</f>
        <v/>
      </c>
      <c r="M254">
        <f>TEXT(C254, "yyyy-mm")</f>
        <v/>
      </c>
    </row>
    <row r="255">
      <c r="A255" t="inlineStr">
        <is>
          <t>LN200281</t>
        </is>
      </c>
      <c r="B255" t="inlineStr">
        <is>
          <t>BOR100212</t>
        </is>
      </c>
      <c r="C255" s="8" t="n">
        <v>45910</v>
      </c>
      <c r="D255" s="9" t="n">
        <v>87000</v>
      </c>
      <c r="E255" t="n">
        <v>9</v>
      </c>
      <c r="F255" s="10" t="n">
        <v>0.21</v>
      </c>
      <c r="G255" t="inlineStr">
        <is>
          <t>Asset Finance</t>
        </is>
      </c>
      <c r="H255" t="inlineStr">
        <is>
          <t>LO019</t>
        </is>
      </c>
      <c r="I255" t="inlineStr">
        <is>
          <t>Partner Referral</t>
        </is>
      </c>
      <c r="J255">
        <f>INDEX('Data - Borrowers'!$B$2:$B$851, MATCH(B255, 'Data - Borrowers'!$A$2:$A$851, 0))</f>
        <v/>
      </c>
      <c r="K255">
        <f>INDEX('Data - Borrowers'!$C$2:$C$851, MATCH(B255, 'Data - Borrowers'!$A$2:$A$851, 0))</f>
        <v/>
      </c>
      <c r="L255">
        <f>IF(D255&lt;100000, "Micro (&lt;100K)", IF(D255&lt;500000, "Small (100K-500K)", "Medium (500K+)"))</f>
        <v/>
      </c>
      <c r="M255">
        <f>TEXT(C255, "yyyy-mm")</f>
        <v/>
      </c>
    </row>
    <row r="256">
      <c r="A256" t="inlineStr">
        <is>
          <t>LN200282</t>
        </is>
      </c>
      <c r="B256" t="inlineStr">
        <is>
          <t>BOR100213</t>
        </is>
      </c>
      <c r="C256" s="8" t="n">
        <v>45684</v>
      </c>
      <c r="D256" s="9" t="n">
        <v>84000</v>
      </c>
      <c r="E256" t="n">
        <v>9</v>
      </c>
      <c r="F256" s="10" t="n">
        <v>0.215</v>
      </c>
      <c r="G256" t="inlineStr">
        <is>
          <t>Working Capital</t>
        </is>
      </c>
      <c r="H256" t="inlineStr">
        <is>
          <t>LO017</t>
        </is>
      </c>
      <c r="I256" t="inlineStr">
        <is>
          <t>Mobile App</t>
        </is>
      </c>
      <c r="J256">
        <f>INDEX('Data - Borrowers'!$B$2:$B$851, MATCH(B256, 'Data - Borrowers'!$A$2:$A$851, 0))</f>
        <v/>
      </c>
      <c r="K256">
        <f>INDEX('Data - Borrowers'!$C$2:$C$851, MATCH(B256, 'Data - Borrowers'!$A$2:$A$851, 0))</f>
        <v/>
      </c>
      <c r="L256">
        <f>IF(D256&lt;100000, "Micro (&lt;100K)", IF(D256&lt;500000, "Small (100K-500K)", "Medium (500K+)"))</f>
        <v/>
      </c>
      <c r="M256">
        <f>TEXT(C256, "yyyy-mm")</f>
        <v/>
      </c>
    </row>
    <row r="257">
      <c r="A257" t="inlineStr">
        <is>
          <t>LN200283</t>
        </is>
      </c>
      <c r="B257" t="inlineStr">
        <is>
          <t>BOR100214</t>
        </is>
      </c>
      <c r="C257" s="8" t="n">
        <v>45976</v>
      </c>
      <c r="D257" s="9" t="n">
        <v>65000</v>
      </c>
      <c r="E257" t="n">
        <v>6</v>
      </c>
      <c r="F257" s="10" t="n">
        <v>0.157</v>
      </c>
      <c r="G257" t="inlineStr">
        <is>
          <t>Working Capital</t>
        </is>
      </c>
      <c r="H257" t="inlineStr">
        <is>
          <t>LO009</t>
        </is>
      </c>
      <c r="I257" t="inlineStr">
        <is>
          <t>Partner Referral</t>
        </is>
      </c>
      <c r="J257">
        <f>INDEX('Data - Borrowers'!$B$2:$B$851, MATCH(B257, 'Data - Borrowers'!$A$2:$A$851, 0))</f>
        <v/>
      </c>
      <c r="K257">
        <f>INDEX('Data - Borrowers'!$C$2:$C$851, MATCH(B257, 'Data - Borrowers'!$A$2:$A$851, 0))</f>
        <v/>
      </c>
      <c r="L257">
        <f>IF(D257&lt;100000, "Micro (&lt;100K)", IF(D257&lt;500000, "Small (100K-500K)", "Medium (500K+)"))</f>
        <v/>
      </c>
      <c r="M257">
        <f>TEXT(C257, "yyyy-mm")</f>
        <v/>
      </c>
    </row>
    <row r="258">
      <c r="A258" t="inlineStr">
        <is>
          <t>LN200284</t>
        </is>
      </c>
      <c r="B258" t="inlineStr">
        <is>
          <t>BOR100215</t>
        </is>
      </c>
      <c r="C258" s="8" t="n">
        <v>45897</v>
      </c>
      <c r="D258" s="9" t="n">
        <v>55000</v>
      </c>
      <c r="E258" t="n">
        <v>9</v>
      </c>
      <c r="F258" s="10" t="n">
        <v>0.205</v>
      </c>
      <c r="G258" t="inlineStr">
        <is>
          <t>Asset Finance</t>
        </is>
      </c>
      <c r="H258" t="inlineStr">
        <is>
          <t>LO019</t>
        </is>
      </c>
      <c r="I258" t="inlineStr">
        <is>
          <t>Partner Referral</t>
        </is>
      </c>
      <c r="J258">
        <f>INDEX('Data - Borrowers'!$B$2:$B$851, MATCH(B258, 'Data - Borrowers'!$A$2:$A$851, 0))</f>
        <v/>
      </c>
      <c r="K258">
        <f>INDEX('Data - Borrowers'!$C$2:$C$851, MATCH(B258, 'Data - Borrowers'!$A$2:$A$851, 0))</f>
        <v/>
      </c>
      <c r="L258">
        <f>IF(D258&lt;100000, "Micro (&lt;100K)", IF(D258&lt;500000, "Small (100K-500K)", "Medium (500K+)"))</f>
        <v/>
      </c>
      <c r="M258">
        <f>TEXT(C258, "yyyy-mm")</f>
        <v/>
      </c>
    </row>
    <row r="259">
      <c r="A259" t="inlineStr">
        <is>
          <t>LN200285</t>
        </is>
      </c>
      <c r="B259" t="inlineStr">
        <is>
          <t>BOR100216</t>
        </is>
      </c>
      <c r="C259" s="8" t="n">
        <v>46031</v>
      </c>
      <c r="D259" s="9" t="n">
        <v>27000</v>
      </c>
      <c r="E259" t="n">
        <v>9</v>
      </c>
      <c r="F259" s="10" t="n">
        <v>0.186</v>
      </c>
      <c r="G259" t="inlineStr">
        <is>
          <t>Working Capital</t>
        </is>
      </c>
      <c r="H259" t="inlineStr">
        <is>
          <t>LO002</t>
        </is>
      </c>
      <c r="I259" t="inlineStr">
        <is>
          <t>Branch</t>
        </is>
      </c>
      <c r="J259">
        <f>INDEX('Data - Borrowers'!$B$2:$B$851, MATCH(B259, 'Data - Borrowers'!$A$2:$A$851, 0))</f>
        <v/>
      </c>
      <c r="K259">
        <f>INDEX('Data - Borrowers'!$C$2:$C$851, MATCH(B259, 'Data - Borrowers'!$A$2:$A$851, 0))</f>
        <v/>
      </c>
      <c r="L259">
        <f>IF(D259&lt;100000, "Micro (&lt;100K)", IF(D259&lt;500000, "Small (100K-500K)", "Medium (500K+)"))</f>
        <v/>
      </c>
      <c r="M259">
        <f>TEXT(C259, "yyyy-mm")</f>
        <v/>
      </c>
    </row>
    <row r="260">
      <c r="A260" t="inlineStr">
        <is>
          <t>LN200286</t>
        </is>
      </c>
      <c r="B260" t="inlineStr">
        <is>
          <t>BOR100217</t>
        </is>
      </c>
      <c r="C260" s="8" t="n">
        <v>46104</v>
      </c>
      <c r="D260" s="9" t="n">
        <v>209000</v>
      </c>
      <c r="E260" t="n">
        <v>9</v>
      </c>
      <c r="F260" s="10" t="n">
        <v>0.227</v>
      </c>
      <c r="G260" t="inlineStr">
        <is>
          <t>Asset Finance</t>
        </is>
      </c>
      <c r="H260" t="inlineStr">
        <is>
          <t>LO020</t>
        </is>
      </c>
      <c r="I260" t="inlineStr">
        <is>
          <t>Branch</t>
        </is>
      </c>
      <c r="J260">
        <f>INDEX('Data - Borrowers'!$B$2:$B$851, MATCH(B260, 'Data - Borrowers'!$A$2:$A$851, 0))</f>
        <v/>
      </c>
      <c r="K260">
        <f>INDEX('Data - Borrowers'!$C$2:$C$851, MATCH(B260, 'Data - Borrowers'!$A$2:$A$851, 0))</f>
        <v/>
      </c>
      <c r="L260">
        <f>IF(D260&lt;100000, "Micro (&lt;100K)", IF(D260&lt;500000, "Small (100K-500K)", "Medium (500K+)"))</f>
        <v/>
      </c>
      <c r="M260">
        <f>TEXT(C260, "yyyy-mm")</f>
        <v/>
      </c>
    </row>
    <row r="261">
      <c r="A261" t="inlineStr">
        <is>
          <t>LN200287</t>
        </is>
      </c>
      <c r="B261" t="inlineStr">
        <is>
          <t>BOR100218</t>
        </is>
      </c>
      <c r="C261" s="8" t="n">
        <v>45877</v>
      </c>
      <c r="D261" s="9" t="n">
        <v>340000</v>
      </c>
      <c r="E261" t="n">
        <v>9</v>
      </c>
      <c r="F261" s="10" t="n">
        <v>0.155</v>
      </c>
      <c r="G261" t="inlineStr">
        <is>
          <t>Asset Finance</t>
        </is>
      </c>
      <c r="H261" t="inlineStr">
        <is>
          <t>LO003</t>
        </is>
      </c>
      <c r="I261" t="inlineStr">
        <is>
          <t>Branch</t>
        </is>
      </c>
      <c r="J261">
        <f>INDEX('Data - Borrowers'!$B$2:$B$851, MATCH(B261, 'Data - Borrowers'!$A$2:$A$851, 0))</f>
        <v/>
      </c>
      <c r="K261">
        <f>INDEX('Data - Borrowers'!$C$2:$C$851, MATCH(B261, 'Data - Borrowers'!$A$2:$A$851, 0))</f>
        <v/>
      </c>
      <c r="L261">
        <f>IF(D261&lt;100000, "Micro (&lt;100K)", IF(D261&lt;500000, "Small (100K-500K)", "Medium (500K+)"))</f>
        <v/>
      </c>
      <c r="M261">
        <f>TEXT(C261, "yyyy-mm")</f>
        <v/>
      </c>
    </row>
    <row r="262">
      <c r="A262" t="inlineStr">
        <is>
          <t>LN200288</t>
        </is>
      </c>
      <c r="B262" t="inlineStr">
        <is>
          <t>BOR100218</t>
        </is>
      </c>
      <c r="C262" s="8" t="n">
        <v>46061</v>
      </c>
      <c r="D262" s="9" t="n">
        <v>207000</v>
      </c>
      <c r="E262" t="n">
        <v>6</v>
      </c>
      <c r="F262" s="10" t="n">
        <v>0.189</v>
      </c>
      <c r="G262" t="inlineStr">
        <is>
          <t>Invoice Discounting</t>
        </is>
      </c>
      <c r="H262" t="inlineStr">
        <is>
          <t>LO011</t>
        </is>
      </c>
      <c r="I262" t="inlineStr">
        <is>
          <t>Mobile App</t>
        </is>
      </c>
      <c r="J262">
        <f>INDEX('Data - Borrowers'!$B$2:$B$851, MATCH(B262, 'Data - Borrowers'!$A$2:$A$851, 0))</f>
        <v/>
      </c>
      <c r="K262">
        <f>INDEX('Data - Borrowers'!$C$2:$C$851, MATCH(B262, 'Data - Borrowers'!$A$2:$A$851, 0))</f>
        <v/>
      </c>
      <c r="L262">
        <f>IF(D262&lt;100000, "Micro (&lt;100K)", IF(D262&lt;500000, "Small (100K-500K)", "Medium (500K+)"))</f>
        <v/>
      </c>
      <c r="M262">
        <f>TEXT(C262, "yyyy-mm")</f>
        <v/>
      </c>
    </row>
    <row r="263">
      <c r="A263" t="inlineStr">
        <is>
          <t>LN200289</t>
        </is>
      </c>
      <c r="B263" t="inlineStr">
        <is>
          <t>BOR100218</t>
        </is>
      </c>
      <c r="C263" s="8" t="n">
        <v>46232</v>
      </c>
      <c r="D263" s="9" t="n">
        <v>393000</v>
      </c>
      <c r="E263" t="n">
        <v>3</v>
      </c>
      <c r="F263" s="10" t="n">
        <v>0.188</v>
      </c>
      <c r="G263" t="inlineStr">
        <is>
          <t>Working Capital</t>
        </is>
      </c>
      <c r="H263" t="inlineStr">
        <is>
          <t>LO015</t>
        </is>
      </c>
      <c r="I263" t="inlineStr">
        <is>
          <t>Branch</t>
        </is>
      </c>
      <c r="J263">
        <f>INDEX('Data - Borrowers'!$B$2:$B$851, MATCH(B263, 'Data - Borrowers'!$A$2:$A$851, 0))</f>
        <v/>
      </c>
      <c r="K263">
        <f>INDEX('Data - Borrowers'!$C$2:$C$851, MATCH(B263, 'Data - Borrowers'!$A$2:$A$851, 0))</f>
        <v/>
      </c>
      <c r="L263">
        <f>IF(D263&lt;100000, "Micro (&lt;100K)", IF(D263&lt;500000, "Small (100K-500K)", "Medium (500K+)"))</f>
        <v/>
      </c>
      <c r="M263">
        <f>TEXT(C263, "yyyy-mm")</f>
        <v/>
      </c>
    </row>
    <row r="264">
      <c r="A264" t="inlineStr">
        <is>
          <t>LN200290</t>
        </is>
      </c>
      <c r="B264" t="inlineStr">
        <is>
          <t>BOR100219</t>
        </is>
      </c>
      <c r="C264" s="8" t="n">
        <v>46064</v>
      </c>
      <c r="D264" s="9" t="n">
        <v>108000</v>
      </c>
      <c r="E264" t="n">
        <v>9</v>
      </c>
      <c r="F264" s="10" t="n">
        <v>0.218</v>
      </c>
      <c r="G264" t="inlineStr">
        <is>
          <t>Invoice Discounting</t>
        </is>
      </c>
      <c r="H264" t="inlineStr">
        <is>
          <t>LO007</t>
        </is>
      </c>
      <c r="I264" t="inlineStr">
        <is>
          <t>Mobile App</t>
        </is>
      </c>
      <c r="J264">
        <f>INDEX('Data - Borrowers'!$B$2:$B$851, MATCH(B264, 'Data - Borrowers'!$A$2:$A$851, 0))</f>
        <v/>
      </c>
      <c r="K264">
        <f>INDEX('Data - Borrowers'!$C$2:$C$851, MATCH(B264, 'Data - Borrowers'!$A$2:$A$851, 0))</f>
        <v/>
      </c>
      <c r="L264">
        <f>IF(D264&lt;100000, "Micro (&lt;100K)", IF(D264&lt;500000, "Small (100K-500K)", "Medium (500K+)"))</f>
        <v/>
      </c>
      <c r="M264">
        <f>TEXT(C264, "yyyy-mm")</f>
        <v/>
      </c>
    </row>
    <row r="265">
      <c r="A265" t="inlineStr">
        <is>
          <t>LN200291</t>
        </is>
      </c>
      <c r="B265" t="inlineStr">
        <is>
          <t>BOR100220</t>
        </is>
      </c>
      <c r="C265" s="8" t="n">
        <v>45659</v>
      </c>
      <c r="D265" s="9" t="n">
        <v>23000</v>
      </c>
      <c r="E265" t="n">
        <v>18</v>
      </c>
      <c r="F265" s="10" t="n">
        <v>0.212</v>
      </c>
      <c r="G265" t="inlineStr">
        <is>
          <t>Invoice Discounting</t>
        </is>
      </c>
      <c r="H265" t="inlineStr">
        <is>
          <t>LO018</t>
        </is>
      </c>
      <c r="I265" t="inlineStr">
        <is>
          <t>Mobile App</t>
        </is>
      </c>
      <c r="J265">
        <f>INDEX('Data - Borrowers'!$B$2:$B$851, MATCH(B265, 'Data - Borrowers'!$A$2:$A$851, 0))</f>
        <v/>
      </c>
      <c r="K265">
        <f>INDEX('Data - Borrowers'!$C$2:$C$851, MATCH(B265, 'Data - Borrowers'!$A$2:$A$851, 0))</f>
        <v/>
      </c>
      <c r="L265">
        <f>IF(D265&lt;100000, "Micro (&lt;100K)", IF(D265&lt;500000, "Small (100K-500K)", "Medium (500K+)"))</f>
        <v/>
      </c>
      <c r="M265">
        <f>TEXT(C265, "yyyy-mm")</f>
        <v/>
      </c>
    </row>
    <row r="266">
      <c r="A266" t="inlineStr">
        <is>
          <t>LN200292</t>
        </is>
      </c>
      <c r="B266" t="inlineStr">
        <is>
          <t>BOR100220</t>
        </is>
      </c>
      <c r="C266" s="8" t="n">
        <v>46109</v>
      </c>
      <c r="D266" s="9" t="n">
        <v>20000</v>
      </c>
      <c r="E266" t="n">
        <v>3</v>
      </c>
      <c r="F266" s="10" t="n">
        <v>0.127</v>
      </c>
      <c r="G266" t="inlineStr">
        <is>
          <t>Asset Finance</t>
        </is>
      </c>
      <c r="H266" t="inlineStr">
        <is>
          <t>LO024</t>
        </is>
      </c>
      <c r="I266" t="inlineStr">
        <is>
          <t>Mobile App</t>
        </is>
      </c>
      <c r="J266">
        <f>INDEX('Data - Borrowers'!$B$2:$B$851, MATCH(B266, 'Data - Borrowers'!$A$2:$A$851, 0))</f>
        <v/>
      </c>
      <c r="K266">
        <f>INDEX('Data - Borrowers'!$C$2:$C$851, MATCH(B266, 'Data - Borrowers'!$A$2:$A$851, 0))</f>
        <v/>
      </c>
      <c r="L266">
        <f>IF(D266&lt;100000, "Micro (&lt;100K)", IF(D266&lt;500000, "Small (100K-500K)", "Medium (500K+)"))</f>
        <v/>
      </c>
      <c r="M266">
        <f>TEXT(C266, "yyyy-mm")</f>
        <v/>
      </c>
    </row>
    <row r="267">
      <c r="A267" t="inlineStr">
        <is>
          <t>LN200293</t>
        </is>
      </c>
      <c r="B267" t="inlineStr">
        <is>
          <t>BOR100221</t>
        </is>
      </c>
      <c r="C267" s="8" t="n">
        <v>45731</v>
      </c>
      <c r="D267" s="9" t="n">
        <v>234000</v>
      </c>
      <c r="E267" t="n">
        <v>12</v>
      </c>
      <c r="F267" s="10" t="n">
        <v>0.208</v>
      </c>
      <c r="G267" t="inlineStr">
        <is>
          <t>Working Capital</t>
        </is>
      </c>
      <c r="H267" t="inlineStr">
        <is>
          <t>LO014</t>
        </is>
      </c>
      <c r="I267" t="inlineStr">
        <is>
          <t>Partner Referral</t>
        </is>
      </c>
      <c r="J267">
        <f>INDEX('Data - Borrowers'!$B$2:$B$851, MATCH(B267, 'Data - Borrowers'!$A$2:$A$851, 0))</f>
        <v/>
      </c>
      <c r="K267">
        <f>INDEX('Data - Borrowers'!$C$2:$C$851, MATCH(B267, 'Data - Borrowers'!$A$2:$A$851, 0))</f>
        <v/>
      </c>
      <c r="L267">
        <f>IF(D267&lt;100000, "Micro (&lt;100K)", IF(D267&lt;500000, "Small (100K-500K)", "Medium (500K+)"))</f>
        <v/>
      </c>
      <c r="M267">
        <f>TEXT(C267, "yyyy-mm")</f>
        <v/>
      </c>
    </row>
    <row r="268">
      <c r="A268" t="inlineStr">
        <is>
          <t>LN200294</t>
        </is>
      </c>
      <c r="B268" t="inlineStr">
        <is>
          <t>BOR100221</t>
        </is>
      </c>
      <c r="C268" s="8" t="n">
        <v>46055</v>
      </c>
      <c r="D268" s="9" t="n">
        <v>184000</v>
      </c>
      <c r="E268" t="n">
        <v>12</v>
      </c>
      <c r="F268" s="10" t="n">
        <v>0.183</v>
      </c>
      <c r="G268" t="inlineStr">
        <is>
          <t>Asset Finance</t>
        </is>
      </c>
      <c r="H268" t="inlineStr">
        <is>
          <t>LO019</t>
        </is>
      </c>
      <c r="I268" t="inlineStr">
        <is>
          <t>Partner Referral</t>
        </is>
      </c>
      <c r="J268">
        <f>INDEX('Data - Borrowers'!$B$2:$B$851, MATCH(B268, 'Data - Borrowers'!$A$2:$A$851, 0))</f>
        <v/>
      </c>
      <c r="K268">
        <f>INDEX('Data - Borrowers'!$C$2:$C$851, MATCH(B268, 'Data - Borrowers'!$A$2:$A$851, 0))</f>
        <v/>
      </c>
      <c r="L268">
        <f>IF(D268&lt;100000, "Micro (&lt;100K)", IF(D268&lt;500000, "Small (100K-500K)", "Medium (500K+)"))</f>
        <v/>
      </c>
      <c r="M268">
        <f>TEXT(C268, "yyyy-mm")</f>
        <v/>
      </c>
    </row>
    <row r="269">
      <c r="A269" t="inlineStr">
        <is>
          <t>LN200295</t>
        </is>
      </c>
      <c r="B269" t="inlineStr">
        <is>
          <t>BOR100222</t>
        </is>
      </c>
      <c r="C269" s="8" t="n">
        <v>46141</v>
      </c>
      <c r="D269" s="9" t="n">
        <v>277000</v>
      </c>
      <c r="E269" t="n">
        <v>3</v>
      </c>
      <c r="F269" s="10" t="n">
        <v>0.129</v>
      </c>
      <c r="G269" t="inlineStr">
        <is>
          <t>Working Capital</t>
        </is>
      </c>
      <c r="H269" t="inlineStr">
        <is>
          <t>LO021</t>
        </is>
      </c>
      <c r="I269" t="inlineStr">
        <is>
          <t>Partner Referral</t>
        </is>
      </c>
      <c r="J269">
        <f>INDEX('Data - Borrowers'!$B$2:$B$851, MATCH(B269, 'Data - Borrowers'!$A$2:$A$851, 0))</f>
        <v/>
      </c>
      <c r="K269">
        <f>INDEX('Data - Borrowers'!$C$2:$C$851, MATCH(B269, 'Data - Borrowers'!$A$2:$A$851, 0))</f>
        <v/>
      </c>
      <c r="L269">
        <f>IF(D269&lt;100000, "Micro (&lt;100K)", IF(D269&lt;500000, "Small (100K-500K)", "Medium (500K+)"))</f>
        <v/>
      </c>
      <c r="M269">
        <f>TEXT(C269, "yyyy-mm")</f>
        <v/>
      </c>
    </row>
    <row r="270">
      <c r="A270" t="inlineStr">
        <is>
          <t>LN200296</t>
        </is>
      </c>
      <c r="B270" t="inlineStr">
        <is>
          <t>BOR100223</t>
        </is>
      </c>
      <c r="C270" s="8" t="n">
        <v>45886</v>
      </c>
      <c r="D270" s="9" t="n">
        <v>61000</v>
      </c>
      <c r="E270" t="n">
        <v>18</v>
      </c>
      <c r="F270" s="10" t="n">
        <v>0.123</v>
      </c>
      <c r="G270" t="inlineStr">
        <is>
          <t>Working Capital</t>
        </is>
      </c>
      <c r="H270" t="inlineStr">
        <is>
          <t>LO018</t>
        </is>
      </c>
      <c r="I270" t="inlineStr">
        <is>
          <t>Mobile App</t>
        </is>
      </c>
      <c r="J270">
        <f>INDEX('Data - Borrowers'!$B$2:$B$851, MATCH(B270, 'Data - Borrowers'!$A$2:$A$851, 0))</f>
        <v/>
      </c>
      <c r="K270">
        <f>INDEX('Data - Borrowers'!$C$2:$C$851, MATCH(B270, 'Data - Borrowers'!$A$2:$A$851, 0))</f>
        <v/>
      </c>
      <c r="L270">
        <f>IF(D270&lt;100000, "Micro (&lt;100K)", IF(D270&lt;500000, "Small (100K-500K)", "Medium (500K+)"))</f>
        <v/>
      </c>
      <c r="M270">
        <f>TEXT(C270, "yyyy-mm")</f>
        <v/>
      </c>
    </row>
    <row r="271">
      <c r="A271" t="inlineStr">
        <is>
          <t>LN200297</t>
        </is>
      </c>
      <c r="B271" t="inlineStr">
        <is>
          <t>BOR100224</t>
        </is>
      </c>
      <c r="C271" s="8" t="n">
        <v>45953</v>
      </c>
      <c r="D271" s="9" t="n">
        <v>104000</v>
      </c>
      <c r="E271" t="n">
        <v>6</v>
      </c>
      <c r="F271" s="10" t="n">
        <v>0.132</v>
      </c>
      <c r="G271" t="inlineStr">
        <is>
          <t>Invoice Discounting</t>
        </is>
      </c>
      <c r="H271" t="inlineStr">
        <is>
          <t>LO025</t>
        </is>
      </c>
      <c r="I271" t="inlineStr">
        <is>
          <t>Branch</t>
        </is>
      </c>
      <c r="J271">
        <f>INDEX('Data - Borrowers'!$B$2:$B$851, MATCH(B271, 'Data - Borrowers'!$A$2:$A$851, 0))</f>
        <v/>
      </c>
      <c r="K271">
        <f>INDEX('Data - Borrowers'!$C$2:$C$851, MATCH(B271, 'Data - Borrowers'!$A$2:$A$851, 0))</f>
        <v/>
      </c>
      <c r="L271">
        <f>IF(D271&lt;100000, "Micro (&lt;100K)", IF(D271&lt;500000, "Small (100K-500K)", "Medium (500K+)"))</f>
        <v/>
      </c>
      <c r="M271">
        <f>TEXT(C271, "yyyy-mm")</f>
        <v/>
      </c>
    </row>
    <row r="272">
      <c r="A272" t="inlineStr">
        <is>
          <t>LN200298</t>
        </is>
      </c>
      <c r="B272" t="inlineStr">
        <is>
          <t>BOR100225</t>
        </is>
      </c>
      <c r="C272" s="8" t="n">
        <v>45704</v>
      </c>
      <c r="D272" s="9" t="n">
        <v>20000</v>
      </c>
      <c r="E272" t="n">
        <v>12</v>
      </c>
      <c r="F272" s="10" t="n">
        <v>0.147</v>
      </c>
      <c r="G272" t="inlineStr">
        <is>
          <t>Asset Finance</t>
        </is>
      </c>
      <c r="H272" t="inlineStr">
        <is>
          <t>LO007</t>
        </is>
      </c>
      <c r="I272" t="inlineStr">
        <is>
          <t>Mobile App</t>
        </is>
      </c>
      <c r="J272">
        <f>INDEX('Data - Borrowers'!$B$2:$B$851, MATCH(B272, 'Data - Borrowers'!$A$2:$A$851, 0))</f>
        <v/>
      </c>
      <c r="K272">
        <f>INDEX('Data - Borrowers'!$C$2:$C$851, MATCH(B272, 'Data - Borrowers'!$A$2:$A$851, 0))</f>
        <v/>
      </c>
      <c r="L272">
        <f>IF(D272&lt;100000, "Micro (&lt;100K)", IF(D272&lt;500000, "Small (100K-500K)", "Medium (500K+)"))</f>
        <v/>
      </c>
      <c r="M272">
        <f>TEXT(C272, "yyyy-mm")</f>
        <v/>
      </c>
    </row>
    <row r="273">
      <c r="A273" t="inlineStr">
        <is>
          <t>LN200299</t>
        </is>
      </c>
      <c r="B273" t="inlineStr">
        <is>
          <t>BOR100226</t>
        </is>
      </c>
      <c r="C273" s="8" t="n">
        <v>45965</v>
      </c>
      <c r="D273" s="9" t="n">
        <v>155000</v>
      </c>
      <c r="E273" t="n">
        <v>3</v>
      </c>
      <c r="F273" s="10" t="n">
        <v>0.226</v>
      </c>
      <c r="G273" t="inlineStr">
        <is>
          <t>Asset Finance</t>
        </is>
      </c>
      <c r="H273" t="inlineStr">
        <is>
          <t>LO005</t>
        </is>
      </c>
      <c r="I273" t="inlineStr">
        <is>
          <t>Partner Referral</t>
        </is>
      </c>
      <c r="J273">
        <f>INDEX('Data - Borrowers'!$B$2:$B$851, MATCH(B273, 'Data - Borrowers'!$A$2:$A$851, 0))</f>
        <v/>
      </c>
      <c r="K273">
        <f>INDEX('Data - Borrowers'!$C$2:$C$851, MATCH(B273, 'Data - Borrowers'!$A$2:$A$851, 0))</f>
        <v/>
      </c>
      <c r="L273">
        <f>IF(D273&lt;100000, "Micro (&lt;100K)", IF(D273&lt;500000, "Small (100K-500K)", "Medium (500K+)"))</f>
        <v/>
      </c>
      <c r="M273">
        <f>TEXT(C273, "yyyy-mm")</f>
        <v/>
      </c>
    </row>
    <row r="274">
      <c r="A274" t="inlineStr">
        <is>
          <t>LN200300</t>
        </is>
      </c>
      <c r="B274" t="inlineStr">
        <is>
          <t>BOR100227</t>
        </is>
      </c>
      <c r="C274" s="8" t="n">
        <v>45669</v>
      </c>
      <c r="D274" s="9" t="n">
        <v>74000</v>
      </c>
      <c r="E274" t="n">
        <v>3</v>
      </c>
      <c r="F274" s="10" t="n">
        <v>0.235</v>
      </c>
      <c r="G274" t="inlineStr">
        <is>
          <t>Working Capital</t>
        </is>
      </c>
      <c r="H274" t="inlineStr">
        <is>
          <t>LO005</t>
        </is>
      </c>
      <c r="I274" t="inlineStr">
        <is>
          <t>Mobile App</t>
        </is>
      </c>
      <c r="J274">
        <f>INDEX('Data - Borrowers'!$B$2:$B$851, MATCH(B274, 'Data - Borrowers'!$A$2:$A$851, 0))</f>
        <v/>
      </c>
      <c r="K274">
        <f>INDEX('Data - Borrowers'!$C$2:$C$851, MATCH(B274, 'Data - Borrowers'!$A$2:$A$851, 0))</f>
        <v/>
      </c>
      <c r="L274">
        <f>IF(D274&lt;100000, "Micro (&lt;100K)", IF(D274&lt;500000, "Small (100K-500K)", "Medium (500K+)"))</f>
        <v/>
      </c>
      <c r="M274">
        <f>TEXT(C274, "yyyy-mm")</f>
        <v/>
      </c>
    </row>
    <row r="275">
      <c r="A275" t="inlineStr">
        <is>
          <t>LN200301</t>
        </is>
      </c>
      <c r="B275" t="inlineStr">
        <is>
          <t>BOR100228</t>
        </is>
      </c>
      <c r="C275" s="8" t="n">
        <v>45898</v>
      </c>
      <c r="D275" s="9" t="n">
        <v>74000</v>
      </c>
      <c r="E275" t="n">
        <v>18</v>
      </c>
      <c r="F275" s="10" t="n">
        <v>0.164</v>
      </c>
      <c r="G275" t="inlineStr">
        <is>
          <t>Working Capital</t>
        </is>
      </c>
      <c r="H275" t="inlineStr">
        <is>
          <t>LO013</t>
        </is>
      </c>
      <c r="I275" t="inlineStr">
        <is>
          <t>Mobile App</t>
        </is>
      </c>
      <c r="J275">
        <f>INDEX('Data - Borrowers'!$B$2:$B$851, MATCH(B275, 'Data - Borrowers'!$A$2:$A$851, 0))</f>
        <v/>
      </c>
      <c r="K275">
        <f>INDEX('Data - Borrowers'!$C$2:$C$851, MATCH(B275, 'Data - Borrowers'!$A$2:$A$851, 0))</f>
        <v/>
      </c>
      <c r="L275">
        <f>IF(D275&lt;100000, "Micro (&lt;100K)", IF(D275&lt;500000, "Small (100K-500K)", "Medium (500K+)"))</f>
        <v/>
      </c>
      <c r="M275">
        <f>TEXT(C275, "yyyy-mm")</f>
        <v/>
      </c>
    </row>
    <row r="276">
      <c r="A276" t="inlineStr">
        <is>
          <t>LN200302</t>
        </is>
      </c>
      <c r="B276" t="inlineStr">
        <is>
          <t>BOR100229</t>
        </is>
      </c>
      <c r="C276" s="8" t="n">
        <v>45701</v>
      </c>
      <c r="D276" s="9" t="n">
        <v>37000</v>
      </c>
      <c r="E276" t="n">
        <v>3</v>
      </c>
      <c r="F276" s="10" t="n">
        <v>0.169</v>
      </c>
      <c r="G276" t="inlineStr">
        <is>
          <t>Invoice Discounting</t>
        </is>
      </c>
      <c r="H276" t="inlineStr">
        <is>
          <t>LO010</t>
        </is>
      </c>
      <c r="I276" t="inlineStr">
        <is>
          <t>Mobile App</t>
        </is>
      </c>
      <c r="J276">
        <f>INDEX('Data - Borrowers'!$B$2:$B$851, MATCH(B276, 'Data - Borrowers'!$A$2:$A$851, 0))</f>
        <v/>
      </c>
      <c r="K276">
        <f>INDEX('Data - Borrowers'!$C$2:$C$851, MATCH(B276, 'Data - Borrowers'!$A$2:$A$851, 0))</f>
        <v/>
      </c>
      <c r="L276">
        <f>IF(D276&lt;100000, "Micro (&lt;100K)", IF(D276&lt;500000, "Small (100K-500K)", "Medium (500K+)"))</f>
        <v/>
      </c>
      <c r="M276">
        <f>TEXT(C276, "yyyy-mm")</f>
        <v/>
      </c>
    </row>
    <row r="277">
      <c r="A277" t="inlineStr">
        <is>
          <t>LN200303</t>
        </is>
      </c>
      <c r="B277" t="inlineStr">
        <is>
          <t>BOR100230</t>
        </is>
      </c>
      <c r="C277" s="8" t="n">
        <v>45698</v>
      </c>
      <c r="D277" s="9" t="n">
        <v>201000</v>
      </c>
      <c r="E277" t="n">
        <v>6</v>
      </c>
      <c r="F277" s="10" t="n">
        <v>0.206</v>
      </c>
      <c r="G277" t="inlineStr">
        <is>
          <t>Working Capital</t>
        </is>
      </c>
      <c r="H277" t="inlineStr">
        <is>
          <t>LO007</t>
        </is>
      </c>
      <c r="I277" t="inlineStr">
        <is>
          <t>Partner Referral</t>
        </is>
      </c>
      <c r="J277">
        <f>INDEX('Data - Borrowers'!$B$2:$B$851, MATCH(B277, 'Data - Borrowers'!$A$2:$A$851, 0))</f>
        <v/>
      </c>
      <c r="K277">
        <f>INDEX('Data - Borrowers'!$C$2:$C$851, MATCH(B277, 'Data - Borrowers'!$A$2:$A$851, 0))</f>
        <v/>
      </c>
      <c r="L277">
        <f>IF(D277&lt;100000, "Micro (&lt;100K)", IF(D277&lt;500000, "Small (100K-500K)", "Medium (500K+)"))</f>
        <v/>
      </c>
      <c r="M277">
        <f>TEXT(C277, "yyyy-mm")</f>
        <v/>
      </c>
    </row>
    <row r="278">
      <c r="A278" t="inlineStr">
        <is>
          <t>LN200304</t>
        </is>
      </c>
      <c r="B278" t="inlineStr">
        <is>
          <t>BOR100231</t>
        </is>
      </c>
      <c r="C278" s="8" t="n">
        <v>45666</v>
      </c>
      <c r="D278" s="9" t="n">
        <v>152000</v>
      </c>
      <c r="E278" t="n">
        <v>3</v>
      </c>
      <c r="F278" s="10" t="n">
        <v>0.184</v>
      </c>
      <c r="G278" t="inlineStr">
        <is>
          <t>Asset Finance</t>
        </is>
      </c>
      <c r="H278" t="inlineStr">
        <is>
          <t>LO018</t>
        </is>
      </c>
      <c r="I278" t="inlineStr">
        <is>
          <t>Branch</t>
        </is>
      </c>
      <c r="J278">
        <f>INDEX('Data - Borrowers'!$B$2:$B$851, MATCH(B278, 'Data - Borrowers'!$A$2:$A$851, 0))</f>
        <v/>
      </c>
      <c r="K278">
        <f>INDEX('Data - Borrowers'!$C$2:$C$851, MATCH(B278, 'Data - Borrowers'!$A$2:$A$851, 0))</f>
        <v/>
      </c>
      <c r="L278">
        <f>IF(D278&lt;100000, "Micro (&lt;100K)", IF(D278&lt;500000, "Small (100K-500K)", "Medium (500K+)"))</f>
        <v/>
      </c>
      <c r="M278">
        <f>TEXT(C278, "yyyy-mm")</f>
        <v/>
      </c>
    </row>
    <row r="279">
      <c r="A279" t="inlineStr">
        <is>
          <t>LN200305</t>
        </is>
      </c>
      <c r="B279" t="inlineStr">
        <is>
          <t>BOR100232</t>
        </is>
      </c>
      <c r="C279" s="8" t="n">
        <v>46128</v>
      </c>
      <c r="D279" s="9" t="n">
        <v>90000</v>
      </c>
      <c r="E279" t="n">
        <v>3</v>
      </c>
      <c r="F279" s="10" t="n">
        <v>0.217</v>
      </c>
      <c r="G279" t="inlineStr">
        <is>
          <t>Invoice Discounting</t>
        </is>
      </c>
      <c r="H279" t="inlineStr">
        <is>
          <t>LO006</t>
        </is>
      </c>
      <c r="I279" t="inlineStr">
        <is>
          <t>Partner Referral</t>
        </is>
      </c>
      <c r="J279">
        <f>INDEX('Data - Borrowers'!$B$2:$B$851, MATCH(B279, 'Data - Borrowers'!$A$2:$A$851, 0))</f>
        <v/>
      </c>
      <c r="K279">
        <f>INDEX('Data - Borrowers'!$C$2:$C$851, MATCH(B279, 'Data - Borrowers'!$A$2:$A$851, 0))</f>
        <v/>
      </c>
      <c r="L279">
        <f>IF(D279&lt;100000, "Micro (&lt;100K)", IF(D279&lt;500000, "Small (100K-500K)", "Medium (500K+)"))</f>
        <v/>
      </c>
      <c r="M279">
        <f>TEXT(C279, "yyyy-mm")</f>
        <v/>
      </c>
    </row>
    <row r="280">
      <c r="A280" t="inlineStr">
        <is>
          <t>LN200306</t>
        </is>
      </c>
      <c r="B280" t="inlineStr">
        <is>
          <t>BOR100233</t>
        </is>
      </c>
      <c r="C280" s="8" t="n">
        <v>46167</v>
      </c>
      <c r="D280" s="9" t="n">
        <v>58000</v>
      </c>
      <c r="E280" t="n">
        <v>12</v>
      </c>
      <c r="F280" s="10" t="n">
        <v>0.153</v>
      </c>
      <c r="G280" t="inlineStr">
        <is>
          <t>Asset Finance</t>
        </is>
      </c>
      <c r="H280" t="inlineStr">
        <is>
          <t>LO006</t>
        </is>
      </c>
      <c r="I280" t="inlineStr">
        <is>
          <t>Mobile App</t>
        </is>
      </c>
      <c r="J280">
        <f>INDEX('Data - Borrowers'!$B$2:$B$851, MATCH(B280, 'Data - Borrowers'!$A$2:$A$851, 0))</f>
        <v/>
      </c>
      <c r="K280">
        <f>INDEX('Data - Borrowers'!$C$2:$C$851, MATCH(B280, 'Data - Borrowers'!$A$2:$A$851, 0))</f>
        <v/>
      </c>
      <c r="L280">
        <f>IF(D280&lt;100000, "Micro (&lt;100K)", IF(D280&lt;500000, "Small (100K-500K)", "Medium (500K+)"))</f>
        <v/>
      </c>
      <c r="M280">
        <f>TEXT(C280, "yyyy-mm")</f>
        <v/>
      </c>
    </row>
    <row r="281">
      <c r="A281" t="inlineStr">
        <is>
          <t>LN200308</t>
        </is>
      </c>
      <c r="B281" t="inlineStr">
        <is>
          <t>BOR100234</t>
        </is>
      </c>
      <c r="C281" s="8" t="n">
        <v>45847</v>
      </c>
      <c r="D281" s="9" t="n">
        <v>29000</v>
      </c>
      <c r="E281" t="n">
        <v>12</v>
      </c>
      <c r="F281" s="10" t="n">
        <v>0.201</v>
      </c>
      <c r="G281" t="inlineStr">
        <is>
          <t>Asset Finance</t>
        </is>
      </c>
      <c r="H281" t="inlineStr">
        <is>
          <t>LO001</t>
        </is>
      </c>
      <c r="I281" t="inlineStr">
        <is>
          <t>Mobile App</t>
        </is>
      </c>
      <c r="J281">
        <f>INDEX('Data - Borrowers'!$B$2:$B$851, MATCH(B281, 'Data - Borrowers'!$A$2:$A$851, 0))</f>
        <v/>
      </c>
      <c r="K281">
        <f>INDEX('Data - Borrowers'!$C$2:$C$851, MATCH(B281, 'Data - Borrowers'!$A$2:$A$851, 0))</f>
        <v/>
      </c>
      <c r="L281">
        <f>IF(D281&lt;100000, "Micro (&lt;100K)", IF(D281&lt;500000, "Small (100K-500K)", "Medium (500K+)"))</f>
        <v/>
      </c>
      <c r="M281">
        <f>TEXT(C281, "yyyy-mm")</f>
        <v/>
      </c>
    </row>
    <row r="282">
      <c r="A282" t="inlineStr">
        <is>
          <t>LN200309</t>
        </is>
      </c>
      <c r="B282" t="inlineStr">
        <is>
          <t>BOR100235</t>
        </is>
      </c>
      <c r="C282" s="8" t="n">
        <v>45810</v>
      </c>
      <c r="D282" s="9" t="n">
        <v>65000</v>
      </c>
      <c r="E282" t="n">
        <v>3</v>
      </c>
      <c r="F282" s="10" t="n">
        <v>0.151</v>
      </c>
      <c r="G282" t="inlineStr">
        <is>
          <t>Working Capital</t>
        </is>
      </c>
      <c r="H282" t="inlineStr">
        <is>
          <t>LO021</t>
        </is>
      </c>
      <c r="I282" t="inlineStr">
        <is>
          <t>Mobile App</t>
        </is>
      </c>
      <c r="J282">
        <f>INDEX('Data - Borrowers'!$B$2:$B$851, MATCH(B282, 'Data - Borrowers'!$A$2:$A$851, 0))</f>
        <v/>
      </c>
      <c r="K282">
        <f>INDEX('Data - Borrowers'!$C$2:$C$851, MATCH(B282, 'Data - Borrowers'!$A$2:$A$851, 0))</f>
        <v/>
      </c>
      <c r="L282">
        <f>IF(D282&lt;100000, "Micro (&lt;100K)", IF(D282&lt;500000, "Small (100K-500K)", "Medium (500K+)"))</f>
        <v/>
      </c>
      <c r="M282">
        <f>TEXT(C282, "yyyy-mm")</f>
        <v/>
      </c>
    </row>
    <row r="283">
      <c r="A283" t="inlineStr">
        <is>
          <t>LN200310</t>
        </is>
      </c>
      <c r="B283" t="inlineStr">
        <is>
          <t>BOR100236</t>
        </is>
      </c>
      <c r="C283" s="8" t="n">
        <v>45988</v>
      </c>
      <c r="D283" s="9" t="n">
        <v>71000</v>
      </c>
      <c r="E283" t="n">
        <v>9</v>
      </c>
      <c r="F283" s="10" t="n">
        <v>0.16</v>
      </c>
      <c r="G283" t="inlineStr">
        <is>
          <t>Working Capital</t>
        </is>
      </c>
      <c r="H283" t="inlineStr">
        <is>
          <t>LO011</t>
        </is>
      </c>
      <c r="I283" t="inlineStr">
        <is>
          <t>Partner Referral</t>
        </is>
      </c>
      <c r="J283">
        <f>INDEX('Data - Borrowers'!$B$2:$B$851, MATCH(B283, 'Data - Borrowers'!$A$2:$A$851, 0))</f>
        <v/>
      </c>
      <c r="K283">
        <f>INDEX('Data - Borrowers'!$C$2:$C$851, MATCH(B283, 'Data - Borrowers'!$A$2:$A$851, 0))</f>
        <v/>
      </c>
      <c r="L283">
        <f>IF(D283&lt;100000, "Micro (&lt;100K)", IF(D283&lt;500000, "Small (100K-500K)", "Medium (500K+)"))</f>
        <v/>
      </c>
      <c r="M283">
        <f>TEXT(C283, "yyyy-mm")</f>
        <v/>
      </c>
    </row>
    <row r="284">
      <c r="A284" t="inlineStr">
        <is>
          <t>LN200311</t>
        </is>
      </c>
      <c r="B284" t="inlineStr">
        <is>
          <t>BOR100237</t>
        </is>
      </c>
      <c r="C284" s="8" t="n">
        <v>45743</v>
      </c>
      <c r="D284" s="9" t="n">
        <v>46000</v>
      </c>
      <c r="E284" t="n">
        <v>6</v>
      </c>
      <c r="F284" s="10" t="n">
        <v>0.228</v>
      </c>
      <c r="G284" t="inlineStr">
        <is>
          <t>Asset Finance</t>
        </is>
      </c>
      <c r="H284" t="inlineStr">
        <is>
          <t>LO015</t>
        </is>
      </c>
      <c r="I284" t="inlineStr">
        <is>
          <t>Branch</t>
        </is>
      </c>
      <c r="J284">
        <f>INDEX('Data - Borrowers'!$B$2:$B$851, MATCH(B284, 'Data - Borrowers'!$A$2:$A$851, 0))</f>
        <v/>
      </c>
      <c r="K284">
        <f>INDEX('Data - Borrowers'!$C$2:$C$851, MATCH(B284, 'Data - Borrowers'!$A$2:$A$851, 0))</f>
        <v/>
      </c>
      <c r="L284">
        <f>IF(D284&lt;100000, "Micro (&lt;100K)", IF(D284&lt;500000, "Small (100K-500K)", "Medium (500K+)"))</f>
        <v/>
      </c>
      <c r="M284">
        <f>TEXT(C284, "yyyy-mm")</f>
        <v/>
      </c>
    </row>
    <row r="285">
      <c r="A285" t="inlineStr">
        <is>
          <t>LN200312</t>
        </is>
      </c>
      <c r="B285" t="inlineStr">
        <is>
          <t>BOR100238</t>
        </is>
      </c>
      <c r="C285" s="8" t="n">
        <v>45879</v>
      </c>
      <c r="D285" s="9" t="n">
        <v>51000</v>
      </c>
      <c r="E285" t="n">
        <v>6</v>
      </c>
      <c r="F285" s="10" t="n">
        <v>0.235</v>
      </c>
      <c r="G285" t="inlineStr">
        <is>
          <t>Asset Finance</t>
        </is>
      </c>
      <c r="H285" t="inlineStr">
        <is>
          <t>LO015</t>
        </is>
      </c>
      <c r="I285" t="inlineStr">
        <is>
          <t>Mobile App</t>
        </is>
      </c>
      <c r="J285">
        <f>INDEX('Data - Borrowers'!$B$2:$B$851, MATCH(B285, 'Data - Borrowers'!$A$2:$A$851, 0))</f>
        <v/>
      </c>
      <c r="K285">
        <f>INDEX('Data - Borrowers'!$C$2:$C$851, MATCH(B285, 'Data - Borrowers'!$A$2:$A$851, 0))</f>
        <v/>
      </c>
      <c r="L285">
        <f>IF(D285&lt;100000, "Micro (&lt;100K)", IF(D285&lt;500000, "Small (100K-500K)", "Medium (500K+)"))</f>
        <v/>
      </c>
      <c r="M285">
        <f>TEXT(C285, "yyyy-mm")</f>
        <v/>
      </c>
    </row>
    <row r="286">
      <c r="A286" t="inlineStr">
        <is>
          <t>LN200313</t>
        </is>
      </c>
      <c r="B286" t="inlineStr">
        <is>
          <t>BOR100239</t>
        </is>
      </c>
      <c r="C286" s="8" t="n">
        <v>46159</v>
      </c>
      <c r="D286" s="9" t="n">
        <v>104000</v>
      </c>
      <c r="E286" t="n">
        <v>6</v>
      </c>
      <c r="F286" s="10" t="n">
        <v>0.157</v>
      </c>
      <c r="G286" t="inlineStr">
        <is>
          <t>Working Capital</t>
        </is>
      </c>
      <c r="H286" t="inlineStr">
        <is>
          <t>LO025</t>
        </is>
      </c>
      <c r="I286" t="inlineStr">
        <is>
          <t>Branch</t>
        </is>
      </c>
      <c r="J286">
        <f>INDEX('Data - Borrowers'!$B$2:$B$851, MATCH(B286, 'Data - Borrowers'!$A$2:$A$851, 0))</f>
        <v/>
      </c>
      <c r="K286">
        <f>INDEX('Data - Borrowers'!$C$2:$C$851, MATCH(B286, 'Data - Borrowers'!$A$2:$A$851, 0))</f>
        <v/>
      </c>
      <c r="L286">
        <f>IF(D286&lt;100000, "Micro (&lt;100K)", IF(D286&lt;500000, "Small (100K-500K)", "Medium (500K+)"))</f>
        <v/>
      </c>
      <c r="M286">
        <f>TEXT(C286, "yyyy-mm")</f>
        <v/>
      </c>
    </row>
    <row r="287">
      <c r="A287" t="inlineStr">
        <is>
          <t>LN200315</t>
        </is>
      </c>
      <c r="B287" t="inlineStr">
        <is>
          <t>BOR100240</t>
        </is>
      </c>
      <c r="C287" s="8" t="n">
        <v>46227</v>
      </c>
      <c r="D287" s="9" t="n">
        <v>25000</v>
      </c>
      <c r="E287" t="n">
        <v>9</v>
      </c>
      <c r="F287" s="10" t="n">
        <v>0.148</v>
      </c>
      <c r="G287" t="inlineStr">
        <is>
          <t>Working Capital</t>
        </is>
      </c>
      <c r="H287" t="inlineStr">
        <is>
          <t>LO011</t>
        </is>
      </c>
      <c r="I287" t="inlineStr">
        <is>
          <t>Branch</t>
        </is>
      </c>
      <c r="J287">
        <f>INDEX('Data - Borrowers'!$B$2:$B$851, MATCH(B287, 'Data - Borrowers'!$A$2:$A$851, 0))</f>
        <v/>
      </c>
      <c r="K287">
        <f>INDEX('Data - Borrowers'!$C$2:$C$851, MATCH(B287, 'Data - Borrowers'!$A$2:$A$851, 0))</f>
        <v/>
      </c>
      <c r="L287">
        <f>IF(D287&lt;100000, "Micro (&lt;100K)", IF(D287&lt;500000, "Small (100K-500K)", "Medium (500K+)"))</f>
        <v/>
      </c>
      <c r="M287">
        <f>TEXT(C287, "yyyy-mm")</f>
        <v/>
      </c>
    </row>
    <row r="288">
      <c r="A288" t="inlineStr">
        <is>
          <t>LN200316</t>
        </is>
      </c>
      <c r="B288" t="inlineStr">
        <is>
          <t>BOR100241</t>
        </is>
      </c>
      <c r="C288" s="8" t="n">
        <v>46006</v>
      </c>
      <c r="D288" s="9" t="n">
        <v>33000</v>
      </c>
      <c r="E288" t="n">
        <v>12</v>
      </c>
      <c r="F288" s="10" t="n">
        <v>0.222</v>
      </c>
      <c r="G288" t="inlineStr">
        <is>
          <t>Asset Finance</t>
        </is>
      </c>
      <c r="H288" t="inlineStr">
        <is>
          <t>LO011</t>
        </is>
      </c>
      <c r="I288" t="inlineStr">
        <is>
          <t>Branch</t>
        </is>
      </c>
      <c r="J288">
        <f>INDEX('Data - Borrowers'!$B$2:$B$851, MATCH(B288, 'Data - Borrowers'!$A$2:$A$851, 0))</f>
        <v/>
      </c>
      <c r="K288">
        <f>INDEX('Data - Borrowers'!$C$2:$C$851, MATCH(B288, 'Data - Borrowers'!$A$2:$A$851, 0))</f>
        <v/>
      </c>
      <c r="L288">
        <f>IF(D288&lt;100000, "Micro (&lt;100K)", IF(D288&lt;500000, "Small (100K-500K)", "Medium (500K+)"))</f>
        <v/>
      </c>
      <c r="M288">
        <f>TEXT(C288, "yyyy-mm")</f>
        <v/>
      </c>
    </row>
    <row r="289">
      <c r="A289" t="inlineStr">
        <is>
          <t>LN200317</t>
        </is>
      </c>
      <c r="B289" t="inlineStr">
        <is>
          <t>BOR100242</t>
        </is>
      </c>
      <c r="C289" s="8" t="n">
        <v>45860</v>
      </c>
      <c r="D289" s="9" t="n">
        <v>224000</v>
      </c>
      <c r="E289" t="n">
        <v>9</v>
      </c>
      <c r="F289" s="10" t="n">
        <v>0.208</v>
      </c>
      <c r="G289" t="inlineStr">
        <is>
          <t>Asset Finance</t>
        </is>
      </c>
      <c r="H289" t="inlineStr">
        <is>
          <t>LO020</t>
        </is>
      </c>
      <c r="I289" t="inlineStr">
        <is>
          <t>Partner Referral</t>
        </is>
      </c>
      <c r="J289">
        <f>INDEX('Data - Borrowers'!$B$2:$B$851, MATCH(B289, 'Data - Borrowers'!$A$2:$A$851, 0))</f>
        <v/>
      </c>
      <c r="K289">
        <f>INDEX('Data - Borrowers'!$C$2:$C$851, MATCH(B289, 'Data - Borrowers'!$A$2:$A$851, 0))</f>
        <v/>
      </c>
      <c r="L289">
        <f>IF(D289&lt;100000, "Micro (&lt;100K)", IF(D289&lt;500000, "Small (100K-500K)", "Medium (500K+)"))</f>
        <v/>
      </c>
      <c r="M289">
        <f>TEXT(C289, "yyyy-mm")</f>
        <v/>
      </c>
    </row>
    <row r="290">
      <c r="A290" t="inlineStr">
        <is>
          <t>LN200318</t>
        </is>
      </c>
      <c r="B290" t="inlineStr">
        <is>
          <t>BOR100243</t>
        </is>
      </c>
      <c r="C290" s="8" t="n">
        <v>46183</v>
      </c>
      <c r="D290" s="9" t="n">
        <v>237000</v>
      </c>
      <c r="E290" t="n">
        <v>12</v>
      </c>
      <c r="F290" s="10" t="n">
        <v>0.143</v>
      </c>
      <c r="G290" t="inlineStr">
        <is>
          <t>Asset Finance</t>
        </is>
      </c>
      <c r="H290" t="inlineStr">
        <is>
          <t>LO021</t>
        </is>
      </c>
      <c r="I290" t="inlineStr">
        <is>
          <t>Mobile App</t>
        </is>
      </c>
      <c r="J290">
        <f>INDEX('Data - Borrowers'!$B$2:$B$851, MATCH(B290, 'Data - Borrowers'!$A$2:$A$851, 0))</f>
        <v/>
      </c>
      <c r="K290">
        <f>INDEX('Data - Borrowers'!$C$2:$C$851, MATCH(B290, 'Data - Borrowers'!$A$2:$A$851, 0))</f>
        <v/>
      </c>
      <c r="L290">
        <f>IF(D290&lt;100000, "Micro (&lt;100K)", IF(D290&lt;500000, "Small (100K-500K)", "Medium (500K+)"))</f>
        <v/>
      </c>
      <c r="M290">
        <f>TEXT(C290, "yyyy-mm")</f>
        <v/>
      </c>
    </row>
    <row r="291">
      <c r="A291" t="inlineStr">
        <is>
          <t>LN200319</t>
        </is>
      </c>
      <c r="B291" t="inlineStr">
        <is>
          <t>BOR100244</t>
        </is>
      </c>
      <c r="C291" s="8" t="n">
        <v>45861</v>
      </c>
      <c r="D291" s="9" t="n">
        <v>139000</v>
      </c>
      <c r="E291" t="n">
        <v>12</v>
      </c>
      <c r="F291" s="10" t="n">
        <v>0.17</v>
      </c>
      <c r="G291" t="inlineStr">
        <is>
          <t>Asset Finance</t>
        </is>
      </c>
      <c r="H291" t="inlineStr">
        <is>
          <t>LO012</t>
        </is>
      </c>
      <c r="I291" t="inlineStr">
        <is>
          <t>Branch</t>
        </is>
      </c>
      <c r="J291">
        <f>INDEX('Data - Borrowers'!$B$2:$B$851, MATCH(B291, 'Data - Borrowers'!$A$2:$A$851, 0))</f>
        <v/>
      </c>
      <c r="K291">
        <f>INDEX('Data - Borrowers'!$C$2:$C$851, MATCH(B291, 'Data - Borrowers'!$A$2:$A$851, 0))</f>
        <v/>
      </c>
      <c r="L291">
        <f>IF(D291&lt;100000, "Micro (&lt;100K)", IF(D291&lt;500000, "Small (100K-500K)", "Medium (500K+)"))</f>
        <v/>
      </c>
      <c r="M291">
        <f>TEXT(C291, "yyyy-mm")</f>
        <v/>
      </c>
    </row>
    <row r="292">
      <c r="A292" t="inlineStr">
        <is>
          <t>LN200320</t>
        </is>
      </c>
      <c r="B292" t="inlineStr">
        <is>
          <t>BOR100245</t>
        </is>
      </c>
      <c r="C292" s="8" t="n">
        <v>45941</v>
      </c>
      <c r="D292" s="9" t="n">
        <v>161000</v>
      </c>
      <c r="E292" t="n">
        <v>6</v>
      </c>
      <c r="F292" s="10" t="n">
        <v>0.208</v>
      </c>
      <c r="G292" t="inlineStr">
        <is>
          <t>Working Capital</t>
        </is>
      </c>
      <c r="H292" t="inlineStr">
        <is>
          <t>LO014</t>
        </is>
      </c>
      <c r="I292" t="inlineStr">
        <is>
          <t>Branch</t>
        </is>
      </c>
      <c r="J292">
        <f>INDEX('Data - Borrowers'!$B$2:$B$851, MATCH(B292, 'Data - Borrowers'!$A$2:$A$851, 0))</f>
        <v/>
      </c>
      <c r="K292">
        <f>INDEX('Data - Borrowers'!$C$2:$C$851, MATCH(B292, 'Data - Borrowers'!$A$2:$A$851, 0))</f>
        <v/>
      </c>
      <c r="L292">
        <f>IF(D292&lt;100000, "Micro (&lt;100K)", IF(D292&lt;500000, "Small (100K-500K)", "Medium (500K+)"))</f>
        <v/>
      </c>
      <c r="M292">
        <f>TEXT(C292, "yyyy-mm")</f>
        <v/>
      </c>
    </row>
    <row r="293">
      <c r="A293" t="inlineStr">
        <is>
          <t>LN200321</t>
        </is>
      </c>
      <c r="B293" t="inlineStr">
        <is>
          <t>BOR100246</t>
        </is>
      </c>
      <c r="C293" s="8" t="n">
        <v>45738</v>
      </c>
      <c r="D293" s="9" t="n">
        <v>67000</v>
      </c>
      <c r="E293" t="n">
        <v>18</v>
      </c>
      <c r="F293" s="10" t="n">
        <v>0.159</v>
      </c>
      <c r="G293" t="inlineStr">
        <is>
          <t>Working Capital</t>
        </is>
      </c>
      <c r="H293" t="inlineStr">
        <is>
          <t>LO001</t>
        </is>
      </c>
      <c r="I293" t="inlineStr">
        <is>
          <t>Mobile App</t>
        </is>
      </c>
      <c r="J293">
        <f>INDEX('Data - Borrowers'!$B$2:$B$851, MATCH(B293, 'Data - Borrowers'!$A$2:$A$851, 0))</f>
        <v/>
      </c>
      <c r="K293">
        <f>INDEX('Data - Borrowers'!$C$2:$C$851, MATCH(B293, 'Data - Borrowers'!$A$2:$A$851, 0))</f>
        <v/>
      </c>
      <c r="L293">
        <f>IF(D293&lt;100000, "Micro (&lt;100K)", IF(D293&lt;500000, "Small (100K-500K)", "Medium (500K+)"))</f>
        <v/>
      </c>
      <c r="M293">
        <f>TEXT(C293, "yyyy-mm")</f>
        <v/>
      </c>
    </row>
    <row r="294">
      <c r="A294" t="inlineStr">
        <is>
          <t>LN200322</t>
        </is>
      </c>
      <c r="B294" t="inlineStr">
        <is>
          <t>BOR100247</t>
        </is>
      </c>
      <c r="C294" s="8" t="n">
        <v>45880</v>
      </c>
      <c r="D294" s="9" t="n">
        <v>89000</v>
      </c>
      <c r="E294" t="n">
        <v>3</v>
      </c>
      <c r="F294" s="10" t="n">
        <v>0.151</v>
      </c>
      <c r="G294" t="inlineStr">
        <is>
          <t>Working Capital</t>
        </is>
      </c>
      <c r="H294" t="inlineStr">
        <is>
          <t>LO018</t>
        </is>
      </c>
      <c r="I294" t="inlineStr">
        <is>
          <t>Mobile App</t>
        </is>
      </c>
      <c r="J294">
        <f>INDEX('Data - Borrowers'!$B$2:$B$851, MATCH(B294, 'Data - Borrowers'!$A$2:$A$851, 0))</f>
        <v/>
      </c>
      <c r="K294">
        <f>INDEX('Data - Borrowers'!$C$2:$C$851, MATCH(B294, 'Data - Borrowers'!$A$2:$A$851, 0))</f>
        <v/>
      </c>
      <c r="L294">
        <f>IF(D294&lt;100000, "Micro (&lt;100K)", IF(D294&lt;500000, "Small (100K-500K)", "Medium (500K+)"))</f>
        <v/>
      </c>
      <c r="M294">
        <f>TEXT(C294, "yyyy-mm")</f>
        <v/>
      </c>
    </row>
    <row r="295">
      <c r="A295" t="inlineStr">
        <is>
          <t>LN200323</t>
        </is>
      </c>
      <c r="B295" t="inlineStr">
        <is>
          <t>BOR100248</t>
        </is>
      </c>
      <c r="C295" s="8" t="n">
        <v>45983</v>
      </c>
      <c r="D295" s="9" t="n">
        <v>117000</v>
      </c>
      <c r="E295" t="n">
        <v>6</v>
      </c>
      <c r="F295" s="10" t="n">
        <v>0.179</v>
      </c>
      <c r="G295" t="inlineStr">
        <is>
          <t>Working Capital</t>
        </is>
      </c>
      <c r="H295" t="inlineStr">
        <is>
          <t>LO017</t>
        </is>
      </c>
      <c r="I295" t="inlineStr">
        <is>
          <t>Branch</t>
        </is>
      </c>
      <c r="J295">
        <f>INDEX('Data - Borrowers'!$B$2:$B$851, MATCH(B295, 'Data - Borrowers'!$A$2:$A$851, 0))</f>
        <v/>
      </c>
      <c r="K295">
        <f>INDEX('Data - Borrowers'!$C$2:$C$851, MATCH(B295, 'Data - Borrowers'!$A$2:$A$851, 0))</f>
        <v/>
      </c>
      <c r="L295">
        <f>IF(D295&lt;100000, "Micro (&lt;100K)", IF(D295&lt;500000, "Small (100K-500K)", "Medium (500K+)"))</f>
        <v/>
      </c>
      <c r="M295">
        <f>TEXT(C295, "yyyy-mm")</f>
        <v/>
      </c>
    </row>
    <row r="296">
      <c r="A296" t="inlineStr">
        <is>
          <t>LN200324</t>
        </is>
      </c>
      <c r="B296" t="inlineStr">
        <is>
          <t>BOR100249</t>
        </is>
      </c>
      <c r="C296" s="8" t="n">
        <v>46013</v>
      </c>
      <c r="D296" s="9" t="n">
        <v>88000</v>
      </c>
      <c r="E296" t="n">
        <v>9</v>
      </c>
      <c r="F296" s="10" t="n">
        <v>0.165</v>
      </c>
      <c r="G296" t="inlineStr">
        <is>
          <t>Invoice Discounting</t>
        </is>
      </c>
      <c r="H296" t="inlineStr">
        <is>
          <t>LO004</t>
        </is>
      </c>
      <c r="I296" t="inlineStr">
        <is>
          <t>Mobile App</t>
        </is>
      </c>
      <c r="J296">
        <f>INDEX('Data - Borrowers'!$B$2:$B$851, MATCH(B296, 'Data - Borrowers'!$A$2:$A$851, 0))</f>
        <v/>
      </c>
      <c r="K296">
        <f>INDEX('Data - Borrowers'!$C$2:$C$851, MATCH(B296, 'Data - Borrowers'!$A$2:$A$851, 0))</f>
        <v/>
      </c>
      <c r="L296">
        <f>IF(D296&lt;100000, "Micro (&lt;100K)", IF(D296&lt;500000, "Small (100K-500K)", "Medium (500K+)"))</f>
        <v/>
      </c>
      <c r="M296">
        <f>TEXT(C296, "yyyy-mm")</f>
        <v/>
      </c>
    </row>
    <row r="297">
      <c r="A297" t="inlineStr">
        <is>
          <t>LN200325</t>
        </is>
      </c>
      <c r="B297" t="inlineStr">
        <is>
          <t>BOR100249</t>
        </is>
      </c>
      <c r="C297" s="8" t="n">
        <v>46231</v>
      </c>
      <c r="D297" s="9" t="n">
        <v>62000</v>
      </c>
      <c r="E297" t="n">
        <v>9</v>
      </c>
      <c r="F297" s="10" t="n">
        <v>0.185</v>
      </c>
      <c r="G297" t="inlineStr">
        <is>
          <t>Invoice Discounting</t>
        </is>
      </c>
      <c r="H297" t="inlineStr">
        <is>
          <t>LO002</t>
        </is>
      </c>
      <c r="I297" t="inlineStr">
        <is>
          <t>Mobile App</t>
        </is>
      </c>
      <c r="J297">
        <f>INDEX('Data - Borrowers'!$B$2:$B$851, MATCH(B297, 'Data - Borrowers'!$A$2:$A$851, 0))</f>
        <v/>
      </c>
      <c r="K297">
        <f>INDEX('Data - Borrowers'!$C$2:$C$851, MATCH(B297, 'Data - Borrowers'!$A$2:$A$851, 0))</f>
        <v/>
      </c>
      <c r="L297">
        <f>IF(D297&lt;100000, "Micro (&lt;100K)", IF(D297&lt;500000, "Small (100K-500K)", "Medium (500K+)"))</f>
        <v/>
      </c>
      <c r="M297">
        <f>TEXT(C297, "yyyy-mm")</f>
        <v/>
      </c>
    </row>
    <row r="298">
      <c r="A298" t="inlineStr">
        <is>
          <t>LN200327</t>
        </is>
      </c>
      <c r="B298" t="inlineStr">
        <is>
          <t>BOR100250</t>
        </is>
      </c>
      <c r="C298" s="8" t="n">
        <v>45990</v>
      </c>
      <c r="D298" s="9" t="n">
        <v>151000</v>
      </c>
      <c r="E298" t="n">
        <v>9</v>
      </c>
      <c r="F298" s="10" t="n">
        <v>0.218</v>
      </c>
      <c r="G298" t="inlineStr">
        <is>
          <t>Asset Finance</t>
        </is>
      </c>
      <c r="H298" t="inlineStr">
        <is>
          <t>LO013</t>
        </is>
      </c>
      <c r="I298" t="inlineStr">
        <is>
          <t>Mobile App</t>
        </is>
      </c>
      <c r="J298">
        <f>INDEX('Data - Borrowers'!$B$2:$B$851, MATCH(B298, 'Data - Borrowers'!$A$2:$A$851, 0))</f>
        <v/>
      </c>
      <c r="K298">
        <f>INDEX('Data - Borrowers'!$C$2:$C$851, MATCH(B298, 'Data - Borrowers'!$A$2:$A$851, 0))</f>
        <v/>
      </c>
      <c r="L298">
        <f>IF(D298&lt;100000, "Micro (&lt;100K)", IF(D298&lt;500000, "Small (100K-500K)", "Medium (500K+)"))</f>
        <v/>
      </c>
      <c r="M298">
        <f>TEXT(C298, "yyyy-mm")</f>
        <v/>
      </c>
    </row>
    <row r="299">
      <c r="A299" t="inlineStr">
        <is>
          <t>LN200328</t>
        </is>
      </c>
      <c r="B299" t="inlineStr">
        <is>
          <t>BOR100251</t>
        </is>
      </c>
      <c r="C299" s="8" t="n">
        <v>46176</v>
      </c>
      <c r="D299" s="9" t="n">
        <v>37000</v>
      </c>
      <c r="E299" t="n">
        <v>3</v>
      </c>
      <c r="F299" s="10" t="n">
        <v>0.144</v>
      </c>
      <c r="G299" t="inlineStr">
        <is>
          <t>Working Capital</t>
        </is>
      </c>
      <c r="H299" t="inlineStr">
        <is>
          <t>LO018</t>
        </is>
      </c>
      <c r="I299" t="inlineStr">
        <is>
          <t>Branch</t>
        </is>
      </c>
      <c r="J299">
        <f>INDEX('Data - Borrowers'!$B$2:$B$851, MATCH(B299, 'Data - Borrowers'!$A$2:$A$851, 0))</f>
        <v/>
      </c>
      <c r="K299">
        <f>INDEX('Data - Borrowers'!$C$2:$C$851, MATCH(B299, 'Data - Borrowers'!$A$2:$A$851, 0))</f>
        <v/>
      </c>
      <c r="L299">
        <f>IF(D299&lt;100000, "Micro (&lt;100K)", IF(D299&lt;500000, "Small (100K-500K)", "Medium (500K+)"))</f>
        <v/>
      </c>
      <c r="M299">
        <f>TEXT(C299, "yyyy-mm")</f>
        <v/>
      </c>
    </row>
    <row r="300">
      <c r="A300" t="inlineStr">
        <is>
          <t>LN200329</t>
        </is>
      </c>
      <c r="B300" t="inlineStr">
        <is>
          <t>BOR100252</t>
        </is>
      </c>
      <c r="C300" s="8" t="n">
        <v>45953</v>
      </c>
      <c r="D300" s="9" t="n">
        <v>109000</v>
      </c>
      <c r="E300" t="n">
        <v>3</v>
      </c>
      <c r="F300" s="10" t="n">
        <v>0.143</v>
      </c>
      <c r="G300" t="inlineStr">
        <is>
          <t>Working Capital</t>
        </is>
      </c>
      <c r="H300" t="inlineStr">
        <is>
          <t>LO017</t>
        </is>
      </c>
      <c r="I300" t="inlineStr">
        <is>
          <t>Partner Referral</t>
        </is>
      </c>
      <c r="J300">
        <f>INDEX('Data - Borrowers'!$B$2:$B$851, MATCH(B300, 'Data - Borrowers'!$A$2:$A$851, 0))</f>
        <v/>
      </c>
      <c r="K300">
        <f>INDEX('Data - Borrowers'!$C$2:$C$851, MATCH(B300, 'Data - Borrowers'!$A$2:$A$851, 0))</f>
        <v/>
      </c>
      <c r="L300">
        <f>IF(D300&lt;100000, "Micro (&lt;100K)", IF(D300&lt;500000, "Small (100K-500K)", "Medium (500K+)"))</f>
        <v/>
      </c>
      <c r="M300">
        <f>TEXT(C300, "yyyy-mm")</f>
        <v/>
      </c>
    </row>
    <row r="301">
      <c r="A301" t="inlineStr">
        <is>
          <t>LN200330</t>
        </is>
      </c>
      <c r="B301" t="inlineStr">
        <is>
          <t>BOR100253</t>
        </is>
      </c>
      <c r="C301" s="8" t="n">
        <v>45713</v>
      </c>
      <c r="D301" s="9" t="n">
        <v>165000</v>
      </c>
      <c r="E301" t="n">
        <v>6</v>
      </c>
      <c r="F301" s="10" t="n">
        <v>0.214</v>
      </c>
      <c r="G301" t="inlineStr">
        <is>
          <t>Working Capital</t>
        </is>
      </c>
      <c r="H301" t="inlineStr">
        <is>
          <t>LO006</t>
        </is>
      </c>
      <c r="I301" t="inlineStr">
        <is>
          <t>Mobile App</t>
        </is>
      </c>
      <c r="J301">
        <f>INDEX('Data - Borrowers'!$B$2:$B$851, MATCH(B301, 'Data - Borrowers'!$A$2:$A$851, 0))</f>
        <v/>
      </c>
      <c r="K301">
        <f>INDEX('Data - Borrowers'!$C$2:$C$851, MATCH(B301, 'Data - Borrowers'!$A$2:$A$851, 0))</f>
        <v/>
      </c>
      <c r="L301">
        <f>IF(D301&lt;100000, "Micro (&lt;100K)", IF(D301&lt;500000, "Small (100K-500K)", "Medium (500K+)"))</f>
        <v/>
      </c>
      <c r="M301">
        <f>TEXT(C301, "yyyy-mm")</f>
        <v/>
      </c>
    </row>
    <row r="302">
      <c r="A302" t="inlineStr">
        <is>
          <t>LN200331</t>
        </is>
      </c>
      <c r="B302" t="inlineStr">
        <is>
          <t>BOR100254</t>
        </is>
      </c>
      <c r="C302" s="8" t="n">
        <v>46133</v>
      </c>
      <c r="D302" s="9" t="n">
        <v>20000</v>
      </c>
      <c r="E302" t="n">
        <v>9</v>
      </c>
      <c r="F302" s="10" t="n">
        <v>0.204</v>
      </c>
      <c r="G302" t="inlineStr">
        <is>
          <t>Invoice Discounting</t>
        </is>
      </c>
      <c r="H302" t="inlineStr">
        <is>
          <t>LO013</t>
        </is>
      </c>
      <c r="I302" t="inlineStr">
        <is>
          <t>Partner Referral</t>
        </is>
      </c>
      <c r="J302">
        <f>INDEX('Data - Borrowers'!$B$2:$B$851, MATCH(B302, 'Data - Borrowers'!$A$2:$A$851, 0))</f>
        <v/>
      </c>
      <c r="K302">
        <f>INDEX('Data - Borrowers'!$C$2:$C$851, MATCH(B302, 'Data - Borrowers'!$A$2:$A$851, 0))</f>
        <v/>
      </c>
      <c r="L302">
        <f>IF(D302&lt;100000, "Micro (&lt;100K)", IF(D302&lt;500000, "Small (100K-500K)", "Medium (500K+)"))</f>
        <v/>
      </c>
      <c r="M302">
        <f>TEXT(C302, "yyyy-mm")</f>
        <v/>
      </c>
    </row>
    <row r="303">
      <c r="A303" t="inlineStr">
        <is>
          <t>LN200332</t>
        </is>
      </c>
      <c r="B303" t="inlineStr">
        <is>
          <t>BOR100255</t>
        </is>
      </c>
      <c r="C303" s="8" t="n">
        <v>46063</v>
      </c>
      <c r="D303" s="9" t="n">
        <v>309000</v>
      </c>
      <c r="E303" t="n">
        <v>3</v>
      </c>
      <c r="F303" s="10" t="n">
        <v>0.192</v>
      </c>
      <c r="G303" t="inlineStr">
        <is>
          <t>Invoice Discounting</t>
        </is>
      </c>
      <c r="H303" t="inlineStr">
        <is>
          <t>LO025</t>
        </is>
      </c>
      <c r="I303" t="inlineStr">
        <is>
          <t>Branch</t>
        </is>
      </c>
      <c r="J303">
        <f>INDEX('Data - Borrowers'!$B$2:$B$851, MATCH(B303, 'Data - Borrowers'!$A$2:$A$851, 0))</f>
        <v/>
      </c>
      <c r="K303">
        <f>INDEX('Data - Borrowers'!$C$2:$C$851, MATCH(B303, 'Data - Borrowers'!$A$2:$A$851, 0))</f>
        <v/>
      </c>
      <c r="L303">
        <f>IF(D303&lt;100000, "Micro (&lt;100K)", IF(D303&lt;500000, "Small (100K-500K)", "Medium (500K+)"))</f>
        <v/>
      </c>
      <c r="M303">
        <f>TEXT(C303, "yyyy-mm")</f>
        <v/>
      </c>
    </row>
    <row r="304">
      <c r="A304" t="inlineStr">
        <is>
          <t>LN200333</t>
        </is>
      </c>
      <c r="B304" t="inlineStr">
        <is>
          <t>BOR100256</t>
        </is>
      </c>
      <c r="C304" s="8" t="n">
        <v>45827</v>
      </c>
      <c r="D304" s="9" t="n">
        <v>20000</v>
      </c>
      <c r="E304" t="n">
        <v>6</v>
      </c>
      <c r="F304" s="10" t="n">
        <v>0.174</v>
      </c>
      <c r="G304" t="inlineStr">
        <is>
          <t>Asset Finance</t>
        </is>
      </c>
      <c r="H304" t="inlineStr">
        <is>
          <t>LO022</t>
        </is>
      </c>
      <c r="I304" t="inlineStr">
        <is>
          <t>Partner Referral</t>
        </is>
      </c>
      <c r="J304">
        <f>INDEX('Data - Borrowers'!$B$2:$B$851, MATCH(B304, 'Data - Borrowers'!$A$2:$A$851, 0))</f>
        <v/>
      </c>
      <c r="K304">
        <f>INDEX('Data - Borrowers'!$C$2:$C$851, MATCH(B304, 'Data - Borrowers'!$A$2:$A$851, 0))</f>
        <v/>
      </c>
      <c r="L304">
        <f>IF(D304&lt;100000, "Micro (&lt;100K)", IF(D304&lt;500000, "Small (100K-500K)", "Medium (500K+)"))</f>
        <v/>
      </c>
      <c r="M304">
        <f>TEXT(C304, "yyyy-mm")</f>
        <v/>
      </c>
    </row>
    <row r="305">
      <c r="A305" t="inlineStr">
        <is>
          <t>LN200334</t>
        </is>
      </c>
      <c r="B305" t="inlineStr">
        <is>
          <t>BOR100257</t>
        </is>
      </c>
      <c r="C305" s="8" t="n">
        <v>45861</v>
      </c>
      <c r="D305" s="9" t="n">
        <v>68000</v>
      </c>
      <c r="E305" t="n">
        <v>12</v>
      </c>
      <c r="F305" s="10" t="n">
        <v>0.123</v>
      </c>
      <c r="G305" t="inlineStr">
        <is>
          <t>Invoice Discounting</t>
        </is>
      </c>
      <c r="H305" t="inlineStr">
        <is>
          <t>LO002</t>
        </is>
      </c>
      <c r="I305" t="inlineStr">
        <is>
          <t>Branch</t>
        </is>
      </c>
      <c r="J305">
        <f>INDEX('Data - Borrowers'!$B$2:$B$851, MATCH(B305, 'Data - Borrowers'!$A$2:$A$851, 0))</f>
        <v/>
      </c>
      <c r="K305">
        <f>INDEX('Data - Borrowers'!$C$2:$C$851, MATCH(B305, 'Data - Borrowers'!$A$2:$A$851, 0))</f>
        <v/>
      </c>
      <c r="L305">
        <f>IF(D305&lt;100000, "Micro (&lt;100K)", IF(D305&lt;500000, "Small (100K-500K)", "Medium (500K+)"))</f>
        <v/>
      </c>
      <c r="M305">
        <f>TEXT(C305, "yyyy-mm")</f>
        <v/>
      </c>
    </row>
    <row r="306">
      <c r="A306" t="inlineStr">
        <is>
          <t>LN200335</t>
        </is>
      </c>
      <c r="B306" t="inlineStr">
        <is>
          <t>BOR100257</t>
        </is>
      </c>
      <c r="C306" s="8" t="n">
        <v>45963</v>
      </c>
      <c r="D306" s="9" t="n">
        <v>97000</v>
      </c>
      <c r="E306" t="n">
        <v>9</v>
      </c>
      <c r="F306" s="10" t="n">
        <v>0.163</v>
      </c>
      <c r="G306" t="inlineStr">
        <is>
          <t>Working Capital</t>
        </is>
      </c>
      <c r="H306" t="inlineStr">
        <is>
          <t>LO007</t>
        </is>
      </c>
      <c r="I306" t="inlineStr">
        <is>
          <t>Partner Referral</t>
        </is>
      </c>
      <c r="J306">
        <f>INDEX('Data - Borrowers'!$B$2:$B$851, MATCH(B306, 'Data - Borrowers'!$A$2:$A$851, 0))</f>
        <v/>
      </c>
      <c r="K306">
        <f>INDEX('Data - Borrowers'!$C$2:$C$851, MATCH(B306, 'Data - Borrowers'!$A$2:$A$851, 0))</f>
        <v/>
      </c>
      <c r="L306">
        <f>IF(D306&lt;100000, "Micro (&lt;100K)", IF(D306&lt;500000, "Small (100K-500K)", "Medium (500K+)"))</f>
        <v/>
      </c>
      <c r="M306">
        <f>TEXT(C306, "yyyy-mm")</f>
        <v/>
      </c>
    </row>
    <row r="307">
      <c r="A307" t="inlineStr">
        <is>
          <t>LN200336</t>
        </is>
      </c>
      <c r="B307" t="inlineStr">
        <is>
          <t>BOR100258</t>
        </is>
      </c>
      <c r="C307" s="8" t="n">
        <v>46155</v>
      </c>
      <c r="D307" s="9" t="n">
        <v>268000</v>
      </c>
      <c r="E307" t="n">
        <v>9</v>
      </c>
      <c r="F307" s="10" t="n">
        <v>0.167</v>
      </c>
      <c r="G307" t="inlineStr">
        <is>
          <t>Working Capital</t>
        </is>
      </c>
      <c r="H307" t="inlineStr">
        <is>
          <t>LO009</t>
        </is>
      </c>
      <c r="I307" t="inlineStr">
        <is>
          <t>Branch</t>
        </is>
      </c>
      <c r="J307">
        <f>INDEX('Data - Borrowers'!$B$2:$B$851, MATCH(B307, 'Data - Borrowers'!$A$2:$A$851, 0))</f>
        <v/>
      </c>
      <c r="K307">
        <f>INDEX('Data - Borrowers'!$C$2:$C$851, MATCH(B307, 'Data - Borrowers'!$A$2:$A$851, 0))</f>
        <v/>
      </c>
      <c r="L307">
        <f>IF(D307&lt;100000, "Micro (&lt;100K)", IF(D307&lt;500000, "Small (100K-500K)", "Medium (500K+)"))</f>
        <v/>
      </c>
      <c r="M307">
        <f>TEXT(C307, "yyyy-mm")</f>
        <v/>
      </c>
    </row>
    <row r="308">
      <c r="A308" t="inlineStr">
        <is>
          <t>LN200337</t>
        </is>
      </c>
      <c r="B308" t="inlineStr">
        <is>
          <t>BOR100259</t>
        </is>
      </c>
      <c r="C308" s="8" t="n">
        <v>46037</v>
      </c>
      <c r="D308" s="9" t="n">
        <v>45000</v>
      </c>
      <c r="E308" t="n">
        <v>3</v>
      </c>
      <c r="F308" s="10" t="n">
        <v>0.136</v>
      </c>
      <c r="G308" t="inlineStr">
        <is>
          <t>Asset Finance</t>
        </is>
      </c>
      <c r="H308" t="inlineStr">
        <is>
          <t>LO004</t>
        </is>
      </c>
      <c r="I308" t="inlineStr">
        <is>
          <t>Partner Referral</t>
        </is>
      </c>
      <c r="J308">
        <f>INDEX('Data - Borrowers'!$B$2:$B$851, MATCH(B308, 'Data - Borrowers'!$A$2:$A$851, 0))</f>
        <v/>
      </c>
      <c r="K308">
        <f>INDEX('Data - Borrowers'!$C$2:$C$851, MATCH(B308, 'Data - Borrowers'!$A$2:$A$851, 0))</f>
        <v/>
      </c>
      <c r="L308">
        <f>IF(D308&lt;100000, "Micro (&lt;100K)", IF(D308&lt;500000, "Small (100K-500K)", "Medium (500K+)"))</f>
        <v/>
      </c>
      <c r="M308">
        <f>TEXT(C308, "yyyy-mm")</f>
        <v/>
      </c>
    </row>
    <row r="309">
      <c r="A309" t="inlineStr">
        <is>
          <t>LN200339</t>
        </is>
      </c>
      <c r="B309" t="inlineStr">
        <is>
          <t>BOR100260</t>
        </is>
      </c>
      <c r="C309" s="8" t="n">
        <v>46200</v>
      </c>
      <c r="D309" s="9" t="n">
        <v>30000</v>
      </c>
      <c r="E309" t="n">
        <v>3</v>
      </c>
      <c r="F309" s="10" t="n">
        <v>0.152</v>
      </c>
      <c r="G309" t="inlineStr">
        <is>
          <t>Asset Finance</t>
        </is>
      </c>
      <c r="H309" t="inlineStr">
        <is>
          <t>LO003</t>
        </is>
      </c>
      <c r="I309" t="inlineStr">
        <is>
          <t>Partner Referral</t>
        </is>
      </c>
      <c r="J309">
        <f>INDEX('Data - Borrowers'!$B$2:$B$851, MATCH(B309, 'Data - Borrowers'!$A$2:$A$851, 0))</f>
        <v/>
      </c>
      <c r="K309">
        <f>INDEX('Data - Borrowers'!$C$2:$C$851, MATCH(B309, 'Data - Borrowers'!$A$2:$A$851, 0))</f>
        <v/>
      </c>
      <c r="L309">
        <f>IF(D309&lt;100000, "Micro (&lt;100K)", IF(D309&lt;500000, "Small (100K-500K)", "Medium (500K+)"))</f>
        <v/>
      </c>
      <c r="M309">
        <f>TEXT(C309, "yyyy-mm")</f>
        <v/>
      </c>
    </row>
    <row r="310">
      <c r="A310" t="inlineStr">
        <is>
          <t>LN200341</t>
        </is>
      </c>
      <c r="B310" t="inlineStr">
        <is>
          <t>BOR100261</t>
        </is>
      </c>
      <c r="C310" s="8" t="n">
        <v>45741</v>
      </c>
      <c r="D310" s="9" t="n">
        <v>22000</v>
      </c>
      <c r="E310" t="n">
        <v>9</v>
      </c>
      <c r="F310" s="10" t="n">
        <v>0.229</v>
      </c>
      <c r="G310" t="inlineStr">
        <is>
          <t>Invoice Discounting</t>
        </is>
      </c>
      <c r="H310" t="inlineStr">
        <is>
          <t>LO010</t>
        </is>
      </c>
      <c r="I310" t="inlineStr">
        <is>
          <t>Mobile App</t>
        </is>
      </c>
      <c r="J310">
        <f>INDEX('Data - Borrowers'!$B$2:$B$851, MATCH(B310, 'Data - Borrowers'!$A$2:$A$851, 0))</f>
        <v/>
      </c>
      <c r="K310">
        <f>INDEX('Data - Borrowers'!$C$2:$C$851, MATCH(B310, 'Data - Borrowers'!$A$2:$A$851, 0))</f>
        <v/>
      </c>
      <c r="L310">
        <f>IF(D310&lt;100000, "Micro (&lt;100K)", IF(D310&lt;500000, "Small (100K-500K)", "Medium (500K+)"))</f>
        <v/>
      </c>
      <c r="M310">
        <f>TEXT(C310, "yyyy-mm")</f>
        <v/>
      </c>
    </row>
    <row r="311">
      <c r="A311" t="inlineStr">
        <is>
          <t>LN200342</t>
        </is>
      </c>
      <c r="B311" t="inlineStr">
        <is>
          <t>BOR100262</t>
        </is>
      </c>
      <c r="C311" s="8" t="n">
        <v>46029</v>
      </c>
      <c r="D311" s="9" t="n">
        <v>211000</v>
      </c>
      <c r="E311" t="n">
        <v>6</v>
      </c>
      <c r="F311" s="10" t="n">
        <v>0.174</v>
      </c>
      <c r="G311" t="inlineStr">
        <is>
          <t>Invoice Discounting</t>
        </is>
      </c>
      <c r="H311" t="inlineStr">
        <is>
          <t>LO001</t>
        </is>
      </c>
      <c r="I311" t="inlineStr">
        <is>
          <t>Branch</t>
        </is>
      </c>
      <c r="J311">
        <f>INDEX('Data - Borrowers'!$B$2:$B$851, MATCH(B311, 'Data - Borrowers'!$A$2:$A$851, 0))</f>
        <v/>
      </c>
      <c r="K311">
        <f>INDEX('Data - Borrowers'!$C$2:$C$851, MATCH(B311, 'Data - Borrowers'!$A$2:$A$851, 0))</f>
        <v/>
      </c>
      <c r="L311">
        <f>IF(D311&lt;100000, "Micro (&lt;100K)", IF(D311&lt;500000, "Small (100K-500K)", "Medium (500K+)"))</f>
        <v/>
      </c>
      <c r="M311">
        <f>TEXT(C311, "yyyy-mm")</f>
        <v/>
      </c>
    </row>
    <row r="312">
      <c r="A312" t="inlineStr">
        <is>
          <t>LN200343</t>
        </is>
      </c>
      <c r="B312" t="inlineStr">
        <is>
          <t>BOR100263</t>
        </is>
      </c>
      <c r="C312" s="8" t="n">
        <v>45699</v>
      </c>
      <c r="D312" s="9" t="n">
        <v>20000</v>
      </c>
      <c r="E312" t="n">
        <v>6</v>
      </c>
      <c r="F312" s="10" t="n">
        <v>0.168</v>
      </c>
      <c r="G312" t="inlineStr">
        <is>
          <t>Working Capital</t>
        </is>
      </c>
      <c r="H312" t="inlineStr">
        <is>
          <t>LO019</t>
        </is>
      </c>
      <c r="I312" t="inlineStr">
        <is>
          <t>Mobile App</t>
        </is>
      </c>
      <c r="J312">
        <f>INDEX('Data - Borrowers'!$B$2:$B$851, MATCH(B312, 'Data - Borrowers'!$A$2:$A$851, 0))</f>
        <v/>
      </c>
      <c r="K312">
        <f>INDEX('Data - Borrowers'!$C$2:$C$851, MATCH(B312, 'Data - Borrowers'!$A$2:$A$851, 0))</f>
        <v/>
      </c>
      <c r="L312">
        <f>IF(D312&lt;100000, "Micro (&lt;100K)", IF(D312&lt;500000, "Small (100K-500K)", "Medium (500K+)"))</f>
        <v/>
      </c>
      <c r="M312">
        <f>TEXT(C312, "yyyy-mm")</f>
        <v/>
      </c>
    </row>
    <row r="313">
      <c r="A313" t="inlineStr">
        <is>
          <t>LN200344</t>
        </is>
      </c>
      <c r="B313" t="inlineStr">
        <is>
          <t>BOR100264</t>
        </is>
      </c>
      <c r="C313" s="8" t="n">
        <v>46015</v>
      </c>
      <c r="D313" s="9" t="n">
        <v>206000</v>
      </c>
      <c r="E313" t="n">
        <v>18</v>
      </c>
      <c r="F313" s="10" t="n">
        <v>0.159</v>
      </c>
      <c r="G313" t="inlineStr">
        <is>
          <t>Invoice Discounting</t>
        </is>
      </c>
      <c r="H313" t="inlineStr">
        <is>
          <t>LO006</t>
        </is>
      </c>
      <c r="I313" t="inlineStr">
        <is>
          <t>Mobile App</t>
        </is>
      </c>
      <c r="J313">
        <f>INDEX('Data - Borrowers'!$B$2:$B$851, MATCH(B313, 'Data - Borrowers'!$A$2:$A$851, 0))</f>
        <v/>
      </c>
      <c r="K313">
        <f>INDEX('Data - Borrowers'!$C$2:$C$851, MATCH(B313, 'Data - Borrowers'!$A$2:$A$851, 0))</f>
        <v/>
      </c>
      <c r="L313">
        <f>IF(D313&lt;100000, "Micro (&lt;100K)", IF(D313&lt;500000, "Small (100K-500K)", "Medium (500K+)"))</f>
        <v/>
      </c>
      <c r="M313">
        <f>TEXT(C313, "yyyy-mm")</f>
        <v/>
      </c>
    </row>
    <row r="314">
      <c r="A314" t="inlineStr">
        <is>
          <t>LN200345</t>
        </is>
      </c>
      <c r="B314" t="inlineStr">
        <is>
          <t>BOR100265</t>
        </is>
      </c>
      <c r="C314" s="8" t="n">
        <v>45685</v>
      </c>
      <c r="D314" s="9" t="n">
        <v>77000</v>
      </c>
      <c r="E314" t="n">
        <v>9</v>
      </c>
      <c r="F314" s="10" t="n">
        <v>0.236</v>
      </c>
      <c r="G314" t="inlineStr">
        <is>
          <t>Invoice Discounting</t>
        </is>
      </c>
      <c r="H314" t="inlineStr">
        <is>
          <t>LO010</t>
        </is>
      </c>
      <c r="I314" t="inlineStr">
        <is>
          <t>Mobile App</t>
        </is>
      </c>
      <c r="J314">
        <f>INDEX('Data - Borrowers'!$B$2:$B$851, MATCH(B314, 'Data - Borrowers'!$A$2:$A$851, 0))</f>
        <v/>
      </c>
      <c r="K314">
        <f>INDEX('Data - Borrowers'!$C$2:$C$851, MATCH(B314, 'Data - Borrowers'!$A$2:$A$851, 0))</f>
        <v/>
      </c>
      <c r="L314">
        <f>IF(D314&lt;100000, "Micro (&lt;100K)", IF(D314&lt;500000, "Small (100K-500K)", "Medium (500K+)"))</f>
        <v/>
      </c>
      <c r="M314">
        <f>TEXT(C314, "yyyy-mm")</f>
        <v/>
      </c>
    </row>
    <row r="315">
      <c r="A315" t="inlineStr">
        <is>
          <t>LN200346</t>
        </is>
      </c>
      <c r="B315" t="inlineStr">
        <is>
          <t>BOR100266</t>
        </is>
      </c>
      <c r="C315" s="8" t="n">
        <v>45905</v>
      </c>
      <c r="D315" s="9" t="n">
        <v>35000</v>
      </c>
      <c r="E315" t="n">
        <v>12</v>
      </c>
      <c r="F315" s="10" t="n">
        <v>0.199</v>
      </c>
      <c r="G315" t="inlineStr">
        <is>
          <t>Working Capital</t>
        </is>
      </c>
      <c r="H315" t="inlineStr">
        <is>
          <t>LO015</t>
        </is>
      </c>
      <c r="I315" t="inlineStr">
        <is>
          <t>Partner Referral</t>
        </is>
      </c>
      <c r="J315">
        <f>INDEX('Data - Borrowers'!$B$2:$B$851, MATCH(B315, 'Data - Borrowers'!$A$2:$A$851, 0))</f>
        <v/>
      </c>
      <c r="K315">
        <f>INDEX('Data - Borrowers'!$C$2:$C$851, MATCH(B315, 'Data - Borrowers'!$A$2:$A$851, 0))</f>
        <v/>
      </c>
      <c r="L315">
        <f>IF(D315&lt;100000, "Micro (&lt;100K)", IF(D315&lt;500000, "Small (100K-500K)", "Medium (500K+)"))</f>
        <v/>
      </c>
      <c r="M315">
        <f>TEXT(C315, "yyyy-mm")</f>
        <v/>
      </c>
    </row>
    <row r="316">
      <c r="A316" t="inlineStr">
        <is>
          <t>LN200347</t>
        </is>
      </c>
      <c r="B316" t="inlineStr">
        <is>
          <t>BOR100267</t>
        </is>
      </c>
      <c r="C316" s="8" t="n">
        <v>45882</v>
      </c>
      <c r="D316" s="9" t="n">
        <v>99000</v>
      </c>
      <c r="E316" t="n">
        <v>3</v>
      </c>
      <c r="F316" s="10" t="n">
        <v>0.186</v>
      </c>
      <c r="G316" t="inlineStr">
        <is>
          <t>Working Capital</t>
        </is>
      </c>
      <c r="H316" t="inlineStr">
        <is>
          <t>LO013</t>
        </is>
      </c>
      <c r="I316" t="inlineStr">
        <is>
          <t>Partner Referral</t>
        </is>
      </c>
      <c r="J316">
        <f>INDEX('Data - Borrowers'!$B$2:$B$851, MATCH(B316, 'Data - Borrowers'!$A$2:$A$851, 0))</f>
        <v/>
      </c>
      <c r="K316">
        <f>INDEX('Data - Borrowers'!$C$2:$C$851, MATCH(B316, 'Data - Borrowers'!$A$2:$A$851, 0))</f>
        <v/>
      </c>
      <c r="L316">
        <f>IF(D316&lt;100000, "Micro (&lt;100K)", IF(D316&lt;500000, "Small (100K-500K)", "Medium (500K+)"))</f>
        <v/>
      </c>
      <c r="M316">
        <f>TEXT(C316, "yyyy-mm")</f>
        <v/>
      </c>
    </row>
    <row r="317">
      <c r="A317" t="inlineStr">
        <is>
          <t>LN200348</t>
        </is>
      </c>
      <c r="B317" t="inlineStr">
        <is>
          <t>BOR100268</t>
        </is>
      </c>
      <c r="C317" s="8" t="n">
        <v>45822</v>
      </c>
      <c r="D317" s="9" t="n">
        <v>39000</v>
      </c>
      <c r="E317" t="n">
        <v>6</v>
      </c>
      <c r="F317" s="10" t="n">
        <v>0.177</v>
      </c>
      <c r="G317" t="inlineStr">
        <is>
          <t>Working Capital</t>
        </is>
      </c>
      <c r="H317" t="inlineStr">
        <is>
          <t>LO015</t>
        </is>
      </c>
      <c r="I317" t="inlineStr">
        <is>
          <t>Mobile App</t>
        </is>
      </c>
      <c r="J317">
        <f>INDEX('Data - Borrowers'!$B$2:$B$851, MATCH(B317, 'Data - Borrowers'!$A$2:$A$851, 0))</f>
        <v/>
      </c>
      <c r="K317">
        <f>INDEX('Data - Borrowers'!$C$2:$C$851, MATCH(B317, 'Data - Borrowers'!$A$2:$A$851, 0))</f>
        <v/>
      </c>
      <c r="L317">
        <f>IF(D317&lt;100000, "Micro (&lt;100K)", IF(D317&lt;500000, "Small (100K-500K)", "Medium (500K+)"))</f>
        <v/>
      </c>
      <c r="M317">
        <f>TEXT(C317, "yyyy-mm")</f>
        <v/>
      </c>
    </row>
    <row r="318">
      <c r="A318" t="inlineStr">
        <is>
          <t>LN200349</t>
        </is>
      </c>
      <c r="B318" t="inlineStr">
        <is>
          <t>BOR100269</t>
        </is>
      </c>
      <c r="C318" s="8" t="n">
        <v>45810</v>
      </c>
      <c r="D318" s="9" t="n">
        <v>198000</v>
      </c>
      <c r="E318" t="n">
        <v>18</v>
      </c>
      <c r="F318" s="10" t="n">
        <v>0.179</v>
      </c>
      <c r="G318" t="inlineStr">
        <is>
          <t>Working Capital</t>
        </is>
      </c>
      <c r="H318" t="inlineStr">
        <is>
          <t>LO023</t>
        </is>
      </c>
      <c r="I318" t="inlineStr">
        <is>
          <t>Branch</t>
        </is>
      </c>
      <c r="J318">
        <f>INDEX('Data - Borrowers'!$B$2:$B$851, MATCH(B318, 'Data - Borrowers'!$A$2:$A$851, 0))</f>
        <v/>
      </c>
      <c r="K318">
        <f>INDEX('Data - Borrowers'!$C$2:$C$851, MATCH(B318, 'Data - Borrowers'!$A$2:$A$851, 0))</f>
        <v/>
      </c>
      <c r="L318">
        <f>IF(D318&lt;100000, "Micro (&lt;100K)", IF(D318&lt;500000, "Small (100K-500K)", "Medium (500K+)"))</f>
        <v/>
      </c>
      <c r="M318">
        <f>TEXT(C318, "yyyy-mm")</f>
        <v/>
      </c>
    </row>
    <row r="319">
      <c r="A319" t="inlineStr">
        <is>
          <t>LN200350</t>
        </is>
      </c>
      <c r="B319" t="inlineStr">
        <is>
          <t>BOR100270</t>
        </is>
      </c>
      <c r="C319" s="8" t="n">
        <v>45880</v>
      </c>
      <c r="D319" s="9" t="n">
        <v>160000</v>
      </c>
      <c r="E319" t="n">
        <v>9</v>
      </c>
      <c r="F319" s="10" t="n">
        <v>0.212</v>
      </c>
      <c r="G319" t="inlineStr">
        <is>
          <t>Working Capital</t>
        </is>
      </c>
      <c r="H319" t="inlineStr">
        <is>
          <t>LO018</t>
        </is>
      </c>
      <c r="I319" t="inlineStr">
        <is>
          <t>Partner Referral</t>
        </is>
      </c>
      <c r="J319">
        <f>INDEX('Data - Borrowers'!$B$2:$B$851, MATCH(B319, 'Data - Borrowers'!$A$2:$A$851, 0))</f>
        <v/>
      </c>
      <c r="K319">
        <f>INDEX('Data - Borrowers'!$C$2:$C$851, MATCH(B319, 'Data - Borrowers'!$A$2:$A$851, 0))</f>
        <v/>
      </c>
      <c r="L319">
        <f>IF(D319&lt;100000, "Micro (&lt;100K)", IF(D319&lt;500000, "Small (100K-500K)", "Medium (500K+)"))</f>
        <v/>
      </c>
      <c r="M319">
        <f>TEXT(C319, "yyyy-mm")</f>
        <v/>
      </c>
    </row>
    <row r="320">
      <c r="A320" t="inlineStr">
        <is>
          <t>LN200351</t>
        </is>
      </c>
      <c r="B320" t="inlineStr">
        <is>
          <t>BOR100271</t>
        </is>
      </c>
      <c r="C320" s="8" t="n">
        <v>46176</v>
      </c>
      <c r="D320" s="9" t="n">
        <v>40000</v>
      </c>
      <c r="E320" t="n">
        <v>3</v>
      </c>
      <c r="F320" s="10" t="n">
        <v>0.23</v>
      </c>
      <c r="G320" t="inlineStr">
        <is>
          <t>Working Capital</t>
        </is>
      </c>
      <c r="H320" t="inlineStr">
        <is>
          <t>LO023</t>
        </is>
      </c>
      <c r="I320" t="inlineStr">
        <is>
          <t>Mobile App</t>
        </is>
      </c>
      <c r="J320">
        <f>INDEX('Data - Borrowers'!$B$2:$B$851, MATCH(B320, 'Data - Borrowers'!$A$2:$A$851, 0))</f>
        <v/>
      </c>
      <c r="K320">
        <f>INDEX('Data - Borrowers'!$C$2:$C$851, MATCH(B320, 'Data - Borrowers'!$A$2:$A$851, 0))</f>
        <v/>
      </c>
      <c r="L320">
        <f>IF(D320&lt;100000, "Micro (&lt;100K)", IF(D320&lt;500000, "Small (100K-500K)", "Medium (500K+)"))</f>
        <v/>
      </c>
      <c r="M320">
        <f>TEXT(C320, "yyyy-mm")</f>
        <v/>
      </c>
    </row>
    <row r="321">
      <c r="A321" t="inlineStr">
        <is>
          <t>LN200352</t>
        </is>
      </c>
      <c r="B321" t="inlineStr">
        <is>
          <t>BOR100272</t>
        </is>
      </c>
      <c r="C321" s="8" t="n">
        <v>46192</v>
      </c>
      <c r="D321" s="9" t="n">
        <v>79000</v>
      </c>
      <c r="E321" t="n">
        <v>12</v>
      </c>
      <c r="F321" s="10" t="n">
        <v>0.138</v>
      </c>
      <c r="G321" t="inlineStr">
        <is>
          <t>Working Capital</t>
        </is>
      </c>
      <c r="H321" t="inlineStr">
        <is>
          <t>LO002</t>
        </is>
      </c>
      <c r="I321" t="inlineStr">
        <is>
          <t>Partner Referral</t>
        </is>
      </c>
      <c r="J321">
        <f>INDEX('Data - Borrowers'!$B$2:$B$851, MATCH(B321, 'Data - Borrowers'!$A$2:$A$851, 0))</f>
        <v/>
      </c>
      <c r="K321">
        <f>INDEX('Data - Borrowers'!$C$2:$C$851, MATCH(B321, 'Data - Borrowers'!$A$2:$A$851, 0))</f>
        <v/>
      </c>
      <c r="L321">
        <f>IF(D321&lt;100000, "Micro (&lt;100K)", IF(D321&lt;500000, "Small (100K-500K)", "Medium (500K+)"))</f>
        <v/>
      </c>
      <c r="M321">
        <f>TEXT(C321, "yyyy-mm")</f>
        <v/>
      </c>
    </row>
    <row r="322">
      <c r="A322" t="inlineStr">
        <is>
          <t>LN200354</t>
        </is>
      </c>
      <c r="B322" t="inlineStr">
        <is>
          <t>BOR100273</t>
        </is>
      </c>
      <c r="C322" s="8" t="n">
        <v>45893</v>
      </c>
      <c r="D322" s="9" t="n">
        <v>84000</v>
      </c>
      <c r="E322" t="n">
        <v>6</v>
      </c>
      <c r="F322" s="10" t="n">
        <v>0.128</v>
      </c>
      <c r="G322" t="inlineStr">
        <is>
          <t>Working Capital</t>
        </is>
      </c>
      <c r="H322" t="inlineStr">
        <is>
          <t>LO009</t>
        </is>
      </c>
      <c r="I322" t="inlineStr">
        <is>
          <t>Mobile App</t>
        </is>
      </c>
      <c r="J322">
        <f>INDEX('Data - Borrowers'!$B$2:$B$851, MATCH(B322, 'Data - Borrowers'!$A$2:$A$851, 0))</f>
        <v/>
      </c>
      <c r="K322">
        <f>INDEX('Data - Borrowers'!$C$2:$C$851, MATCH(B322, 'Data - Borrowers'!$A$2:$A$851, 0))</f>
        <v/>
      </c>
      <c r="L322">
        <f>IF(D322&lt;100000, "Micro (&lt;100K)", IF(D322&lt;500000, "Small (100K-500K)", "Medium (500K+)"))</f>
        <v/>
      </c>
      <c r="M322">
        <f>TEXT(C322, "yyyy-mm")</f>
        <v/>
      </c>
    </row>
    <row r="323">
      <c r="A323" t="inlineStr">
        <is>
          <t>LN200355</t>
        </is>
      </c>
      <c r="B323" t="inlineStr">
        <is>
          <t>BOR100274</t>
        </is>
      </c>
      <c r="C323" s="8" t="n">
        <v>45899</v>
      </c>
      <c r="D323" s="9" t="n">
        <v>159000</v>
      </c>
      <c r="E323" t="n">
        <v>3</v>
      </c>
      <c r="F323" s="10" t="n">
        <v>0.151</v>
      </c>
      <c r="G323" t="inlineStr">
        <is>
          <t>Working Capital</t>
        </is>
      </c>
      <c r="H323" t="inlineStr">
        <is>
          <t>LO014</t>
        </is>
      </c>
      <c r="I323" t="inlineStr">
        <is>
          <t>Mobile App</t>
        </is>
      </c>
      <c r="J323">
        <f>INDEX('Data - Borrowers'!$B$2:$B$851, MATCH(B323, 'Data - Borrowers'!$A$2:$A$851, 0))</f>
        <v/>
      </c>
      <c r="K323">
        <f>INDEX('Data - Borrowers'!$C$2:$C$851, MATCH(B323, 'Data - Borrowers'!$A$2:$A$851, 0))</f>
        <v/>
      </c>
      <c r="L323">
        <f>IF(D323&lt;100000, "Micro (&lt;100K)", IF(D323&lt;500000, "Small (100K-500K)", "Medium (500K+)"))</f>
        <v/>
      </c>
      <c r="M323">
        <f>TEXT(C323, "yyyy-mm")</f>
        <v/>
      </c>
    </row>
    <row r="324">
      <c r="A324" t="inlineStr">
        <is>
          <t>LN200356</t>
        </is>
      </c>
      <c r="B324" t="inlineStr">
        <is>
          <t>BOR100274</t>
        </is>
      </c>
      <c r="C324" s="8" t="n">
        <v>46036</v>
      </c>
      <c r="D324" s="9" t="n">
        <v>367000</v>
      </c>
      <c r="E324" t="n">
        <v>12</v>
      </c>
      <c r="F324" s="10" t="n">
        <v>0.167</v>
      </c>
      <c r="G324" t="inlineStr">
        <is>
          <t>Asset Finance</t>
        </is>
      </c>
      <c r="H324" t="inlineStr">
        <is>
          <t>LO017</t>
        </is>
      </c>
      <c r="I324" t="inlineStr">
        <is>
          <t>Partner Referral</t>
        </is>
      </c>
      <c r="J324">
        <f>INDEX('Data - Borrowers'!$B$2:$B$851, MATCH(B324, 'Data - Borrowers'!$A$2:$A$851, 0))</f>
        <v/>
      </c>
      <c r="K324">
        <f>INDEX('Data - Borrowers'!$C$2:$C$851, MATCH(B324, 'Data - Borrowers'!$A$2:$A$851, 0))</f>
        <v/>
      </c>
      <c r="L324">
        <f>IF(D324&lt;100000, "Micro (&lt;100K)", IF(D324&lt;500000, "Small (100K-500K)", "Medium (500K+)"))</f>
        <v/>
      </c>
      <c r="M324">
        <f>TEXT(C324, "yyyy-mm")</f>
        <v/>
      </c>
    </row>
    <row r="325">
      <c r="A325" t="inlineStr">
        <is>
          <t>LN200357</t>
        </is>
      </c>
      <c r="B325" t="inlineStr">
        <is>
          <t>BOR100275</t>
        </is>
      </c>
      <c r="C325" s="8" t="n">
        <v>45842</v>
      </c>
      <c r="D325" s="9" t="n">
        <v>30000</v>
      </c>
      <c r="E325" t="n">
        <v>6</v>
      </c>
      <c r="F325" s="10" t="n">
        <v>0.182</v>
      </c>
      <c r="G325" t="inlineStr">
        <is>
          <t>Working Capital</t>
        </is>
      </c>
      <c r="H325" t="inlineStr">
        <is>
          <t>LO006</t>
        </is>
      </c>
      <c r="I325" t="inlineStr">
        <is>
          <t>Mobile App</t>
        </is>
      </c>
      <c r="J325">
        <f>INDEX('Data - Borrowers'!$B$2:$B$851, MATCH(B325, 'Data - Borrowers'!$A$2:$A$851, 0))</f>
        <v/>
      </c>
      <c r="K325">
        <f>INDEX('Data - Borrowers'!$C$2:$C$851, MATCH(B325, 'Data - Borrowers'!$A$2:$A$851, 0))</f>
        <v/>
      </c>
      <c r="L325">
        <f>IF(D325&lt;100000, "Micro (&lt;100K)", IF(D325&lt;500000, "Small (100K-500K)", "Medium (500K+)"))</f>
        <v/>
      </c>
      <c r="M325">
        <f>TEXT(C325, "yyyy-mm")</f>
        <v/>
      </c>
    </row>
    <row r="326">
      <c r="A326" t="inlineStr">
        <is>
          <t>LN200358</t>
        </is>
      </c>
      <c r="B326" t="inlineStr">
        <is>
          <t>BOR100275</t>
        </is>
      </c>
      <c r="C326" s="8" t="n">
        <v>46003</v>
      </c>
      <c r="D326" s="9" t="n">
        <v>24000</v>
      </c>
      <c r="E326" t="n">
        <v>9</v>
      </c>
      <c r="F326" s="10" t="n">
        <v>0.212</v>
      </c>
      <c r="G326" t="inlineStr">
        <is>
          <t>Asset Finance</t>
        </is>
      </c>
      <c r="H326" t="inlineStr">
        <is>
          <t>LO024</t>
        </is>
      </c>
      <c r="I326" t="inlineStr">
        <is>
          <t>Branch</t>
        </is>
      </c>
      <c r="J326">
        <f>INDEX('Data - Borrowers'!$B$2:$B$851, MATCH(B326, 'Data - Borrowers'!$A$2:$A$851, 0))</f>
        <v/>
      </c>
      <c r="K326">
        <f>INDEX('Data - Borrowers'!$C$2:$C$851, MATCH(B326, 'Data - Borrowers'!$A$2:$A$851, 0))</f>
        <v/>
      </c>
      <c r="L326">
        <f>IF(D326&lt;100000, "Micro (&lt;100K)", IF(D326&lt;500000, "Small (100K-500K)", "Medium (500K+)"))</f>
        <v/>
      </c>
      <c r="M326">
        <f>TEXT(C326, "yyyy-mm")</f>
        <v/>
      </c>
    </row>
    <row r="327">
      <c r="A327" t="inlineStr">
        <is>
          <t>LN200359</t>
        </is>
      </c>
      <c r="B327" t="inlineStr">
        <is>
          <t>BOR100276</t>
        </is>
      </c>
      <c r="C327" s="8" t="n">
        <v>45750</v>
      </c>
      <c r="D327" s="9" t="n">
        <v>191000</v>
      </c>
      <c r="E327" t="n">
        <v>12</v>
      </c>
      <c r="F327" s="10" t="n">
        <v>0.225</v>
      </c>
      <c r="G327" t="inlineStr">
        <is>
          <t>Asset Finance</t>
        </is>
      </c>
      <c r="H327" t="inlineStr">
        <is>
          <t>LO015</t>
        </is>
      </c>
      <c r="I327" t="inlineStr">
        <is>
          <t>Mobile App</t>
        </is>
      </c>
      <c r="J327">
        <f>INDEX('Data - Borrowers'!$B$2:$B$851, MATCH(B327, 'Data - Borrowers'!$A$2:$A$851, 0))</f>
        <v/>
      </c>
      <c r="K327">
        <f>INDEX('Data - Borrowers'!$C$2:$C$851, MATCH(B327, 'Data - Borrowers'!$A$2:$A$851, 0))</f>
        <v/>
      </c>
      <c r="L327">
        <f>IF(D327&lt;100000, "Micro (&lt;100K)", IF(D327&lt;500000, "Small (100K-500K)", "Medium (500K+)"))</f>
        <v/>
      </c>
      <c r="M327">
        <f>TEXT(C327, "yyyy-mm")</f>
        <v/>
      </c>
    </row>
    <row r="328">
      <c r="A328" t="inlineStr">
        <is>
          <t>LN200360</t>
        </is>
      </c>
      <c r="B328" t="inlineStr">
        <is>
          <t>BOR100277</t>
        </is>
      </c>
      <c r="C328" s="8" t="n">
        <v>45746</v>
      </c>
      <c r="D328" s="9" t="n">
        <v>96000</v>
      </c>
      <c r="E328" t="n">
        <v>6</v>
      </c>
      <c r="F328" s="10" t="n">
        <v>0.21</v>
      </c>
      <c r="G328" t="inlineStr">
        <is>
          <t>Working Capital</t>
        </is>
      </c>
      <c r="H328" t="inlineStr">
        <is>
          <t>LO003</t>
        </is>
      </c>
      <c r="I328" t="inlineStr">
        <is>
          <t>Mobile App</t>
        </is>
      </c>
      <c r="J328">
        <f>INDEX('Data - Borrowers'!$B$2:$B$851, MATCH(B328, 'Data - Borrowers'!$A$2:$A$851, 0))</f>
        <v/>
      </c>
      <c r="K328">
        <f>INDEX('Data - Borrowers'!$C$2:$C$851, MATCH(B328, 'Data - Borrowers'!$A$2:$A$851, 0))</f>
        <v/>
      </c>
      <c r="L328">
        <f>IF(D328&lt;100000, "Micro (&lt;100K)", IF(D328&lt;500000, "Small (100K-500K)", "Medium (500K+)"))</f>
        <v/>
      </c>
      <c r="M328">
        <f>TEXT(C328, "yyyy-mm")</f>
        <v/>
      </c>
    </row>
    <row r="329">
      <c r="A329" t="inlineStr">
        <is>
          <t>LN200361</t>
        </is>
      </c>
      <c r="B329" t="inlineStr">
        <is>
          <t>BOR100278</t>
        </is>
      </c>
      <c r="C329" s="8" t="n">
        <v>45970</v>
      </c>
      <c r="D329" s="9" t="n">
        <v>62000</v>
      </c>
      <c r="E329" t="n">
        <v>18</v>
      </c>
      <c r="F329" s="10" t="n">
        <v>0.198</v>
      </c>
      <c r="G329" t="inlineStr">
        <is>
          <t>Asset Finance</t>
        </is>
      </c>
      <c r="H329" t="inlineStr">
        <is>
          <t>LO005</t>
        </is>
      </c>
      <c r="I329" t="inlineStr">
        <is>
          <t>Branch</t>
        </is>
      </c>
      <c r="J329">
        <f>INDEX('Data - Borrowers'!$B$2:$B$851, MATCH(B329, 'Data - Borrowers'!$A$2:$A$851, 0))</f>
        <v/>
      </c>
      <c r="K329">
        <f>INDEX('Data - Borrowers'!$C$2:$C$851, MATCH(B329, 'Data - Borrowers'!$A$2:$A$851, 0))</f>
        <v/>
      </c>
      <c r="L329">
        <f>IF(D329&lt;100000, "Micro (&lt;100K)", IF(D329&lt;500000, "Small (100K-500K)", "Medium (500K+)"))</f>
        <v/>
      </c>
      <c r="M329">
        <f>TEXT(C329, "yyyy-mm")</f>
        <v/>
      </c>
    </row>
    <row r="330">
      <c r="A330" t="inlineStr">
        <is>
          <t>LN200362</t>
        </is>
      </c>
      <c r="B330" t="inlineStr">
        <is>
          <t>BOR100278</t>
        </is>
      </c>
      <c r="C330" s="8" t="n">
        <v>46156</v>
      </c>
      <c r="D330" s="9" t="n">
        <v>21000</v>
      </c>
      <c r="E330" t="n">
        <v>6</v>
      </c>
      <c r="F330" s="10" t="n">
        <v>0.163</v>
      </c>
      <c r="G330" t="inlineStr">
        <is>
          <t>Working Capital</t>
        </is>
      </c>
      <c r="H330" t="inlineStr">
        <is>
          <t>LO003</t>
        </is>
      </c>
      <c r="I330" t="inlineStr">
        <is>
          <t>Partner Referral</t>
        </is>
      </c>
      <c r="J330">
        <f>INDEX('Data - Borrowers'!$B$2:$B$851, MATCH(B330, 'Data - Borrowers'!$A$2:$A$851, 0))</f>
        <v/>
      </c>
      <c r="K330">
        <f>INDEX('Data - Borrowers'!$C$2:$C$851, MATCH(B330, 'Data - Borrowers'!$A$2:$A$851, 0))</f>
        <v/>
      </c>
      <c r="L330">
        <f>IF(D330&lt;100000, "Micro (&lt;100K)", IF(D330&lt;500000, "Small (100K-500K)", "Medium (500K+)"))</f>
        <v/>
      </c>
      <c r="M330">
        <f>TEXT(C330, "yyyy-mm")</f>
        <v/>
      </c>
    </row>
    <row r="331">
      <c r="A331" t="inlineStr">
        <is>
          <t>LN200364</t>
        </is>
      </c>
      <c r="B331" t="inlineStr">
        <is>
          <t>BOR100279</t>
        </is>
      </c>
      <c r="C331" s="8" t="n">
        <v>46082</v>
      </c>
      <c r="D331" s="9" t="n">
        <v>26000</v>
      </c>
      <c r="E331" t="n">
        <v>3</v>
      </c>
      <c r="F331" s="10" t="n">
        <v>0.198</v>
      </c>
      <c r="G331" t="inlineStr">
        <is>
          <t>Asset Finance</t>
        </is>
      </c>
      <c r="H331" t="inlineStr">
        <is>
          <t>LO021</t>
        </is>
      </c>
      <c r="I331" t="inlineStr">
        <is>
          <t>Branch</t>
        </is>
      </c>
      <c r="J331">
        <f>INDEX('Data - Borrowers'!$B$2:$B$851, MATCH(B331, 'Data - Borrowers'!$A$2:$A$851, 0))</f>
        <v/>
      </c>
      <c r="K331">
        <f>INDEX('Data - Borrowers'!$C$2:$C$851, MATCH(B331, 'Data - Borrowers'!$A$2:$A$851, 0))</f>
        <v/>
      </c>
      <c r="L331">
        <f>IF(D331&lt;100000, "Micro (&lt;100K)", IF(D331&lt;500000, "Small (100K-500K)", "Medium (500K+)"))</f>
        <v/>
      </c>
      <c r="M331">
        <f>TEXT(C331, "yyyy-mm")</f>
        <v/>
      </c>
    </row>
    <row r="332">
      <c r="A332" t="inlineStr">
        <is>
          <t>LN200365</t>
        </is>
      </c>
      <c r="B332" t="inlineStr">
        <is>
          <t>BOR100279</t>
        </is>
      </c>
      <c r="C332" s="8" t="n">
        <v>46218</v>
      </c>
      <c r="D332" s="9" t="n">
        <v>41000</v>
      </c>
      <c r="E332" t="n">
        <v>6</v>
      </c>
      <c r="F332" s="10" t="n">
        <v>0.158</v>
      </c>
      <c r="G332" t="inlineStr">
        <is>
          <t>Working Capital</t>
        </is>
      </c>
      <c r="H332" t="inlineStr">
        <is>
          <t>LO007</t>
        </is>
      </c>
      <c r="I332" t="inlineStr">
        <is>
          <t>Branch</t>
        </is>
      </c>
      <c r="J332">
        <f>INDEX('Data - Borrowers'!$B$2:$B$851, MATCH(B332, 'Data - Borrowers'!$A$2:$A$851, 0))</f>
        <v/>
      </c>
      <c r="K332">
        <f>INDEX('Data - Borrowers'!$C$2:$C$851, MATCH(B332, 'Data - Borrowers'!$A$2:$A$851, 0))</f>
        <v/>
      </c>
      <c r="L332">
        <f>IF(D332&lt;100000, "Micro (&lt;100K)", IF(D332&lt;500000, "Small (100K-500K)", "Medium (500K+)"))</f>
        <v/>
      </c>
      <c r="M332">
        <f>TEXT(C332, "yyyy-mm")</f>
        <v/>
      </c>
    </row>
    <row r="333">
      <c r="A333" t="inlineStr">
        <is>
          <t>LN200366</t>
        </is>
      </c>
      <c r="B333" t="inlineStr">
        <is>
          <t>BOR100280</t>
        </is>
      </c>
      <c r="C333" s="8" t="n">
        <v>45899</v>
      </c>
      <c r="D333" s="9" t="n">
        <v>78000</v>
      </c>
      <c r="E333" t="n">
        <v>9</v>
      </c>
      <c r="F333" s="10" t="n">
        <v>0.134</v>
      </c>
      <c r="G333" t="inlineStr">
        <is>
          <t>Working Capital</t>
        </is>
      </c>
      <c r="H333" t="inlineStr">
        <is>
          <t>LO009</t>
        </is>
      </c>
      <c r="I333" t="inlineStr">
        <is>
          <t>Mobile App</t>
        </is>
      </c>
      <c r="J333">
        <f>INDEX('Data - Borrowers'!$B$2:$B$851, MATCH(B333, 'Data - Borrowers'!$A$2:$A$851, 0))</f>
        <v/>
      </c>
      <c r="K333">
        <f>INDEX('Data - Borrowers'!$C$2:$C$851, MATCH(B333, 'Data - Borrowers'!$A$2:$A$851, 0))</f>
        <v/>
      </c>
      <c r="L333">
        <f>IF(D333&lt;100000, "Micro (&lt;100K)", IF(D333&lt;500000, "Small (100K-500K)", "Medium (500K+)"))</f>
        <v/>
      </c>
      <c r="M333">
        <f>TEXT(C333, "yyyy-mm")</f>
        <v/>
      </c>
    </row>
    <row r="334">
      <c r="A334" t="inlineStr">
        <is>
          <t>LN200367</t>
        </is>
      </c>
      <c r="B334" t="inlineStr">
        <is>
          <t>BOR100280</t>
        </is>
      </c>
      <c r="C334" s="8" t="n">
        <v>46103</v>
      </c>
      <c r="D334" s="9" t="n">
        <v>88000</v>
      </c>
      <c r="E334" t="n">
        <v>12</v>
      </c>
      <c r="F334" s="10" t="n">
        <v>0.12</v>
      </c>
      <c r="G334" t="inlineStr">
        <is>
          <t>Working Capital</t>
        </is>
      </c>
      <c r="H334" t="inlineStr">
        <is>
          <t>LO015</t>
        </is>
      </c>
      <c r="I334" t="inlineStr">
        <is>
          <t>Mobile App</t>
        </is>
      </c>
      <c r="J334">
        <f>INDEX('Data - Borrowers'!$B$2:$B$851, MATCH(B334, 'Data - Borrowers'!$A$2:$A$851, 0))</f>
        <v/>
      </c>
      <c r="K334">
        <f>INDEX('Data - Borrowers'!$C$2:$C$851, MATCH(B334, 'Data - Borrowers'!$A$2:$A$851, 0))</f>
        <v/>
      </c>
      <c r="L334">
        <f>IF(D334&lt;100000, "Micro (&lt;100K)", IF(D334&lt;500000, "Small (100K-500K)", "Medium (500K+)"))</f>
        <v/>
      </c>
      <c r="M334">
        <f>TEXT(C334, "yyyy-mm")</f>
        <v/>
      </c>
    </row>
    <row r="335">
      <c r="A335" t="inlineStr">
        <is>
          <t>LN200368</t>
        </is>
      </c>
      <c r="B335" t="inlineStr">
        <is>
          <t>BOR100280</t>
        </is>
      </c>
      <c r="C335" s="8" t="n">
        <v>46176</v>
      </c>
      <c r="D335" s="9" t="n">
        <v>33000</v>
      </c>
      <c r="E335" t="n">
        <v>9</v>
      </c>
      <c r="F335" s="10" t="n">
        <v>0.218</v>
      </c>
      <c r="G335" t="inlineStr">
        <is>
          <t>Asset Finance</t>
        </is>
      </c>
      <c r="H335" t="inlineStr">
        <is>
          <t>LO010</t>
        </is>
      </c>
      <c r="I335" t="inlineStr">
        <is>
          <t>Mobile App</t>
        </is>
      </c>
      <c r="J335">
        <f>INDEX('Data - Borrowers'!$B$2:$B$851, MATCH(B335, 'Data - Borrowers'!$A$2:$A$851, 0))</f>
        <v/>
      </c>
      <c r="K335">
        <f>INDEX('Data - Borrowers'!$C$2:$C$851, MATCH(B335, 'Data - Borrowers'!$A$2:$A$851, 0))</f>
        <v/>
      </c>
      <c r="L335">
        <f>IF(D335&lt;100000, "Micro (&lt;100K)", IF(D335&lt;500000, "Small (100K-500K)", "Medium (500K+)"))</f>
        <v/>
      </c>
      <c r="M335">
        <f>TEXT(C335, "yyyy-mm")</f>
        <v/>
      </c>
    </row>
    <row r="336">
      <c r="A336" t="inlineStr">
        <is>
          <t>LN200369</t>
        </is>
      </c>
      <c r="B336" t="inlineStr">
        <is>
          <t>BOR100281</t>
        </is>
      </c>
      <c r="C336" s="8" t="n">
        <v>45862</v>
      </c>
      <c r="D336" s="9" t="n">
        <v>29000</v>
      </c>
      <c r="E336" t="n">
        <v>6</v>
      </c>
      <c r="F336" s="10" t="n">
        <v>0.171</v>
      </c>
      <c r="G336" t="inlineStr">
        <is>
          <t>Working Capital</t>
        </is>
      </c>
      <c r="H336" t="inlineStr">
        <is>
          <t>LO010</t>
        </is>
      </c>
      <c r="I336" t="inlineStr">
        <is>
          <t>Branch</t>
        </is>
      </c>
      <c r="J336">
        <f>INDEX('Data - Borrowers'!$B$2:$B$851, MATCH(B336, 'Data - Borrowers'!$A$2:$A$851, 0))</f>
        <v/>
      </c>
      <c r="K336">
        <f>INDEX('Data - Borrowers'!$C$2:$C$851, MATCH(B336, 'Data - Borrowers'!$A$2:$A$851, 0))</f>
        <v/>
      </c>
      <c r="L336">
        <f>IF(D336&lt;100000, "Micro (&lt;100K)", IF(D336&lt;500000, "Small (100K-500K)", "Medium (500K+)"))</f>
        <v/>
      </c>
      <c r="M336">
        <f>TEXT(C336, "yyyy-mm")</f>
        <v/>
      </c>
    </row>
    <row r="337">
      <c r="A337" t="inlineStr">
        <is>
          <t>LN200370</t>
        </is>
      </c>
      <c r="B337" t="inlineStr">
        <is>
          <t>BOR100282</t>
        </is>
      </c>
      <c r="C337" s="8" t="n">
        <v>46183</v>
      </c>
      <c r="D337" s="9" t="n">
        <v>78000</v>
      </c>
      <c r="E337" t="n">
        <v>12</v>
      </c>
      <c r="F337" s="10" t="n">
        <v>0.215</v>
      </c>
      <c r="G337" t="inlineStr">
        <is>
          <t>Asset Finance</t>
        </is>
      </c>
      <c r="H337" t="inlineStr">
        <is>
          <t>LO010</t>
        </is>
      </c>
      <c r="I337" t="inlineStr">
        <is>
          <t>Mobile App</t>
        </is>
      </c>
      <c r="J337">
        <f>INDEX('Data - Borrowers'!$B$2:$B$851, MATCH(B337, 'Data - Borrowers'!$A$2:$A$851, 0))</f>
        <v/>
      </c>
      <c r="K337">
        <f>INDEX('Data - Borrowers'!$C$2:$C$851, MATCH(B337, 'Data - Borrowers'!$A$2:$A$851, 0))</f>
        <v/>
      </c>
      <c r="L337">
        <f>IF(D337&lt;100000, "Micro (&lt;100K)", IF(D337&lt;500000, "Small (100K-500K)", "Medium (500K+)"))</f>
        <v/>
      </c>
      <c r="M337">
        <f>TEXT(C337, "yyyy-mm")</f>
        <v/>
      </c>
    </row>
    <row r="338">
      <c r="A338" t="inlineStr">
        <is>
          <t>LN200372</t>
        </is>
      </c>
      <c r="B338" t="inlineStr">
        <is>
          <t>BOR100283</t>
        </is>
      </c>
      <c r="C338" s="8" t="n">
        <v>45731</v>
      </c>
      <c r="D338" s="9" t="n">
        <v>56000</v>
      </c>
      <c r="E338" t="n">
        <v>18</v>
      </c>
      <c r="F338" s="10" t="n">
        <v>0.133</v>
      </c>
      <c r="G338" t="inlineStr">
        <is>
          <t>Invoice Discounting</t>
        </is>
      </c>
      <c r="H338" t="inlineStr">
        <is>
          <t>LO001</t>
        </is>
      </c>
      <c r="I338" t="inlineStr">
        <is>
          <t>Partner Referral</t>
        </is>
      </c>
      <c r="J338">
        <f>INDEX('Data - Borrowers'!$B$2:$B$851, MATCH(B338, 'Data - Borrowers'!$A$2:$A$851, 0))</f>
        <v/>
      </c>
      <c r="K338">
        <f>INDEX('Data - Borrowers'!$C$2:$C$851, MATCH(B338, 'Data - Borrowers'!$A$2:$A$851, 0))</f>
        <v/>
      </c>
      <c r="L338">
        <f>IF(D338&lt;100000, "Micro (&lt;100K)", IF(D338&lt;500000, "Small (100K-500K)", "Medium (500K+)"))</f>
        <v/>
      </c>
      <c r="M338">
        <f>TEXT(C338, "yyyy-mm")</f>
        <v/>
      </c>
    </row>
    <row r="339">
      <c r="A339" t="inlineStr">
        <is>
          <t>LN200373</t>
        </is>
      </c>
      <c r="B339" t="inlineStr">
        <is>
          <t>BOR100284</t>
        </is>
      </c>
      <c r="C339" s="8" t="n">
        <v>46194</v>
      </c>
      <c r="D339" s="9" t="n">
        <v>20000</v>
      </c>
      <c r="E339" t="n">
        <v>9</v>
      </c>
      <c r="F339" s="10" t="n">
        <v>0.18</v>
      </c>
      <c r="G339" t="inlineStr">
        <is>
          <t>Working Capital</t>
        </is>
      </c>
      <c r="H339" t="inlineStr">
        <is>
          <t>LO009</t>
        </is>
      </c>
      <c r="I339" t="inlineStr">
        <is>
          <t>Branch</t>
        </is>
      </c>
      <c r="J339">
        <f>INDEX('Data - Borrowers'!$B$2:$B$851, MATCH(B339, 'Data - Borrowers'!$A$2:$A$851, 0))</f>
        <v/>
      </c>
      <c r="K339">
        <f>INDEX('Data - Borrowers'!$C$2:$C$851, MATCH(B339, 'Data - Borrowers'!$A$2:$A$851, 0))</f>
        <v/>
      </c>
      <c r="L339">
        <f>IF(D339&lt;100000, "Micro (&lt;100K)", IF(D339&lt;500000, "Small (100K-500K)", "Medium (500K+)"))</f>
        <v/>
      </c>
      <c r="M339">
        <f>TEXT(C339, "yyyy-mm")</f>
        <v/>
      </c>
    </row>
    <row r="340">
      <c r="A340" t="inlineStr">
        <is>
          <t>LN200375</t>
        </is>
      </c>
      <c r="B340" t="inlineStr">
        <is>
          <t>BOR100285</t>
        </is>
      </c>
      <c r="C340" s="8" t="n">
        <v>45766</v>
      </c>
      <c r="D340" s="9" t="n">
        <v>120000</v>
      </c>
      <c r="E340" t="n">
        <v>9</v>
      </c>
      <c r="F340" s="10" t="n">
        <v>0.222</v>
      </c>
      <c r="G340" t="inlineStr">
        <is>
          <t>Working Capital</t>
        </is>
      </c>
      <c r="H340" t="inlineStr">
        <is>
          <t>LO019</t>
        </is>
      </c>
      <c r="I340" t="inlineStr">
        <is>
          <t>Branch</t>
        </is>
      </c>
      <c r="J340">
        <f>INDEX('Data - Borrowers'!$B$2:$B$851, MATCH(B340, 'Data - Borrowers'!$A$2:$A$851, 0))</f>
        <v/>
      </c>
      <c r="K340">
        <f>INDEX('Data - Borrowers'!$C$2:$C$851, MATCH(B340, 'Data - Borrowers'!$A$2:$A$851, 0))</f>
        <v/>
      </c>
      <c r="L340">
        <f>IF(D340&lt;100000, "Micro (&lt;100K)", IF(D340&lt;500000, "Small (100K-500K)", "Medium (500K+)"))</f>
        <v/>
      </c>
      <c r="M340">
        <f>TEXT(C340, "yyyy-mm")</f>
        <v/>
      </c>
    </row>
    <row r="341">
      <c r="A341" t="inlineStr">
        <is>
          <t>LN200376</t>
        </is>
      </c>
      <c r="B341" t="inlineStr">
        <is>
          <t>BOR100286</t>
        </is>
      </c>
      <c r="C341" s="8" t="n">
        <v>46017</v>
      </c>
      <c r="D341" s="9" t="n">
        <v>35000</v>
      </c>
      <c r="E341" t="n">
        <v>3</v>
      </c>
      <c r="F341" s="10" t="n">
        <v>0.206</v>
      </c>
      <c r="G341" t="inlineStr">
        <is>
          <t>Working Capital</t>
        </is>
      </c>
      <c r="H341" t="inlineStr">
        <is>
          <t>LO020</t>
        </is>
      </c>
      <c r="I341" t="inlineStr">
        <is>
          <t>Partner Referral</t>
        </is>
      </c>
      <c r="J341">
        <f>INDEX('Data - Borrowers'!$B$2:$B$851, MATCH(B341, 'Data - Borrowers'!$A$2:$A$851, 0))</f>
        <v/>
      </c>
      <c r="K341">
        <f>INDEX('Data - Borrowers'!$C$2:$C$851, MATCH(B341, 'Data - Borrowers'!$A$2:$A$851, 0))</f>
        <v/>
      </c>
      <c r="L341">
        <f>IF(D341&lt;100000, "Micro (&lt;100K)", IF(D341&lt;500000, "Small (100K-500K)", "Medium (500K+)"))</f>
        <v/>
      </c>
      <c r="M341">
        <f>TEXT(C341, "yyyy-mm")</f>
        <v/>
      </c>
    </row>
    <row r="342">
      <c r="A342" t="inlineStr">
        <is>
          <t>LN200377</t>
        </is>
      </c>
      <c r="B342" t="inlineStr">
        <is>
          <t>BOR100287</t>
        </is>
      </c>
      <c r="C342" s="8" t="n">
        <v>45954</v>
      </c>
      <c r="D342" s="9" t="n">
        <v>26000</v>
      </c>
      <c r="E342" t="n">
        <v>3</v>
      </c>
      <c r="F342" s="10" t="n">
        <v>0.162</v>
      </c>
      <c r="G342" t="inlineStr">
        <is>
          <t>Working Capital</t>
        </is>
      </c>
      <c r="H342" t="inlineStr">
        <is>
          <t>LO001</t>
        </is>
      </c>
      <c r="I342" t="inlineStr">
        <is>
          <t>Mobile App</t>
        </is>
      </c>
      <c r="J342">
        <f>INDEX('Data - Borrowers'!$B$2:$B$851, MATCH(B342, 'Data - Borrowers'!$A$2:$A$851, 0))</f>
        <v/>
      </c>
      <c r="K342">
        <f>INDEX('Data - Borrowers'!$C$2:$C$851, MATCH(B342, 'Data - Borrowers'!$A$2:$A$851, 0))</f>
        <v/>
      </c>
      <c r="L342">
        <f>IF(D342&lt;100000, "Micro (&lt;100K)", IF(D342&lt;500000, "Small (100K-500K)", "Medium (500K+)"))</f>
        <v/>
      </c>
      <c r="M342">
        <f>TEXT(C342, "yyyy-mm")</f>
        <v/>
      </c>
    </row>
    <row r="343">
      <c r="A343" t="inlineStr">
        <is>
          <t>LN200378</t>
        </is>
      </c>
      <c r="B343" t="inlineStr">
        <is>
          <t>BOR100288</t>
        </is>
      </c>
      <c r="C343" s="8" t="n">
        <v>45925</v>
      </c>
      <c r="D343" s="9" t="n">
        <v>70000</v>
      </c>
      <c r="E343" t="n">
        <v>12</v>
      </c>
      <c r="F343" s="10" t="n">
        <v>0.166</v>
      </c>
      <c r="G343" t="inlineStr">
        <is>
          <t>Working Capital</t>
        </is>
      </c>
      <c r="H343" t="inlineStr">
        <is>
          <t>LO023</t>
        </is>
      </c>
      <c r="I343" t="inlineStr">
        <is>
          <t>Mobile App</t>
        </is>
      </c>
      <c r="J343">
        <f>INDEX('Data - Borrowers'!$B$2:$B$851, MATCH(B343, 'Data - Borrowers'!$A$2:$A$851, 0))</f>
        <v/>
      </c>
      <c r="K343">
        <f>INDEX('Data - Borrowers'!$C$2:$C$851, MATCH(B343, 'Data - Borrowers'!$A$2:$A$851, 0))</f>
        <v/>
      </c>
      <c r="L343">
        <f>IF(D343&lt;100000, "Micro (&lt;100K)", IF(D343&lt;500000, "Small (100K-500K)", "Medium (500K+)"))</f>
        <v/>
      </c>
      <c r="M343">
        <f>TEXT(C343, "yyyy-mm")</f>
        <v/>
      </c>
    </row>
    <row r="344">
      <c r="A344" t="inlineStr">
        <is>
          <t>LN200379</t>
        </is>
      </c>
      <c r="B344" t="inlineStr">
        <is>
          <t>BOR100289</t>
        </is>
      </c>
      <c r="C344" s="8" t="n">
        <v>45757</v>
      </c>
      <c r="D344" s="9" t="n">
        <v>42000</v>
      </c>
      <c r="E344" t="n">
        <v>3</v>
      </c>
      <c r="F344" s="10" t="n">
        <v>0.235</v>
      </c>
      <c r="G344" t="inlineStr">
        <is>
          <t>Working Capital</t>
        </is>
      </c>
      <c r="H344" t="inlineStr">
        <is>
          <t>LO016</t>
        </is>
      </c>
      <c r="I344" t="inlineStr">
        <is>
          <t>Partner Referral</t>
        </is>
      </c>
      <c r="J344">
        <f>INDEX('Data - Borrowers'!$B$2:$B$851, MATCH(B344, 'Data - Borrowers'!$A$2:$A$851, 0))</f>
        <v/>
      </c>
      <c r="K344">
        <f>INDEX('Data - Borrowers'!$C$2:$C$851, MATCH(B344, 'Data - Borrowers'!$A$2:$A$851, 0))</f>
        <v/>
      </c>
      <c r="L344">
        <f>IF(D344&lt;100000, "Micro (&lt;100K)", IF(D344&lt;500000, "Small (100K-500K)", "Medium (500K+)"))</f>
        <v/>
      </c>
      <c r="M344">
        <f>TEXT(C344, "yyyy-mm")</f>
        <v/>
      </c>
    </row>
    <row r="345">
      <c r="A345" t="inlineStr">
        <is>
          <t>LN200380</t>
        </is>
      </c>
      <c r="B345" t="inlineStr">
        <is>
          <t>BOR100290</t>
        </is>
      </c>
      <c r="C345" s="8" t="n">
        <v>45951</v>
      </c>
      <c r="D345" s="9" t="n">
        <v>342000</v>
      </c>
      <c r="E345" t="n">
        <v>18</v>
      </c>
      <c r="F345" s="10" t="n">
        <v>0.198</v>
      </c>
      <c r="G345" t="inlineStr">
        <is>
          <t>Working Capital</t>
        </is>
      </c>
      <c r="H345" t="inlineStr">
        <is>
          <t>LO007</t>
        </is>
      </c>
      <c r="I345" t="inlineStr">
        <is>
          <t>Branch</t>
        </is>
      </c>
      <c r="J345">
        <f>INDEX('Data - Borrowers'!$B$2:$B$851, MATCH(B345, 'Data - Borrowers'!$A$2:$A$851, 0))</f>
        <v/>
      </c>
      <c r="K345">
        <f>INDEX('Data - Borrowers'!$C$2:$C$851, MATCH(B345, 'Data - Borrowers'!$A$2:$A$851, 0))</f>
        <v/>
      </c>
      <c r="L345">
        <f>IF(D345&lt;100000, "Micro (&lt;100K)", IF(D345&lt;500000, "Small (100K-500K)", "Medium (500K+)"))</f>
        <v/>
      </c>
      <c r="M345">
        <f>TEXT(C345, "yyyy-mm")</f>
        <v/>
      </c>
    </row>
    <row r="346">
      <c r="A346" t="inlineStr">
        <is>
          <t>LN200381</t>
        </is>
      </c>
      <c r="B346" t="inlineStr">
        <is>
          <t>BOR100291</t>
        </is>
      </c>
      <c r="C346" s="8" t="n">
        <v>46222</v>
      </c>
      <c r="D346" s="9" t="n">
        <v>53000</v>
      </c>
      <c r="E346" t="n">
        <v>3</v>
      </c>
      <c r="F346" s="10" t="n">
        <v>0.121</v>
      </c>
      <c r="G346" t="inlineStr">
        <is>
          <t>Working Capital</t>
        </is>
      </c>
      <c r="H346" t="inlineStr">
        <is>
          <t>LO008</t>
        </is>
      </c>
      <c r="I346" t="inlineStr">
        <is>
          <t>Branch</t>
        </is>
      </c>
      <c r="J346">
        <f>INDEX('Data - Borrowers'!$B$2:$B$851, MATCH(B346, 'Data - Borrowers'!$A$2:$A$851, 0))</f>
        <v/>
      </c>
      <c r="K346">
        <f>INDEX('Data - Borrowers'!$C$2:$C$851, MATCH(B346, 'Data - Borrowers'!$A$2:$A$851, 0))</f>
        <v/>
      </c>
      <c r="L346">
        <f>IF(D346&lt;100000, "Micro (&lt;100K)", IF(D346&lt;500000, "Small (100K-500K)", "Medium (500K+)"))</f>
        <v/>
      </c>
      <c r="M346">
        <f>TEXT(C346, "yyyy-mm")</f>
        <v/>
      </c>
    </row>
    <row r="347">
      <c r="A347" t="inlineStr">
        <is>
          <t>LN200382</t>
        </is>
      </c>
      <c r="B347" t="inlineStr">
        <is>
          <t>BOR100292</t>
        </is>
      </c>
      <c r="C347" s="8" t="n">
        <v>46169</v>
      </c>
      <c r="D347" s="9" t="n">
        <v>179000</v>
      </c>
      <c r="E347" t="n">
        <v>9</v>
      </c>
      <c r="F347" s="10" t="n">
        <v>0.156</v>
      </c>
      <c r="G347" t="inlineStr">
        <is>
          <t>Working Capital</t>
        </is>
      </c>
      <c r="H347" t="inlineStr">
        <is>
          <t>LO014</t>
        </is>
      </c>
      <c r="I347" t="inlineStr">
        <is>
          <t>Partner Referral</t>
        </is>
      </c>
      <c r="J347">
        <f>INDEX('Data - Borrowers'!$B$2:$B$851, MATCH(B347, 'Data - Borrowers'!$A$2:$A$851, 0))</f>
        <v/>
      </c>
      <c r="K347">
        <f>INDEX('Data - Borrowers'!$C$2:$C$851, MATCH(B347, 'Data - Borrowers'!$A$2:$A$851, 0))</f>
        <v/>
      </c>
      <c r="L347">
        <f>IF(D347&lt;100000, "Micro (&lt;100K)", IF(D347&lt;500000, "Small (100K-500K)", "Medium (500K+)"))</f>
        <v/>
      </c>
      <c r="M347">
        <f>TEXT(C347, "yyyy-mm")</f>
        <v/>
      </c>
    </row>
    <row r="348">
      <c r="A348" t="inlineStr">
        <is>
          <t>LN200383</t>
        </is>
      </c>
      <c r="B348" t="inlineStr">
        <is>
          <t>BOR100293</t>
        </is>
      </c>
      <c r="C348" s="8" t="n">
        <v>45843</v>
      </c>
      <c r="D348" s="9" t="n">
        <v>20000</v>
      </c>
      <c r="E348" t="n">
        <v>6</v>
      </c>
      <c r="F348" s="10" t="n">
        <v>0.173</v>
      </c>
      <c r="G348" t="inlineStr">
        <is>
          <t>Invoice Discounting</t>
        </is>
      </c>
      <c r="H348" t="inlineStr">
        <is>
          <t>LO003</t>
        </is>
      </c>
      <c r="I348" t="inlineStr">
        <is>
          <t>Partner Referral</t>
        </is>
      </c>
      <c r="J348">
        <f>INDEX('Data - Borrowers'!$B$2:$B$851, MATCH(B348, 'Data - Borrowers'!$A$2:$A$851, 0))</f>
        <v/>
      </c>
      <c r="K348">
        <f>INDEX('Data - Borrowers'!$C$2:$C$851, MATCH(B348, 'Data - Borrowers'!$A$2:$A$851, 0))</f>
        <v/>
      </c>
      <c r="L348">
        <f>IF(D348&lt;100000, "Micro (&lt;100K)", IF(D348&lt;500000, "Small (100K-500K)", "Medium (500K+)"))</f>
        <v/>
      </c>
      <c r="M348">
        <f>TEXT(C348, "yyyy-mm")</f>
        <v/>
      </c>
    </row>
    <row r="349">
      <c r="A349" t="inlineStr">
        <is>
          <t>LN200384</t>
        </is>
      </c>
      <c r="B349" t="inlineStr">
        <is>
          <t>BOR100293</t>
        </is>
      </c>
      <c r="C349" s="8" t="n">
        <v>46218</v>
      </c>
      <c r="D349" s="9" t="n">
        <v>46000</v>
      </c>
      <c r="E349" t="n">
        <v>12</v>
      </c>
      <c r="F349" s="10" t="n">
        <v>0.198</v>
      </c>
      <c r="G349" t="inlineStr">
        <is>
          <t>Asset Finance</t>
        </is>
      </c>
      <c r="H349" t="inlineStr">
        <is>
          <t>LO001</t>
        </is>
      </c>
      <c r="I349" t="inlineStr">
        <is>
          <t>Partner Referral</t>
        </is>
      </c>
      <c r="J349">
        <f>INDEX('Data - Borrowers'!$B$2:$B$851, MATCH(B349, 'Data - Borrowers'!$A$2:$A$851, 0))</f>
        <v/>
      </c>
      <c r="K349">
        <f>INDEX('Data - Borrowers'!$C$2:$C$851, MATCH(B349, 'Data - Borrowers'!$A$2:$A$851, 0))</f>
        <v/>
      </c>
      <c r="L349">
        <f>IF(D349&lt;100000, "Micro (&lt;100K)", IF(D349&lt;500000, "Small (100K-500K)", "Medium (500K+)"))</f>
        <v/>
      </c>
      <c r="M349">
        <f>TEXT(C349, "yyyy-mm")</f>
        <v/>
      </c>
    </row>
    <row r="350">
      <c r="A350" t="inlineStr">
        <is>
          <t>LN200385</t>
        </is>
      </c>
      <c r="B350" t="inlineStr">
        <is>
          <t>BOR100294</t>
        </is>
      </c>
      <c r="C350" s="8" t="n">
        <v>45782</v>
      </c>
      <c r="D350" s="9" t="n">
        <v>94000</v>
      </c>
      <c r="E350" t="n">
        <v>18</v>
      </c>
      <c r="F350" s="10" t="n">
        <v>0.123</v>
      </c>
      <c r="G350" t="inlineStr">
        <is>
          <t>Working Capital</t>
        </is>
      </c>
      <c r="H350" t="inlineStr">
        <is>
          <t>LO009</t>
        </is>
      </c>
      <c r="I350" t="inlineStr">
        <is>
          <t>Mobile App</t>
        </is>
      </c>
      <c r="J350">
        <f>INDEX('Data - Borrowers'!$B$2:$B$851, MATCH(B350, 'Data - Borrowers'!$A$2:$A$851, 0))</f>
        <v/>
      </c>
      <c r="K350">
        <f>INDEX('Data - Borrowers'!$C$2:$C$851, MATCH(B350, 'Data - Borrowers'!$A$2:$A$851, 0))</f>
        <v/>
      </c>
      <c r="L350">
        <f>IF(D350&lt;100000, "Micro (&lt;100K)", IF(D350&lt;500000, "Small (100K-500K)", "Medium (500K+)"))</f>
        <v/>
      </c>
      <c r="M350">
        <f>TEXT(C350, "yyyy-mm")</f>
        <v/>
      </c>
    </row>
    <row r="351">
      <c r="A351" t="inlineStr">
        <is>
          <t>LN200386</t>
        </is>
      </c>
      <c r="B351" t="inlineStr">
        <is>
          <t>BOR100295</t>
        </is>
      </c>
      <c r="C351" s="8" t="n">
        <v>45739</v>
      </c>
      <c r="D351" s="9" t="n">
        <v>157000</v>
      </c>
      <c r="E351" t="n">
        <v>3</v>
      </c>
      <c r="F351" s="10" t="n">
        <v>0.187</v>
      </c>
      <c r="G351" t="inlineStr">
        <is>
          <t>Invoice Discounting</t>
        </is>
      </c>
      <c r="H351" t="inlineStr">
        <is>
          <t>LO007</t>
        </is>
      </c>
      <c r="I351" t="inlineStr">
        <is>
          <t>Mobile App</t>
        </is>
      </c>
      <c r="J351">
        <f>INDEX('Data - Borrowers'!$B$2:$B$851, MATCH(B351, 'Data - Borrowers'!$A$2:$A$851, 0))</f>
        <v/>
      </c>
      <c r="K351">
        <f>INDEX('Data - Borrowers'!$C$2:$C$851, MATCH(B351, 'Data - Borrowers'!$A$2:$A$851, 0))</f>
        <v/>
      </c>
      <c r="L351">
        <f>IF(D351&lt;100000, "Micro (&lt;100K)", IF(D351&lt;500000, "Small (100K-500K)", "Medium (500K+)"))</f>
        <v/>
      </c>
      <c r="M351">
        <f>TEXT(C351, "yyyy-mm")</f>
        <v/>
      </c>
    </row>
    <row r="352">
      <c r="A352" t="inlineStr">
        <is>
          <t>LN200387</t>
        </is>
      </c>
      <c r="B352" t="inlineStr">
        <is>
          <t>BOR100296</t>
        </is>
      </c>
      <c r="C352" s="8" t="n">
        <v>46004</v>
      </c>
      <c r="D352" s="9" t="n">
        <v>40000</v>
      </c>
      <c r="E352" t="n">
        <v>6</v>
      </c>
      <c r="F352" s="10" t="n">
        <v>0.229</v>
      </c>
      <c r="G352" t="inlineStr">
        <is>
          <t>Asset Finance</t>
        </is>
      </c>
      <c r="H352" t="inlineStr">
        <is>
          <t>LO025</t>
        </is>
      </c>
      <c r="I352" t="inlineStr">
        <is>
          <t>Partner Referral</t>
        </is>
      </c>
      <c r="J352">
        <f>INDEX('Data - Borrowers'!$B$2:$B$851, MATCH(B352, 'Data - Borrowers'!$A$2:$A$851, 0))</f>
        <v/>
      </c>
      <c r="K352">
        <f>INDEX('Data - Borrowers'!$C$2:$C$851, MATCH(B352, 'Data - Borrowers'!$A$2:$A$851, 0))</f>
        <v/>
      </c>
      <c r="L352">
        <f>IF(D352&lt;100000, "Micro (&lt;100K)", IF(D352&lt;500000, "Small (100K-500K)", "Medium (500K+)"))</f>
        <v/>
      </c>
      <c r="M352">
        <f>TEXT(C352, "yyyy-mm")</f>
        <v/>
      </c>
    </row>
    <row r="353">
      <c r="A353" t="inlineStr">
        <is>
          <t>LN200388</t>
        </is>
      </c>
      <c r="B353" t="inlineStr">
        <is>
          <t>BOR100297</t>
        </is>
      </c>
      <c r="C353" s="8" t="n">
        <v>45784</v>
      </c>
      <c r="D353" s="9" t="n">
        <v>234000</v>
      </c>
      <c r="E353" t="n">
        <v>6</v>
      </c>
      <c r="F353" s="10" t="n">
        <v>0.169</v>
      </c>
      <c r="G353" t="inlineStr">
        <is>
          <t>Invoice Discounting</t>
        </is>
      </c>
      <c r="H353" t="inlineStr">
        <is>
          <t>LO016</t>
        </is>
      </c>
      <c r="I353" t="inlineStr">
        <is>
          <t>Branch</t>
        </is>
      </c>
      <c r="J353">
        <f>INDEX('Data - Borrowers'!$B$2:$B$851, MATCH(B353, 'Data - Borrowers'!$A$2:$A$851, 0))</f>
        <v/>
      </c>
      <c r="K353">
        <f>INDEX('Data - Borrowers'!$C$2:$C$851, MATCH(B353, 'Data - Borrowers'!$A$2:$A$851, 0))</f>
        <v/>
      </c>
      <c r="L353">
        <f>IF(D353&lt;100000, "Micro (&lt;100K)", IF(D353&lt;500000, "Small (100K-500K)", "Medium (500K+)"))</f>
        <v/>
      </c>
      <c r="M353">
        <f>TEXT(C353, "yyyy-mm")</f>
        <v/>
      </c>
    </row>
    <row r="354">
      <c r="A354" t="inlineStr">
        <is>
          <t>LN200389</t>
        </is>
      </c>
      <c r="B354" t="inlineStr">
        <is>
          <t>BOR100297</t>
        </is>
      </c>
      <c r="C354" s="8" t="n">
        <v>46235</v>
      </c>
      <c r="D354" s="9" t="n">
        <v>204000</v>
      </c>
      <c r="E354" t="n">
        <v>6</v>
      </c>
      <c r="F354" s="10" t="n">
        <v>0.228</v>
      </c>
      <c r="G354" t="inlineStr">
        <is>
          <t>Invoice Discounting</t>
        </is>
      </c>
      <c r="H354" t="inlineStr">
        <is>
          <t>LO001</t>
        </is>
      </c>
      <c r="I354" t="inlineStr">
        <is>
          <t>Branch</t>
        </is>
      </c>
      <c r="J354">
        <f>INDEX('Data - Borrowers'!$B$2:$B$851, MATCH(B354, 'Data - Borrowers'!$A$2:$A$851, 0))</f>
        <v/>
      </c>
      <c r="K354">
        <f>INDEX('Data - Borrowers'!$C$2:$C$851, MATCH(B354, 'Data - Borrowers'!$A$2:$A$851, 0))</f>
        <v/>
      </c>
      <c r="L354">
        <f>IF(D354&lt;100000, "Micro (&lt;100K)", IF(D354&lt;500000, "Small (100K-500K)", "Medium (500K+)"))</f>
        <v/>
      </c>
      <c r="M354">
        <f>TEXT(C354, "yyyy-mm")</f>
        <v/>
      </c>
    </row>
    <row r="355">
      <c r="A355" t="inlineStr">
        <is>
          <t>LN200390</t>
        </is>
      </c>
      <c r="B355" t="inlineStr">
        <is>
          <t>BOR100298</t>
        </is>
      </c>
      <c r="C355" s="8" t="n">
        <v>46227</v>
      </c>
      <c r="D355" s="9" t="n">
        <v>57000</v>
      </c>
      <c r="E355" t="n">
        <v>12</v>
      </c>
      <c r="F355" s="10" t="n">
        <v>0.209</v>
      </c>
      <c r="G355" t="inlineStr">
        <is>
          <t>Working Capital</t>
        </is>
      </c>
      <c r="H355" t="inlineStr">
        <is>
          <t>LO003</t>
        </is>
      </c>
      <c r="I355" t="inlineStr">
        <is>
          <t>Mobile App</t>
        </is>
      </c>
      <c r="J355">
        <f>INDEX('Data - Borrowers'!$B$2:$B$851, MATCH(B355, 'Data - Borrowers'!$A$2:$A$851, 0))</f>
        <v/>
      </c>
      <c r="K355">
        <f>INDEX('Data - Borrowers'!$C$2:$C$851, MATCH(B355, 'Data - Borrowers'!$A$2:$A$851, 0))</f>
        <v/>
      </c>
      <c r="L355">
        <f>IF(D355&lt;100000, "Micro (&lt;100K)", IF(D355&lt;500000, "Small (100K-500K)", "Medium (500K+)"))</f>
        <v/>
      </c>
      <c r="M355">
        <f>TEXT(C355, "yyyy-mm")</f>
        <v/>
      </c>
    </row>
    <row r="356">
      <c r="A356" t="inlineStr">
        <is>
          <t>LN200391</t>
        </is>
      </c>
      <c r="B356" t="inlineStr">
        <is>
          <t>BOR100299</t>
        </is>
      </c>
      <c r="C356" s="8" t="n">
        <v>46044</v>
      </c>
      <c r="D356" s="9" t="n">
        <v>100000</v>
      </c>
      <c r="E356" t="n">
        <v>6</v>
      </c>
      <c r="F356" s="10" t="n">
        <v>0.207</v>
      </c>
      <c r="G356" t="inlineStr">
        <is>
          <t>Invoice Discounting</t>
        </is>
      </c>
      <c r="H356" t="inlineStr">
        <is>
          <t>LO024</t>
        </is>
      </c>
      <c r="I356" t="inlineStr">
        <is>
          <t>Mobile App</t>
        </is>
      </c>
      <c r="J356">
        <f>INDEX('Data - Borrowers'!$B$2:$B$851, MATCH(B356, 'Data - Borrowers'!$A$2:$A$851, 0))</f>
        <v/>
      </c>
      <c r="K356">
        <f>INDEX('Data - Borrowers'!$C$2:$C$851, MATCH(B356, 'Data - Borrowers'!$A$2:$A$851, 0))</f>
        <v/>
      </c>
      <c r="L356">
        <f>IF(D356&lt;100000, "Micro (&lt;100K)", IF(D356&lt;500000, "Small (100K-500K)", "Medium (500K+)"))</f>
        <v/>
      </c>
      <c r="M356">
        <f>TEXT(C356, "yyyy-mm")</f>
        <v/>
      </c>
    </row>
    <row r="357">
      <c r="A357" t="inlineStr">
        <is>
          <t>LN200392</t>
        </is>
      </c>
      <c r="B357" t="inlineStr">
        <is>
          <t>BOR100300</t>
        </is>
      </c>
      <c r="C357" s="8" t="n">
        <v>46146</v>
      </c>
      <c r="D357" s="9" t="n">
        <v>59000</v>
      </c>
      <c r="E357" t="n">
        <v>3</v>
      </c>
      <c r="F357" s="10" t="n">
        <v>0.127</v>
      </c>
      <c r="G357" t="inlineStr">
        <is>
          <t>Working Capital</t>
        </is>
      </c>
      <c r="H357" t="inlineStr">
        <is>
          <t>LO005</t>
        </is>
      </c>
      <c r="I357" t="inlineStr">
        <is>
          <t>Partner Referral</t>
        </is>
      </c>
      <c r="J357">
        <f>INDEX('Data - Borrowers'!$B$2:$B$851, MATCH(B357, 'Data - Borrowers'!$A$2:$A$851, 0))</f>
        <v/>
      </c>
      <c r="K357">
        <f>INDEX('Data - Borrowers'!$C$2:$C$851, MATCH(B357, 'Data - Borrowers'!$A$2:$A$851, 0))</f>
        <v/>
      </c>
      <c r="L357">
        <f>IF(D357&lt;100000, "Micro (&lt;100K)", IF(D357&lt;500000, "Small (100K-500K)", "Medium (500K+)"))</f>
        <v/>
      </c>
      <c r="M357">
        <f>TEXT(C357, "yyyy-mm")</f>
        <v/>
      </c>
    </row>
    <row r="358">
      <c r="A358" t="inlineStr">
        <is>
          <t>LN200394</t>
        </is>
      </c>
      <c r="B358" t="inlineStr">
        <is>
          <t>BOR100301</t>
        </is>
      </c>
      <c r="C358" s="8" t="n">
        <v>45878</v>
      </c>
      <c r="D358" s="9" t="n">
        <v>165000</v>
      </c>
      <c r="E358" t="n">
        <v>9</v>
      </c>
      <c r="F358" s="10" t="n">
        <v>0.189</v>
      </c>
      <c r="G358" t="inlineStr">
        <is>
          <t>Working Capital</t>
        </is>
      </c>
      <c r="H358" t="inlineStr">
        <is>
          <t>LO021</t>
        </is>
      </c>
      <c r="I358" t="inlineStr">
        <is>
          <t>Mobile App</t>
        </is>
      </c>
      <c r="J358">
        <f>INDEX('Data - Borrowers'!$B$2:$B$851, MATCH(B358, 'Data - Borrowers'!$A$2:$A$851, 0))</f>
        <v/>
      </c>
      <c r="K358">
        <f>INDEX('Data - Borrowers'!$C$2:$C$851, MATCH(B358, 'Data - Borrowers'!$A$2:$A$851, 0))</f>
        <v/>
      </c>
      <c r="L358">
        <f>IF(D358&lt;100000, "Micro (&lt;100K)", IF(D358&lt;500000, "Small (100K-500K)", "Medium (500K+)"))</f>
        <v/>
      </c>
      <c r="M358">
        <f>TEXT(C358, "yyyy-mm")</f>
        <v/>
      </c>
    </row>
    <row r="359">
      <c r="A359" t="inlineStr">
        <is>
          <t>LN200395</t>
        </is>
      </c>
      <c r="B359" t="inlineStr">
        <is>
          <t>BOR100302</t>
        </is>
      </c>
      <c r="C359" s="8" t="n">
        <v>46061</v>
      </c>
      <c r="D359" s="9" t="n">
        <v>53000</v>
      </c>
      <c r="E359" t="n">
        <v>9</v>
      </c>
      <c r="F359" s="10" t="n">
        <v>0.124</v>
      </c>
      <c r="G359" t="inlineStr">
        <is>
          <t>Invoice Discounting</t>
        </is>
      </c>
      <c r="H359" t="inlineStr">
        <is>
          <t>LO013</t>
        </is>
      </c>
      <c r="I359" t="inlineStr">
        <is>
          <t>Partner Referral</t>
        </is>
      </c>
      <c r="J359">
        <f>INDEX('Data - Borrowers'!$B$2:$B$851, MATCH(B359, 'Data - Borrowers'!$A$2:$A$851, 0))</f>
        <v/>
      </c>
      <c r="K359">
        <f>INDEX('Data - Borrowers'!$C$2:$C$851, MATCH(B359, 'Data - Borrowers'!$A$2:$A$851, 0))</f>
        <v/>
      </c>
      <c r="L359">
        <f>IF(D359&lt;100000, "Micro (&lt;100K)", IF(D359&lt;500000, "Small (100K-500K)", "Medium (500K+)"))</f>
        <v/>
      </c>
      <c r="M359">
        <f>TEXT(C359, "yyyy-mm")</f>
        <v/>
      </c>
    </row>
    <row r="360">
      <c r="A360" t="inlineStr">
        <is>
          <t>LN200396</t>
        </is>
      </c>
      <c r="B360" t="inlineStr">
        <is>
          <t>BOR100303</t>
        </is>
      </c>
      <c r="C360" s="8" t="n">
        <v>46009</v>
      </c>
      <c r="D360" s="9" t="n">
        <v>37000</v>
      </c>
      <c r="E360" t="n">
        <v>6</v>
      </c>
      <c r="F360" s="10" t="n">
        <v>0.166</v>
      </c>
      <c r="G360" t="inlineStr">
        <is>
          <t>Asset Finance</t>
        </is>
      </c>
      <c r="H360" t="inlineStr">
        <is>
          <t>LO018</t>
        </is>
      </c>
      <c r="I360" t="inlineStr">
        <is>
          <t>Mobile App</t>
        </is>
      </c>
      <c r="J360">
        <f>INDEX('Data - Borrowers'!$B$2:$B$851, MATCH(B360, 'Data - Borrowers'!$A$2:$A$851, 0))</f>
        <v/>
      </c>
      <c r="K360">
        <f>INDEX('Data - Borrowers'!$C$2:$C$851, MATCH(B360, 'Data - Borrowers'!$A$2:$A$851, 0))</f>
        <v/>
      </c>
      <c r="L360">
        <f>IF(D360&lt;100000, "Micro (&lt;100K)", IF(D360&lt;500000, "Small (100K-500K)", "Medium (500K+)"))</f>
        <v/>
      </c>
      <c r="M360">
        <f>TEXT(C360, "yyyy-mm")</f>
        <v/>
      </c>
    </row>
    <row r="361">
      <c r="A361" t="inlineStr">
        <is>
          <t>LN200397</t>
        </is>
      </c>
      <c r="B361" t="inlineStr">
        <is>
          <t>BOR100304</t>
        </is>
      </c>
      <c r="C361" s="8" t="n">
        <v>46058</v>
      </c>
      <c r="D361" s="9" t="n">
        <v>35000</v>
      </c>
      <c r="E361" t="n">
        <v>6</v>
      </c>
      <c r="F361" s="10" t="n">
        <v>0.146</v>
      </c>
      <c r="G361" t="inlineStr">
        <is>
          <t>Working Capital</t>
        </is>
      </c>
      <c r="H361" t="inlineStr">
        <is>
          <t>LO021</t>
        </is>
      </c>
      <c r="I361" t="inlineStr">
        <is>
          <t>Branch</t>
        </is>
      </c>
      <c r="J361">
        <f>INDEX('Data - Borrowers'!$B$2:$B$851, MATCH(B361, 'Data - Borrowers'!$A$2:$A$851, 0))</f>
        <v/>
      </c>
      <c r="K361">
        <f>INDEX('Data - Borrowers'!$C$2:$C$851, MATCH(B361, 'Data - Borrowers'!$A$2:$A$851, 0))</f>
        <v/>
      </c>
      <c r="L361">
        <f>IF(D361&lt;100000, "Micro (&lt;100K)", IF(D361&lt;500000, "Small (100K-500K)", "Medium (500K+)"))</f>
        <v/>
      </c>
      <c r="M361">
        <f>TEXT(C361, "yyyy-mm")</f>
        <v/>
      </c>
    </row>
    <row r="362">
      <c r="A362" t="inlineStr">
        <is>
          <t>LN200398</t>
        </is>
      </c>
      <c r="B362" t="inlineStr">
        <is>
          <t>BOR100304</t>
        </is>
      </c>
      <c r="C362" s="8" t="n">
        <v>46219</v>
      </c>
      <c r="D362" s="9" t="n">
        <v>89000</v>
      </c>
      <c r="E362" t="n">
        <v>3</v>
      </c>
      <c r="F362" s="10" t="n">
        <v>0.171</v>
      </c>
      <c r="G362" t="inlineStr">
        <is>
          <t>Asset Finance</t>
        </is>
      </c>
      <c r="H362" t="inlineStr">
        <is>
          <t>LO005</t>
        </is>
      </c>
      <c r="I362" t="inlineStr">
        <is>
          <t>Branch</t>
        </is>
      </c>
      <c r="J362">
        <f>INDEX('Data - Borrowers'!$B$2:$B$851, MATCH(B362, 'Data - Borrowers'!$A$2:$A$851, 0))</f>
        <v/>
      </c>
      <c r="K362">
        <f>INDEX('Data - Borrowers'!$C$2:$C$851, MATCH(B362, 'Data - Borrowers'!$A$2:$A$851, 0))</f>
        <v/>
      </c>
      <c r="L362">
        <f>IF(D362&lt;100000, "Micro (&lt;100K)", IF(D362&lt;500000, "Small (100K-500K)", "Medium (500K+)"))</f>
        <v/>
      </c>
      <c r="M362">
        <f>TEXT(C362, "yyyy-mm")</f>
        <v/>
      </c>
    </row>
    <row r="363">
      <c r="A363" t="inlineStr">
        <is>
          <t>LN200399</t>
        </is>
      </c>
      <c r="B363" t="inlineStr">
        <is>
          <t>BOR100305</t>
        </is>
      </c>
      <c r="C363" s="8" t="n">
        <v>46231</v>
      </c>
      <c r="D363" s="9" t="n">
        <v>79000</v>
      </c>
      <c r="E363" t="n">
        <v>6</v>
      </c>
      <c r="F363" s="10" t="n">
        <v>0.164</v>
      </c>
      <c r="G363" t="inlineStr">
        <is>
          <t>Working Capital</t>
        </is>
      </c>
      <c r="H363" t="inlineStr">
        <is>
          <t>LO011</t>
        </is>
      </c>
      <c r="I363" t="inlineStr">
        <is>
          <t>Branch</t>
        </is>
      </c>
      <c r="J363">
        <f>INDEX('Data - Borrowers'!$B$2:$B$851, MATCH(B363, 'Data - Borrowers'!$A$2:$A$851, 0))</f>
        <v/>
      </c>
      <c r="K363">
        <f>INDEX('Data - Borrowers'!$C$2:$C$851, MATCH(B363, 'Data - Borrowers'!$A$2:$A$851, 0))</f>
        <v/>
      </c>
      <c r="L363">
        <f>IF(D363&lt;100000, "Micro (&lt;100K)", IF(D363&lt;500000, "Small (100K-500K)", "Medium (500K+)"))</f>
        <v/>
      </c>
      <c r="M363">
        <f>TEXT(C363, "yyyy-mm")</f>
        <v/>
      </c>
    </row>
    <row r="364">
      <c r="A364" t="inlineStr">
        <is>
          <t>LN200401</t>
        </is>
      </c>
      <c r="B364" t="inlineStr">
        <is>
          <t>BOR100306</t>
        </is>
      </c>
      <c r="C364" s="8" t="n">
        <v>45804</v>
      </c>
      <c r="D364" s="9" t="n">
        <v>133000</v>
      </c>
      <c r="E364" t="n">
        <v>6</v>
      </c>
      <c r="F364" s="10" t="n">
        <v>0.183</v>
      </c>
      <c r="G364" t="inlineStr">
        <is>
          <t>Invoice Discounting</t>
        </is>
      </c>
      <c r="H364" t="inlineStr">
        <is>
          <t>LO005</t>
        </is>
      </c>
      <c r="I364" t="inlineStr">
        <is>
          <t>Mobile App</t>
        </is>
      </c>
      <c r="J364">
        <f>INDEX('Data - Borrowers'!$B$2:$B$851, MATCH(B364, 'Data - Borrowers'!$A$2:$A$851, 0))</f>
        <v/>
      </c>
      <c r="K364">
        <f>INDEX('Data - Borrowers'!$C$2:$C$851, MATCH(B364, 'Data - Borrowers'!$A$2:$A$851, 0))</f>
        <v/>
      </c>
      <c r="L364">
        <f>IF(D364&lt;100000, "Micro (&lt;100K)", IF(D364&lt;500000, "Small (100K-500K)", "Medium (500K+)"))</f>
        <v/>
      </c>
      <c r="M364">
        <f>TEXT(C364, "yyyy-mm")</f>
        <v/>
      </c>
    </row>
    <row r="365">
      <c r="A365" t="inlineStr">
        <is>
          <t>LN200402</t>
        </is>
      </c>
      <c r="B365" t="inlineStr">
        <is>
          <t>BOR100306</t>
        </is>
      </c>
      <c r="C365" s="8" t="n">
        <v>46226</v>
      </c>
      <c r="D365" s="9" t="n">
        <v>225000</v>
      </c>
      <c r="E365" t="n">
        <v>18</v>
      </c>
      <c r="F365" s="10" t="n">
        <v>0.2</v>
      </c>
      <c r="G365" t="inlineStr">
        <is>
          <t>Invoice Discounting</t>
        </is>
      </c>
      <c r="H365" t="inlineStr">
        <is>
          <t>LO015</t>
        </is>
      </c>
      <c r="I365" t="inlineStr">
        <is>
          <t>Partner Referral</t>
        </is>
      </c>
      <c r="J365">
        <f>INDEX('Data - Borrowers'!$B$2:$B$851, MATCH(B365, 'Data - Borrowers'!$A$2:$A$851, 0))</f>
        <v/>
      </c>
      <c r="K365">
        <f>INDEX('Data - Borrowers'!$C$2:$C$851, MATCH(B365, 'Data - Borrowers'!$A$2:$A$851, 0))</f>
        <v/>
      </c>
      <c r="L365">
        <f>IF(D365&lt;100000, "Micro (&lt;100K)", IF(D365&lt;500000, "Small (100K-500K)", "Medium (500K+)"))</f>
        <v/>
      </c>
      <c r="M365">
        <f>TEXT(C365, "yyyy-mm")</f>
        <v/>
      </c>
    </row>
    <row r="366">
      <c r="A366" t="inlineStr">
        <is>
          <t>LN200404</t>
        </is>
      </c>
      <c r="B366" t="inlineStr">
        <is>
          <t>BOR100307</t>
        </is>
      </c>
      <c r="C366" s="8" t="n">
        <v>46059</v>
      </c>
      <c r="D366" s="9" t="n">
        <v>98000</v>
      </c>
      <c r="E366" t="n">
        <v>9</v>
      </c>
      <c r="F366" s="10" t="n">
        <v>0.164</v>
      </c>
      <c r="G366" t="inlineStr">
        <is>
          <t>Working Capital</t>
        </is>
      </c>
      <c r="H366" t="inlineStr">
        <is>
          <t>LO021</t>
        </is>
      </c>
      <c r="I366" t="inlineStr">
        <is>
          <t>Mobile App</t>
        </is>
      </c>
      <c r="J366">
        <f>INDEX('Data - Borrowers'!$B$2:$B$851, MATCH(B366, 'Data - Borrowers'!$A$2:$A$851, 0))</f>
        <v/>
      </c>
      <c r="K366">
        <f>INDEX('Data - Borrowers'!$C$2:$C$851, MATCH(B366, 'Data - Borrowers'!$A$2:$A$851, 0))</f>
        <v/>
      </c>
      <c r="L366">
        <f>IF(D366&lt;100000, "Micro (&lt;100K)", IF(D366&lt;500000, "Small (100K-500K)", "Medium (500K+)"))</f>
        <v/>
      </c>
      <c r="M366">
        <f>TEXT(C366, "yyyy-mm")</f>
        <v/>
      </c>
    </row>
    <row r="367">
      <c r="A367" t="inlineStr">
        <is>
          <t>LN200405</t>
        </is>
      </c>
      <c r="B367" t="inlineStr">
        <is>
          <t>BOR100308</t>
        </is>
      </c>
      <c r="C367" s="8" t="n">
        <v>45953</v>
      </c>
      <c r="D367" s="9" t="n">
        <v>103000</v>
      </c>
      <c r="E367" t="n">
        <v>3</v>
      </c>
      <c r="F367" s="10" t="n">
        <v>0.158</v>
      </c>
      <c r="G367" t="inlineStr">
        <is>
          <t>Working Capital</t>
        </is>
      </c>
      <c r="H367" t="inlineStr">
        <is>
          <t>LO011</t>
        </is>
      </c>
      <c r="I367" t="inlineStr">
        <is>
          <t>Partner Referral</t>
        </is>
      </c>
      <c r="J367">
        <f>INDEX('Data - Borrowers'!$B$2:$B$851, MATCH(B367, 'Data - Borrowers'!$A$2:$A$851, 0))</f>
        <v/>
      </c>
      <c r="K367">
        <f>INDEX('Data - Borrowers'!$C$2:$C$851, MATCH(B367, 'Data - Borrowers'!$A$2:$A$851, 0))</f>
        <v/>
      </c>
      <c r="L367">
        <f>IF(D367&lt;100000, "Micro (&lt;100K)", IF(D367&lt;500000, "Small (100K-500K)", "Medium (500K+)"))</f>
        <v/>
      </c>
      <c r="M367">
        <f>TEXT(C367, "yyyy-mm")</f>
        <v/>
      </c>
    </row>
    <row r="368">
      <c r="A368" t="inlineStr">
        <is>
          <t>LN200406</t>
        </is>
      </c>
      <c r="B368" t="inlineStr">
        <is>
          <t>BOR100309</t>
        </is>
      </c>
      <c r="C368" s="8" t="n">
        <v>45796</v>
      </c>
      <c r="D368" s="9" t="n">
        <v>78000</v>
      </c>
      <c r="E368" t="n">
        <v>6</v>
      </c>
      <c r="F368" s="10" t="n">
        <v>0.197</v>
      </c>
      <c r="G368" t="inlineStr">
        <is>
          <t>Working Capital</t>
        </is>
      </c>
      <c r="H368" t="inlineStr">
        <is>
          <t>LO015</t>
        </is>
      </c>
      <c r="I368" t="inlineStr">
        <is>
          <t>Mobile App</t>
        </is>
      </c>
      <c r="J368">
        <f>INDEX('Data - Borrowers'!$B$2:$B$851, MATCH(B368, 'Data - Borrowers'!$A$2:$A$851, 0))</f>
        <v/>
      </c>
      <c r="K368">
        <f>INDEX('Data - Borrowers'!$C$2:$C$851, MATCH(B368, 'Data - Borrowers'!$A$2:$A$851, 0))</f>
        <v/>
      </c>
      <c r="L368">
        <f>IF(D368&lt;100000, "Micro (&lt;100K)", IF(D368&lt;500000, "Small (100K-500K)", "Medium (500K+)"))</f>
        <v/>
      </c>
      <c r="M368">
        <f>TEXT(C368, "yyyy-mm")</f>
        <v/>
      </c>
    </row>
    <row r="369">
      <c r="A369" t="inlineStr">
        <is>
          <t>LN200407</t>
        </is>
      </c>
      <c r="B369" t="inlineStr">
        <is>
          <t>BOR100310</t>
        </is>
      </c>
      <c r="C369" s="8" t="n">
        <v>45770</v>
      </c>
      <c r="D369" s="9" t="n">
        <v>208000</v>
      </c>
      <c r="E369" t="n">
        <v>6</v>
      </c>
      <c r="F369" s="10" t="n">
        <v>0.172</v>
      </c>
      <c r="G369" t="inlineStr">
        <is>
          <t>Working Capital</t>
        </is>
      </c>
      <c r="H369" t="inlineStr">
        <is>
          <t>LO005</t>
        </is>
      </c>
      <c r="I369" t="inlineStr">
        <is>
          <t>Branch</t>
        </is>
      </c>
      <c r="J369">
        <f>INDEX('Data - Borrowers'!$B$2:$B$851, MATCH(B369, 'Data - Borrowers'!$A$2:$A$851, 0))</f>
        <v/>
      </c>
      <c r="K369">
        <f>INDEX('Data - Borrowers'!$C$2:$C$851, MATCH(B369, 'Data - Borrowers'!$A$2:$A$851, 0))</f>
        <v/>
      </c>
      <c r="L369">
        <f>IF(D369&lt;100000, "Micro (&lt;100K)", IF(D369&lt;500000, "Small (100K-500K)", "Medium (500K+)"))</f>
        <v/>
      </c>
      <c r="M369">
        <f>TEXT(C369, "yyyy-mm")</f>
        <v/>
      </c>
    </row>
    <row r="370">
      <c r="A370" t="inlineStr">
        <is>
          <t>LN200408</t>
        </is>
      </c>
      <c r="B370" t="inlineStr">
        <is>
          <t>BOR100311</t>
        </is>
      </c>
      <c r="C370" s="8" t="n">
        <v>45809</v>
      </c>
      <c r="D370" s="9" t="n">
        <v>88000</v>
      </c>
      <c r="E370" t="n">
        <v>3</v>
      </c>
      <c r="F370" s="10" t="n">
        <v>0.22</v>
      </c>
      <c r="G370" t="inlineStr">
        <is>
          <t>Working Capital</t>
        </is>
      </c>
      <c r="H370" t="inlineStr">
        <is>
          <t>LO006</t>
        </is>
      </c>
      <c r="I370" t="inlineStr">
        <is>
          <t>Branch</t>
        </is>
      </c>
      <c r="J370">
        <f>INDEX('Data - Borrowers'!$B$2:$B$851, MATCH(B370, 'Data - Borrowers'!$A$2:$A$851, 0))</f>
        <v/>
      </c>
      <c r="K370">
        <f>INDEX('Data - Borrowers'!$C$2:$C$851, MATCH(B370, 'Data - Borrowers'!$A$2:$A$851, 0))</f>
        <v/>
      </c>
      <c r="L370">
        <f>IF(D370&lt;100000, "Micro (&lt;100K)", IF(D370&lt;500000, "Small (100K-500K)", "Medium (500K+)"))</f>
        <v/>
      </c>
      <c r="M370">
        <f>TEXT(C370, "yyyy-mm")</f>
        <v/>
      </c>
    </row>
    <row r="371">
      <c r="A371" t="inlineStr">
        <is>
          <t>LN200409</t>
        </is>
      </c>
      <c r="B371" t="inlineStr">
        <is>
          <t>BOR100312</t>
        </is>
      </c>
      <c r="C371" s="8" t="n">
        <v>45903</v>
      </c>
      <c r="D371" s="9" t="n">
        <v>70000</v>
      </c>
      <c r="E371" t="n">
        <v>3</v>
      </c>
      <c r="F371" s="10" t="n">
        <v>0.223</v>
      </c>
      <c r="G371" t="inlineStr">
        <is>
          <t>Invoice Discounting</t>
        </is>
      </c>
      <c r="H371" t="inlineStr">
        <is>
          <t>LO005</t>
        </is>
      </c>
      <c r="I371" t="inlineStr">
        <is>
          <t>Mobile App</t>
        </is>
      </c>
      <c r="J371">
        <f>INDEX('Data - Borrowers'!$B$2:$B$851, MATCH(B371, 'Data - Borrowers'!$A$2:$A$851, 0))</f>
        <v/>
      </c>
      <c r="K371">
        <f>INDEX('Data - Borrowers'!$C$2:$C$851, MATCH(B371, 'Data - Borrowers'!$A$2:$A$851, 0))</f>
        <v/>
      </c>
      <c r="L371">
        <f>IF(D371&lt;100000, "Micro (&lt;100K)", IF(D371&lt;500000, "Small (100K-500K)", "Medium (500K+)"))</f>
        <v/>
      </c>
      <c r="M371">
        <f>TEXT(C371, "yyyy-mm")</f>
        <v/>
      </c>
    </row>
    <row r="372">
      <c r="A372" t="inlineStr">
        <is>
          <t>LN200410</t>
        </is>
      </c>
      <c r="B372" t="inlineStr">
        <is>
          <t>BOR100313</t>
        </is>
      </c>
      <c r="C372" s="8" t="n">
        <v>45873</v>
      </c>
      <c r="D372" s="9" t="n">
        <v>127000</v>
      </c>
      <c r="E372" t="n">
        <v>3</v>
      </c>
      <c r="F372" s="10" t="n">
        <v>0.173</v>
      </c>
      <c r="G372" t="inlineStr">
        <is>
          <t>Asset Finance</t>
        </is>
      </c>
      <c r="H372" t="inlineStr">
        <is>
          <t>LO007</t>
        </is>
      </c>
      <c r="I372" t="inlineStr">
        <is>
          <t>Mobile App</t>
        </is>
      </c>
      <c r="J372">
        <f>INDEX('Data - Borrowers'!$B$2:$B$851, MATCH(B372, 'Data - Borrowers'!$A$2:$A$851, 0))</f>
        <v/>
      </c>
      <c r="K372">
        <f>INDEX('Data - Borrowers'!$C$2:$C$851, MATCH(B372, 'Data - Borrowers'!$A$2:$A$851, 0))</f>
        <v/>
      </c>
      <c r="L372">
        <f>IF(D372&lt;100000, "Micro (&lt;100K)", IF(D372&lt;500000, "Small (100K-500K)", "Medium (500K+)"))</f>
        <v/>
      </c>
      <c r="M372">
        <f>TEXT(C372, "yyyy-mm")</f>
        <v/>
      </c>
    </row>
    <row r="373">
      <c r="A373" t="inlineStr">
        <is>
          <t>LN200411</t>
        </is>
      </c>
      <c r="B373" t="inlineStr">
        <is>
          <t>BOR100314</t>
        </is>
      </c>
      <c r="C373" s="8" t="n">
        <v>45698</v>
      </c>
      <c r="D373" s="9" t="n">
        <v>299000</v>
      </c>
      <c r="E373" t="n">
        <v>9</v>
      </c>
      <c r="F373" s="10" t="n">
        <v>0.131</v>
      </c>
      <c r="G373" t="inlineStr">
        <is>
          <t>Working Capital</t>
        </is>
      </c>
      <c r="H373" t="inlineStr">
        <is>
          <t>LO021</t>
        </is>
      </c>
      <c r="I373" t="inlineStr">
        <is>
          <t>Mobile App</t>
        </is>
      </c>
      <c r="J373">
        <f>INDEX('Data - Borrowers'!$B$2:$B$851, MATCH(B373, 'Data - Borrowers'!$A$2:$A$851, 0))</f>
        <v/>
      </c>
      <c r="K373">
        <f>INDEX('Data - Borrowers'!$C$2:$C$851, MATCH(B373, 'Data - Borrowers'!$A$2:$A$851, 0))</f>
        <v/>
      </c>
      <c r="L373">
        <f>IF(D373&lt;100000, "Micro (&lt;100K)", IF(D373&lt;500000, "Small (100K-500K)", "Medium (500K+)"))</f>
        <v/>
      </c>
      <c r="M373">
        <f>TEXT(C373, "yyyy-mm")</f>
        <v/>
      </c>
    </row>
    <row r="374">
      <c r="A374" t="inlineStr">
        <is>
          <t>LN200412</t>
        </is>
      </c>
      <c r="B374" t="inlineStr">
        <is>
          <t>BOR100315</t>
        </is>
      </c>
      <c r="C374" s="8" t="n">
        <v>46110</v>
      </c>
      <c r="D374" s="9" t="n">
        <v>53000</v>
      </c>
      <c r="E374" t="n">
        <v>12</v>
      </c>
      <c r="F374" s="10" t="n">
        <v>0.19</v>
      </c>
      <c r="G374" t="inlineStr">
        <is>
          <t>Invoice Discounting</t>
        </is>
      </c>
      <c r="H374" t="inlineStr">
        <is>
          <t>LO012</t>
        </is>
      </c>
      <c r="I374" t="inlineStr">
        <is>
          <t>Branch</t>
        </is>
      </c>
      <c r="J374">
        <f>INDEX('Data - Borrowers'!$B$2:$B$851, MATCH(B374, 'Data - Borrowers'!$A$2:$A$851, 0))</f>
        <v/>
      </c>
      <c r="K374">
        <f>INDEX('Data - Borrowers'!$C$2:$C$851, MATCH(B374, 'Data - Borrowers'!$A$2:$A$851, 0))</f>
        <v/>
      </c>
      <c r="L374">
        <f>IF(D374&lt;100000, "Micro (&lt;100K)", IF(D374&lt;500000, "Small (100K-500K)", "Medium (500K+)"))</f>
        <v/>
      </c>
      <c r="M374">
        <f>TEXT(C374, "yyyy-mm")</f>
        <v/>
      </c>
    </row>
    <row r="375">
      <c r="A375" t="inlineStr">
        <is>
          <t>LN200413</t>
        </is>
      </c>
      <c r="B375" t="inlineStr">
        <is>
          <t>BOR100316</t>
        </is>
      </c>
      <c r="C375" s="8" t="n">
        <v>45660</v>
      </c>
      <c r="D375" s="9" t="n">
        <v>120000</v>
      </c>
      <c r="E375" t="n">
        <v>12</v>
      </c>
      <c r="F375" s="10" t="n">
        <v>0.228</v>
      </c>
      <c r="G375" t="inlineStr">
        <is>
          <t>Invoice Discounting</t>
        </is>
      </c>
      <c r="H375" t="inlineStr">
        <is>
          <t>LO008</t>
        </is>
      </c>
      <c r="I375" t="inlineStr">
        <is>
          <t>Partner Referral</t>
        </is>
      </c>
      <c r="J375">
        <f>INDEX('Data - Borrowers'!$B$2:$B$851, MATCH(B375, 'Data - Borrowers'!$A$2:$A$851, 0))</f>
        <v/>
      </c>
      <c r="K375">
        <f>INDEX('Data - Borrowers'!$C$2:$C$851, MATCH(B375, 'Data - Borrowers'!$A$2:$A$851, 0))</f>
        <v/>
      </c>
      <c r="L375">
        <f>IF(D375&lt;100000, "Micro (&lt;100K)", IF(D375&lt;500000, "Small (100K-500K)", "Medium (500K+)"))</f>
        <v/>
      </c>
      <c r="M375">
        <f>TEXT(C375, "yyyy-mm")</f>
        <v/>
      </c>
    </row>
    <row r="376">
      <c r="A376" t="inlineStr">
        <is>
          <t>LN200414</t>
        </is>
      </c>
      <c r="B376" t="inlineStr">
        <is>
          <t>BOR100317</t>
        </is>
      </c>
      <c r="C376" s="8" t="n">
        <v>45684</v>
      </c>
      <c r="D376" s="9" t="n">
        <v>21000</v>
      </c>
      <c r="E376" t="n">
        <v>3</v>
      </c>
      <c r="F376" s="10" t="n">
        <v>0.188</v>
      </c>
      <c r="G376" t="inlineStr">
        <is>
          <t>Working Capital</t>
        </is>
      </c>
      <c r="H376" t="inlineStr">
        <is>
          <t>LO023</t>
        </is>
      </c>
      <c r="I376" t="inlineStr">
        <is>
          <t>Mobile App</t>
        </is>
      </c>
      <c r="J376">
        <f>INDEX('Data - Borrowers'!$B$2:$B$851, MATCH(B376, 'Data - Borrowers'!$A$2:$A$851, 0))</f>
        <v/>
      </c>
      <c r="K376">
        <f>INDEX('Data - Borrowers'!$C$2:$C$851, MATCH(B376, 'Data - Borrowers'!$A$2:$A$851, 0))</f>
        <v/>
      </c>
      <c r="L376">
        <f>IF(D376&lt;100000, "Micro (&lt;100K)", IF(D376&lt;500000, "Small (100K-500K)", "Medium (500K+)"))</f>
        <v/>
      </c>
      <c r="M376">
        <f>TEXT(C376, "yyyy-mm")</f>
        <v/>
      </c>
    </row>
    <row r="377">
      <c r="A377" t="inlineStr">
        <is>
          <t>LN200415</t>
        </is>
      </c>
      <c r="B377" t="inlineStr">
        <is>
          <t>BOR100318</t>
        </is>
      </c>
      <c r="C377" s="8" t="n">
        <v>46090</v>
      </c>
      <c r="D377" s="9" t="n">
        <v>43000</v>
      </c>
      <c r="E377" t="n">
        <v>9</v>
      </c>
      <c r="F377" s="10" t="n">
        <v>0.207</v>
      </c>
      <c r="G377" t="inlineStr">
        <is>
          <t>Working Capital</t>
        </is>
      </c>
      <c r="H377" t="inlineStr">
        <is>
          <t>LO007</t>
        </is>
      </c>
      <c r="I377" t="inlineStr">
        <is>
          <t>Mobile App</t>
        </is>
      </c>
      <c r="J377">
        <f>INDEX('Data - Borrowers'!$B$2:$B$851, MATCH(B377, 'Data - Borrowers'!$A$2:$A$851, 0))</f>
        <v/>
      </c>
      <c r="K377">
        <f>INDEX('Data - Borrowers'!$C$2:$C$851, MATCH(B377, 'Data - Borrowers'!$A$2:$A$851, 0))</f>
        <v/>
      </c>
      <c r="L377">
        <f>IF(D377&lt;100000, "Micro (&lt;100K)", IF(D377&lt;500000, "Small (100K-500K)", "Medium (500K+)"))</f>
        <v/>
      </c>
      <c r="M377">
        <f>TEXT(C377, "yyyy-mm")</f>
        <v/>
      </c>
    </row>
    <row r="378">
      <c r="A378" t="inlineStr">
        <is>
          <t>LN200416</t>
        </is>
      </c>
      <c r="B378" t="inlineStr">
        <is>
          <t>BOR100318</t>
        </is>
      </c>
      <c r="C378" s="8" t="n">
        <v>46235</v>
      </c>
      <c r="D378" s="9" t="n">
        <v>56000</v>
      </c>
      <c r="E378" t="n">
        <v>3</v>
      </c>
      <c r="F378" s="10" t="n">
        <v>0.131</v>
      </c>
      <c r="G378" t="inlineStr">
        <is>
          <t>Asset Finance</t>
        </is>
      </c>
      <c r="H378" t="inlineStr">
        <is>
          <t>LO017</t>
        </is>
      </c>
      <c r="I378" t="inlineStr">
        <is>
          <t>Branch</t>
        </is>
      </c>
      <c r="J378">
        <f>INDEX('Data - Borrowers'!$B$2:$B$851, MATCH(B378, 'Data - Borrowers'!$A$2:$A$851, 0))</f>
        <v/>
      </c>
      <c r="K378">
        <f>INDEX('Data - Borrowers'!$C$2:$C$851, MATCH(B378, 'Data - Borrowers'!$A$2:$A$851, 0))</f>
        <v/>
      </c>
      <c r="L378">
        <f>IF(D378&lt;100000, "Micro (&lt;100K)", IF(D378&lt;500000, "Small (100K-500K)", "Medium (500K+)"))</f>
        <v/>
      </c>
      <c r="M378">
        <f>TEXT(C378, "yyyy-mm")</f>
        <v/>
      </c>
    </row>
    <row r="379">
      <c r="A379" t="inlineStr">
        <is>
          <t>LN200417</t>
        </is>
      </c>
      <c r="B379" t="inlineStr">
        <is>
          <t>BOR100319</t>
        </is>
      </c>
      <c r="C379" s="8" t="n">
        <v>46208</v>
      </c>
      <c r="D379" s="9" t="n">
        <v>186000</v>
      </c>
      <c r="E379" t="n">
        <v>12</v>
      </c>
      <c r="F379" s="10" t="n">
        <v>0.205</v>
      </c>
      <c r="G379" t="inlineStr">
        <is>
          <t>Working Capital</t>
        </is>
      </c>
      <c r="H379" t="inlineStr">
        <is>
          <t>LO002</t>
        </is>
      </c>
      <c r="I379" t="inlineStr">
        <is>
          <t>Mobile App</t>
        </is>
      </c>
      <c r="J379">
        <f>INDEX('Data - Borrowers'!$B$2:$B$851, MATCH(B379, 'Data - Borrowers'!$A$2:$A$851, 0))</f>
        <v/>
      </c>
      <c r="K379">
        <f>INDEX('Data - Borrowers'!$C$2:$C$851, MATCH(B379, 'Data - Borrowers'!$A$2:$A$851, 0))</f>
        <v/>
      </c>
      <c r="L379">
        <f>IF(D379&lt;100000, "Micro (&lt;100K)", IF(D379&lt;500000, "Small (100K-500K)", "Medium (500K+)"))</f>
        <v/>
      </c>
      <c r="M379">
        <f>TEXT(C379, "yyyy-mm")</f>
        <v/>
      </c>
    </row>
    <row r="380">
      <c r="A380" t="inlineStr">
        <is>
          <t>LN200418</t>
        </is>
      </c>
      <c r="B380" t="inlineStr">
        <is>
          <t>BOR100320</t>
        </is>
      </c>
      <c r="C380" s="8" t="n">
        <v>46099</v>
      </c>
      <c r="D380" s="9" t="n">
        <v>220000</v>
      </c>
      <c r="E380" t="n">
        <v>6</v>
      </c>
      <c r="F380" s="10" t="n">
        <v>0.203</v>
      </c>
      <c r="G380" t="inlineStr">
        <is>
          <t>Working Capital</t>
        </is>
      </c>
      <c r="H380" t="inlineStr">
        <is>
          <t>LO023</t>
        </is>
      </c>
      <c r="I380" t="inlineStr">
        <is>
          <t>Branch</t>
        </is>
      </c>
      <c r="J380">
        <f>INDEX('Data - Borrowers'!$B$2:$B$851, MATCH(B380, 'Data - Borrowers'!$A$2:$A$851, 0))</f>
        <v/>
      </c>
      <c r="K380">
        <f>INDEX('Data - Borrowers'!$C$2:$C$851, MATCH(B380, 'Data - Borrowers'!$A$2:$A$851, 0))</f>
        <v/>
      </c>
      <c r="L380">
        <f>IF(D380&lt;100000, "Micro (&lt;100K)", IF(D380&lt;500000, "Small (100K-500K)", "Medium (500K+)"))</f>
        <v/>
      </c>
      <c r="M380">
        <f>TEXT(C380, "yyyy-mm")</f>
        <v/>
      </c>
    </row>
    <row r="381">
      <c r="A381" t="inlineStr">
        <is>
          <t>LN200419</t>
        </is>
      </c>
      <c r="B381" t="inlineStr">
        <is>
          <t>BOR100321</t>
        </is>
      </c>
      <c r="C381" s="8" t="n">
        <v>46147</v>
      </c>
      <c r="D381" s="9" t="n">
        <v>66000</v>
      </c>
      <c r="E381" t="n">
        <v>6</v>
      </c>
      <c r="F381" s="10" t="n">
        <v>0.169</v>
      </c>
      <c r="G381" t="inlineStr">
        <is>
          <t>Asset Finance</t>
        </is>
      </c>
      <c r="H381" t="inlineStr">
        <is>
          <t>LO022</t>
        </is>
      </c>
      <c r="I381" t="inlineStr">
        <is>
          <t>Branch</t>
        </is>
      </c>
      <c r="J381">
        <f>INDEX('Data - Borrowers'!$B$2:$B$851, MATCH(B381, 'Data - Borrowers'!$A$2:$A$851, 0))</f>
        <v/>
      </c>
      <c r="K381">
        <f>INDEX('Data - Borrowers'!$C$2:$C$851, MATCH(B381, 'Data - Borrowers'!$A$2:$A$851, 0))</f>
        <v/>
      </c>
      <c r="L381">
        <f>IF(D381&lt;100000, "Micro (&lt;100K)", IF(D381&lt;500000, "Small (100K-500K)", "Medium (500K+)"))</f>
        <v/>
      </c>
      <c r="M381">
        <f>TEXT(C381, "yyyy-mm")</f>
        <v/>
      </c>
    </row>
    <row r="382">
      <c r="A382" t="inlineStr">
        <is>
          <t>LN200420</t>
        </is>
      </c>
      <c r="B382" t="inlineStr">
        <is>
          <t>BOR100322</t>
        </is>
      </c>
      <c r="C382" s="8" t="n">
        <v>46024</v>
      </c>
      <c r="D382" s="9" t="n">
        <v>47000</v>
      </c>
      <c r="E382" t="n">
        <v>6</v>
      </c>
      <c r="F382" s="10" t="n">
        <v>0.143</v>
      </c>
      <c r="G382" t="inlineStr">
        <is>
          <t>Invoice Discounting</t>
        </is>
      </c>
      <c r="H382" t="inlineStr">
        <is>
          <t>LO017</t>
        </is>
      </c>
      <c r="I382" t="inlineStr">
        <is>
          <t>Mobile App</t>
        </is>
      </c>
      <c r="J382">
        <f>INDEX('Data - Borrowers'!$B$2:$B$851, MATCH(B382, 'Data - Borrowers'!$A$2:$A$851, 0))</f>
        <v/>
      </c>
      <c r="K382">
        <f>INDEX('Data - Borrowers'!$C$2:$C$851, MATCH(B382, 'Data - Borrowers'!$A$2:$A$851, 0))</f>
        <v/>
      </c>
      <c r="L382">
        <f>IF(D382&lt;100000, "Micro (&lt;100K)", IF(D382&lt;500000, "Small (100K-500K)", "Medium (500K+)"))</f>
        <v/>
      </c>
      <c r="M382">
        <f>TEXT(C382, "yyyy-mm")</f>
        <v/>
      </c>
    </row>
    <row r="383">
      <c r="A383" t="inlineStr">
        <is>
          <t>LN200421</t>
        </is>
      </c>
      <c r="B383" t="inlineStr">
        <is>
          <t>BOR100323</t>
        </is>
      </c>
      <c r="C383" s="8" t="n">
        <v>46122</v>
      </c>
      <c r="D383" s="9" t="n">
        <v>137000</v>
      </c>
      <c r="E383" t="n">
        <v>9</v>
      </c>
      <c r="F383" s="10" t="n">
        <v>0.161</v>
      </c>
      <c r="G383" t="inlineStr">
        <is>
          <t>Working Capital</t>
        </is>
      </c>
      <c r="H383" t="inlineStr">
        <is>
          <t>LO008</t>
        </is>
      </c>
      <c r="I383" t="inlineStr">
        <is>
          <t>Mobile App</t>
        </is>
      </c>
      <c r="J383">
        <f>INDEX('Data - Borrowers'!$B$2:$B$851, MATCH(B383, 'Data - Borrowers'!$A$2:$A$851, 0))</f>
        <v/>
      </c>
      <c r="K383">
        <f>INDEX('Data - Borrowers'!$C$2:$C$851, MATCH(B383, 'Data - Borrowers'!$A$2:$A$851, 0))</f>
        <v/>
      </c>
      <c r="L383">
        <f>IF(D383&lt;100000, "Micro (&lt;100K)", IF(D383&lt;500000, "Small (100K-500K)", "Medium (500K+)"))</f>
        <v/>
      </c>
      <c r="M383">
        <f>TEXT(C383, "yyyy-mm")</f>
        <v/>
      </c>
    </row>
    <row r="384">
      <c r="A384" t="inlineStr">
        <is>
          <t>LN200422</t>
        </is>
      </c>
      <c r="B384" t="inlineStr">
        <is>
          <t>BOR100324</t>
        </is>
      </c>
      <c r="C384" s="8" t="n">
        <v>46204</v>
      </c>
      <c r="D384" s="9" t="n">
        <v>57000</v>
      </c>
      <c r="E384" t="n">
        <v>9</v>
      </c>
      <c r="F384" s="10" t="n">
        <v>0.186</v>
      </c>
      <c r="G384" t="inlineStr">
        <is>
          <t>Asset Finance</t>
        </is>
      </c>
      <c r="H384" t="inlineStr">
        <is>
          <t>LO014</t>
        </is>
      </c>
      <c r="I384" t="inlineStr">
        <is>
          <t>Branch</t>
        </is>
      </c>
      <c r="J384">
        <f>INDEX('Data - Borrowers'!$B$2:$B$851, MATCH(B384, 'Data - Borrowers'!$A$2:$A$851, 0))</f>
        <v/>
      </c>
      <c r="K384">
        <f>INDEX('Data - Borrowers'!$C$2:$C$851, MATCH(B384, 'Data - Borrowers'!$A$2:$A$851, 0))</f>
        <v/>
      </c>
      <c r="L384">
        <f>IF(D384&lt;100000, "Micro (&lt;100K)", IF(D384&lt;500000, "Small (100K-500K)", "Medium (500K+)"))</f>
        <v/>
      </c>
      <c r="M384">
        <f>TEXT(C384, "yyyy-mm")</f>
        <v/>
      </c>
    </row>
    <row r="385">
      <c r="A385" t="inlineStr">
        <is>
          <t>LN200423</t>
        </is>
      </c>
      <c r="B385" t="inlineStr">
        <is>
          <t>BOR100325</t>
        </is>
      </c>
      <c r="C385" s="8" t="n">
        <v>45842</v>
      </c>
      <c r="D385" s="9" t="n">
        <v>68000</v>
      </c>
      <c r="E385" t="n">
        <v>6</v>
      </c>
      <c r="F385" s="10" t="n">
        <v>0.189</v>
      </c>
      <c r="G385" t="inlineStr">
        <is>
          <t>Invoice Discounting</t>
        </is>
      </c>
      <c r="H385" t="inlineStr">
        <is>
          <t>LO024</t>
        </is>
      </c>
      <c r="I385" t="inlineStr">
        <is>
          <t>Mobile App</t>
        </is>
      </c>
      <c r="J385">
        <f>INDEX('Data - Borrowers'!$B$2:$B$851, MATCH(B385, 'Data - Borrowers'!$A$2:$A$851, 0))</f>
        <v/>
      </c>
      <c r="K385">
        <f>INDEX('Data - Borrowers'!$C$2:$C$851, MATCH(B385, 'Data - Borrowers'!$A$2:$A$851, 0))</f>
        <v/>
      </c>
      <c r="L385">
        <f>IF(D385&lt;100000, "Micro (&lt;100K)", IF(D385&lt;500000, "Small (100K-500K)", "Medium (500K+)"))</f>
        <v/>
      </c>
      <c r="M385">
        <f>TEXT(C385, "yyyy-mm")</f>
        <v/>
      </c>
    </row>
    <row r="386">
      <c r="A386" t="inlineStr">
        <is>
          <t>LN200424</t>
        </is>
      </c>
      <c r="B386" t="inlineStr">
        <is>
          <t>BOR100326</t>
        </is>
      </c>
      <c r="C386" s="8" t="n">
        <v>45841</v>
      </c>
      <c r="D386" s="9" t="n">
        <v>45000</v>
      </c>
      <c r="E386" t="n">
        <v>12</v>
      </c>
      <c r="F386" s="10" t="n">
        <v>0.217</v>
      </c>
      <c r="G386" t="inlineStr">
        <is>
          <t>Working Capital</t>
        </is>
      </c>
      <c r="H386" t="inlineStr">
        <is>
          <t>LO015</t>
        </is>
      </c>
      <c r="I386" t="inlineStr">
        <is>
          <t>Partner Referral</t>
        </is>
      </c>
      <c r="J386">
        <f>INDEX('Data - Borrowers'!$B$2:$B$851, MATCH(B386, 'Data - Borrowers'!$A$2:$A$851, 0))</f>
        <v/>
      </c>
      <c r="K386">
        <f>INDEX('Data - Borrowers'!$C$2:$C$851, MATCH(B386, 'Data - Borrowers'!$A$2:$A$851, 0))</f>
        <v/>
      </c>
      <c r="L386">
        <f>IF(D386&lt;100000, "Micro (&lt;100K)", IF(D386&lt;500000, "Small (100K-500K)", "Medium (500K+)"))</f>
        <v/>
      </c>
      <c r="M386">
        <f>TEXT(C386, "yyyy-mm")</f>
        <v/>
      </c>
    </row>
    <row r="387">
      <c r="A387" t="inlineStr">
        <is>
          <t>LN200425</t>
        </is>
      </c>
      <c r="B387" t="inlineStr">
        <is>
          <t>BOR100326</t>
        </is>
      </c>
      <c r="C387" s="8" t="n">
        <v>46069</v>
      </c>
      <c r="D387" s="9" t="n">
        <v>91000</v>
      </c>
      <c r="E387" t="n">
        <v>9</v>
      </c>
      <c r="F387" s="10" t="n">
        <v>0.161</v>
      </c>
      <c r="G387" t="inlineStr">
        <is>
          <t>Working Capital</t>
        </is>
      </c>
      <c r="H387" t="inlineStr">
        <is>
          <t>LO018</t>
        </is>
      </c>
      <c r="I387" t="inlineStr">
        <is>
          <t>Mobile App</t>
        </is>
      </c>
      <c r="J387">
        <f>INDEX('Data - Borrowers'!$B$2:$B$851, MATCH(B387, 'Data - Borrowers'!$A$2:$A$851, 0))</f>
        <v/>
      </c>
      <c r="K387">
        <f>INDEX('Data - Borrowers'!$C$2:$C$851, MATCH(B387, 'Data - Borrowers'!$A$2:$A$851, 0))</f>
        <v/>
      </c>
      <c r="L387">
        <f>IF(D387&lt;100000, "Micro (&lt;100K)", IF(D387&lt;500000, "Small (100K-500K)", "Medium (500K+)"))</f>
        <v/>
      </c>
      <c r="M387">
        <f>TEXT(C387, "yyyy-mm")</f>
        <v/>
      </c>
    </row>
    <row r="388">
      <c r="A388" t="inlineStr">
        <is>
          <t>LN200426</t>
        </is>
      </c>
      <c r="B388" t="inlineStr">
        <is>
          <t>BOR100326</t>
        </is>
      </c>
      <c r="C388" s="8" t="n">
        <v>46218</v>
      </c>
      <c r="D388" s="9" t="n">
        <v>119000</v>
      </c>
      <c r="E388" t="n">
        <v>6</v>
      </c>
      <c r="F388" s="10" t="n">
        <v>0.152</v>
      </c>
      <c r="G388" t="inlineStr">
        <is>
          <t>Asset Finance</t>
        </is>
      </c>
      <c r="H388" t="inlineStr">
        <is>
          <t>LO018</t>
        </is>
      </c>
      <c r="I388" t="inlineStr">
        <is>
          <t>Branch</t>
        </is>
      </c>
      <c r="J388">
        <f>INDEX('Data - Borrowers'!$B$2:$B$851, MATCH(B388, 'Data - Borrowers'!$A$2:$A$851, 0))</f>
        <v/>
      </c>
      <c r="K388">
        <f>INDEX('Data - Borrowers'!$C$2:$C$851, MATCH(B388, 'Data - Borrowers'!$A$2:$A$851, 0))</f>
        <v/>
      </c>
      <c r="L388">
        <f>IF(D388&lt;100000, "Micro (&lt;100K)", IF(D388&lt;500000, "Small (100K-500K)", "Medium (500K+)"))</f>
        <v/>
      </c>
      <c r="M388">
        <f>TEXT(C388, "yyyy-mm")</f>
        <v/>
      </c>
    </row>
    <row r="389">
      <c r="A389" t="inlineStr">
        <is>
          <t>LN200427</t>
        </is>
      </c>
      <c r="B389" t="inlineStr">
        <is>
          <t>BOR100327</t>
        </is>
      </c>
      <c r="C389" s="8" t="n">
        <v>45698</v>
      </c>
      <c r="D389" s="9" t="n">
        <v>83000</v>
      </c>
      <c r="E389" t="n">
        <v>6</v>
      </c>
      <c r="F389" s="10" t="n">
        <v>0.146</v>
      </c>
      <c r="G389" t="inlineStr">
        <is>
          <t>Working Capital</t>
        </is>
      </c>
      <c r="H389" t="inlineStr">
        <is>
          <t>LO002</t>
        </is>
      </c>
      <c r="I389" t="inlineStr">
        <is>
          <t>Branch</t>
        </is>
      </c>
      <c r="J389">
        <f>INDEX('Data - Borrowers'!$B$2:$B$851, MATCH(B389, 'Data - Borrowers'!$A$2:$A$851, 0))</f>
        <v/>
      </c>
      <c r="K389">
        <f>INDEX('Data - Borrowers'!$C$2:$C$851, MATCH(B389, 'Data - Borrowers'!$A$2:$A$851, 0))</f>
        <v/>
      </c>
      <c r="L389">
        <f>IF(D389&lt;100000, "Micro (&lt;100K)", IF(D389&lt;500000, "Small (100K-500K)", "Medium (500K+)"))</f>
        <v/>
      </c>
      <c r="M389">
        <f>TEXT(C389, "yyyy-mm")</f>
        <v/>
      </c>
    </row>
    <row r="390">
      <c r="A390" t="inlineStr">
        <is>
          <t>LN200428</t>
        </is>
      </c>
      <c r="B390" t="inlineStr">
        <is>
          <t>BOR100328</t>
        </is>
      </c>
      <c r="C390" s="8" t="n">
        <v>46064</v>
      </c>
      <c r="D390" s="9" t="n">
        <v>40000</v>
      </c>
      <c r="E390" t="n">
        <v>6</v>
      </c>
      <c r="F390" s="10" t="n">
        <v>0.215</v>
      </c>
      <c r="G390" t="inlineStr">
        <is>
          <t>Asset Finance</t>
        </is>
      </c>
      <c r="H390" t="inlineStr">
        <is>
          <t>LO008</t>
        </is>
      </c>
      <c r="I390" t="inlineStr">
        <is>
          <t>Mobile App</t>
        </is>
      </c>
      <c r="J390">
        <f>INDEX('Data - Borrowers'!$B$2:$B$851, MATCH(B390, 'Data - Borrowers'!$A$2:$A$851, 0))</f>
        <v/>
      </c>
      <c r="K390">
        <f>INDEX('Data - Borrowers'!$C$2:$C$851, MATCH(B390, 'Data - Borrowers'!$A$2:$A$851, 0))</f>
        <v/>
      </c>
      <c r="L390">
        <f>IF(D390&lt;100000, "Micro (&lt;100K)", IF(D390&lt;500000, "Small (100K-500K)", "Medium (500K+)"))</f>
        <v/>
      </c>
      <c r="M390">
        <f>TEXT(C390, "yyyy-mm")</f>
        <v/>
      </c>
    </row>
    <row r="391">
      <c r="A391" t="inlineStr">
        <is>
          <t>LN200429</t>
        </is>
      </c>
      <c r="B391" t="inlineStr">
        <is>
          <t>BOR100328</t>
        </is>
      </c>
      <c r="C391" s="8" t="n">
        <v>46216</v>
      </c>
      <c r="D391" s="9" t="n">
        <v>24000</v>
      </c>
      <c r="E391" t="n">
        <v>9</v>
      </c>
      <c r="F391" s="10" t="n">
        <v>0.135</v>
      </c>
      <c r="G391" t="inlineStr">
        <is>
          <t>Asset Finance</t>
        </is>
      </c>
      <c r="H391" t="inlineStr">
        <is>
          <t>LO022</t>
        </is>
      </c>
      <c r="I391" t="inlineStr">
        <is>
          <t>Mobile App</t>
        </is>
      </c>
      <c r="J391">
        <f>INDEX('Data - Borrowers'!$B$2:$B$851, MATCH(B391, 'Data - Borrowers'!$A$2:$A$851, 0))</f>
        <v/>
      </c>
      <c r="K391">
        <f>INDEX('Data - Borrowers'!$C$2:$C$851, MATCH(B391, 'Data - Borrowers'!$A$2:$A$851, 0))</f>
        <v/>
      </c>
      <c r="L391">
        <f>IF(D391&lt;100000, "Micro (&lt;100K)", IF(D391&lt;500000, "Small (100K-500K)", "Medium (500K+)"))</f>
        <v/>
      </c>
      <c r="M391">
        <f>TEXT(C391, "yyyy-mm")</f>
        <v/>
      </c>
    </row>
    <row r="392">
      <c r="A392" t="inlineStr">
        <is>
          <t>LN200430</t>
        </is>
      </c>
      <c r="B392" t="inlineStr">
        <is>
          <t>BOR100329</t>
        </is>
      </c>
      <c r="C392" s="8" t="n">
        <v>46091</v>
      </c>
      <c r="D392" s="9" t="n">
        <v>62000</v>
      </c>
      <c r="E392" t="n">
        <v>3</v>
      </c>
      <c r="F392" s="10" t="n">
        <v>0.203</v>
      </c>
      <c r="G392" t="inlineStr">
        <is>
          <t>Working Capital</t>
        </is>
      </c>
      <c r="H392" t="inlineStr">
        <is>
          <t>LO012</t>
        </is>
      </c>
      <c r="I392" t="inlineStr">
        <is>
          <t>Mobile App</t>
        </is>
      </c>
      <c r="J392">
        <f>INDEX('Data - Borrowers'!$B$2:$B$851, MATCH(B392, 'Data - Borrowers'!$A$2:$A$851, 0))</f>
        <v/>
      </c>
      <c r="K392">
        <f>INDEX('Data - Borrowers'!$C$2:$C$851, MATCH(B392, 'Data - Borrowers'!$A$2:$A$851, 0))</f>
        <v/>
      </c>
      <c r="L392">
        <f>IF(D392&lt;100000, "Micro (&lt;100K)", IF(D392&lt;500000, "Small (100K-500K)", "Medium (500K+)"))</f>
        <v/>
      </c>
      <c r="M392">
        <f>TEXT(C392, "yyyy-mm")</f>
        <v/>
      </c>
    </row>
    <row r="393">
      <c r="A393" t="inlineStr">
        <is>
          <t>LN200432</t>
        </is>
      </c>
      <c r="B393" t="inlineStr">
        <is>
          <t>BOR100330</t>
        </is>
      </c>
      <c r="C393" s="8" t="n">
        <v>45683</v>
      </c>
      <c r="D393" s="9" t="n">
        <v>20000</v>
      </c>
      <c r="E393" t="n">
        <v>6</v>
      </c>
      <c r="F393" s="10" t="n">
        <v>0.198</v>
      </c>
      <c r="G393" t="inlineStr">
        <is>
          <t>Working Capital</t>
        </is>
      </c>
      <c r="H393" t="inlineStr">
        <is>
          <t>LO002</t>
        </is>
      </c>
      <c r="I393" t="inlineStr">
        <is>
          <t>Partner Referral</t>
        </is>
      </c>
      <c r="J393">
        <f>INDEX('Data - Borrowers'!$B$2:$B$851, MATCH(B393, 'Data - Borrowers'!$A$2:$A$851, 0))</f>
        <v/>
      </c>
      <c r="K393">
        <f>INDEX('Data - Borrowers'!$C$2:$C$851, MATCH(B393, 'Data - Borrowers'!$A$2:$A$851, 0))</f>
        <v/>
      </c>
      <c r="L393">
        <f>IF(D393&lt;100000, "Micro (&lt;100K)", IF(D393&lt;500000, "Small (100K-500K)", "Medium (500K+)"))</f>
        <v/>
      </c>
      <c r="M393">
        <f>TEXT(C393, "yyyy-mm")</f>
        <v/>
      </c>
    </row>
    <row r="394">
      <c r="A394" t="inlineStr">
        <is>
          <t>LN200433</t>
        </is>
      </c>
      <c r="B394" t="inlineStr">
        <is>
          <t>BOR100331</t>
        </is>
      </c>
      <c r="C394" s="8" t="n">
        <v>46107</v>
      </c>
      <c r="D394" s="9" t="n">
        <v>102000</v>
      </c>
      <c r="E394" t="n">
        <v>3</v>
      </c>
      <c r="F394" s="10" t="n">
        <v>0.205</v>
      </c>
      <c r="G394" t="inlineStr">
        <is>
          <t>Working Capital</t>
        </is>
      </c>
      <c r="H394" t="inlineStr">
        <is>
          <t>LO003</t>
        </is>
      </c>
      <c r="I394" t="inlineStr">
        <is>
          <t>Mobile App</t>
        </is>
      </c>
      <c r="J394">
        <f>INDEX('Data - Borrowers'!$B$2:$B$851, MATCH(B394, 'Data - Borrowers'!$A$2:$A$851, 0))</f>
        <v/>
      </c>
      <c r="K394">
        <f>INDEX('Data - Borrowers'!$C$2:$C$851, MATCH(B394, 'Data - Borrowers'!$A$2:$A$851, 0))</f>
        <v/>
      </c>
      <c r="L394">
        <f>IF(D394&lt;100000, "Micro (&lt;100K)", IF(D394&lt;500000, "Small (100K-500K)", "Medium (500K+)"))</f>
        <v/>
      </c>
      <c r="M394">
        <f>TEXT(C394, "yyyy-mm")</f>
        <v/>
      </c>
    </row>
    <row r="395">
      <c r="A395" t="inlineStr">
        <is>
          <t>LN200434</t>
        </is>
      </c>
      <c r="B395" t="inlineStr">
        <is>
          <t>BOR100331</t>
        </is>
      </c>
      <c r="C395" s="8" t="n">
        <v>46223</v>
      </c>
      <c r="D395" s="9" t="n">
        <v>156000</v>
      </c>
      <c r="E395" t="n">
        <v>9</v>
      </c>
      <c r="F395" s="10" t="n">
        <v>0.184</v>
      </c>
      <c r="G395" t="inlineStr">
        <is>
          <t>Working Capital</t>
        </is>
      </c>
      <c r="H395" t="inlineStr">
        <is>
          <t>LO008</t>
        </is>
      </c>
      <c r="I395" t="inlineStr">
        <is>
          <t>Partner Referral</t>
        </is>
      </c>
      <c r="J395">
        <f>INDEX('Data - Borrowers'!$B$2:$B$851, MATCH(B395, 'Data - Borrowers'!$A$2:$A$851, 0))</f>
        <v/>
      </c>
      <c r="K395">
        <f>INDEX('Data - Borrowers'!$C$2:$C$851, MATCH(B395, 'Data - Borrowers'!$A$2:$A$851, 0))</f>
        <v/>
      </c>
      <c r="L395">
        <f>IF(D395&lt;100000, "Micro (&lt;100K)", IF(D395&lt;500000, "Small (100K-500K)", "Medium (500K+)"))</f>
        <v/>
      </c>
      <c r="M395">
        <f>TEXT(C395, "yyyy-mm")</f>
        <v/>
      </c>
    </row>
    <row r="396">
      <c r="A396" t="inlineStr">
        <is>
          <t>LN200435</t>
        </is>
      </c>
      <c r="B396" t="inlineStr">
        <is>
          <t>BOR100332</t>
        </is>
      </c>
      <c r="C396" s="8" t="n">
        <v>46060</v>
      </c>
      <c r="D396" s="9" t="n">
        <v>160000</v>
      </c>
      <c r="E396" t="n">
        <v>9</v>
      </c>
      <c r="F396" s="10" t="n">
        <v>0.129</v>
      </c>
      <c r="G396" t="inlineStr">
        <is>
          <t>Working Capital</t>
        </is>
      </c>
      <c r="H396" t="inlineStr">
        <is>
          <t>LO004</t>
        </is>
      </c>
      <c r="I396" t="inlineStr">
        <is>
          <t>Partner Referral</t>
        </is>
      </c>
      <c r="J396">
        <f>INDEX('Data - Borrowers'!$B$2:$B$851, MATCH(B396, 'Data - Borrowers'!$A$2:$A$851, 0))</f>
        <v/>
      </c>
      <c r="K396">
        <f>INDEX('Data - Borrowers'!$C$2:$C$851, MATCH(B396, 'Data - Borrowers'!$A$2:$A$851, 0))</f>
        <v/>
      </c>
      <c r="L396">
        <f>IF(D396&lt;100000, "Micro (&lt;100K)", IF(D396&lt;500000, "Small (100K-500K)", "Medium (500K+)"))</f>
        <v/>
      </c>
      <c r="M396">
        <f>TEXT(C396, "yyyy-mm")</f>
        <v/>
      </c>
    </row>
    <row r="397">
      <c r="A397" t="inlineStr">
        <is>
          <t>LN200436</t>
        </is>
      </c>
      <c r="B397" t="inlineStr">
        <is>
          <t>BOR100333</t>
        </is>
      </c>
      <c r="C397" s="8" t="n">
        <v>45864</v>
      </c>
      <c r="D397" s="9" t="n">
        <v>140000</v>
      </c>
      <c r="E397" t="n">
        <v>18</v>
      </c>
      <c r="F397" s="10" t="n">
        <v>0.235</v>
      </c>
      <c r="G397" t="inlineStr">
        <is>
          <t>Asset Finance</t>
        </is>
      </c>
      <c r="H397" t="inlineStr">
        <is>
          <t>LO009</t>
        </is>
      </c>
      <c r="I397" t="inlineStr">
        <is>
          <t>Mobile App</t>
        </is>
      </c>
      <c r="J397">
        <f>INDEX('Data - Borrowers'!$B$2:$B$851, MATCH(B397, 'Data - Borrowers'!$A$2:$A$851, 0))</f>
        <v/>
      </c>
      <c r="K397">
        <f>INDEX('Data - Borrowers'!$C$2:$C$851, MATCH(B397, 'Data - Borrowers'!$A$2:$A$851, 0))</f>
        <v/>
      </c>
      <c r="L397">
        <f>IF(D397&lt;100000, "Micro (&lt;100K)", IF(D397&lt;500000, "Small (100K-500K)", "Medium (500K+)"))</f>
        <v/>
      </c>
      <c r="M397">
        <f>TEXT(C397, "yyyy-mm")</f>
        <v/>
      </c>
    </row>
    <row r="398">
      <c r="A398" t="inlineStr">
        <is>
          <t>LN200437</t>
        </is>
      </c>
      <c r="B398" t="inlineStr">
        <is>
          <t>BOR100334</t>
        </is>
      </c>
      <c r="C398" s="8" t="n">
        <v>46209</v>
      </c>
      <c r="D398" s="9" t="n">
        <v>312000</v>
      </c>
      <c r="E398" t="n">
        <v>6</v>
      </c>
      <c r="F398" s="10" t="n">
        <v>0.137</v>
      </c>
      <c r="G398" t="inlineStr">
        <is>
          <t>Working Capital</t>
        </is>
      </c>
      <c r="H398" t="inlineStr">
        <is>
          <t>LO021</t>
        </is>
      </c>
      <c r="I398" t="inlineStr">
        <is>
          <t>Mobile App</t>
        </is>
      </c>
      <c r="J398">
        <f>INDEX('Data - Borrowers'!$B$2:$B$851, MATCH(B398, 'Data - Borrowers'!$A$2:$A$851, 0))</f>
        <v/>
      </c>
      <c r="K398">
        <f>INDEX('Data - Borrowers'!$C$2:$C$851, MATCH(B398, 'Data - Borrowers'!$A$2:$A$851, 0))</f>
        <v/>
      </c>
      <c r="L398">
        <f>IF(D398&lt;100000, "Micro (&lt;100K)", IF(D398&lt;500000, "Small (100K-500K)", "Medium (500K+)"))</f>
        <v/>
      </c>
      <c r="M398">
        <f>TEXT(C398, "yyyy-mm")</f>
        <v/>
      </c>
    </row>
    <row r="399">
      <c r="A399" t="inlineStr">
        <is>
          <t>LN200438</t>
        </is>
      </c>
      <c r="B399" t="inlineStr">
        <is>
          <t>BOR100335</t>
        </is>
      </c>
      <c r="C399" s="8" t="n">
        <v>46190</v>
      </c>
      <c r="D399" s="9" t="n">
        <v>46000</v>
      </c>
      <c r="E399" t="n">
        <v>12</v>
      </c>
      <c r="F399" s="10" t="n">
        <v>0.232</v>
      </c>
      <c r="G399" t="inlineStr">
        <is>
          <t>Invoice Discounting</t>
        </is>
      </c>
      <c r="H399" t="inlineStr">
        <is>
          <t>LO023</t>
        </is>
      </c>
      <c r="I399" t="inlineStr">
        <is>
          <t>Mobile App</t>
        </is>
      </c>
      <c r="J399">
        <f>INDEX('Data - Borrowers'!$B$2:$B$851, MATCH(B399, 'Data - Borrowers'!$A$2:$A$851, 0))</f>
        <v/>
      </c>
      <c r="K399">
        <f>INDEX('Data - Borrowers'!$C$2:$C$851, MATCH(B399, 'Data - Borrowers'!$A$2:$A$851, 0))</f>
        <v/>
      </c>
      <c r="L399">
        <f>IF(D399&lt;100000, "Micro (&lt;100K)", IF(D399&lt;500000, "Small (100K-500K)", "Medium (500K+)"))</f>
        <v/>
      </c>
      <c r="M399">
        <f>TEXT(C399, "yyyy-mm")</f>
        <v/>
      </c>
    </row>
    <row r="400">
      <c r="A400" t="inlineStr">
        <is>
          <t>LN200440</t>
        </is>
      </c>
      <c r="B400" t="inlineStr">
        <is>
          <t>BOR100336</t>
        </is>
      </c>
      <c r="C400" s="8" t="n">
        <v>46034</v>
      </c>
      <c r="D400" s="9" t="n">
        <v>186000</v>
      </c>
      <c r="E400" t="n">
        <v>9</v>
      </c>
      <c r="F400" s="10" t="n">
        <v>0.143</v>
      </c>
      <c r="G400" t="inlineStr">
        <is>
          <t>Invoice Discounting</t>
        </is>
      </c>
      <c r="H400" t="inlineStr">
        <is>
          <t>LO008</t>
        </is>
      </c>
      <c r="I400" t="inlineStr">
        <is>
          <t>Mobile App</t>
        </is>
      </c>
      <c r="J400">
        <f>INDEX('Data - Borrowers'!$B$2:$B$851, MATCH(B400, 'Data - Borrowers'!$A$2:$A$851, 0))</f>
        <v/>
      </c>
      <c r="K400">
        <f>INDEX('Data - Borrowers'!$C$2:$C$851, MATCH(B400, 'Data - Borrowers'!$A$2:$A$851, 0))</f>
        <v/>
      </c>
      <c r="L400">
        <f>IF(D400&lt;100000, "Micro (&lt;100K)", IF(D400&lt;500000, "Small (100K-500K)", "Medium (500K+)"))</f>
        <v/>
      </c>
      <c r="M400">
        <f>TEXT(C400, "yyyy-mm")</f>
        <v/>
      </c>
    </row>
    <row r="401">
      <c r="A401" t="inlineStr">
        <is>
          <t>LN200441</t>
        </is>
      </c>
      <c r="B401" t="inlineStr">
        <is>
          <t>BOR100337</t>
        </is>
      </c>
      <c r="C401" s="8" t="n">
        <v>45764</v>
      </c>
      <c r="D401" s="9" t="n">
        <v>131000</v>
      </c>
      <c r="E401" t="n">
        <v>6</v>
      </c>
      <c r="F401" s="10" t="n">
        <v>0.128</v>
      </c>
      <c r="G401" t="inlineStr">
        <is>
          <t>Asset Finance</t>
        </is>
      </c>
      <c r="H401" t="inlineStr">
        <is>
          <t>LO020</t>
        </is>
      </c>
      <c r="I401" t="inlineStr">
        <is>
          <t>Branch</t>
        </is>
      </c>
      <c r="J401">
        <f>INDEX('Data - Borrowers'!$B$2:$B$851, MATCH(B401, 'Data - Borrowers'!$A$2:$A$851, 0))</f>
        <v/>
      </c>
      <c r="K401">
        <f>INDEX('Data - Borrowers'!$C$2:$C$851, MATCH(B401, 'Data - Borrowers'!$A$2:$A$851, 0))</f>
        <v/>
      </c>
      <c r="L401">
        <f>IF(D401&lt;100000, "Micro (&lt;100K)", IF(D401&lt;500000, "Small (100K-500K)", "Medium (500K+)"))</f>
        <v/>
      </c>
      <c r="M401">
        <f>TEXT(C401, "yyyy-mm")</f>
        <v/>
      </c>
    </row>
    <row r="402">
      <c r="A402" t="inlineStr">
        <is>
          <t>LN200442</t>
        </is>
      </c>
      <c r="B402" t="inlineStr">
        <is>
          <t>BOR100338</t>
        </is>
      </c>
      <c r="C402" s="8" t="n">
        <v>45756</v>
      </c>
      <c r="D402" s="9" t="n">
        <v>59000</v>
      </c>
      <c r="E402" t="n">
        <v>3</v>
      </c>
      <c r="F402" s="10" t="n">
        <v>0.195</v>
      </c>
      <c r="G402" t="inlineStr">
        <is>
          <t>Working Capital</t>
        </is>
      </c>
      <c r="H402" t="inlineStr">
        <is>
          <t>LO025</t>
        </is>
      </c>
      <c r="I402" t="inlineStr">
        <is>
          <t>Mobile App</t>
        </is>
      </c>
      <c r="J402">
        <f>INDEX('Data - Borrowers'!$B$2:$B$851, MATCH(B402, 'Data - Borrowers'!$A$2:$A$851, 0))</f>
        <v/>
      </c>
      <c r="K402">
        <f>INDEX('Data - Borrowers'!$C$2:$C$851, MATCH(B402, 'Data - Borrowers'!$A$2:$A$851, 0))</f>
        <v/>
      </c>
      <c r="L402">
        <f>IF(D402&lt;100000, "Micro (&lt;100K)", IF(D402&lt;500000, "Small (100K-500K)", "Medium (500K+)"))</f>
        <v/>
      </c>
      <c r="M402">
        <f>TEXT(C402, "yyyy-mm")</f>
        <v/>
      </c>
    </row>
    <row r="403">
      <c r="A403" t="inlineStr">
        <is>
          <t>LN200443</t>
        </is>
      </c>
      <c r="B403" t="inlineStr">
        <is>
          <t>BOR100339</t>
        </is>
      </c>
      <c r="C403" s="8" t="n">
        <v>45754</v>
      </c>
      <c r="D403" s="9" t="n">
        <v>47000</v>
      </c>
      <c r="E403" t="n">
        <v>9</v>
      </c>
      <c r="F403" s="10" t="n">
        <v>0.232</v>
      </c>
      <c r="G403" t="inlineStr">
        <is>
          <t>Working Capital</t>
        </is>
      </c>
      <c r="H403" t="inlineStr">
        <is>
          <t>LO001</t>
        </is>
      </c>
      <c r="I403" t="inlineStr">
        <is>
          <t>Mobile App</t>
        </is>
      </c>
      <c r="J403">
        <f>INDEX('Data - Borrowers'!$B$2:$B$851, MATCH(B403, 'Data - Borrowers'!$A$2:$A$851, 0))</f>
        <v/>
      </c>
      <c r="K403">
        <f>INDEX('Data - Borrowers'!$C$2:$C$851, MATCH(B403, 'Data - Borrowers'!$A$2:$A$851, 0))</f>
        <v/>
      </c>
      <c r="L403">
        <f>IF(D403&lt;100000, "Micro (&lt;100K)", IF(D403&lt;500000, "Small (100K-500K)", "Medium (500K+)"))</f>
        <v/>
      </c>
      <c r="M403">
        <f>TEXT(C403, "yyyy-mm")</f>
        <v/>
      </c>
    </row>
    <row r="404">
      <c r="A404" t="inlineStr">
        <is>
          <t>LN200444</t>
        </is>
      </c>
      <c r="B404" t="inlineStr">
        <is>
          <t>BOR100340</t>
        </is>
      </c>
      <c r="C404" s="8" t="n">
        <v>45897</v>
      </c>
      <c r="D404" s="9" t="n">
        <v>692000</v>
      </c>
      <c r="E404" t="n">
        <v>9</v>
      </c>
      <c r="F404" s="10" t="n">
        <v>0.127</v>
      </c>
      <c r="G404" t="inlineStr">
        <is>
          <t>Asset Finance</t>
        </is>
      </c>
      <c r="H404" t="inlineStr">
        <is>
          <t>LO016</t>
        </is>
      </c>
      <c r="I404" t="inlineStr">
        <is>
          <t>Branch</t>
        </is>
      </c>
      <c r="J404">
        <f>INDEX('Data - Borrowers'!$B$2:$B$851, MATCH(B404, 'Data - Borrowers'!$A$2:$A$851, 0))</f>
        <v/>
      </c>
      <c r="K404">
        <f>INDEX('Data - Borrowers'!$C$2:$C$851, MATCH(B404, 'Data - Borrowers'!$A$2:$A$851, 0))</f>
        <v/>
      </c>
      <c r="L404">
        <f>IF(D404&lt;100000, "Micro (&lt;100K)", IF(D404&lt;500000, "Small (100K-500K)", "Medium (500K+)"))</f>
        <v/>
      </c>
      <c r="M404">
        <f>TEXT(C404, "yyyy-mm")</f>
        <v/>
      </c>
    </row>
    <row r="405">
      <c r="A405" t="inlineStr">
        <is>
          <t>LN200445</t>
        </is>
      </c>
      <c r="B405" t="inlineStr">
        <is>
          <t>BOR100340</t>
        </is>
      </c>
      <c r="C405" s="8" t="n">
        <v>46155</v>
      </c>
      <c r="D405" s="9" t="n">
        <v>723000</v>
      </c>
      <c r="E405" t="n">
        <v>3</v>
      </c>
      <c r="F405" s="10" t="n">
        <v>0.137</v>
      </c>
      <c r="G405" t="inlineStr">
        <is>
          <t>Working Capital</t>
        </is>
      </c>
      <c r="H405" t="inlineStr">
        <is>
          <t>LO009</t>
        </is>
      </c>
      <c r="I405" t="inlineStr">
        <is>
          <t>Mobile App</t>
        </is>
      </c>
      <c r="J405">
        <f>INDEX('Data - Borrowers'!$B$2:$B$851, MATCH(B405, 'Data - Borrowers'!$A$2:$A$851, 0))</f>
        <v/>
      </c>
      <c r="K405">
        <f>INDEX('Data - Borrowers'!$C$2:$C$851, MATCH(B405, 'Data - Borrowers'!$A$2:$A$851, 0))</f>
        <v/>
      </c>
      <c r="L405">
        <f>IF(D405&lt;100000, "Micro (&lt;100K)", IF(D405&lt;500000, "Small (100K-500K)", "Medium (500K+)"))</f>
        <v/>
      </c>
      <c r="M405">
        <f>TEXT(C405, "yyyy-mm")</f>
        <v/>
      </c>
    </row>
    <row r="406">
      <c r="A406" t="inlineStr">
        <is>
          <t>LN200446</t>
        </is>
      </c>
      <c r="B406" t="inlineStr">
        <is>
          <t>BOR100341</t>
        </is>
      </c>
      <c r="C406" s="8" t="n">
        <v>46175</v>
      </c>
      <c r="D406" s="9" t="n">
        <v>73000</v>
      </c>
      <c r="E406" t="n">
        <v>12</v>
      </c>
      <c r="F406" s="10" t="n">
        <v>0.222</v>
      </c>
      <c r="G406" t="inlineStr">
        <is>
          <t>Working Capital</t>
        </is>
      </c>
      <c r="H406" t="inlineStr">
        <is>
          <t>LO018</t>
        </is>
      </c>
      <c r="I406" t="inlineStr">
        <is>
          <t>Mobile App</t>
        </is>
      </c>
      <c r="J406">
        <f>INDEX('Data - Borrowers'!$B$2:$B$851, MATCH(B406, 'Data - Borrowers'!$A$2:$A$851, 0))</f>
        <v/>
      </c>
      <c r="K406">
        <f>INDEX('Data - Borrowers'!$C$2:$C$851, MATCH(B406, 'Data - Borrowers'!$A$2:$A$851, 0))</f>
        <v/>
      </c>
      <c r="L406">
        <f>IF(D406&lt;100000, "Micro (&lt;100K)", IF(D406&lt;500000, "Small (100K-500K)", "Medium (500K+)"))</f>
        <v/>
      </c>
      <c r="M406">
        <f>TEXT(C406, "yyyy-mm")</f>
        <v/>
      </c>
    </row>
    <row r="407">
      <c r="A407" t="inlineStr">
        <is>
          <t>LN200447</t>
        </is>
      </c>
      <c r="B407" t="inlineStr">
        <is>
          <t>BOR100342</t>
        </is>
      </c>
      <c r="C407" s="8" t="n">
        <v>45880</v>
      </c>
      <c r="D407" s="9" t="n">
        <v>24000</v>
      </c>
      <c r="E407" t="n">
        <v>6</v>
      </c>
      <c r="F407" s="10" t="n">
        <v>0.214</v>
      </c>
      <c r="G407" t="inlineStr">
        <is>
          <t>Working Capital</t>
        </is>
      </c>
      <c r="H407" t="inlineStr">
        <is>
          <t>LO016</t>
        </is>
      </c>
      <c r="I407" t="inlineStr">
        <is>
          <t>Partner Referral</t>
        </is>
      </c>
      <c r="J407">
        <f>INDEX('Data - Borrowers'!$B$2:$B$851, MATCH(B407, 'Data - Borrowers'!$A$2:$A$851, 0))</f>
        <v/>
      </c>
      <c r="K407">
        <f>INDEX('Data - Borrowers'!$C$2:$C$851, MATCH(B407, 'Data - Borrowers'!$A$2:$A$851, 0))</f>
        <v/>
      </c>
      <c r="L407">
        <f>IF(D407&lt;100000, "Micro (&lt;100K)", IF(D407&lt;500000, "Small (100K-500K)", "Medium (500K+)"))</f>
        <v/>
      </c>
      <c r="M407">
        <f>TEXT(C407, "yyyy-mm")</f>
        <v/>
      </c>
    </row>
    <row r="408">
      <c r="A408" t="inlineStr">
        <is>
          <t>LN200448</t>
        </is>
      </c>
      <c r="B408" t="inlineStr">
        <is>
          <t>BOR100343</t>
        </is>
      </c>
      <c r="C408" s="8" t="n">
        <v>45953</v>
      </c>
      <c r="D408" s="9" t="n">
        <v>117000</v>
      </c>
      <c r="E408" t="n">
        <v>6</v>
      </c>
      <c r="F408" s="10" t="n">
        <v>0.228</v>
      </c>
      <c r="G408" t="inlineStr">
        <is>
          <t>Invoice Discounting</t>
        </is>
      </c>
      <c r="H408" t="inlineStr">
        <is>
          <t>LO024</t>
        </is>
      </c>
      <c r="I408" t="inlineStr">
        <is>
          <t>Partner Referral</t>
        </is>
      </c>
      <c r="J408">
        <f>INDEX('Data - Borrowers'!$B$2:$B$851, MATCH(B408, 'Data - Borrowers'!$A$2:$A$851, 0))</f>
        <v/>
      </c>
      <c r="K408">
        <f>INDEX('Data - Borrowers'!$C$2:$C$851, MATCH(B408, 'Data - Borrowers'!$A$2:$A$851, 0))</f>
        <v/>
      </c>
      <c r="L408">
        <f>IF(D408&lt;100000, "Micro (&lt;100K)", IF(D408&lt;500000, "Small (100K-500K)", "Medium (500K+)"))</f>
        <v/>
      </c>
      <c r="M408">
        <f>TEXT(C408, "yyyy-mm")</f>
        <v/>
      </c>
    </row>
    <row r="409">
      <c r="A409" t="inlineStr">
        <is>
          <t>LN200449</t>
        </is>
      </c>
      <c r="B409" t="inlineStr">
        <is>
          <t>BOR100343</t>
        </is>
      </c>
      <c r="C409" s="8" t="n">
        <v>46231</v>
      </c>
      <c r="D409" s="9" t="n">
        <v>209000</v>
      </c>
      <c r="E409" t="n">
        <v>3</v>
      </c>
      <c r="F409" s="10" t="n">
        <v>0.234</v>
      </c>
      <c r="G409" t="inlineStr">
        <is>
          <t>Asset Finance</t>
        </is>
      </c>
      <c r="H409" t="inlineStr">
        <is>
          <t>LO022</t>
        </is>
      </c>
      <c r="I409" t="inlineStr">
        <is>
          <t>Partner Referral</t>
        </is>
      </c>
      <c r="J409">
        <f>INDEX('Data - Borrowers'!$B$2:$B$851, MATCH(B409, 'Data - Borrowers'!$A$2:$A$851, 0))</f>
        <v/>
      </c>
      <c r="K409">
        <f>INDEX('Data - Borrowers'!$C$2:$C$851, MATCH(B409, 'Data - Borrowers'!$A$2:$A$851, 0))</f>
        <v/>
      </c>
      <c r="L409">
        <f>IF(D409&lt;100000, "Micro (&lt;100K)", IF(D409&lt;500000, "Small (100K-500K)", "Medium (500K+)"))</f>
        <v/>
      </c>
      <c r="M409">
        <f>TEXT(C409, "yyyy-mm")</f>
        <v/>
      </c>
    </row>
    <row r="410">
      <c r="A410" t="inlineStr">
        <is>
          <t>LN200450</t>
        </is>
      </c>
      <c r="B410" t="inlineStr">
        <is>
          <t>BOR100344</t>
        </is>
      </c>
      <c r="C410" s="8" t="n">
        <v>46043</v>
      </c>
      <c r="D410" s="9" t="n">
        <v>172000</v>
      </c>
      <c r="E410" t="n">
        <v>3</v>
      </c>
      <c r="F410" s="10" t="n">
        <v>0.127</v>
      </c>
      <c r="G410" t="inlineStr">
        <is>
          <t>Invoice Discounting</t>
        </is>
      </c>
      <c r="H410" t="inlineStr">
        <is>
          <t>LO003</t>
        </is>
      </c>
      <c r="I410" t="inlineStr">
        <is>
          <t>Mobile App</t>
        </is>
      </c>
      <c r="J410">
        <f>INDEX('Data - Borrowers'!$B$2:$B$851, MATCH(B410, 'Data - Borrowers'!$A$2:$A$851, 0))</f>
        <v/>
      </c>
      <c r="K410">
        <f>INDEX('Data - Borrowers'!$C$2:$C$851, MATCH(B410, 'Data - Borrowers'!$A$2:$A$851, 0))</f>
        <v/>
      </c>
      <c r="L410">
        <f>IF(D410&lt;100000, "Micro (&lt;100K)", IF(D410&lt;500000, "Small (100K-500K)", "Medium (500K+)"))</f>
        <v/>
      </c>
      <c r="M410">
        <f>TEXT(C410, "yyyy-mm")</f>
        <v/>
      </c>
    </row>
    <row r="411">
      <c r="A411" t="inlineStr">
        <is>
          <t>LN200451</t>
        </is>
      </c>
      <c r="B411" t="inlineStr">
        <is>
          <t>BOR100345</t>
        </is>
      </c>
      <c r="C411" s="8" t="n">
        <v>45854</v>
      </c>
      <c r="D411" s="9" t="n">
        <v>40000</v>
      </c>
      <c r="E411" t="n">
        <v>18</v>
      </c>
      <c r="F411" s="10" t="n">
        <v>0.228</v>
      </c>
      <c r="G411" t="inlineStr">
        <is>
          <t>Working Capital</t>
        </is>
      </c>
      <c r="H411" t="inlineStr">
        <is>
          <t>LO024</t>
        </is>
      </c>
      <c r="I411" t="inlineStr">
        <is>
          <t>Mobile App</t>
        </is>
      </c>
      <c r="J411">
        <f>INDEX('Data - Borrowers'!$B$2:$B$851, MATCH(B411, 'Data - Borrowers'!$A$2:$A$851, 0))</f>
        <v/>
      </c>
      <c r="K411">
        <f>INDEX('Data - Borrowers'!$C$2:$C$851, MATCH(B411, 'Data - Borrowers'!$A$2:$A$851, 0))</f>
        <v/>
      </c>
      <c r="L411">
        <f>IF(D411&lt;100000, "Micro (&lt;100K)", IF(D411&lt;500000, "Small (100K-500K)", "Medium (500K+)"))</f>
        <v/>
      </c>
      <c r="M411">
        <f>TEXT(C411, "yyyy-mm")</f>
        <v/>
      </c>
    </row>
    <row r="412">
      <c r="A412" t="inlineStr">
        <is>
          <t>LN200452</t>
        </is>
      </c>
      <c r="B412" t="inlineStr">
        <is>
          <t>BOR100346</t>
        </is>
      </c>
      <c r="C412" s="8" t="n">
        <v>45818</v>
      </c>
      <c r="D412" s="9" t="n">
        <v>303000</v>
      </c>
      <c r="E412" t="n">
        <v>6</v>
      </c>
      <c r="F412" s="10" t="n">
        <v>0.221</v>
      </c>
      <c r="G412" t="inlineStr">
        <is>
          <t>Asset Finance</t>
        </is>
      </c>
      <c r="H412" t="inlineStr">
        <is>
          <t>LO004</t>
        </is>
      </c>
      <c r="I412" t="inlineStr">
        <is>
          <t>Partner Referral</t>
        </is>
      </c>
      <c r="J412">
        <f>INDEX('Data - Borrowers'!$B$2:$B$851, MATCH(B412, 'Data - Borrowers'!$A$2:$A$851, 0))</f>
        <v/>
      </c>
      <c r="K412">
        <f>INDEX('Data - Borrowers'!$C$2:$C$851, MATCH(B412, 'Data - Borrowers'!$A$2:$A$851, 0))</f>
        <v/>
      </c>
      <c r="L412">
        <f>IF(D412&lt;100000, "Micro (&lt;100K)", IF(D412&lt;500000, "Small (100K-500K)", "Medium (500K+)"))</f>
        <v/>
      </c>
      <c r="M412">
        <f>TEXT(C412, "yyyy-mm")</f>
        <v/>
      </c>
    </row>
    <row r="413">
      <c r="A413" t="inlineStr">
        <is>
          <t>LN200453</t>
        </is>
      </c>
      <c r="B413" t="inlineStr">
        <is>
          <t>BOR100346</t>
        </is>
      </c>
      <c r="C413" s="8" t="n">
        <v>46123</v>
      </c>
      <c r="D413" s="9" t="n">
        <v>81000</v>
      </c>
      <c r="E413" t="n">
        <v>6</v>
      </c>
      <c r="F413" s="10" t="n">
        <v>0.149</v>
      </c>
      <c r="G413" t="inlineStr">
        <is>
          <t>Asset Finance</t>
        </is>
      </c>
      <c r="H413" t="inlineStr">
        <is>
          <t>LO018</t>
        </is>
      </c>
      <c r="I413" t="inlineStr">
        <is>
          <t>Branch</t>
        </is>
      </c>
      <c r="J413">
        <f>INDEX('Data - Borrowers'!$B$2:$B$851, MATCH(B413, 'Data - Borrowers'!$A$2:$A$851, 0))</f>
        <v/>
      </c>
      <c r="K413">
        <f>INDEX('Data - Borrowers'!$C$2:$C$851, MATCH(B413, 'Data - Borrowers'!$A$2:$A$851, 0))</f>
        <v/>
      </c>
      <c r="L413">
        <f>IF(D413&lt;100000, "Micro (&lt;100K)", IF(D413&lt;500000, "Small (100K-500K)", "Medium (500K+)"))</f>
        <v/>
      </c>
      <c r="M413">
        <f>TEXT(C413, "yyyy-mm")</f>
        <v/>
      </c>
    </row>
    <row r="414">
      <c r="A414" t="inlineStr">
        <is>
          <t>LN200454</t>
        </is>
      </c>
      <c r="B414" t="inlineStr">
        <is>
          <t>BOR100347</t>
        </is>
      </c>
      <c r="C414" s="8" t="n">
        <v>45829</v>
      </c>
      <c r="D414" s="9" t="n">
        <v>65000</v>
      </c>
      <c r="E414" t="n">
        <v>3</v>
      </c>
      <c r="F414" s="10" t="n">
        <v>0.234</v>
      </c>
      <c r="G414" t="inlineStr">
        <is>
          <t>Asset Finance</t>
        </is>
      </c>
      <c r="H414" t="inlineStr">
        <is>
          <t>LO009</t>
        </is>
      </c>
      <c r="I414" t="inlineStr">
        <is>
          <t>Mobile App</t>
        </is>
      </c>
      <c r="J414">
        <f>INDEX('Data - Borrowers'!$B$2:$B$851, MATCH(B414, 'Data - Borrowers'!$A$2:$A$851, 0))</f>
        <v/>
      </c>
      <c r="K414">
        <f>INDEX('Data - Borrowers'!$C$2:$C$851, MATCH(B414, 'Data - Borrowers'!$A$2:$A$851, 0))</f>
        <v/>
      </c>
      <c r="L414">
        <f>IF(D414&lt;100000, "Micro (&lt;100K)", IF(D414&lt;500000, "Small (100K-500K)", "Medium (500K+)"))</f>
        <v/>
      </c>
      <c r="M414">
        <f>TEXT(C414, "yyyy-mm")</f>
        <v/>
      </c>
    </row>
    <row r="415">
      <c r="A415" t="inlineStr">
        <is>
          <t>LN200455</t>
        </is>
      </c>
      <c r="B415" t="inlineStr">
        <is>
          <t>BOR100347</t>
        </is>
      </c>
      <c r="C415" s="8" t="n">
        <v>46033</v>
      </c>
      <c r="D415" s="9" t="n">
        <v>119000</v>
      </c>
      <c r="E415" t="n">
        <v>6</v>
      </c>
      <c r="F415" s="10" t="n">
        <v>0.235</v>
      </c>
      <c r="G415" t="inlineStr">
        <is>
          <t>Working Capital</t>
        </is>
      </c>
      <c r="H415" t="inlineStr">
        <is>
          <t>LO022</t>
        </is>
      </c>
      <c r="I415" t="inlineStr">
        <is>
          <t>Branch</t>
        </is>
      </c>
      <c r="J415">
        <f>INDEX('Data - Borrowers'!$B$2:$B$851, MATCH(B415, 'Data - Borrowers'!$A$2:$A$851, 0))</f>
        <v/>
      </c>
      <c r="K415">
        <f>INDEX('Data - Borrowers'!$C$2:$C$851, MATCH(B415, 'Data - Borrowers'!$A$2:$A$851, 0))</f>
        <v/>
      </c>
      <c r="L415">
        <f>IF(D415&lt;100000, "Micro (&lt;100K)", IF(D415&lt;500000, "Small (100K-500K)", "Medium (500K+)"))</f>
        <v/>
      </c>
      <c r="M415">
        <f>TEXT(C415, "yyyy-mm")</f>
        <v/>
      </c>
    </row>
    <row r="416">
      <c r="A416" t="inlineStr">
        <is>
          <t>LN200456</t>
        </is>
      </c>
      <c r="B416" t="inlineStr">
        <is>
          <t>BOR100348</t>
        </is>
      </c>
      <c r="C416" s="8" t="n">
        <v>46000</v>
      </c>
      <c r="D416" s="9" t="n">
        <v>20000</v>
      </c>
      <c r="E416" t="n">
        <v>6</v>
      </c>
      <c r="F416" s="10" t="n">
        <v>0.224</v>
      </c>
      <c r="G416" t="inlineStr">
        <is>
          <t>Asset Finance</t>
        </is>
      </c>
      <c r="H416" t="inlineStr">
        <is>
          <t>LO020</t>
        </is>
      </c>
      <c r="I416" t="inlineStr">
        <is>
          <t>Mobile App</t>
        </is>
      </c>
      <c r="J416">
        <f>INDEX('Data - Borrowers'!$B$2:$B$851, MATCH(B416, 'Data - Borrowers'!$A$2:$A$851, 0))</f>
        <v/>
      </c>
      <c r="K416">
        <f>INDEX('Data - Borrowers'!$C$2:$C$851, MATCH(B416, 'Data - Borrowers'!$A$2:$A$851, 0))</f>
        <v/>
      </c>
      <c r="L416">
        <f>IF(D416&lt;100000, "Micro (&lt;100K)", IF(D416&lt;500000, "Small (100K-500K)", "Medium (500K+)"))</f>
        <v/>
      </c>
      <c r="M416">
        <f>TEXT(C416, "yyyy-mm")</f>
        <v/>
      </c>
    </row>
    <row r="417">
      <c r="A417" t="inlineStr">
        <is>
          <t>LN200457</t>
        </is>
      </c>
      <c r="B417" t="inlineStr">
        <is>
          <t>BOR100349</t>
        </is>
      </c>
      <c r="C417" s="8" t="n">
        <v>45906</v>
      </c>
      <c r="D417" s="9" t="n">
        <v>201000</v>
      </c>
      <c r="E417" t="n">
        <v>3</v>
      </c>
      <c r="F417" s="10" t="n">
        <v>0.221</v>
      </c>
      <c r="G417" t="inlineStr">
        <is>
          <t>Invoice Discounting</t>
        </is>
      </c>
      <c r="H417" t="inlineStr">
        <is>
          <t>LO023</t>
        </is>
      </c>
      <c r="I417" t="inlineStr">
        <is>
          <t>Partner Referral</t>
        </is>
      </c>
      <c r="J417">
        <f>INDEX('Data - Borrowers'!$B$2:$B$851, MATCH(B417, 'Data - Borrowers'!$A$2:$A$851, 0))</f>
        <v/>
      </c>
      <c r="K417">
        <f>INDEX('Data - Borrowers'!$C$2:$C$851, MATCH(B417, 'Data - Borrowers'!$A$2:$A$851, 0))</f>
        <v/>
      </c>
      <c r="L417">
        <f>IF(D417&lt;100000, "Micro (&lt;100K)", IF(D417&lt;500000, "Small (100K-500K)", "Medium (500K+)"))</f>
        <v/>
      </c>
      <c r="M417">
        <f>TEXT(C417, "yyyy-mm")</f>
        <v/>
      </c>
    </row>
    <row r="418">
      <c r="A418" t="inlineStr">
        <is>
          <t>LN200458</t>
        </is>
      </c>
      <c r="B418" t="inlineStr">
        <is>
          <t>BOR100350</t>
        </is>
      </c>
      <c r="C418" s="8" t="n">
        <v>45922</v>
      </c>
      <c r="D418" s="9" t="n">
        <v>163000</v>
      </c>
      <c r="E418" t="n">
        <v>18</v>
      </c>
      <c r="F418" s="10" t="n">
        <v>0.203</v>
      </c>
      <c r="G418" t="inlineStr">
        <is>
          <t>Asset Finance</t>
        </is>
      </c>
      <c r="H418" t="inlineStr">
        <is>
          <t>LO023</t>
        </is>
      </c>
      <c r="I418" t="inlineStr">
        <is>
          <t>Branch</t>
        </is>
      </c>
      <c r="J418">
        <f>INDEX('Data - Borrowers'!$B$2:$B$851, MATCH(B418, 'Data - Borrowers'!$A$2:$A$851, 0))</f>
        <v/>
      </c>
      <c r="K418">
        <f>INDEX('Data - Borrowers'!$C$2:$C$851, MATCH(B418, 'Data - Borrowers'!$A$2:$A$851, 0))</f>
        <v/>
      </c>
      <c r="L418">
        <f>IF(D418&lt;100000, "Micro (&lt;100K)", IF(D418&lt;500000, "Small (100K-500K)", "Medium (500K+)"))</f>
        <v/>
      </c>
      <c r="M418">
        <f>TEXT(C418, "yyyy-mm")</f>
        <v/>
      </c>
    </row>
    <row r="419">
      <c r="A419" t="inlineStr">
        <is>
          <t>LN200459</t>
        </is>
      </c>
      <c r="B419" t="inlineStr">
        <is>
          <t>BOR100351</t>
        </is>
      </c>
      <c r="C419" s="8" t="n">
        <v>45885</v>
      </c>
      <c r="D419" s="9" t="n">
        <v>45000</v>
      </c>
      <c r="E419" t="n">
        <v>18</v>
      </c>
      <c r="F419" s="10" t="n">
        <v>0.189</v>
      </c>
      <c r="G419" t="inlineStr">
        <is>
          <t>Asset Finance</t>
        </is>
      </c>
      <c r="H419" t="inlineStr">
        <is>
          <t>LO010</t>
        </is>
      </c>
      <c r="I419" t="inlineStr">
        <is>
          <t>Branch</t>
        </is>
      </c>
      <c r="J419">
        <f>INDEX('Data - Borrowers'!$B$2:$B$851, MATCH(B419, 'Data - Borrowers'!$A$2:$A$851, 0))</f>
        <v/>
      </c>
      <c r="K419">
        <f>INDEX('Data - Borrowers'!$C$2:$C$851, MATCH(B419, 'Data - Borrowers'!$A$2:$A$851, 0))</f>
        <v/>
      </c>
      <c r="L419">
        <f>IF(D419&lt;100000, "Micro (&lt;100K)", IF(D419&lt;500000, "Small (100K-500K)", "Medium (500K+)"))</f>
        <v/>
      </c>
      <c r="M419">
        <f>TEXT(C419, "yyyy-mm")</f>
        <v/>
      </c>
    </row>
    <row r="420">
      <c r="A420" t="inlineStr">
        <is>
          <t>LN200460</t>
        </is>
      </c>
      <c r="B420" t="inlineStr">
        <is>
          <t>BOR100351</t>
        </is>
      </c>
      <c r="C420" s="8" t="n">
        <v>46133</v>
      </c>
      <c r="D420" s="9" t="n">
        <v>43000</v>
      </c>
      <c r="E420" t="n">
        <v>3</v>
      </c>
      <c r="F420" s="10" t="n">
        <v>0.211</v>
      </c>
      <c r="G420" t="inlineStr">
        <is>
          <t>Asset Finance</t>
        </is>
      </c>
      <c r="H420" t="inlineStr">
        <is>
          <t>LO023</t>
        </is>
      </c>
      <c r="I420" t="inlineStr">
        <is>
          <t>Partner Referral</t>
        </is>
      </c>
      <c r="J420">
        <f>INDEX('Data - Borrowers'!$B$2:$B$851, MATCH(B420, 'Data - Borrowers'!$A$2:$A$851, 0))</f>
        <v/>
      </c>
      <c r="K420">
        <f>INDEX('Data - Borrowers'!$C$2:$C$851, MATCH(B420, 'Data - Borrowers'!$A$2:$A$851, 0))</f>
        <v/>
      </c>
      <c r="L420">
        <f>IF(D420&lt;100000, "Micro (&lt;100K)", IF(D420&lt;500000, "Small (100K-500K)", "Medium (500K+)"))</f>
        <v/>
      </c>
      <c r="M420">
        <f>TEXT(C420, "yyyy-mm")</f>
        <v/>
      </c>
    </row>
    <row r="421">
      <c r="A421" t="inlineStr">
        <is>
          <t>LN200461</t>
        </is>
      </c>
      <c r="B421" t="inlineStr">
        <is>
          <t>BOR100352</t>
        </is>
      </c>
      <c r="C421" s="8" t="n">
        <v>45679</v>
      </c>
      <c r="D421" s="9" t="n">
        <v>550000</v>
      </c>
      <c r="E421" t="n">
        <v>3</v>
      </c>
      <c r="F421" s="10" t="n">
        <v>0.171</v>
      </c>
      <c r="G421" t="inlineStr">
        <is>
          <t>Working Capital</t>
        </is>
      </c>
      <c r="H421" t="inlineStr">
        <is>
          <t>LO004</t>
        </is>
      </c>
      <c r="I421" t="inlineStr">
        <is>
          <t>Branch</t>
        </is>
      </c>
      <c r="J421">
        <f>INDEX('Data - Borrowers'!$B$2:$B$851, MATCH(B421, 'Data - Borrowers'!$A$2:$A$851, 0))</f>
        <v/>
      </c>
      <c r="K421">
        <f>INDEX('Data - Borrowers'!$C$2:$C$851, MATCH(B421, 'Data - Borrowers'!$A$2:$A$851, 0))</f>
        <v/>
      </c>
      <c r="L421">
        <f>IF(D421&lt;100000, "Micro (&lt;100K)", IF(D421&lt;500000, "Small (100K-500K)", "Medium (500K+)"))</f>
        <v/>
      </c>
      <c r="M421">
        <f>TEXT(C421, "yyyy-mm")</f>
        <v/>
      </c>
    </row>
    <row r="422">
      <c r="A422" t="inlineStr">
        <is>
          <t>LN200462</t>
        </is>
      </c>
      <c r="B422" t="inlineStr">
        <is>
          <t>BOR100353</t>
        </is>
      </c>
      <c r="C422" s="8" t="n">
        <v>45872</v>
      </c>
      <c r="D422" s="9" t="n">
        <v>60000</v>
      </c>
      <c r="E422" t="n">
        <v>6</v>
      </c>
      <c r="F422" s="10" t="n">
        <v>0.149</v>
      </c>
      <c r="G422" t="inlineStr">
        <is>
          <t>Invoice Discounting</t>
        </is>
      </c>
      <c r="H422" t="inlineStr">
        <is>
          <t>LO012</t>
        </is>
      </c>
      <c r="I422" t="inlineStr">
        <is>
          <t>Partner Referral</t>
        </is>
      </c>
      <c r="J422">
        <f>INDEX('Data - Borrowers'!$B$2:$B$851, MATCH(B422, 'Data - Borrowers'!$A$2:$A$851, 0))</f>
        <v/>
      </c>
      <c r="K422">
        <f>INDEX('Data - Borrowers'!$C$2:$C$851, MATCH(B422, 'Data - Borrowers'!$A$2:$A$851, 0))</f>
        <v/>
      </c>
      <c r="L422">
        <f>IF(D422&lt;100000, "Micro (&lt;100K)", IF(D422&lt;500000, "Small (100K-500K)", "Medium (500K+)"))</f>
        <v/>
      </c>
      <c r="M422">
        <f>TEXT(C422, "yyyy-mm")</f>
        <v/>
      </c>
    </row>
    <row r="423">
      <c r="A423" t="inlineStr">
        <is>
          <t>LN200463</t>
        </is>
      </c>
      <c r="B423" t="inlineStr">
        <is>
          <t>BOR100354</t>
        </is>
      </c>
      <c r="C423" s="8" t="n">
        <v>46006</v>
      </c>
      <c r="D423" s="9" t="n">
        <v>108000</v>
      </c>
      <c r="E423" t="n">
        <v>3</v>
      </c>
      <c r="F423" s="10" t="n">
        <v>0.135</v>
      </c>
      <c r="G423" t="inlineStr">
        <is>
          <t>Asset Finance</t>
        </is>
      </c>
      <c r="H423" t="inlineStr">
        <is>
          <t>LO006</t>
        </is>
      </c>
      <c r="I423" t="inlineStr">
        <is>
          <t>Partner Referral</t>
        </is>
      </c>
      <c r="J423">
        <f>INDEX('Data - Borrowers'!$B$2:$B$851, MATCH(B423, 'Data - Borrowers'!$A$2:$A$851, 0))</f>
        <v/>
      </c>
      <c r="K423">
        <f>INDEX('Data - Borrowers'!$C$2:$C$851, MATCH(B423, 'Data - Borrowers'!$A$2:$A$851, 0))</f>
        <v/>
      </c>
      <c r="L423">
        <f>IF(D423&lt;100000, "Micro (&lt;100K)", IF(D423&lt;500000, "Small (100K-500K)", "Medium (500K+)"))</f>
        <v/>
      </c>
      <c r="M423">
        <f>TEXT(C423, "yyyy-mm")</f>
        <v/>
      </c>
    </row>
    <row r="424">
      <c r="A424" t="inlineStr">
        <is>
          <t>LN200464</t>
        </is>
      </c>
      <c r="B424" t="inlineStr">
        <is>
          <t>BOR100354</t>
        </is>
      </c>
      <c r="C424" s="8" t="n">
        <v>46235</v>
      </c>
      <c r="D424" s="9" t="n">
        <v>49000</v>
      </c>
      <c r="E424" t="n">
        <v>6</v>
      </c>
      <c r="F424" s="10" t="n">
        <v>0.161</v>
      </c>
      <c r="G424" t="inlineStr">
        <is>
          <t>Working Capital</t>
        </is>
      </c>
      <c r="H424" t="inlineStr">
        <is>
          <t>LO019</t>
        </is>
      </c>
      <c r="I424" t="inlineStr">
        <is>
          <t>Mobile App</t>
        </is>
      </c>
      <c r="J424">
        <f>INDEX('Data - Borrowers'!$B$2:$B$851, MATCH(B424, 'Data - Borrowers'!$A$2:$A$851, 0))</f>
        <v/>
      </c>
      <c r="K424">
        <f>INDEX('Data - Borrowers'!$C$2:$C$851, MATCH(B424, 'Data - Borrowers'!$A$2:$A$851, 0))</f>
        <v/>
      </c>
      <c r="L424">
        <f>IF(D424&lt;100000, "Micro (&lt;100K)", IF(D424&lt;500000, "Small (100K-500K)", "Medium (500K+)"))</f>
        <v/>
      </c>
      <c r="M424">
        <f>TEXT(C424, "yyyy-mm")</f>
        <v/>
      </c>
    </row>
    <row r="425">
      <c r="A425" t="inlineStr">
        <is>
          <t>LN200466</t>
        </is>
      </c>
      <c r="B425" t="inlineStr">
        <is>
          <t>BOR100355</t>
        </is>
      </c>
      <c r="C425" s="8" t="n">
        <v>45912</v>
      </c>
      <c r="D425" s="9" t="n">
        <v>311000</v>
      </c>
      <c r="E425" t="n">
        <v>3</v>
      </c>
      <c r="F425" s="10" t="n">
        <v>0.174</v>
      </c>
      <c r="G425" t="inlineStr">
        <is>
          <t>Invoice Discounting</t>
        </is>
      </c>
      <c r="H425" t="inlineStr">
        <is>
          <t>LO002</t>
        </is>
      </c>
      <c r="I425" t="inlineStr">
        <is>
          <t>Partner Referral</t>
        </is>
      </c>
      <c r="J425">
        <f>INDEX('Data - Borrowers'!$B$2:$B$851, MATCH(B425, 'Data - Borrowers'!$A$2:$A$851, 0))</f>
        <v/>
      </c>
      <c r="K425">
        <f>INDEX('Data - Borrowers'!$C$2:$C$851, MATCH(B425, 'Data - Borrowers'!$A$2:$A$851, 0))</f>
        <v/>
      </c>
      <c r="L425">
        <f>IF(D425&lt;100000, "Micro (&lt;100K)", IF(D425&lt;500000, "Small (100K-500K)", "Medium (500K+)"))</f>
        <v/>
      </c>
      <c r="M425">
        <f>TEXT(C425, "yyyy-mm")</f>
        <v/>
      </c>
    </row>
    <row r="426">
      <c r="A426" t="inlineStr">
        <is>
          <t>LN200467</t>
        </is>
      </c>
      <c r="B426" t="inlineStr">
        <is>
          <t>BOR100355</t>
        </is>
      </c>
      <c r="C426" s="8" t="n">
        <v>46137</v>
      </c>
      <c r="D426" s="9" t="n">
        <v>386000</v>
      </c>
      <c r="E426" t="n">
        <v>9</v>
      </c>
      <c r="F426" s="10" t="n">
        <v>0.204</v>
      </c>
      <c r="G426" t="inlineStr">
        <is>
          <t>Working Capital</t>
        </is>
      </c>
      <c r="H426" t="inlineStr">
        <is>
          <t>LO013</t>
        </is>
      </c>
      <c r="I426" t="inlineStr">
        <is>
          <t>Mobile App</t>
        </is>
      </c>
      <c r="J426">
        <f>INDEX('Data - Borrowers'!$B$2:$B$851, MATCH(B426, 'Data - Borrowers'!$A$2:$A$851, 0))</f>
        <v/>
      </c>
      <c r="K426">
        <f>INDEX('Data - Borrowers'!$C$2:$C$851, MATCH(B426, 'Data - Borrowers'!$A$2:$A$851, 0))</f>
        <v/>
      </c>
      <c r="L426">
        <f>IF(D426&lt;100000, "Micro (&lt;100K)", IF(D426&lt;500000, "Small (100K-500K)", "Medium (500K+)"))</f>
        <v/>
      </c>
      <c r="M426">
        <f>TEXT(C426, "yyyy-mm")</f>
        <v/>
      </c>
    </row>
    <row r="427">
      <c r="A427" t="inlineStr">
        <is>
          <t>LN200468</t>
        </is>
      </c>
      <c r="B427" t="inlineStr">
        <is>
          <t>BOR100355</t>
        </is>
      </c>
      <c r="C427" s="8" t="n">
        <v>46234</v>
      </c>
      <c r="D427" s="9" t="n">
        <v>223000</v>
      </c>
      <c r="E427" t="n">
        <v>9</v>
      </c>
      <c r="F427" s="10" t="n">
        <v>0.151</v>
      </c>
      <c r="G427" t="inlineStr">
        <is>
          <t>Asset Finance</t>
        </is>
      </c>
      <c r="H427" t="inlineStr">
        <is>
          <t>LO021</t>
        </is>
      </c>
      <c r="I427" t="inlineStr">
        <is>
          <t>Partner Referral</t>
        </is>
      </c>
      <c r="J427">
        <f>INDEX('Data - Borrowers'!$B$2:$B$851, MATCH(B427, 'Data - Borrowers'!$A$2:$A$851, 0))</f>
        <v/>
      </c>
      <c r="K427">
        <f>INDEX('Data - Borrowers'!$C$2:$C$851, MATCH(B427, 'Data - Borrowers'!$A$2:$A$851, 0))</f>
        <v/>
      </c>
      <c r="L427">
        <f>IF(D427&lt;100000, "Micro (&lt;100K)", IF(D427&lt;500000, "Small (100K-500K)", "Medium (500K+)"))</f>
        <v/>
      </c>
      <c r="M427">
        <f>TEXT(C427, "yyyy-mm")</f>
        <v/>
      </c>
    </row>
    <row r="428">
      <c r="A428" t="inlineStr">
        <is>
          <t>LN200469</t>
        </is>
      </c>
      <c r="B428" t="inlineStr">
        <is>
          <t>BOR100356</t>
        </is>
      </c>
      <c r="C428" s="8" t="n">
        <v>46195</v>
      </c>
      <c r="D428" s="9" t="n">
        <v>87000</v>
      </c>
      <c r="E428" t="n">
        <v>9</v>
      </c>
      <c r="F428" s="10" t="n">
        <v>0.168</v>
      </c>
      <c r="G428" t="inlineStr">
        <is>
          <t>Invoice Discounting</t>
        </is>
      </c>
      <c r="H428" t="inlineStr">
        <is>
          <t>LO004</t>
        </is>
      </c>
      <c r="I428" t="inlineStr">
        <is>
          <t>Branch</t>
        </is>
      </c>
      <c r="J428">
        <f>INDEX('Data - Borrowers'!$B$2:$B$851, MATCH(B428, 'Data - Borrowers'!$A$2:$A$851, 0))</f>
        <v/>
      </c>
      <c r="K428">
        <f>INDEX('Data - Borrowers'!$C$2:$C$851, MATCH(B428, 'Data - Borrowers'!$A$2:$A$851, 0))</f>
        <v/>
      </c>
      <c r="L428">
        <f>IF(D428&lt;100000, "Micro (&lt;100K)", IF(D428&lt;500000, "Small (100K-500K)", "Medium (500K+)"))</f>
        <v/>
      </c>
      <c r="M428">
        <f>TEXT(C428, "yyyy-mm")</f>
        <v/>
      </c>
    </row>
    <row r="429">
      <c r="A429" t="inlineStr">
        <is>
          <t>LN200471</t>
        </is>
      </c>
      <c r="B429" t="inlineStr">
        <is>
          <t>BOR100357</t>
        </is>
      </c>
      <c r="C429" s="8" t="n">
        <v>45875</v>
      </c>
      <c r="D429" s="9" t="n">
        <v>151000</v>
      </c>
      <c r="E429" t="n">
        <v>3</v>
      </c>
      <c r="F429" s="10" t="n">
        <v>0.163</v>
      </c>
      <c r="G429" t="inlineStr">
        <is>
          <t>Asset Finance</t>
        </is>
      </c>
      <c r="H429" t="inlineStr">
        <is>
          <t>LO011</t>
        </is>
      </c>
      <c r="I429" t="inlineStr">
        <is>
          <t>Branch</t>
        </is>
      </c>
      <c r="J429">
        <f>INDEX('Data - Borrowers'!$B$2:$B$851, MATCH(B429, 'Data - Borrowers'!$A$2:$A$851, 0))</f>
        <v/>
      </c>
      <c r="K429">
        <f>INDEX('Data - Borrowers'!$C$2:$C$851, MATCH(B429, 'Data - Borrowers'!$A$2:$A$851, 0))</f>
        <v/>
      </c>
      <c r="L429">
        <f>IF(D429&lt;100000, "Micro (&lt;100K)", IF(D429&lt;500000, "Small (100K-500K)", "Medium (500K+)"))</f>
        <v/>
      </c>
      <c r="M429">
        <f>TEXT(C429, "yyyy-mm")</f>
        <v/>
      </c>
    </row>
    <row r="430">
      <c r="A430" t="inlineStr">
        <is>
          <t>LN200472</t>
        </is>
      </c>
      <c r="B430" t="inlineStr">
        <is>
          <t>BOR100358</t>
        </is>
      </c>
      <c r="C430" s="8" t="n">
        <v>45900</v>
      </c>
      <c r="D430" s="9" t="n">
        <v>94000</v>
      </c>
      <c r="E430" t="n">
        <v>9</v>
      </c>
      <c r="F430" s="10" t="n">
        <v>0.216</v>
      </c>
      <c r="G430" t="inlineStr">
        <is>
          <t>Working Capital</t>
        </is>
      </c>
      <c r="H430" t="inlineStr">
        <is>
          <t>LO005</t>
        </is>
      </c>
      <c r="I430" t="inlineStr">
        <is>
          <t>Mobile App</t>
        </is>
      </c>
      <c r="J430">
        <f>INDEX('Data - Borrowers'!$B$2:$B$851, MATCH(B430, 'Data - Borrowers'!$A$2:$A$851, 0))</f>
        <v/>
      </c>
      <c r="K430">
        <f>INDEX('Data - Borrowers'!$C$2:$C$851, MATCH(B430, 'Data - Borrowers'!$A$2:$A$851, 0))</f>
        <v/>
      </c>
      <c r="L430">
        <f>IF(D430&lt;100000, "Micro (&lt;100K)", IF(D430&lt;500000, "Small (100K-500K)", "Medium (500K+)"))</f>
        <v/>
      </c>
      <c r="M430">
        <f>TEXT(C430, "yyyy-mm")</f>
        <v/>
      </c>
    </row>
    <row r="431">
      <c r="A431" t="inlineStr">
        <is>
          <t>LN200473</t>
        </is>
      </c>
      <c r="B431" t="inlineStr">
        <is>
          <t>BOR100359</t>
        </is>
      </c>
      <c r="C431" s="8" t="n">
        <v>46134</v>
      </c>
      <c r="D431" s="9" t="n">
        <v>199000</v>
      </c>
      <c r="E431" t="n">
        <v>3</v>
      </c>
      <c r="F431" s="10" t="n">
        <v>0.159</v>
      </c>
      <c r="G431" t="inlineStr">
        <is>
          <t>Asset Finance</t>
        </is>
      </c>
      <c r="H431" t="inlineStr">
        <is>
          <t>LO005</t>
        </is>
      </c>
      <c r="I431" t="inlineStr">
        <is>
          <t>Mobile App</t>
        </is>
      </c>
      <c r="J431">
        <f>INDEX('Data - Borrowers'!$B$2:$B$851, MATCH(B431, 'Data - Borrowers'!$A$2:$A$851, 0))</f>
        <v/>
      </c>
      <c r="K431">
        <f>INDEX('Data - Borrowers'!$C$2:$C$851, MATCH(B431, 'Data - Borrowers'!$A$2:$A$851, 0))</f>
        <v/>
      </c>
      <c r="L431">
        <f>IF(D431&lt;100000, "Micro (&lt;100K)", IF(D431&lt;500000, "Small (100K-500K)", "Medium (500K+)"))</f>
        <v/>
      </c>
      <c r="M431">
        <f>TEXT(C431, "yyyy-mm")</f>
        <v/>
      </c>
    </row>
    <row r="432">
      <c r="A432" t="inlineStr">
        <is>
          <t>LN200474</t>
        </is>
      </c>
      <c r="B432" t="inlineStr">
        <is>
          <t>BOR100360</t>
        </is>
      </c>
      <c r="C432" s="8" t="n">
        <v>45821</v>
      </c>
      <c r="D432" s="9" t="n">
        <v>152000</v>
      </c>
      <c r="E432" t="n">
        <v>9</v>
      </c>
      <c r="F432" s="10" t="n">
        <v>0.151</v>
      </c>
      <c r="G432" t="inlineStr">
        <is>
          <t>Working Capital</t>
        </is>
      </c>
      <c r="H432" t="inlineStr">
        <is>
          <t>LO025</t>
        </is>
      </c>
      <c r="I432" t="inlineStr">
        <is>
          <t>Partner Referral</t>
        </is>
      </c>
      <c r="J432">
        <f>INDEX('Data - Borrowers'!$B$2:$B$851, MATCH(B432, 'Data - Borrowers'!$A$2:$A$851, 0))</f>
        <v/>
      </c>
      <c r="K432">
        <f>INDEX('Data - Borrowers'!$C$2:$C$851, MATCH(B432, 'Data - Borrowers'!$A$2:$A$851, 0))</f>
        <v/>
      </c>
      <c r="L432">
        <f>IF(D432&lt;100000, "Micro (&lt;100K)", IF(D432&lt;500000, "Small (100K-500K)", "Medium (500K+)"))</f>
        <v/>
      </c>
      <c r="M432">
        <f>TEXT(C432, "yyyy-mm")</f>
        <v/>
      </c>
    </row>
    <row r="433">
      <c r="A433" t="inlineStr">
        <is>
          <t>LN200475</t>
        </is>
      </c>
      <c r="B433" t="inlineStr">
        <is>
          <t>BOR100361</t>
        </is>
      </c>
      <c r="C433" s="8" t="n">
        <v>45777</v>
      </c>
      <c r="D433" s="9" t="n">
        <v>109000</v>
      </c>
      <c r="E433" t="n">
        <v>6</v>
      </c>
      <c r="F433" s="10" t="n">
        <v>0.226</v>
      </c>
      <c r="G433" t="inlineStr">
        <is>
          <t>Working Capital</t>
        </is>
      </c>
      <c r="H433" t="inlineStr">
        <is>
          <t>LO006</t>
        </is>
      </c>
      <c r="I433" t="inlineStr">
        <is>
          <t>Partner Referral</t>
        </is>
      </c>
      <c r="J433">
        <f>INDEX('Data - Borrowers'!$B$2:$B$851, MATCH(B433, 'Data - Borrowers'!$A$2:$A$851, 0))</f>
        <v/>
      </c>
      <c r="K433">
        <f>INDEX('Data - Borrowers'!$C$2:$C$851, MATCH(B433, 'Data - Borrowers'!$A$2:$A$851, 0))</f>
        <v/>
      </c>
      <c r="L433">
        <f>IF(D433&lt;100000, "Micro (&lt;100K)", IF(D433&lt;500000, "Small (100K-500K)", "Medium (500K+)"))</f>
        <v/>
      </c>
      <c r="M433">
        <f>TEXT(C433, "yyyy-mm")</f>
        <v/>
      </c>
    </row>
    <row r="434">
      <c r="A434" t="inlineStr">
        <is>
          <t>LN200476</t>
        </is>
      </c>
      <c r="B434" t="inlineStr">
        <is>
          <t>BOR100362</t>
        </is>
      </c>
      <c r="C434" s="8" t="n">
        <v>46018</v>
      </c>
      <c r="D434" s="9" t="n">
        <v>46000</v>
      </c>
      <c r="E434" t="n">
        <v>3</v>
      </c>
      <c r="F434" s="10" t="n">
        <v>0.167</v>
      </c>
      <c r="G434" t="inlineStr">
        <is>
          <t>Working Capital</t>
        </is>
      </c>
      <c r="H434" t="inlineStr">
        <is>
          <t>LO015</t>
        </is>
      </c>
      <c r="I434" t="inlineStr">
        <is>
          <t>Mobile App</t>
        </is>
      </c>
      <c r="J434">
        <f>INDEX('Data - Borrowers'!$B$2:$B$851, MATCH(B434, 'Data - Borrowers'!$A$2:$A$851, 0))</f>
        <v/>
      </c>
      <c r="K434">
        <f>INDEX('Data - Borrowers'!$C$2:$C$851, MATCH(B434, 'Data - Borrowers'!$A$2:$A$851, 0))</f>
        <v/>
      </c>
      <c r="L434">
        <f>IF(D434&lt;100000, "Micro (&lt;100K)", IF(D434&lt;500000, "Small (100K-500K)", "Medium (500K+)"))</f>
        <v/>
      </c>
      <c r="M434">
        <f>TEXT(C434, "yyyy-mm")</f>
        <v/>
      </c>
    </row>
    <row r="435">
      <c r="A435" t="inlineStr">
        <is>
          <t>LN200477</t>
        </is>
      </c>
      <c r="B435" t="inlineStr">
        <is>
          <t>BOR100362</t>
        </is>
      </c>
      <c r="C435" s="8" t="n">
        <v>46195</v>
      </c>
      <c r="D435" s="9" t="n">
        <v>70000</v>
      </c>
      <c r="E435" t="n">
        <v>9</v>
      </c>
      <c r="F435" s="10" t="n">
        <v>0.237</v>
      </c>
      <c r="G435" t="inlineStr">
        <is>
          <t>Working Capital</t>
        </is>
      </c>
      <c r="H435" t="inlineStr">
        <is>
          <t>LO006</t>
        </is>
      </c>
      <c r="I435" t="inlineStr">
        <is>
          <t>Mobile App</t>
        </is>
      </c>
      <c r="J435">
        <f>INDEX('Data - Borrowers'!$B$2:$B$851, MATCH(B435, 'Data - Borrowers'!$A$2:$A$851, 0))</f>
        <v/>
      </c>
      <c r="K435">
        <f>INDEX('Data - Borrowers'!$C$2:$C$851, MATCH(B435, 'Data - Borrowers'!$A$2:$A$851, 0))</f>
        <v/>
      </c>
      <c r="L435">
        <f>IF(D435&lt;100000, "Micro (&lt;100K)", IF(D435&lt;500000, "Small (100K-500K)", "Medium (500K+)"))</f>
        <v/>
      </c>
      <c r="M435">
        <f>TEXT(C435, "yyyy-mm")</f>
        <v/>
      </c>
    </row>
    <row r="436">
      <c r="A436" t="inlineStr">
        <is>
          <t>LN200478</t>
        </is>
      </c>
      <c r="B436" t="inlineStr">
        <is>
          <t>BOR100363</t>
        </is>
      </c>
      <c r="C436" s="8" t="n">
        <v>46140</v>
      </c>
      <c r="D436" s="9" t="n">
        <v>114000</v>
      </c>
      <c r="E436" t="n">
        <v>9</v>
      </c>
      <c r="F436" s="10" t="n">
        <v>0.129</v>
      </c>
      <c r="G436" t="inlineStr">
        <is>
          <t>Asset Finance</t>
        </is>
      </c>
      <c r="H436" t="inlineStr">
        <is>
          <t>LO025</t>
        </is>
      </c>
      <c r="I436" t="inlineStr">
        <is>
          <t>Partner Referral</t>
        </is>
      </c>
      <c r="J436">
        <f>INDEX('Data - Borrowers'!$B$2:$B$851, MATCH(B436, 'Data - Borrowers'!$A$2:$A$851, 0))</f>
        <v/>
      </c>
      <c r="K436">
        <f>INDEX('Data - Borrowers'!$C$2:$C$851, MATCH(B436, 'Data - Borrowers'!$A$2:$A$851, 0))</f>
        <v/>
      </c>
      <c r="L436">
        <f>IF(D436&lt;100000, "Micro (&lt;100K)", IF(D436&lt;500000, "Small (100K-500K)", "Medium (500K+)"))</f>
        <v/>
      </c>
      <c r="M436">
        <f>TEXT(C436, "yyyy-mm")</f>
        <v/>
      </c>
    </row>
    <row r="437">
      <c r="A437" t="inlineStr">
        <is>
          <t>LN200479</t>
        </is>
      </c>
      <c r="B437" t="inlineStr">
        <is>
          <t>BOR100364</t>
        </is>
      </c>
      <c r="C437" s="8" t="n">
        <v>45796</v>
      </c>
      <c r="D437" s="9" t="n">
        <v>65000</v>
      </c>
      <c r="E437" t="n">
        <v>6</v>
      </c>
      <c r="F437" s="10" t="n">
        <v>0.211</v>
      </c>
      <c r="G437" t="inlineStr">
        <is>
          <t>Working Capital</t>
        </is>
      </c>
      <c r="H437" t="inlineStr">
        <is>
          <t>LO015</t>
        </is>
      </c>
      <c r="I437" t="inlineStr">
        <is>
          <t>Branch</t>
        </is>
      </c>
      <c r="J437">
        <f>INDEX('Data - Borrowers'!$B$2:$B$851, MATCH(B437, 'Data - Borrowers'!$A$2:$A$851, 0))</f>
        <v/>
      </c>
      <c r="K437">
        <f>INDEX('Data - Borrowers'!$C$2:$C$851, MATCH(B437, 'Data - Borrowers'!$A$2:$A$851, 0))</f>
        <v/>
      </c>
      <c r="L437">
        <f>IF(D437&lt;100000, "Micro (&lt;100K)", IF(D437&lt;500000, "Small (100K-500K)", "Medium (500K+)"))</f>
        <v/>
      </c>
      <c r="M437">
        <f>TEXT(C437, "yyyy-mm")</f>
        <v/>
      </c>
    </row>
    <row r="438">
      <c r="A438" t="inlineStr">
        <is>
          <t>LN200480</t>
        </is>
      </c>
      <c r="B438" t="inlineStr">
        <is>
          <t>BOR100365</t>
        </is>
      </c>
      <c r="C438" s="8" t="n">
        <v>45967</v>
      </c>
      <c r="D438" s="9" t="n">
        <v>35000</v>
      </c>
      <c r="E438" t="n">
        <v>6</v>
      </c>
      <c r="F438" s="10" t="n">
        <v>0.195</v>
      </c>
      <c r="G438" t="inlineStr">
        <is>
          <t>Invoice Discounting</t>
        </is>
      </c>
      <c r="H438" t="inlineStr">
        <is>
          <t>LO010</t>
        </is>
      </c>
      <c r="I438" t="inlineStr">
        <is>
          <t>Partner Referral</t>
        </is>
      </c>
      <c r="J438">
        <f>INDEX('Data - Borrowers'!$B$2:$B$851, MATCH(B438, 'Data - Borrowers'!$A$2:$A$851, 0))</f>
        <v/>
      </c>
      <c r="K438">
        <f>INDEX('Data - Borrowers'!$C$2:$C$851, MATCH(B438, 'Data - Borrowers'!$A$2:$A$851, 0))</f>
        <v/>
      </c>
      <c r="L438">
        <f>IF(D438&lt;100000, "Micro (&lt;100K)", IF(D438&lt;500000, "Small (100K-500K)", "Medium (500K+)"))</f>
        <v/>
      </c>
      <c r="M438">
        <f>TEXT(C438, "yyyy-mm")</f>
        <v/>
      </c>
    </row>
    <row r="439">
      <c r="A439" t="inlineStr">
        <is>
          <t>LN200481</t>
        </is>
      </c>
      <c r="B439" t="inlineStr">
        <is>
          <t>BOR100366</t>
        </is>
      </c>
      <c r="C439" s="8" t="n">
        <v>46226</v>
      </c>
      <c r="D439" s="9" t="n">
        <v>53000</v>
      </c>
      <c r="E439" t="n">
        <v>18</v>
      </c>
      <c r="F439" s="10" t="n">
        <v>0.182</v>
      </c>
      <c r="G439" t="inlineStr">
        <is>
          <t>Working Capital</t>
        </is>
      </c>
      <c r="H439" t="inlineStr">
        <is>
          <t>LO022</t>
        </is>
      </c>
      <c r="I439" t="inlineStr">
        <is>
          <t>Branch</t>
        </is>
      </c>
      <c r="J439">
        <f>INDEX('Data - Borrowers'!$B$2:$B$851, MATCH(B439, 'Data - Borrowers'!$A$2:$A$851, 0))</f>
        <v/>
      </c>
      <c r="K439">
        <f>INDEX('Data - Borrowers'!$C$2:$C$851, MATCH(B439, 'Data - Borrowers'!$A$2:$A$851, 0))</f>
        <v/>
      </c>
      <c r="L439">
        <f>IF(D439&lt;100000, "Micro (&lt;100K)", IF(D439&lt;500000, "Small (100K-500K)", "Medium (500K+)"))</f>
        <v/>
      </c>
      <c r="M439">
        <f>TEXT(C439, "yyyy-mm")</f>
        <v/>
      </c>
    </row>
    <row r="440">
      <c r="A440" t="inlineStr">
        <is>
          <t>LN200482</t>
        </is>
      </c>
      <c r="B440" t="inlineStr">
        <is>
          <t>BOR100367</t>
        </is>
      </c>
      <c r="C440" s="8" t="n">
        <v>45922</v>
      </c>
      <c r="D440" s="9" t="n">
        <v>235000</v>
      </c>
      <c r="E440" t="n">
        <v>3</v>
      </c>
      <c r="F440" s="10" t="n">
        <v>0.151</v>
      </c>
      <c r="G440" t="inlineStr">
        <is>
          <t>Working Capital</t>
        </is>
      </c>
      <c r="H440" t="inlineStr">
        <is>
          <t>LO012</t>
        </is>
      </c>
      <c r="I440" t="inlineStr">
        <is>
          <t>Branch</t>
        </is>
      </c>
      <c r="J440">
        <f>INDEX('Data - Borrowers'!$B$2:$B$851, MATCH(B440, 'Data - Borrowers'!$A$2:$A$851, 0))</f>
        <v/>
      </c>
      <c r="K440">
        <f>INDEX('Data - Borrowers'!$C$2:$C$851, MATCH(B440, 'Data - Borrowers'!$A$2:$A$851, 0))</f>
        <v/>
      </c>
      <c r="L440">
        <f>IF(D440&lt;100000, "Micro (&lt;100K)", IF(D440&lt;500000, "Small (100K-500K)", "Medium (500K+)"))</f>
        <v/>
      </c>
      <c r="M440">
        <f>TEXT(C440, "yyyy-mm")</f>
        <v/>
      </c>
    </row>
    <row r="441">
      <c r="A441" t="inlineStr">
        <is>
          <t>LN200483</t>
        </is>
      </c>
      <c r="B441" t="inlineStr">
        <is>
          <t>BOR100368</t>
        </is>
      </c>
      <c r="C441" s="8" t="n">
        <v>46232</v>
      </c>
      <c r="D441" s="9" t="n">
        <v>24000</v>
      </c>
      <c r="E441" t="n">
        <v>6</v>
      </c>
      <c r="F441" s="10" t="n">
        <v>0.235</v>
      </c>
      <c r="G441" t="inlineStr">
        <is>
          <t>Working Capital</t>
        </is>
      </c>
      <c r="H441" t="inlineStr">
        <is>
          <t>LO010</t>
        </is>
      </c>
      <c r="I441" t="inlineStr">
        <is>
          <t>Mobile App</t>
        </is>
      </c>
      <c r="J441">
        <f>INDEX('Data - Borrowers'!$B$2:$B$851, MATCH(B441, 'Data - Borrowers'!$A$2:$A$851, 0))</f>
        <v/>
      </c>
      <c r="K441">
        <f>INDEX('Data - Borrowers'!$C$2:$C$851, MATCH(B441, 'Data - Borrowers'!$A$2:$A$851, 0))</f>
        <v/>
      </c>
      <c r="L441">
        <f>IF(D441&lt;100000, "Micro (&lt;100K)", IF(D441&lt;500000, "Small (100K-500K)", "Medium (500K+)"))</f>
        <v/>
      </c>
      <c r="M441">
        <f>TEXT(C441, "yyyy-mm")</f>
        <v/>
      </c>
    </row>
    <row r="442">
      <c r="A442" t="inlineStr">
        <is>
          <t>LN200484</t>
        </is>
      </c>
      <c r="B442" t="inlineStr">
        <is>
          <t>BOR100369</t>
        </is>
      </c>
      <c r="C442" s="8" t="n">
        <v>46094</v>
      </c>
      <c r="D442" s="9" t="n">
        <v>51000</v>
      </c>
      <c r="E442" t="n">
        <v>3</v>
      </c>
      <c r="F442" s="10" t="n">
        <v>0.222</v>
      </c>
      <c r="G442" t="inlineStr">
        <is>
          <t>Asset Finance</t>
        </is>
      </c>
      <c r="H442" t="inlineStr">
        <is>
          <t>LO017</t>
        </is>
      </c>
      <c r="I442" t="inlineStr">
        <is>
          <t>Branch</t>
        </is>
      </c>
      <c r="J442">
        <f>INDEX('Data - Borrowers'!$B$2:$B$851, MATCH(B442, 'Data - Borrowers'!$A$2:$A$851, 0))</f>
        <v/>
      </c>
      <c r="K442">
        <f>INDEX('Data - Borrowers'!$C$2:$C$851, MATCH(B442, 'Data - Borrowers'!$A$2:$A$851, 0))</f>
        <v/>
      </c>
      <c r="L442">
        <f>IF(D442&lt;100000, "Micro (&lt;100K)", IF(D442&lt;500000, "Small (100K-500K)", "Medium (500K+)"))</f>
        <v/>
      </c>
      <c r="M442">
        <f>TEXT(C442, "yyyy-mm")</f>
        <v/>
      </c>
    </row>
    <row r="443">
      <c r="A443" t="inlineStr">
        <is>
          <t>LN200485</t>
        </is>
      </c>
      <c r="B443" t="inlineStr">
        <is>
          <t>BOR100369</t>
        </is>
      </c>
      <c r="C443" s="8" t="n">
        <v>46200</v>
      </c>
      <c r="D443" s="9" t="n">
        <v>155000</v>
      </c>
      <c r="E443" t="n">
        <v>6</v>
      </c>
      <c r="F443" s="10" t="n">
        <v>0.159</v>
      </c>
      <c r="G443" t="inlineStr">
        <is>
          <t>Invoice Discounting</t>
        </is>
      </c>
      <c r="H443" t="inlineStr">
        <is>
          <t>LO003</t>
        </is>
      </c>
      <c r="I443" t="inlineStr">
        <is>
          <t>Mobile App</t>
        </is>
      </c>
      <c r="J443">
        <f>INDEX('Data - Borrowers'!$B$2:$B$851, MATCH(B443, 'Data - Borrowers'!$A$2:$A$851, 0))</f>
        <v/>
      </c>
      <c r="K443">
        <f>INDEX('Data - Borrowers'!$C$2:$C$851, MATCH(B443, 'Data - Borrowers'!$A$2:$A$851, 0))</f>
        <v/>
      </c>
      <c r="L443">
        <f>IF(D443&lt;100000, "Micro (&lt;100K)", IF(D443&lt;500000, "Small (100K-500K)", "Medium (500K+)"))</f>
        <v/>
      </c>
      <c r="M443">
        <f>TEXT(C443, "yyyy-mm")</f>
        <v/>
      </c>
    </row>
    <row r="444">
      <c r="A444" t="inlineStr">
        <is>
          <t>LN200487</t>
        </is>
      </c>
      <c r="B444" t="inlineStr">
        <is>
          <t>BOR100370</t>
        </is>
      </c>
      <c r="C444" s="8" t="n">
        <v>46123</v>
      </c>
      <c r="D444" s="9" t="n">
        <v>84000</v>
      </c>
      <c r="E444" t="n">
        <v>18</v>
      </c>
      <c r="F444" s="10" t="n">
        <v>0.148</v>
      </c>
      <c r="G444" t="inlineStr">
        <is>
          <t>Working Capital</t>
        </is>
      </c>
      <c r="H444" t="inlineStr">
        <is>
          <t>LO018</t>
        </is>
      </c>
      <c r="I444" t="inlineStr">
        <is>
          <t>Mobile App</t>
        </is>
      </c>
      <c r="J444">
        <f>INDEX('Data - Borrowers'!$B$2:$B$851, MATCH(B444, 'Data - Borrowers'!$A$2:$A$851, 0))</f>
        <v/>
      </c>
      <c r="K444">
        <f>INDEX('Data - Borrowers'!$C$2:$C$851, MATCH(B444, 'Data - Borrowers'!$A$2:$A$851, 0))</f>
        <v/>
      </c>
      <c r="L444">
        <f>IF(D444&lt;100000, "Micro (&lt;100K)", IF(D444&lt;500000, "Small (100K-500K)", "Medium (500K+)"))</f>
        <v/>
      </c>
      <c r="M444">
        <f>TEXT(C444, "yyyy-mm")</f>
        <v/>
      </c>
    </row>
    <row r="445">
      <c r="A445" t="inlineStr">
        <is>
          <t>LN200488</t>
        </is>
      </c>
      <c r="B445" t="inlineStr">
        <is>
          <t>BOR100371</t>
        </is>
      </c>
      <c r="C445" s="8" t="n">
        <v>45834</v>
      </c>
      <c r="D445" s="9" t="n">
        <v>379000</v>
      </c>
      <c r="E445" t="n">
        <v>3</v>
      </c>
      <c r="F445" s="10" t="n">
        <v>0.182</v>
      </c>
      <c r="G445" t="inlineStr">
        <is>
          <t>Invoice Discounting</t>
        </is>
      </c>
      <c r="H445" t="inlineStr">
        <is>
          <t>LO016</t>
        </is>
      </c>
      <c r="I445" t="inlineStr">
        <is>
          <t>Branch</t>
        </is>
      </c>
      <c r="J445">
        <f>INDEX('Data - Borrowers'!$B$2:$B$851, MATCH(B445, 'Data - Borrowers'!$A$2:$A$851, 0))</f>
        <v/>
      </c>
      <c r="K445">
        <f>INDEX('Data - Borrowers'!$C$2:$C$851, MATCH(B445, 'Data - Borrowers'!$A$2:$A$851, 0))</f>
        <v/>
      </c>
      <c r="L445">
        <f>IF(D445&lt;100000, "Micro (&lt;100K)", IF(D445&lt;500000, "Small (100K-500K)", "Medium (500K+)"))</f>
        <v/>
      </c>
      <c r="M445">
        <f>TEXT(C445, "yyyy-mm")</f>
        <v/>
      </c>
    </row>
    <row r="446">
      <c r="A446" t="inlineStr">
        <is>
          <t>LN200489</t>
        </is>
      </c>
      <c r="B446" t="inlineStr">
        <is>
          <t>BOR100371</t>
        </is>
      </c>
      <c r="C446" s="8" t="n">
        <v>46106</v>
      </c>
      <c r="D446" s="9" t="n">
        <v>400000</v>
      </c>
      <c r="E446" t="n">
        <v>18</v>
      </c>
      <c r="F446" s="10" t="n">
        <v>0.164</v>
      </c>
      <c r="G446" t="inlineStr">
        <is>
          <t>Working Capital</t>
        </is>
      </c>
      <c r="H446" t="inlineStr">
        <is>
          <t>LO001</t>
        </is>
      </c>
      <c r="I446" t="inlineStr">
        <is>
          <t>Mobile App</t>
        </is>
      </c>
      <c r="J446">
        <f>INDEX('Data - Borrowers'!$B$2:$B$851, MATCH(B446, 'Data - Borrowers'!$A$2:$A$851, 0))</f>
        <v/>
      </c>
      <c r="K446">
        <f>INDEX('Data - Borrowers'!$C$2:$C$851, MATCH(B446, 'Data - Borrowers'!$A$2:$A$851, 0))</f>
        <v/>
      </c>
      <c r="L446">
        <f>IF(D446&lt;100000, "Micro (&lt;100K)", IF(D446&lt;500000, "Small (100K-500K)", "Medium (500K+)"))</f>
        <v/>
      </c>
      <c r="M446">
        <f>TEXT(C446, "yyyy-mm")</f>
        <v/>
      </c>
    </row>
    <row r="447">
      <c r="A447" t="inlineStr">
        <is>
          <t>LN200490</t>
        </is>
      </c>
      <c r="B447" t="inlineStr">
        <is>
          <t>BOR100372</t>
        </is>
      </c>
      <c r="C447" s="8" t="n">
        <v>46203</v>
      </c>
      <c r="D447" s="9" t="n">
        <v>31000</v>
      </c>
      <c r="E447" t="n">
        <v>6</v>
      </c>
      <c r="F447" s="10" t="n">
        <v>0.167</v>
      </c>
      <c r="G447" t="inlineStr">
        <is>
          <t>Working Capital</t>
        </is>
      </c>
      <c r="H447" t="inlineStr">
        <is>
          <t>LO004</t>
        </is>
      </c>
      <c r="I447" t="inlineStr">
        <is>
          <t>Branch</t>
        </is>
      </c>
      <c r="J447">
        <f>INDEX('Data - Borrowers'!$B$2:$B$851, MATCH(B447, 'Data - Borrowers'!$A$2:$A$851, 0))</f>
        <v/>
      </c>
      <c r="K447">
        <f>INDEX('Data - Borrowers'!$C$2:$C$851, MATCH(B447, 'Data - Borrowers'!$A$2:$A$851, 0))</f>
        <v/>
      </c>
      <c r="L447">
        <f>IF(D447&lt;100000, "Micro (&lt;100K)", IF(D447&lt;500000, "Small (100K-500K)", "Medium (500K+)"))</f>
        <v/>
      </c>
      <c r="M447">
        <f>TEXT(C447, "yyyy-mm")</f>
        <v/>
      </c>
    </row>
    <row r="448">
      <c r="A448" t="inlineStr">
        <is>
          <t>LN200491</t>
        </is>
      </c>
      <c r="B448" t="inlineStr">
        <is>
          <t>BOR100373</t>
        </is>
      </c>
      <c r="C448" s="8" t="n">
        <v>45737</v>
      </c>
      <c r="D448" s="9" t="n">
        <v>209000</v>
      </c>
      <c r="E448" t="n">
        <v>3</v>
      </c>
      <c r="F448" s="10" t="n">
        <v>0.15</v>
      </c>
      <c r="G448" t="inlineStr">
        <is>
          <t>Asset Finance</t>
        </is>
      </c>
      <c r="H448" t="inlineStr">
        <is>
          <t>LO017</t>
        </is>
      </c>
      <c r="I448" t="inlineStr">
        <is>
          <t>Branch</t>
        </is>
      </c>
      <c r="J448">
        <f>INDEX('Data - Borrowers'!$B$2:$B$851, MATCH(B448, 'Data - Borrowers'!$A$2:$A$851, 0))</f>
        <v/>
      </c>
      <c r="K448">
        <f>INDEX('Data - Borrowers'!$C$2:$C$851, MATCH(B448, 'Data - Borrowers'!$A$2:$A$851, 0))</f>
        <v/>
      </c>
      <c r="L448">
        <f>IF(D448&lt;100000, "Micro (&lt;100K)", IF(D448&lt;500000, "Small (100K-500K)", "Medium (500K+)"))</f>
        <v/>
      </c>
      <c r="M448">
        <f>TEXT(C448, "yyyy-mm")</f>
        <v/>
      </c>
    </row>
    <row r="449">
      <c r="A449" t="inlineStr">
        <is>
          <t>LN200492</t>
        </is>
      </c>
      <c r="B449" t="inlineStr">
        <is>
          <t>BOR100373</t>
        </is>
      </c>
      <c r="C449" s="8" t="n">
        <v>46085</v>
      </c>
      <c r="D449" s="9" t="n">
        <v>243000</v>
      </c>
      <c r="E449" t="n">
        <v>12</v>
      </c>
      <c r="F449" s="10" t="n">
        <v>0.2</v>
      </c>
      <c r="G449" t="inlineStr">
        <is>
          <t>Working Capital</t>
        </is>
      </c>
      <c r="H449" t="inlineStr">
        <is>
          <t>LO010</t>
        </is>
      </c>
      <c r="I449" t="inlineStr">
        <is>
          <t>Partner Referral</t>
        </is>
      </c>
      <c r="J449">
        <f>INDEX('Data - Borrowers'!$B$2:$B$851, MATCH(B449, 'Data - Borrowers'!$A$2:$A$851, 0))</f>
        <v/>
      </c>
      <c r="K449">
        <f>INDEX('Data - Borrowers'!$C$2:$C$851, MATCH(B449, 'Data - Borrowers'!$A$2:$A$851, 0))</f>
        <v/>
      </c>
      <c r="L449">
        <f>IF(D449&lt;100000, "Micro (&lt;100K)", IF(D449&lt;500000, "Small (100K-500K)", "Medium (500K+)"))</f>
        <v/>
      </c>
      <c r="M449">
        <f>TEXT(C449, "yyyy-mm")</f>
        <v/>
      </c>
    </row>
    <row r="450">
      <c r="A450" t="inlineStr">
        <is>
          <t>LN200493</t>
        </is>
      </c>
      <c r="B450" t="inlineStr">
        <is>
          <t>BOR100374</t>
        </is>
      </c>
      <c r="C450" s="8" t="n">
        <v>46223</v>
      </c>
      <c r="D450" s="9" t="n">
        <v>74000</v>
      </c>
      <c r="E450" t="n">
        <v>6</v>
      </c>
      <c r="F450" s="10" t="n">
        <v>0.139</v>
      </c>
      <c r="G450" t="inlineStr">
        <is>
          <t>Asset Finance</t>
        </is>
      </c>
      <c r="H450" t="inlineStr">
        <is>
          <t>LO005</t>
        </is>
      </c>
      <c r="I450" t="inlineStr">
        <is>
          <t>Partner Referral</t>
        </is>
      </c>
      <c r="J450">
        <f>INDEX('Data - Borrowers'!$B$2:$B$851, MATCH(B450, 'Data - Borrowers'!$A$2:$A$851, 0))</f>
        <v/>
      </c>
      <c r="K450">
        <f>INDEX('Data - Borrowers'!$C$2:$C$851, MATCH(B450, 'Data - Borrowers'!$A$2:$A$851, 0))</f>
        <v/>
      </c>
      <c r="L450">
        <f>IF(D450&lt;100000, "Micro (&lt;100K)", IF(D450&lt;500000, "Small (100K-500K)", "Medium (500K+)"))</f>
        <v/>
      </c>
      <c r="M450">
        <f>TEXT(C450, "yyyy-mm")</f>
        <v/>
      </c>
    </row>
    <row r="451">
      <c r="A451" t="inlineStr">
        <is>
          <t>LN200495</t>
        </is>
      </c>
      <c r="B451" t="inlineStr">
        <is>
          <t>BOR100375</t>
        </is>
      </c>
      <c r="C451" s="8" t="n">
        <v>46077</v>
      </c>
      <c r="D451" s="9" t="n">
        <v>140000</v>
      </c>
      <c r="E451" t="n">
        <v>6</v>
      </c>
      <c r="F451" s="10" t="n">
        <v>0.231</v>
      </c>
      <c r="G451" t="inlineStr">
        <is>
          <t>Working Capital</t>
        </is>
      </c>
      <c r="H451" t="inlineStr">
        <is>
          <t>LO020</t>
        </is>
      </c>
      <c r="I451" t="inlineStr">
        <is>
          <t>Mobile App</t>
        </is>
      </c>
      <c r="J451">
        <f>INDEX('Data - Borrowers'!$B$2:$B$851, MATCH(B451, 'Data - Borrowers'!$A$2:$A$851, 0))</f>
        <v/>
      </c>
      <c r="K451">
        <f>INDEX('Data - Borrowers'!$C$2:$C$851, MATCH(B451, 'Data - Borrowers'!$A$2:$A$851, 0))</f>
        <v/>
      </c>
      <c r="L451">
        <f>IF(D451&lt;100000, "Micro (&lt;100K)", IF(D451&lt;500000, "Small (100K-500K)", "Medium (500K+)"))</f>
        <v/>
      </c>
      <c r="M451">
        <f>TEXT(C451, "yyyy-mm")</f>
        <v/>
      </c>
    </row>
    <row r="452">
      <c r="A452" t="inlineStr">
        <is>
          <t>LN200496</t>
        </is>
      </c>
      <c r="B452" t="inlineStr">
        <is>
          <t>BOR100376</t>
        </is>
      </c>
      <c r="C452" s="8" t="n">
        <v>45843</v>
      </c>
      <c r="D452" s="9" t="n">
        <v>83000</v>
      </c>
      <c r="E452" t="n">
        <v>6</v>
      </c>
      <c r="F452" s="10" t="n">
        <v>0.14</v>
      </c>
      <c r="G452" t="inlineStr">
        <is>
          <t>Working Capital</t>
        </is>
      </c>
      <c r="H452" t="inlineStr">
        <is>
          <t>LO004</t>
        </is>
      </c>
      <c r="I452" t="inlineStr">
        <is>
          <t>Partner Referral</t>
        </is>
      </c>
      <c r="J452">
        <f>INDEX('Data - Borrowers'!$B$2:$B$851, MATCH(B452, 'Data - Borrowers'!$A$2:$A$851, 0))</f>
        <v/>
      </c>
      <c r="K452">
        <f>INDEX('Data - Borrowers'!$C$2:$C$851, MATCH(B452, 'Data - Borrowers'!$A$2:$A$851, 0))</f>
        <v/>
      </c>
      <c r="L452">
        <f>IF(D452&lt;100000, "Micro (&lt;100K)", IF(D452&lt;500000, "Small (100K-500K)", "Medium (500K+)"))</f>
        <v/>
      </c>
      <c r="M452">
        <f>TEXT(C452, "yyyy-mm")</f>
        <v/>
      </c>
    </row>
    <row r="453">
      <c r="A453" t="inlineStr">
        <is>
          <t>LN200497</t>
        </is>
      </c>
      <c r="B453" t="inlineStr">
        <is>
          <t>BOR100377</t>
        </is>
      </c>
      <c r="C453" s="8" t="n">
        <v>45889</v>
      </c>
      <c r="D453" s="9" t="n">
        <v>112000</v>
      </c>
      <c r="E453" t="n">
        <v>9</v>
      </c>
      <c r="F453" s="10" t="n">
        <v>0.175</v>
      </c>
      <c r="G453" t="inlineStr">
        <is>
          <t>Working Capital</t>
        </is>
      </c>
      <c r="H453" t="inlineStr">
        <is>
          <t>LO019</t>
        </is>
      </c>
      <c r="I453" t="inlineStr">
        <is>
          <t>Branch</t>
        </is>
      </c>
      <c r="J453">
        <f>INDEX('Data - Borrowers'!$B$2:$B$851, MATCH(B453, 'Data - Borrowers'!$A$2:$A$851, 0))</f>
        <v/>
      </c>
      <c r="K453">
        <f>INDEX('Data - Borrowers'!$C$2:$C$851, MATCH(B453, 'Data - Borrowers'!$A$2:$A$851, 0))</f>
        <v/>
      </c>
      <c r="L453">
        <f>IF(D453&lt;100000, "Micro (&lt;100K)", IF(D453&lt;500000, "Small (100K-500K)", "Medium (500K+)"))</f>
        <v/>
      </c>
      <c r="M453">
        <f>TEXT(C453, "yyyy-mm")</f>
        <v/>
      </c>
    </row>
    <row r="454">
      <c r="A454" t="inlineStr">
        <is>
          <t>LN200498</t>
        </is>
      </c>
      <c r="B454" t="inlineStr">
        <is>
          <t>BOR100378</t>
        </is>
      </c>
      <c r="C454" s="8" t="n">
        <v>45662</v>
      </c>
      <c r="D454" s="9" t="n">
        <v>74000</v>
      </c>
      <c r="E454" t="n">
        <v>6</v>
      </c>
      <c r="F454" s="10" t="n">
        <v>0.161</v>
      </c>
      <c r="G454" t="inlineStr">
        <is>
          <t>Asset Finance</t>
        </is>
      </c>
      <c r="H454" t="inlineStr">
        <is>
          <t>LO025</t>
        </is>
      </c>
      <c r="I454" t="inlineStr">
        <is>
          <t>Mobile App</t>
        </is>
      </c>
      <c r="J454">
        <f>INDEX('Data - Borrowers'!$B$2:$B$851, MATCH(B454, 'Data - Borrowers'!$A$2:$A$851, 0))</f>
        <v/>
      </c>
      <c r="K454">
        <f>INDEX('Data - Borrowers'!$C$2:$C$851, MATCH(B454, 'Data - Borrowers'!$A$2:$A$851, 0))</f>
        <v/>
      </c>
      <c r="L454">
        <f>IF(D454&lt;100000, "Micro (&lt;100K)", IF(D454&lt;500000, "Small (100K-500K)", "Medium (500K+)"))</f>
        <v/>
      </c>
      <c r="M454">
        <f>TEXT(C454, "yyyy-mm")</f>
        <v/>
      </c>
    </row>
    <row r="455">
      <c r="A455" t="inlineStr">
        <is>
          <t>LN200499</t>
        </is>
      </c>
      <c r="B455" t="inlineStr">
        <is>
          <t>BOR100379</t>
        </is>
      </c>
      <c r="C455" s="8" t="n">
        <v>46065</v>
      </c>
      <c r="D455" s="9" t="n">
        <v>26000</v>
      </c>
      <c r="E455" t="n">
        <v>12</v>
      </c>
      <c r="F455" s="10" t="n">
        <v>0.203</v>
      </c>
      <c r="G455" t="inlineStr">
        <is>
          <t>Working Capital</t>
        </is>
      </c>
      <c r="H455" t="inlineStr">
        <is>
          <t>LO011</t>
        </is>
      </c>
      <c r="I455" t="inlineStr">
        <is>
          <t>Mobile App</t>
        </is>
      </c>
      <c r="J455">
        <f>INDEX('Data - Borrowers'!$B$2:$B$851, MATCH(B455, 'Data - Borrowers'!$A$2:$A$851, 0))</f>
        <v/>
      </c>
      <c r="K455">
        <f>INDEX('Data - Borrowers'!$C$2:$C$851, MATCH(B455, 'Data - Borrowers'!$A$2:$A$851, 0))</f>
        <v/>
      </c>
      <c r="L455">
        <f>IF(D455&lt;100000, "Micro (&lt;100K)", IF(D455&lt;500000, "Small (100K-500K)", "Medium (500K+)"))</f>
        <v/>
      </c>
      <c r="M455">
        <f>TEXT(C455, "yyyy-mm")</f>
        <v/>
      </c>
    </row>
    <row r="456">
      <c r="A456" t="inlineStr">
        <is>
          <t>LN200500</t>
        </is>
      </c>
      <c r="B456" t="inlineStr">
        <is>
          <t>BOR100380</t>
        </is>
      </c>
      <c r="C456" s="8" t="n">
        <v>46043</v>
      </c>
      <c r="D456" s="9" t="n">
        <v>50000</v>
      </c>
      <c r="E456" t="n">
        <v>6</v>
      </c>
      <c r="F456" s="10" t="n">
        <v>0.157</v>
      </c>
      <c r="G456" t="inlineStr">
        <is>
          <t>Invoice Discounting</t>
        </is>
      </c>
      <c r="H456" t="inlineStr">
        <is>
          <t>LO025</t>
        </is>
      </c>
      <c r="I456" t="inlineStr">
        <is>
          <t>Branch</t>
        </is>
      </c>
      <c r="J456">
        <f>INDEX('Data - Borrowers'!$B$2:$B$851, MATCH(B456, 'Data - Borrowers'!$A$2:$A$851, 0))</f>
        <v/>
      </c>
      <c r="K456">
        <f>INDEX('Data - Borrowers'!$C$2:$C$851, MATCH(B456, 'Data - Borrowers'!$A$2:$A$851, 0))</f>
        <v/>
      </c>
      <c r="L456">
        <f>IF(D456&lt;100000, "Micro (&lt;100K)", IF(D456&lt;500000, "Small (100K-500K)", "Medium (500K+)"))</f>
        <v/>
      </c>
      <c r="M456">
        <f>TEXT(C456, "yyyy-mm")</f>
        <v/>
      </c>
    </row>
    <row r="457">
      <c r="A457" t="inlineStr">
        <is>
          <t>LN200501</t>
        </is>
      </c>
      <c r="B457" t="inlineStr">
        <is>
          <t>BOR100380</t>
        </is>
      </c>
      <c r="C457" s="8" t="n">
        <v>46173</v>
      </c>
      <c r="D457" s="9" t="n">
        <v>110000</v>
      </c>
      <c r="E457" t="n">
        <v>6</v>
      </c>
      <c r="F457" s="10" t="n">
        <v>0.124</v>
      </c>
      <c r="G457" t="inlineStr">
        <is>
          <t>Invoice Discounting</t>
        </is>
      </c>
      <c r="H457" t="inlineStr">
        <is>
          <t>LO023</t>
        </is>
      </c>
      <c r="I457" t="inlineStr">
        <is>
          <t>Branch</t>
        </is>
      </c>
      <c r="J457">
        <f>INDEX('Data - Borrowers'!$B$2:$B$851, MATCH(B457, 'Data - Borrowers'!$A$2:$A$851, 0))</f>
        <v/>
      </c>
      <c r="K457">
        <f>INDEX('Data - Borrowers'!$C$2:$C$851, MATCH(B457, 'Data - Borrowers'!$A$2:$A$851, 0))</f>
        <v/>
      </c>
      <c r="L457">
        <f>IF(D457&lt;100000, "Micro (&lt;100K)", IF(D457&lt;500000, "Small (100K-500K)", "Medium (500K+)"))</f>
        <v/>
      </c>
      <c r="M457">
        <f>TEXT(C457, "yyyy-mm")</f>
        <v/>
      </c>
    </row>
    <row r="458">
      <c r="A458" t="inlineStr">
        <is>
          <t>LN200503</t>
        </is>
      </c>
      <c r="B458" t="inlineStr">
        <is>
          <t>BOR100381</t>
        </is>
      </c>
      <c r="C458" s="8" t="n">
        <v>45694</v>
      </c>
      <c r="D458" s="9" t="n">
        <v>236000</v>
      </c>
      <c r="E458" t="n">
        <v>3</v>
      </c>
      <c r="F458" s="10" t="n">
        <v>0.188</v>
      </c>
      <c r="G458" t="inlineStr">
        <is>
          <t>Invoice Discounting</t>
        </is>
      </c>
      <c r="H458" t="inlineStr">
        <is>
          <t>LO017</t>
        </is>
      </c>
      <c r="I458" t="inlineStr">
        <is>
          <t>Mobile App</t>
        </is>
      </c>
      <c r="J458">
        <f>INDEX('Data - Borrowers'!$B$2:$B$851, MATCH(B458, 'Data - Borrowers'!$A$2:$A$851, 0))</f>
        <v/>
      </c>
      <c r="K458">
        <f>INDEX('Data - Borrowers'!$C$2:$C$851, MATCH(B458, 'Data - Borrowers'!$A$2:$A$851, 0))</f>
        <v/>
      </c>
      <c r="L458">
        <f>IF(D458&lt;100000, "Micro (&lt;100K)", IF(D458&lt;500000, "Small (100K-500K)", "Medium (500K+)"))</f>
        <v/>
      </c>
      <c r="M458">
        <f>TEXT(C458, "yyyy-mm")</f>
        <v/>
      </c>
    </row>
    <row r="459">
      <c r="A459" t="inlineStr">
        <is>
          <t>LN200504</t>
        </is>
      </c>
      <c r="B459" t="inlineStr">
        <is>
          <t>BOR100381</t>
        </is>
      </c>
      <c r="C459" s="8" t="n">
        <v>45999</v>
      </c>
      <c r="D459" s="9" t="n">
        <v>208000</v>
      </c>
      <c r="E459" t="n">
        <v>3</v>
      </c>
      <c r="F459" s="10" t="n">
        <v>0.146</v>
      </c>
      <c r="G459" t="inlineStr">
        <is>
          <t>Asset Finance</t>
        </is>
      </c>
      <c r="H459" t="inlineStr">
        <is>
          <t>LO005</t>
        </is>
      </c>
      <c r="I459" t="inlineStr">
        <is>
          <t>Branch</t>
        </is>
      </c>
      <c r="J459">
        <f>INDEX('Data - Borrowers'!$B$2:$B$851, MATCH(B459, 'Data - Borrowers'!$A$2:$A$851, 0))</f>
        <v/>
      </c>
      <c r="K459">
        <f>INDEX('Data - Borrowers'!$C$2:$C$851, MATCH(B459, 'Data - Borrowers'!$A$2:$A$851, 0))</f>
        <v/>
      </c>
      <c r="L459">
        <f>IF(D459&lt;100000, "Micro (&lt;100K)", IF(D459&lt;500000, "Small (100K-500K)", "Medium (500K+)"))</f>
        <v/>
      </c>
      <c r="M459">
        <f>TEXT(C459, "yyyy-mm")</f>
        <v/>
      </c>
    </row>
    <row r="460">
      <c r="A460" t="inlineStr">
        <is>
          <t>LN200505</t>
        </is>
      </c>
      <c r="B460" t="inlineStr">
        <is>
          <t>BOR100382</t>
        </is>
      </c>
      <c r="C460" s="8" t="n">
        <v>45871</v>
      </c>
      <c r="D460" s="9" t="n">
        <v>90000</v>
      </c>
      <c r="E460" t="n">
        <v>9</v>
      </c>
      <c r="F460" s="10" t="n">
        <v>0.188</v>
      </c>
      <c r="G460" t="inlineStr">
        <is>
          <t>Working Capital</t>
        </is>
      </c>
      <c r="H460" t="inlineStr">
        <is>
          <t>LO003</t>
        </is>
      </c>
      <c r="I460" t="inlineStr">
        <is>
          <t>Branch</t>
        </is>
      </c>
      <c r="J460">
        <f>INDEX('Data - Borrowers'!$B$2:$B$851, MATCH(B460, 'Data - Borrowers'!$A$2:$A$851, 0))</f>
        <v/>
      </c>
      <c r="K460">
        <f>INDEX('Data - Borrowers'!$C$2:$C$851, MATCH(B460, 'Data - Borrowers'!$A$2:$A$851, 0))</f>
        <v/>
      </c>
      <c r="L460">
        <f>IF(D460&lt;100000, "Micro (&lt;100K)", IF(D460&lt;500000, "Small (100K-500K)", "Medium (500K+)"))</f>
        <v/>
      </c>
      <c r="M460">
        <f>TEXT(C460, "yyyy-mm")</f>
        <v/>
      </c>
    </row>
    <row r="461">
      <c r="A461" t="inlineStr">
        <is>
          <t>LN200506</t>
        </is>
      </c>
      <c r="B461" t="inlineStr">
        <is>
          <t>BOR100382</t>
        </is>
      </c>
      <c r="C461" s="8" t="n">
        <v>46146</v>
      </c>
      <c r="D461" s="9" t="n">
        <v>182000</v>
      </c>
      <c r="E461" t="n">
        <v>6</v>
      </c>
      <c r="F461" s="10" t="n">
        <v>0.137</v>
      </c>
      <c r="G461" t="inlineStr">
        <is>
          <t>Invoice Discounting</t>
        </is>
      </c>
      <c r="H461" t="inlineStr">
        <is>
          <t>LO005</t>
        </is>
      </c>
      <c r="I461" t="inlineStr">
        <is>
          <t>Mobile App</t>
        </is>
      </c>
      <c r="J461">
        <f>INDEX('Data - Borrowers'!$B$2:$B$851, MATCH(B461, 'Data - Borrowers'!$A$2:$A$851, 0))</f>
        <v/>
      </c>
      <c r="K461">
        <f>INDEX('Data - Borrowers'!$C$2:$C$851, MATCH(B461, 'Data - Borrowers'!$A$2:$A$851, 0))</f>
        <v/>
      </c>
      <c r="L461">
        <f>IF(D461&lt;100000, "Micro (&lt;100K)", IF(D461&lt;500000, "Small (100K-500K)", "Medium (500K+)"))</f>
        <v/>
      </c>
      <c r="M461">
        <f>TEXT(C461, "yyyy-mm")</f>
        <v/>
      </c>
    </row>
    <row r="462">
      <c r="A462" t="inlineStr">
        <is>
          <t>LN200507</t>
        </is>
      </c>
      <c r="B462" t="inlineStr">
        <is>
          <t>BOR100383</t>
        </is>
      </c>
      <c r="C462" s="8" t="n">
        <v>45671</v>
      </c>
      <c r="D462" s="9" t="n">
        <v>235000</v>
      </c>
      <c r="E462" t="n">
        <v>12</v>
      </c>
      <c r="F462" s="10" t="n">
        <v>0.183</v>
      </c>
      <c r="G462" t="inlineStr">
        <is>
          <t>Invoice Discounting</t>
        </is>
      </c>
      <c r="H462" t="inlineStr">
        <is>
          <t>LO017</t>
        </is>
      </c>
      <c r="I462" t="inlineStr">
        <is>
          <t>Branch</t>
        </is>
      </c>
      <c r="J462">
        <f>INDEX('Data - Borrowers'!$B$2:$B$851, MATCH(B462, 'Data - Borrowers'!$A$2:$A$851, 0))</f>
        <v/>
      </c>
      <c r="K462">
        <f>INDEX('Data - Borrowers'!$C$2:$C$851, MATCH(B462, 'Data - Borrowers'!$A$2:$A$851, 0))</f>
        <v/>
      </c>
      <c r="L462">
        <f>IF(D462&lt;100000, "Micro (&lt;100K)", IF(D462&lt;500000, "Small (100K-500K)", "Medium (500K+)"))</f>
        <v/>
      </c>
      <c r="M462">
        <f>TEXT(C462, "yyyy-mm")</f>
        <v/>
      </c>
    </row>
    <row r="463">
      <c r="A463" t="inlineStr">
        <is>
          <t>LN200508</t>
        </is>
      </c>
      <c r="B463" t="inlineStr">
        <is>
          <t>BOR100383</t>
        </is>
      </c>
      <c r="C463" s="8" t="n">
        <v>46175</v>
      </c>
      <c r="D463" s="9" t="n">
        <v>222000</v>
      </c>
      <c r="E463" t="n">
        <v>3</v>
      </c>
      <c r="F463" s="10" t="n">
        <v>0.228</v>
      </c>
      <c r="G463" t="inlineStr">
        <is>
          <t>Invoice Discounting</t>
        </is>
      </c>
      <c r="H463" t="inlineStr">
        <is>
          <t>LO003</t>
        </is>
      </c>
      <c r="I463" t="inlineStr">
        <is>
          <t>Mobile App</t>
        </is>
      </c>
      <c r="J463">
        <f>INDEX('Data - Borrowers'!$B$2:$B$851, MATCH(B463, 'Data - Borrowers'!$A$2:$A$851, 0))</f>
        <v/>
      </c>
      <c r="K463">
        <f>INDEX('Data - Borrowers'!$C$2:$C$851, MATCH(B463, 'Data - Borrowers'!$A$2:$A$851, 0))</f>
        <v/>
      </c>
      <c r="L463">
        <f>IF(D463&lt;100000, "Micro (&lt;100K)", IF(D463&lt;500000, "Small (100K-500K)", "Medium (500K+)"))</f>
        <v/>
      </c>
      <c r="M463">
        <f>TEXT(C463, "yyyy-mm")</f>
        <v/>
      </c>
    </row>
    <row r="464">
      <c r="A464" t="inlineStr">
        <is>
          <t>LN200509</t>
        </is>
      </c>
      <c r="B464" t="inlineStr">
        <is>
          <t>BOR100384</t>
        </is>
      </c>
      <c r="C464" s="8" t="n">
        <v>45877</v>
      </c>
      <c r="D464" s="9" t="n">
        <v>77000</v>
      </c>
      <c r="E464" t="n">
        <v>3</v>
      </c>
      <c r="F464" s="10" t="n">
        <v>0.16</v>
      </c>
      <c r="G464" t="inlineStr">
        <is>
          <t>Invoice Discounting</t>
        </is>
      </c>
      <c r="H464" t="inlineStr">
        <is>
          <t>LO014</t>
        </is>
      </c>
      <c r="I464" t="inlineStr">
        <is>
          <t>Mobile App</t>
        </is>
      </c>
      <c r="J464">
        <f>INDEX('Data - Borrowers'!$B$2:$B$851, MATCH(B464, 'Data - Borrowers'!$A$2:$A$851, 0))</f>
        <v/>
      </c>
      <c r="K464">
        <f>INDEX('Data - Borrowers'!$C$2:$C$851, MATCH(B464, 'Data - Borrowers'!$A$2:$A$851, 0))</f>
        <v/>
      </c>
      <c r="L464">
        <f>IF(D464&lt;100000, "Micro (&lt;100K)", IF(D464&lt;500000, "Small (100K-500K)", "Medium (500K+)"))</f>
        <v/>
      </c>
      <c r="M464">
        <f>TEXT(C464, "yyyy-mm")</f>
        <v/>
      </c>
    </row>
    <row r="465">
      <c r="A465" t="inlineStr">
        <is>
          <t>LN200510</t>
        </is>
      </c>
      <c r="B465" t="inlineStr">
        <is>
          <t>BOR100385</t>
        </is>
      </c>
      <c r="C465" s="8" t="n">
        <v>45898</v>
      </c>
      <c r="D465" s="9" t="n">
        <v>44000</v>
      </c>
      <c r="E465" t="n">
        <v>6</v>
      </c>
      <c r="F465" s="10" t="n">
        <v>0.189</v>
      </c>
      <c r="G465" t="inlineStr">
        <is>
          <t>Working Capital</t>
        </is>
      </c>
      <c r="H465" t="inlineStr">
        <is>
          <t>LO014</t>
        </is>
      </c>
      <c r="I465" t="inlineStr">
        <is>
          <t>Branch</t>
        </is>
      </c>
      <c r="J465">
        <f>INDEX('Data - Borrowers'!$B$2:$B$851, MATCH(B465, 'Data - Borrowers'!$A$2:$A$851, 0))</f>
        <v/>
      </c>
      <c r="K465">
        <f>INDEX('Data - Borrowers'!$C$2:$C$851, MATCH(B465, 'Data - Borrowers'!$A$2:$A$851, 0))</f>
        <v/>
      </c>
      <c r="L465">
        <f>IF(D465&lt;100000, "Micro (&lt;100K)", IF(D465&lt;500000, "Small (100K-500K)", "Medium (500K+)"))</f>
        <v/>
      </c>
      <c r="M465">
        <f>TEXT(C465, "yyyy-mm")</f>
        <v/>
      </c>
    </row>
    <row r="466">
      <c r="A466" t="inlineStr">
        <is>
          <t>LN200511</t>
        </is>
      </c>
      <c r="B466" t="inlineStr">
        <is>
          <t>BOR100386</t>
        </is>
      </c>
      <c r="C466" s="8" t="n">
        <v>45903</v>
      </c>
      <c r="D466" s="9" t="n">
        <v>53000</v>
      </c>
      <c r="E466" t="n">
        <v>6</v>
      </c>
      <c r="F466" s="10" t="n">
        <v>0.133</v>
      </c>
      <c r="G466" t="inlineStr">
        <is>
          <t>Working Capital</t>
        </is>
      </c>
      <c r="H466" t="inlineStr">
        <is>
          <t>LO011</t>
        </is>
      </c>
      <c r="I466" t="inlineStr">
        <is>
          <t>Mobile App</t>
        </is>
      </c>
      <c r="J466">
        <f>INDEX('Data - Borrowers'!$B$2:$B$851, MATCH(B466, 'Data - Borrowers'!$A$2:$A$851, 0))</f>
        <v/>
      </c>
      <c r="K466">
        <f>INDEX('Data - Borrowers'!$C$2:$C$851, MATCH(B466, 'Data - Borrowers'!$A$2:$A$851, 0))</f>
        <v/>
      </c>
      <c r="L466">
        <f>IF(D466&lt;100000, "Micro (&lt;100K)", IF(D466&lt;500000, "Small (100K-500K)", "Medium (500K+)"))</f>
        <v/>
      </c>
      <c r="M466">
        <f>TEXT(C466, "yyyy-mm")</f>
        <v/>
      </c>
    </row>
    <row r="467">
      <c r="A467" t="inlineStr">
        <is>
          <t>LN200512</t>
        </is>
      </c>
      <c r="B467" t="inlineStr">
        <is>
          <t>BOR100386</t>
        </is>
      </c>
      <c r="C467" s="8" t="n">
        <v>46098</v>
      </c>
      <c r="D467" s="9" t="n">
        <v>54000</v>
      </c>
      <c r="E467" t="n">
        <v>18</v>
      </c>
      <c r="F467" s="10" t="n">
        <v>0.172</v>
      </c>
      <c r="G467" t="inlineStr">
        <is>
          <t>Working Capital</t>
        </is>
      </c>
      <c r="H467" t="inlineStr">
        <is>
          <t>LO015</t>
        </is>
      </c>
      <c r="I467" t="inlineStr">
        <is>
          <t>Branch</t>
        </is>
      </c>
      <c r="J467">
        <f>INDEX('Data - Borrowers'!$B$2:$B$851, MATCH(B467, 'Data - Borrowers'!$A$2:$A$851, 0))</f>
        <v/>
      </c>
      <c r="K467">
        <f>INDEX('Data - Borrowers'!$C$2:$C$851, MATCH(B467, 'Data - Borrowers'!$A$2:$A$851, 0))</f>
        <v/>
      </c>
      <c r="L467">
        <f>IF(D467&lt;100000, "Micro (&lt;100K)", IF(D467&lt;500000, "Small (100K-500K)", "Medium (500K+)"))</f>
        <v/>
      </c>
      <c r="M467">
        <f>TEXT(C467, "yyyy-mm")</f>
        <v/>
      </c>
    </row>
    <row r="468">
      <c r="A468" t="inlineStr">
        <is>
          <t>LN200513</t>
        </is>
      </c>
      <c r="B468" t="inlineStr">
        <is>
          <t>BOR100387</t>
        </is>
      </c>
      <c r="C468" s="8" t="n">
        <v>45985</v>
      </c>
      <c r="D468" s="9" t="n">
        <v>70000</v>
      </c>
      <c r="E468" t="n">
        <v>9</v>
      </c>
      <c r="F468" s="10" t="n">
        <v>0.185</v>
      </c>
      <c r="G468" t="inlineStr">
        <is>
          <t>Working Capital</t>
        </is>
      </c>
      <c r="H468" t="inlineStr">
        <is>
          <t>LO017</t>
        </is>
      </c>
      <c r="I468" t="inlineStr">
        <is>
          <t>Branch</t>
        </is>
      </c>
      <c r="J468">
        <f>INDEX('Data - Borrowers'!$B$2:$B$851, MATCH(B468, 'Data - Borrowers'!$A$2:$A$851, 0))</f>
        <v/>
      </c>
      <c r="K468">
        <f>INDEX('Data - Borrowers'!$C$2:$C$851, MATCH(B468, 'Data - Borrowers'!$A$2:$A$851, 0))</f>
        <v/>
      </c>
      <c r="L468">
        <f>IF(D468&lt;100000, "Micro (&lt;100K)", IF(D468&lt;500000, "Small (100K-500K)", "Medium (500K+)"))</f>
        <v/>
      </c>
      <c r="M468">
        <f>TEXT(C468, "yyyy-mm")</f>
        <v/>
      </c>
    </row>
    <row r="469">
      <c r="A469" t="inlineStr">
        <is>
          <t>LN200514</t>
        </is>
      </c>
      <c r="B469" t="inlineStr">
        <is>
          <t>BOR100388</t>
        </is>
      </c>
      <c r="C469" s="8" t="n">
        <v>45974</v>
      </c>
      <c r="D469" s="9" t="n">
        <v>82000</v>
      </c>
      <c r="E469" t="n">
        <v>6</v>
      </c>
      <c r="F469" s="10" t="n">
        <v>0.191</v>
      </c>
      <c r="G469" t="inlineStr">
        <is>
          <t>Asset Finance</t>
        </is>
      </c>
      <c r="H469" t="inlineStr">
        <is>
          <t>LO014</t>
        </is>
      </c>
      <c r="I469" t="inlineStr">
        <is>
          <t>Partner Referral</t>
        </is>
      </c>
      <c r="J469">
        <f>INDEX('Data - Borrowers'!$B$2:$B$851, MATCH(B469, 'Data - Borrowers'!$A$2:$A$851, 0))</f>
        <v/>
      </c>
      <c r="K469">
        <f>INDEX('Data - Borrowers'!$C$2:$C$851, MATCH(B469, 'Data - Borrowers'!$A$2:$A$851, 0))</f>
        <v/>
      </c>
      <c r="L469">
        <f>IF(D469&lt;100000, "Micro (&lt;100K)", IF(D469&lt;500000, "Small (100K-500K)", "Medium (500K+)"))</f>
        <v/>
      </c>
      <c r="M469">
        <f>TEXT(C469, "yyyy-mm")</f>
        <v/>
      </c>
    </row>
    <row r="470">
      <c r="A470" t="inlineStr">
        <is>
          <t>LN200515</t>
        </is>
      </c>
      <c r="B470" t="inlineStr">
        <is>
          <t>BOR100388</t>
        </is>
      </c>
      <c r="C470" s="8" t="n">
        <v>46234</v>
      </c>
      <c r="D470" s="9" t="n">
        <v>207000</v>
      </c>
      <c r="E470" t="n">
        <v>9</v>
      </c>
      <c r="F470" s="10" t="n">
        <v>0.202</v>
      </c>
      <c r="G470" t="inlineStr">
        <is>
          <t>Working Capital</t>
        </is>
      </c>
      <c r="H470" t="inlineStr">
        <is>
          <t>LO021</t>
        </is>
      </c>
      <c r="I470" t="inlineStr">
        <is>
          <t>Branch</t>
        </is>
      </c>
      <c r="J470">
        <f>INDEX('Data - Borrowers'!$B$2:$B$851, MATCH(B470, 'Data - Borrowers'!$A$2:$A$851, 0))</f>
        <v/>
      </c>
      <c r="K470">
        <f>INDEX('Data - Borrowers'!$C$2:$C$851, MATCH(B470, 'Data - Borrowers'!$A$2:$A$851, 0))</f>
        <v/>
      </c>
      <c r="L470">
        <f>IF(D470&lt;100000, "Micro (&lt;100K)", IF(D470&lt;500000, "Small (100K-500K)", "Medium (500K+)"))</f>
        <v/>
      </c>
      <c r="M470">
        <f>TEXT(C470, "yyyy-mm")</f>
        <v/>
      </c>
    </row>
    <row r="471">
      <c r="A471" t="inlineStr">
        <is>
          <t>LN200517</t>
        </is>
      </c>
      <c r="B471" t="inlineStr">
        <is>
          <t>BOR100389</t>
        </is>
      </c>
      <c r="C471" s="8" t="n">
        <v>45947</v>
      </c>
      <c r="D471" s="9" t="n">
        <v>150000</v>
      </c>
      <c r="E471" t="n">
        <v>3</v>
      </c>
      <c r="F471" s="10" t="n">
        <v>0.233</v>
      </c>
      <c r="G471" t="inlineStr">
        <is>
          <t>Working Capital</t>
        </is>
      </c>
      <c r="H471" t="inlineStr">
        <is>
          <t>LO024</t>
        </is>
      </c>
      <c r="I471" t="inlineStr">
        <is>
          <t>Mobile App</t>
        </is>
      </c>
      <c r="J471">
        <f>INDEX('Data - Borrowers'!$B$2:$B$851, MATCH(B471, 'Data - Borrowers'!$A$2:$A$851, 0))</f>
        <v/>
      </c>
      <c r="K471">
        <f>INDEX('Data - Borrowers'!$C$2:$C$851, MATCH(B471, 'Data - Borrowers'!$A$2:$A$851, 0))</f>
        <v/>
      </c>
      <c r="L471">
        <f>IF(D471&lt;100000, "Micro (&lt;100K)", IF(D471&lt;500000, "Small (100K-500K)", "Medium (500K+)"))</f>
        <v/>
      </c>
      <c r="M471">
        <f>TEXT(C471, "yyyy-mm")</f>
        <v/>
      </c>
    </row>
    <row r="472">
      <c r="A472" t="inlineStr">
        <is>
          <t>LN200518</t>
        </is>
      </c>
      <c r="B472" t="inlineStr">
        <is>
          <t>BOR100390</t>
        </is>
      </c>
      <c r="C472" s="8" t="n">
        <v>46153</v>
      </c>
      <c r="D472" s="9" t="n">
        <v>54000</v>
      </c>
      <c r="E472" t="n">
        <v>12</v>
      </c>
      <c r="F472" s="10" t="n">
        <v>0.236</v>
      </c>
      <c r="G472" t="inlineStr">
        <is>
          <t>Working Capital</t>
        </is>
      </c>
      <c r="H472" t="inlineStr">
        <is>
          <t>LO004</t>
        </is>
      </c>
      <c r="I472" t="inlineStr">
        <is>
          <t>Branch</t>
        </is>
      </c>
      <c r="J472">
        <f>INDEX('Data - Borrowers'!$B$2:$B$851, MATCH(B472, 'Data - Borrowers'!$A$2:$A$851, 0))</f>
        <v/>
      </c>
      <c r="K472">
        <f>INDEX('Data - Borrowers'!$C$2:$C$851, MATCH(B472, 'Data - Borrowers'!$A$2:$A$851, 0))</f>
        <v/>
      </c>
      <c r="L472">
        <f>IF(D472&lt;100000, "Micro (&lt;100K)", IF(D472&lt;500000, "Small (100K-500K)", "Medium (500K+)"))</f>
        <v/>
      </c>
      <c r="M472">
        <f>TEXT(C472, "yyyy-mm")</f>
        <v/>
      </c>
    </row>
    <row r="473">
      <c r="A473" t="inlineStr">
        <is>
          <t>LN200519</t>
        </is>
      </c>
      <c r="B473" t="inlineStr">
        <is>
          <t>BOR100391</t>
        </is>
      </c>
      <c r="C473" s="8" t="n">
        <v>45856</v>
      </c>
      <c r="D473" s="9" t="n">
        <v>189000</v>
      </c>
      <c r="E473" t="n">
        <v>18</v>
      </c>
      <c r="F473" s="10" t="n">
        <v>0.121</v>
      </c>
      <c r="G473" t="inlineStr">
        <is>
          <t>Working Capital</t>
        </is>
      </c>
      <c r="H473" t="inlineStr">
        <is>
          <t>LO006</t>
        </is>
      </c>
      <c r="I473" t="inlineStr">
        <is>
          <t>Partner Referral</t>
        </is>
      </c>
      <c r="J473">
        <f>INDEX('Data - Borrowers'!$B$2:$B$851, MATCH(B473, 'Data - Borrowers'!$A$2:$A$851, 0))</f>
        <v/>
      </c>
      <c r="K473">
        <f>INDEX('Data - Borrowers'!$C$2:$C$851, MATCH(B473, 'Data - Borrowers'!$A$2:$A$851, 0))</f>
        <v/>
      </c>
      <c r="L473">
        <f>IF(D473&lt;100000, "Micro (&lt;100K)", IF(D473&lt;500000, "Small (100K-500K)", "Medium (500K+)"))</f>
        <v/>
      </c>
      <c r="M473">
        <f>TEXT(C473, "yyyy-mm")</f>
        <v/>
      </c>
    </row>
    <row r="474">
      <c r="A474" t="inlineStr">
        <is>
          <t>LN200520</t>
        </is>
      </c>
      <c r="B474" t="inlineStr">
        <is>
          <t>BOR100391</t>
        </is>
      </c>
      <c r="C474" s="8" t="n">
        <v>46061</v>
      </c>
      <c r="D474" s="9" t="n">
        <v>152000</v>
      </c>
      <c r="E474" t="n">
        <v>12</v>
      </c>
      <c r="F474" s="10" t="n">
        <v>0.216</v>
      </c>
      <c r="G474" t="inlineStr">
        <is>
          <t>Asset Finance</t>
        </is>
      </c>
      <c r="H474" t="inlineStr">
        <is>
          <t>LO017</t>
        </is>
      </c>
      <c r="I474" t="inlineStr">
        <is>
          <t>Partner Referral</t>
        </is>
      </c>
      <c r="J474">
        <f>INDEX('Data - Borrowers'!$B$2:$B$851, MATCH(B474, 'Data - Borrowers'!$A$2:$A$851, 0))</f>
        <v/>
      </c>
      <c r="K474">
        <f>INDEX('Data - Borrowers'!$C$2:$C$851, MATCH(B474, 'Data - Borrowers'!$A$2:$A$851, 0))</f>
        <v/>
      </c>
      <c r="L474">
        <f>IF(D474&lt;100000, "Micro (&lt;100K)", IF(D474&lt;500000, "Small (100K-500K)", "Medium (500K+)"))</f>
        <v/>
      </c>
      <c r="M474">
        <f>TEXT(C474, "yyyy-mm")</f>
        <v/>
      </c>
    </row>
    <row r="475">
      <c r="A475" t="inlineStr">
        <is>
          <t>LN200521</t>
        </is>
      </c>
      <c r="B475" t="inlineStr">
        <is>
          <t>BOR100392</t>
        </is>
      </c>
      <c r="C475" s="8" t="n">
        <v>46071</v>
      </c>
      <c r="D475" s="9" t="n">
        <v>37000</v>
      </c>
      <c r="E475" t="n">
        <v>6</v>
      </c>
      <c r="F475" s="10" t="n">
        <v>0.224</v>
      </c>
      <c r="G475" t="inlineStr">
        <is>
          <t>Working Capital</t>
        </is>
      </c>
      <c r="H475" t="inlineStr">
        <is>
          <t>LO020</t>
        </is>
      </c>
      <c r="I475" t="inlineStr">
        <is>
          <t>Mobile App</t>
        </is>
      </c>
      <c r="J475">
        <f>INDEX('Data - Borrowers'!$B$2:$B$851, MATCH(B475, 'Data - Borrowers'!$A$2:$A$851, 0))</f>
        <v/>
      </c>
      <c r="K475">
        <f>INDEX('Data - Borrowers'!$C$2:$C$851, MATCH(B475, 'Data - Borrowers'!$A$2:$A$851, 0))</f>
        <v/>
      </c>
      <c r="L475">
        <f>IF(D475&lt;100000, "Micro (&lt;100K)", IF(D475&lt;500000, "Small (100K-500K)", "Medium (500K+)"))</f>
        <v/>
      </c>
      <c r="M475">
        <f>TEXT(C475, "yyyy-mm")</f>
        <v/>
      </c>
    </row>
    <row r="476">
      <c r="A476" t="inlineStr">
        <is>
          <t>LN200522</t>
        </is>
      </c>
      <c r="B476" t="inlineStr">
        <is>
          <t>BOR100393</t>
        </is>
      </c>
      <c r="C476" s="8" t="n">
        <v>46017</v>
      </c>
      <c r="D476" s="9" t="n">
        <v>346000</v>
      </c>
      <c r="E476" t="n">
        <v>12</v>
      </c>
      <c r="F476" s="10" t="n">
        <v>0.131</v>
      </c>
      <c r="G476" t="inlineStr">
        <is>
          <t>Working Capital</t>
        </is>
      </c>
      <c r="H476" t="inlineStr">
        <is>
          <t>LO018</t>
        </is>
      </c>
      <c r="I476" t="inlineStr">
        <is>
          <t>Mobile App</t>
        </is>
      </c>
      <c r="J476">
        <f>INDEX('Data - Borrowers'!$B$2:$B$851, MATCH(B476, 'Data - Borrowers'!$A$2:$A$851, 0))</f>
        <v/>
      </c>
      <c r="K476">
        <f>INDEX('Data - Borrowers'!$C$2:$C$851, MATCH(B476, 'Data - Borrowers'!$A$2:$A$851, 0))</f>
        <v/>
      </c>
      <c r="L476">
        <f>IF(D476&lt;100000, "Micro (&lt;100K)", IF(D476&lt;500000, "Small (100K-500K)", "Medium (500K+)"))</f>
        <v/>
      </c>
      <c r="M476">
        <f>TEXT(C476, "yyyy-mm")</f>
        <v/>
      </c>
    </row>
    <row r="477">
      <c r="A477" t="inlineStr">
        <is>
          <t>LN200523</t>
        </is>
      </c>
      <c r="B477" t="inlineStr">
        <is>
          <t>BOR100394</t>
        </is>
      </c>
      <c r="C477" s="8" t="n">
        <v>45949</v>
      </c>
      <c r="D477" s="9" t="n">
        <v>1090000</v>
      </c>
      <c r="E477" t="n">
        <v>18</v>
      </c>
      <c r="F477" s="10" t="n">
        <v>0.199</v>
      </c>
      <c r="G477" t="inlineStr">
        <is>
          <t>Working Capital</t>
        </is>
      </c>
      <c r="H477" t="inlineStr">
        <is>
          <t>LO005</t>
        </is>
      </c>
      <c r="I477" t="inlineStr">
        <is>
          <t>Branch</t>
        </is>
      </c>
      <c r="J477">
        <f>INDEX('Data - Borrowers'!$B$2:$B$851, MATCH(B477, 'Data - Borrowers'!$A$2:$A$851, 0))</f>
        <v/>
      </c>
      <c r="K477">
        <f>INDEX('Data - Borrowers'!$C$2:$C$851, MATCH(B477, 'Data - Borrowers'!$A$2:$A$851, 0))</f>
        <v/>
      </c>
      <c r="L477">
        <f>IF(D477&lt;100000, "Micro (&lt;100K)", IF(D477&lt;500000, "Small (100K-500K)", "Medium (500K+)"))</f>
        <v/>
      </c>
      <c r="M477">
        <f>TEXT(C477, "yyyy-mm")</f>
        <v/>
      </c>
    </row>
    <row r="478">
      <c r="A478" t="inlineStr">
        <is>
          <t>LN200524</t>
        </is>
      </c>
      <c r="B478" t="inlineStr">
        <is>
          <t>BOR100394</t>
        </is>
      </c>
      <c r="C478" s="8" t="n">
        <v>46218</v>
      </c>
      <c r="D478" s="9" t="n">
        <v>1045000</v>
      </c>
      <c r="E478" t="n">
        <v>9</v>
      </c>
      <c r="F478" s="10" t="n">
        <v>0.198</v>
      </c>
      <c r="G478" t="inlineStr">
        <is>
          <t>Asset Finance</t>
        </is>
      </c>
      <c r="H478" t="inlineStr">
        <is>
          <t>LO015</t>
        </is>
      </c>
      <c r="I478" t="inlineStr">
        <is>
          <t>Mobile App</t>
        </is>
      </c>
      <c r="J478">
        <f>INDEX('Data - Borrowers'!$B$2:$B$851, MATCH(B478, 'Data - Borrowers'!$A$2:$A$851, 0))</f>
        <v/>
      </c>
      <c r="K478">
        <f>INDEX('Data - Borrowers'!$C$2:$C$851, MATCH(B478, 'Data - Borrowers'!$A$2:$A$851, 0))</f>
        <v/>
      </c>
      <c r="L478">
        <f>IF(D478&lt;100000, "Micro (&lt;100K)", IF(D478&lt;500000, "Small (100K-500K)", "Medium (500K+)"))</f>
        <v/>
      </c>
      <c r="M478">
        <f>TEXT(C478, "yyyy-mm")</f>
        <v/>
      </c>
    </row>
    <row r="479">
      <c r="A479" t="inlineStr">
        <is>
          <t>LN200526</t>
        </is>
      </c>
      <c r="B479" t="inlineStr">
        <is>
          <t>BOR100395</t>
        </is>
      </c>
      <c r="C479" s="8" t="n">
        <v>46055</v>
      </c>
      <c r="D479" s="9" t="n">
        <v>176000</v>
      </c>
      <c r="E479" t="n">
        <v>6</v>
      </c>
      <c r="F479" s="10" t="n">
        <v>0.17</v>
      </c>
      <c r="G479" t="inlineStr">
        <is>
          <t>Working Capital</t>
        </is>
      </c>
      <c r="H479" t="inlineStr">
        <is>
          <t>LO014</t>
        </is>
      </c>
      <c r="I479" t="inlineStr">
        <is>
          <t>Mobile App</t>
        </is>
      </c>
      <c r="J479">
        <f>INDEX('Data - Borrowers'!$B$2:$B$851, MATCH(B479, 'Data - Borrowers'!$A$2:$A$851, 0))</f>
        <v/>
      </c>
      <c r="K479">
        <f>INDEX('Data - Borrowers'!$C$2:$C$851, MATCH(B479, 'Data - Borrowers'!$A$2:$A$851, 0))</f>
        <v/>
      </c>
      <c r="L479">
        <f>IF(D479&lt;100000, "Micro (&lt;100K)", IF(D479&lt;500000, "Small (100K-500K)", "Medium (500K+)"))</f>
        <v/>
      </c>
      <c r="M479">
        <f>TEXT(C479, "yyyy-mm")</f>
        <v/>
      </c>
    </row>
    <row r="480">
      <c r="A480" t="inlineStr">
        <is>
          <t>LN200527</t>
        </is>
      </c>
      <c r="B480" t="inlineStr">
        <is>
          <t>BOR100396</t>
        </is>
      </c>
      <c r="C480" s="8" t="n">
        <v>45882</v>
      </c>
      <c r="D480" s="9" t="n">
        <v>107000</v>
      </c>
      <c r="E480" t="n">
        <v>6</v>
      </c>
      <c r="F480" s="10" t="n">
        <v>0.217</v>
      </c>
      <c r="G480" t="inlineStr">
        <is>
          <t>Asset Finance</t>
        </is>
      </c>
      <c r="H480" t="inlineStr">
        <is>
          <t>LO006</t>
        </is>
      </c>
      <c r="I480" t="inlineStr">
        <is>
          <t>Mobile App</t>
        </is>
      </c>
      <c r="J480">
        <f>INDEX('Data - Borrowers'!$B$2:$B$851, MATCH(B480, 'Data - Borrowers'!$A$2:$A$851, 0))</f>
        <v/>
      </c>
      <c r="K480">
        <f>INDEX('Data - Borrowers'!$C$2:$C$851, MATCH(B480, 'Data - Borrowers'!$A$2:$A$851, 0))</f>
        <v/>
      </c>
      <c r="L480">
        <f>IF(D480&lt;100000, "Micro (&lt;100K)", IF(D480&lt;500000, "Small (100K-500K)", "Medium (500K+)"))</f>
        <v/>
      </c>
      <c r="M480">
        <f>TEXT(C480, "yyyy-mm")</f>
        <v/>
      </c>
    </row>
    <row r="481">
      <c r="A481" t="inlineStr">
        <is>
          <t>LN200528</t>
        </is>
      </c>
      <c r="B481" t="inlineStr">
        <is>
          <t>BOR100397</t>
        </is>
      </c>
      <c r="C481" s="8" t="n">
        <v>45990</v>
      </c>
      <c r="D481" s="9" t="n">
        <v>100000</v>
      </c>
      <c r="E481" t="n">
        <v>12</v>
      </c>
      <c r="F481" s="10" t="n">
        <v>0.233</v>
      </c>
      <c r="G481" t="inlineStr">
        <is>
          <t>Asset Finance</t>
        </is>
      </c>
      <c r="H481" t="inlineStr">
        <is>
          <t>LO021</t>
        </is>
      </c>
      <c r="I481" t="inlineStr">
        <is>
          <t>Mobile App</t>
        </is>
      </c>
      <c r="J481">
        <f>INDEX('Data - Borrowers'!$B$2:$B$851, MATCH(B481, 'Data - Borrowers'!$A$2:$A$851, 0))</f>
        <v/>
      </c>
      <c r="K481">
        <f>INDEX('Data - Borrowers'!$C$2:$C$851, MATCH(B481, 'Data - Borrowers'!$A$2:$A$851, 0))</f>
        <v/>
      </c>
      <c r="L481">
        <f>IF(D481&lt;100000, "Micro (&lt;100K)", IF(D481&lt;500000, "Small (100K-500K)", "Medium (500K+)"))</f>
        <v/>
      </c>
      <c r="M481">
        <f>TEXT(C481, "yyyy-mm")</f>
        <v/>
      </c>
    </row>
    <row r="482">
      <c r="A482" t="inlineStr">
        <is>
          <t>LN200529</t>
        </is>
      </c>
      <c r="B482" t="inlineStr">
        <is>
          <t>BOR100398</t>
        </is>
      </c>
      <c r="C482" s="8" t="n">
        <v>45725</v>
      </c>
      <c r="D482" s="9" t="n">
        <v>24000</v>
      </c>
      <c r="E482" t="n">
        <v>18</v>
      </c>
      <c r="F482" s="10" t="n">
        <v>0.227</v>
      </c>
      <c r="G482" t="inlineStr">
        <is>
          <t>Working Capital</t>
        </is>
      </c>
      <c r="H482" t="inlineStr">
        <is>
          <t>LO018</t>
        </is>
      </c>
      <c r="I482" t="inlineStr">
        <is>
          <t>Branch</t>
        </is>
      </c>
      <c r="J482">
        <f>INDEX('Data - Borrowers'!$B$2:$B$851, MATCH(B482, 'Data - Borrowers'!$A$2:$A$851, 0))</f>
        <v/>
      </c>
      <c r="K482">
        <f>INDEX('Data - Borrowers'!$C$2:$C$851, MATCH(B482, 'Data - Borrowers'!$A$2:$A$851, 0))</f>
        <v/>
      </c>
      <c r="L482">
        <f>IF(D482&lt;100000, "Micro (&lt;100K)", IF(D482&lt;500000, "Small (100K-500K)", "Medium (500K+)"))</f>
        <v/>
      </c>
      <c r="M482">
        <f>TEXT(C482, "yyyy-mm")</f>
        <v/>
      </c>
    </row>
    <row r="483">
      <c r="A483" t="inlineStr">
        <is>
          <t>LN200530</t>
        </is>
      </c>
      <c r="B483" t="inlineStr">
        <is>
          <t>BOR100398</t>
        </is>
      </c>
      <c r="C483" s="8" t="n">
        <v>46076</v>
      </c>
      <c r="D483" s="9" t="n">
        <v>30000</v>
      </c>
      <c r="E483" t="n">
        <v>12</v>
      </c>
      <c r="F483" s="10" t="n">
        <v>0.121</v>
      </c>
      <c r="G483" t="inlineStr">
        <is>
          <t>Working Capital</t>
        </is>
      </c>
      <c r="H483" t="inlineStr">
        <is>
          <t>LO023</t>
        </is>
      </c>
      <c r="I483" t="inlineStr">
        <is>
          <t>Branch</t>
        </is>
      </c>
      <c r="J483">
        <f>INDEX('Data - Borrowers'!$B$2:$B$851, MATCH(B483, 'Data - Borrowers'!$A$2:$A$851, 0))</f>
        <v/>
      </c>
      <c r="K483">
        <f>INDEX('Data - Borrowers'!$C$2:$C$851, MATCH(B483, 'Data - Borrowers'!$A$2:$A$851, 0))</f>
        <v/>
      </c>
      <c r="L483">
        <f>IF(D483&lt;100000, "Micro (&lt;100K)", IF(D483&lt;500000, "Small (100K-500K)", "Medium (500K+)"))</f>
        <v/>
      </c>
      <c r="M483">
        <f>TEXT(C483, "yyyy-mm")</f>
        <v/>
      </c>
    </row>
    <row r="484">
      <c r="A484" t="inlineStr">
        <is>
          <t>LN200531</t>
        </is>
      </c>
      <c r="B484" t="inlineStr">
        <is>
          <t>BOR100399</t>
        </is>
      </c>
      <c r="C484" s="8" t="n">
        <v>45668</v>
      </c>
      <c r="D484" s="9" t="n">
        <v>47000</v>
      </c>
      <c r="E484" t="n">
        <v>9</v>
      </c>
      <c r="F484" s="10" t="n">
        <v>0.188</v>
      </c>
      <c r="G484" t="inlineStr">
        <is>
          <t>Asset Finance</t>
        </is>
      </c>
      <c r="H484" t="inlineStr">
        <is>
          <t>LO016</t>
        </is>
      </c>
      <c r="I484" t="inlineStr">
        <is>
          <t>Partner Referral</t>
        </is>
      </c>
      <c r="J484">
        <f>INDEX('Data - Borrowers'!$B$2:$B$851, MATCH(B484, 'Data - Borrowers'!$A$2:$A$851, 0))</f>
        <v/>
      </c>
      <c r="K484">
        <f>INDEX('Data - Borrowers'!$C$2:$C$851, MATCH(B484, 'Data - Borrowers'!$A$2:$A$851, 0))</f>
        <v/>
      </c>
      <c r="L484">
        <f>IF(D484&lt;100000, "Micro (&lt;100K)", IF(D484&lt;500000, "Small (100K-500K)", "Medium (500K+)"))</f>
        <v/>
      </c>
      <c r="M484">
        <f>TEXT(C484, "yyyy-mm")</f>
        <v/>
      </c>
    </row>
    <row r="485">
      <c r="A485" t="inlineStr">
        <is>
          <t>LN200532</t>
        </is>
      </c>
      <c r="B485" t="inlineStr">
        <is>
          <t>BOR100400</t>
        </is>
      </c>
      <c r="C485" s="8" t="n">
        <v>45796</v>
      </c>
      <c r="D485" s="9" t="n">
        <v>46000</v>
      </c>
      <c r="E485" t="n">
        <v>6</v>
      </c>
      <c r="F485" s="10" t="n">
        <v>0.235</v>
      </c>
      <c r="G485" t="inlineStr">
        <is>
          <t>Working Capital</t>
        </is>
      </c>
      <c r="H485" t="inlineStr">
        <is>
          <t>LO015</t>
        </is>
      </c>
      <c r="I485" t="inlineStr">
        <is>
          <t>Branch</t>
        </is>
      </c>
      <c r="J485">
        <f>INDEX('Data - Borrowers'!$B$2:$B$851, MATCH(B485, 'Data - Borrowers'!$A$2:$A$851, 0))</f>
        <v/>
      </c>
      <c r="K485">
        <f>INDEX('Data - Borrowers'!$C$2:$C$851, MATCH(B485, 'Data - Borrowers'!$A$2:$A$851, 0))</f>
        <v/>
      </c>
      <c r="L485">
        <f>IF(D485&lt;100000, "Micro (&lt;100K)", IF(D485&lt;500000, "Small (100K-500K)", "Medium (500K+)"))</f>
        <v/>
      </c>
      <c r="M485">
        <f>TEXT(C485, "yyyy-mm")</f>
        <v/>
      </c>
    </row>
    <row r="486">
      <c r="A486" t="inlineStr">
        <is>
          <t>LN200533</t>
        </is>
      </c>
      <c r="B486" t="inlineStr">
        <is>
          <t>BOR100400</t>
        </is>
      </c>
      <c r="C486" s="8" t="n">
        <v>46118</v>
      </c>
      <c r="D486" s="9" t="n">
        <v>23000</v>
      </c>
      <c r="E486" t="n">
        <v>9</v>
      </c>
      <c r="F486" s="10" t="n">
        <v>0.194</v>
      </c>
      <c r="G486" t="inlineStr">
        <is>
          <t>Working Capital</t>
        </is>
      </c>
      <c r="H486" t="inlineStr">
        <is>
          <t>LO024</t>
        </is>
      </c>
      <c r="I486" t="inlineStr">
        <is>
          <t>Mobile App</t>
        </is>
      </c>
      <c r="J486">
        <f>INDEX('Data - Borrowers'!$B$2:$B$851, MATCH(B486, 'Data - Borrowers'!$A$2:$A$851, 0))</f>
        <v/>
      </c>
      <c r="K486">
        <f>INDEX('Data - Borrowers'!$C$2:$C$851, MATCH(B486, 'Data - Borrowers'!$A$2:$A$851, 0))</f>
        <v/>
      </c>
      <c r="L486">
        <f>IF(D486&lt;100000, "Micro (&lt;100K)", IF(D486&lt;500000, "Small (100K-500K)", "Medium (500K+)"))</f>
        <v/>
      </c>
      <c r="M486">
        <f>TEXT(C486, "yyyy-mm")</f>
        <v/>
      </c>
    </row>
    <row r="487">
      <c r="A487" t="inlineStr">
        <is>
          <t>LN200534</t>
        </is>
      </c>
      <c r="B487" t="inlineStr">
        <is>
          <t>BOR100401</t>
        </is>
      </c>
      <c r="C487" s="8" t="n">
        <v>45941</v>
      </c>
      <c r="D487" s="9" t="n">
        <v>50000</v>
      </c>
      <c r="E487" t="n">
        <v>12</v>
      </c>
      <c r="F487" s="10" t="n">
        <v>0.203</v>
      </c>
      <c r="G487" t="inlineStr">
        <is>
          <t>Working Capital</t>
        </is>
      </c>
      <c r="H487" t="inlineStr">
        <is>
          <t>LO011</t>
        </is>
      </c>
      <c r="I487" t="inlineStr">
        <is>
          <t>Branch</t>
        </is>
      </c>
      <c r="J487">
        <f>INDEX('Data - Borrowers'!$B$2:$B$851, MATCH(B487, 'Data - Borrowers'!$A$2:$A$851, 0))</f>
        <v/>
      </c>
      <c r="K487">
        <f>INDEX('Data - Borrowers'!$C$2:$C$851, MATCH(B487, 'Data - Borrowers'!$A$2:$A$851, 0))</f>
        <v/>
      </c>
      <c r="L487">
        <f>IF(D487&lt;100000, "Micro (&lt;100K)", IF(D487&lt;500000, "Small (100K-500K)", "Medium (500K+)"))</f>
        <v/>
      </c>
      <c r="M487">
        <f>TEXT(C487, "yyyy-mm")</f>
        <v/>
      </c>
    </row>
    <row r="488">
      <c r="A488" t="inlineStr">
        <is>
          <t>LN200535</t>
        </is>
      </c>
      <c r="B488" t="inlineStr">
        <is>
          <t>BOR100401</t>
        </is>
      </c>
      <c r="C488" s="8" t="n">
        <v>46159</v>
      </c>
      <c r="D488" s="9" t="n">
        <v>22000</v>
      </c>
      <c r="E488" t="n">
        <v>3</v>
      </c>
      <c r="F488" s="10" t="n">
        <v>0.232</v>
      </c>
      <c r="G488" t="inlineStr">
        <is>
          <t>Asset Finance</t>
        </is>
      </c>
      <c r="H488" t="inlineStr">
        <is>
          <t>LO001</t>
        </is>
      </c>
      <c r="I488" t="inlineStr">
        <is>
          <t>Mobile App</t>
        </is>
      </c>
      <c r="J488">
        <f>INDEX('Data - Borrowers'!$B$2:$B$851, MATCH(B488, 'Data - Borrowers'!$A$2:$A$851, 0))</f>
        <v/>
      </c>
      <c r="K488">
        <f>INDEX('Data - Borrowers'!$C$2:$C$851, MATCH(B488, 'Data - Borrowers'!$A$2:$A$851, 0))</f>
        <v/>
      </c>
      <c r="L488">
        <f>IF(D488&lt;100000, "Micro (&lt;100K)", IF(D488&lt;500000, "Small (100K-500K)", "Medium (500K+)"))</f>
        <v/>
      </c>
      <c r="M488">
        <f>TEXT(C488, "yyyy-mm")</f>
        <v/>
      </c>
    </row>
    <row r="489">
      <c r="A489" t="inlineStr">
        <is>
          <t>LN200537</t>
        </is>
      </c>
      <c r="B489" t="inlineStr">
        <is>
          <t>BOR100402</t>
        </is>
      </c>
      <c r="C489" s="8" t="n">
        <v>45801</v>
      </c>
      <c r="D489" s="9" t="n">
        <v>198000</v>
      </c>
      <c r="E489" t="n">
        <v>6</v>
      </c>
      <c r="F489" s="10" t="n">
        <v>0.121</v>
      </c>
      <c r="G489" t="inlineStr">
        <is>
          <t>Working Capital</t>
        </is>
      </c>
      <c r="H489" t="inlineStr">
        <is>
          <t>LO024</t>
        </is>
      </c>
      <c r="I489" t="inlineStr">
        <is>
          <t>Mobile App</t>
        </is>
      </c>
      <c r="J489">
        <f>INDEX('Data - Borrowers'!$B$2:$B$851, MATCH(B489, 'Data - Borrowers'!$A$2:$A$851, 0))</f>
        <v/>
      </c>
      <c r="K489">
        <f>INDEX('Data - Borrowers'!$C$2:$C$851, MATCH(B489, 'Data - Borrowers'!$A$2:$A$851, 0))</f>
        <v/>
      </c>
      <c r="L489">
        <f>IF(D489&lt;100000, "Micro (&lt;100K)", IF(D489&lt;500000, "Small (100K-500K)", "Medium (500K+)"))</f>
        <v/>
      </c>
      <c r="M489">
        <f>TEXT(C489, "yyyy-mm")</f>
        <v/>
      </c>
    </row>
    <row r="490">
      <c r="A490" t="inlineStr">
        <is>
          <t>LN200538</t>
        </is>
      </c>
      <c r="B490" t="inlineStr">
        <is>
          <t>BOR100403</t>
        </is>
      </c>
      <c r="C490" s="8" t="n">
        <v>46146</v>
      </c>
      <c r="D490" s="9" t="n">
        <v>127000</v>
      </c>
      <c r="E490" t="n">
        <v>9</v>
      </c>
      <c r="F490" s="10" t="n">
        <v>0.209</v>
      </c>
      <c r="G490" t="inlineStr">
        <is>
          <t>Working Capital</t>
        </is>
      </c>
      <c r="H490" t="inlineStr">
        <is>
          <t>LO009</t>
        </is>
      </c>
      <c r="I490" t="inlineStr">
        <is>
          <t>Branch</t>
        </is>
      </c>
      <c r="J490">
        <f>INDEX('Data - Borrowers'!$B$2:$B$851, MATCH(B490, 'Data - Borrowers'!$A$2:$A$851, 0))</f>
        <v/>
      </c>
      <c r="K490">
        <f>INDEX('Data - Borrowers'!$C$2:$C$851, MATCH(B490, 'Data - Borrowers'!$A$2:$A$851, 0))</f>
        <v/>
      </c>
      <c r="L490">
        <f>IF(D490&lt;100000, "Micro (&lt;100K)", IF(D490&lt;500000, "Small (100K-500K)", "Medium (500K+)"))</f>
        <v/>
      </c>
      <c r="M490">
        <f>TEXT(C490, "yyyy-mm")</f>
        <v/>
      </c>
    </row>
    <row r="491">
      <c r="A491" t="inlineStr">
        <is>
          <t>LN200540</t>
        </is>
      </c>
      <c r="B491" t="inlineStr">
        <is>
          <t>BOR100404</t>
        </is>
      </c>
      <c r="C491" s="8" t="n">
        <v>46009</v>
      </c>
      <c r="D491" s="9" t="n">
        <v>176000</v>
      </c>
      <c r="E491" t="n">
        <v>9</v>
      </c>
      <c r="F491" s="10" t="n">
        <v>0.137</v>
      </c>
      <c r="G491" t="inlineStr">
        <is>
          <t>Asset Finance</t>
        </is>
      </c>
      <c r="H491" t="inlineStr">
        <is>
          <t>LO009</t>
        </is>
      </c>
      <c r="I491" t="inlineStr">
        <is>
          <t>Branch</t>
        </is>
      </c>
      <c r="J491">
        <f>INDEX('Data - Borrowers'!$B$2:$B$851, MATCH(B491, 'Data - Borrowers'!$A$2:$A$851, 0))</f>
        <v/>
      </c>
      <c r="K491">
        <f>INDEX('Data - Borrowers'!$C$2:$C$851, MATCH(B491, 'Data - Borrowers'!$A$2:$A$851, 0))</f>
        <v/>
      </c>
      <c r="L491">
        <f>IF(D491&lt;100000, "Micro (&lt;100K)", IF(D491&lt;500000, "Small (100K-500K)", "Medium (500K+)"))</f>
        <v/>
      </c>
      <c r="M491">
        <f>TEXT(C491, "yyyy-mm")</f>
        <v/>
      </c>
    </row>
    <row r="492">
      <c r="A492" t="inlineStr">
        <is>
          <t>LN200541</t>
        </is>
      </c>
      <c r="B492" t="inlineStr">
        <is>
          <t>BOR100405</t>
        </is>
      </c>
      <c r="C492" s="8" t="n">
        <v>46049</v>
      </c>
      <c r="D492" s="9" t="n">
        <v>54000</v>
      </c>
      <c r="E492" t="n">
        <v>6</v>
      </c>
      <c r="F492" s="10" t="n">
        <v>0.224</v>
      </c>
      <c r="G492" t="inlineStr">
        <is>
          <t>Invoice Discounting</t>
        </is>
      </c>
      <c r="H492" t="inlineStr">
        <is>
          <t>LO005</t>
        </is>
      </c>
      <c r="I492" t="inlineStr">
        <is>
          <t>Mobile App</t>
        </is>
      </c>
      <c r="J492">
        <f>INDEX('Data - Borrowers'!$B$2:$B$851, MATCH(B492, 'Data - Borrowers'!$A$2:$A$851, 0))</f>
        <v/>
      </c>
      <c r="K492">
        <f>INDEX('Data - Borrowers'!$C$2:$C$851, MATCH(B492, 'Data - Borrowers'!$A$2:$A$851, 0))</f>
        <v/>
      </c>
      <c r="L492">
        <f>IF(D492&lt;100000, "Micro (&lt;100K)", IF(D492&lt;500000, "Small (100K-500K)", "Medium (500K+)"))</f>
        <v/>
      </c>
      <c r="M492">
        <f>TEXT(C492, "yyyy-mm")</f>
        <v/>
      </c>
    </row>
    <row r="493">
      <c r="A493" t="inlineStr">
        <is>
          <t>LN200542</t>
        </is>
      </c>
      <c r="B493" t="inlineStr">
        <is>
          <t>BOR100406</t>
        </is>
      </c>
      <c r="C493" s="8" t="n">
        <v>45800</v>
      </c>
      <c r="D493" s="9" t="n">
        <v>109000</v>
      </c>
      <c r="E493" t="n">
        <v>6</v>
      </c>
      <c r="F493" s="10" t="n">
        <v>0.215</v>
      </c>
      <c r="G493" t="inlineStr">
        <is>
          <t>Invoice Discounting</t>
        </is>
      </c>
      <c r="H493" t="inlineStr">
        <is>
          <t>LO009</t>
        </is>
      </c>
      <c r="I493" t="inlineStr">
        <is>
          <t>Partner Referral</t>
        </is>
      </c>
      <c r="J493">
        <f>INDEX('Data - Borrowers'!$B$2:$B$851, MATCH(B493, 'Data - Borrowers'!$A$2:$A$851, 0))</f>
        <v/>
      </c>
      <c r="K493">
        <f>INDEX('Data - Borrowers'!$C$2:$C$851, MATCH(B493, 'Data - Borrowers'!$A$2:$A$851, 0))</f>
        <v/>
      </c>
      <c r="L493">
        <f>IF(D493&lt;100000, "Micro (&lt;100K)", IF(D493&lt;500000, "Small (100K-500K)", "Medium (500K+)"))</f>
        <v/>
      </c>
      <c r="M493">
        <f>TEXT(C493, "yyyy-mm")</f>
        <v/>
      </c>
    </row>
    <row r="494">
      <c r="A494" t="inlineStr">
        <is>
          <t>LN200543</t>
        </is>
      </c>
      <c r="B494" t="inlineStr">
        <is>
          <t>BOR100407</t>
        </is>
      </c>
      <c r="C494" s="8" t="n">
        <v>46020</v>
      </c>
      <c r="D494" s="9" t="n">
        <v>200000</v>
      </c>
      <c r="E494" t="n">
        <v>18</v>
      </c>
      <c r="F494" s="10" t="n">
        <v>0.123</v>
      </c>
      <c r="G494" t="inlineStr">
        <is>
          <t>Working Capital</t>
        </is>
      </c>
      <c r="H494" t="inlineStr">
        <is>
          <t>LO016</t>
        </is>
      </c>
      <c r="I494" t="inlineStr">
        <is>
          <t>Branch</t>
        </is>
      </c>
      <c r="J494">
        <f>INDEX('Data - Borrowers'!$B$2:$B$851, MATCH(B494, 'Data - Borrowers'!$A$2:$A$851, 0))</f>
        <v/>
      </c>
      <c r="K494">
        <f>INDEX('Data - Borrowers'!$C$2:$C$851, MATCH(B494, 'Data - Borrowers'!$A$2:$A$851, 0))</f>
        <v/>
      </c>
      <c r="L494">
        <f>IF(D494&lt;100000, "Micro (&lt;100K)", IF(D494&lt;500000, "Small (100K-500K)", "Medium (500K+)"))</f>
        <v/>
      </c>
      <c r="M494">
        <f>TEXT(C494, "yyyy-mm")</f>
        <v/>
      </c>
    </row>
    <row r="495">
      <c r="A495" t="inlineStr">
        <is>
          <t>LN200544</t>
        </is>
      </c>
      <c r="B495" t="inlineStr">
        <is>
          <t>BOR100407</t>
        </is>
      </c>
      <c r="C495" s="8" t="n">
        <v>46126</v>
      </c>
      <c r="D495" s="9" t="n">
        <v>202000</v>
      </c>
      <c r="E495" t="n">
        <v>6</v>
      </c>
      <c r="F495" s="10" t="n">
        <v>0.12</v>
      </c>
      <c r="G495" t="inlineStr">
        <is>
          <t>Asset Finance</t>
        </is>
      </c>
      <c r="H495" t="inlineStr">
        <is>
          <t>LO004</t>
        </is>
      </c>
      <c r="I495" t="inlineStr">
        <is>
          <t>Partner Referral</t>
        </is>
      </c>
      <c r="J495">
        <f>INDEX('Data - Borrowers'!$B$2:$B$851, MATCH(B495, 'Data - Borrowers'!$A$2:$A$851, 0))</f>
        <v/>
      </c>
      <c r="K495">
        <f>INDEX('Data - Borrowers'!$C$2:$C$851, MATCH(B495, 'Data - Borrowers'!$A$2:$A$851, 0))</f>
        <v/>
      </c>
      <c r="L495">
        <f>IF(D495&lt;100000, "Micro (&lt;100K)", IF(D495&lt;500000, "Small (100K-500K)", "Medium (500K+)"))</f>
        <v/>
      </c>
      <c r="M495">
        <f>TEXT(C495, "yyyy-mm")</f>
        <v/>
      </c>
    </row>
    <row r="496">
      <c r="A496" t="inlineStr">
        <is>
          <t>LN200545</t>
        </is>
      </c>
      <c r="B496" t="inlineStr">
        <is>
          <t>BOR100408</t>
        </is>
      </c>
      <c r="C496" s="8" t="n">
        <v>45936</v>
      </c>
      <c r="D496" s="9" t="n">
        <v>113000</v>
      </c>
      <c r="E496" t="n">
        <v>6</v>
      </c>
      <c r="F496" s="10" t="n">
        <v>0.183</v>
      </c>
      <c r="G496" t="inlineStr">
        <is>
          <t>Working Capital</t>
        </is>
      </c>
      <c r="H496" t="inlineStr">
        <is>
          <t>LO004</t>
        </is>
      </c>
      <c r="I496" t="inlineStr">
        <is>
          <t>Mobile App</t>
        </is>
      </c>
      <c r="J496">
        <f>INDEX('Data - Borrowers'!$B$2:$B$851, MATCH(B496, 'Data - Borrowers'!$A$2:$A$851, 0))</f>
        <v/>
      </c>
      <c r="K496">
        <f>INDEX('Data - Borrowers'!$C$2:$C$851, MATCH(B496, 'Data - Borrowers'!$A$2:$A$851, 0))</f>
        <v/>
      </c>
      <c r="L496">
        <f>IF(D496&lt;100000, "Micro (&lt;100K)", IF(D496&lt;500000, "Small (100K-500K)", "Medium (500K+)"))</f>
        <v/>
      </c>
      <c r="M496">
        <f>TEXT(C496, "yyyy-mm")</f>
        <v/>
      </c>
    </row>
    <row r="497">
      <c r="A497" t="inlineStr">
        <is>
          <t>LN200546</t>
        </is>
      </c>
      <c r="B497" t="inlineStr">
        <is>
          <t>BOR100409</t>
        </is>
      </c>
      <c r="C497" s="8" t="n">
        <v>45864</v>
      </c>
      <c r="D497" s="9" t="n">
        <v>172000</v>
      </c>
      <c r="E497" t="n">
        <v>12</v>
      </c>
      <c r="F497" s="10" t="n">
        <v>0.198</v>
      </c>
      <c r="G497" t="inlineStr">
        <is>
          <t>Working Capital</t>
        </is>
      </c>
      <c r="H497" t="inlineStr">
        <is>
          <t>LO012</t>
        </is>
      </c>
      <c r="I497" t="inlineStr">
        <is>
          <t>Mobile App</t>
        </is>
      </c>
      <c r="J497">
        <f>INDEX('Data - Borrowers'!$B$2:$B$851, MATCH(B497, 'Data - Borrowers'!$A$2:$A$851, 0))</f>
        <v/>
      </c>
      <c r="K497">
        <f>INDEX('Data - Borrowers'!$C$2:$C$851, MATCH(B497, 'Data - Borrowers'!$A$2:$A$851, 0))</f>
        <v/>
      </c>
      <c r="L497">
        <f>IF(D497&lt;100000, "Micro (&lt;100K)", IF(D497&lt;500000, "Small (100K-500K)", "Medium (500K+)"))</f>
        <v/>
      </c>
      <c r="M497">
        <f>TEXT(C497, "yyyy-mm")</f>
        <v/>
      </c>
    </row>
    <row r="498">
      <c r="A498" t="inlineStr">
        <is>
          <t>LN200547</t>
        </is>
      </c>
      <c r="B498" t="inlineStr">
        <is>
          <t>BOR100409</t>
        </is>
      </c>
      <c r="C498" s="8" t="n">
        <v>46058</v>
      </c>
      <c r="D498" s="9" t="n">
        <v>107000</v>
      </c>
      <c r="E498" t="n">
        <v>3</v>
      </c>
      <c r="F498" s="10" t="n">
        <v>0.239</v>
      </c>
      <c r="G498" t="inlineStr">
        <is>
          <t>Working Capital</t>
        </is>
      </c>
      <c r="H498" t="inlineStr">
        <is>
          <t>LO012</t>
        </is>
      </c>
      <c r="I498" t="inlineStr">
        <is>
          <t>Mobile App</t>
        </is>
      </c>
      <c r="J498">
        <f>INDEX('Data - Borrowers'!$B$2:$B$851, MATCH(B498, 'Data - Borrowers'!$A$2:$A$851, 0))</f>
        <v/>
      </c>
      <c r="K498">
        <f>INDEX('Data - Borrowers'!$C$2:$C$851, MATCH(B498, 'Data - Borrowers'!$A$2:$A$851, 0))</f>
        <v/>
      </c>
      <c r="L498">
        <f>IF(D498&lt;100000, "Micro (&lt;100K)", IF(D498&lt;500000, "Small (100K-500K)", "Medium (500K+)"))</f>
        <v/>
      </c>
      <c r="M498">
        <f>TEXT(C498, "yyyy-mm")</f>
        <v/>
      </c>
    </row>
    <row r="499">
      <c r="A499" t="inlineStr">
        <is>
          <t>LN200548</t>
        </is>
      </c>
      <c r="B499" t="inlineStr">
        <is>
          <t>BOR100410</t>
        </is>
      </c>
      <c r="C499" s="8" t="n">
        <v>46040</v>
      </c>
      <c r="D499" s="9" t="n">
        <v>50000</v>
      </c>
      <c r="E499" t="n">
        <v>6</v>
      </c>
      <c r="F499" s="10" t="n">
        <v>0.139</v>
      </c>
      <c r="G499" t="inlineStr">
        <is>
          <t>Asset Finance</t>
        </is>
      </c>
      <c r="H499" t="inlineStr">
        <is>
          <t>LO005</t>
        </is>
      </c>
      <c r="I499" t="inlineStr">
        <is>
          <t>Branch</t>
        </is>
      </c>
      <c r="J499">
        <f>INDEX('Data - Borrowers'!$B$2:$B$851, MATCH(B499, 'Data - Borrowers'!$A$2:$A$851, 0))</f>
        <v/>
      </c>
      <c r="K499">
        <f>INDEX('Data - Borrowers'!$C$2:$C$851, MATCH(B499, 'Data - Borrowers'!$A$2:$A$851, 0))</f>
        <v/>
      </c>
      <c r="L499">
        <f>IF(D499&lt;100000, "Micro (&lt;100K)", IF(D499&lt;500000, "Small (100K-500K)", "Medium (500K+)"))</f>
        <v/>
      </c>
      <c r="M499">
        <f>TEXT(C499, "yyyy-mm")</f>
        <v/>
      </c>
    </row>
    <row r="500">
      <c r="A500" t="inlineStr">
        <is>
          <t>LN200549</t>
        </is>
      </c>
      <c r="B500" t="inlineStr">
        <is>
          <t>BOR100411</t>
        </is>
      </c>
      <c r="C500" s="8" t="n">
        <v>46079</v>
      </c>
      <c r="D500" s="9" t="n">
        <v>85000</v>
      </c>
      <c r="E500" t="n">
        <v>9</v>
      </c>
      <c r="F500" s="10" t="n">
        <v>0.202</v>
      </c>
      <c r="G500" t="inlineStr">
        <is>
          <t>Working Capital</t>
        </is>
      </c>
      <c r="H500" t="inlineStr">
        <is>
          <t>LO021</t>
        </is>
      </c>
      <c r="I500" t="inlineStr">
        <is>
          <t>Branch</t>
        </is>
      </c>
      <c r="J500">
        <f>INDEX('Data - Borrowers'!$B$2:$B$851, MATCH(B500, 'Data - Borrowers'!$A$2:$A$851, 0))</f>
        <v/>
      </c>
      <c r="K500">
        <f>INDEX('Data - Borrowers'!$C$2:$C$851, MATCH(B500, 'Data - Borrowers'!$A$2:$A$851, 0))</f>
        <v/>
      </c>
      <c r="L500">
        <f>IF(D500&lt;100000, "Micro (&lt;100K)", IF(D500&lt;500000, "Small (100K-500K)", "Medium (500K+)"))</f>
        <v/>
      </c>
      <c r="M500">
        <f>TEXT(C500, "yyyy-mm")</f>
        <v/>
      </c>
    </row>
    <row r="501">
      <c r="A501" t="inlineStr">
        <is>
          <t>LN200550</t>
        </is>
      </c>
      <c r="B501" t="inlineStr">
        <is>
          <t>BOR100412</t>
        </is>
      </c>
      <c r="C501" s="8" t="n">
        <v>45760</v>
      </c>
      <c r="D501" s="9" t="n">
        <v>45000</v>
      </c>
      <c r="E501" t="n">
        <v>3</v>
      </c>
      <c r="F501" s="10" t="n">
        <v>0.161</v>
      </c>
      <c r="G501" t="inlineStr">
        <is>
          <t>Asset Finance</t>
        </is>
      </c>
      <c r="H501" t="inlineStr">
        <is>
          <t>LO021</t>
        </is>
      </c>
      <c r="I501" t="inlineStr">
        <is>
          <t>Mobile App</t>
        </is>
      </c>
      <c r="J501">
        <f>INDEX('Data - Borrowers'!$B$2:$B$851, MATCH(B501, 'Data - Borrowers'!$A$2:$A$851, 0))</f>
        <v/>
      </c>
      <c r="K501">
        <f>INDEX('Data - Borrowers'!$C$2:$C$851, MATCH(B501, 'Data - Borrowers'!$A$2:$A$851, 0))</f>
        <v/>
      </c>
      <c r="L501">
        <f>IF(D501&lt;100000, "Micro (&lt;100K)", IF(D501&lt;500000, "Small (100K-500K)", "Medium (500K+)"))</f>
        <v/>
      </c>
      <c r="M501">
        <f>TEXT(C501, "yyyy-mm")</f>
        <v/>
      </c>
    </row>
    <row r="502">
      <c r="A502" t="inlineStr">
        <is>
          <t>LN200551</t>
        </is>
      </c>
      <c r="B502" t="inlineStr">
        <is>
          <t>BOR100412</t>
        </is>
      </c>
      <c r="C502" s="8" t="n">
        <v>46081</v>
      </c>
      <c r="D502" s="9" t="n">
        <v>37000</v>
      </c>
      <c r="E502" t="n">
        <v>12</v>
      </c>
      <c r="F502" s="10" t="n">
        <v>0.182</v>
      </c>
      <c r="G502" t="inlineStr">
        <is>
          <t>Working Capital</t>
        </is>
      </c>
      <c r="H502" t="inlineStr">
        <is>
          <t>LO023</t>
        </is>
      </c>
      <c r="I502" t="inlineStr">
        <is>
          <t>Mobile App</t>
        </is>
      </c>
      <c r="J502">
        <f>INDEX('Data - Borrowers'!$B$2:$B$851, MATCH(B502, 'Data - Borrowers'!$A$2:$A$851, 0))</f>
        <v/>
      </c>
      <c r="K502">
        <f>INDEX('Data - Borrowers'!$C$2:$C$851, MATCH(B502, 'Data - Borrowers'!$A$2:$A$851, 0))</f>
        <v/>
      </c>
      <c r="L502">
        <f>IF(D502&lt;100000, "Micro (&lt;100K)", IF(D502&lt;500000, "Small (100K-500K)", "Medium (500K+)"))</f>
        <v/>
      </c>
      <c r="M502">
        <f>TEXT(C502, "yyyy-mm")</f>
        <v/>
      </c>
    </row>
    <row r="503">
      <c r="A503" t="inlineStr">
        <is>
          <t>LN200552</t>
        </is>
      </c>
      <c r="B503" t="inlineStr">
        <is>
          <t>BOR100413</t>
        </is>
      </c>
      <c r="C503" s="8" t="n">
        <v>45924</v>
      </c>
      <c r="D503" s="9" t="n">
        <v>21000</v>
      </c>
      <c r="E503" t="n">
        <v>6</v>
      </c>
      <c r="F503" s="10" t="n">
        <v>0.184</v>
      </c>
      <c r="G503" t="inlineStr">
        <is>
          <t>Working Capital</t>
        </is>
      </c>
      <c r="H503" t="inlineStr">
        <is>
          <t>LO003</t>
        </is>
      </c>
      <c r="I503" t="inlineStr">
        <is>
          <t>Mobile App</t>
        </is>
      </c>
      <c r="J503">
        <f>INDEX('Data - Borrowers'!$B$2:$B$851, MATCH(B503, 'Data - Borrowers'!$A$2:$A$851, 0))</f>
        <v/>
      </c>
      <c r="K503">
        <f>INDEX('Data - Borrowers'!$C$2:$C$851, MATCH(B503, 'Data - Borrowers'!$A$2:$A$851, 0))</f>
        <v/>
      </c>
      <c r="L503">
        <f>IF(D503&lt;100000, "Micro (&lt;100K)", IF(D503&lt;500000, "Small (100K-500K)", "Medium (500K+)"))</f>
        <v/>
      </c>
      <c r="M503">
        <f>TEXT(C503, "yyyy-mm")</f>
        <v/>
      </c>
    </row>
    <row r="504">
      <c r="A504" t="inlineStr">
        <is>
          <t>LN200553</t>
        </is>
      </c>
      <c r="B504" t="inlineStr">
        <is>
          <t>BOR100414</t>
        </is>
      </c>
      <c r="C504" s="8" t="n">
        <v>45955</v>
      </c>
      <c r="D504" s="9" t="n">
        <v>64000</v>
      </c>
      <c r="E504" t="n">
        <v>6</v>
      </c>
      <c r="F504" s="10" t="n">
        <v>0.166</v>
      </c>
      <c r="G504" t="inlineStr">
        <is>
          <t>Working Capital</t>
        </is>
      </c>
      <c r="H504" t="inlineStr">
        <is>
          <t>LO025</t>
        </is>
      </c>
      <c r="I504" t="inlineStr">
        <is>
          <t>Branch</t>
        </is>
      </c>
      <c r="J504">
        <f>INDEX('Data - Borrowers'!$B$2:$B$851, MATCH(B504, 'Data - Borrowers'!$A$2:$A$851, 0))</f>
        <v/>
      </c>
      <c r="K504">
        <f>INDEX('Data - Borrowers'!$C$2:$C$851, MATCH(B504, 'Data - Borrowers'!$A$2:$A$851, 0))</f>
        <v/>
      </c>
      <c r="L504">
        <f>IF(D504&lt;100000, "Micro (&lt;100K)", IF(D504&lt;500000, "Small (100K-500K)", "Medium (500K+)"))</f>
        <v/>
      </c>
      <c r="M504">
        <f>TEXT(C504, "yyyy-mm")</f>
        <v/>
      </c>
    </row>
    <row r="505">
      <c r="A505" t="inlineStr">
        <is>
          <t>LN200554</t>
        </is>
      </c>
      <c r="B505" t="inlineStr">
        <is>
          <t>BOR100415</t>
        </is>
      </c>
      <c r="C505" s="8" t="n">
        <v>45898</v>
      </c>
      <c r="D505" s="9" t="n">
        <v>161000</v>
      </c>
      <c r="E505" t="n">
        <v>6</v>
      </c>
      <c r="F505" s="10" t="n">
        <v>0.238</v>
      </c>
      <c r="G505" t="inlineStr">
        <is>
          <t>Asset Finance</t>
        </is>
      </c>
      <c r="H505" t="inlineStr">
        <is>
          <t>LO012</t>
        </is>
      </c>
      <c r="I505" t="inlineStr">
        <is>
          <t>Mobile App</t>
        </is>
      </c>
      <c r="J505">
        <f>INDEX('Data - Borrowers'!$B$2:$B$851, MATCH(B505, 'Data - Borrowers'!$A$2:$A$851, 0))</f>
        <v/>
      </c>
      <c r="K505">
        <f>INDEX('Data - Borrowers'!$C$2:$C$851, MATCH(B505, 'Data - Borrowers'!$A$2:$A$851, 0))</f>
        <v/>
      </c>
      <c r="L505">
        <f>IF(D505&lt;100000, "Micro (&lt;100K)", IF(D505&lt;500000, "Small (100K-500K)", "Medium (500K+)"))</f>
        <v/>
      </c>
      <c r="M505">
        <f>TEXT(C505, "yyyy-mm")</f>
        <v/>
      </c>
    </row>
    <row r="506">
      <c r="A506" t="inlineStr">
        <is>
          <t>LN200555</t>
        </is>
      </c>
      <c r="B506" t="inlineStr">
        <is>
          <t>BOR100416</t>
        </is>
      </c>
      <c r="C506" s="8" t="n">
        <v>45831</v>
      </c>
      <c r="D506" s="9" t="n">
        <v>43000</v>
      </c>
      <c r="E506" t="n">
        <v>6</v>
      </c>
      <c r="F506" s="10" t="n">
        <v>0.171</v>
      </c>
      <c r="G506" t="inlineStr">
        <is>
          <t>Working Capital</t>
        </is>
      </c>
      <c r="H506" t="inlineStr">
        <is>
          <t>LO006</t>
        </is>
      </c>
      <c r="I506" t="inlineStr">
        <is>
          <t>Mobile App</t>
        </is>
      </c>
      <c r="J506">
        <f>INDEX('Data - Borrowers'!$B$2:$B$851, MATCH(B506, 'Data - Borrowers'!$A$2:$A$851, 0))</f>
        <v/>
      </c>
      <c r="K506">
        <f>INDEX('Data - Borrowers'!$C$2:$C$851, MATCH(B506, 'Data - Borrowers'!$A$2:$A$851, 0))</f>
        <v/>
      </c>
      <c r="L506">
        <f>IF(D506&lt;100000, "Micro (&lt;100K)", IF(D506&lt;500000, "Small (100K-500K)", "Medium (500K+)"))</f>
        <v/>
      </c>
      <c r="M506">
        <f>TEXT(C506, "yyyy-mm")</f>
        <v/>
      </c>
    </row>
    <row r="507">
      <c r="A507" t="inlineStr">
        <is>
          <t>LN200556</t>
        </is>
      </c>
      <c r="B507" t="inlineStr">
        <is>
          <t>BOR100417</t>
        </is>
      </c>
      <c r="C507" s="8" t="n">
        <v>46192</v>
      </c>
      <c r="D507" s="9" t="n">
        <v>115000</v>
      </c>
      <c r="E507" t="n">
        <v>3</v>
      </c>
      <c r="F507" s="10" t="n">
        <v>0.175</v>
      </c>
      <c r="G507" t="inlineStr">
        <is>
          <t>Invoice Discounting</t>
        </is>
      </c>
      <c r="H507" t="inlineStr">
        <is>
          <t>LO025</t>
        </is>
      </c>
      <c r="I507" t="inlineStr">
        <is>
          <t>Branch</t>
        </is>
      </c>
      <c r="J507">
        <f>INDEX('Data - Borrowers'!$B$2:$B$851, MATCH(B507, 'Data - Borrowers'!$A$2:$A$851, 0))</f>
        <v/>
      </c>
      <c r="K507">
        <f>INDEX('Data - Borrowers'!$C$2:$C$851, MATCH(B507, 'Data - Borrowers'!$A$2:$A$851, 0))</f>
        <v/>
      </c>
      <c r="L507">
        <f>IF(D507&lt;100000, "Micro (&lt;100K)", IF(D507&lt;500000, "Small (100K-500K)", "Medium (500K+)"))</f>
        <v/>
      </c>
      <c r="M507">
        <f>TEXT(C507, "yyyy-mm")</f>
        <v/>
      </c>
    </row>
    <row r="508">
      <c r="A508" t="inlineStr">
        <is>
          <t>LN200557</t>
        </is>
      </c>
      <c r="B508" t="inlineStr">
        <is>
          <t>BOR100418</t>
        </is>
      </c>
      <c r="C508" s="8" t="n">
        <v>45798</v>
      </c>
      <c r="D508" s="9" t="n">
        <v>165000</v>
      </c>
      <c r="E508" t="n">
        <v>6</v>
      </c>
      <c r="F508" s="10" t="n">
        <v>0.142</v>
      </c>
      <c r="G508" t="inlineStr">
        <is>
          <t>Working Capital</t>
        </is>
      </c>
      <c r="H508" t="inlineStr">
        <is>
          <t>LO023</t>
        </is>
      </c>
      <c r="I508" t="inlineStr">
        <is>
          <t>Mobile App</t>
        </is>
      </c>
      <c r="J508">
        <f>INDEX('Data - Borrowers'!$B$2:$B$851, MATCH(B508, 'Data - Borrowers'!$A$2:$A$851, 0))</f>
        <v/>
      </c>
      <c r="K508">
        <f>INDEX('Data - Borrowers'!$C$2:$C$851, MATCH(B508, 'Data - Borrowers'!$A$2:$A$851, 0))</f>
        <v/>
      </c>
      <c r="L508">
        <f>IF(D508&lt;100000, "Micro (&lt;100K)", IF(D508&lt;500000, "Small (100K-500K)", "Medium (500K+)"))</f>
        <v/>
      </c>
      <c r="M508">
        <f>TEXT(C508, "yyyy-mm")</f>
        <v/>
      </c>
    </row>
    <row r="509">
      <c r="A509" t="inlineStr">
        <is>
          <t>LN200558</t>
        </is>
      </c>
      <c r="B509" t="inlineStr">
        <is>
          <t>BOR100419</t>
        </is>
      </c>
      <c r="C509" s="8" t="n">
        <v>45678</v>
      </c>
      <c r="D509" s="9" t="n">
        <v>27000</v>
      </c>
      <c r="E509" t="n">
        <v>12</v>
      </c>
      <c r="F509" s="10" t="n">
        <v>0.136</v>
      </c>
      <c r="G509" t="inlineStr">
        <is>
          <t>Asset Finance</t>
        </is>
      </c>
      <c r="H509" t="inlineStr">
        <is>
          <t>LO020</t>
        </is>
      </c>
      <c r="I509" t="inlineStr">
        <is>
          <t>Branch</t>
        </is>
      </c>
      <c r="J509">
        <f>INDEX('Data - Borrowers'!$B$2:$B$851, MATCH(B509, 'Data - Borrowers'!$A$2:$A$851, 0))</f>
        <v/>
      </c>
      <c r="K509">
        <f>INDEX('Data - Borrowers'!$C$2:$C$851, MATCH(B509, 'Data - Borrowers'!$A$2:$A$851, 0))</f>
        <v/>
      </c>
      <c r="L509">
        <f>IF(D509&lt;100000, "Micro (&lt;100K)", IF(D509&lt;500000, "Small (100K-500K)", "Medium (500K+)"))</f>
        <v/>
      </c>
      <c r="M509">
        <f>TEXT(C509, "yyyy-mm")</f>
        <v/>
      </c>
    </row>
    <row r="510">
      <c r="A510" t="inlineStr">
        <is>
          <t>LN200559</t>
        </is>
      </c>
      <c r="B510" t="inlineStr">
        <is>
          <t>BOR100419</t>
        </is>
      </c>
      <c r="C510" s="8" t="n">
        <v>46149</v>
      </c>
      <c r="D510" s="9" t="n">
        <v>20000</v>
      </c>
      <c r="E510" t="n">
        <v>3</v>
      </c>
      <c r="F510" s="10" t="n">
        <v>0.214</v>
      </c>
      <c r="G510" t="inlineStr">
        <is>
          <t>Invoice Discounting</t>
        </is>
      </c>
      <c r="H510" t="inlineStr">
        <is>
          <t>LO020</t>
        </is>
      </c>
      <c r="I510" t="inlineStr">
        <is>
          <t>Mobile App</t>
        </is>
      </c>
      <c r="J510">
        <f>INDEX('Data - Borrowers'!$B$2:$B$851, MATCH(B510, 'Data - Borrowers'!$A$2:$A$851, 0))</f>
        <v/>
      </c>
      <c r="K510">
        <f>INDEX('Data - Borrowers'!$C$2:$C$851, MATCH(B510, 'Data - Borrowers'!$A$2:$A$851, 0))</f>
        <v/>
      </c>
      <c r="L510">
        <f>IF(D510&lt;100000, "Micro (&lt;100K)", IF(D510&lt;500000, "Small (100K-500K)", "Medium (500K+)"))</f>
        <v/>
      </c>
      <c r="M510">
        <f>TEXT(C510, "yyyy-mm")</f>
        <v/>
      </c>
    </row>
    <row r="511">
      <c r="A511" t="inlineStr">
        <is>
          <t>LN200560</t>
        </is>
      </c>
      <c r="B511" t="inlineStr">
        <is>
          <t>BOR100420</t>
        </is>
      </c>
      <c r="C511" s="8" t="n">
        <v>45806</v>
      </c>
      <c r="D511" s="9" t="n">
        <v>20000</v>
      </c>
      <c r="E511" t="n">
        <v>6</v>
      </c>
      <c r="F511" s="10" t="n">
        <v>0.124</v>
      </c>
      <c r="G511" t="inlineStr">
        <is>
          <t>Working Capital</t>
        </is>
      </c>
      <c r="H511" t="inlineStr">
        <is>
          <t>LO003</t>
        </is>
      </c>
      <c r="I511" t="inlineStr">
        <is>
          <t>Mobile App</t>
        </is>
      </c>
      <c r="J511">
        <f>INDEX('Data - Borrowers'!$B$2:$B$851, MATCH(B511, 'Data - Borrowers'!$A$2:$A$851, 0))</f>
        <v/>
      </c>
      <c r="K511">
        <f>INDEX('Data - Borrowers'!$C$2:$C$851, MATCH(B511, 'Data - Borrowers'!$A$2:$A$851, 0))</f>
        <v/>
      </c>
      <c r="L511">
        <f>IF(D511&lt;100000, "Micro (&lt;100K)", IF(D511&lt;500000, "Small (100K-500K)", "Medium (500K+)"))</f>
        <v/>
      </c>
      <c r="M511">
        <f>TEXT(C511, "yyyy-mm")</f>
        <v/>
      </c>
    </row>
    <row r="512">
      <c r="A512" t="inlineStr">
        <is>
          <t>LN200561</t>
        </is>
      </c>
      <c r="B512" t="inlineStr">
        <is>
          <t>BOR100420</t>
        </is>
      </c>
      <c r="C512" s="8" t="n">
        <v>46057</v>
      </c>
      <c r="D512" s="9" t="n">
        <v>27000</v>
      </c>
      <c r="E512" t="n">
        <v>3</v>
      </c>
      <c r="F512" s="10" t="n">
        <v>0.153</v>
      </c>
      <c r="G512" t="inlineStr">
        <is>
          <t>Working Capital</t>
        </is>
      </c>
      <c r="H512" t="inlineStr">
        <is>
          <t>LO004</t>
        </is>
      </c>
      <c r="I512" t="inlineStr">
        <is>
          <t>Branch</t>
        </is>
      </c>
      <c r="J512">
        <f>INDEX('Data - Borrowers'!$B$2:$B$851, MATCH(B512, 'Data - Borrowers'!$A$2:$A$851, 0))</f>
        <v/>
      </c>
      <c r="K512">
        <f>INDEX('Data - Borrowers'!$C$2:$C$851, MATCH(B512, 'Data - Borrowers'!$A$2:$A$851, 0))</f>
        <v/>
      </c>
      <c r="L512">
        <f>IF(D512&lt;100000, "Micro (&lt;100K)", IF(D512&lt;500000, "Small (100K-500K)", "Medium (500K+)"))</f>
        <v/>
      </c>
      <c r="M512">
        <f>TEXT(C512, "yyyy-mm")</f>
        <v/>
      </c>
    </row>
    <row r="513">
      <c r="A513" t="inlineStr">
        <is>
          <t>LN200562</t>
        </is>
      </c>
      <c r="B513" t="inlineStr">
        <is>
          <t>BOR100421</t>
        </is>
      </c>
      <c r="C513" s="8" t="n">
        <v>46062</v>
      </c>
      <c r="D513" s="9" t="n">
        <v>70000</v>
      </c>
      <c r="E513" t="n">
        <v>6</v>
      </c>
      <c r="F513" s="10" t="n">
        <v>0.125</v>
      </c>
      <c r="G513" t="inlineStr">
        <is>
          <t>Working Capital</t>
        </is>
      </c>
      <c r="H513" t="inlineStr">
        <is>
          <t>LO009</t>
        </is>
      </c>
      <c r="I513" t="inlineStr">
        <is>
          <t>Mobile App</t>
        </is>
      </c>
      <c r="J513">
        <f>INDEX('Data - Borrowers'!$B$2:$B$851, MATCH(B513, 'Data - Borrowers'!$A$2:$A$851, 0))</f>
        <v/>
      </c>
      <c r="K513">
        <f>INDEX('Data - Borrowers'!$C$2:$C$851, MATCH(B513, 'Data - Borrowers'!$A$2:$A$851, 0))</f>
        <v/>
      </c>
      <c r="L513">
        <f>IF(D513&lt;100000, "Micro (&lt;100K)", IF(D513&lt;500000, "Small (100K-500K)", "Medium (500K+)"))</f>
        <v/>
      </c>
      <c r="M513">
        <f>TEXT(C513, "yyyy-mm")</f>
        <v/>
      </c>
    </row>
    <row r="514">
      <c r="A514" t="inlineStr">
        <is>
          <t>LN200563</t>
        </is>
      </c>
      <c r="B514" t="inlineStr">
        <is>
          <t>BOR100422</t>
        </is>
      </c>
      <c r="C514" s="8" t="n">
        <v>46013</v>
      </c>
      <c r="D514" s="9" t="n">
        <v>165000</v>
      </c>
      <c r="E514" t="n">
        <v>12</v>
      </c>
      <c r="F514" s="10" t="n">
        <v>0.12</v>
      </c>
      <c r="G514" t="inlineStr">
        <is>
          <t>Working Capital</t>
        </is>
      </c>
      <c r="H514" t="inlineStr">
        <is>
          <t>LO018</t>
        </is>
      </c>
      <c r="I514" t="inlineStr">
        <is>
          <t>Mobile App</t>
        </is>
      </c>
      <c r="J514">
        <f>INDEX('Data - Borrowers'!$B$2:$B$851, MATCH(B514, 'Data - Borrowers'!$A$2:$A$851, 0))</f>
        <v/>
      </c>
      <c r="K514">
        <f>INDEX('Data - Borrowers'!$C$2:$C$851, MATCH(B514, 'Data - Borrowers'!$A$2:$A$851, 0))</f>
        <v/>
      </c>
      <c r="L514">
        <f>IF(D514&lt;100000, "Micro (&lt;100K)", IF(D514&lt;500000, "Small (100K-500K)", "Medium (500K+)"))</f>
        <v/>
      </c>
      <c r="M514">
        <f>TEXT(C514, "yyyy-mm")</f>
        <v/>
      </c>
    </row>
    <row r="515">
      <c r="A515" t="inlineStr">
        <is>
          <t>LN200564</t>
        </is>
      </c>
      <c r="B515" t="inlineStr">
        <is>
          <t>BOR100423</t>
        </is>
      </c>
      <c r="C515" s="8" t="n">
        <v>45995</v>
      </c>
      <c r="D515" s="9" t="n">
        <v>61000</v>
      </c>
      <c r="E515" t="n">
        <v>3</v>
      </c>
      <c r="F515" s="10" t="n">
        <v>0.179</v>
      </c>
      <c r="G515" t="inlineStr">
        <is>
          <t>Working Capital</t>
        </is>
      </c>
      <c r="H515" t="inlineStr">
        <is>
          <t>LO002</t>
        </is>
      </c>
      <c r="I515" t="inlineStr">
        <is>
          <t>Branch</t>
        </is>
      </c>
      <c r="J515">
        <f>INDEX('Data - Borrowers'!$B$2:$B$851, MATCH(B515, 'Data - Borrowers'!$A$2:$A$851, 0))</f>
        <v/>
      </c>
      <c r="K515">
        <f>INDEX('Data - Borrowers'!$C$2:$C$851, MATCH(B515, 'Data - Borrowers'!$A$2:$A$851, 0))</f>
        <v/>
      </c>
      <c r="L515">
        <f>IF(D515&lt;100000, "Micro (&lt;100K)", IF(D515&lt;500000, "Small (100K-500K)", "Medium (500K+)"))</f>
        <v/>
      </c>
      <c r="M515">
        <f>TEXT(C515, "yyyy-mm")</f>
        <v/>
      </c>
    </row>
    <row r="516">
      <c r="A516" t="inlineStr">
        <is>
          <t>LN200565</t>
        </is>
      </c>
      <c r="B516" t="inlineStr">
        <is>
          <t>BOR100424</t>
        </is>
      </c>
      <c r="C516" s="8" t="n">
        <v>46048</v>
      </c>
      <c r="D516" s="9" t="n">
        <v>91000</v>
      </c>
      <c r="E516" t="n">
        <v>18</v>
      </c>
      <c r="F516" s="10" t="n">
        <v>0.135</v>
      </c>
      <c r="G516" t="inlineStr">
        <is>
          <t>Invoice Discounting</t>
        </is>
      </c>
      <c r="H516" t="inlineStr">
        <is>
          <t>LO013</t>
        </is>
      </c>
      <c r="I516" t="inlineStr">
        <is>
          <t>Mobile App</t>
        </is>
      </c>
      <c r="J516">
        <f>INDEX('Data - Borrowers'!$B$2:$B$851, MATCH(B516, 'Data - Borrowers'!$A$2:$A$851, 0))</f>
        <v/>
      </c>
      <c r="K516">
        <f>INDEX('Data - Borrowers'!$C$2:$C$851, MATCH(B516, 'Data - Borrowers'!$A$2:$A$851, 0))</f>
        <v/>
      </c>
      <c r="L516">
        <f>IF(D516&lt;100000, "Micro (&lt;100K)", IF(D516&lt;500000, "Small (100K-500K)", "Medium (500K+)"))</f>
        <v/>
      </c>
      <c r="M516">
        <f>TEXT(C516, "yyyy-mm")</f>
        <v/>
      </c>
    </row>
    <row r="517">
      <c r="A517" t="inlineStr">
        <is>
          <t>LN200566</t>
        </is>
      </c>
      <c r="B517" t="inlineStr">
        <is>
          <t>BOR100424</t>
        </is>
      </c>
      <c r="C517" s="8" t="n">
        <v>46151</v>
      </c>
      <c r="D517" s="9" t="n">
        <v>108000</v>
      </c>
      <c r="E517" t="n">
        <v>6</v>
      </c>
      <c r="F517" s="10" t="n">
        <v>0.212</v>
      </c>
      <c r="G517" t="inlineStr">
        <is>
          <t>Working Capital</t>
        </is>
      </c>
      <c r="H517" t="inlineStr">
        <is>
          <t>LO002</t>
        </is>
      </c>
      <c r="I517" t="inlineStr">
        <is>
          <t>Branch</t>
        </is>
      </c>
      <c r="J517">
        <f>INDEX('Data - Borrowers'!$B$2:$B$851, MATCH(B517, 'Data - Borrowers'!$A$2:$A$851, 0))</f>
        <v/>
      </c>
      <c r="K517">
        <f>INDEX('Data - Borrowers'!$C$2:$C$851, MATCH(B517, 'Data - Borrowers'!$A$2:$A$851, 0))</f>
        <v/>
      </c>
      <c r="L517">
        <f>IF(D517&lt;100000, "Micro (&lt;100K)", IF(D517&lt;500000, "Small (100K-500K)", "Medium (500K+)"))</f>
        <v/>
      </c>
      <c r="M517">
        <f>TEXT(C517, "yyyy-mm")</f>
        <v/>
      </c>
    </row>
    <row r="518">
      <c r="A518" t="inlineStr">
        <is>
          <t>LN200567</t>
        </is>
      </c>
      <c r="B518" t="inlineStr">
        <is>
          <t>BOR100425</t>
        </is>
      </c>
      <c r="C518" s="8" t="n">
        <v>45816</v>
      </c>
      <c r="D518" s="9" t="n">
        <v>77000</v>
      </c>
      <c r="E518" t="n">
        <v>9</v>
      </c>
      <c r="F518" s="10" t="n">
        <v>0.199</v>
      </c>
      <c r="G518" t="inlineStr">
        <is>
          <t>Asset Finance</t>
        </is>
      </c>
      <c r="H518" t="inlineStr">
        <is>
          <t>LO017</t>
        </is>
      </c>
      <c r="I518" t="inlineStr">
        <is>
          <t>Branch</t>
        </is>
      </c>
      <c r="J518">
        <f>INDEX('Data - Borrowers'!$B$2:$B$851, MATCH(B518, 'Data - Borrowers'!$A$2:$A$851, 0))</f>
        <v/>
      </c>
      <c r="K518">
        <f>INDEX('Data - Borrowers'!$C$2:$C$851, MATCH(B518, 'Data - Borrowers'!$A$2:$A$851, 0))</f>
        <v/>
      </c>
      <c r="L518">
        <f>IF(D518&lt;100000, "Micro (&lt;100K)", IF(D518&lt;500000, "Small (100K-500K)", "Medium (500K+)"))</f>
        <v/>
      </c>
      <c r="M518">
        <f>TEXT(C518, "yyyy-mm")</f>
        <v/>
      </c>
    </row>
    <row r="519">
      <c r="A519" t="inlineStr">
        <is>
          <t>LN200568</t>
        </is>
      </c>
      <c r="B519" t="inlineStr">
        <is>
          <t>BOR100426</t>
        </is>
      </c>
      <c r="C519" s="8" t="n">
        <v>45756</v>
      </c>
      <c r="D519" s="9" t="n">
        <v>246000</v>
      </c>
      <c r="E519" t="n">
        <v>9</v>
      </c>
      <c r="F519" s="10" t="n">
        <v>0.213</v>
      </c>
      <c r="G519" t="inlineStr">
        <is>
          <t>Working Capital</t>
        </is>
      </c>
      <c r="H519" t="inlineStr">
        <is>
          <t>LO020</t>
        </is>
      </c>
      <c r="I519" t="inlineStr">
        <is>
          <t>Branch</t>
        </is>
      </c>
      <c r="J519">
        <f>INDEX('Data - Borrowers'!$B$2:$B$851, MATCH(B519, 'Data - Borrowers'!$A$2:$A$851, 0))</f>
        <v/>
      </c>
      <c r="K519">
        <f>INDEX('Data - Borrowers'!$C$2:$C$851, MATCH(B519, 'Data - Borrowers'!$A$2:$A$851, 0))</f>
        <v/>
      </c>
      <c r="L519">
        <f>IF(D519&lt;100000, "Micro (&lt;100K)", IF(D519&lt;500000, "Small (100K-500K)", "Medium (500K+)"))</f>
        <v/>
      </c>
      <c r="M519">
        <f>TEXT(C519, "yyyy-mm")</f>
        <v/>
      </c>
    </row>
    <row r="520">
      <c r="A520" t="inlineStr">
        <is>
          <t>LN200569</t>
        </is>
      </c>
      <c r="B520" t="inlineStr">
        <is>
          <t>BOR100427</t>
        </is>
      </c>
      <c r="C520" s="8" t="n">
        <v>45973</v>
      </c>
      <c r="D520" s="9" t="n">
        <v>50000</v>
      </c>
      <c r="E520" t="n">
        <v>12</v>
      </c>
      <c r="F520" s="10" t="n">
        <v>0.149</v>
      </c>
      <c r="G520" t="inlineStr">
        <is>
          <t>Asset Finance</t>
        </is>
      </c>
      <c r="H520" t="inlineStr">
        <is>
          <t>LO006</t>
        </is>
      </c>
      <c r="I520" t="inlineStr">
        <is>
          <t>Mobile App</t>
        </is>
      </c>
      <c r="J520">
        <f>INDEX('Data - Borrowers'!$B$2:$B$851, MATCH(B520, 'Data - Borrowers'!$A$2:$A$851, 0))</f>
        <v/>
      </c>
      <c r="K520">
        <f>INDEX('Data - Borrowers'!$C$2:$C$851, MATCH(B520, 'Data - Borrowers'!$A$2:$A$851, 0))</f>
        <v/>
      </c>
      <c r="L520">
        <f>IF(D520&lt;100000, "Micro (&lt;100K)", IF(D520&lt;500000, "Small (100K-500K)", "Medium (500K+)"))</f>
        <v/>
      </c>
      <c r="M520">
        <f>TEXT(C520, "yyyy-mm")</f>
        <v/>
      </c>
    </row>
    <row r="521">
      <c r="A521" t="inlineStr">
        <is>
          <t>LN200570</t>
        </is>
      </c>
      <c r="B521" t="inlineStr">
        <is>
          <t>BOR100428</t>
        </is>
      </c>
      <c r="C521" s="8" t="n">
        <v>45814</v>
      </c>
      <c r="D521" s="9" t="n">
        <v>35000</v>
      </c>
      <c r="E521" t="n">
        <v>9</v>
      </c>
      <c r="F521" s="10" t="n">
        <v>0.152</v>
      </c>
      <c r="G521" t="inlineStr">
        <is>
          <t>Working Capital</t>
        </is>
      </c>
      <c r="H521" t="inlineStr">
        <is>
          <t>LO004</t>
        </is>
      </c>
      <c r="I521" t="inlineStr">
        <is>
          <t>Mobile App</t>
        </is>
      </c>
      <c r="J521">
        <f>INDEX('Data - Borrowers'!$B$2:$B$851, MATCH(B521, 'Data - Borrowers'!$A$2:$A$851, 0))</f>
        <v/>
      </c>
      <c r="K521">
        <f>INDEX('Data - Borrowers'!$C$2:$C$851, MATCH(B521, 'Data - Borrowers'!$A$2:$A$851, 0))</f>
        <v/>
      </c>
      <c r="L521">
        <f>IF(D521&lt;100000, "Micro (&lt;100K)", IF(D521&lt;500000, "Small (100K-500K)", "Medium (500K+)"))</f>
        <v/>
      </c>
      <c r="M521">
        <f>TEXT(C521, "yyyy-mm")</f>
        <v/>
      </c>
    </row>
    <row r="522">
      <c r="A522" t="inlineStr">
        <is>
          <t>LN200571</t>
        </is>
      </c>
      <c r="B522" t="inlineStr">
        <is>
          <t>BOR100429</t>
        </is>
      </c>
      <c r="C522" s="8" t="n">
        <v>46042</v>
      </c>
      <c r="D522" s="9" t="n">
        <v>69000</v>
      </c>
      <c r="E522" t="n">
        <v>18</v>
      </c>
      <c r="F522" s="10" t="n">
        <v>0.129</v>
      </c>
      <c r="G522" t="inlineStr">
        <is>
          <t>Asset Finance</t>
        </is>
      </c>
      <c r="H522" t="inlineStr">
        <is>
          <t>LO024</t>
        </is>
      </c>
      <c r="I522" t="inlineStr">
        <is>
          <t>Partner Referral</t>
        </is>
      </c>
      <c r="J522">
        <f>INDEX('Data - Borrowers'!$B$2:$B$851, MATCH(B522, 'Data - Borrowers'!$A$2:$A$851, 0))</f>
        <v/>
      </c>
      <c r="K522">
        <f>INDEX('Data - Borrowers'!$C$2:$C$851, MATCH(B522, 'Data - Borrowers'!$A$2:$A$851, 0))</f>
        <v/>
      </c>
      <c r="L522">
        <f>IF(D522&lt;100000, "Micro (&lt;100K)", IF(D522&lt;500000, "Small (100K-500K)", "Medium (500K+)"))</f>
        <v/>
      </c>
      <c r="M522">
        <f>TEXT(C522, "yyyy-mm")</f>
        <v/>
      </c>
    </row>
    <row r="523">
      <c r="A523" t="inlineStr">
        <is>
          <t>LN200572</t>
        </is>
      </c>
      <c r="B523" t="inlineStr">
        <is>
          <t>BOR100430</t>
        </is>
      </c>
      <c r="C523" s="8" t="n">
        <v>45717</v>
      </c>
      <c r="D523" s="9" t="n">
        <v>82000</v>
      </c>
      <c r="E523" t="n">
        <v>9</v>
      </c>
      <c r="F523" s="10" t="n">
        <v>0.174</v>
      </c>
      <c r="G523" t="inlineStr">
        <is>
          <t>Asset Finance</t>
        </is>
      </c>
      <c r="H523" t="inlineStr">
        <is>
          <t>LO004</t>
        </is>
      </c>
      <c r="I523" t="inlineStr">
        <is>
          <t>Partner Referral</t>
        </is>
      </c>
      <c r="J523">
        <f>INDEX('Data - Borrowers'!$B$2:$B$851, MATCH(B523, 'Data - Borrowers'!$A$2:$A$851, 0))</f>
        <v/>
      </c>
      <c r="K523">
        <f>INDEX('Data - Borrowers'!$C$2:$C$851, MATCH(B523, 'Data - Borrowers'!$A$2:$A$851, 0))</f>
        <v/>
      </c>
      <c r="L523">
        <f>IF(D523&lt;100000, "Micro (&lt;100K)", IF(D523&lt;500000, "Small (100K-500K)", "Medium (500K+)"))</f>
        <v/>
      </c>
      <c r="M523">
        <f>TEXT(C523, "yyyy-mm")</f>
        <v/>
      </c>
    </row>
    <row r="524">
      <c r="A524" t="inlineStr">
        <is>
          <t>LN200573</t>
        </is>
      </c>
      <c r="B524" t="inlineStr">
        <is>
          <t>BOR100431</t>
        </is>
      </c>
      <c r="C524" s="8" t="n">
        <v>46119</v>
      </c>
      <c r="D524" s="9" t="n">
        <v>178000</v>
      </c>
      <c r="E524" t="n">
        <v>3</v>
      </c>
      <c r="F524" s="10" t="n">
        <v>0.15</v>
      </c>
      <c r="G524" t="inlineStr">
        <is>
          <t>Asset Finance</t>
        </is>
      </c>
      <c r="H524" t="inlineStr">
        <is>
          <t>LO012</t>
        </is>
      </c>
      <c r="I524" t="inlineStr">
        <is>
          <t>Mobile App</t>
        </is>
      </c>
      <c r="J524">
        <f>INDEX('Data - Borrowers'!$B$2:$B$851, MATCH(B524, 'Data - Borrowers'!$A$2:$A$851, 0))</f>
        <v/>
      </c>
      <c r="K524">
        <f>INDEX('Data - Borrowers'!$C$2:$C$851, MATCH(B524, 'Data - Borrowers'!$A$2:$A$851, 0))</f>
        <v/>
      </c>
      <c r="L524">
        <f>IF(D524&lt;100000, "Micro (&lt;100K)", IF(D524&lt;500000, "Small (100K-500K)", "Medium (500K+)"))</f>
        <v/>
      </c>
      <c r="M524">
        <f>TEXT(C524, "yyyy-mm")</f>
        <v/>
      </c>
    </row>
    <row r="525">
      <c r="A525" t="inlineStr">
        <is>
          <t>LN200574</t>
        </is>
      </c>
      <c r="B525" t="inlineStr">
        <is>
          <t>BOR100432</t>
        </is>
      </c>
      <c r="C525" s="8" t="n">
        <v>46077</v>
      </c>
      <c r="D525" s="9" t="n">
        <v>215000</v>
      </c>
      <c r="E525" t="n">
        <v>6</v>
      </c>
      <c r="F525" s="10" t="n">
        <v>0.226</v>
      </c>
      <c r="G525" t="inlineStr">
        <is>
          <t>Asset Finance</t>
        </is>
      </c>
      <c r="H525" t="inlineStr">
        <is>
          <t>LO006</t>
        </is>
      </c>
      <c r="I525" t="inlineStr">
        <is>
          <t>Mobile App</t>
        </is>
      </c>
      <c r="J525">
        <f>INDEX('Data - Borrowers'!$B$2:$B$851, MATCH(B525, 'Data - Borrowers'!$A$2:$A$851, 0))</f>
        <v/>
      </c>
      <c r="K525">
        <f>INDEX('Data - Borrowers'!$C$2:$C$851, MATCH(B525, 'Data - Borrowers'!$A$2:$A$851, 0))</f>
        <v/>
      </c>
      <c r="L525">
        <f>IF(D525&lt;100000, "Micro (&lt;100K)", IF(D525&lt;500000, "Small (100K-500K)", "Medium (500K+)"))</f>
        <v/>
      </c>
      <c r="M525">
        <f>TEXT(C525, "yyyy-mm")</f>
        <v/>
      </c>
    </row>
    <row r="526">
      <c r="A526" t="inlineStr">
        <is>
          <t>LN200575</t>
        </is>
      </c>
      <c r="B526" t="inlineStr">
        <is>
          <t>BOR100433</t>
        </is>
      </c>
      <c r="C526" s="8" t="n">
        <v>46152</v>
      </c>
      <c r="D526" s="9" t="n">
        <v>105000</v>
      </c>
      <c r="E526" t="n">
        <v>9</v>
      </c>
      <c r="F526" s="10" t="n">
        <v>0.192</v>
      </c>
      <c r="G526" t="inlineStr">
        <is>
          <t>Asset Finance</t>
        </is>
      </c>
      <c r="H526" t="inlineStr">
        <is>
          <t>LO009</t>
        </is>
      </c>
      <c r="I526" t="inlineStr">
        <is>
          <t>Mobile App</t>
        </is>
      </c>
      <c r="J526">
        <f>INDEX('Data - Borrowers'!$B$2:$B$851, MATCH(B526, 'Data - Borrowers'!$A$2:$A$851, 0))</f>
        <v/>
      </c>
      <c r="K526">
        <f>INDEX('Data - Borrowers'!$C$2:$C$851, MATCH(B526, 'Data - Borrowers'!$A$2:$A$851, 0))</f>
        <v/>
      </c>
      <c r="L526">
        <f>IF(D526&lt;100000, "Micro (&lt;100K)", IF(D526&lt;500000, "Small (100K-500K)", "Medium (500K+)"))</f>
        <v/>
      </c>
      <c r="M526">
        <f>TEXT(C526, "yyyy-mm")</f>
        <v/>
      </c>
    </row>
    <row r="527">
      <c r="A527" t="inlineStr">
        <is>
          <t>LN200577</t>
        </is>
      </c>
      <c r="B527" t="inlineStr">
        <is>
          <t>BOR100434</t>
        </is>
      </c>
      <c r="C527" s="8" t="n">
        <v>46207</v>
      </c>
      <c r="D527" s="9" t="n">
        <v>237000</v>
      </c>
      <c r="E527" t="n">
        <v>3</v>
      </c>
      <c r="F527" s="10" t="n">
        <v>0.186</v>
      </c>
      <c r="G527" t="inlineStr">
        <is>
          <t>Working Capital</t>
        </is>
      </c>
      <c r="H527" t="inlineStr">
        <is>
          <t>LO008</t>
        </is>
      </c>
      <c r="I527" t="inlineStr">
        <is>
          <t>Mobile App</t>
        </is>
      </c>
      <c r="J527">
        <f>INDEX('Data - Borrowers'!$B$2:$B$851, MATCH(B527, 'Data - Borrowers'!$A$2:$A$851, 0))</f>
        <v/>
      </c>
      <c r="K527">
        <f>INDEX('Data - Borrowers'!$C$2:$C$851, MATCH(B527, 'Data - Borrowers'!$A$2:$A$851, 0))</f>
        <v/>
      </c>
      <c r="L527">
        <f>IF(D527&lt;100000, "Micro (&lt;100K)", IF(D527&lt;500000, "Small (100K-500K)", "Medium (500K+)"))</f>
        <v/>
      </c>
      <c r="M527">
        <f>TEXT(C527, "yyyy-mm")</f>
        <v/>
      </c>
    </row>
    <row r="528">
      <c r="A528" t="inlineStr">
        <is>
          <t>LN200578</t>
        </is>
      </c>
      <c r="B528" t="inlineStr">
        <is>
          <t>BOR100435</t>
        </is>
      </c>
      <c r="C528" s="8" t="n">
        <v>45809</v>
      </c>
      <c r="D528" s="9" t="n">
        <v>171000</v>
      </c>
      <c r="E528" t="n">
        <v>12</v>
      </c>
      <c r="F528" s="10" t="n">
        <v>0.19</v>
      </c>
      <c r="G528" t="inlineStr">
        <is>
          <t>Invoice Discounting</t>
        </is>
      </c>
      <c r="H528" t="inlineStr">
        <is>
          <t>LO023</t>
        </is>
      </c>
      <c r="I528" t="inlineStr">
        <is>
          <t>Partner Referral</t>
        </is>
      </c>
      <c r="J528">
        <f>INDEX('Data - Borrowers'!$B$2:$B$851, MATCH(B528, 'Data - Borrowers'!$A$2:$A$851, 0))</f>
        <v/>
      </c>
      <c r="K528">
        <f>INDEX('Data - Borrowers'!$C$2:$C$851, MATCH(B528, 'Data - Borrowers'!$A$2:$A$851, 0))</f>
        <v/>
      </c>
      <c r="L528">
        <f>IF(D528&lt;100000, "Micro (&lt;100K)", IF(D528&lt;500000, "Small (100K-500K)", "Medium (500K+)"))</f>
        <v/>
      </c>
      <c r="M528">
        <f>TEXT(C528, "yyyy-mm")</f>
        <v/>
      </c>
    </row>
    <row r="529">
      <c r="A529" t="inlineStr">
        <is>
          <t>LN200579</t>
        </is>
      </c>
      <c r="B529" t="inlineStr">
        <is>
          <t>BOR100435</t>
        </is>
      </c>
      <c r="C529" s="8" t="n">
        <v>46222</v>
      </c>
      <c r="D529" s="9" t="n">
        <v>144000</v>
      </c>
      <c r="E529" t="n">
        <v>12</v>
      </c>
      <c r="F529" s="10" t="n">
        <v>0.213</v>
      </c>
      <c r="G529" t="inlineStr">
        <is>
          <t>Working Capital</t>
        </is>
      </c>
      <c r="H529" t="inlineStr">
        <is>
          <t>LO019</t>
        </is>
      </c>
      <c r="I529" t="inlineStr">
        <is>
          <t>Mobile App</t>
        </is>
      </c>
      <c r="J529">
        <f>INDEX('Data - Borrowers'!$B$2:$B$851, MATCH(B529, 'Data - Borrowers'!$A$2:$A$851, 0))</f>
        <v/>
      </c>
      <c r="K529">
        <f>INDEX('Data - Borrowers'!$C$2:$C$851, MATCH(B529, 'Data - Borrowers'!$A$2:$A$851, 0))</f>
        <v/>
      </c>
      <c r="L529">
        <f>IF(D529&lt;100000, "Micro (&lt;100K)", IF(D529&lt;500000, "Small (100K-500K)", "Medium (500K+)"))</f>
        <v/>
      </c>
      <c r="M529">
        <f>TEXT(C529, "yyyy-mm")</f>
        <v/>
      </c>
    </row>
    <row r="530">
      <c r="A530" t="inlineStr">
        <is>
          <t>LN200580</t>
        </is>
      </c>
      <c r="B530" t="inlineStr">
        <is>
          <t>BOR100436</t>
        </is>
      </c>
      <c r="C530" s="8" t="n">
        <v>46176</v>
      </c>
      <c r="D530" s="9" t="n">
        <v>253000</v>
      </c>
      <c r="E530" t="n">
        <v>9</v>
      </c>
      <c r="F530" s="10" t="n">
        <v>0.225</v>
      </c>
      <c r="G530" t="inlineStr">
        <is>
          <t>Asset Finance</t>
        </is>
      </c>
      <c r="H530" t="inlineStr">
        <is>
          <t>LO002</t>
        </is>
      </c>
      <c r="I530" t="inlineStr">
        <is>
          <t>Partner Referral</t>
        </is>
      </c>
      <c r="J530">
        <f>INDEX('Data - Borrowers'!$B$2:$B$851, MATCH(B530, 'Data - Borrowers'!$A$2:$A$851, 0))</f>
        <v/>
      </c>
      <c r="K530">
        <f>INDEX('Data - Borrowers'!$C$2:$C$851, MATCH(B530, 'Data - Borrowers'!$A$2:$A$851, 0))</f>
        <v/>
      </c>
      <c r="L530">
        <f>IF(D530&lt;100000, "Micro (&lt;100K)", IF(D530&lt;500000, "Small (100K-500K)", "Medium (500K+)"))</f>
        <v/>
      </c>
      <c r="M530">
        <f>TEXT(C530, "yyyy-mm")</f>
        <v/>
      </c>
    </row>
    <row r="531">
      <c r="A531" t="inlineStr">
        <is>
          <t>LN200581</t>
        </is>
      </c>
      <c r="B531" t="inlineStr">
        <is>
          <t>BOR100437</t>
        </is>
      </c>
      <c r="C531" s="8" t="n">
        <v>46074</v>
      </c>
      <c r="D531" s="9" t="n">
        <v>194000</v>
      </c>
      <c r="E531" t="n">
        <v>3</v>
      </c>
      <c r="F531" s="10" t="n">
        <v>0.131</v>
      </c>
      <c r="G531" t="inlineStr">
        <is>
          <t>Invoice Discounting</t>
        </is>
      </c>
      <c r="H531" t="inlineStr">
        <is>
          <t>LO015</t>
        </is>
      </c>
      <c r="I531" t="inlineStr">
        <is>
          <t>Mobile App</t>
        </is>
      </c>
      <c r="J531">
        <f>INDEX('Data - Borrowers'!$B$2:$B$851, MATCH(B531, 'Data - Borrowers'!$A$2:$A$851, 0))</f>
        <v/>
      </c>
      <c r="K531">
        <f>INDEX('Data - Borrowers'!$C$2:$C$851, MATCH(B531, 'Data - Borrowers'!$A$2:$A$851, 0))</f>
        <v/>
      </c>
      <c r="L531">
        <f>IF(D531&lt;100000, "Micro (&lt;100K)", IF(D531&lt;500000, "Small (100K-500K)", "Medium (500K+)"))</f>
        <v/>
      </c>
      <c r="M531">
        <f>TEXT(C531, "yyyy-mm")</f>
        <v/>
      </c>
    </row>
    <row r="532">
      <c r="A532" t="inlineStr">
        <is>
          <t>LN200582</t>
        </is>
      </c>
      <c r="B532" t="inlineStr">
        <is>
          <t>BOR100438</t>
        </is>
      </c>
      <c r="C532" s="8" t="n">
        <v>45986</v>
      </c>
      <c r="D532" s="9" t="n">
        <v>33000</v>
      </c>
      <c r="E532" t="n">
        <v>9</v>
      </c>
      <c r="F532" s="10" t="n">
        <v>0.203</v>
      </c>
      <c r="G532" t="inlineStr">
        <is>
          <t>Asset Finance</t>
        </is>
      </c>
      <c r="H532" t="inlineStr">
        <is>
          <t>LO001</t>
        </is>
      </c>
      <c r="I532" t="inlineStr">
        <is>
          <t>Mobile App</t>
        </is>
      </c>
      <c r="J532">
        <f>INDEX('Data - Borrowers'!$B$2:$B$851, MATCH(B532, 'Data - Borrowers'!$A$2:$A$851, 0))</f>
        <v/>
      </c>
      <c r="K532">
        <f>INDEX('Data - Borrowers'!$C$2:$C$851, MATCH(B532, 'Data - Borrowers'!$A$2:$A$851, 0))</f>
        <v/>
      </c>
      <c r="L532">
        <f>IF(D532&lt;100000, "Micro (&lt;100K)", IF(D532&lt;500000, "Small (100K-500K)", "Medium (500K+)"))</f>
        <v/>
      </c>
      <c r="M532">
        <f>TEXT(C532, "yyyy-mm")</f>
        <v/>
      </c>
    </row>
    <row r="533">
      <c r="A533" t="inlineStr">
        <is>
          <t>LN200583</t>
        </is>
      </c>
      <c r="B533" t="inlineStr">
        <is>
          <t>BOR100439</t>
        </is>
      </c>
      <c r="C533" s="8" t="n">
        <v>45761</v>
      </c>
      <c r="D533" s="9" t="n">
        <v>31000</v>
      </c>
      <c r="E533" t="n">
        <v>12</v>
      </c>
      <c r="F533" s="10" t="n">
        <v>0.217</v>
      </c>
      <c r="G533" t="inlineStr">
        <is>
          <t>Asset Finance</t>
        </is>
      </c>
      <c r="H533" t="inlineStr">
        <is>
          <t>LO006</t>
        </is>
      </c>
      <c r="I533" t="inlineStr">
        <is>
          <t>Branch</t>
        </is>
      </c>
      <c r="J533">
        <f>INDEX('Data - Borrowers'!$B$2:$B$851, MATCH(B533, 'Data - Borrowers'!$A$2:$A$851, 0))</f>
        <v/>
      </c>
      <c r="K533">
        <f>INDEX('Data - Borrowers'!$C$2:$C$851, MATCH(B533, 'Data - Borrowers'!$A$2:$A$851, 0))</f>
        <v/>
      </c>
      <c r="L533">
        <f>IF(D533&lt;100000, "Micro (&lt;100K)", IF(D533&lt;500000, "Small (100K-500K)", "Medium (500K+)"))</f>
        <v/>
      </c>
      <c r="M533">
        <f>TEXT(C533, "yyyy-mm")</f>
        <v/>
      </c>
    </row>
    <row r="534">
      <c r="A534" t="inlineStr">
        <is>
          <t>LN200584</t>
        </is>
      </c>
      <c r="B534" t="inlineStr">
        <is>
          <t>BOR100440</t>
        </is>
      </c>
      <c r="C534" s="8" t="n">
        <v>45999</v>
      </c>
      <c r="D534" s="9" t="n">
        <v>157000</v>
      </c>
      <c r="E534" t="n">
        <v>3</v>
      </c>
      <c r="F534" s="10" t="n">
        <v>0.192</v>
      </c>
      <c r="G534" t="inlineStr">
        <is>
          <t>Working Capital</t>
        </is>
      </c>
      <c r="H534" t="inlineStr">
        <is>
          <t>LO010</t>
        </is>
      </c>
      <c r="I534" t="inlineStr">
        <is>
          <t>Mobile App</t>
        </is>
      </c>
      <c r="J534">
        <f>INDEX('Data - Borrowers'!$B$2:$B$851, MATCH(B534, 'Data - Borrowers'!$A$2:$A$851, 0))</f>
        <v/>
      </c>
      <c r="K534">
        <f>INDEX('Data - Borrowers'!$C$2:$C$851, MATCH(B534, 'Data - Borrowers'!$A$2:$A$851, 0))</f>
        <v/>
      </c>
      <c r="L534">
        <f>IF(D534&lt;100000, "Micro (&lt;100K)", IF(D534&lt;500000, "Small (100K-500K)", "Medium (500K+)"))</f>
        <v/>
      </c>
      <c r="M534">
        <f>TEXT(C534, "yyyy-mm")</f>
        <v/>
      </c>
    </row>
    <row r="535">
      <c r="A535" t="inlineStr">
        <is>
          <t>LN200585</t>
        </is>
      </c>
      <c r="B535" t="inlineStr">
        <is>
          <t>BOR100440</t>
        </is>
      </c>
      <c r="C535" s="8" t="n">
        <v>46180</v>
      </c>
      <c r="D535" s="9" t="n">
        <v>183000</v>
      </c>
      <c r="E535" t="n">
        <v>6</v>
      </c>
      <c r="F535" s="10" t="n">
        <v>0.146</v>
      </c>
      <c r="G535" t="inlineStr">
        <is>
          <t>Invoice Discounting</t>
        </is>
      </c>
      <c r="H535" t="inlineStr">
        <is>
          <t>LO023</t>
        </is>
      </c>
      <c r="I535" t="inlineStr">
        <is>
          <t>Mobile App</t>
        </is>
      </c>
      <c r="J535">
        <f>INDEX('Data - Borrowers'!$B$2:$B$851, MATCH(B535, 'Data - Borrowers'!$A$2:$A$851, 0))</f>
        <v/>
      </c>
      <c r="K535">
        <f>INDEX('Data - Borrowers'!$C$2:$C$851, MATCH(B535, 'Data - Borrowers'!$A$2:$A$851, 0))</f>
        <v/>
      </c>
      <c r="L535">
        <f>IF(D535&lt;100000, "Micro (&lt;100K)", IF(D535&lt;500000, "Small (100K-500K)", "Medium (500K+)"))</f>
        <v/>
      </c>
      <c r="M535">
        <f>TEXT(C535, "yyyy-mm")</f>
        <v/>
      </c>
    </row>
    <row r="536">
      <c r="A536" t="inlineStr">
        <is>
          <t>LN200587</t>
        </is>
      </c>
      <c r="B536" t="inlineStr">
        <is>
          <t>BOR100441</t>
        </is>
      </c>
      <c r="C536" s="8" t="n">
        <v>46151</v>
      </c>
      <c r="D536" s="9" t="n">
        <v>57000</v>
      </c>
      <c r="E536" t="n">
        <v>6</v>
      </c>
      <c r="F536" s="10" t="n">
        <v>0.169</v>
      </c>
      <c r="G536" t="inlineStr">
        <is>
          <t>Working Capital</t>
        </is>
      </c>
      <c r="H536" t="inlineStr">
        <is>
          <t>LO012</t>
        </is>
      </c>
      <c r="I536" t="inlineStr">
        <is>
          <t>Branch</t>
        </is>
      </c>
      <c r="J536">
        <f>INDEX('Data - Borrowers'!$B$2:$B$851, MATCH(B536, 'Data - Borrowers'!$A$2:$A$851, 0))</f>
        <v/>
      </c>
      <c r="K536">
        <f>INDEX('Data - Borrowers'!$C$2:$C$851, MATCH(B536, 'Data - Borrowers'!$A$2:$A$851, 0))</f>
        <v/>
      </c>
      <c r="L536">
        <f>IF(D536&lt;100000, "Micro (&lt;100K)", IF(D536&lt;500000, "Small (100K-500K)", "Medium (500K+)"))</f>
        <v/>
      </c>
      <c r="M536">
        <f>TEXT(C536, "yyyy-mm")</f>
        <v/>
      </c>
    </row>
    <row r="537">
      <c r="A537" t="inlineStr">
        <is>
          <t>LN200588</t>
        </is>
      </c>
      <c r="B537" t="inlineStr">
        <is>
          <t>BOR100442</t>
        </is>
      </c>
      <c r="C537" s="8" t="n">
        <v>45891</v>
      </c>
      <c r="D537" s="9" t="n">
        <v>40000</v>
      </c>
      <c r="E537" t="n">
        <v>3</v>
      </c>
      <c r="F537" s="10" t="n">
        <v>0.123</v>
      </c>
      <c r="G537" t="inlineStr">
        <is>
          <t>Invoice Discounting</t>
        </is>
      </c>
      <c r="H537" t="inlineStr">
        <is>
          <t>LO021</t>
        </is>
      </c>
      <c r="I537" t="inlineStr">
        <is>
          <t>Partner Referral</t>
        </is>
      </c>
      <c r="J537">
        <f>INDEX('Data - Borrowers'!$B$2:$B$851, MATCH(B537, 'Data - Borrowers'!$A$2:$A$851, 0))</f>
        <v/>
      </c>
      <c r="K537">
        <f>INDEX('Data - Borrowers'!$C$2:$C$851, MATCH(B537, 'Data - Borrowers'!$A$2:$A$851, 0))</f>
        <v/>
      </c>
      <c r="L537">
        <f>IF(D537&lt;100000, "Micro (&lt;100K)", IF(D537&lt;500000, "Small (100K-500K)", "Medium (500K+)"))</f>
        <v/>
      </c>
      <c r="M537">
        <f>TEXT(C537, "yyyy-mm")</f>
        <v/>
      </c>
    </row>
    <row r="538">
      <c r="A538" t="inlineStr">
        <is>
          <t>LN200589</t>
        </is>
      </c>
      <c r="B538" t="inlineStr">
        <is>
          <t>BOR100443</t>
        </is>
      </c>
      <c r="C538" s="8" t="n">
        <v>45833</v>
      </c>
      <c r="D538" s="9" t="n">
        <v>77000</v>
      </c>
      <c r="E538" t="n">
        <v>6</v>
      </c>
      <c r="F538" s="10" t="n">
        <v>0.232</v>
      </c>
      <c r="G538" t="inlineStr">
        <is>
          <t>Working Capital</t>
        </is>
      </c>
      <c r="H538" t="inlineStr">
        <is>
          <t>LO021</t>
        </is>
      </c>
      <c r="I538" t="inlineStr">
        <is>
          <t>Mobile App</t>
        </is>
      </c>
      <c r="J538">
        <f>INDEX('Data - Borrowers'!$B$2:$B$851, MATCH(B538, 'Data - Borrowers'!$A$2:$A$851, 0))</f>
        <v/>
      </c>
      <c r="K538">
        <f>INDEX('Data - Borrowers'!$C$2:$C$851, MATCH(B538, 'Data - Borrowers'!$A$2:$A$851, 0))</f>
        <v/>
      </c>
      <c r="L538">
        <f>IF(D538&lt;100000, "Micro (&lt;100K)", IF(D538&lt;500000, "Small (100K-500K)", "Medium (500K+)"))</f>
        <v/>
      </c>
      <c r="M538">
        <f>TEXT(C538, "yyyy-mm")</f>
        <v/>
      </c>
    </row>
    <row r="539">
      <c r="A539" t="inlineStr">
        <is>
          <t>LN200590</t>
        </is>
      </c>
      <c r="B539" t="inlineStr">
        <is>
          <t>BOR100444</t>
        </is>
      </c>
      <c r="C539" s="8" t="n">
        <v>46024</v>
      </c>
      <c r="D539" s="9" t="n">
        <v>190000</v>
      </c>
      <c r="E539" t="n">
        <v>3</v>
      </c>
      <c r="F539" s="10" t="n">
        <v>0.213</v>
      </c>
      <c r="G539" t="inlineStr">
        <is>
          <t>Working Capital</t>
        </is>
      </c>
      <c r="H539" t="inlineStr">
        <is>
          <t>LO014</t>
        </is>
      </c>
      <c r="I539" t="inlineStr">
        <is>
          <t>Branch</t>
        </is>
      </c>
      <c r="J539">
        <f>INDEX('Data - Borrowers'!$B$2:$B$851, MATCH(B539, 'Data - Borrowers'!$A$2:$A$851, 0))</f>
        <v/>
      </c>
      <c r="K539">
        <f>INDEX('Data - Borrowers'!$C$2:$C$851, MATCH(B539, 'Data - Borrowers'!$A$2:$A$851, 0))</f>
        <v/>
      </c>
      <c r="L539">
        <f>IF(D539&lt;100000, "Micro (&lt;100K)", IF(D539&lt;500000, "Small (100K-500K)", "Medium (500K+)"))</f>
        <v/>
      </c>
      <c r="M539">
        <f>TEXT(C539, "yyyy-mm")</f>
        <v/>
      </c>
    </row>
    <row r="540">
      <c r="A540" t="inlineStr">
        <is>
          <t>LN200591</t>
        </is>
      </c>
      <c r="B540" t="inlineStr">
        <is>
          <t>BOR100445</t>
        </is>
      </c>
      <c r="C540" s="8" t="n">
        <v>45678</v>
      </c>
      <c r="D540" s="9" t="n">
        <v>70000</v>
      </c>
      <c r="E540" t="n">
        <v>3</v>
      </c>
      <c r="F540" s="10" t="n">
        <v>0.134</v>
      </c>
      <c r="G540" t="inlineStr">
        <is>
          <t>Asset Finance</t>
        </is>
      </c>
      <c r="H540" t="inlineStr">
        <is>
          <t>LO015</t>
        </is>
      </c>
      <c r="I540" t="inlineStr">
        <is>
          <t>Mobile App</t>
        </is>
      </c>
      <c r="J540">
        <f>INDEX('Data - Borrowers'!$B$2:$B$851, MATCH(B540, 'Data - Borrowers'!$A$2:$A$851, 0))</f>
        <v/>
      </c>
      <c r="K540">
        <f>INDEX('Data - Borrowers'!$C$2:$C$851, MATCH(B540, 'Data - Borrowers'!$A$2:$A$851, 0))</f>
        <v/>
      </c>
      <c r="L540">
        <f>IF(D540&lt;100000, "Micro (&lt;100K)", IF(D540&lt;500000, "Small (100K-500K)", "Medium (500K+)"))</f>
        <v/>
      </c>
      <c r="M540">
        <f>TEXT(C540, "yyyy-mm")</f>
        <v/>
      </c>
    </row>
    <row r="541">
      <c r="A541" t="inlineStr">
        <is>
          <t>LN200592</t>
        </is>
      </c>
      <c r="B541" t="inlineStr">
        <is>
          <t>BOR100445</t>
        </is>
      </c>
      <c r="C541" s="8" t="n">
        <v>46215</v>
      </c>
      <c r="D541" s="9" t="n">
        <v>122000</v>
      </c>
      <c r="E541" t="n">
        <v>3</v>
      </c>
      <c r="F541" s="10" t="n">
        <v>0.214</v>
      </c>
      <c r="G541" t="inlineStr">
        <is>
          <t>Working Capital</t>
        </is>
      </c>
      <c r="H541" t="inlineStr">
        <is>
          <t>LO008</t>
        </is>
      </c>
      <c r="I541" t="inlineStr">
        <is>
          <t>Mobile App</t>
        </is>
      </c>
      <c r="J541">
        <f>INDEX('Data - Borrowers'!$B$2:$B$851, MATCH(B541, 'Data - Borrowers'!$A$2:$A$851, 0))</f>
        <v/>
      </c>
      <c r="K541">
        <f>INDEX('Data - Borrowers'!$C$2:$C$851, MATCH(B541, 'Data - Borrowers'!$A$2:$A$851, 0))</f>
        <v/>
      </c>
      <c r="L541">
        <f>IF(D541&lt;100000, "Micro (&lt;100K)", IF(D541&lt;500000, "Small (100K-500K)", "Medium (500K+)"))</f>
        <v/>
      </c>
      <c r="M541">
        <f>TEXT(C541, "yyyy-mm")</f>
        <v/>
      </c>
    </row>
    <row r="542">
      <c r="A542" t="inlineStr">
        <is>
          <t>LN200593</t>
        </is>
      </c>
      <c r="B542" t="inlineStr">
        <is>
          <t>BOR100446</t>
        </is>
      </c>
      <c r="C542" s="8" t="n">
        <v>46071</v>
      </c>
      <c r="D542" s="9" t="n">
        <v>64000</v>
      </c>
      <c r="E542" t="n">
        <v>12</v>
      </c>
      <c r="F542" s="10" t="n">
        <v>0.148</v>
      </c>
      <c r="G542" t="inlineStr">
        <is>
          <t>Working Capital</t>
        </is>
      </c>
      <c r="H542" t="inlineStr">
        <is>
          <t>LO006</t>
        </is>
      </c>
      <c r="I542" t="inlineStr">
        <is>
          <t>Mobile App</t>
        </is>
      </c>
      <c r="J542">
        <f>INDEX('Data - Borrowers'!$B$2:$B$851, MATCH(B542, 'Data - Borrowers'!$A$2:$A$851, 0))</f>
        <v/>
      </c>
      <c r="K542">
        <f>INDEX('Data - Borrowers'!$C$2:$C$851, MATCH(B542, 'Data - Borrowers'!$A$2:$A$851, 0))</f>
        <v/>
      </c>
      <c r="L542">
        <f>IF(D542&lt;100000, "Micro (&lt;100K)", IF(D542&lt;500000, "Small (100K-500K)", "Medium (500K+)"))</f>
        <v/>
      </c>
      <c r="M542">
        <f>TEXT(C542, "yyyy-mm")</f>
        <v/>
      </c>
    </row>
    <row r="543">
      <c r="A543" t="inlineStr">
        <is>
          <t>LN200594</t>
        </is>
      </c>
      <c r="B543" t="inlineStr">
        <is>
          <t>BOR100446</t>
        </is>
      </c>
      <c r="C543" s="8" t="n">
        <v>46207</v>
      </c>
      <c r="D543" s="9" t="n">
        <v>63000</v>
      </c>
      <c r="E543" t="n">
        <v>6</v>
      </c>
      <c r="F543" s="10" t="n">
        <v>0.152</v>
      </c>
      <c r="G543" t="inlineStr">
        <is>
          <t>Asset Finance</t>
        </is>
      </c>
      <c r="H543" t="inlineStr">
        <is>
          <t>LO018</t>
        </is>
      </c>
      <c r="I543" t="inlineStr">
        <is>
          <t>Mobile App</t>
        </is>
      </c>
      <c r="J543">
        <f>INDEX('Data - Borrowers'!$B$2:$B$851, MATCH(B543, 'Data - Borrowers'!$A$2:$A$851, 0))</f>
        <v/>
      </c>
      <c r="K543">
        <f>INDEX('Data - Borrowers'!$C$2:$C$851, MATCH(B543, 'Data - Borrowers'!$A$2:$A$851, 0))</f>
        <v/>
      </c>
      <c r="L543">
        <f>IF(D543&lt;100000, "Micro (&lt;100K)", IF(D543&lt;500000, "Small (100K-500K)", "Medium (500K+)"))</f>
        <v/>
      </c>
      <c r="M543">
        <f>TEXT(C543, "yyyy-mm")</f>
        <v/>
      </c>
    </row>
    <row r="544">
      <c r="A544" t="inlineStr">
        <is>
          <t>LN200595</t>
        </is>
      </c>
      <c r="B544" t="inlineStr">
        <is>
          <t>BOR100447</t>
        </is>
      </c>
      <c r="C544" s="8" t="n">
        <v>45967</v>
      </c>
      <c r="D544" s="9" t="n">
        <v>345000</v>
      </c>
      <c r="E544" t="n">
        <v>6</v>
      </c>
      <c r="F544" s="10" t="n">
        <v>0.121</v>
      </c>
      <c r="G544" t="inlineStr">
        <is>
          <t>Asset Finance</t>
        </is>
      </c>
      <c r="H544" t="inlineStr">
        <is>
          <t>LO002</t>
        </is>
      </c>
      <c r="I544" t="inlineStr">
        <is>
          <t>Mobile App</t>
        </is>
      </c>
      <c r="J544">
        <f>INDEX('Data - Borrowers'!$B$2:$B$851, MATCH(B544, 'Data - Borrowers'!$A$2:$A$851, 0))</f>
        <v/>
      </c>
      <c r="K544">
        <f>INDEX('Data - Borrowers'!$C$2:$C$851, MATCH(B544, 'Data - Borrowers'!$A$2:$A$851, 0))</f>
        <v/>
      </c>
      <c r="L544">
        <f>IF(D544&lt;100000, "Micro (&lt;100K)", IF(D544&lt;500000, "Small (100K-500K)", "Medium (500K+)"))</f>
        <v/>
      </c>
      <c r="M544">
        <f>TEXT(C544, "yyyy-mm")</f>
        <v/>
      </c>
    </row>
    <row r="545">
      <c r="A545" t="inlineStr">
        <is>
          <t>LN200596</t>
        </is>
      </c>
      <c r="B545" t="inlineStr">
        <is>
          <t>BOR100447</t>
        </is>
      </c>
      <c r="C545" s="8" t="n">
        <v>46179</v>
      </c>
      <c r="D545" s="9" t="n">
        <v>223000</v>
      </c>
      <c r="E545" t="n">
        <v>18</v>
      </c>
      <c r="F545" s="10" t="n">
        <v>0.162</v>
      </c>
      <c r="G545" t="inlineStr">
        <is>
          <t>Asset Finance</t>
        </is>
      </c>
      <c r="H545" t="inlineStr">
        <is>
          <t>LO012</t>
        </is>
      </c>
      <c r="I545" t="inlineStr">
        <is>
          <t>Branch</t>
        </is>
      </c>
      <c r="J545">
        <f>INDEX('Data - Borrowers'!$B$2:$B$851, MATCH(B545, 'Data - Borrowers'!$A$2:$A$851, 0))</f>
        <v/>
      </c>
      <c r="K545">
        <f>INDEX('Data - Borrowers'!$C$2:$C$851, MATCH(B545, 'Data - Borrowers'!$A$2:$A$851, 0))</f>
        <v/>
      </c>
      <c r="L545">
        <f>IF(D545&lt;100000, "Micro (&lt;100K)", IF(D545&lt;500000, "Small (100K-500K)", "Medium (500K+)"))</f>
        <v/>
      </c>
      <c r="M545">
        <f>TEXT(C545, "yyyy-mm")</f>
        <v/>
      </c>
    </row>
    <row r="546">
      <c r="A546" t="inlineStr">
        <is>
          <t>LN200597</t>
        </is>
      </c>
      <c r="B546" t="inlineStr">
        <is>
          <t>BOR100448</t>
        </is>
      </c>
      <c r="C546" s="8" t="n">
        <v>45666</v>
      </c>
      <c r="D546" s="9" t="n">
        <v>75000</v>
      </c>
      <c r="E546" t="n">
        <v>12</v>
      </c>
      <c r="F546" s="10" t="n">
        <v>0.146</v>
      </c>
      <c r="G546" t="inlineStr">
        <is>
          <t>Invoice Discounting</t>
        </is>
      </c>
      <c r="H546" t="inlineStr">
        <is>
          <t>LO004</t>
        </is>
      </c>
      <c r="I546" t="inlineStr">
        <is>
          <t>Mobile App</t>
        </is>
      </c>
      <c r="J546">
        <f>INDEX('Data - Borrowers'!$B$2:$B$851, MATCH(B546, 'Data - Borrowers'!$A$2:$A$851, 0))</f>
        <v/>
      </c>
      <c r="K546">
        <f>INDEX('Data - Borrowers'!$C$2:$C$851, MATCH(B546, 'Data - Borrowers'!$A$2:$A$851, 0))</f>
        <v/>
      </c>
      <c r="L546">
        <f>IF(D546&lt;100000, "Micro (&lt;100K)", IF(D546&lt;500000, "Small (100K-500K)", "Medium (500K+)"))</f>
        <v/>
      </c>
      <c r="M546">
        <f>TEXT(C546, "yyyy-mm")</f>
        <v/>
      </c>
    </row>
    <row r="547">
      <c r="A547" t="inlineStr">
        <is>
          <t>LN200598</t>
        </is>
      </c>
      <c r="B547" t="inlineStr">
        <is>
          <t>BOR100449</t>
        </is>
      </c>
      <c r="C547" s="8" t="n">
        <v>45832</v>
      </c>
      <c r="D547" s="9" t="n">
        <v>26000</v>
      </c>
      <c r="E547" t="n">
        <v>3</v>
      </c>
      <c r="F547" s="10" t="n">
        <v>0.212</v>
      </c>
      <c r="G547" t="inlineStr">
        <is>
          <t>Working Capital</t>
        </is>
      </c>
      <c r="H547" t="inlineStr">
        <is>
          <t>LO024</t>
        </is>
      </c>
      <c r="I547" t="inlineStr">
        <is>
          <t>Branch</t>
        </is>
      </c>
      <c r="J547">
        <f>INDEX('Data - Borrowers'!$B$2:$B$851, MATCH(B547, 'Data - Borrowers'!$A$2:$A$851, 0))</f>
        <v/>
      </c>
      <c r="K547">
        <f>INDEX('Data - Borrowers'!$C$2:$C$851, MATCH(B547, 'Data - Borrowers'!$A$2:$A$851, 0))</f>
        <v/>
      </c>
      <c r="L547">
        <f>IF(D547&lt;100000, "Micro (&lt;100K)", IF(D547&lt;500000, "Small (100K-500K)", "Medium (500K+)"))</f>
        <v/>
      </c>
      <c r="M547">
        <f>TEXT(C547, "yyyy-mm")</f>
        <v/>
      </c>
    </row>
    <row r="548">
      <c r="A548" t="inlineStr">
        <is>
          <t>LN200599</t>
        </is>
      </c>
      <c r="B548" t="inlineStr">
        <is>
          <t>BOR100450</t>
        </is>
      </c>
      <c r="C548" s="8" t="n">
        <v>46203</v>
      </c>
      <c r="D548" s="9" t="n">
        <v>65000</v>
      </c>
      <c r="E548" t="n">
        <v>6</v>
      </c>
      <c r="F548" s="10" t="n">
        <v>0.155</v>
      </c>
      <c r="G548" t="inlineStr">
        <is>
          <t>Asset Finance</t>
        </is>
      </c>
      <c r="H548" t="inlineStr">
        <is>
          <t>LO002</t>
        </is>
      </c>
      <c r="I548" t="inlineStr">
        <is>
          <t>Branch</t>
        </is>
      </c>
      <c r="J548">
        <f>INDEX('Data - Borrowers'!$B$2:$B$851, MATCH(B548, 'Data - Borrowers'!$A$2:$A$851, 0))</f>
        <v/>
      </c>
      <c r="K548">
        <f>INDEX('Data - Borrowers'!$C$2:$C$851, MATCH(B548, 'Data - Borrowers'!$A$2:$A$851, 0))</f>
        <v/>
      </c>
      <c r="L548">
        <f>IF(D548&lt;100000, "Micro (&lt;100K)", IF(D548&lt;500000, "Small (100K-500K)", "Medium (500K+)"))</f>
        <v/>
      </c>
      <c r="M548">
        <f>TEXT(C548, "yyyy-mm")</f>
        <v/>
      </c>
    </row>
    <row r="549">
      <c r="A549" t="inlineStr">
        <is>
          <t>LN200600</t>
        </is>
      </c>
      <c r="B549" t="inlineStr">
        <is>
          <t>BOR100451</t>
        </is>
      </c>
      <c r="C549" s="8" t="n">
        <v>45759</v>
      </c>
      <c r="D549" s="9" t="n">
        <v>158000</v>
      </c>
      <c r="E549" t="n">
        <v>6</v>
      </c>
      <c r="F549" s="10" t="n">
        <v>0.198</v>
      </c>
      <c r="G549" t="inlineStr">
        <is>
          <t>Working Capital</t>
        </is>
      </c>
      <c r="H549" t="inlineStr">
        <is>
          <t>LO025</t>
        </is>
      </c>
      <c r="I549" t="inlineStr">
        <is>
          <t>Mobile App</t>
        </is>
      </c>
      <c r="J549">
        <f>INDEX('Data - Borrowers'!$B$2:$B$851, MATCH(B549, 'Data - Borrowers'!$A$2:$A$851, 0))</f>
        <v/>
      </c>
      <c r="K549">
        <f>INDEX('Data - Borrowers'!$C$2:$C$851, MATCH(B549, 'Data - Borrowers'!$A$2:$A$851, 0))</f>
        <v/>
      </c>
      <c r="L549">
        <f>IF(D549&lt;100000, "Micro (&lt;100K)", IF(D549&lt;500000, "Small (100K-500K)", "Medium (500K+)"))</f>
        <v/>
      </c>
      <c r="M549">
        <f>TEXT(C549, "yyyy-mm")</f>
        <v/>
      </c>
    </row>
    <row r="550">
      <c r="A550" t="inlineStr">
        <is>
          <t>LN200601</t>
        </is>
      </c>
      <c r="B550" t="inlineStr">
        <is>
          <t>BOR100452</t>
        </is>
      </c>
      <c r="C550" s="8" t="n">
        <v>45896</v>
      </c>
      <c r="D550" s="9" t="n">
        <v>150000</v>
      </c>
      <c r="E550" t="n">
        <v>9</v>
      </c>
      <c r="F550" s="10" t="n">
        <v>0.164</v>
      </c>
      <c r="G550" t="inlineStr">
        <is>
          <t>Working Capital</t>
        </is>
      </c>
      <c r="H550" t="inlineStr">
        <is>
          <t>LO007</t>
        </is>
      </c>
      <c r="I550" t="inlineStr">
        <is>
          <t>Mobile App</t>
        </is>
      </c>
      <c r="J550">
        <f>INDEX('Data - Borrowers'!$B$2:$B$851, MATCH(B550, 'Data - Borrowers'!$A$2:$A$851, 0))</f>
        <v/>
      </c>
      <c r="K550">
        <f>INDEX('Data - Borrowers'!$C$2:$C$851, MATCH(B550, 'Data - Borrowers'!$A$2:$A$851, 0))</f>
        <v/>
      </c>
      <c r="L550">
        <f>IF(D550&lt;100000, "Micro (&lt;100K)", IF(D550&lt;500000, "Small (100K-500K)", "Medium (500K+)"))</f>
        <v/>
      </c>
      <c r="M550">
        <f>TEXT(C550, "yyyy-mm")</f>
        <v/>
      </c>
    </row>
    <row r="551">
      <c r="A551" t="inlineStr">
        <is>
          <t>LN200602</t>
        </is>
      </c>
      <c r="B551" t="inlineStr">
        <is>
          <t>BOR100453</t>
        </is>
      </c>
      <c r="C551" s="8" t="n">
        <v>45899</v>
      </c>
      <c r="D551" s="9" t="n">
        <v>273000</v>
      </c>
      <c r="E551" t="n">
        <v>6</v>
      </c>
      <c r="F551" s="10" t="n">
        <v>0.167</v>
      </c>
      <c r="G551" t="inlineStr">
        <is>
          <t>Invoice Discounting</t>
        </is>
      </c>
      <c r="H551" t="inlineStr">
        <is>
          <t>LO008</t>
        </is>
      </c>
      <c r="I551" t="inlineStr">
        <is>
          <t>Partner Referral</t>
        </is>
      </c>
      <c r="J551">
        <f>INDEX('Data - Borrowers'!$B$2:$B$851, MATCH(B551, 'Data - Borrowers'!$A$2:$A$851, 0))</f>
        <v/>
      </c>
      <c r="K551">
        <f>INDEX('Data - Borrowers'!$C$2:$C$851, MATCH(B551, 'Data - Borrowers'!$A$2:$A$851, 0))</f>
        <v/>
      </c>
      <c r="L551">
        <f>IF(D551&lt;100000, "Micro (&lt;100K)", IF(D551&lt;500000, "Small (100K-500K)", "Medium (500K+)"))</f>
        <v/>
      </c>
      <c r="M551">
        <f>TEXT(C551, "yyyy-mm")</f>
        <v/>
      </c>
    </row>
    <row r="552">
      <c r="A552" t="inlineStr">
        <is>
          <t>LN200603</t>
        </is>
      </c>
      <c r="B552" t="inlineStr">
        <is>
          <t>BOR100454</t>
        </is>
      </c>
      <c r="C552" s="8" t="n">
        <v>45733</v>
      </c>
      <c r="D552" s="9" t="n">
        <v>173000</v>
      </c>
      <c r="E552" t="n">
        <v>3</v>
      </c>
      <c r="F552" s="10" t="n">
        <v>0.206</v>
      </c>
      <c r="G552" t="inlineStr">
        <is>
          <t>Working Capital</t>
        </is>
      </c>
      <c r="H552" t="inlineStr">
        <is>
          <t>LO008</t>
        </is>
      </c>
      <c r="I552" t="inlineStr">
        <is>
          <t>Branch</t>
        </is>
      </c>
      <c r="J552">
        <f>INDEX('Data - Borrowers'!$B$2:$B$851, MATCH(B552, 'Data - Borrowers'!$A$2:$A$851, 0))</f>
        <v/>
      </c>
      <c r="K552">
        <f>INDEX('Data - Borrowers'!$C$2:$C$851, MATCH(B552, 'Data - Borrowers'!$A$2:$A$851, 0))</f>
        <v/>
      </c>
      <c r="L552">
        <f>IF(D552&lt;100000, "Micro (&lt;100K)", IF(D552&lt;500000, "Small (100K-500K)", "Medium (500K+)"))</f>
        <v/>
      </c>
      <c r="M552">
        <f>TEXT(C552, "yyyy-mm")</f>
        <v/>
      </c>
    </row>
    <row r="553">
      <c r="A553" t="inlineStr">
        <is>
          <t>LN200604</t>
        </is>
      </c>
      <c r="B553" t="inlineStr">
        <is>
          <t>BOR100455</t>
        </is>
      </c>
      <c r="C553" s="8" t="n">
        <v>46152</v>
      </c>
      <c r="D553" s="9" t="n">
        <v>156000</v>
      </c>
      <c r="E553" t="n">
        <v>12</v>
      </c>
      <c r="F553" s="10" t="n">
        <v>0.21</v>
      </c>
      <c r="G553" t="inlineStr">
        <is>
          <t>Asset Finance</t>
        </is>
      </c>
      <c r="H553" t="inlineStr">
        <is>
          <t>LO015</t>
        </is>
      </c>
      <c r="I553" t="inlineStr">
        <is>
          <t>Mobile App</t>
        </is>
      </c>
      <c r="J553">
        <f>INDEX('Data - Borrowers'!$B$2:$B$851, MATCH(B553, 'Data - Borrowers'!$A$2:$A$851, 0))</f>
        <v/>
      </c>
      <c r="K553">
        <f>INDEX('Data - Borrowers'!$C$2:$C$851, MATCH(B553, 'Data - Borrowers'!$A$2:$A$851, 0))</f>
        <v/>
      </c>
      <c r="L553">
        <f>IF(D553&lt;100000, "Micro (&lt;100K)", IF(D553&lt;500000, "Small (100K-500K)", "Medium (500K+)"))</f>
        <v/>
      </c>
      <c r="M553">
        <f>TEXT(C553, "yyyy-mm")</f>
        <v/>
      </c>
    </row>
    <row r="554">
      <c r="A554" t="inlineStr">
        <is>
          <t>LN200605</t>
        </is>
      </c>
      <c r="B554" t="inlineStr">
        <is>
          <t>BOR100456</t>
        </is>
      </c>
      <c r="C554" s="8" t="n">
        <v>45698</v>
      </c>
      <c r="D554" s="9" t="n">
        <v>49000</v>
      </c>
      <c r="E554" t="n">
        <v>12</v>
      </c>
      <c r="F554" s="10" t="n">
        <v>0.137</v>
      </c>
      <c r="G554" t="inlineStr">
        <is>
          <t>Working Capital</t>
        </is>
      </c>
      <c r="H554" t="inlineStr">
        <is>
          <t>LO001</t>
        </is>
      </c>
      <c r="I554" t="inlineStr">
        <is>
          <t>Mobile App</t>
        </is>
      </c>
      <c r="J554">
        <f>INDEX('Data - Borrowers'!$B$2:$B$851, MATCH(B554, 'Data - Borrowers'!$A$2:$A$851, 0))</f>
        <v/>
      </c>
      <c r="K554">
        <f>INDEX('Data - Borrowers'!$C$2:$C$851, MATCH(B554, 'Data - Borrowers'!$A$2:$A$851, 0))</f>
        <v/>
      </c>
      <c r="L554">
        <f>IF(D554&lt;100000, "Micro (&lt;100K)", IF(D554&lt;500000, "Small (100K-500K)", "Medium (500K+)"))</f>
        <v/>
      </c>
      <c r="M554">
        <f>TEXT(C554, "yyyy-mm")</f>
        <v/>
      </c>
    </row>
    <row r="555">
      <c r="A555" t="inlineStr">
        <is>
          <t>LN200606</t>
        </is>
      </c>
      <c r="B555" t="inlineStr">
        <is>
          <t>BOR100456</t>
        </is>
      </c>
      <c r="C555" s="8" t="n">
        <v>45966</v>
      </c>
      <c r="D555" s="9" t="n">
        <v>79000</v>
      </c>
      <c r="E555" t="n">
        <v>12</v>
      </c>
      <c r="F555" s="10" t="n">
        <v>0.237</v>
      </c>
      <c r="G555" t="inlineStr">
        <is>
          <t>Invoice Discounting</t>
        </is>
      </c>
      <c r="H555" t="inlineStr">
        <is>
          <t>LO020</t>
        </is>
      </c>
      <c r="I555" t="inlineStr">
        <is>
          <t>Partner Referral</t>
        </is>
      </c>
      <c r="J555">
        <f>INDEX('Data - Borrowers'!$B$2:$B$851, MATCH(B555, 'Data - Borrowers'!$A$2:$A$851, 0))</f>
        <v/>
      </c>
      <c r="K555">
        <f>INDEX('Data - Borrowers'!$C$2:$C$851, MATCH(B555, 'Data - Borrowers'!$A$2:$A$851, 0))</f>
        <v/>
      </c>
      <c r="L555">
        <f>IF(D555&lt;100000, "Micro (&lt;100K)", IF(D555&lt;500000, "Small (100K-500K)", "Medium (500K+)"))</f>
        <v/>
      </c>
      <c r="M555">
        <f>TEXT(C555, "yyyy-mm")</f>
        <v/>
      </c>
    </row>
    <row r="556">
      <c r="A556" t="inlineStr">
        <is>
          <t>LN200607</t>
        </is>
      </c>
      <c r="B556" t="inlineStr">
        <is>
          <t>BOR100456</t>
        </is>
      </c>
      <c r="C556" s="8" t="n">
        <v>46154</v>
      </c>
      <c r="D556" s="9" t="n">
        <v>31000</v>
      </c>
      <c r="E556" t="n">
        <v>3</v>
      </c>
      <c r="F556" s="10" t="n">
        <v>0.205</v>
      </c>
      <c r="G556" t="inlineStr">
        <is>
          <t>Working Capital</t>
        </is>
      </c>
      <c r="H556" t="inlineStr">
        <is>
          <t>LO007</t>
        </is>
      </c>
      <c r="I556" t="inlineStr">
        <is>
          <t>Mobile App</t>
        </is>
      </c>
      <c r="J556">
        <f>INDEX('Data - Borrowers'!$B$2:$B$851, MATCH(B556, 'Data - Borrowers'!$A$2:$A$851, 0))</f>
        <v/>
      </c>
      <c r="K556">
        <f>INDEX('Data - Borrowers'!$C$2:$C$851, MATCH(B556, 'Data - Borrowers'!$A$2:$A$851, 0))</f>
        <v/>
      </c>
      <c r="L556">
        <f>IF(D556&lt;100000, "Micro (&lt;100K)", IF(D556&lt;500000, "Small (100K-500K)", "Medium (500K+)"))</f>
        <v/>
      </c>
      <c r="M556">
        <f>TEXT(C556, "yyyy-mm")</f>
        <v/>
      </c>
    </row>
    <row r="557">
      <c r="A557" t="inlineStr">
        <is>
          <t>LN200608</t>
        </is>
      </c>
      <c r="B557" t="inlineStr">
        <is>
          <t>BOR100457</t>
        </is>
      </c>
      <c r="C557" s="8" t="n">
        <v>46157</v>
      </c>
      <c r="D557" s="9" t="n">
        <v>127000</v>
      </c>
      <c r="E557" t="n">
        <v>6</v>
      </c>
      <c r="F557" s="10" t="n">
        <v>0.227</v>
      </c>
      <c r="G557" t="inlineStr">
        <is>
          <t>Working Capital</t>
        </is>
      </c>
      <c r="H557" t="inlineStr">
        <is>
          <t>LO018</t>
        </is>
      </c>
      <c r="I557" t="inlineStr">
        <is>
          <t>Mobile App</t>
        </is>
      </c>
      <c r="J557">
        <f>INDEX('Data - Borrowers'!$B$2:$B$851, MATCH(B557, 'Data - Borrowers'!$A$2:$A$851, 0))</f>
        <v/>
      </c>
      <c r="K557">
        <f>INDEX('Data - Borrowers'!$C$2:$C$851, MATCH(B557, 'Data - Borrowers'!$A$2:$A$851, 0))</f>
        <v/>
      </c>
      <c r="L557">
        <f>IF(D557&lt;100000, "Micro (&lt;100K)", IF(D557&lt;500000, "Small (100K-500K)", "Medium (500K+)"))</f>
        <v/>
      </c>
      <c r="M557">
        <f>TEXT(C557, "yyyy-mm")</f>
        <v/>
      </c>
    </row>
    <row r="558">
      <c r="A558" t="inlineStr">
        <is>
          <t>LN200609</t>
        </is>
      </c>
      <c r="B558" t="inlineStr">
        <is>
          <t>BOR100458</t>
        </is>
      </c>
      <c r="C558" s="8" t="n">
        <v>45746</v>
      </c>
      <c r="D558" s="9" t="n">
        <v>135000</v>
      </c>
      <c r="E558" t="n">
        <v>6</v>
      </c>
      <c r="F558" s="10" t="n">
        <v>0.218</v>
      </c>
      <c r="G558" t="inlineStr">
        <is>
          <t>Asset Finance</t>
        </is>
      </c>
      <c r="H558" t="inlineStr">
        <is>
          <t>LO022</t>
        </is>
      </c>
      <c r="I558" t="inlineStr">
        <is>
          <t>Mobile App</t>
        </is>
      </c>
      <c r="J558">
        <f>INDEX('Data - Borrowers'!$B$2:$B$851, MATCH(B558, 'Data - Borrowers'!$A$2:$A$851, 0))</f>
        <v/>
      </c>
      <c r="K558">
        <f>INDEX('Data - Borrowers'!$C$2:$C$851, MATCH(B558, 'Data - Borrowers'!$A$2:$A$851, 0))</f>
        <v/>
      </c>
      <c r="L558">
        <f>IF(D558&lt;100000, "Micro (&lt;100K)", IF(D558&lt;500000, "Small (100K-500K)", "Medium (500K+)"))</f>
        <v/>
      </c>
      <c r="M558">
        <f>TEXT(C558, "yyyy-mm")</f>
        <v/>
      </c>
    </row>
    <row r="559">
      <c r="A559" t="inlineStr">
        <is>
          <t>LN200610</t>
        </is>
      </c>
      <c r="B559" t="inlineStr">
        <is>
          <t>BOR100458</t>
        </is>
      </c>
      <c r="C559" s="8" t="n">
        <v>46233</v>
      </c>
      <c r="D559" s="9" t="n">
        <v>136000</v>
      </c>
      <c r="E559" t="n">
        <v>6</v>
      </c>
      <c r="F559" s="10" t="n">
        <v>0.183</v>
      </c>
      <c r="G559" t="inlineStr">
        <is>
          <t>Invoice Discounting</t>
        </is>
      </c>
      <c r="H559" t="inlineStr">
        <is>
          <t>LO006</t>
        </is>
      </c>
      <c r="I559" t="inlineStr">
        <is>
          <t>Partner Referral</t>
        </is>
      </c>
      <c r="J559">
        <f>INDEX('Data - Borrowers'!$B$2:$B$851, MATCH(B559, 'Data - Borrowers'!$A$2:$A$851, 0))</f>
        <v/>
      </c>
      <c r="K559">
        <f>INDEX('Data - Borrowers'!$C$2:$C$851, MATCH(B559, 'Data - Borrowers'!$A$2:$A$851, 0))</f>
        <v/>
      </c>
      <c r="L559">
        <f>IF(D559&lt;100000, "Micro (&lt;100K)", IF(D559&lt;500000, "Small (100K-500K)", "Medium (500K+)"))</f>
        <v/>
      </c>
      <c r="M559">
        <f>TEXT(C559, "yyyy-mm")</f>
        <v/>
      </c>
    </row>
    <row r="560">
      <c r="A560" t="inlineStr">
        <is>
          <t>LN200612</t>
        </is>
      </c>
      <c r="B560" t="inlineStr">
        <is>
          <t>BOR100459</t>
        </is>
      </c>
      <c r="C560" s="8" t="n">
        <v>46022</v>
      </c>
      <c r="D560" s="9" t="n">
        <v>100000</v>
      </c>
      <c r="E560" t="n">
        <v>12</v>
      </c>
      <c r="F560" s="10" t="n">
        <v>0.227</v>
      </c>
      <c r="G560" t="inlineStr">
        <is>
          <t>Working Capital</t>
        </is>
      </c>
      <c r="H560" t="inlineStr">
        <is>
          <t>LO002</t>
        </is>
      </c>
      <c r="I560" t="inlineStr">
        <is>
          <t>Mobile App</t>
        </is>
      </c>
      <c r="J560">
        <f>INDEX('Data - Borrowers'!$B$2:$B$851, MATCH(B560, 'Data - Borrowers'!$A$2:$A$851, 0))</f>
        <v/>
      </c>
      <c r="K560">
        <f>INDEX('Data - Borrowers'!$C$2:$C$851, MATCH(B560, 'Data - Borrowers'!$A$2:$A$851, 0))</f>
        <v/>
      </c>
      <c r="L560">
        <f>IF(D560&lt;100000, "Micro (&lt;100K)", IF(D560&lt;500000, "Small (100K-500K)", "Medium (500K+)"))</f>
        <v/>
      </c>
      <c r="M560">
        <f>TEXT(C560, "yyyy-mm")</f>
        <v/>
      </c>
    </row>
    <row r="561">
      <c r="A561" t="inlineStr">
        <is>
          <t>LN200613</t>
        </is>
      </c>
      <c r="B561" t="inlineStr">
        <is>
          <t>BOR100460</t>
        </is>
      </c>
      <c r="C561" s="8" t="n">
        <v>45977</v>
      </c>
      <c r="D561" s="9" t="n">
        <v>72000</v>
      </c>
      <c r="E561" t="n">
        <v>6</v>
      </c>
      <c r="F561" s="10" t="n">
        <v>0.133</v>
      </c>
      <c r="G561" t="inlineStr">
        <is>
          <t>Asset Finance</t>
        </is>
      </c>
      <c r="H561" t="inlineStr">
        <is>
          <t>LO023</t>
        </is>
      </c>
      <c r="I561" t="inlineStr">
        <is>
          <t>Mobile App</t>
        </is>
      </c>
      <c r="J561">
        <f>INDEX('Data - Borrowers'!$B$2:$B$851, MATCH(B561, 'Data - Borrowers'!$A$2:$A$851, 0))</f>
        <v/>
      </c>
      <c r="K561">
        <f>INDEX('Data - Borrowers'!$C$2:$C$851, MATCH(B561, 'Data - Borrowers'!$A$2:$A$851, 0))</f>
        <v/>
      </c>
      <c r="L561">
        <f>IF(D561&lt;100000, "Micro (&lt;100K)", IF(D561&lt;500000, "Small (100K-500K)", "Medium (500K+)"))</f>
        <v/>
      </c>
      <c r="M561">
        <f>TEXT(C561, "yyyy-mm")</f>
        <v/>
      </c>
    </row>
    <row r="562">
      <c r="A562" t="inlineStr">
        <is>
          <t>LN200614</t>
        </is>
      </c>
      <c r="B562" t="inlineStr">
        <is>
          <t>BOR100461</t>
        </is>
      </c>
      <c r="C562" s="8" t="n">
        <v>46065</v>
      </c>
      <c r="D562" s="9" t="n">
        <v>103000</v>
      </c>
      <c r="E562" t="n">
        <v>3</v>
      </c>
      <c r="F562" s="10" t="n">
        <v>0.169</v>
      </c>
      <c r="G562" t="inlineStr">
        <is>
          <t>Working Capital</t>
        </is>
      </c>
      <c r="H562" t="inlineStr">
        <is>
          <t>LO016</t>
        </is>
      </c>
      <c r="I562" t="inlineStr">
        <is>
          <t>Partner Referral</t>
        </is>
      </c>
      <c r="J562">
        <f>INDEX('Data - Borrowers'!$B$2:$B$851, MATCH(B562, 'Data - Borrowers'!$A$2:$A$851, 0))</f>
        <v/>
      </c>
      <c r="K562">
        <f>INDEX('Data - Borrowers'!$C$2:$C$851, MATCH(B562, 'Data - Borrowers'!$A$2:$A$851, 0))</f>
        <v/>
      </c>
      <c r="L562">
        <f>IF(D562&lt;100000, "Micro (&lt;100K)", IF(D562&lt;500000, "Small (100K-500K)", "Medium (500K+)"))</f>
        <v/>
      </c>
      <c r="M562">
        <f>TEXT(C562, "yyyy-mm")</f>
        <v/>
      </c>
    </row>
    <row r="563">
      <c r="A563" t="inlineStr">
        <is>
          <t>LN200615</t>
        </is>
      </c>
      <c r="B563" t="inlineStr">
        <is>
          <t>BOR100462</t>
        </is>
      </c>
      <c r="C563" s="8" t="n">
        <v>45931</v>
      </c>
      <c r="D563" s="9" t="n">
        <v>139000</v>
      </c>
      <c r="E563" t="n">
        <v>12</v>
      </c>
      <c r="F563" s="10" t="n">
        <v>0.22</v>
      </c>
      <c r="G563" t="inlineStr">
        <is>
          <t>Asset Finance</t>
        </is>
      </c>
      <c r="H563" t="inlineStr">
        <is>
          <t>LO003</t>
        </is>
      </c>
      <c r="I563" t="inlineStr">
        <is>
          <t>Partner Referral</t>
        </is>
      </c>
      <c r="J563">
        <f>INDEX('Data - Borrowers'!$B$2:$B$851, MATCH(B563, 'Data - Borrowers'!$A$2:$A$851, 0))</f>
        <v/>
      </c>
      <c r="K563">
        <f>INDEX('Data - Borrowers'!$C$2:$C$851, MATCH(B563, 'Data - Borrowers'!$A$2:$A$851, 0))</f>
        <v/>
      </c>
      <c r="L563">
        <f>IF(D563&lt;100000, "Micro (&lt;100K)", IF(D563&lt;500000, "Small (100K-500K)", "Medium (500K+)"))</f>
        <v/>
      </c>
      <c r="M563">
        <f>TEXT(C563, "yyyy-mm")</f>
        <v/>
      </c>
    </row>
    <row r="564">
      <c r="A564" t="inlineStr">
        <is>
          <t>LN200616</t>
        </is>
      </c>
      <c r="B564" t="inlineStr">
        <is>
          <t>BOR100463</t>
        </is>
      </c>
      <c r="C564" s="8" t="n">
        <v>45775</v>
      </c>
      <c r="D564" s="9" t="n">
        <v>81000</v>
      </c>
      <c r="E564" t="n">
        <v>12</v>
      </c>
      <c r="F564" s="10" t="n">
        <v>0.23</v>
      </c>
      <c r="G564" t="inlineStr">
        <is>
          <t>Working Capital</t>
        </is>
      </c>
      <c r="H564" t="inlineStr">
        <is>
          <t>LO025</t>
        </is>
      </c>
      <c r="I564" t="inlineStr">
        <is>
          <t>Mobile App</t>
        </is>
      </c>
      <c r="J564">
        <f>INDEX('Data - Borrowers'!$B$2:$B$851, MATCH(B564, 'Data - Borrowers'!$A$2:$A$851, 0))</f>
        <v/>
      </c>
      <c r="K564">
        <f>INDEX('Data - Borrowers'!$C$2:$C$851, MATCH(B564, 'Data - Borrowers'!$A$2:$A$851, 0))</f>
        <v/>
      </c>
      <c r="L564">
        <f>IF(D564&lt;100000, "Micro (&lt;100K)", IF(D564&lt;500000, "Small (100K-500K)", "Medium (500K+)"))</f>
        <v/>
      </c>
      <c r="M564">
        <f>TEXT(C564, "yyyy-mm")</f>
        <v/>
      </c>
    </row>
    <row r="565">
      <c r="A565" t="inlineStr">
        <is>
          <t>LN200617</t>
        </is>
      </c>
      <c r="B565" t="inlineStr">
        <is>
          <t>BOR100464</t>
        </is>
      </c>
      <c r="C565" s="8" t="n">
        <v>45840</v>
      </c>
      <c r="D565" s="9" t="n">
        <v>116000</v>
      </c>
      <c r="E565" t="n">
        <v>6</v>
      </c>
      <c r="F565" s="10" t="n">
        <v>0.201</v>
      </c>
      <c r="G565" t="inlineStr">
        <is>
          <t>Asset Finance</t>
        </is>
      </c>
      <c r="H565" t="inlineStr">
        <is>
          <t>LO005</t>
        </is>
      </c>
      <c r="I565" t="inlineStr">
        <is>
          <t>Mobile App</t>
        </is>
      </c>
      <c r="J565">
        <f>INDEX('Data - Borrowers'!$B$2:$B$851, MATCH(B565, 'Data - Borrowers'!$A$2:$A$851, 0))</f>
        <v/>
      </c>
      <c r="K565">
        <f>INDEX('Data - Borrowers'!$C$2:$C$851, MATCH(B565, 'Data - Borrowers'!$A$2:$A$851, 0))</f>
        <v/>
      </c>
      <c r="L565">
        <f>IF(D565&lt;100000, "Micro (&lt;100K)", IF(D565&lt;500000, "Small (100K-500K)", "Medium (500K+)"))</f>
        <v/>
      </c>
      <c r="M565">
        <f>TEXT(C565, "yyyy-mm")</f>
        <v/>
      </c>
    </row>
    <row r="566">
      <c r="A566" t="inlineStr">
        <is>
          <t>LN200618</t>
        </is>
      </c>
      <c r="B566" t="inlineStr">
        <is>
          <t>BOR100464</t>
        </is>
      </c>
      <c r="C566" s="8" t="n">
        <v>46063</v>
      </c>
      <c r="D566" s="9" t="n">
        <v>127000</v>
      </c>
      <c r="E566" t="n">
        <v>9</v>
      </c>
      <c r="F566" s="10" t="n">
        <v>0.209</v>
      </c>
      <c r="G566" t="inlineStr">
        <is>
          <t>Working Capital</t>
        </is>
      </c>
      <c r="H566" t="inlineStr">
        <is>
          <t>LO015</t>
        </is>
      </c>
      <c r="I566" t="inlineStr">
        <is>
          <t>Partner Referral</t>
        </is>
      </c>
      <c r="J566">
        <f>INDEX('Data - Borrowers'!$B$2:$B$851, MATCH(B566, 'Data - Borrowers'!$A$2:$A$851, 0))</f>
        <v/>
      </c>
      <c r="K566">
        <f>INDEX('Data - Borrowers'!$C$2:$C$851, MATCH(B566, 'Data - Borrowers'!$A$2:$A$851, 0))</f>
        <v/>
      </c>
      <c r="L566">
        <f>IF(D566&lt;100000, "Micro (&lt;100K)", IF(D566&lt;500000, "Small (100K-500K)", "Medium (500K+)"))</f>
        <v/>
      </c>
      <c r="M566">
        <f>TEXT(C566, "yyyy-mm")</f>
        <v/>
      </c>
    </row>
    <row r="567">
      <c r="A567" t="inlineStr">
        <is>
          <t>LN200619</t>
        </is>
      </c>
      <c r="B567" t="inlineStr">
        <is>
          <t>BOR100465</t>
        </is>
      </c>
      <c r="C567" s="8" t="n">
        <v>45731</v>
      </c>
      <c r="D567" s="9" t="n">
        <v>93000</v>
      </c>
      <c r="E567" t="n">
        <v>6</v>
      </c>
      <c r="F567" s="10" t="n">
        <v>0.163</v>
      </c>
      <c r="G567" t="inlineStr">
        <is>
          <t>Working Capital</t>
        </is>
      </c>
      <c r="H567" t="inlineStr">
        <is>
          <t>LO022</t>
        </is>
      </c>
      <c r="I567" t="inlineStr">
        <is>
          <t>Mobile App</t>
        </is>
      </c>
      <c r="J567">
        <f>INDEX('Data - Borrowers'!$B$2:$B$851, MATCH(B567, 'Data - Borrowers'!$A$2:$A$851, 0))</f>
        <v/>
      </c>
      <c r="K567">
        <f>INDEX('Data - Borrowers'!$C$2:$C$851, MATCH(B567, 'Data - Borrowers'!$A$2:$A$851, 0))</f>
        <v/>
      </c>
      <c r="L567">
        <f>IF(D567&lt;100000, "Micro (&lt;100K)", IF(D567&lt;500000, "Small (100K-500K)", "Medium (500K+)"))</f>
        <v/>
      </c>
      <c r="M567">
        <f>TEXT(C567, "yyyy-mm")</f>
        <v/>
      </c>
    </row>
    <row r="568">
      <c r="A568" t="inlineStr">
        <is>
          <t>LN200620</t>
        </is>
      </c>
      <c r="B568" t="inlineStr">
        <is>
          <t>BOR100466</t>
        </is>
      </c>
      <c r="C568" s="8" t="n">
        <v>45725</v>
      </c>
      <c r="D568" s="9" t="n">
        <v>159000</v>
      </c>
      <c r="E568" t="n">
        <v>6</v>
      </c>
      <c r="F568" s="10" t="n">
        <v>0.183</v>
      </c>
      <c r="G568" t="inlineStr">
        <is>
          <t>Working Capital</t>
        </is>
      </c>
      <c r="H568" t="inlineStr">
        <is>
          <t>LO019</t>
        </is>
      </c>
      <c r="I568" t="inlineStr">
        <is>
          <t>Branch</t>
        </is>
      </c>
      <c r="J568">
        <f>INDEX('Data - Borrowers'!$B$2:$B$851, MATCH(B568, 'Data - Borrowers'!$A$2:$A$851, 0))</f>
        <v/>
      </c>
      <c r="K568">
        <f>INDEX('Data - Borrowers'!$C$2:$C$851, MATCH(B568, 'Data - Borrowers'!$A$2:$A$851, 0))</f>
        <v/>
      </c>
      <c r="L568">
        <f>IF(D568&lt;100000, "Micro (&lt;100K)", IF(D568&lt;500000, "Small (100K-500K)", "Medium (500K+)"))</f>
        <v/>
      </c>
      <c r="M568">
        <f>TEXT(C568, "yyyy-mm")</f>
        <v/>
      </c>
    </row>
    <row r="569">
      <c r="A569" t="inlineStr">
        <is>
          <t>LN200621</t>
        </is>
      </c>
      <c r="B569" t="inlineStr">
        <is>
          <t>BOR100467</t>
        </is>
      </c>
      <c r="C569" s="8" t="n">
        <v>45903</v>
      </c>
      <c r="D569" s="9" t="n">
        <v>301000</v>
      </c>
      <c r="E569" t="n">
        <v>3</v>
      </c>
      <c r="F569" s="10" t="n">
        <v>0.192</v>
      </c>
      <c r="G569" t="inlineStr">
        <is>
          <t>Working Capital</t>
        </is>
      </c>
      <c r="H569" t="inlineStr">
        <is>
          <t>LO021</t>
        </is>
      </c>
      <c r="I569" t="inlineStr">
        <is>
          <t>Mobile App</t>
        </is>
      </c>
      <c r="J569">
        <f>INDEX('Data - Borrowers'!$B$2:$B$851, MATCH(B569, 'Data - Borrowers'!$A$2:$A$851, 0))</f>
        <v/>
      </c>
      <c r="K569">
        <f>INDEX('Data - Borrowers'!$C$2:$C$851, MATCH(B569, 'Data - Borrowers'!$A$2:$A$851, 0))</f>
        <v/>
      </c>
      <c r="L569">
        <f>IF(D569&lt;100000, "Micro (&lt;100K)", IF(D569&lt;500000, "Small (100K-500K)", "Medium (500K+)"))</f>
        <v/>
      </c>
      <c r="M569">
        <f>TEXT(C569, "yyyy-mm")</f>
        <v/>
      </c>
    </row>
    <row r="570">
      <c r="A570" t="inlineStr">
        <is>
          <t>LN200622</t>
        </is>
      </c>
      <c r="B570" t="inlineStr">
        <is>
          <t>BOR100468</t>
        </is>
      </c>
      <c r="C570" s="8" t="n">
        <v>45924</v>
      </c>
      <c r="D570" s="9" t="n">
        <v>70000</v>
      </c>
      <c r="E570" t="n">
        <v>6</v>
      </c>
      <c r="F570" s="10" t="n">
        <v>0.178</v>
      </c>
      <c r="G570" t="inlineStr">
        <is>
          <t>Invoice Discounting</t>
        </is>
      </c>
      <c r="H570" t="inlineStr">
        <is>
          <t>LO007</t>
        </is>
      </c>
      <c r="I570" t="inlineStr">
        <is>
          <t>Branch</t>
        </is>
      </c>
      <c r="J570">
        <f>INDEX('Data - Borrowers'!$B$2:$B$851, MATCH(B570, 'Data - Borrowers'!$A$2:$A$851, 0))</f>
        <v/>
      </c>
      <c r="K570">
        <f>INDEX('Data - Borrowers'!$C$2:$C$851, MATCH(B570, 'Data - Borrowers'!$A$2:$A$851, 0))</f>
        <v/>
      </c>
      <c r="L570">
        <f>IF(D570&lt;100000, "Micro (&lt;100K)", IF(D570&lt;500000, "Small (100K-500K)", "Medium (500K+)"))</f>
        <v/>
      </c>
      <c r="M570">
        <f>TEXT(C570, "yyyy-mm")</f>
        <v/>
      </c>
    </row>
    <row r="571">
      <c r="A571" t="inlineStr">
        <is>
          <t>LN200623</t>
        </is>
      </c>
      <c r="B571" t="inlineStr">
        <is>
          <t>BOR100469</t>
        </is>
      </c>
      <c r="C571" s="8" t="n">
        <v>46072</v>
      </c>
      <c r="D571" s="9" t="n">
        <v>185000</v>
      </c>
      <c r="E571" t="n">
        <v>6</v>
      </c>
      <c r="F571" s="10" t="n">
        <v>0.166</v>
      </c>
      <c r="G571" t="inlineStr">
        <is>
          <t>Working Capital</t>
        </is>
      </c>
      <c r="H571" t="inlineStr">
        <is>
          <t>LO018</t>
        </is>
      </c>
      <c r="I571" t="inlineStr">
        <is>
          <t>Mobile App</t>
        </is>
      </c>
      <c r="J571">
        <f>INDEX('Data - Borrowers'!$B$2:$B$851, MATCH(B571, 'Data - Borrowers'!$A$2:$A$851, 0))</f>
        <v/>
      </c>
      <c r="K571">
        <f>INDEX('Data - Borrowers'!$C$2:$C$851, MATCH(B571, 'Data - Borrowers'!$A$2:$A$851, 0))</f>
        <v/>
      </c>
      <c r="L571">
        <f>IF(D571&lt;100000, "Micro (&lt;100K)", IF(D571&lt;500000, "Small (100K-500K)", "Medium (500K+)"))</f>
        <v/>
      </c>
      <c r="M571">
        <f>TEXT(C571, "yyyy-mm")</f>
        <v/>
      </c>
    </row>
    <row r="572">
      <c r="A572" t="inlineStr">
        <is>
          <t>LN200625</t>
        </is>
      </c>
      <c r="B572" t="inlineStr">
        <is>
          <t>BOR100470</t>
        </is>
      </c>
      <c r="C572" s="8" t="n">
        <v>46115</v>
      </c>
      <c r="D572" s="9" t="n">
        <v>118000</v>
      </c>
      <c r="E572" t="n">
        <v>12</v>
      </c>
      <c r="F572" s="10" t="n">
        <v>0.188</v>
      </c>
      <c r="G572" t="inlineStr">
        <is>
          <t>Working Capital</t>
        </is>
      </c>
      <c r="H572" t="inlineStr">
        <is>
          <t>LO012</t>
        </is>
      </c>
      <c r="I572" t="inlineStr">
        <is>
          <t>Branch</t>
        </is>
      </c>
      <c r="J572">
        <f>INDEX('Data - Borrowers'!$B$2:$B$851, MATCH(B572, 'Data - Borrowers'!$A$2:$A$851, 0))</f>
        <v/>
      </c>
      <c r="K572">
        <f>INDEX('Data - Borrowers'!$C$2:$C$851, MATCH(B572, 'Data - Borrowers'!$A$2:$A$851, 0))</f>
        <v/>
      </c>
      <c r="L572">
        <f>IF(D572&lt;100000, "Micro (&lt;100K)", IF(D572&lt;500000, "Small (100K-500K)", "Medium (500K+)"))</f>
        <v/>
      </c>
      <c r="M572">
        <f>TEXT(C572, "yyyy-mm")</f>
        <v/>
      </c>
    </row>
    <row r="573">
      <c r="A573" t="inlineStr">
        <is>
          <t>LN200626</t>
        </is>
      </c>
      <c r="B573" t="inlineStr">
        <is>
          <t>BOR100471</t>
        </is>
      </c>
      <c r="C573" s="8" t="n">
        <v>46005</v>
      </c>
      <c r="D573" s="9" t="n">
        <v>86000</v>
      </c>
      <c r="E573" t="n">
        <v>12</v>
      </c>
      <c r="F573" s="10" t="n">
        <v>0.223</v>
      </c>
      <c r="G573" t="inlineStr">
        <is>
          <t>Invoice Discounting</t>
        </is>
      </c>
      <c r="H573" t="inlineStr">
        <is>
          <t>LO016</t>
        </is>
      </c>
      <c r="I573" t="inlineStr">
        <is>
          <t>Partner Referral</t>
        </is>
      </c>
      <c r="J573">
        <f>INDEX('Data - Borrowers'!$B$2:$B$851, MATCH(B573, 'Data - Borrowers'!$A$2:$A$851, 0))</f>
        <v/>
      </c>
      <c r="K573">
        <f>INDEX('Data - Borrowers'!$C$2:$C$851, MATCH(B573, 'Data - Borrowers'!$A$2:$A$851, 0))</f>
        <v/>
      </c>
      <c r="L573">
        <f>IF(D573&lt;100000, "Micro (&lt;100K)", IF(D573&lt;500000, "Small (100K-500K)", "Medium (500K+)"))</f>
        <v/>
      </c>
      <c r="M573">
        <f>TEXT(C573, "yyyy-mm")</f>
        <v/>
      </c>
    </row>
    <row r="574">
      <c r="A574" t="inlineStr">
        <is>
          <t>LN200627</t>
        </is>
      </c>
      <c r="B574" t="inlineStr">
        <is>
          <t>BOR100471</t>
        </is>
      </c>
      <c r="C574" s="8" t="n">
        <v>46201</v>
      </c>
      <c r="D574" s="9" t="n">
        <v>126000</v>
      </c>
      <c r="E574" t="n">
        <v>6</v>
      </c>
      <c r="F574" s="10" t="n">
        <v>0.131</v>
      </c>
      <c r="G574" t="inlineStr">
        <is>
          <t>Asset Finance</t>
        </is>
      </c>
      <c r="H574" t="inlineStr">
        <is>
          <t>LO002</t>
        </is>
      </c>
      <c r="I574" t="inlineStr">
        <is>
          <t>Mobile App</t>
        </is>
      </c>
      <c r="J574">
        <f>INDEX('Data - Borrowers'!$B$2:$B$851, MATCH(B574, 'Data - Borrowers'!$A$2:$A$851, 0))</f>
        <v/>
      </c>
      <c r="K574">
        <f>INDEX('Data - Borrowers'!$C$2:$C$851, MATCH(B574, 'Data - Borrowers'!$A$2:$A$851, 0))</f>
        <v/>
      </c>
      <c r="L574">
        <f>IF(D574&lt;100000, "Micro (&lt;100K)", IF(D574&lt;500000, "Small (100K-500K)", "Medium (500K+)"))</f>
        <v/>
      </c>
      <c r="M574">
        <f>TEXT(C574, "yyyy-mm")</f>
        <v/>
      </c>
    </row>
    <row r="575">
      <c r="A575" t="inlineStr">
        <is>
          <t>LN200628</t>
        </is>
      </c>
      <c r="B575" t="inlineStr">
        <is>
          <t>BOR100472</t>
        </is>
      </c>
      <c r="C575" s="8" t="n">
        <v>46082</v>
      </c>
      <c r="D575" s="9" t="n">
        <v>505000</v>
      </c>
      <c r="E575" t="n">
        <v>9</v>
      </c>
      <c r="F575" s="10" t="n">
        <v>0.195</v>
      </c>
      <c r="G575" t="inlineStr">
        <is>
          <t>Working Capital</t>
        </is>
      </c>
      <c r="H575" t="inlineStr">
        <is>
          <t>LO019</t>
        </is>
      </c>
      <c r="I575" t="inlineStr">
        <is>
          <t>Mobile App</t>
        </is>
      </c>
      <c r="J575">
        <f>INDEX('Data - Borrowers'!$B$2:$B$851, MATCH(B575, 'Data - Borrowers'!$A$2:$A$851, 0))</f>
        <v/>
      </c>
      <c r="K575">
        <f>INDEX('Data - Borrowers'!$C$2:$C$851, MATCH(B575, 'Data - Borrowers'!$A$2:$A$851, 0))</f>
        <v/>
      </c>
      <c r="L575">
        <f>IF(D575&lt;100000, "Micro (&lt;100K)", IF(D575&lt;500000, "Small (100K-500K)", "Medium (500K+)"))</f>
        <v/>
      </c>
      <c r="M575">
        <f>TEXT(C575, "yyyy-mm")</f>
        <v/>
      </c>
    </row>
    <row r="576">
      <c r="A576" t="inlineStr">
        <is>
          <t>LN200629</t>
        </is>
      </c>
      <c r="B576" t="inlineStr">
        <is>
          <t>BOR100473</t>
        </is>
      </c>
      <c r="C576" s="8" t="n">
        <v>45840</v>
      </c>
      <c r="D576" s="9" t="n">
        <v>93000</v>
      </c>
      <c r="E576" t="n">
        <v>3</v>
      </c>
      <c r="F576" s="10" t="n">
        <v>0.126</v>
      </c>
      <c r="G576" t="inlineStr">
        <is>
          <t>Invoice Discounting</t>
        </is>
      </c>
      <c r="H576" t="inlineStr">
        <is>
          <t>LO025</t>
        </is>
      </c>
      <c r="I576" t="inlineStr">
        <is>
          <t>Mobile App</t>
        </is>
      </c>
      <c r="J576">
        <f>INDEX('Data - Borrowers'!$B$2:$B$851, MATCH(B576, 'Data - Borrowers'!$A$2:$A$851, 0))</f>
        <v/>
      </c>
      <c r="K576">
        <f>INDEX('Data - Borrowers'!$C$2:$C$851, MATCH(B576, 'Data - Borrowers'!$A$2:$A$851, 0))</f>
        <v/>
      </c>
      <c r="L576">
        <f>IF(D576&lt;100000, "Micro (&lt;100K)", IF(D576&lt;500000, "Small (100K-500K)", "Medium (500K+)"))</f>
        <v/>
      </c>
      <c r="M576">
        <f>TEXT(C576, "yyyy-mm")</f>
        <v/>
      </c>
    </row>
    <row r="577">
      <c r="A577" t="inlineStr">
        <is>
          <t>LN200630</t>
        </is>
      </c>
      <c r="B577" t="inlineStr">
        <is>
          <t>BOR100474</t>
        </is>
      </c>
      <c r="C577" s="8" t="n">
        <v>46073</v>
      </c>
      <c r="D577" s="9" t="n">
        <v>100000</v>
      </c>
      <c r="E577" t="n">
        <v>3</v>
      </c>
      <c r="F577" s="10" t="n">
        <v>0.162</v>
      </c>
      <c r="G577" t="inlineStr">
        <is>
          <t>Working Capital</t>
        </is>
      </c>
      <c r="H577" t="inlineStr">
        <is>
          <t>LO018</t>
        </is>
      </c>
      <c r="I577" t="inlineStr">
        <is>
          <t>Partner Referral</t>
        </is>
      </c>
      <c r="J577">
        <f>INDEX('Data - Borrowers'!$B$2:$B$851, MATCH(B577, 'Data - Borrowers'!$A$2:$A$851, 0))</f>
        <v/>
      </c>
      <c r="K577">
        <f>INDEX('Data - Borrowers'!$C$2:$C$851, MATCH(B577, 'Data - Borrowers'!$A$2:$A$851, 0))</f>
        <v/>
      </c>
      <c r="L577">
        <f>IF(D577&lt;100000, "Micro (&lt;100K)", IF(D577&lt;500000, "Small (100K-500K)", "Medium (500K+)"))</f>
        <v/>
      </c>
      <c r="M577">
        <f>TEXT(C577, "yyyy-mm")</f>
        <v/>
      </c>
    </row>
    <row r="578">
      <c r="A578" t="inlineStr">
        <is>
          <t>LN200631</t>
        </is>
      </c>
      <c r="B578" t="inlineStr">
        <is>
          <t>BOR100475</t>
        </is>
      </c>
      <c r="C578" s="8" t="n">
        <v>45959</v>
      </c>
      <c r="D578" s="9" t="n">
        <v>29000</v>
      </c>
      <c r="E578" t="n">
        <v>6</v>
      </c>
      <c r="F578" s="10" t="n">
        <v>0.148</v>
      </c>
      <c r="G578" t="inlineStr">
        <is>
          <t>Invoice Discounting</t>
        </is>
      </c>
      <c r="H578" t="inlineStr">
        <is>
          <t>LO006</t>
        </is>
      </c>
      <c r="I578" t="inlineStr">
        <is>
          <t>Mobile App</t>
        </is>
      </c>
      <c r="J578">
        <f>INDEX('Data - Borrowers'!$B$2:$B$851, MATCH(B578, 'Data - Borrowers'!$A$2:$A$851, 0))</f>
        <v/>
      </c>
      <c r="K578">
        <f>INDEX('Data - Borrowers'!$C$2:$C$851, MATCH(B578, 'Data - Borrowers'!$A$2:$A$851, 0))</f>
        <v/>
      </c>
      <c r="L578">
        <f>IF(D578&lt;100000, "Micro (&lt;100K)", IF(D578&lt;500000, "Small (100K-500K)", "Medium (500K+)"))</f>
        <v/>
      </c>
      <c r="M578">
        <f>TEXT(C578, "yyyy-mm")</f>
        <v/>
      </c>
    </row>
    <row r="579">
      <c r="A579" t="inlineStr">
        <is>
          <t>LN200632</t>
        </is>
      </c>
      <c r="B579" t="inlineStr">
        <is>
          <t>BOR100476</t>
        </is>
      </c>
      <c r="C579" s="8" t="n">
        <v>45893</v>
      </c>
      <c r="D579" s="9" t="n">
        <v>76000</v>
      </c>
      <c r="E579" t="n">
        <v>9</v>
      </c>
      <c r="F579" s="10" t="n">
        <v>0.168</v>
      </c>
      <c r="G579" t="inlineStr">
        <is>
          <t>Asset Finance</t>
        </is>
      </c>
      <c r="H579" t="inlineStr">
        <is>
          <t>LO024</t>
        </is>
      </c>
      <c r="I579" t="inlineStr">
        <is>
          <t>Mobile App</t>
        </is>
      </c>
      <c r="J579">
        <f>INDEX('Data - Borrowers'!$B$2:$B$851, MATCH(B579, 'Data - Borrowers'!$A$2:$A$851, 0))</f>
        <v/>
      </c>
      <c r="K579">
        <f>INDEX('Data - Borrowers'!$C$2:$C$851, MATCH(B579, 'Data - Borrowers'!$A$2:$A$851, 0))</f>
        <v/>
      </c>
      <c r="L579">
        <f>IF(D579&lt;100000, "Micro (&lt;100K)", IF(D579&lt;500000, "Small (100K-500K)", "Medium (500K+)"))</f>
        <v/>
      </c>
      <c r="M579">
        <f>TEXT(C579, "yyyy-mm")</f>
        <v/>
      </c>
    </row>
    <row r="580">
      <c r="A580" t="inlineStr">
        <is>
          <t>LN200633</t>
        </is>
      </c>
      <c r="B580" t="inlineStr">
        <is>
          <t>BOR100476</t>
        </is>
      </c>
      <c r="C580" s="8" t="n">
        <v>46219</v>
      </c>
      <c r="D580" s="9" t="n">
        <v>94000</v>
      </c>
      <c r="E580" t="n">
        <v>3</v>
      </c>
      <c r="F580" s="10" t="n">
        <v>0.123</v>
      </c>
      <c r="G580" t="inlineStr">
        <is>
          <t>Working Capital</t>
        </is>
      </c>
      <c r="H580" t="inlineStr">
        <is>
          <t>LO005</t>
        </is>
      </c>
      <c r="I580" t="inlineStr">
        <is>
          <t>Mobile App</t>
        </is>
      </c>
      <c r="J580">
        <f>INDEX('Data - Borrowers'!$B$2:$B$851, MATCH(B580, 'Data - Borrowers'!$A$2:$A$851, 0))</f>
        <v/>
      </c>
      <c r="K580">
        <f>INDEX('Data - Borrowers'!$C$2:$C$851, MATCH(B580, 'Data - Borrowers'!$A$2:$A$851, 0))</f>
        <v/>
      </c>
      <c r="L580">
        <f>IF(D580&lt;100000, "Micro (&lt;100K)", IF(D580&lt;500000, "Small (100K-500K)", "Medium (500K+)"))</f>
        <v/>
      </c>
      <c r="M580">
        <f>TEXT(C580, "yyyy-mm")</f>
        <v/>
      </c>
    </row>
    <row r="581">
      <c r="A581" t="inlineStr">
        <is>
          <t>LN200634</t>
        </is>
      </c>
      <c r="B581" t="inlineStr">
        <is>
          <t>BOR100477</t>
        </is>
      </c>
      <c r="C581" s="8" t="n">
        <v>46214</v>
      </c>
      <c r="D581" s="9" t="n">
        <v>158000</v>
      </c>
      <c r="E581" t="n">
        <v>6</v>
      </c>
      <c r="F581" s="10" t="n">
        <v>0.124</v>
      </c>
      <c r="G581" t="inlineStr">
        <is>
          <t>Working Capital</t>
        </is>
      </c>
      <c r="H581" t="inlineStr">
        <is>
          <t>LO025</t>
        </is>
      </c>
      <c r="I581" t="inlineStr">
        <is>
          <t>Mobile App</t>
        </is>
      </c>
      <c r="J581">
        <f>INDEX('Data - Borrowers'!$B$2:$B$851, MATCH(B581, 'Data - Borrowers'!$A$2:$A$851, 0))</f>
        <v/>
      </c>
      <c r="K581">
        <f>INDEX('Data - Borrowers'!$C$2:$C$851, MATCH(B581, 'Data - Borrowers'!$A$2:$A$851, 0))</f>
        <v/>
      </c>
      <c r="L581">
        <f>IF(D581&lt;100000, "Micro (&lt;100K)", IF(D581&lt;500000, "Small (100K-500K)", "Medium (500K+)"))</f>
        <v/>
      </c>
      <c r="M581">
        <f>TEXT(C581, "yyyy-mm")</f>
        <v/>
      </c>
    </row>
    <row r="582">
      <c r="A582" t="inlineStr">
        <is>
          <t>LN200636</t>
        </is>
      </c>
      <c r="B582" t="inlineStr">
        <is>
          <t>BOR100478</t>
        </is>
      </c>
      <c r="C582" s="8" t="n">
        <v>45715</v>
      </c>
      <c r="D582" s="9" t="n">
        <v>287000</v>
      </c>
      <c r="E582" t="n">
        <v>12</v>
      </c>
      <c r="F582" s="10" t="n">
        <v>0.21</v>
      </c>
      <c r="G582" t="inlineStr">
        <is>
          <t>Invoice Discounting</t>
        </is>
      </c>
      <c r="H582" t="inlineStr">
        <is>
          <t>LO020</t>
        </is>
      </c>
      <c r="I582" t="inlineStr">
        <is>
          <t>Branch</t>
        </is>
      </c>
      <c r="J582">
        <f>INDEX('Data - Borrowers'!$B$2:$B$851, MATCH(B582, 'Data - Borrowers'!$A$2:$A$851, 0))</f>
        <v/>
      </c>
      <c r="K582">
        <f>INDEX('Data - Borrowers'!$C$2:$C$851, MATCH(B582, 'Data - Borrowers'!$A$2:$A$851, 0))</f>
        <v/>
      </c>
      <c r="L582">
        <f>IF(D582&lt;100000, "Micro (&lt;100K)", IF(D582&lt;500000, "Small (100K-500K)", "Medium (500K+)"))</f>
        <v/>
      </c>
      <c r="M582">
        <f>TEXT(C582, "yyyy-mm")</f>
        <v/>
      </c>
    </row>
    <row r="583">
      <c r="A583" t="inlineStr">
        <is>
          <t>LN200637</t>
        </is>
      </c>
      <c r="B583" t="inlineStr">
        <is>
          <t>BOR100479</t>
        </is>
      </c>
      <c r="C583" s="8" t="n">
        <v>46009</v>
      </c>
      <c r="D583" s="9" t="n">
        <v>127000</v>
      </c>
      <c r="E583" t="n">
        <v>6</v>
      </c>
      <c r="F583" s="10" t="n">
        <v>0.151</v>
      </c>
      <c r="G583" t="inlineStr">
        <is>
          <t>Working Capital</t>
        </is>
      </c>
      <c r="H583" t="inlineStr">
        <is>
          <t>LO018</t>
        </is>
      </c>
      <c r="I583" t="inlineStr">
        <is>
          <t>Mobile App</t>
        </is>
      </c>
      <c r="J583">
        <f>INDEX('Data - Borrowers'!$B$2:$B$851, MATCH(B583, 'Data - Borrowers'!$A$2:$A$851, 0))</f>
        <v/>
      </c>
      <c r="K583">
        <f>INDEX('Data - Borrowers'!$C$2:$C$851, MATCH(B583, 'Data - Borrowers'!$A$2:$A$851, 0))</f>
        <v/>
      </c>
      <c r="L583">
        <f>IF(D583&lt;100000, "Micro (&lt;100K)", IF(D583&lt;500000, "Small (100K-500K)", "Medium (500K+)"))</f>
        <v/>
      </c>
      <c r="M583">
        <f>TEXT(C583, "yyyy-mm")</f>
        <v/>
      </c>
    </row>
    <row r="584">
      <c r="A584" t="inlineStr">
        <is>
          <t>LN200638</t>
        </is>
      </c>
      <c r="B584" t="inlineStr">
        <is>
          <t>BOR100480</t>
        </is>
      </c>
      <c r="C584" s="8" t="n">
        <v>45939</v>
      </c>
      <c r="D584" s="9" t="n">
        <v>238000</v>
      </c>
      <c r="E584" t="n">
        <v>6</v>
      </c>
      <c r="F584" s="10" t="n">
        <v>0.14</v>
      </c>
      <c r="G584" t="inlineStr">
        <is>
          <t>Working Capital</t>
        </is>
      </c>
      <c r="H584" t="inlineStr">
        <is>
          <t>LO014</t>
        </is>
      </c>
      <c r="I584" t="inlineStr">
        <is>
          <t>Mobile App</t>
        </is>
      </c>
      <c r="J584">
        <f>INDEX('Data - Borrowers'!$B$2:$B$851, MATCH(B584, 'Data - Borrowers'!$A$2:$A$851, 0))</f>
        <v/>
      </c>
      <c r="K584">
        <f>INDEX('Data - Borrowers'!$C$2:$C$851, MATCH(B584, 'Data - Borrowers'!$A$2:$A$851, 0))</f>
        <v/>
      </c>
      <c r="L584">
        <f>IF(D584&lt;100000, "Micro (&lt;100K)", IF(D584&lt;500000, "Small (100K-500K)", "Medium (500K+)"))</f>
        <v/>
      </c>
      <c r="M584">
        <f>TEXT(C584, "yyyy-mm")</f>
        <v/>
      </c>
    </row>
    <row r="585">
      <c r="A585" t="inlineStr">
        <is>
          <t>LN200639</t>
        </is>
      </c>
      <c r="B585" t="inlineStr">
        <is>
          <t>BOR100481</t>
        </is>
      </c>
      <c r="C585" s="8" t="n">
        <v>46214</v>
      </c>
      <c r="D585" s="9" t="n">
        <v>107000</v>
      </c>
      <c r="E585" t="n">
        <v>12</v>
      </c>
      <c r="F585" s="10" t="n">
        <v>0.17</v>
      </c>
      <c r="G585" t="inlineStr">
        <is>
          <t>Working Capital</t>
        </is>
      </c>
      <c r="H585" t="inlineStr">
        <is>
          <t>LO007</t>
        </is>
      </c>
      <c r="I585" t="inlineStr">
        <is>
          <t>Branch</t>
        </is>
      </c>
      <c r="J585">
        <f>INDEX('Data - Borrowers'!$B$2:$B$851, MATCH(B585, 'Data - Borrowers'!$A$2:$A$851, 0))</f>
        <v/>
      </c>
      <c r="K585">
        <f>INDEX('Data - Borrowers'!$C$2:$C$851, MATCH(B585, 'Data - Borrowers'!$A$2:$A$851, 0))</f>
        <v/>
      </c>
      <c r="L585">
        <f>IF(D585&lt;100000, "Micro (&lt;100K)", IF(D585&lt;500000, "Small (100K-500K)", "Medium (500K+)"))</f>
        <v/>
      </c>
      <c r="M585">
        <f>TEXT(C585, "yyyy-mm")</f>
        <v/>
      </c>
    </row>
    <row r="586">
      <c r="A586" t="inlineStr">
        <is>
          <t>LN200640</t>
        </is>
      </c>
      <c r="B586" t="inlineStr">
        <is>
          <t>BOR100482</t>
        </is>
      </c>
      <c r="C586" s="8" t="n">
        <v>45799</v>
      </c>
      <c r="D586" s="9" t="n">
        <v>40000</v>
      </c>
      <c r="E586" t="n">
        <v>3</v>
      </c>
      <c r="F586" s="10" t="n">
        <v>0.121</v>
      </c>
      <c r="G586" t="inlineStr">
        <is>
          <t>Working Capital</t>
        </is>
      </c>
      <c r="H586" t="inlineStr">
        <is>
          <t>LO020</t>
        </is>
      </c>
      <c r="I586" t="inlineStr">
        <is>
          <t>Partner Referral</t>
        </is>
      </c>
      <c r="J586">
        <f>INDEX('Data - Borrowers'!$B$2:$B$851, MATCH(B586, 'Data - Borrowers'!$A$2:$A$851, 0))</f>
        <v/>
      </c>
      <c r="K586">
        <f>INDEX('Data - Borrowers'!$C$2:$C$851, MATCH(B586, 'Data - Borrowers'!$A$2:$A$851, 0))</f>
        <v/>
      </c>
      <c r="L586">
        <f>IF(D586&lt;100000, "Micro (&lt;100K)", IF(D586&lt;500000, "Small (100K-500K)", "Medium (500K+)"))</f>
        <v/>
      </c>
      <c r="M586">
        <f>TEXT(C586, "yyyy-mm")</f>
        <v/>
      </c>
    </row>
    <row r="587">
      <c r="A587" t="inlineStr">
        <is>
          <t>LN200641</t>
        </is>
      </c>
      <c r="B587" t="inlineStr">
        <is>
          <t>BOR100482</t>
        </is>
      </c>
      <c r="C587" s="8" t="n">
        <v>46227</v>
      </c>
      <c r="D587" s="9" t="n">
        <v>125000</v>
      </c>
      <c r="E587" t="n">
        <v>3</v>
      </c>
      <c r="F587" s="10" t="n">
        <v>0.159</v>
      </c>
      <c r="G587" t="inlineStr">
        <is>
          <t>Asset Finance</t>
        </is>
      </c>
      <c r="H587" t="inlineStr">
        <is>
          <t>LO025</t>
        </is>
      </c>
      <c r="I587" t="inlineStr">
        <is>
          <t>Mobile App</t>
        </is>
      </c>
      <c r="J587">
        <f>INDEX('Data - Borrowers'!$B$2:$B$851, MATCH(B587, 'Data - Borrowers'!$A$2:$A$851, 0))</f>
        <v/>
      </c>
      <c r="K587">
        <f>INDEX('Data - Borrowers'!$C$2:$C$851, MATCH(B587, 'Data - Borrowers'!$A$2:$A$851, 0))</f>
        <v/>
      </c>
      <c r="L587">
        <f>IF(D587&lt;100000, "Micro (&lt;100K)", IF(D587&lt;500000, "Small (100K-500K)", "Medium (500K+)"))</f>
        <v/>
      </c>
      <c r="M587">
        <f>TEXT(C587, "yyyy-mm")</f>
        <v/>
      </c>
    </row>
    <row r="588">
      <c r="A588" t="inlineStr">
        <is>
          <t>LN200642</t>
        </is>
      </c>
      <c r="B588" t="inlineStr">
        <is>
          <t>BOR100483</t>
        </is>
      </c>
      <c r="C588" s="8" t="n">
        <v>45877</v>
      </c>
      <c r="D588" s="9" t="n">
        <v>882000</v>
      </c>
      <c r="E588" t="n">
        <v>18</v>
      </c>
      <c r="F588" s="10" t="n">
        <v>0.214</v>
      </c>
      <c r="G588" t="inlineStr">
        <is>
          <t>Invoice Discounting</t>
        </is>
      </c>
      <c r="H588" t="inlineStr">
        <is>
          <t>LO002</t>
        </is>
      </c>
      <c r="I588" t="inlineStr">
        <is>
          <t>Mobile App</t>
        </is>
      </c>
      <c r="J588">
        <f>INDEX('Data - Borrowers'!$B$2:$B$851, MATCH(B588, 'Data - Borrowers'!$A$2:$A$851, 0))</f>
        <v/>
      </c>
      <c r="K588">
        <f>INDEX('Data - Borrowers'!$C$2:$C$851, MATCH(B588, 'Data - Borrowers'!$A$2:$A$851, 0))</f>
        <v/>
      </c>
      <c r="L588">
        <f>IF(D588&lt;100000, "Micro (&lt;100K)", IF(D588&lt;500000, "Small (100K-500K)", "Medium (500K+)"))</f>
        <v/>
      </c>
      <c r="M588">
        <f>TEXT(C588, "yyyy-mm")</f>
        <v/>
      </c>
    </row>
    <row r="589">
      <c r="A589" t="inlineStr">
        <is>
          <t>LN200643</t>
        </is>
      </c>
      <c r="B589" t="inlineStr">
        <is>
          <t>BOR100484</t>
        </is>
      </c>
      <c r="C589" s="8" t="n">
        <v>46028</v>
      </c>
      <c r="D589" s="9" t="n">
        <v>67000</v>
      </c>
      <c r="E589" t="n">
        <v>12</v>
      </c>
      <c r="F589" s="10" t="n">
        <v>0.157</v>
      </c>
      <c r="G589" t="inlineStr">
        <is>
          <t>Asset Finance</t>
        </is>
      </c>
      <c r="H589" t="inlineStr">
        <is>
          <t>LO020</t>
        </is>
      </c>
      <c r="I589" t="inlineStr">
        <is>
          <t>Mobile App</t>
        </is>
      </c>
      <c r="J589">
        <f>INDEX('Data - Borrowers'!$B$2:$B$851, MATCH(B589, 'Data - Borrowers'!$A$2:$A$851, 0))</f>
        <v/>
      </c>
      <c r="K589">
        <f>INDEX('Data - Borrowers'!$C$2:$C$851, MATCH(B589, 'Data - Borrowers'!$A$2:$A$851, 0))</f>
        <v/>
      </c>
      <c r="L589">
        <f>IF(D589&lt;100000, "Micro (&lt;100K)", IF(D589&lt;500000, "Small (100K-500K)", "Medium (500K+)"))</f>
        <v/>
      </c>
      <c r="M589">
        <f>TEXT(C589, "yyyy-mm")</f>
        <v/>
      </c>
    </row>
    <row r="590">
      <c r="A590" t="inlineStr">
        <is>
          <t>LN200644</t>
        </is>
      </c>
      <c r="B590" t="inlineStr">
        <is>
          <t>BOR100485</t>
        </is>
      </c>
      <c r="C590" s="8" t="n">
        <v>45721</v>
      </c>
      <c r="D590" s="9" t="n">
        <v>59000</v>
      </c>
      <c r="E590" t="n">
        <v>6</v>
      </c>
      <c r="F590" s="10" t="n">
        <v>0.123</v>
      </c>
      <c r="G590" t="inlineStr">
        <is>
          <t>Invoice Discounting</t>
        </is>
      </c>
      <c r="H590" t="inlineStr">
        <is>
          <t>LO020</t>
        </is>
      </c>
      <c r="I590" t="inlineStr">
        <is>
          <t>Mobile App</t>
        </is>
      </c>
      <c r="J590">
        <f>INDEX('Data - Borrowers'!$B$2:$B$851, MATCH(B590, 'Data - Borrowers'!$A$2:$A$851, 0))</f>
        <v/>
      </c>
      <c r="K590">
        <f>INDEX('Data - Borrowers'!$C$2:$C$851, MATCH(B590, 'Data - Borrowers'!$A$2:$A$851, 0))</f>
        <v/>
      </c>
      <c r="L590">
        <f>IF(D590&lt;100000, "Micro (&lt;100K)", IF(D590&lt;500000, "Small (100K-500K)", "Medium (500K+)"))</f>
        <v/>
      </c>
      <c r="M590">
        <f>TEXT(C590, "yyyy-mm")</f>
        <v/>
      </c>
    </row>
    <row r="591">
      <c r="A591" t="inlineStr">
        <is>
          <t>LN200645</t>
        </is>
      </c>
      <c r="B591" t="inlineStr">
        <is>
          <t>BOR100486</t>
        </is>
      </c>
      <c r="C591" s="8" t="n">
        <v>45767</v>
      </c>
      <c r="D591" s="9" t="n">
        <v>70000</v>
      </c>
      <c r="E591" t="n">
        <v>6</v>
      </c>
      <c r="F591" s="10" t="n">
        <v>0.219</v>
      </c>
      <c r="G591" t="inlineStr">
        <is>
          <t>Working Capital</t>
        </is>
      </c>
      <c r="H591" t="inlineStr">
        <is>
          <t>LO015</t>
        </is>
      </c>
      <c r="I591" t="inlineStr">
        <is>
          <t>Mobile App</t>
        </is>
      </c>
      <c r="J591">
        <f>INDEX('Data - Borrowers'!$B$2:$B$851, MATCH(B591, 'Data - Borrowers'!$A$2:$A$851, 0))</f>
        <v/>
      </c>
      <c r="K591">
        <f>INDEX('Data - Borrowers'!$C$2:$C$851, MATCH(B591, 'Data - Borrowers'!$A$2:$A$851, 0))</f>
        <v/>
      </c>
      <c r="L591">
        <f>IF(D591&lt;100000, "Micro (&lt;100K)", IF(D591&lt;500000, "Small (100K-500K)", "Medium (500K+)"))</f>
        <v/>
      </c>
      <c r="M591">
        <f>TEXT(C591, "yyyy-mm")</f>
        <v/>
      </c>
    </row>
    <row r="592">
      <c r="A592" t="inlineStr">
        <is>
          <t>LN200646</t>
        </is>
      </c>
      <c r="B592" t="inlineStr">
        <is>
          <t>BOR100487</t>
        </is>
      </c>
      <c r="C592" s="8" t="n">
        <v>45994</v>
      </c>
      <c r="D592" s="9" t="n">
        <v>32000</v>
      </c>
      <c r="E592" t="n">
        <v>12</v>
      </c>
      <c r="F592" s="10" t="n">
        <v>0.185</v>
      </c>
      <c r="G592" t="inlineStr">
        <is>
          <t>Asset Finance</t>
        </is>
      </c>
      <c r="H592" t="inlineStr">
        <is>
          <t>LO018</t>
        </is>
      </c>
      <c r="I592" t="inlineStr">
        <is>
          <t>Partner Referral</t>
        </is>
      </c>
      <c r="J592">
        <f>INDEX('Data - Borrowers'!$B$2:$B$851, MATCH(B592, 'Data - Borrowers'!$A$2:$A$851, 0))</f>
        <v/>
      </c>
      <c r="K592">
        <f>INDEX('Data - Borrowers'!$C$2:$C$851, MATCH(B592, 'Data - Borrowers'!$A$2:$A$851, 0))</f>
        <v/>
      </c>
      <c r="L592">
        <f>IF(D592&lt;100000, "Micro (&lt;100K)", IF(D592&lt;500000, "Small (100K-500K)", "Medium (500K+)"))</f>
        <v/>
      </c>
      <c r="M592">
        <f>TEXT(C592, "yyyy-mm")</f>
        <v/>
      </c>
    </row>
    <row r="593">
      <c r="A593" t="inlineStr">
        <is>
          <t>LN200647</t>
        </is>
      </c>
      <c r="B593" t="inlineStr">
        <is>
          <t>BOR100488</t>
        </is>
      </c>
      <c r="C593" s="8" t="n">
        <v>46007</v>
      </c>
      <c r="D593" s="9" t="n">
        <v>239000</v>
      </c>
      <c r="E593" t="n">
        <v>3</v>
      </c>
      <c r="F593" s="10" t="n">
        <v>0.222</v>
      </c>
      <c r="G593" t="inlineStr">
        <is>
          <t>Invoice Discounting</t>
        </is>
      </c>
      <c r="H593" t="inlineStr">
        <is>
          <t>LO011</t>
        </is>
      </c>
      <c r="I593" t="inlineStr">
        <is>
          <t>Mobile App</t>
        </is>
      </c>
      <c r="J593">
        <f>INDEX('Data - Borrowers'!$B$2:$B$851, MATCH(B593, 'Data - Borrowers'!$A$2:$A$851, 0))</f>
        <v/>
      </c>
      <c r="K593">
        <f>INDEX('Data - Borrowers'!$C$2:$C$851, MATCH(B593, 'Data - Borrowers'!$A$2:$A$851, 0))</f>
        <v/>
      </c>
      <c r="L593">
        <f>IF(D593&lt;100000, "Micro (&lt;100K)", IF(D593&lt;500000, "Small (100K-500K)", "Medium (500K+)"))</f>
        <v/>
      </c>
      <c r="M593">
        <f>TEXT(C593, "yyyy-mm")</f>
        <v/>
      </c>
    </row>
    <row r="594">
      <c r="A594" t="inlineStr">
        <is>
          <t>LN200648</t>
        </is>
      </c>
      <c r="B594" t="inlineStr">
        <is>
          <t>BOR100489</t>
        </is>
      </c>
      <c r="C594" s="8" t="n">
        <v>45782</v>
      </c>
      <c r="D594" s="9" t="n">
        <v>112000</v>
      </c>
      <c r="E594" t="n">
        <v>12</v>
      </c>
      <c r="F594" s="10" t="n">
        <v>0.128</v>
      </c>
      <c r="G594" t="inlineStr">
        <is>
          <t>Invoice Discounting</t>
        </is>
      </c>
      <c r="H594" t="inlineStr">
        <is>
          <t>LO012</t>
        </is>
      </c>
      <c r="I594" t="inlineStr">
        <is>
          <t>Branch</t>
        </is>
      </c>
      <c r="J594">
        <f>INDEX('Data - Borrowers'!$B$2:$B$851, MATCH(B594, 'Data - Borrowers'!$A$2:$A$851, 0))</f>
        <v/>
      </c>
      <c r="K594">
        <f>INDEX('Data - Borrowers'!$C$2:$C$851, MATCH(B594, 'Data - Borrowers'!$A$2:$A$851, 0))</f>
        <v/>
      </c>
      <c r="L594">
        <f>IF(D594&lt;100000, "Micro (&lt;100K)", IF(D594&lt;500000, "Small (100K-500K)", "Medium (500K+)"))</f>
        <v/>
      </c>
      <c r="M594">
        <f>TEXT(C594, "yyyy-mm")</f>
        <v/>
      </c>
    </row>
    <row r="595">
      <c r="A595" t="inlineStr">
        <is>
          <t>LN200649</t>
        </is>
      </c>
      <c r="B595" t="inlineStr">
        <is>
          <t>BOR100489</t>
        </is>
      </c>
      <c r="C595" s="8" t="n">
        <v>46218</v>
      </c>
      <c r="D595" s="9" t="n">
        <v>33000</v>
      </c>
      <c r="E595" t="n">
        <v>9</v>
      </c>
      <c r="F595" s="10" t="n">
        <v>0.223</v>
      </c>
      <c r="G595" t="inlineStr">
        <is>
          <t>Asset Finance</t>
        </is>
      </c>
      <c r="H595" t="inlineStr">
        <is>
          <t>LO005</t>
        </is>
      </c>
      <c r="I595" t="inlineStr">
        <is>
          <t>Mobile App</t>
        </is>
      </c>
      <c r="J595">
        <f>INDEX('Data - Borrowers'!$B$2:$B$851, MATCH(B595, 'Data - Borrowers'!$A$2:$A$851, 0))</f>
        <v/>
      </c>
      <c r="K595">
        <f>INDEX('Data - Borrowers'!$C$2:$C$851, MATCH(B595, 'Data - Borrowers'!$A$2:$A$851, 0))</f>
        <v/>
      </c>
      <c r="L595">
        <f>IF(D595&lt;100000, "Micro (&lt;100K)", IF(D595&lt;500000, "Small (100K-500K)", "Medium (500K+)"))</f>
        <v/>
      </c>
      <c r="M595">
        <f>TEXT(C595, "yyyy-mm")</f>
        <v/>
      </c>
    </row>
    <row r="596">
      <c r="A596" t="inlineStr">
        <is>
          <t>LN200650</t>
        </is>
      </c>
      <c r="B596" t="inlineStr">
        <is>
          <t>BOR100490</t>
        </is>
      </c>
      <c r="C596" s="8" t="n">
        <v>45684</v>
      </c>
      <c r="D596" s="9" t="n">
        <v>105000</v>
      </c>
      <c r="E596" t="n">
        <v>18</v>
      </c>
      <c r="F596" s="10" t="n">
        <v>0.141</v>
      </c>
      <c r="G596" t="inlineStr">
        <is>
          <t>Invoice Discounting</t>
        </is>
      </c>
      <c r="H596" t="inlineStr">
        <is>
          <t>LO005</t>
        </is>
      </c>
      <c r="I596" t="inlineStr">
        <is>
          <t>Mobile App</t>
        </is>
      </c>
      <c r="J596">
        <f>INDEX('Data - Borrowers'!$B$2:$B$851, MATCH(B596, 'Data - Borrowers'!$A$2:$A$851, 0))</f>
        <v/>
      </c>
      <c r="K596">
        <f>INDEX('Data - Borrowers'!$C$2:$C$851, MATCH(B596, 'Data - Borrowers'!$A$2:$A$851, 0))</f>
        <v/>
      </c>
      <c r="L596">
        <f>IF(D596&lt;100000, "Micro (&lt;100K)", IF(D596&lt;500000, "Small (100K-500K)", "Medium (500K+)"))</f>
        <v/>
      </c>
      <c r="M596">
        <f>TEXT(C596, "yyyy-mm")</f>
        <v/>
      </c>
    </row>
    <row r="597">
      <c r="A597" t="inlineStr">
        <is>
          <t>LN200651</t>
        </is>
      </c>
      <c r="B597" t="inlineStr">
        <is>
          <t>BOR100490</t>
        </is>
      </c>
      <c r="C597" s="8" t="n">
        <v>46076</v>
      </c>
      <c r="D597" s="9" t="n">
        <v>51000</v>
      </c>
      <c r="E597" t="n">
        <v>6</v>
      </c>
      <c r="F597" s="10" t="n">
        <v>0.169</v>
      </c>
      <c r="G597" t="inlineStr">
        <is>
          <t>Asset Finance</t>
        </is>
      </c>
      <c r="H597" t="inlineStr">
        <is>
          <t>LO022</t>
        </is>
      </c>
      <c r="I597" t="inlineStr">
        <is>
          <t>Partner Referral</t>
        </is>
      </c>
      <c r="J597">
        <f>INDEX('Data - Borrowers'!$B$2:$B$851, MATCH(B597, 'Data - Borrowers'!$A$2:$A$851, 0))</f>
        <v/>
      </c>
      <c r="K597">
        <f>INDEX('Data - Borrowers'!$C$2:$C$851, MATCH(B597, 'Data - Borrowers'!$A$2:$A$851, 0))</f>
        <v/>
      </c>
      <c r="L597">
        <f>IF(D597&lt;100000, "Micro (&lt;100K)", IF(D597&lt;500000, "Small (100K-500K)", "Medium (500K+)"))</f>
        <v/>
      </c>
      <c r="M597">
        <f>TEXT(C597, "yyyy-mm")</f>
        <v/>
      </c>
    </row>
    <row r="598">
      <c r="A598" t="inlineStr">
        <is>
          <t>LN200652</t>
        </is>
      </c>
      <c r="B598" t="inlineStr">
        <is>
          <t>BOR100491</t>
        </is>
      </c>
      <c r="C598" s="8" t="n">
        <v>45706</v>
      </c>
      <c r="D598" s="9" t="n">
        <v>47000</v>
      </c>
      <c r="E598" t="n">
        <v>6</v>
      </c>
      <c r="F598" s="10" t="n">
        <v>0.232</v>
      </c>
      <c r="G598" t="inlineStr">
        <is>
          <t>Working Capital</t>
        </is>
      </c>
      <c r="H598" t="inlineStr">
        <is>
          <t>LO003</t>
        </is>
      </c>
      <c r="I598" t="inlineStr">
        <is>
          <t>Branch</t>
        </is>
      </c>
      <c r="J598">
        <f>INDEX('Data - Borrowers'!$B$2:$B$851, MATCH(B598, 'Data - Borrowers'!$A$2:$A$851, 0))</f>
        <v/>
      </c>
      <c r="K598">
        <f>INDEX('Data - Borrowers'!$C$2:$C$851, MATCH(B598, 'Data - Borrowers'!$A$2:$A$851, 0))</f>
        <v/>
      </c>
      <c r="L598">
        <f>IF(D598&lt;100000, "Micro (&lt;100K)", IF(D598&lt;500000, "Small (100K-500K)", "Medium (500K+)"))</f>
        <v/>
      </c>
      <c r="M598">
        <f>TEXT(C598, "yyyy-mm")</f>
        <v/>
      </c>
    </row>
    <row r="599">
      <c r="A599" t="inlineStr">
        <is>
          <t>LN200653</t>
        </is>
      </c>
      <c r="B599" t="inlineStr">
        <is>
          <t>BOR100491</t>
        </is>
      </c>
      <c r="C599" s="8" t="n">
        <v>45892</v>
      </c>
      <c r="D599" s="9" t="n">
        <v>64000</v>
      </c>
      <c r="E599" t="n">
        <v>6</v>
      </c>
      <c r="F599" s="10" t="n">
        <v>0.188</v>
      </c>
      <c r="G599" t="inlineStr">
        <is>
          <t>Asset Finance</t>
        </is>
      </c>
      <c r="H599" t="inlineStr">
        <is>
          <t>LO011</t>
        </is>
      </c>
      <c r="I599" t="inlineStr">
        <is>
          <t>Mobile App</t>
        </is>
      </c>
      <c r="J599">
        <f>INDEX('Data - Borrowers'!$B$2:$B$851, MATCH(B599, 'Data - Borrowers'!$A$2:$A$851, 0))</f>
        <v/>
      </c>
      <c r="K599">
        <f>INDEX('Data - Borrowers'!$C$2:$C$851, MATCH(B599, 'Data - Borrowers'!$A$2:$A$851, 0))</f>
        <v/>
      </c>
      <c r="L599">
        <f>IF(D599&lt;100000, "Micro (&lt;100K)", IF(D599&lt;500000, "Small (100K-500K)", "Medium (500K+)"))</f>
        <v/>
      </c>
      <c r="M599">
        <f>TEXT(C599, "yyyy-mm")</f>
        <v/>
      </c>
    </row>
    <row r="600">
      <c r="A600" t="inlineStr">
        <is>
          <t>LN200654</t>
        </is>
      </c>
      <c r="B600" t="inlineStr">
        <is>
          <t>BOR100492</t>
        </is>
      </c>
      <c r="C600" s="8" t="n">
        <v>45665</v>
      </c>
      <c r="D600" s="9" t="n">
        <v>194000</v>
      </c>
      <c r="E600" t="n">
        <v>6</v>
      </c>
      <c r="F600" s="10" t="n">
        <v>0.147</v>
      </c>
      <c r="G600" t="inlineStr">
        <is>
          <t>Invoice Discounting</t>
        </is>
      </c>
      <c r="H600" t="inlineStr">
        <is>
          <t>LO017</t>
        </is>
      </c>
      <c r="I600" t="inlineStr">
        <is>
          <t>Mobile App</t>
        </is>
      </c>
      <c r="J600">
        <f>INDEX('Data - Borrowers'!$B$2:$B$851, MATCH(B600, 'Data - Borrowers'!$A$2:$A$851, 0))</f>
        <v/>
      </c>
      <c r="K600">
        <f>INDEX('Data - Borrowers'!$C$2:$C$851, MATCH(B600, 'Data - Borrowers'!$A$2:$A$851, 0))</f>
        <v/>
      </c>
      <c r="L600">
        <f>IF(D600&lt;100000, "Micro (&lt;100K)", IF(D600&lt;500000, "Small (100K-500K)", "Medium (500K+)"))</f>
        <v/>
      </c>
      <c r="M600">
        <f>TEXT(C600, "yyyy-mm")</f>
        <v/>
      </c>
    </row>
    <row r="601">
      <c r="A601" t="inlineStr">
        <is>
          <t>LN200655</t>
        </is>
      </c>
      <c r="B601" t="inlineStr">
        <is>
          <t>BOR100492</t>
        </is>
      </c>
      <c r="C601" s="8" t="n">
        <v>46199</v>
      </c>
      <c r="D601" s="9" t="n">
        <v>245000</v>
      </c>
      <c r="E601" t="n">
        <v>18</v>
      </c>
      <c r="F601" s="10" t="n">
        <v>0.16</v>
      </c>
      <c r="G601" t="inlineStr">
        <is>
          <t>Working Capital</t>
        </is>
      </c>
      <c r="H601" t="inlineStr">
        <is>
          <t>LO015</t>
        </is>
      </c>
      <c r="I601" t="inlineStr">
        <is>
          <t>Branch</t>
        </is>
      </c>
      <c r="J601">
        <f>INDEX('Data - Borrowers'!$B$2:$B$851, MATCH(B601, 'Data - Borrowers'!$A$2:$A$851, 0))</f>
        <v/>
      </c>
      <c r="K601">
        <f>INDEX('Data - Borrowers'!$C$2:$C$851, MATCH(B601, 'Data - Borrowers'!$A$2:$A$851, 0))</f>
        <v/>
      </c>
      <c r="L601">
        <f>IF(D601&lt;100000, "Micro (&lt;100K)", IF(D601&lt;500000, "Small (100K-500K)", "Medium (500K+)"))</f>
        <v/>
      </c>
      <c r="M601">
        <f>TEXT(C601, "yyyy-mm")</f>
        <v/>
      </c>
    </row>
    <row r="602">
      <c r="A602" t="inlineStr">
        <is>
          <t>LN200656</t>
        </is>
      </c>
      <c r="B602" t="inlineStr">
        <is>
          <t>BOR100493</t>
        </is>
      </c>
      <c r="C602" s="8" t="n">
        <v>45731</v>
      </c>
      <c r="D602" s="9" t="n">
        <v>67000</v>
      </c>
      <c r="E602" t="n">
        <v>3</v>
      </c>
      <c r="F602" s="10" t="n">
        <v>0.176</v>
      </c>
      <c r="G602" t="inlineStr">
        <is>
          <t>Working Capital</t>
        </is>
      </c>
      <c r="H602" t="inlineStr">
        <is>
          <t>LO019</t>
        </is>
      </c>
      <c r="I602" t="inlineStr">
        <is>
          <t>Branch</t>
        </is>
      </c>
      <c r="J602">
        <f>INDEX('Data - Borrowers'!$B$2:$B$851, MATCH(B602, 'Data - Borrowers'!$A$2:$A$851, 0))</f>
        <v/>
      </c>
      <c r="K602">
        <f>INDEX('Data - Borrowers'!$C$2:$C$851, MATCH(B602, 'Data - Borrowers'!$A$2:$A$851, 0))</f>
        <v/>
      </c>
      <c r="L602">
        <f>IF(D602&lt;100000, "Micro (&lt;100K)", IF(D602&lt;500000, "Small (100K-500K)", "Medium (500K+)"))</f>
        <v/>
      </c>
      <c r="M602">
        <f>TEXT(C602, "yyyy-mm")</f>
        <v/>
      </c>
    </row>
    <row r="603">
      <c r="A603" t="inlineStr">
        <is>
          <t>LN200657</t>
        </is>
      </c>
      <c r="B603" t="inlineStr">
        <is>
          <t>BOR100494</t>
        </is>
      </c>
      <c r="C603" s="8" t="n">
        <v>46212</v>
      </c>
      <c r="D603" s="9" t="n">
        <v>54000</v>
      </c>
      <c r="E603" t="n">
        <v>9</v>
      </c>
      <c r="F603" s="10" t="n">
        <v>0.126</v>
      </c>
      <c r="G603" t="inlineStr">
        <is>
          <t>Working Capital</t>
        </is>
      </c>
      <c r="H603" t="inlineStr">
        <is>
          <t>LO002</t>
        </is>
      </c>
      <c r="I603" t="inlineStr">
        <is>
          <t>Mobile App</t>
        </is>
      </c>
      <c r="J603">
        <f>INDEX('Data - Borrowers'!$B$2:$B$851, MATCH(B603, 'Data - Borrowers'!$A$2:$A$851, 0))</f>
        <v/>
      </c>
      <c r="K603">
        <f>INDEX('Data - Borrowers'!$C$2:$C$851, MATCH(B603, 'Data - Borrowers'!$A$2:$A$851, 0))</f>
        <v/>
      </c>
      <c r="L603">
        <f>IF(D603&lt;100000, "Micro (&lt;100K)", IF(D603&lt;500000, "Small (100K-500K)", "Medium (500K+)"))</f>
        <v/>
      </c>
      <c r="M603">
        <f>TEXT(C603, "yyyy-mm")</f>
        <v/>
      </c>
    </row>
    <row r="604">
      <c r="A604" t="inlineStr">
        <is>
          <t>LN200658</t>
        </is>
      </c>
      <c r="B604" t="inlineStr">
        <is>
          <t>BOR100495</t>
        </is>
      </c>
      <c r="C604" s="8" t="n">
        <v>45874</v>
      </c>
      <c r="D604" s="9" t="n">
        <v>123000</v>
      </c>
      <c r="E604" t="n">
        <v>6</v>
      </c>
      <c r="F604" s="10" t="n">
        <v>0.189</v>
      </c>
      <c r="G604" t="inlineStr">
        <is>
          <t>Invoice Discounting</t>
        </is>
      </c>
      <c r="H604" t="inlineStr">
        <is>
          <t>LO017</t>
        </is>
      </c>
      <c r="I604" t="inlineStr">
        <is>
          <t>Mobile App</t>
        </is>
      </c>
      <c r="J604">
        <f>INDEX('Data - Borrowers'!$B$2:$B$851, MATCH(B604, 'Data - Borrowers'!$A$2:$A$851, 0))</f>
        <v/>
      </c>
      <c r="K604">
        <f>INDEX('Data - Borrowers'!$C$2:$C$851, MATCH(B604, 'Data - Borrowers'!$A$2:$A$851, 0))</f>
        <v/>
      </c>
      <c r="L604">
        <f>IF(D604&lt;100000, "Micro (&lt;100K)", IF(D604&lt;500000, "Small (100K-500K)", "Medium (500K+)"))</f>
        <v/>
      </c>
      <c r="M604">
        <f>TEXT(C604, "yyyy-mm")</f>
        <v/>
      </c>
    </row>
    <row r="605">
      <c r="A605" t="inlineStr">
        <is>
          <t>LN200659</t>
        </is>
      </c>
      <c r="B605" t="inlineStr">
        <is>
          <t>BOR100496</t>
        </is>
      </c>
      <c r="C605" s="8" t="n">
        <v>46147</v>
      </c>
      <c r="D605" s="9" t="n">
        <v>175000</v>
      </c>
      <c r="E605" t="n">
        <v>3</v>
      </c>
      <c r="F605" s="10" t="n">
        <v>0.189</v>
      </c>
      <c r="G605" t="inlineStr">
        <is>
          <t>Invoice Discounting</t>
        </is>
      </c>
      <c r="H605" t="inlineStr">
        <is>
          <t>LO001</t>
        </is>
      </c>
      <c r="I605" t="inlineStr">
        <is>
          <t>Mobile App</t>
        </is>
      </c>
      <c r="J605">
        <f>INDEX('Data - Borrowers'!$B$2:$B$851, MATCH(B605, 'Data - Borrowers'!$A$2:$A$851, 0))</f>
        <v/>
      </c>
      <c r="K605">
        <f>INDEX('Data - Borrowers'!$C$2:$C$851, MATCH(B605, 'Data - Borrowers'!$A$2:$A$851, 0))</f>
        <v/>
      </c>
      <c r="L605">
        <f>IF(D605&lt;100000, "Micro (&lt;100K)", IF(D605&lt;500000, "Small (100K-500K)", "Medium (500K+)"))</f>
        <v/>
      </c>
      <c r="M605">
        <f>TEXT(C605, "yyyy-mm")</f>
        <v/>
      </c>
    </row>
    <row r="606">
      <c r="A606" t="inlineStr">
        <is>
          <t>LN200660</t>
        </is>
      </c>
      <c r="B606" t="inlineStr">
        <is>
          <t>BOR100497</t>
        </is>
      </c>
      <c r="C606" s="8" t="n">
        <v>46222</v>
      </c>
      <c r="D606" s="9" t="n">
        <v>126000</v>
      </c>
      <c r="E606" t="n">
        <v>12</v>
      </c>
      <c r="F606" s="10" t="n">
        <v>0.162</v>
      </c>
      <c r="G606" t="inlineStr">
        <is>
          <t>Working Capital</t>
        </is>
      </c>
      <c r="H606" t="inlineStr">
        <is>
          <t>LO018</t>
        </is>
      </c>
      <c r="I606" t="inlineStr">
        <is>
          <t>Branch</t>
        </is>
      </c>
      <c r="J606">
        <f>INDEX('Data - Borrowers'!$B$2:$B$851, MATCH(B606, 'Data - Borrowers'!$A$2:$A$851, 0))</f>
        <v/>
      </c>
      <c r="K606">
        <f>INDEX('Data - Borrowers'!$C$2:$C$851, MATCH(B606, 'Data - Borrowers'!$A$2:$A$851, 0))</f>
        <v/>
      </c>
      <c r="L606">
        <f>IF(D606&lt;100000, "Micro (&lt;100K)", IF(D606&lt;500000, "Small (100K-500K)", "Medium (500K+)"))</f>
        <v/>
      </c>
      <c r="M606">
        <f>TEXT(C606, "yyyy-mm")</f>
        <v/>
      </c>
    </row>
    <row r="607">
      <c r="A607" t="inlineStr">
        <is>
          <t>LN200662</t>
        </is>
      </c>
      <c r="B607" t="inlineStr">
        <is>
          <t>BOR100498</t>
        </is>
      </c>
      <c r="C607" s="8" t="n">
        <v>46054</v>
      </c>
      <c r="D607" s="9" t="n">
        <v>63000</v>
      </c>
      <c r="E607" t="n">
        <v>9</v>
      </c>
      <c r="F607" s="10" t="n">
        <v>0.128</v>
      </c>
      <c r="G607" t="inlineStr">
        <is>
          <t>Invoice Discounting</t>
        </is>
      </c>
      <c r="H607" t="inlineStr">
        <is>
          <t>LO019</t>
        </is>
      </c>
      <c r="I607" t="inlineStr">
        <is>
          <t>Mobile App</t>
        </is>
      </c>
      <c r="J607">
        <f>INDEX('Data - Borrowers'!$B$2:$B$851, MATCH(B607, 'Data - Borrowers'!$A$2:$A$851, 0))</f>
        <v/>
      </c>
      <c r="K607">
        <f>INDEX('Data - Borrowers'!$C$2:$C$851, MATCH(B607, 'Data - Borrowers'!$A$2:$A$851, 0))</f>
        <v/>
      </c>
      <c r="L607">
        <f>IF(D607&lt;100000, "Micro (&lt;100K)", IF(D607&lt;500000, "Small (100K-500K)", "Medium (500K+)"))</f>
        <v/>
      </c>
      <c r="M607">
        <f>TEXT(C607, "yyyy-mm")</f>
        <v/>
      </c>
    </row>
    <row r="608">
      <c r="A608" t="inlineStr">
        <is>
          <t>LN200663</t>
        </is>
      </c>
      <c r="B608" t="inlineStr">
        <is>
          <t>BOR100499</t>
        </is>
      </c>
      <c r="C608" s="8" t="n">
        <v>45819</v>
      </c>
      <c r="D608" s="9" t="n">
        <v>111000</v>
      </c>
      <c r="E608" t="n">
        <v>12</v>
      </c>
      <c r="F608" s="10" t="n">
        <v>0.204</v>
      </c>
      <c r="G608" t="inlineStr">
        <is>
          <t>Working Capital</t>
        </is>
      </c>
      <c r="H608" t="inlineStr">
        <is>
          <t>LO011</t>
        </is>
      </c>
      <c r="I608" t="inlineStr">
        <is>
          <t>Branch</t>
        </is>
      </c>
      <c r="J608">
        <f>INDEX('Data - Borrowers'!$B$2:$B$851, MATCH(B608, 'Data - Borrowers'!$A$2:$A$851, 0))</f>
        <v/>
      </c>
      <c r="K608">
        <f>INDEX('Data - Borrowers'!$C$2:$C$851, MATCH(B608, 'Data - Borrowers'!$A$2:$A$851, 0))</f>
        <v/>
      </c>
      <c r="L608">
        <f>IF(D608&lt;100000, "Micro (&lt;100K)", IF(D608&lt;500000, "Small (100K-500K)", "Medium (500K+)"))</f>
        <v/>
      </c>
      <c r="M608">
        <f>TEXT(C608, "yyyy-mm")</f>
        <v/>
      </c>
    </row>
    <row r="609">
      <c r="A609" t="inlineStr">
        <is>
          <t>LN200664</t>
        </is>
      </c>
      <c r="B609" t="inlineStr">
        <is>
          <t>BOR100500</t>
        </is>
      </c>
      <c r="C609" s="8" t="n">
        <v>46129</v>
      </c>
      <c r="D609" s="9" t="n">
        <v>73000</v>
      </c>
      <c r="E609" t="n">
        <v>3</v>
      </c>
      <c r="F609" s="10" t="n">
        <v>0.236</v>
      </c>
      <c r="G609" t="inlineStr">
        <is>
          <t>Invoice Discounting</t>
        </is>
      </c>
      <c r="H609" t="inlineStr">
        <is>
          <t>LO014</t>
        </is>
      </c>
      <c r="I609" t="inlineStr">
        <is>
          <t>Mobile App</t>
        </is>
      </c>
      <c r="J609">
        <f>INDEX('Data - Borrowers'!$B$2:$B$851, MATCH(B609, 'Data - Borrowers'!$A$2:$A$851, 0))</f>
        <v/>
      </c>
      <c r="K609">
        <f>INDEX('Data - Borrowers'!$C$2:$C$851, MATCH(B609, 'Data - Borrowers'!$A$2:$A$851, 0))</f>
        <v/>
      </c>
      <c r="L609">
        <f>IF(D609&lt;100000, "Micro (&lt;100K)", IF(D609&lt;500000, "Small (100K-500K)", "Medium (500K+)"))</f>
        <v/>
      </c>
      <c r="M609">
        <f>TEXT(C609, "yyyy-mm")</f>
        <v/>
      </c>
    </row>
    <row r="610">
      <c r="A610" t="inlineStr">
        <is>
          <t>LN200666</t>
        </is>
      </c>
      <c r="B610" t="inlineStr">
        <is>
          <t>BOR100501</t>
        </is>
      </c>
      <c r="C610" s="8" t="n">
        <v>45670</v>
      </c>
      <c r="D610" s="9" t="n">
        <v>66000</v>
      </c>
      <c r="E610" t="n">
        <v>3</v>
      </c>
      <c r="F610" s="10" t="n">
        <v>0.17</v>
      </c>
      <c r="G610" t="inlineStr">
        <is>
          <t>Working Capital</t>
        </is>
      </c>
      <c r="H610" t="inlineStr">
        <is>
          <t>LO005</t>
        </is>
      </c>
      <c r="I610" t="inlineStr">
        <is>
          <t>Mobile App</t>
        </is>
      </c>
      <c r="J610">
        <f>INDEX('Data - Borrowers'!$B$2:$B$851, MATCH(B610, 'Data - Borrowers'!$A$2:$A$851, 0))</f>
        <v/>
      </c>
      <c r="K610">
        <f>INDEX('Data - Borrowers'!$C$2:$C$851, MATCH(B610, 'Data - Borrowers'!$A$2:$A$851, 0))</f>
        <v/>
      </c>
      <c r="L610">
        <f>IF(D610&lt;100000, "Micro (&lt;100K)", IF(D610&lt;500000, "Small (100K-500K)", "Medium (500K+)"))</f>
        <v/>
      </c>
      <c r="M610">
        <f>TEXT(C610, "yyyy-mm")</f>
        <v/>
      </c>
    </row>
    <row r="611">
      <c r="A611" t="inlineStr">
        <is>
          <t>LN200667</t>
        </is>
      </c>
      <c r="B611" t="inlineStr">
        <is>
          <t>BOR100501</t>
        </is>
      </c>
      <c r="C611" s="8" t="n">
        <v>46205</v>
      </c>
      <c r="D611" s="9" t="n">
        <v>102000</v>
      </c>
      <c r="E611" t="n">
        <v>6</v>
      </c>
      <c r="F611" s="10" t="n">
        <v>0.218</v>
      </c>
      <c r="G611" t="inlineStr">
        <is>
          <t>Working Capital</t>
        </is>
      </c>
      <c r="H611" t="inlineStr">
        <is>
          <t>LO007</t>
        </is>
      </c>
      <c r="I611" t="inlineStr">
        <is>
          <t>Mobile App</t>
        </is>
      </c>
      <c r="J611">
        <f>INDEX('Data - Borrowers'!$B$2:$B$851, MATCH(B611, 'Data - Borrowers'!$A$2:$A$851, 0))</f>
        <v/>
      </c>
      <c r="K611">
        <f>INDEX('Data - Borrowers'!$C$2:$C$851, MATCH(B611, 'Data - Borrowers'!$A$2:$A$851, 0))</f>
        <v/>
      </c>
      <c r="L611">
        <f>IF(D611&lt;100000, "Micro (&lt;100K)", IF(D611&lt;500000, "Small (100K-500K)", "Medium (500K+)"))</f>
        <v/>
      </c>
      <c r="M611">
        <f>TEXT(C611, "yyyy-mm")</f>
        <v/>
      </c>
    </row>
    <row r="612">
      <c r="A612" t="inlineStr">
        <is>
          <t>LN200669</t>
        </is>
      </c>
      <c r="B612" t="inlineStr">
        <is>
          <t>BOR100502</t>
        </is>
      </c>
      <c r="C612" s="8" t="n">
        <v>45897</v>
      </c>
      <c r="D612" s="9" t="n">
        <v>67000</v>
      </c>
      <c r="E612" t="n">
        <v>3</v>
      </c>
      <c r="F612" s="10" t="n">
        <v>0.2</v>
      </c>
      <c r="G612" t="inlineStr">
        <is>
          <t>Asset Finance</t>
        </is>
      </c>
      <c r="H612" t="inlineStr">
        <is>
          <t>LO022</t>
        </is>
      </c>
      <c r="I612" t="inlineStr">
        <is>
          <t>Branch</t>
        </is>
      </c>
      <c r="J612">
        <f>INDEX('Data - Borrowers'!$B$2:$B$851, MATCH(B612, 'Data - Borrowers'!$A$2:$A$851, 0))</f>
        <v/>
      </c>
      <c r="K612">
        <f>INDEX('Data - Borrowers'!$C$2:$C$851, MATCH(B612, 'Data - Borrowers'!$A$2:$A$851, 0))</f>
        <v/>
      </c>
      <c r="L612">
        <f>IF(D612&lt;100000, "Micro (&lt;100K)", IF(D612&lt;500000, "Small (100K-500K)", "Medium (500K+)"))</f>
        <v/>
      </c>
      <c r="M612">
        <f>TEXT(C612, "yyyy-mm")</f>
        <v/>
      </c>
    </row>
    <row r="613">
      <c r="A613" t="inlineStr">
        <is>
          <t>LN200670</t>
        </is>
      </c>
      <c r="B613" t="inlineStr">
        <is>
          <t>BOR100503</t>
        </is>
      </c>
      <c r="C613" s="8" t="n">
        <v>45664</v>
      </c>
      <c r="D613" s="9" t="n">
        <v>296000</v>
      </c>
      <c r="E613" t="n">
        <v>9</v>
      </c>
      <c r="F613" s="10" t="n">
        <v>0.183</v>
      </c>
      <c r="G613" t="inlineStr">
        <is>
          <t>Asset Finance</t>
        </is>
      </c>
      <c r="H613" t="inlineStr">
        <is>
          <t>LO020</t>
        </is>
      </c>
      <c r="I613" t="inlineStr">
        <is>
          <t>Mobile App</t>
        </is>
      </c>
      <c r="J613">
        <f>INDEX('Data - Borrowers'!$B$2:$B$851, MATCH(B613, 'Data - Borrowers'!$A$2:$A$851, 0))</f>
        <v/>
      </c>
      <c r="K613">
        <f>INDEX('Data - Borrowers'!$C$2:$C$851, MATCH(B613, 'Data - Borrowers'!$A$2:$A$851, 0))</f>
        <v/>
      </c>
      <c r="L613">
        <f>IF(D613&lt;100000, "Micro (&lt;100K)", IF(D613&lt;500000, "Small (100K-500K)", "Medium (500K+)"))</f>
        <v/>
      </c>
      <c r="M613">
        <f>TEXT(C613, "yyyy-mm")</f>
        <v/>
      </c>
    </row>
    <row r="614">
      <c r="A614" t="inlineStr">
        <is>
          <t>LN200671</t>
        </is>
      </c>
      <c r="B614" t="inlineStr">
        <is>
          <t>BOR100503</t>
        </is>
      </c>
      <c r="C614" s="8" t="n">
        <v>46127</v>
      </c>
      <c r="D614" s="9" t="n">
        <v>130000</v>
      </c>
      <c r="E614" t="n">
        <v>6</v>
      </c>
      <c r="F614" s="10" t="n">
        <v>0.204</v>
      </c>
      <c r="G614" t="inlineStr">
        <is>
          <t>Asset Finance</t>
        </is>
      </c>
      <c r="H614" t="inlineStr">
        <is>
          <t>LO023</t>
        </is>
      </c>
      <c r="I614" t="inlineStr">
        <is>
          <t>Mobile App</t>
        </is>
      </c>
      <c r="J614">
        <f>INDEX('Data - Borrowers'!$B$2:$B$851, MATCH(B614, 'Data - Borrowers'!$A$2:$A$851, 0))</f>
        <v/>
      </c>
      <c r="K614">
        <f>INDEX('Data - Borrowers'!$C$2:$C$851, MATCH(B614, 'Data - Borrowers'!$A$2:$A$851, 0))</f>
        <v/>
      </c>
      <c r="L614">
        <f>IF(D614&lt;100000, "Micro (&lt;100K)", IF(D614&lt;500000, "Small (100K-500K)", "Medium (500K+)"))</f>
        <v/>
      </c>
      <c r="M614">
        <f>TEXT(C614, "yyyy-mm")</f>
        <v/>
      </c>
    </row>
    <row r="615">
      <c r="A615" t="inlineStr">
        <is>
          <t>LN200672</t>
        </is>
      </c>
      <c r="B615" t="inlineStr">
        <is>
          <t>BOR100504</t>
        </is>
      </c>
      <c r="C615" s="8" t="n">
        <v>46031</v>
      </c>
      <c r="D615" s="9" t="n">
        <v>224000</v>
      </c>
      <c r="E615" t="n">
        <v>18</v>
      </c>
      <c r="F615" s="10" t="n">
        <v>0.187</v>
      </c>
      <c r="G615" t="inlineStr">
        <is>
          <t>Working Capital</t>
        </is>
      </c>
      <c r="H615" t="inlineStr">
        <is>
          <t>LO021</t>
        </is>
      </c>
      <c r="I615" t="inlineStr">
        <is>
          <t>Branch</t>
        </is>
      </c>
      <c r="J615">
        <f>INDEX('Data - Borrowers'!$B$2:$B$851, MATCH(B615, 'Data - Borrowers'!$A$2:$A$851, 0))</f>
        <v/>
      </c>
      <c r="K615">
        <f>INDEX('Data - Borrowers'!$C$2:$C$851, MATCH(B615, 'Data - Borrowers'!$A$2:$A$851, 0))</f>
        <v/>
      </c>
      <c r="L615">
        <f>IF(D615&lt;100000, "Micro (&lt;100K)", IF(D615&lt;500000, "Small (100K-500K)", "Medium (500K+)"))</f>
        <v/>
      </c>
      <c r="M615">
        <f>TEXT(C615, "yyyy-mm")</f>
        <v/>
      </c>
    </row>
    <row r="616">
      <c r="A616" t="inlineStr">
        <is>
          <t>LN200673</t>
        </is>
      </c>
      <c r="B616" t="inlineStr">
        <is>
          <t>BOR100505</t>
        </is>
      </c>
      <c r="C616" s="8" t="n">
        <v>45890</v>
      </c>
      <c r="D616" s="9" t="n">
        <v>62000</v>
      </c>
      <c r="E616" t="n">
        <v>3</v>
      </c>
      <c r="F616" s="10" t="n">
        <v>0.188</v>
      </c>
      <c r="G616" t="inlineStr">
        <is>
          <t>Invoice Discounting</t>
        </is>
      </c>
      <c r="H616" t="inlineStr">
        <is>
          <t>LO011</t>
        </is>
      </c>
      <c r="I616" t="inlineStr">
        <is>
          <t>Branch</t>
        </is>
      </c>
      <c r="J616">
        <f>INDEX('Data - Borrowers'!$B$2:$B$851, MATCH(B616, 'Data - Borrowers'!$A$2:$A$851, 0))</f>
        <v/>
      </c>
      <c r="K616">
        <f>INDEX('Data - Borrowers'!$C$2:$C$851, MATCH(B616, 'Data - Borrowers'!$A$2:$A$851, 0))</f>
        <v/>
      </c>
      <c r="L616">
        <f>IF(D616&lt;100000, "Micro (&lt;100K)", IF(D616&lt;500000, "Small (100K-500K)", "Medium (500K+)"))</f>
        <v/>
      </c>
      <c r="M616">
        <f>TEXT(C616, "yyyy-mm")</f>
        <v/>
      </c>
    </row>
    <row r="617">
      <c r="A617" t="inlineStr">
        <is>
          <t>LN200674</t>
        </is>
      </c>
      <c r="B617" t="inlineStr">
        <is>
          <t>BOR100506</t>
        </is>
      </c>
      <c r="C617" s="8" t="n">
        <v>45775</v>
      </c>
      <c r="D617" s="9" t="n">
        <v>293000</v>
      </c>
      <c r="E617" t="n">
        <v>6</v>
      </c>
      <c r="F617" s="10" t="n">
        <v>0.22</v>
      </c>
      <c r="G617" t="inlineStr">
        <is>
          <t>Working Capital</t>
        </is>
      </c>
      <c r="H617" t="inlineStr">
        <is>
          <t>LO007</t>
        </is>
      </c>
      <c r="I617" t="inlineStr">
        <is>
          <t>Mobile App</t>
        </is>
      </c>
      <c r="J617">
        <f>INDEX('Data - Borrowers'!$B$2:$B$851, MATCH(B617, 'Data - Borrowers'!$A$2:$A$851, 0))</f>
        <v/>
      </c>
      <c r="K617">
        <f>INDEX('Data - Borrowers'!$C$2:$C$851, MATCH(B617, 'Data - Borrowers'!$A$2:$A$851, 0))</f>
        <v/>
      </c>
      <c r="L617">
        <f>IF(D617&lt;100000, "Micro (&lt;100K)", IF(D617&lt;500000, "Small (100K-500K)", "Medium (500K+)"))</f>
        <v/>
      </c>
      <c r="M617">
        <f>TEXT(C617, "yyyy-mm")</f>
        <v/>
      </c>
    </row>
    <row r="618">
      <c r="A618" t="inlineStr">
        <is>
          <t>LN200675</t>
        </is>
      </c>
      <c r="B618" t="inlineStr">
        <is>
          <t>BOR100506</t>
        </is>
      </c>
      <c r="C618" s="8" t="n">
        <v>46161</v>
      </c>
      <c r="D618" s="9" t="n">
        <v>253000</v>
      </c>
      <c r="E618" t="n">
        <v>12</v>
      </c>
      <c r="F618" s="10" t="n">
        <v>0.154</v>
      </c>
      <c r="G618" t="inlineStr">
        <is>
          <t>Working Capital</t>
        </is>
      </c>
      <c r="H618" t="inlineStr">
        <is>
          <t>LO015</t>
        </is>
      </c>
      <c r="I618" t="inlineStr">
        <is>
          <t>Branch</t>
        </is>
      </c>
      <c r="J618">
        <f>INDEX('Data - Borrowers'!$B$2:$B$851, MATCH(B618, 'Data - Borrowers'!$A$2:$A$851, 0))</f>
        <v/>
      </c>
      <c r="K618">
        <f>INDEX('Data - Borrowers'!$C$2:$C$851, MATCH(B618, 'Data - Borrowers'!$A$2:$A$851, 0))</f>
        <v/>
      </c>
      <c r="L618">
        <f>IF(D618&lt;100000, "Micro (&lt;100K)", IF(D618&lt;500000, "Small (100K-500K)", "Medium (500K+)"))</f>
        <v/>
      </c>
      <c r="M618">
        <f>TEXT(C618, "yyyy-mm")</f>
        <v/>
      </c>
    </row>
    <row r="619">
      <c r="A619" t="inlineStr">
        <is>
          <t>LN200676</t>
        </is>
      </c>
      <c r="B619" t="inlineStr">
        <is>
          <t>BOR100507</t>
        </is>
      </c>
      <c r="C619" s="8" t="n">
        <v>45977</v>
      </c>
      <c r="D619" s="9" t="n">
        <v>890000</v>
      </c>
      <c r="E619" t="n">
        <v>18</v>
      </c>
      <c r="F619" s="10" t="n">
        <v>0.156</v>
      </c>
      <c r="G619" t="inlineStr">
        <is>
          <t>Asset Finance</t>
        </is>
      </c>
      <c r="H619" t="inlineStr">
        <is>
          <t>LO005</t>
        </is>
      </c>
      <c r="I619" t="inlineStr">
        <is>
          <t>Branch</t>
        </is>
      </c>
      <c r="J619">
        <f>INDEX('Data - Borrowers'!$B$2:$B$851, MATCH(B619, 'Data - Borrowers'!$A$2:$A$851, 0))</f>
        <v/>
      </c>
      <c r="K619">
        <f>INDEX('Data - Borrowers'!$C$2:$C$851, MATCH(B619, 'Data - Borrowers'!$A$2:$A$851, 0))</f>
        <v/>
      </c>
      <c r="L619">
        <f>IF(D619&lt;100000, "Micro (&lt;100K)", IF(D619&lt;500000, "Small (100K-500K)", "Medium (500K+)"))</f>
        <v/>
      </c>
      <c r="M619">
        <f>TEXT(C619, "yyyy-mm")</f>
        <v/>
      </c>
    </row>
    <row r="620">
      <c r="A620" t="inlineStr">
        <is>
          <t>LN200677</t>
        </is>
      </c>
      <c r="B620" t="inlineStr">
        <is>
          <t>BOR100508</t>
        </is>
      </c>
      <c r="C620" s="8" t="n">
        <v>45741</v>
      </c>
      <c r="D620" s="9" t="n">
        <v>24000</v>
      </c>
      <c r="E620" t="n">
        <v>3</v>
      </c>
      <c r="F620" s="10" t="n">
        <v>0.233</v>
      </c>
      <c r="G620" t="inlineStr">
        <is>
          <t>Working Capital</t>
        </is>
      </c>
      <c r="H620" t="inlineStr">
        <is>
          <t>LO014</t>
        </is>
      </c>
      <c r="I620" t="inlineStr">
        <is>
          <t>Mobile App</t>
        </is>
      </c>
      <c r="J620">
        <f>INDEX('Data - Borrowers'!$B$2:$B$851, MATCH(B620, 'Data - Borrowers'!$A$2:$A$851, 0))</f>
        <v/>
      </c>
      <c r="K620">
        <f>INDEX('Data - Borrowers'!$C$2:$C$851, MATCH(B620, 'Data - Borrowers'!$A$2:$A$851, 0))</f>
        <v/>
      </c>
      <c r="L620">
        <f>IF(D620&lt;100000, "Micro (&lt;100K)", IF(D620&lt;500000, "Small (100K-500K)", "Medium (500K+)"))</f>
        <v/>
      </c>
      <c r="M620">
        <f>TEXT(C620, "yyyy-mm")</f>
        <v/>
      </c>
    </row>
    <row r="621">
      <c r="A621" t="inlineStr">
        <is>
          <t>LN200678</t>
        </is>
      </c>
      <c r="B621" t="inlineStr">
        <is>
          <t>BOR100509</t>
        </is>
      </c>
      <c r="C621" s="8" t="n">
        <v>45926</v>
      </c>
      <c r="D621" s="9" t="n">
        <v>37000</v>
      </c>
      <c r="E621" t="n">
        <v>3</v>
      </c>
      <c r="F621" s="10" t="n">
        <v>0.141</v>
      </c>
      <c r="G621" t="inlineStr">
        <is>
          <t>Working Capital</t>
        </is>
      </c>
      <c r="H621" t="inlineStr">
        <is>
          <t>LO017</t>
        </is>
      </c>
      <c r="I621" t="inlineStr">
        <is>
          <t>Branch</t>
        </is>
      </c>
      <c r="J621">
        <f>INDEX('Data - Borrowers'!$B$2:$B$851, MATCH(B621, 'Data - Borrowers'!$A$2:$A$851, 0))</f>
        <v/>
      </c>
      <c r="K621">
        <f>INDEX('Data - Borrowers'!$C$2:$C$851, MATCH(B621, 'Data - Borrowers'!$A$2:$A$851, 0))</f>
        <v/>
      </c>
      <c r="L621">
        <f>IF(D621&lt;100000, "Micro (&lt;100K)", IF(D621&lt;500000, "Small (100K-500K)", "Medium (500K+)"))</f>
        <v/>
      </c>
      <c r="M621">
        <f>TEXT(C621, "yyyy-mm")</f>
        <v/>
      </c>
    </row>
    <row r="622">
      <c r="A622" t="inlineStr">
        <is>
          <t>LN200679</t>
        </is>
      </c>
      <c r="B622" t="inlineStr">
        <is>
          <t>BOR100509</t>
        </is>
      </c>
      <c r="C622" s="8" t="n">
        <v>46231</v>
      </c>
      <c r="D622" s="9" t="n">
        <v>42000</v>
      </c>
      <c r="E622" t="n">
        <v>3</v>
      </c>
      <c r="F622" s="10" t="n">
        <v>0.139</v>
      </c>
      <c r="G622" t="inlineStr">
        <is>
          <t>Invoice Discounting</t>
        </is>
      </c>
      <c r="H622" t="inlineStr">
        <is>
          <t>LO010</t>
        </is>
      </c>
      <c r="I622" t="inlineStr">
        <is>
          <t>Mobile App</t>
        </is>
      </c>
      <c r="J622">
        <f>INDEX('Data - Borrowers'!$B$2:$B$851, MATCH(B622, 'Data - Borrowers'!$A$2:$A$851, 0))</f>
        <v/>
      </c>
      <c r="K622">
        <f>INDEX('Data - Borrowers'!$C$2:$C$851, MATCH(B622, 'Data - Borrowers'!$A$2:$A$851, 0))</f>
        <v/>
      </c>
      <c r="L622">
        <f>IF(D622&lt;100000, "Micro (&lt;100K)", IF(D622&lt;500000, "Small (100K-500K)", "Medium (500K+)"))</f>
        <v/>
      </c>
      <c r="M622">
        <f>TEXT(C622, "yyyy-mm")</f>
        <v/>
      </c>
    </row>
    <row r="623">
      <c r="A623" t="inlineStr">
        <is>
          <t>LN200680</t>
        </is>
      </c>
      <c r="B623" t="inlineStr">
        <is>
          <t>BOR100510</t>
        </is>
      </c>
      <c r="C623" s="8" t="n">
        <v>46221</v>
      </c>
      <c r="D623" s="9" t="n">
        <v>42000</v>
      </c>
      <c r="E623" t="n">
        <v>9</v>
      </c>
      <c r="F623" s="10" t="n">
        <v>0.2</v>
      </c>
      <c r="G623" t="inlineStr">
        <is>
          <t>Asset Finance</t>
        </is>
      </c>
      <c r="H623" t="inlineStr">
        <is>
          <t>LO025</t>
        </is>
      </c>
      <c r="I623" t="inlineStr">
        <is>
          <t>Mobile App</t>
        </is>
      </c>
      <c r="J623">
        <f>INDEX('Data - Borrowers'!$B$2:$B$851, MATCH(B623, 'Data - Borrowers'!$A$2:$A$851, 0))</f>
        <v/>
      </c>
      <c r="K623">
        <f>INDEX('Data - Borrowers'!$C$2:$C$851, MATCH(B623, 'Data - Borrowers'!$A$2:$A$851, 0))</f>
        <v/>
      </c>
      <c r="L623">
        <f>IF(D623&lt;100000, "Micro (&lt;100K)", IF(D623&lt;500000, "Small (100K-500K)", "Medium (500K+)"))</f>
        <v/>
      </c>
      <c r="M623">
        <f>TEXT(C623, "yyyy-mm")</f>
        <v/>
      </c>
    </row>
    <row r="624">
      <c r="A624" t="inlineStr">
        <is>
          <t>LN200681</t>
        </is>
      </c>
      <c r="B624" t="inlineStr">
        <is>
          <t>BOR100511</t>
        </is>
      </c>
      <c r="C624" s="8" t="n">
        <v>45714</v>
      </c>
      <c r="D624" s="9" t="n">
        <v>58000</v>
      </c>
      <c r="E624" t="n">
        <v>18</v>
      </c>
      <c r="F624" s="10" t="n">
        <v>0.211</v>
      </c>
      <c r="G624" t="inlineStr">
        <is>
          <t>Working Capital</t>
        </is>
      </c>
      <c r="H624" t="inlineStr">
        <is>
          <t>LO016</t>
        </is>
      </c>
      <c r="I624" t="inlineStr">
        <is>
          <t>Branch</t>
        </is>
      </c>
      <c r="J624">
        <f>INDEX('Data - Borrowers'!$B$2:$B$851, MATCH(B624, 'Data - Borrowers'!$A$2:$A$851, 0))</f>
        <v/>
      </c>
      <c r="K624">
        <f>INDEX('Data - Borrowers'!$C$2:$C$851, MATCH(B624, 'Data - Borrowers'!$A$2:$A$851, 0))</f>
        <v/>
      </c>
      <c r="L624">
        <f>IF(D624&lt;100000, "Micro (&lt;100K)", IF(D624&lt;500000, "Small (100K-500K)", "Medium (500K+)"))</f>
        <v/>
      </c>
      <c r="M624">
        <f>TEXT(C624, "yyyy-mm")</f>
        <v/>
      </c>
    </row>
    <row r="625">
      <c r="A625" t="inlineStr">
        <is>
          <t>LN200682</t>
        </is>
      </c>
      <c r="B625" t="inlineStr">
        <is>
          <t>BOR100512</t>
        </is>
      </c>
      <c r="C625" s="8" t="n">
        <v>45843</v>
      </c>
      <c r="D625" s="9" t="n">
        <v>55000</v>
      </c>
      <c r="E625" t="n">
        <v>18</v>
      </c>
      <c r="F625" s="10" t="n">
        <v>0.21</v>
      </c>
      <c r="G625" t="inlineStr">
        <is>
          <t>Working Capital</t>
        </is>
      </c>
      <c r="H625" t="inlineStr">
        <is>
          <t>LO025</t>
        </is>
      </c>
      <c r="I625" t="inlineStr">
        <is>
          <t>Branch</t>
        </is>
      </c>
      <c r="J625">
        <f>INDEX('Data - Borrowers'!$B$2:$B$851, MATCH(B625, 'Data - Borrowers'!$A$2:$A$851, 0))</f>
        <v/>
      </c>
      <c r="K625">
        <f>INDEX('Data - Borrowers'!$C$2:$C$851, MATCH(B625, 'Data - Borrowers'!$A$2:$A$851, 0))</f>
        <v/>
      </c>
      <c r="L625">
        <f>IF(D625&lt;100000, "Micro (&lt;100K)", IF(D625&lt;500000, "Small (100K-500K)", "Medium (500K+)"))</f>
        <v/>
      </c>
      <c r="M625">
        <f>TEXT(C625, "yyyy-mm")</f>
        <v/>
      </c>
    </row>
    <row r="626">
      <c r="A626" t="inlineStr">
        <is>
          <t>LN200683</t>
        </is>
      </c>
      <c r="B626" t="inlineStr">
        <is>
          <t>BOR100512</t>
        </is>
      </c>
      <c r="C626" s="8" t="n">
        <v>45971</v>
      </c>
      <c r="D626" s="9" t="n">
        <v>40000</v>
      </c>
      <c r="E626" t="n">
        <v>12</v>
      </c>
      <c r="F626" s="10" t="n">
        <v>0.234</v>
      </c>
      <c r="G626" t="inlineStr">
        <is>
          <t>Invoice Discounting</t>
        </is>
      </c>
      <c r="H626" t="inlineStr">
        <is>
          <t>LO013</t>
        </is>
      </c>
      <c r="I626" t="inlineStr">
        <is>
          <t>Partner Referral</t>
        </is>
      </c>
      <c r="J626">
        <f>INDEX('Data - Borrowers'!$B$2:$B$851, MATCH(B626, 'Data - Borrowers'!$A$2:$A$851, 0))</f>
        <v/>
      </c>
      <c r="K626">
        <f>INDEX('Data - Borrowers'!$C$2:$C$851, MATCH(B626, 'Data - Borrowers'!$A$2:$A$851, 0))</f>
        <v/>
      </c>
      <c r="L626">
        <f>IF(D626&lt;100000, "Micro (&lt;100K)", IF(D626&lt;500000, "Small (100K-500K)", "Medium (500K+)"))</f>
        <v/>
      </c>
      <c r="M626">
        <f>TEXT(C626, "yyyy-mm")</f>
        <v/>
      </c>
    </row>
    <row r="627">
      <c r="A627" t="inlineStr">
        <is>
          <t>LN200684</t>
        </is>
      </c>
      <c r="B627" t="inlineStr">
        <is>
          <t>BOR100512</t>
        </is>
      </c>
      <c r="C627" s="8" t="n">
        <v>46182</v>
      </c>
      <c r="D627" s="9" t="n">
        <v>22000</v>
      </c>
      <c r="E627" t="n">
        <v>3</v>
      </c>
      <c r="F627" s="10" t="n">
        <v>0.133</v>
      </c>
      <c r="G627" t="inlineStr">
        <is>
          <t>Working Capital</t>
        </is>
      </c>
      <c r="H627" t="inlineStr">
        <is>
          <t>LO020</t>
        </is>
      </c>
      <c r="I627" t="inlineStr">
        <is>
          <t>Mobile App</t>
        </is>
      </c>
      <c r="J627">
        <f>INDEX('Data - Borrowers'!$B$2:$B$851, MATCH(B627, 'Data - Borrowers'!$A$2:$A$851, 0))</f>
        <v/>
      </c>
      <c r="K627">
        <f>INDEX('Data - Borrowers'!$C$2:$C$851, MATCH(B627, 'Data - Borrowers'!$A$2:$A$851, 0))</f>
        <v/>
      </c>
      <c r="L627">
        <f>IF(D627&lt;100000, "Micro (&lt;100K)", IF(D627&lt;500000, "Small (100K-500K)", "Medium (500K+)"))</f>
        <v/>
      </c>
      <c r="M627">
        <f>TEXT(C627, "yyyy-mm")</f>
        <v/>
      </c>
    </row>
    <row r="628">
      <c r="A628" t="inlineStr">
        <is>
          <t>LN200685</t>
        </is>
      </c>
      <c r="B628" t="inlineStr">
        <is>
          <t>BOR100513</t>
        </is>
      </c>
      <c r="C628" s="8" t="n">
        <v>46222</v>
      </c>
      <c r="D628" s="9" t="n">
        <v>50000</v>
      </c>
      <c r="E628" t="n">
        <v>9</v>
      </c>
      <c r="F628" s="10" t="n">
        <v>0.19</v>
      </c>
      <c r="G628" t="inlineStr">
        <is>
          <t>Asset Finance</t>
        </is>
      </c>
      <c r="H628" t="inlineStr">
        <is>
          <t>LO022</t>
        </is>
      </c>
      <c r="I628" t="inlineStr">
        <is>
          <t>Branch</t>
        </is>
      </c>
      <c r="J628">
        <f>INDEX('Data - Borrowers'!$B$2:$B$851, MATCH(B628, 'Data - Borrowers'!$A$2:$A$851, 0))</f>
        <v/>
      </c>
      <c r="K628">
        <f>INDEX('Data - Borrowers'!$C$2:$C$851, MATCH(B628, 'Data - Borrowers'!$A$2:$A$851, 0))</f>
        <v/>
      </c>
      <c r="L628">
        <f>IF(D628&lt;100000, "Micro (&lt;100K)", IF(D628&lt;500000, "Small (100K-500K)", "Medium (500K+)"))</f>
        <v/>
      </c>
      <c r="M628">
        <f>TEXT(C628, "yyyy-mm")</f>
        <v/>
      </c>
    </row>
    <row r="629">
      <c r="A629" t="inlineStr">
        <is>
          <t>LN200686</t>
        </is>
      </c>
      <c r="B629" t="inlineStr">
        <is>
          <t>BOR100514</t>
        </is>
      </c>
      <c r="C629" s="8" t="n">
        <v>46019</v>
      </c>
      <c r="D629" s="9" t="n">
        <v>47000</v>
      </c>
      <c r="E629" t="n">
        <v>3</v>
      </c>
      <c r="F629" s="10" t="n">
        <v>0.172</v>
      </c>
      <c r="G629" t="inlineStr">
        <is>
          <t>Asset Finance</t>
        </is>
      </c>
      <c r="H629" t="inlineStr">
        <is>
          <t>LO004</t>
        </is>
      </c>
      <c r="I629" t="inlineStr">
        <is>
          <t>Partner Referral</t>
        </is>
      </c>
      <c r="J629">
        <f>INDEX('Data - Borrowers'!$B$2:$B$851, MATCH(B629, 'Data - Borrowers'!$A$2:$A$851, 0))</f>
        <v/>
      </c>
      <c r="K629">
        <f>INDEX('Data - Borrowers'!$C$2:$C$851, MATCH(B629, 'Data - Borrowers'!$A$2:$A$851, 0))</f>
        <v/>
      </c>
      <c r="L629">
        <f>IF(D629&lt;100000, "Micro (&lt;100K)", IF(D629&lt;500000, "Small (100K-500K)", "Medium (500K+)"))</f>
        <v/>
      </c>
      <c r="M629">
        <f>TEXT(C629, "yyyy-mm")</f>
        <v/>
      </c>
    </row>
    <row r="630">
      <c r="A630" t="inlineStr">
        <is>
          <t>LN200687</t>
        </is>
      </c>
      <c r="B630" t="inlineStr">
        <is>
          <t>BOR100515</t>
        </is>
      </c>
      <c r="C630" s="8" t="n">
        <v>45802</v>
      </c>
      <c r="D630" s="9" t="n">
        <v>103000</v>
      </c>
      <c r="E630" t="n">
        <v>12</v>
      </c>
      <c r="F630" s="10" t="n">
        <v>0.157</v>
      </c>
      <c r="G630" t="inlineStr">
        <is>
          <t>Invoice Discounting</t>
        </is>
      </c>
      <c r="H630" t="inlineStr">
        <is>
          <t>LO023</t>
        </is>
      </c>
      <c r="I630" t="inlineStr">
        <is>
          <t>Partner Referral</t>
        </is>
      </c>
      <c r="J630">
        <f>INDEX('Data - Borrowers'!$B$2:$B$851, MATCH(B630, 'Data - Borrowers'!$A$2:$A$851, 0))</f>
        <v/>
      </c>
      <c r="K630">
        <f>INDEX('Data - Borrowers'!$C$2:$C$851, MATCH(B630, 'Data - Borrowers'!$A$2:$A$851, 0))</f>
        <v/>
      </c>
      <c r="L630">
        <f>IF(D630&lt;100000, "Micro (&lt;100K)", IF(D630&lt;500000, "Small (100K-500K)", "Medium (500K+)"))</f>
        <v/>
      </c>
      <c r="M630">
        <f>TEXT(C630, "yyyy-mm")</f>
        <v/>
      </c>
    </row>
    <row r="631">
      <c r="A631" t="inlineStr">
        <is>
          <t>LN200688</t>
        </is>
      </c>
      <c r="B631" t="inlineStr">
        <is>
          <t>BOR100516</t>
        </is>
      </c>
      <c r="C631" s="8" t="n">
        <v>45737</v>
      </c>
      <c r="D631" s="9" t="n">
        <v>49000</v>
      </c>
      <c r="E631" t="n">
        <v>6</v>
      </c>
      <c r="F631" s="10" t="n">
        <v>0.189</v>
      </c>
      <c r="G631" t="inlineStr">
        <is>
          <t>Working Capital</t>
        </is>
      </c>
      <c r="H631" t="inlineStr">
        <is>
          <t>LO003</t>
        </is>
      </c>
      <c r="I631" t="inlineStr">
        <is>
          <t>Mobile App</t>
        </is>
      </c>
      <c r="J631">
        <f>INDEX('Data - Borrowers'!$B$2:$B$851, MATCH(B631, 'Data - Borrowers'!$A$2:$A$851, 0))</f>
        <v/>
      </c>
      <c r="K631">
        <f>INDEX('Data - Borrowers'!$C$2:$C$851, MATCH(B631, 'Data - Borrowers'!$A$2:$A$851, 0))</f>
        <v/>
      </c>
      <c r="L631">
        <f>IF(D631&lt;100000, "Micro (&lt;100K)", IF(D631&lt;500000, "Small (100K-500K)", "Medium (500K+)"))</f>
        <v/>
      </c>
      <c r="M631">
        <f>TEXT(C631, "yyyy-mm")</f>
        <v/>
      </c>
    </row>
    <row r="632">
      <c r="A632" t="inlineStr">
        <is>
          <t>LN200689</t>
        </is>
      </c>
      <c r="B632" t="inlineStr">
        <is>
          <t>BOR100517</t>
        </is>
      </c>
      <c r="C632" s="8" t="n">
        <v>45952</v>
      </c>
      <c r="D632" s="9" t="n">
        <v>162000</v>
      </c>
      <c r="E632" t="n">
        <v>6</v>
      </c>
      <c r="F632" s="10" t="n">
        <v>0.235</v>
      </c>
      <c r="G632" t="inlineStr">
        <is>
          <t>Working Capital</t>
        </is>
      </c>
      <c r="H632" t="inlineStr">
        <is>
          <t>LO008</t>
        </is>
      </c>
      <c r="I632" t="inlineStr">
        <is>
          <t>Partner Referral</t>
        </is>
      </c>
      <c r="J632">
        <f>INDEX('Data - Borrowers'!$B$2:$B$851, MATCH(B632, 'Data - Borrowers'!$A$2:$A$851, 0))</f>
        <v/>
      </c>
      <c r="K632">
        <f>INDEX('Data - Borrowers'!$C$2:$C$851, MATCH(B632, 'Data - Borrowers'!$A$2:$A$851, 0))</f>
        <v/>
      </c>
      <c r="L632">
        <f>IF(D632&lt;100000, "Micro (&lt;100K)", IF(D632&lt;500000, "Small (100K-500K)", "Medium (500K+)"))</f>
        <v/>
      </c>
      <c r="M632">
        <f>TEXT(C632, "yyyy-mm")</f>
        <v/>
      </c>
    </row>
    <row r="633">
      <c r="A633" t="inlineStr">
        <is>
          <t>LN200690</t>
        </is>
      </c>
      <c r="B633" t="inlineStr">
        <is>
          <t>BOR100517</t>
        </is>
      </c>
      <c r="C633" s="8" t="n">
        <v>46213</v>
      </c>
      <c r="D633" s="9" t="n">
        <v>174000</v>
      </c>
      <c r="E633" t="n">
        <v>3</v>
      </c>
      <c r="F633" s="10" t="n">
        <v>0.131</v>
      </c>
      <c r="G633" t="inlineStr">
        <is>
          <t>Invoice Discounting</t>
        </is>
      </c>
      <c r="H633" t="inlineStr">
        <is>
          <t>LO009</t>
        </is>
      </c>
      <c r="I633" t="inlineStr">
        <is>
          <t>Partner Referral</t>
        </is>
      </c>
      <c r="J633">
        <f>INDEX('Data - Borrowers'!$B$2:$B$851, MATCH(B633, 'Data - Borrowers'!$A$2:$A$851, 0))</f>
        <v/>
      </c>
      <c r="K633">
        <f>INDEX('Data - Borrowers'!$C$2:$C$851, MATCH(B633, 'Data - Borrowers'!$A$2:$A$851, 0))</f>
        <v/>
      </c>
      <c r="L633">
        <f>IF(D633&lt;100000, "Micro (&lt;100K)", IF(D633&lt;500000, "Small (100K-500K)", "Medium (500K+)"))</f>
        <v/>
      </c>
      <c r="M633">
        <f>TEXT(C633, "yyyy-mm")</f>
        <v/>
      </c>
    </row>
    <row r="634">
      <c r="A634" t="inlineStr">
        <is>
          <t>LN200691</t>
        </is>
      </c>
      <c r="B634" t="inlineStr">
        <is>
          <t>BOR100518</t>
        </is>
      </c>
      <c r="C634" s="8" t="n">
        <v>45818</v>
      </c>
      <c r="D634" s="9" t="n">
        <v>101000</v>
      </c>
      <c r="E634" t="n">
        <v>9</v>
      </c>
      <c r="F634" s="10" t="n">
        <v>0.201</v>
      </c>
      <c r="G634" t="inlineStr">
        <is>
          <t>Working Capital</t>
        </is>
      </c>
      <c r="H634" t="inlineStr">
        <is>
          <t>LO012</t>
        </is>
      </c>
      <c r="I634" t="inlineStr">
        <is>
          <t>Branch</t>
        </is>
      </c>
      <c r="J634">
        <f>INDEX('Data - Borrowers'!$B$2:$B$851, MATCH(B634, 'Data - Borrowers'!$A$2:$A$851, 0))</f>
        <v/>
      </c>
      <c r="K634">
        <f>INDEX('Data - Borrowers'!$C$2:$C$851, MATCH(B634, 'Data - Borrowers'!$A$2:$A$851, 0))</f>
        <v/>
      </c>
      <c r="L634">
        <f>IF(D634&lt;100000, "Micro (&lt;100K)", IF(D634&lt;500000, "Small (100K-500K)", "Medium (500K+)"))</f>
        <v/>
      </c>
      <c r="M634">
        <f>TEXT(C634, "yyyy-mm")</f>
        <v/>
      </c>
    </row>
    <row r="635">
      <c r="A635" t="inlineStr">
        <is>
          <t>LN200692</t>
        </is>
      </c>
      <c r="B635" t="inlineStr">
        <is>
          <t>BOR100518</t>
        </is>
      </c>
      <c r="C635" s="8" t="n">
        <v>46103</v>
      </c>
      <c r="D635" s="9" t="n">
        <v>73000</v>
      </c>
      <c r="E635" t="n">
        <v>12</v>
      </c>
      <c r="F635" s="10" t="n">
        <v>0.196</v>
      </c>
      <c r="G635" t="inlineStr">
        <is>
          <t>Working Capital</t>
        </is>
      </c>
      <c r="H635" t="inlineStr">
        <is>
          <t>LO001</t>
        </is>
      </c>
      <c r="I635" t="inlineStr">
        <is>
          <t>Mobile App</t>
        </is>
      </c>
      <c r="J635">
        <f>INDEX('Data - Borrowers'!$B$2:$B$851, MATCH(B635, 'Data - Borrowers'!$A$2:$A$851, 0))</f>
        <v/>
      </c>
      <c r="K635">
        <f>INDEX('Data - Borrowers'!$C$2:$C$851, MATCH(B635, 'Data - Borrowers'!$A$2:$A$851, 0))</f>
        <v/>
      </c>
      <c r="L635">
        <f>IF(D635&lt;100000, "Micro (&lt;100K)", IF(D635&lt;500000, "Small (100K-500K)", "Medium (500K+)"))</f>
        <v/>
      </c>
      <c r="M635">
        <f>TEXT(C635, "yyyy-mm")</f>
        <v/>
      </c>
    </row>
    <row r="636">
      <c r="A636" t="inlineStr">
        <is>
          <t>LN200693</t>
        </is>
      </c>
      <c r="B636" t="inlineStr">
        <is>
          <t>BOR100518</t>
        </is>
      </c>
      <c r="C636" s="8" t="n">
        <v>46184</v>
      </c>
      <c r="D636" s="9" t="n">
        <v>145000</v>
      </c>
      <c r="E636" t="n">
        <v>9</v>
      </c>
      <c r="F636" s="10" t="n">
        <v>0.201</v>
      </c>
      <c r="G636" t="inlineStr">
        <is>
          <t>Working Capital</t>
        </is>
      </c>
      <c r="H636" t="inlineStr">
        <is>
          <t>LO001</t>
        </is>
      </c>
      <c r="I636" t="inlineStr">
        <is>
          <t>Branch</t>
        </is>
      </c>
      <c r="J636">
        <f>INDEX('Data - Borrowers'!$B$2:$B$851, MATCH(B636, 'Data - Borrowers'!$A$2:$A$851, 0))</f>
        <v/>
      </c>
      <c r="K636">
        <f>INDEX('Data - Borrowers'!$C$2:$C$851, MATCH(B636, 'Data - Borrowers'!$A$2:$A$851, 0))</f>
        <v/>
      </c>
      <c r="L636">
        <f>IF(D636&lt;100000, "Micro (&lt;100K)", IF(D636&lt;500000, "Small (100K-500K)", "Medium (500K+)"))</f>
        <v/>
      </c>
      <c r="M636">
        <f>TEXT(C636, "yyyy-mm")</f>
        <v/>
      </c>
    </row>
    <row r="637">
      <c r="A637" t="inlineStr">
        <is>
          <t>LN200694</t>
        </is>
      </c>
      <c r="B637" t="inlineStr">
        <is>
          <t>BOR100519</t>
        </is>
      </c>
      <c r="C637" s="8" t="n">
        <v>45966</v>
      </c>
      <c r="D637" s="9" t="n">
        <v>161000</v>
      </c>
      <c r="E637" t="n">
        <v>9</v>
      </c>
      <c r="F637" s="10" t="n">
        <v>0.149</v>
      </c>
      <c r="G637" t="inlineStr">
        <is>
          <t>Asset Finance</t>
        </is>
      </c>
      <c r="H637" t="inlineStr">
        <is>
          <t>LO002</t>
        </is>
      </c>
      <c r="I637" t="inlineStr">
        <is>
          <t>Partner Referral</t>
        </is>
      </c>
      <c r="J637">
        <f>INDEX('Data - Borrowers'!$B$2:$B$851, MATCH(B637, 'Data - Borrowers'!$A$2:$A$851, 0))</f>
        <v/>
      </c>
      <c r="K637">
        <f>INDEX('Data - Borrowers'!$C$2:$C$851, MATCH(B637, 'Data - Borrowers'!$A$2:$A$851, 0))</f>
        <v/>
      </c>
      <c r="L637">
        <f>IF(D637&lt;100000, "Micro (&lt;100K)", IF(D637&lt;500000, "Small (100K-500K)", "Medium (500K+)"))</f>
        <v/>
      </c>
      <c r="M637">
        <f>TEXT(C637, "yyyy-mm")</f>
        <v/>
      </c>
    </row>
    <row r="638">
      <c r="A638" t="inlineStr">
        <is>
          <t>LN200695</t>
        </is>
      </c>
      <c r="B638" t="inlineStr">
        <is>
          <t>BOR100520</t>
        </is>
      </c>
      <c r="C638" s="8" t="n">
        <v>45664</v>
      </c>
      <c r="D638" s="9" t="n">
        <v>68000</v>
      </c>
      <c r="E638" t="n">
        <v>9</v>
      </c>
      <c r="F638" s="10" t="n">
        <v>0.206</v>
      </c>
      <c r="G638" t="inlineStr">
        <is>
          <t>Working Capital</t>
        </is>
      </c>
      <c r="H638" t="inlineStr">
        <is>
          <t>LO016</t>
        </is>
      </c>
      <c r="I638" t="inlineStr">
        <is>
          <t>Mobile App</t>
        </is>
      </c>
      <c r="J638">
        <f>INDEX('Data - Borrowers'!$B$2:$B$851, MATCH(B638, 'Data - Borrowers'!$A$2:$A$851, 0))</f>
        <v/>
      </c>
      <c r="K638">
        <f>INDEX('Data - Borrowers'!$C$2:$C$851, MATCH(B638, 'Data - Borrowers'!$A$2:$A$851, 0))</f>
        <v/>
      </c>
      <c r="L638">
        <f>IF(D638&lt;100000, "Micro (&lt;100K)", IF(D638&lt;500000, "Small (100K-500K)", "Medium (500K+)"))</f>
        <v/>
      </c>
      <c r="M638">
        <f>TEXT(C638, "yyyy-mm")</f>
        <v/>
      </c>
    </row>
    <row r="639">
      <c r="A639" t="inlineStr">
        <is>
          <t>LN200696</t>
        </is>
      </c>
      <c r="B639" t="inlineStr">
        <is>
          <t>BOR100521</t>
        </is>
      </c>
      <c r="C639" s="8" t="n">
        <v>46006</v>
      </c>
      <c r="D639" s="9" t="n">
        <v>202000</v>
      </c>
      <c r="E639" t="n">
        <v>3</v>
      </c>
      <c r="F639" s="10" t="n">
        <v>0.206</v>
      </c>
      <c r="G639" t="inlineStr">
        <is>
          <t>Asset Finance</t>
        </is>
      </c>
      <c r="H639" t="inlineStr">
        <is>
          <t>LO004</t>
        </is>
      </c>
      <c r="I639" t="inlineStr">
        <is>
          <t>Mobile App</t>
        </is>
      </c>
      <c r="J639">
        <f>INDEX('Data - Borrowers'!$B$2:$B$851, MATCH(B639, 'Data - Borrowers'!$A$2:$A$851, 0))</f>
        <v/>
      </c>
      <c r="K639">
        <f>INDEX('Data - Borrowers'!$C$2:$C$851, MATCH(B639, 'Data - Borrowers'!$A$2:$A$851, 0))</f>
        <v/>
      </c>
      <c r="L639">
        <f>IF(D639&lt;100000, "Micro (&lt;100K)", IF(D639&lt;500000, "Small (100K-500K)", "Medium (500K+)"))</f>
        <v/>
      </c>
      <c r="M639">
        <f>TEXT(C639, "yyyy-mm")</f>
        <v/>
      </c>
    </row>
    <row r="640">
      <c r="A640" t="inlineStr">
        <is>
          <t>LN200697</t>
        </is>
      </c>
      <c r="B640" t="inlineStr">
        <is>
          <t>BOR100522</t>
        </is>
      </c>
      <c r="C640" s="8" t="n">
        <v>45955</v>
      </c>
      <c r="D640" s="9" t="n">
        <v>91000</v>
      </c>
      <c r="E640" t="n">
        <v>12</v>
      </c>
      <c r="F640" s="10" t="n">
        <v>0.183</v>
      </c>
      <c r="G640" t="inlineStr">
        <is>
          <t>Invoice Discounting</t>
        </is>
      </c>
      <c r="H640" t="inlineStr">
        <is>
          <t>LO021</t>
        </is>
      </c>
      <c r="I640" t="inlineStr">
        <is>
          <t>Branch</t>
        </is>
      </c>
      <c r="J640">
        <f>INDEX('Data - Borrowers'!$B$2:$B$851, MATCH(B640, 'Data - Borrowers'!$A$2:$A$851, 0))</f>
        <v/>
      </c>
      <c r="K640">
        <f>INDEX('Data - Borrowers'!$C$2:$C$851, MATCH(B640, 'Data - Borrowers'!$A$2:$A$851, 0))</f>
        <v/>
      </c>
      <c r="L640">
        <f>IF(D640&lt;100000, "Micro (&lt;100K)", IF(D640&lt;500000, "Small (100K-500K)", "Medium (500K+)"))</f>
        <v/>
      </c>
      <c r="M640">
        <f>TEXT(C640, "yyyy-mm")</f>
        <v/>
      </c>
    </row>
    <row r="641">
      <c r="A641" t="inlineStr">
        <is>
          <t>LN200698</t>
        </is>
      </c>
      <c r="B641" t="inlineStr">
        <is>
          <t>BOR100523</t>
        </is>
      </c>
      <c r="C641" s="8" t="n">
        <v>46092</v>
      </c>
      <c r="D641" s="9" t="n">
        <v>32000</v>
      </c>
      <c r="E641" t="n">
        <v>12</v>
      </c>
      <c r="F641" s="10" t="n">
        <v>0.179</v>
      </c>
      <c r="G641" t="inlineStr">
        <is>
          <t>Working Capital</t>
        </is>
      </c>
      <c r="H641" t="inlineStr">
        <is>
          <t>LO019</t>
        </is>
      </c>
      <c r="I641" t="inlineStr">
        <is>
          <t>Mobile App</t>
        </is>
      </c>
      <c r="J641">
        <f>INDEX('Data - Borrowers'!$B$2:$B$851, MATCH(B641, 'Data - Borrowers'!$A$2:$A$851, 0))</f>
        <v/>
      </c>
      <c r="K641">
        <f>INDEX('Data - Borrowers'!$C$2:$C$851, MATCH(B641, 'Data - Borrowers'!$A$2:$A$851, 0))</f>
        <v/>
      </c>
      <c r="L641">
        <f>IF(D641&lt;100000, "Micro (&lt;100K)", IF(D641&lt;500000, "Small (100K-500K)", "Medium (500K+)"))</f>
        <v/>
      </c>
      <c r="M641">
        <f>TEXT(C641, "yyyy-mm")</f>
        <v/>
      </c>
    </row>
    <row r="642">
      <c r="A642" t="inlineStr">
        <is>
          <t>LN200699</t>
        </is>
      </c>
      <c r="B642" t="inlineStr">
        <is>
          <t>BOR100524</t>
        </is>
      </c>
      <c r="C642" s="8" t="n">
        <v>46126</v>
      </c>
      <c r="D642" s="9" t="n">
        <v>51000</v>
      </c>
      <c r="E642" t="n">
        <v>6</v>
      </c>
      <c r="F642" s="10" t="n">
        <v>0.143</v>
      </c>
      <c r="G642" t="inlineStr">
        <is>
          <t>Asset Finance</t>
        </is>
      </c>
      <c r="H642" t="inlineStr">
        <is>
          <t>LO009</t>
        </is>
      </c>
      <c r="I642" t="inlineStr">
        <is>
          <t>Branch</t>
        </is>
      </c>
      <c r="J642">
        <f>INDEX('Data - Borrowers'!$B$2:$B$851, MATCH(B642, 'Data - Borrowers'!$A$2:$A$851, 0))</f>
        <v/>
      </c>
      <c r="K642">
        <f>INDEX('Data - Borrowers'!$C$2:$C$851, MATCH(B642, 'Data - Borrowers'!$A$2:$A$851, 0))</f>
        <v/>
      </c>
      <c r="L642">
        <f>IF(D642&lt;100000, "Micro (&lt;100K)", IF(D642&lt;500000, "Small (100K-500K)", "Medium (500K+)"))</f>
        <v/>
      </c>
      <c r="M642">
        <f>TEXT(C642, "yyyy-mm")</f>
        <v/>
      </c>
    </row>
    <row r="643">
      <c r="A643" t="inlineStr">
        <is>
          <t>LN200700</t>
        </is>
      </c>
      <c r="B643" t="inlineStr">
        <is>
          <t>BOR100525</t>
        </is>
      </c>
      <c r="C643" s="8" t="n">
        <v>46136</v>
      </c>
      <c r="D643" s="9" t="n">
        <v>30000</v>
      </c>
      <c r="E643" t="n">
        <v>6</v>
      </c>
      <c r="F643" s="10" t="n">
        <v>0.238</v>
      </c>
      <c r="G643" t="inlineStr">
        <is>
          <t>Invoice Discounting</t>
        </is>
      </c>
      <c r="H643" t="inlineStr">
        <is>
          <t>LO005</t>
        </is>
      </c>
      <c r="I643" t="inlineStr">
        <is>
          <t>Mobile App</t>
        </is>
      </c>
      <c r="J643">
        <f>INDEX('Data - Borrowers'!$B$2:$B$851, MATCH(B643, 'Data - Borrowers'!$A$2:$A$851, 0))</f>
        <v/>
      </c>
      <c r="K643">
        <f>INDEX('Data - Borrowers'!$C$2:$C$851, MATCH(B643, 'Data - Borrowers'!$A$2:$A$851, 0))</f>
        <v/>
      </c>
      <c r="L643">
        <f>IF(D643&lt;100000, "Micro (&lt;100K)", IF(D643&lt;500000, "Small (100K-500K)", "Medium (500K+)"))</f>
        <v/>
      </c>
      <c r="M643">
        <f>TEXT(C643, "yyyy-mm")</f>
        <v/>
      </c>
    </row>
    <row r="644">
      <c r="A644" t="inlineStr">
        <is>
          <t>LN200701</t>
        </is>
      </c>
      <c r="B644" t="inlineStr">
        <is>
          <t>BOR100526</t>
        </is>
      </c>
      <c r="C644" s="8" t="n">
        <v>45795</v>
      </c>
      <c r="D644" s="9" t="n">
        <v>44000</v>
      </c>
      <c r="E644" t="n">
        <v>3</v>
      </c>
      <c r="F644" s="10" t="n">
        <v>0.173</v>
      </c>
      <c r="G644" t="inlineStr">
        <is>
          <t>Asset Finance</t>
        </is>
      </c>
      <c r="H644" t="inlineStr">
        <is>
          <t>LO018</t>
        </is>
      </c>
      <c r="I644" t="inlineStr">
        <is>
          <t>Mobile App</t>
        </is>
      </c>
      <c r="J644">
        <f>INDEX('Data - Borrowers'!$B$2:$B$851, MATCH(B644, 'Data - Borrowers'!$A$2:$A$851, 0))</f>
        <v/>
      </c>
      <c r="K644">
        <f>INDEX('Data - Borrowers'!$C$2:$C$851, MATCH(B644, 'Data - Borrowers'!$A$2:$A$851, 0))</f>
        <v/>
      </c>
      <c r="L644">
        <f>IF(D644&lt;100000, "Micro (&lt;100K)", IF(D644&lt;500000, "Small (100K-500K)", "Medium (500K+)"))</f>
        <v/>
      </c>
      <c r="M644">
        <f>TEXT(C644, "yyyy-mm")</f>
        <v/>
      </c>
    </row>
    <row r="645">
      <c r="A645" t="inlineStr">
        <is>
          <t>LN200702</t>
        </is>
      </c>
      <c r="B645" t="inlineStr">
        <is>
          <t>BOR100526</t>
        </is>
      </c>
      <c r="C645" s="8" t="n">
        <v>45997</v>
      </c>
      <c r="D645" s="9" t="n">
        <v>58000</v>
      </c>
      <c r="E645" t="n">
        <v>9</v>
      </c>
      <c r="F645" s="10" t="n">
        <v>0.208</v>
      </c>
      <c r="G645" t="inlineStr">
        <is>
          <t>Asset Finance</t>
        </is>
      </c>
      <c r="H645" t="inlineStr">
        <is>
          <t>LO010</t>
        </is>
      </c>
      <c r="I645" t="inlineStr">
        <is>
          <t>Branch</t>
        </is>
      </c>
      <c r="J645">
        <f>INDEX('Data - Borrowers'!$B$2:$B$851, MATCH(B645, 'Data - Borrowers'!$A$2:$A$851, 0))</f>
        <v/>
      </c>
      <c r="K645">
        <f>INDEX('Data - Borrowers'!$C$2:$C$851, MATCH(B645, 'Data - Borrowers'!$A$2:$A$851, 0))</f>
        <v/>
      </c>
      <c r="L645">
        <f>IF(D645&lt;100000, "Micro (&lt;100K)", IF(D645&lt;500000, "Small (100K-500K)", "Medium (500K+)"))</f>
        <v/>
      </c>
      <c r="M645">
        <f>TEXT(C645, "yyyy-mm")</f>
        <v/>
      </c>
    </row>
    <row r="646">
      <c r="A646" t="inlineStr">
        <is>
          <t>LN200703</t>
        </is>
      </c>
      <c r="B646" t="inlineStr">
        <is>
          <t>BOR100527</t>
        </is>
      </c>
      <c r="C646" s="8" t="n">
        <v>46206</v>
      </c>
      <c r="D646" s="9" t="n">
        <v>75000</v>
      </c>
      <c r="E646" t="n">
        <v>3</v>
      </c>
      <c r="F646" s="10" t="n">
        <v>0.234</v>
      </c>
      <c r="G646" t="inlineStr">
        <is>
          <t>Asset Finance</t>
        </is>
      </c>
      <c r="H646" t="inlineStr">
        <is>
          <t>LO012</t>
        </is>
      </c>
      <c r="I646" t="inlineStr">
        <is>
          <t>Branch</t>
        </is>
      </c>
      <c r="J646">
        <f>INDEX('Data - Borrowers'!$B$2:$B$851, MATCH(B646, 'Data - Borrowers'!$A$2:$A$851, 0))</f>
        <v/>
      </c>
      <c r="K646">
        <f>INDEX('Data - Borrowers'!$C$2:$C$851, MATCH(B646, 'Data - Borrowers'!$A$2:$A$851, 0))</f>
        <v/>
      </c>
      <c r="L646">
        <f>IF(D646&lt;100000, "Micro (&lt;100K)", IF(D646&lt;500000, "Small (100K-500K)", "Medium (500K+)"))</f>
        <v/>
      </c>
      <c r="M646">
        <f>TEXT(C646, "yyyy-mm")</f>
        <v/>
      </c>
    </row>
    <row r="647">
      <c r="A647" t="inlineStr">
        <is>
          <t>LN200705</t>
        </is>
      </c>
      <c r="B647" t="inlineStr">
        <is>
          <t>BOR100528</t>
        </is>
      </c>
      <c r="C647" s="8" t="n">
        <v>46056</v>
      </c>
      <c r="D647" s="9" t="n">
        <v>29000</v>
      </c>
      <c r="E647" t="n">
        <v>9</v>
      </c>
      <c r="F647" s="10" t="n">
        <v>0.189</v>
      </c>
      <c r="G647" t="inlineStr">
        <is>
          <t>Working Capital</t>
        </is>
      </c>
      <c r="H647" t="inlineStr">
        <is>
          <t>LO006</t>
        </is>
      </c>
      <c r="I647" t="inlineStr">
        <is>
          <t>Partner Referral</t>
        </is>
      </c>
      <c r="J647">
        <f>INDEX('Data - Borrowers'!$B$2:$B$851, MATCH(B647, 'Data - Borrowers'!$A$2:$A$851, 0))</f>
        <v/>
      </c>
      <c r="K647">
        <f>INDEX('Data - Borrowers'!$C$2:$C$851, MATCH(B647, 'Data - Borrowers'!$A$2:$A$851, 0))</f>
        <v/>
      </c>
      <c r="L647">
        <f>IF(D647&lt;100000, "Micro (&lt;100K)", IF(D647&lt;500000, "Small (100K-500K)", "Medium (500K+)"))</f>
        <v/>
      </c>
      <c r="M647">
        <f>TEXT(C647, "yyyy-mm")</f>
        <v/>
      </c>
    </row>
    <row r="648">
      <c r="A648" t="inlineStr">
        <is>
          <t>LN200706</t>
        </is>
      </c>
      <c r="B648" t="inlineStr">
        <is>
          <t>BOR100528</t>
        </is>
      </c>
      <c r="C648" s="8" t="n">
        <v>46233</v>
      </c>
      <c r="D648" s="9" t="n">
        <v>39000</v>
      </c>
      <c r="E648" t="n">
        <v>9</v>
      </c>
      <c r="F648" s="10" t="n">
        <v>0.227</v>
      </c>
      <c r="G648" t="inlineStr">
        <is>
          <t>Working Capital</t>
        </is>
      </c>
      <c r="H648" t="inlineStr">
        <is>
          <t>LO025</t>
        </is>
      </c>
      <c r="I648" t="inlineStr">
        <is>
          <t>Partner Referral</t>
        </is>
      </c>
      <c r="J648">
        <f>INDEX('Data - Borrowers'!$B$2:$B$851, MATCH(B648, 'Data - Borrowers'!$A$2:$A$851, 0))</f>
        <v/>
      </c>
      <c r="K648">
        <f>INDEX('Data - Borrowers'!$C$2:$C$851, MATCH(B648, 'Data - Borrowers'!$A$2:$A$851, 0))</f>
        <v/>
      </c>
      <c r="L648">
        <f>IF(D648&lt;100000, "Micro (&lt;100K)", IF(D648&lt;500000, "Small (100K-500K)", "Medium (500K+)"))</f>
        <v/>
      </c>
      <c r="M648">
        <f>TEXT(C648, "yyyy-mm")</f>
        <v/>
      </c>
    </row>
    <row r="649">
      <c r="A649" t="inlineStr">
        <is>
          <t>LN200708</t>
        </is>
      </c>
      <c r="B649" t="inlineStr">
        <is>
          <t>BOR100529</t>
        </is>
      </c>
      <c r="C649" s="8" t="n">
        <v>45951</v>
      </c>
      <c r="D649" s="9" t="n">
        <v>382000</v>
      </c>
      <c r="E649" t="n">
        <v>3</v>
      </c>
      <c r="F649" s="10" t="n">
        <v>0.222</v>
      </c>
      <c r="G649" t="inlineStr">
        <is>
          <t>Working Capital</t>
        </is>
      </c>
      <c r="H649" t="inlineStr">
        <is>
          <t>LO011</t>
        </is>
      </c>
      <c r="I649" t="inlineStr">
        <is>
          <t>Partner Referral</t>
        </is>
      </c>
      <c r="J649">
        <f>INDEX('Data - Borrowers'!$B$2:$B$851, MATCH(B649, 'Data - Borrowers'!$A$2:$A$851, 0))</f>
        <v/>
      </c>
      <c r="K649">
        <f>INDEX('Data - Borrowers'!$C$2:$C$851, MATCH(B649, 'Data - Borrowers'!$A$2:$A$851, 0))</f>
        <v/>
      </c>
      <c r="L649">
        <f>IF(D649&lt;100000, "Micro (&lt;100K)", IF(D649&lt;500000, "Small (100K-500K)", "Medium (500K+)"))</f>
        <v/>
      </c>
      <c r="M649">
        <f>TEXT(C649, "yyyy-mm")</f>
        <v/>
      </c>
    </row>
    <row r="650">
      <c r="A650" t="inlineStr">
        <is>
          <t>LN200709</t>
        </is>
      </c>
      <c r="B650" t="inlineStr">
        <is>
          <t>BOR100530</t>
        </is>
      </c>
      <c r="C650" s="8" t="n">
        <v>45949</v>
      </c>
      <c r="D650" s="9" t="n">
        <v>131000</v>
      </c>
      <c r="E650" t="n">
        <v>12</v>
      </c>
      <c r="F650" s="10" t="n">
        <v>0.126</v>
      </c>
      <c r="G650" t="inlineStr">
        <is>
          <t>Invoice Discounting</t>
        </is>
      </c>
      <c r="H650" t="inlineStr">
        <is>
          <t>LO017</t>
        </is>
      </c>
      <c r="I650" t="inlineStr">
        <is>
          <t>Partner Referral</t>
        </is>
      </c>
      <c r="J650">
        <f>INDEX('Data - Borrowers'!$B$2:$B$851, MATCH(B650, 'Data - Borrowers'!$A$2:$A$851, 0))</f>
        <v/>
      </c>
      <c r="K650">
        <f>INDEX('Data - Borrowers'!$C$2:$C$851, MATCH(B650, 'Data - Borrowers'!$A$2:$A$851, 0))</f>
        <v/>
      </c>
      <c r="L650">
        <f>IF(D650&lt;100000, "Micro (&lt;100K)", IF(D650&lt;500000, "Small (100K-500K)", "Medium (500K+)"))</f>
        <v/>
      </c>
      <c r="M650">
        <f>TEXT(C650, "yyyy-mm")</f>
        <v/>
      </c>
    </row>
    <row r="651">
      <c r="A651" t="inlineStr">
        <is>
          <t>LN200710</t>
        </is>
      </c>
      <c r="B651" t="inlineStr">
        <is>
          <t>BOR100531</t>
        </is>
      </c>
      <c r="C651" s="8" t="n">
        <v>46025</v>
      </c>
      <c r="D651" s="9" t="n">
        <v>233000</v>
      </c>
      <c r="E651" t="n">
        <v>6</v>
      </c>
      <c r="F651" s="10" t="n">
        <v>0.129</v>
      </c>
      <c r="G651" t="inlineStr">
        <is>
          <t>Asset Finance</t>
        </is>
      </c>
      <c r="H651" t="inlineStr">
        <is>
          <t>LO010</t>
        </is>
      </c>
      <c r="I651" t="inlineStr">
        <is>
          <t>Branch</t>
        </is>
      </c>
      <c r="J651">
        <f>INDEX('Data - Borrowers'!$B$2:$B$851, MATCH(B651, 'Data - Borrowers'!$A$2:$A$851, 0))</f>
        <v/>
      </c>
      <c r="K651">
        <f>INDEX('Data - Borrowers'!$C$2:$C$851, MATCH(B651, 'Data - Borrowers'!$A$2:$A$851, 0))</f>
        <v/>
      </c>
      <c r="L651">
        <f>IF(D651&lt;100000, "Micro (&lt;100K)", IF(D651&lt;500000, "Small (100K-500K)", "Medium (500K+)"))</f>
        <v/>
      </c>
      <c r="M651">
        <f>TEXT(C651, "yyyy-mm")</f>
        <v/>
      </c>
    </row>
    <row r="652">
      <c r="A652" t="inlineStr">
        <is>
          <t>LN200711</t>
        </is>
      </c>
      <c r="B652" t="inlineStr">
        <is>
          <t>BOR100532</t>
        </is>
      </c>
      <c r="C652" s="8" t="n">
        <v>46208</v>
      </c>
      <c r="D652" s="9" t="n">
        <v>37000</v>
      </c>
      <c r="E652" t="n">
        <v>12</v>
      </c>
      <c r="F652" s="10" t="n">
        <v>0.236</v>
      </c>
      <c r="G652" t="inlineStr">
        <is>
          <t>Invoice Discounting</t>
        </is>
      </c>
      <c r="H652" t="inlineStr">
        <is>
          <t>LO025</t>
        </is>
      </c>
      <c r="I652" t="inlineStr">
        <is>
          <t>Partner Referral</t>
        </is>
      </c>
      <c r="J652">
        <f>INDEX('Data - Borrowers'!$B$2:$B$851, MATCH(B652, 'Data - Borrowers'!$A$2:$A$851, 0))</f>
        <v/>
      </c>
      <c r="K652">
        <f>INDEX('Data - Borrowers'!$C$2:$C$851, MATCH(B652, 'Data - Borrowers'!$A$2:$A$851, 0))</f>
        <v/>
      </c>
      <c r="L652">
        <f>IF(D652&lt;100000, "Micro (&lt;100K)", IF(D652&lt;500000, "Small (100K-500K)", "Medium (500K+)"))</f>
        <v/>
      </c>
      <c r="M652">
        <f>TEXT(C652, "yyyy-mm")</f>
        <v/>
      </c>
    </row>
    <row r="653">
      <c r="A653" t="inlineStr">
        <is>
          <t>LN200713</t>
        </is>
      </c>
      <c r="B653" t="inlineStr">
        <is>
          <t>BOR100533</t>
        </is>
      </c>
      <c r="C653" s="8" t="n">
        <v>45966</v>
      </c>
      <c r="D653" s="9" t="n">
        <v>61000</v>
      </c>
      <c r="E653" t="n">
        <v>9</v>
      </c>
      <c r="F653" s="10" t="n">
        <v>0.168</v>
      </c>
      <c r="G653" t="inlineStr">
        <is>
          <t>Working Capital</t>
        </is>
      </c>
      <c r="H653" t="inlineStr">
        <is>
          <t>LO003</t>
        </is>
      </c>
      <c r="I653" t="inlineStr">
        <is>
          <t>Branch</t>
        </is>
      </c>
      <c r="J653">
        <f>INDEX('Data - Borrowers'!$B$2:$B$851, MATCH(B653, 'Data - Borrowers'!$A$2:$A$851, 0))</f>
        <v/>
      </c>
      <c r="K653">
        <f>INDEX('Data - Borrowers'!$C$2:$C$851, MATCH(B653, 'Data - Borrowers'!$A$2:$A$851, 0))</f>
        <v/>
      </c>
      <c r="L653">
        <f>IF(D653&lt;100000, "Micro (&lt;100K)", IF(D653&lt;500000, "Small (100K-500K)", "Medium (500K+)"))</f>
        <v/>
      </c>
      <c r="M653">
        <f>TEXT(C653, "yyyy-mm")</f>
        <v/>
      </c>
    </row>
    <row r="654">
      <c r="A654" t="inlineStr">
        <is>
          <t>LN200714</t>
        </is>
      </c>
      <c r="B654" t="inlineStr">
        <is>
          <t>BOR100534</t>
        </is>
      </c>
      <c r="C654" s="8" t="n">
        <v>45892</v>
      </c>
      <c r="D654" s="9" t="n">
        <v>55000</v>
      </c>
      <c r="E654" t="n">
        <v>6</v>
      </c>
      <c r="F654" s="10" t="n">
        <v>0.121</v>
      </c>
      <c r="G654" t="inlineStr">
        <is>
          <t>Invoice Discounting</t>
        </is>
      </c>
      <c r="H654" t="inlineStr">
        <is>
          <t>LO012</t>
        </is>
      </c>
      <c r="I654" t="inlineStr">
        <is>
          <t>Partner Referral</t>
        </is>
      </c>
      <c r="J654">
        <f>INDEX('Data - Borrowers'!$B$2:$B$851, MATCH(B654, 'Data - Borrowers'!$A$2:$A$851, 0))</f>
        <v/>
      </c>
      <c r="K654">
        <f>INDEX('Data - Borrowers'!$C$2:$C$851, MATCH(B654, 'Data - Borrowers'!$A$2:$A$851, 0))</f>
        <v/>
      </c>
      <c r="L654">
        <f>IF(D654&lt;100000, "Micro (&lt;100K)", IF(D654&lt;500000, "Small (100K-500K)", "Medium (500K+)"))</f>
        <v/>
      </c>
      <c r="M654">
        <f>TEXT(C654, "yyyy-mm")</f>
        <v/>
      </c>
    </row>
    <row r="655">
      <c r="A655" t="inlineStr">
        <is>
          <t>LN200715</t>
        </is>
      </c>
      <c r="B655" t="inlineStr">
        <is>
          <t>BOR100535</t>
        </is>
      </c>
      <c r="C655" s="8" t="n">
        <v>46153</v>
      </c>
      <c r="D655" s="9" t="n">
        <v>67000</v>
      </c>
      <c r="E655" t="n">
        <v>6</v>
      </c>
      <c r="F655" s="10" t="n">
        <v>0.208</v>
      </c>
      <c r="G655" t="inlineStr">
        <is>
          <t>Working Capital</t>
        </is>
      </c>
      <c r="H655" t="inlineStr">
        <is>
          <t>LO017</t>
        </is>
      </c>
      <c r="I655" t="inlineStr">
        <is>
          <t>Branch</t>
        </is>
      </c>
      <c r="J655">
        <f>INDEX('Data - Borrowers'!$B$2:$B$851, MATCH(B655, 'Data - Borrowers'!$A$2:$A$851, 0))</f>
        <v/>
      </c>
      <c r="K655">
        <f>INDEX('Data - Borrowers'!$C$2:$C$851, MATCH(B655, 'Data - Borrowers'!$A$2:$A$851, 0))</f>
        <v/>
      </c>
      <c r="L655">
        <f>IF(D655&lt;100000, "Micro (&lt;100K)", IF(D655&lt;500000, "Small (100K-500K)", "Medium (500K+)"))</f>
        <v/>
      </c>
      <c r="M655">
        <f>TEXT(C655, "yyyy-mm")</f>
        <v/>
      </c>
    </row>
    <row r="656">
      <c r="A656" t="inlineStr">
        <is>
          <t>LN200716</t>
        </is>
      </c>
      <c r="B656" t="inlineStr">
        <is>
          <t>BOR100536</t>
        </is>
      </c>
      <c r="C656" s="8" t="n">
        <v>45691</v>
      </c>
      <c r="D656" s="9" t="n">
        <v>20000</v>
      </c>
      <c r="E656" t="n">
        <v>6</v>
      </c>
      <c r="F656" s="10" t="n">
        <v>0.146</v>
      </c>
      <c r="G656" t="inlineStr">
        <is>
          <t>Working Capital</t>
        </is>
      </c>
      <c r="H656" t="inlineStr">
        <is>
          <t>LO009</t>
        </is>
      </c>
      <c r="I656" t="inlineStr">
        <is>
          <t>Mobile App</t>
        </is>
      </c>
      <c r="J656">
        <f>INDEX('Data - Borrowers'!$B$2:$B$851, MATCH(B656, 'Data - Borrowers'!$A$2:$A$851, 0))</f>
        <v/>
      </c>
      <c r="K656">
        <f>INDEX('Data - Borrowers'!$C$2:$C$851, MATCH(B656, 'Data - Borrowers'!$A$2:$A$851, 0))</f>
        <v/>
      </c>
      <c r="L656">
        <f>IF(D656&lt;100000, "Micro (&lt;100K)", IF(D656&lt;500000, "Small (100K-500K)", "Medium (500K+)"))</f>
        <v/>
      </c>
      <c r="M656">
        <f>TEXT(C656, "yyyy-mm")</f>
        <v/>
      </c>
    </row>
    <row r="657">
      <c r="A657" t="inlineStr">
        <is>
          <t>LN200717</t>
        </is>
      </c>
      <c r="B657" t="inlineStr">
        <is>
          <t>BOR100537</t>
        </is>
      </c>
      <c r="C657" s="8" t="n">
        <v>45695</v>
      </c>
      <c r="D657" s="9" t="n">
        <v>46000</v>
      </c>
      <c r="E657" t="n">
        <v>6</v>
      </c>
      <c r="F657" s="10" t="n">
        <v>0.211</v>
      </c>
      <c r="G657" t="inlineStr">
        <is>
          <t>Working Capital</t>
        </is>
      </c>
      <c r="H657" t="inlineStr">
        <is>
          <t>LO015</t>
        </is>
      </c>
      <c r="I657" t="inlineStr">
        <is>
          <t>Branch</t>
        </is>
      </c>
      <c r="J657">
        <f>INDEX('Data - Borrowers'!$B$2:$B$851, MATCH(B657, 'Data - Borrowers'!$A$2:$A$851, 0))</f>
        <v/>
      </c>
      <c r="K657">
        <f>INDEX('Data - Borrowers'!$C$2:$C$851, MATCH(B657, 'Data - Borrowers'!$A$2:$A$851, 0))</f>
        <v/>
      </c>
      <c r="L657">
        <f>IF(D657&lt;100000, "Micro (&lt;100K)", IF(D657&lt;500000, "Small (100K-500K)", "Medium (500K+)"))</f>
        <v/>
      </c>
      <c r="M657">
        <f>TEXT(C657, "yyyy-mm")</f>
        <v/>
      </c>
    </row>
    <row r="658">
      <c r="A658" t="inlineStr">
        <is>
          <t>LN200718</t>
        </is>
      </c>
      <c r="B658" t="inlineStr">
        <is>
          <t>BOR100537</t>
        </is>
      </c>
      <c r="C658" s="8" t="n">
        <v>46056</v>
      </c>
      <c r="D658" s="9" t="n">
        <v>126000</v>
      </c>
      <c r="E658" t="n">
        <v>6</v>
      </c>
      <c r="F658" s="10" t="n">
        <v>0.216</v>
      </c>
      <c r="G658" t="inlineStr">
        <is>
          <t>Invoice Discounting</t>
        </is>
      </c>
      <c r="H658" t="inlineStr">
        <is>
          <t>LO016</t>
        </is>
      </c>
      <c r="I658" t="inlineStr">
        <is>
          <t>Mobile App</t>
        </is>
      </c>
      <c r="J658">
        <f>INDEX('Data - Borrowers'!$B$2:$B$851, MATCH(B658, 'Data - Borrowers'!$A$2:$A$851, 0))</f>
        <v/>
      </c>
      <c r="K658">
        <f>INDEX('Data - Borrowers'!$C$2:$C$851, MATCH(B658, 'Data - Borrowers'!$A$2:$A$851, 0))</f>
        <v/>
      </c>
      <c r="L658">
        <f>IF(D658&lt;100000, "Micro (&lt;100K)", IF(D658&lt;500000, "Small (100K-500K)", "Medium (500K+)"))</f>
        <v/>
      </c>
      <c r="M658">
        <f>TEXT(C658, "yyyy-mm")</f>
        <v/>
      </c>
    </row>
    <row r="659">
      <c r="A659" t="inlineStr">
        <is>
          <t>LN200719</t>
        </is>
      </c>
      <c r="B659" t="inlineStr">
        <is>
          <t>BOR100537</t>
        </is>
      </c>
      <c r="C659" s="8" t="n">
        <v>46234</v>
      </c>
      <c r="D659" s="9" t="n">
        <v>125000</v>
      </c>
      <c r="E659" t="n">
        <v>3</v>
      </c>
      <c r="F659" s="10" t="n">
        <v>0.121</v>
      </c>
      <c r="G659" t="inlineStr">
        <is>
          <t>Working Capital</t>
        </is>
      </c>
      <c r="H659" t="inlineStr">
        <is>
          <t>LO002</t>
        </is>
      </c>
      <c r="I659" t="inlineStr">
        <is>
          <t>Partner Referral</t>
        </is>
      </c>
      <c r="J659">
        <f>INDEX('Data - Borrowers'!$B$2:$B$851, MATCH(B659, 'Data - Borrowers'!$A$2:$A$851, 0))</f>
        <v/>
      </c>
      <c r="K659">
        <f>INDEX('Data - Borrowers'!$C$2:$C$851, MATCH(B659, 'Data - Borrowers'!$A$2:$A$851, 0))</f>
        <v/>
      </c>
      <c r="L659">
        <f>IF(D659&lt;100000, "Micro (&lt;100K)", IF(D659&lt;500000, "Small (100K-500K)", "Medium (500K+)"))</f>
        <v/>
      </c>
      <c r="M659">
        <f>TEXT(C659, "yyyy-mm")</f>
        <v/>
      </c>
    </row>
    <row r="660">
      <c r="A660" t="inlineStr">
        <is>
          <t>LN200720</t>
        </is>
      </c>
      <c r="B660" t="inlineStr">
        <is>
          <t>BOR100538</t>
        </is>
      </c>
      <c r="C660" s="8" t="n">
        <v>46080</v>
      </c>
      <c r="D660" s="9" t="n">
        <v>138000</v>
      </c>
      <c r="E660" t="n">
        <v>9</v>
      </c>
      <c r="F660" s="10" t="n">
        <v>0.149</v>
      </c>
      <c r="G660" t="inlineStr">
        <is>
          <t>Working Capital</t>
        </is>
      </c>
      <c r="H660" t="inlineStr">
        <is>
          <t>LO007</t>
        </is>
      </c>
      <c r="I660" t="inlineStr">
        <is>
          <t>Branch</t>
        </is>
      </c>
      <c r="J660">
        <f>INDEX('Data - Borrowers'!$B$2:$B$851, MATCH(B660, 'Data - Borrowers'!$A$2:$A$851, 0))</f>
        <v/>
      </c>
      <c r="K660">
        <f>INDEX('Data - Borrowers'!$C$2:$C$851, MATCH(B660, 'Data - Borrowers'!$A$2:$A$851, 0))</f>
        <v/>
      </c>
      <c r="L660">
        <f>IF(D660&lt;100000, "Micro (&lt;100K)", IF(D660&lt;500000, "Small (100K-500K)", "Medium (500K+)"))</f>
        <v/>
      </c>
      <c r="M660">
        <f>TEXT(C660, "yyyy-mm")</f>
        <v/>
      </c>
    </row>
    <row r="661">
      <c r="A661" t="inlineStr">
        <is>
          <t>LN200721</t>
        </is>
      </c>
      <c r="B661" t="inlineStr">
        <is>
          <t>BOR100539</t>
        </is>
      </c>
      <c r="C661" s="8" t="n">
        <v>45802</v>
      </c>
      <c r="D661" s="9" t="n">
        <v>138000</v>
      </c>
      <c r="E661" t="n">
        <v>6</v>
      </c>
      <c r="F661" s="10" t="n">
        <v>0.141</v>
      </c>
      <c r="G661" t="inlineStr">
        <is>
          <t>Working Capital</t>
        </is>
      </c>
      <c r="H661" t="inlineStr">
        <is>
          <t>LO001</t>
        </is>
      </c>
      <c r="I661" t="inlineStr">
        <is>
          <t>Branch</t>
        </is>
      </c>
      <c r="J661">
        <f>INDEX('Data - Borrowers'!$B$2:$B$851, MATCH(B661, 'Data - Borrowers'!$A$2:$A$851, 0))</f>
        <v/>
      </c>
      <c r="K661">
        <f>INDEX('Data - Borrowers'!$C$2:$C$851, MATCH(B661, 'Data - Borrowers'!$A$2:$A$851, 0))</f>
        <v/>
      </c>
      <c r="L661">
        <f>IF(D661&lt;100000, "Micro (&lt;100K)", IF(D661&lt;500000, "Small (100K-500K)", "Medium (500K+)"))</f>
        <v/>
      </c>
      <c r="M661">
        <f>TEXT(C661, "yyyy-mm")</f>
        <v/>
      </c>
    </row>
    <row r="662">
      <c r="A662" t="inlineStr">
        <is>
          <t>LN200722</t>
        </is>
      </c>
      <c r="B662" t="inlineStr">
        <is>
          <t>BOR100539</t>
        </is>
      </c>
      <c r="C662" s="8" t="n">
        <v>46107</v>
      </c>
      <c r="D662" s="9" t="n">
        <v>102000</v>
      </c>
      <c r="E662" t="n">
        <v>9</v>
      </c>
      <c r="F662" s="10" t="n">
        <v>0.181</v>
      </c>
      <c r="G662" t="inlineStr">
        <is>
          <t>Working Capital</t>
        </is>
      </c>
      <c r="H662" t="inlineStr">
        <is>
          <t>LO001</t>
        </is>
      </c>
      <c r="I662" t="inlineStr">
        <is>
          <t>Mobile App</t>
        </is>
      </c>
      <c r="J662">
        <f>INDEX('Data - Borrowers'!$B$2:$B$851, MATCH(B662, 'Data - Borrowers'!$A$2:$A$851, 0))</f>
        <v/>
      </c>
      <c r="K662">
        <f>INDEX('Data - Borrowers'!$C$2:$C$851, MATCH(B662, 'Data - Borrowers'!$A$2:$A$851, 0))</f>
        <v/>
      </c>
      <c r="L662">
        <f>IF(D662&lt;100000, "Micro (&lt;100K)", IF(D662&lt;500000, "Small (100K-500K)", "Medium (500K+)"))</f>
        <v/>
      </c>
      <c r="M662">
        <f>TEXT(C662, "yyyy-mm")</f>
        <v/>
      </c>
    </row>
    <row r="663">
      <c r="A663" t="inlineStr">
        <is>
          <t>LN200723</t>
        </is>
      </c>
      <c r="B663" t="inlineStr">
        <is>
          <t>BOR100540</t>
        </is>
      </c>
      <c r="C663" s="8" t="n">
        <v>46230</v>
      </c>
      <c r="D663" s="9" t="n">
        <v>67000</v>
      </c>
      <c r="E663" t="n">
        <v>12</v>
      </c>
      <c r="F663" s="10" t="n">
        <v>0.227</v>
      </c>
      <c r="G663" t="inlineStr">
        <is>
          <t>Invoice Discounting</t>
        </is>
      </c>
      <c r="H663" t="inlineStr">
        <is>
          <t>LO017</t>
        </is>
      </c>
      <c r="I663" t="inlineStr">
        <is>
          <t>Partner Referral</t>
        </is>
      </c>
      <c r="J663">
        <f>INDEX('Data - Borrowers'!$B$2:$B$851, MATCH(B663, 'Data - Borrowers'!$A$2:$A$851, 0))</f>
        <v/>
      </c>
      <c r="K663">
        <f>INDEX('Data - Borrowers'!$C$2:$C$851, MATCH(B663, 'Data - Borrowers'!$A$2:$A$851, 0))</f>
        <v/>
      </c>
      <c r="L663">
        <f>IF(D663&lt;100000, "Micro (&lt;100K)", IF(D663&lt;500000, "Small (100K-500K)", "Medium (500K+)"))</f>
        <v/>
      </c>
      <c r="M663">
        <f>TEXT(C663, "yyyy-mm")</f>
        <v/>
      </c>
    </row>
    <row r="664">
      <c r="A664" t="inlineStr">
        <is>
          <t>LN200724</t>
        </is>
      </c>
      <c r="B664" t="inlineStr">
        <is>
          <t>BOR100541</t>
        </is>
      </c>
      <c r="C664" s="8" t="n">
        <v>45796</v>
      </c>
      <c r="D664" s="9" t="n">
        <v>27000</v>
      </c>
      <c r="E664" t="n">
        <v>6</v>
      </c>
      <c r="F664" s="10" t="n">
        <v>0.192</v>
      </c>
      <c r="G664" t="inlineStr">
        <is>
          <t>Invoice Discounting</t>
        </is>
      </c>
      <c r="H664" t="inlineStr">
        <is>
          <t>LO024</t>
        </is>
      </c>
      <c r="I664" t="inlineStr">
        <is>
          <t>Mobile App</t>
        </is>
      </c>
      <c r="J664">
        <f>INDEX('Data - Borrowers'!$B$2:$B$851, MATCH(B664, 'Data - Borrowers'!$A$2:$A$851, 0))</f>
        <v/>
      </c>
      <c r="K664">
        <f>INDEX('Data - Borrowers'!$C$2:$C$851, MATCH(B664, 'Data - Borrowers'!$A$2:$A$851, 0))</f>
        <v/>
      </c>
      <c r="L664">
        <f>IF(D664&lt;100000, "Micro (&lt;100K)", IF(D664&lt;500000, "Small (100K-500K)", "Medium (500K+)"))</f>
        <v/>
      </c>
      <c r="M664">
        <f>TEXT(C664, "yyyy-mm")</f>
        <v/>
      </c>
    </row>
    <row r="665">
      <c r="A665" t="inlineStr">
        <is>
          <t>LN200725</t>
        </is>
      </c>
      <c r="B665" t="inlineStr">
        <is>
          <t>BOR100542</t>
        </is>
      </c>
      <c r="C665" s="8" t="n">
        <v>45689</v>
      </c>
      <c r="D665" s="9" t="n">
        <v>129000</v>
      </c>
      <c r="E665" t="n">
        <v>3</v>
      </c>
      <c r="F665" s="10" t="n">
        <v>0.125</v>
      </c>
      <c r="G665" t="inlineStr">
        <is>
          <t>Working Capital</t>
        </is>
      </c>
      <c r="H665" t="inlineStr">
        <is>
          <t>LO014</t>
        </is>
      </c>
      <c r="I665" t="inlineStr">
        <is>
          <t>Branch</t>
        </is>
      </c>
      <c r="J665">
        <f>INDEX('Data - Borrowers'!$B$2:$B$851, MATCH(B665, 'Data - Borrowers'!$A$2:$A$851, 0))</f>
        <v/>
      </c>
      <c r="K665">
        <f>INDEX('Data - Borrowers'!$C$2:$C$851, MATCH(B665, 'Data - Borrowers'!$A$2:$A$851, 0))</f>
        <v/>
      </c>
      <c r="L665">
        <f>IF(D665&lt;100000, "Micro (&lt;100K)", IF(D665&lt;500000, "Small (100K-500K)", "Medium (500K+)"))</f>
        <v/>
      </c>
      <c r="M665">
        <f>TEXT(C665, "yyyy-mm")</f>
        <v/>
      </c>
    </row>
    <row r="666">
      <c r="A666" t="inlineStr">
        <is>
          <t>LN200726</t>
        </is>
      </c>
      <c r="B666" t="inlineStr">
        <is>
          <t>BOR100542</t>
        </is>
      </c>
      <c r="C666" s="8" t="n">
        <v>46009</v>
      </c>
      <c r="D666" s="9" t="n">
        <v>60000</v>
      </c>
      <c r="E666" t="n">
        <v>6</v>
      </c>
      <c r="F666" s="10" t="n">
        <v>0.198</v>
      </c>
      <c r="G666" t="inlineStr">
        <is>
          <t>Working Capital</t>
        </is>
      </c>
      <c r="H666" t="inlineStr">
        <is>
          <t>LO010</t>
        </is>
      </c>
      <c r="I666" t="inlineStr">
        <is>
          <t>Mobile App</t>
        </is>
      </c>
      <c r="J666">
        <f>INDEX('Data - Borrowers'!$B$2:$B$851, MATCH(B666, 'Data - Borrowers'!$A$2:$A$851, 0))</f>
        <v/>
      </c>
      <c r="K666">
        <f>INDEX('Data - Borrowers'!$C$2:$C$851, MATCH(B666, 'Data - Borrowers'!$A$2:$A$851, 0))</f>
        <v/>
      </c>
      <c r="L666">
        <f>IF(D666&lt;100000, "Micro (&lt;100K)", IF(D666&lt;500000, "Small (100K-500K)", "Medium (500K+)"))</f>
        <v/>
      </c>
      <c r="M666">
        <f>TEXT(C666, "yyyy-mm")</f>
        <v/>
      </c>
    </row>
    <row r="667">
      <c r="A667" t="inlineStr">
        <is>
          <t>LN200727</t>
        </is>
      </c>
      <c r="B667" t="inlineStr">
        <is>
          <t>BOR100543</t>
        </is>
      </c>
      <c r="C667" s="8" t="n">
        <v>46058</v>
      </c>
      <c r="D667" s="9" t="n">
        <v>111000</v>
      </c>
      <c r="E667" t="n">
        <v>9</v>
      </c>
      <c r="F667" s="10" t="n">
        <v>0.213</v>
      </c>
      <c r="G667" t="inlineStr">
        <is>
          <t>Asset Finance</t>
        </is>
      </c>
      <c r="H667" t="inlineStr">
        <is>
          <t>LO005</t>
        </is>
      </c>
      <c r="I667" t="inlineStr">
        <is>
          <t>Mobile App</t>
        </is>
      </c>
      <c r="J667">
        <f>INDEX('Data - Borrowers'!$B$2:$B$851, MATCH(B667, 'Data - Borrowers'!$A$2:$A$851, 0))</f>
        <v/>
      </c>
      <c r="K667">
        <f>INDEX('Data - Borrowers'!$C$2:$C$851, MATCH(B667, 'Data - Borrowers'!$A$2:$A$851, 0))</f>
        <v/>
      </c>
      <c r="L667">
        <f>IF(D667&lt;100000, "Micro (&lt;100K)", IF(D667&lt;500000, "Small (100K-500K)", "Medium (500K+)"))</f>
        <v/>
      </c>
      <c r="M667">
        <f>TEXT(C667, "yyyy-mm")</f>
        <v/>
      </c>
    </row>
    <row r="668">
      <c r="A668" t="inlineStr">
        <is>
          <t>LN200728</t>
        </is>
      </c>
      <c r="B668" t="inlineStr">
        <is>
          <t>BOR100544</t>
        </is>
      </c>
      <c r="C668" s="8" t="n">
        <v>45720</v>
      </c>
      <c r="D668" s="9" t="n">
        <v>90000</v>
      </c>
      <c r="E668" t="n">
        <v>12</v>
      </c>
      <c r="F668" s="10" t="n">
        <v>0.182</v>
      </c>
      <c r="G668" t="inlineStr">
        <is>
          <t>Asset Finance</t>
        </is>
      </c>
      <c r="H668" t="inlineStr">
        <is>
          <t>LO010</t>
        </is>
      </c>
      <c r="I668" t="inlineStr">
        <is>
          <t>Mobile App</t>
        </is>
      </c>
      <c r="J668">
        <f>INDEX('Data - Borrowers'!$B$2:$B$851, MATCH(B668, 'Data - Borrowers'!$A$2:$A$851, 0))</f>
        <v/>
      </c>
      <c r="K668">
        <f>INDEX('Data - Borrowers'!$C$2:$C$851, MATCH(B668, 'Data - Borrowers'!$A$2:$A$851, 0))</f>
        <v/>
      </c>
      <c r="L668">
        <f>IF(D668&lt;100000, "Micro (&lt;100K)", IF(D668&lt;500000, "Small (100K-500K)", "Medium (500K+)"))</f>
        <v/>
      </c>
      <c r="M668">
        <f>TEXT(C668, "yyyy-mm")</f>
        <v/>
      </c>
    </row>
    <row r="669">
      <c r="A669" t="inlineStr">
        <is>
          <t>LN200729</t>
        </is>
      </c>
      <c r="B669" t="inlineStr">
        <is>
          <t>BOR100545</t>
        </is>
      </c>
      <c r="C669" s="8" t="n">
        <v>46039</v>
      </c>
      <c r="D669" s="9" t="n">
        <v>177000</v>
      </c>
      <c r="E669" t="n">
        <v>3</v>
      </c>
      <c r="F669" s="10" t="n">
        <v>0.146</v>
      </c>
      <c r="G669" t="inlineStr">
        <is>
          <t>Asset Finance</t>
        </is>
      </c>
      <c r="H669" t="inlineStr">
        <is>
          <t>LO017</t>
        </is>
      </c>
      <c r="I669" t="inlineStr">
        <is>
          <t>Mobile App</t>
        </is>
      </c>
      <c r="J669">
        <f>INDEX('Data - Borrowers'!$B$2:$B$851, MATCH(B669, 'Data - Borrowers'!$A$2:$A$851, 0))</f>
        <v/>
      </c>
      <c r="K669">
        <f>INDEX('Data - Borrowers'!$C$2:$C$851, MATCH(B669, 'Data - Borrowers'!$A$2:$A$851, 0))</f>
        <v/>
      </c>
      <c r="L669">
        <f>IF(D669&lt;100000, "Micro (&lt;100K)", IF(D669&lt;500000, "Small (100K-500K)", "Medium (500K+)"))</f>
        <v/>
      </c>
      <c r="M669">
        <f>TEXT(C669, "yyyy-mm")</f>
        <v/>
      </c>
    </row>
    <row r="670">
      <c r="A670" t="inlineStr">
        <is>
          <t>LN200730</t>
        </is>
      </c>
      <c r="B670" t="inlineStr">
        <is>
          <t>BOR100546</t>
        </is>
      </c>
      <c r="C670" s="8" t="n">
        <v>46179</v>
      </c>
      <c r="D670" s="9" t="n">
        <v>49000</v>
      </c>
      <c r="E670" t="n">
        <v>3</v>
      </c>
      <c r="F670" s="10" t="n">
        <v>0.193</v>
      </c>
      <c r="G670" t="inlineStr">
        <is>
          <t>Working Capital</t>
        </is>
      </c>
      <c r="H670" t="inlineStr">
        <is>
          <t>LO021</t>
        </is>
      </c>
      <c r="I670" t="inlineStr">
        <is>
          <t>Mobile App</t>
        </is>
      </c>
      <c r="J670">
        <f>INDEX('Data - Borrowers'!$B$2:$B$851, MATCH(B670, 'Data - Borrowers'!$A$2:$A$851, 0))</f>
        <v/>
      </c>
      <c r="K670">
        <f>INDEX('Data - Borrowers'!$C$2:$C$851, MATCH(B670, 'Data - Borrowers'!$A$2:$A$851, 0))</f>
        <v/>
      </c>
      <c r="L670">
        <f>IF(D670&lt;100000, "Micro (&lt;100K)", IF(D670&lt;500000, "Small (100K-500K)", "Medium (500K+)"))</f>
        <v/>
      </c>
      <c r="M670">
        <f>TEXT(C670, "yyyy-mm")</f>
        <v/>
      </c>
    </row>
    <row r="671">
      <c r="A671" t="inlineStr">
        <is>
          <t>LN200731</t>
        </is>
      </c>
      <c r="B671" t="inlineStr">
        <is>
          <t>BOR100547</t>
        </is>
      </c>
      <c r="C671" s="8" t="n">
        <v>45668</v>
      </c>
      <c r="D671" s="9" t="n">
        <v>81000</v>
      </c>
      <c r="E671" t="n">
        <v>3</v>
      </c>
      <c r="F671" s="10" t="n">
        <v>0.203</v>
      </c>
      <c r="G671" t="inlineStr">
        <is>
          <t>Working Capital</t>
        </is>
      </c>
      <c r="H671" t="inlineStr">
        <is>
          <t>LO002</t>
        </is>
      </c>
      <c r="I671" t="inlineStr">
        <is>
          <t>Mobile App</t>
        </is>
      </c>
      <c r="J671">
        <f>INDEX('Data - Borrowers'!$B$2:$B$851, MATCH(B671, 'Data - Borrowers'!$A$2:$A$851, 0))</f>
        <v/>
      </c>
      <c r="K671">
        <f>INDEX('Data - Borrowers'!$C$2:$C$851, MATCH(B671, 'Data - Borrowers'!$A$2:$A$851, 0))</f>
        <v/>
      </c>
      <c r="L671">
        <f>IF(D671&lt;100000, "Micro (&lt;100K)", IF(D671&lt;500000, "Small (100K-500K)", "Medium (500K+)"))</f>
        <v/>
      </c>
      <c r="M671">
        <f>TEXT(C671, "yyyy-mm")</f>
        <v/>
      </c>
    </row>
    <row r="672">
      <c r="A672" t="inlineStr">
        <is>
          <t>LN200732</t>
        </is>
      </c>
      <c r="B672" t="inlineStr">
        <is>
          <t>BOR100548</t>
        </is>
      </c>
      <c r="C672" s="8" t="n">
        <v>46080</v>
      </c>
      <c r="D672" s="9" t="n">
        <v>124000</v>
      </c>
      <c r="E672" t="n">
        <v>3</v>
      </c>
      <c r="F672" s="10" t="n">
        <v>0.212</v>
      </c>
      <c r="G672" t="inlineStr">
        <is>
          <t>Asset Finance</t>
        </is>
      </c>
      <c r="H672" t="inlineStr">
        <is>
          <t>LO020</t>
        </is>
      </c>
      <c r="I672" t="inlineStr">
        <is>
          <t>Mobile App</t>
        </is>
      </c>
      <c r="J672">
        <f>INDEX('Data - Borrowers'!$B$2:$B$851, MATCH(B672, 'Data - Borrowers'!$A$2:$A$851, 0))</f>
        <v/>
      </c>
      <c r="K672">
        <f>INDEX('Data - Borrowers'!$C$2:$C$851, MATCH(B672, 'Data - Borrowers'!$A$2:$A$851, 0))</f>
        <v/>
      </c>
      <c r="L672">
        <f>IF(D672&lt;100000, "Micro (&lt;100K)", IF(D672&lt;500000, "Small (100K-500K)", "Medium (500K+)"))</f>
        <v/>
      </c>
      <c r="M672">
        <f>TEXT(C672, "yyyy-mm")</f>
        <v/>
      </c>
    </row>
    <row r="673">
      <c r="A673" t="inlineStr">
        <is>
          <t>LN200733</t>
        </is>
      </c>
      <c r="B673" t="inlineStr">
        <is>
          <t>BOR100548</t>
        </is>
      </c>
      <c r="C673" s="8" t="n">
        <v>46222</v>
      </c>
      <c r="D673" s="9" t="n">
        <v>79000</v>
      </c>
      <c r="E673" t="n">
        <v>18</v>
      </c>
      <c r="F673" s="10" t="n">
        <v>0.123</v>
      </c>
      <c r="G673" t="inlineStr">
        <is>
          <t>Working Capital</t>
        </is>
      </c>
      <c r="H673" t="inlineStr">
        <is>
          <t>LO016</t>
        </is>
      </c>
      <c r="I673" t="inlineStr">
        <is>
          <t>Mobile App</t>
        </is>
      </c>
      <c r="J673">
        <f>INDEX('Data - Borrowers'!$B$2:$B$851, MATCH(B673, 'Data - Borrowers'!$A$2:$A$851, 0))</f>
        <v/>
      </c>
      <c r="K673">
        <f>INDEX('Data - Borrowers'!$C$2:$C$851, MATCH(B673, 'Data - Borrowers'!$A$2:$A$851, 0))</f>
        <v/>
      </c>
      <c r="L673">
        <f>IF(D673&lt;100000, "Micro (&lt;100K)", IF(D673&lt;500000, "Small (100K-500K)", "Medium (500K+)"))</f>
        <v/>
      </c>
      <c r="M673">
        <f>TEXT(C673, "yyyy-mm")</f>
        <v/>
      </c>
    </row>
    <row r="674">
      <c r="A674" t="inlineStr">
        <is>
          <t>LN200734</t>
        </is>
      </c>
      <c r="B674" t="inlineStr">
        <is>
          <t>BOR100549</t>
        </is>
      </c>
      <c r="C674" s="8" t="n">
        <v>45712</v>
      </c>
      <c r="D674" s="9" t="n">
        <v>158000</v>
      </c>
      <c r="E674" t="n">
        <v>12</v>
      </c>
      <c r="F674" s="10" t="n">
        <v>0.174</v>
      </c>
      <c r="G674" t="inlineStr">
        <is>
          <t>Invoice Discounting</t>
        </is>
      </c>
      <c r="H674" t="inlineStr">
        <is>
          <t>LO023</t>
        </is>
      </c>
      <c r="I674" t="inlineStr">
        <is>
          <t>Mobile App</t>
        </is>
      </c>
      <c r="J674">
        <f>INDEX('Data - Borrowers'!$B$2:$B$851, MATCH(B674, 'Data - Borrowers'!$A$2:$A$851, 0))</f>
        <v/>
      </c>
      <c r="K674">
        <f>INDEX('Data - Borrowers'!$C$2:$C$851, MATCH(B674, 'Data - Borrowers'!$A$2:$A$851, 0))</f>
        <v/>
      </c>
      <c r="L674">
        <f>IF(D674&lt;100000, "Micro (&lt;100K)", IF(D674&lt;500000, "Small (100K-500K)", "Medium (500K+)"))</f>
        <v/>
      </c>
      <c r="M674">
        <f>TEXT(C674, "yyyy-mm")</f>
        <v/>
      </c>
    </row>
    <row r="675">
      <c r="A675" t="inlineStr">
        <is>
          <t>LN200735</t>
        </is>
      </c>
      <c r="B675" t="inlineStr">
        <is>
          <t>BOR100550</t>
        </is>
      </c>
      <c r="C675" s="8" t="n">
        <v>46147</v>
      </c>
      <c r="D675" s="9" t="n">
        <v>74000</v>
      </c>
      <c r="E675" t="n">
        <v>6</v>
      </c>
      <c r="F675" s="10" t="n">
        <v>0.215</v>
      </c>
      <c r="G675" t="inlineStr">
        <is>
          <t>Working Capital</t>
        </is>
      </c>
      <c r="H675" t="inlineStr">
        <is>
          <t>LO023</t>
        </is>
      </c>
      <c r="I675" t="inlineStr">
        <is>
          <t>Mobile App</t>
        </is>
      </c>
      <c r="J675">
        <f>INDEX('Data - Borrowers'!$B$2:$B$851, MATCH(B675, 'Data - Borrowers'!$A$2:$A$851, 0))</f>
        <v/>
      </c>
      <c r="K675">
        <f>INDEX('Data - Borrowers'!$C$2:$C$851, MATCH(B675, 'Data - Borrowers'!$A$2:$A$851, 0))</f>
        <v/>
      </c>
      <c r="L675">
        <f>IF(D675&lt;100000, "Micro (&lt;100K)", IF(D675&lt;500000, "Small (100K-500K)", "Medium (500K+)"))</f>
        <v/>
      </c>
      <c r="M675">
        <f>TEXT(C675, "yyyy-mm")</f>
        <v/>
      </c>
    </row>
    <row r="676">
      <c r="A676" t="inlineStr">
        <is>
          <t>LN200736</t>
        </is>
      </c>
      <c r="B676" t="inlineStr">
        <is>
          <t>BOR100551</t>
        </is>
      </c>
      <c r="C676" s="8" t="n">
        <v>46209</v>
      </c>
      <c r="D676" s="9" t="n">
        <v>100000</v>
      </c>
      <c r="E676" t="n">
        <v>3</v>
      </c>
      <c r="F676" s="10" t="n">
        <v>0.177</v>
      </c>
      <c r="G676" t="inlineStr">
        <is>
          <t>Invoice Discounting</t>
        </is>
      </c>
      <c r="H676" t="inlineStr">
        <is>
          <t>LO018</t>
        </is>
      </c>
      <c r="I676" t="inlineStr">
        <is>
          <t>Partner Referral</t>
        </is>
      </c>
      <c r="J676">
        <f>INDEX('Data - Borrowers'!$B$2:$B$851, MATCH(B676, 'Data - Borrowers'!$A$2:$A$851, 0))</f>
        <v/>
      </c>
      <c r="K676">
        <f>INDEX('Data - Borrowers'!$C$2:$C$851, MATCH(B676, 'Data - Borrowers'!$A$2:$A$851, 0))</f>
        <v/>
      </c>
      <c r="L676">
        <f>IF(D676&lt;100000, "Micro (&lt;100K)", IF(D676&lt;500000, "Small (100K-500K)", "Medium (500K+)"))</f>
        <v/>
      </c>
      <c r="M676">
        <f>TEXT(C676, "yyyy-mm")</f>
        <v/>
      </c>
    </row>
    <row r="677">
      <c r="A677" t="inlineStr">
        <is>
          <t>LN200738</t>
        </is>
      </c>
      <c r="B677" t="inlineStr">
        <is>
          <t>BOR100552</t>
        </is>
      </c>
      <c r="C677" s="8" t="n">
        <v>46215</v>
      </c>
      <c r="D677" s="9" t="n">
        <v>230000</v>
      </c>
      <c r="E677" t="n">
        <v>3</v>
      </c>
      <c r="F677" s="10" t="n">
        <v>0.145</v>
      </c>
      <c r="G677" t="inlineStr">
        <is>
          <t>Working Capital</t>
        </is>
      </c>
      <c r="H677" t="inlineStr">
        <is>
          <t>LO015</t>
        </is>
      </c>
      <c r="I677" t="inlineStr">
        <is>
          <t>Partner Referral</t>
        </is>
      </c>
      <c r="J677">
        <f>INDEX('Data - Borrowers'!$B$2:$B$851, MATCH(B677, 'Data - Borrowers'!$A$2:$A$851, 0))</f>
        <v/>
      </c>
      <c r="K677">
        <f>INDEX('Data - Borrowers'!$C$2:$C$851, MATCH(B677, 'Data - Borrowers'!$A$2:$A$851, 0))</f>
        <v/>
      </c>
      <c r="L677">
        <f>IF(D677&lt;100000, "Micro (&lt;100K)", IF(D677&lt;500000, "Small (100K-500K)", "Medium (500K+)"))</f>
        <v/>
      </c>
      <c r="M677">
        <f>TEXT(C677, "yyyy-mm")</f>
        <v/>
      </c>
    </row>
    <row r="678">
      <c r="A678" t="inlineStr">
        <is>
          <t>LN200739</t>
        </is>
      </c>
      <c r="B678" t="inlineStr">
        <is>
          <t>BOR100553</t>
        </is>
      </c>
      <c r="C678" s="8" t="n">
        <v>45977</v>
      </c>
      <c r="D678" s="9" t="n">
        <v>168000</v>
      </c>
      <c r="E678" t="n">
        <v>3</v>
      </c>
      <c r="F678" s="10" t="n">
        <v>0.204</v>
      </c>
      <c r="G678" t="inlineStr">
        <is>
          <t>Working Capital</t>
        </is>
      </c>
      <c r="H678" t="inlineStr">
        <is>
          <t>LO016</t>
        </is>
      </c>
      <c r="I678" t="inlineStr">
        <is>
          <t>Mobile App</t>
        </is>
      </c>
      <c r="J678">
        <f>INDEX('Data - Borrowers'!$B$2:$B$851, MATCH(B678, 'Data - Borrowers'!$A$2:$A$851, 0))</f>
        <v/>
      </c>
      <c r="K678">
        <f>INDEX('Data - Borrowers'!$C$2:$C$851, MATCH(B678, 'Data - Borrowers'!$A$2:$A$851, 0))</f>
        <v/>
      </c>
      <c r="L678">
        <f>IF(D678&lt;100000, "Micro (&lt;100K)", IF(D678&lt;500000, "Small (100K-500K)", "Medium (500K+)"))</f>
        <v/>
      </c>
      <c r="M678">
        <f>TEXT(C678, "yyyy-mm")</f>
        <v/>
      </c>
    </row>
    <row r="679">
      <c r="A679" t="inlineStr">
        <is>
          <t>LN200740</t>
        </is>
      </c>
      <c r="B679" t="inlineStr">
        <is>
          <t>BOR100554</t>
        </is>
      </c>
      <c r="C679" s="8" t="n">
        <v>45866</v>
      </c>
      <c r="D679" s="9" t="n">
        <v>391000</v>
      </c>
      <c r="E679" t="n">
        <v>9</v>
      </c>
      <c r="F679" s="10" t="n">
        <v>0.182</v>
      </c>
      <c r="G679" t="inlineStr">
        <is>
          <t>Working Capital</t>
        </is>
      </c>
      <c r="H679" t="inlineStr">
        <is>
          <t>LO005</t>
        </is>
      </c>
      <c r="I679" t="inlineStr">
        <is>
          <t>Mobile App</t>
        </is>
      </c>
      <c r="J679">
        <f>INDEX('Data - Borrowers'!$B$2:$B$851, MATCH(B679, 'Data - Borrowers'!$A$2:$A$851, 0))</f>
        <v/>
      </c>
      <c r="K679">
        <f>INDEX('Data - Borrowers'!$C$2:$C$851, MATCH(B679, 'Data - Borrowers'!$A$2:$A$851, 0))</f>
        <v/>
      </c>
      <c r="L679">
        <f>IF(D679&lt;100000, "Micro (&lt;100K)", IF(D679&lt;500000, "Small (100K-500K)", "Medium (500K+)"))</f>
        <v/>
      </c>
      <c r="M679">
        <f>TEXT(C679, "yyyy-mm")</f>
        <v/>
      </c>
    </row>
    <row r="680">
      <c r="A680" t="inlineStr">
        <is>
          <t>LN200741</t>
        </is>
      </c>
      <c r="B680" t="inlineStr">
        <is>
          <t>BOR100555</t>
        </is>
      </c>
      <c r="C680" s="8" t="n">
        <v>45947</v>
      </c>
      <c r="D680" s="9" t="n">
        <v>24000</v>
      </c>
      <c r="E680" t="n">
        <v>18</v>
      </c>
      <c r="F680" s="10" t="n">
        <v>0.171</v>
      </c>
      <c r="G680" t="inlineStr">
        <is>
          <t>Working Capital</t>
        </is>
      </c>
      <c r="H680" t="inlineStr">
        <is>
          <t>LO015</t>
        </is>
      </c>
      <c r="I680" t="inlineStr">
        <is>
          <t>Branch</t>
        </is>
      </c>
      <c r="J680">
        <f>INDEX('Data - Borrowers'!$B$2:$B$851, MATCH(B680, 'Data - Borrowers'!$A$2:$A$851, 0))</f>
        <v/>
      </c>
      <c r="K680">
        <f>INDEX('Data - Borrowers'!$C$2:$C$851, MATCH(B680, 'Data - Borrowers'!$A$2:$A$851, 0))</f>
        <v/>
      </c>
      <c r="L680">
        <f>IF(D680&lt;100000, "Micro (&lt;100K)", IF(D680&lt;500000, "Small (100K-500K)", "Medium (500K+)"))</f>
        <v/>
      </c>
      <c r="M680">
        <f>TEXT(C680, "yyyy-mm")</f>
        <v/>
      </c>
    </row>
    <row r="681">
      <c r="A681" t="inlineStr">
        <is>
          <t>LN200742</t>
        </is>
      </c>
      <c r="B681" t="inlineStr">
        <is>
          <t>BOR100556</t>
        </is>
      </c>
      <c r="C681" s="8" t="n">
        <v>45658</v>
      </c>
      <c r="D681" s="9" t="n">
        <v>140000</v>
      </c>
      <c r="E681" t="n">
        <v>3</v>
      </c>
      <c r="F681" s="10" t="n">
        <v>0.199</v>
      </c>
      <c r="G681" t="inlineStr">
        <is>
          <t>Invoice Discounting</t>
        </is>
      </c>
      <c r="H681" t="inlineStr">
        <is>
          <t>LO007</t>
        </is>
      </c>
      <c r="I681" t="inlineStr">
        <is>
          <t>Mobile App</t>
        </is>
      </c>
      <c r="J681">
        <f>INDEX('Data - Borrowers'!$B$2:$B$851, MATCH(B681, 'Data - Borrowers'!$A$2:$A$851, 0))</f>
        <v/>
      </c>
      <c r="K681">
        <f>INDEX('Data - Borrowers'!$C$2:$C$851, MATCH(B681, 'Data - Borrowers'!$A$2:$A$851, 0))</f>
        <v/>
      </c>
      <c r="L681">
        <f>IF(D681&lt;100000, "Micro (&lt;100K)", IF(D681&lt;500000, "Small (100K-500K)", "Medium (500K+)"))</f>
        <v/>
      </c>
      <c r="M681">
        <f>TEXT(C681, "yyyy-mm")</f>
        <v/>
      </c>
    </row>
    <row r="682">
      <c r="A682" t="inlineStr">
        <is>
          <t>LN200743</t>
        </is>
      </c>
      <c r="B682" t="inlineStr">
        <is>
          <t>BOR100557</t>
        </is>
      </c>
      <c r="C682" s="8" t="n">
        <v>45802</v>
      </c>
      <c r="D682" s="9" t="n">
        <v>59000</v>
      </c>
      <c r="E682" t="n">
        <v>12</v>
      </c>
      <c r="F682" s="10" t="n">
        <v>0.162</v>
      </c>
      <c r="G682" t="inlineStr">
        <is>
          <t>Invoice Discounting</t>
        </is>
      </c>
      <c r="H682" t="inlineStr">
        <is>
          <t>LO024</t>
        </is>
      </c>
      <c r="I682" t="inlineStr">
        <is>
          <t>Mobile App</t>
        </is>
      </c>
      <c r="J682">
        <f>INDEX('Data - Borrowers'!$B$2:$B$851, MATCH(B682, 'Data - Borrowers'!$A$2:$A$851, 0))</f>
        <v/>
      </c>
      <c r="K682">
        <f>INDEX('Data - Borrowers'!$C$2:$C$851, MATCH(B682, 'Data - Borrowers'!$A$2:$A$851, 0))</f>
        <v/>
      </c>
      <c r="L682">
        <f>IF(D682&lt;100000, "Micro (&lt;100K)", IF(D682&lt;500000, "Small (100K-500K)", "Medium (500K+)"))</f>
        <v/>
      </c>
      <c r="M682">
        <f>TEXT(C682, "yyyy-mm")</f>
        <v/>
      </c>
    </row>
    <row r="683">
      <c r="A683" t="inlineStr">
        <is>
          <t>LN200744</t>
        </is>
      </c>
      <c r="B683" t="inlineStr">
        <is>
          <t>BOR100558</t>
        </is>
      </c>
      <c r="C683" s="8" t="n">
        <v>45795</v>
      </c>
      <c r="D683" s="9" t="n">
        <v>135000</v>
      </c>
      <c r="E683" t="n">
        <v>3</v>
      </c>
      <c r="F683" s="10" t="n">
        <v>0.21</v>
      </c>
      <c r="G683" t="inlineStr">
        <is>
          <t>Working Capital</t>
        </is>
      </c>
      <c r="H683" t="inlineStr">
        <is>
          <t>LO015</t>
        </is>
      </c>
      <c r="I683" t="inlineStr">
        <is>
          <t>Mobile App</t>
        </is>
      </c>
      <c r="J683">
        <f>INDEX('Data - Borrowers'!$B$2:$B$851, MATCH(B683, 'Data - Borrowers'!$A$2:$A$851, 0))</f>
        <v/>
      </c>
      <c r="K683">
        <f>INDEX('Data - Borrowers'!$C$2:$C$851, MATCH(B683, 'Data - Borrowers'!$A$2:$A$851, 0))</f>
        <v/>
      </c>
      <c r="L683">
        <f>IF(D683&lt;100000, "Micro (&lt;100K)", IF(D683&lt;500000, "Small (100K-500K)", "Medium (500K+)"))</f>
        <v/>
      </c>
      <c r="M683">
        <f>TEXT(C683, "yyyy-mm")</f>
        <v/>
      </c>
    </row>
    <row r="684">
      <c r="A684" t="inlineStr">
        <is>
          <t>LN200745</t>
        </is>
      </c>
      <c r="B684" t="inlineStr">
        <is>
          <t>BOR100559</t>
        </is>
      </c>
      <c r="C684" s="8" t="n">
        <v>46105</v>
      </c>
      <c r="D684" s="9" t="n">
        <v>24000</v>
      </c>
      <c r="E684" t="n">
        <v>6</v>
      </c>
      <c r="F684" s="10" t="n">
        <v>0.228</v>
      </c>
      <c r="G684" t="inlineStr">
        <is>
          <t>Asset Finance</t>
        </is>
      </c>
      <c r="H684" t="inlineStr">
        <is>
          <t>LO009</t>
        </is>
      </c>
      <c r="I684" t="inlineStr">
        <is>
          <t>Partner Referral</t>
        </is>
      </c>
      <c r="J684">
        <f>INDEX('Data - Borrowers'!$B$2:$B$851, MATCH(B684, 'Data - Borrowers'!$A$2:$A$851, 0))</f>
        <v/>
      </c>
      <c r="K684">
        <f>INDEX('Data - Borrowers'!$C$2:$C$851, MATCH(B684, 'Data - Borrowers'!$A$2:$A$851, 0))</f>
        <v/>
      </c>
      <c r="L684">
        <f>IF(D684&lt;100000, "Micro (&lt;100K)", IF(D684&lt;500000, "Small (100K-500K)", "Medium (500K+)"))</f>
        <v/>
      </c>
      <c r="M684">
        <f>TEXT(C684, "yyyy-mm")</f>
        <v/>
      </c>
    </row>
    <row r="685">
      <c r="A685" t="inlineStr">
        <is>
          <t>LN200747</t>
        </is>
      </c>
      <c r="B685" t="inlineStr">
        <is>
          <t>BOR100560</t>
        </is>
      </c>
      <c r="C685" s="8" t="n">
        <v>46213</v>
      </c>
      <c r="D685" s="9" t="n">
        <v>23000</v>
      </c>
      <c r="E685" t="n">
        <v>18</v>
      </c>
      <c r="F685" s="10" t="n">
        <v>0.144</v>
      </c>
      <c r="G685" t="inlineStr">
        <is>
          <t>Asset Finance</t>
        </is>
      </c>
      <c r="H685" t="inlineStr">
        <is>
          <t>LO020</t>
        </is>
      </c>
      <c r="I685" t="inlineStr">
        <is>
          <t>Branch</t>
        </is>
      </c>
      <c r="J685">
        <f>INDEX('Data - Borrowers'!$B$2:$B$851, MATCH(B685, 'Data - Borrowers'!$A$2:$A$851, 0))</f>
        <v/>
      </c>
      <c r="K685">
        <f>INDEX('Data - Borrowers'!$C$2:$C$851, MATCH(B685, 'Data - Borrowers'!$A$2:$A$851, 0))</f>
        <v/>
      </c>
      <c r="L685">
        <f>IF(D685&lt;100000, "Micro (&lt;100K)", IF(D685&lt;500000, "Small (100K-500K)", "Medium (500K+)"))</f>
        <v/>
      </c>
      <c r="M685">
        <f>TEXT(C685, "yyyy-mm")</f>
        <v/>
      </c>
    </row>
    <row r="686">
      <c r="A686" t="inlineStr">
        <is>
          <t>LN200748</t>
        </is>
      </c>
      <c r="B686" t="inlineStr">
        <is>
          <t>BOR100561</t>
        </is>
      </c>
      <c r="C686" s="8" t="n">
        <v>46017</v>
      </c>
      <c r="D686" s="9" t="n">
        <v>143000</v>
      </c>
      <c r="E686" t="n">
        <v>6</v>
      </c>
      <c r="F686" s="10" t="n">
        <v>0.158</v>
      </c>
      <c r="G686" t="inlineStr">
        <is>
          <t>Asset Finance</t>
        </is>
      </c>
      <c r="H686" t="inlineStr">
        <is>
          <t>LO015</t>
        </is>
      </c>
      <c r="I686" t="inlineStr">
        <is>
          <t>Partner Referral</t>
        </is>
      </c>
      <c r="J686">
        <f>INDEX('Data - Borrowers'!$B$2:$B$851, MATCH(B686, 'Data - Borrowers'!$A$2:$A$851, 0))</f>
        <v/>
      </c>
      <c r="K686">
        <f>INDEX('Data - Borrowers'!$C$2:$C$851, MATCH(B686, 'Data - Borrowers'!$A$2:$A$851, 0))</f>
        <v/>
      </c>
      <c r="L686">
        <f>IF(D686&lt;100000, "Micro (&lt;100K)", IF(D686&lt;500000, "Small (100K-500K)", "Medium (500K+)"))</f>
        <v/>
      </c>
      <c r="M686">
        <f>TEXT(C686, "yyyy-mm")</f>
        <v/>
      </c>
    </row>
    <row r="687">
      <c r="A687" t="inlineStr">
        <is>
          <t>LN200749</t>
        </is>
      </c>
      <c r="B687" t="inlineStr">
        <is>
          <t>BOR100562</t>
        </is>
      </c>
      <c r="C687" s="8" t="n">
        <v>45994</v>
      </c>
      <c r="D687" s="9" t="n">
        <v>45000</v>
      </c>
      <c r="E687" t="n">
        <v>6</v>
      </c>
      <c r="F687" s="10" t="n">
        <v>0.157</v>
      </c>
      <c r="G687" t="inlineStr">
        <is>
          <t>Invoice Discounting</t>
        </is>
      </c>
      <c r="H687" t="inlineStr">
        <is>
          <t>LO016</t>
        </is>
      </c>
      <c r="I687" t="inlineStr">
        <is>
          <t>Branch</t>
        </is>
      </c>
      <c r="J687">
        <f>INDEX('Data - Borrowers'!$B$2:$B$851, MATCH(B687, 'Data - Borrowers'!$A$2:$A$851, 0))</f>
        <v/>
      </c>
      <c r="K687">
        <f>INDEX('Data - Borrowers'!$C$2:$C$851, MATCH(B687, 'Data - Borrowers'!$A$2:$A$851, 0))</f>
        <v/>
      </c>
      <c r="L687">
        <f>IF(D687&lt;100000, "Micro (&lt;100K)", IF(D687&lt;500000, "Small (100K-500K)", "Medium (500K+)"))</f>
        <v/>
      </c>
      <c r="M687">
        <f>TEXT(C687, "yyyy-mm")</f>
        <v/>
      </c>
    </row>
    <row r="688">
      <c r="A688" t="inlineStr">
        <is>
          <t>LN200750</t>
        </is>
      </c>
      <c r="B688" t="inlineStr">
        <is>
          <t>BOR100563</t>
        </is>
      </c>
      <c r="C688" s="8" t="n">
        <v>45861</v>
      </c>
      <c r="D688" s="9" t="n">
        <v>109000</v>
      </c>
      <c r="E688" t="n">
        <v>3</v>
      </c>
      <c r="F688" s="10" t="n">
        <v>0.191</v>
      </c>
      <c r="G688" t="inlineStr">
        <is>
          <t>Invoice Discounting</t>
        </is>
      </c>
      <c r="H688" t="inlineStr">
        <is>
          <t>LO003</t>
        </is>
      </c>
      <c r="I688" t="inlineStr">
        <is>
          <t>Mobile App</t>
        </is>
      </c>
      <c r="J688">
        <f>INDEX('Data - Borrowers'!$B$2:$B$851, MATCH(B688, 'Data - Borrowers'!$A$2:$A$851, 0))</f>
        <v/>
      </c>
      <c r="K688">
        <f>INDEX('Data - Borrowers'!$C$2:$C$851, MATCH(B688, 'Data - Borrowers'!$A$2:$A$851, 0))</f>
        <v/>
      </c>
      <c r="L688">
        <f>IF(D688&lt;100000, "Micro (&lt;100K)", IF(D688&lt;500000, "Small (100K-500K)", "Medium (500K+)"))</f>
        <v/>
      </c>
      <c r="M688">
        <f>TEXT(C688, "yyyy-mm")</f>
        <v/>
      </c>
    </row>
    <row r="689">
      <c r="A689" t="inlineStr">
        <is>
          <t>LN200751</t>
        </is>
      </c>
      <c r="B689" t="inlineStr">
        <is>
          <t>BOR100564</t>
        </is>
      </c>
      <c r="C689" s="8" t="n">
        <v>45747</v>
      </c>
      <c r="D689" s="9" t="n">
        <v>78000</v>
      </c>
      <c r="E689" t="n">
        <v>3</v>
      </c>
      <c r="F689" s="10" t="n">
        <v>0.181</v>
      </c>
      <c r="G689" t="inlineStr">
        <is>
          <t>Asset Finance</t>
        </is>
      </c>
      <c r="H689" t="inlineStr">
        <is>
          <t>LO025</t>
        </is>
      </c>
      <c r="I689" t="inlineStr">
        <is>
          <t>Mobile App</t>
        </is>
      </c>
      <c r="J689">
        <f>INDEX('Data - Borrowers'!$B$2:$B$851, MATCH(B689, 'Data - Borrowers'!$A$2:$A$851, 0))</f>
        <v/>
      </c>
      <c r="K689">
        <f>INDEX('Data - Borrowers'!$C$2:$C$851, MATCH(B689, 'Data - Borrowers'!$A$2:$A$851, 0))</f>
        <v/>
      </c>
      <c r="L689">
        <f>IF(D689&lt;100000, "Micro (&lt;100K)", IF(D689&lt;500000, "Small (100K-500K)", "Medium (500K+)"))</f>
        <v/>
      </c>
      <c r="M689">
        <f>TEXT(C689, "yyyy-mm")</f>
        <v/>
      </c>
    </row>
    <row r="690">
      <c r="A690" t="inlineStr">
        <is>
          <t>LN200752</t>
        </is>
      </c>
      <c r="B690" t="inlineStr">
        <is>
          <t>BOR100565</t>
        </is>
      </c>
      <c r="C690" s="8" t="n">
        <v>45891</v>
      </c>
      <c r="D690" s="9" t="n">
        <v>34000</v>
      </c>
      <c r="E690" t="n">
        <v>12</v>
      </c>
      <c r="F690" s="10" t="n">
        <v>0.154</v>
      </c>
      <c r="G690" t="inlineStr">
        <is>
          <t>Working Capital</t>
        </is>
      </c>
      <c r="H690" t="inlineStr">
        <is>
          <t>LO013</t>
        </is>
      </c>
      <c r="I690" t="inlineStr">
        <is>
          <t>Mobile App</t>
        </is>
      </c>
      <c r="J690">
        <f>INDEX('Data - Borrowers'!$B$2:$B$851, MATCH(B690, 'Data - Borrowers'!$A$2:$A$851, 0))</f>
        <v/>
      </c>
      <c r="K690">
        <f>INDEX('Data - Borrowers'!$C$2:$C$851, MATCH(B690, 'Data - Borrowers'!$A$2:$A$851, 0))</f>
        <v/>
      </c>
      <c r="L690">
        <f>IF(D690&lt;100000, "Micro (&lt;100K)", IF(D690&lt;500000, "Small (100K-500K)", "Medium (500K+)"))</f>
        <v/>
      </c>
      <c r="M690">
        <f>TEXT(C690, "yyyy-mm")</f>
        <v/>
      </c>
    </row>
    <row r="691">
      <c r="A691" t="inlineStr">
        <is>
          <t>LN200753</t>
        </is>
      </c>
      <c r="B691" t="inlineStr">
        <is>
          <t>BOR100566</t>
        </is>
      </c>
      <c r="C691" s="8" t="n">
        <v>45877</v>
      </c>
      <c r="D691" s="9" t="n">
        <v>158000</v>
      </c>
      <c r="E691" t="n">
        <v>3</v>
      </c>
      <c r="F691" s="10" t="n">
        <v>0.189</v>
      </c>
      <c r="G691" t="inlineStr">
        <is>
          <t>Invoice Discounting</t>
        </is>
      </c>
      <c r="H691" t="inlineStr">
        <is>
          <t>LO018</t>
        </is>
      </c>
      <c r="I691" t="inlineStr">
        <is>
          <t>Mobile App</t>
        </is>
      </c>
      <c r="J691">
        <f>INDEX('Data - Borrowers'!$B$2:$B$851, MATCH(B691, 'Data - Borrowers'!$A$2:$A$851, 0))</f>
        <v/>
      </c>
      <c r="K691">
        <f>INDEX('Data - Borrowers'!$C$2:$C$851, MATCH(B691, 'Data - Borrowers'!$A$2:$A$851, 0))</f>
        <v/>
      </c>
      <c r="L691">
        <f>IF(D691&lt;100000, "Micro (&lt;100K)", IF(D691&lt;500000, "Small (100K-500K)", "Medium (500K+)"))</f>
        <v/>
      </c>
      <c r="M691">
        <f>TEXT(C691, "yyyy-mm")</f>
        <v/>
      </c>
    </row>
    <row r="692">
      <c r="A692" t="inlineStr">
        <is>
          <t>LN200754</t>
        </is>
      </c>
      <c r="B692" t="inlineStr">
        <is>
          <t>BOR100566</t>
        </is>
      </c>
      <c r="C692" s="8" t="n">
        <v>45981</v>
      </c>
      <c r="D692" s="9" t="n">
        <v>136000</v>
      </c>
      <c r="E692" t="n">
        <v>3</v>
      </c>
      <c r="F692" s="10" t="n">
        <v>0.186</v>
      </c>
      <c r="G692" t="inlineStr">
        <is>
          <t>Invoice Discounting</t>
        </is>
      </c>
      <c r="H692" t="inlineStr">
        <is>
          <t>LO025</t>
        </is>
      </c>
      <c r="I692" t="inlineStr">
        <is>
          <t>Partner Referral</t>
        </is>
      </c>
      <c r="J692">
        <f>INDEX('Data - Borrowers'!$B$2:$B$851, MATCH(B692, 'Data - Borrowers'!$A$2:$A$851, 0))</f>
        <v/>
      </c>
      <c r="K692">
        <f>INDEX('Data - Borrowers'!$C$2:$C$851, MATCH(B692, 'Data - Borrowers'!$A$2:$A$851, 0))</f>
        <v/>
      </c>
      <c r="L692">
        <f>IF(D692&lt;100000, "Micro (&lt;100K)", IF(D692&lt;500000, "Small (100K-500K)", "Medium (500K+)"))</f>
        <v/>
      </c>
      <c r="M692">
        <f>TEXT(C692, "yyyy-mm")</f>
        <v/>
      </c>
    </row>
    <row r="693">
      <c r="A693" t="inlineStr">
        <is>
          <t>LN200755</t>
        </is>
      </c>
      <c r="B693" t="inlineStr">
        <is>
          <t>BOR100567</t>
        </is>
      </c>
      <c r="C693" s="8" t="n">
        <v>45660</v>
      </c>
      <c r="D693" s="9" t="n">
        <v>107000</v>
      </c>
      <c r="E693" t="n">
        <v>9</v>
      </c>
      <c r="F693" s="10" t="n">
        <v>0.209</v>
      </c>
      <c r="G693" t="inlineStr">
        <is>
          <t>Working Capital</t>
        </is>
      </c>
      <c r="H693" t="inlineStr">
        <is>
          <t>LO006</t>
        </is>
      </c>
      <c r="I693" t="inlineStr">
        <is>
          <t>Mobile App</t>
        </is>
      </c>
      <c r="J693">
        <f>INDEX('Data - Borrowers'!$B$2:$B$851, MATCH(B693, 'Data - Borrowers'!$A$2:$A$851, 0))</f>
        <v/>
      </c>
      <c r="K693">
        <f>INDEX('Data - Borrowers'!$C$2:$C$851, MATCH(B693, 'Data - Borrowers'!$A$2:$A$851, 0))</f>
        <v/>
      </c>
      <c r="L693">
        <f>IF(D693&lt;100000, "Micro (&lt;100K)", IF(D693&lt;500000, "Small (100K-500K)", "Medium (500K+)"))</f>
        <v/>
      </c>
      <c r="M693">
        <f>TEXT(C693, "yyyy-mm")</f>
        <v/>
      </c>
    </row>
    <row r="694">
      <c r="A694" t="inlineStr">
        <is>
          <t>LN200756</t>
        </is>
      </c>
      <c r="B694" t="inlineStr">
        <is>
          <t>BOR100567</t>
        </is>
      </c>
      <c r="C694" s="8" t="n">
        <v>45803</v>
      </c>
      <c r="D694" s="9" t="n">
        <v>60000</v>
      </c>
      <c r="E694" t="n">
        <v>6</v>
      </c>
      <c r="F694" s="10" t="n">
        <v>0.237</v>
      </c>
      <c r="G694" t="inlineStr">
        <is>
          <t>Working Capital</t>
        </is>
      </c>
      <c r="H694" t="inlineStr">
        <is>
          <t>LO009</t>
        </is>
      </c>
      <c r="I694" t="inlineStr">
        <is>
          <t>Mobile App</t>
        </is>
      </c>
      <c r="J694">
        <f>INDEX('Data - Borrowers'!$B$2:$B$851, MATCH(B694, 'Data - Borrowers'!$A$2:$A$851, 0))</f>
        <v/>
      </c>
      <c r="K694">
        <f>INDEX('Data - Borrowers'!$C$2:$C$851, MATCH(B694, 'Data - Borrowers'!$A$2:$A$851, 0))</f>
        <v/>
      </c>
      <c r="L694">
        <f>IF(D694&lt;100000, "Micro (&lt;100K)", IF(D694&lt;500000, "Small (100K-500K)", "Medium (500K+)"))</f>
        <v/>
      </c>
      <c r="M694">
        <f>TEXT(C694, "yyyy-mm")</f>
        <v/>
      </c>
    </row>
    <row r="695">
      <c r="A695" t="inlineStr">
        <is>
          <t>LN200757</t>
        </is>
      </c>
      <c r="B695" t="inlineStr">
        <is>
          <t>BOR100568</t>
        </is>
      </c>
      <c r="C695" s="8" t="n">
        <v>45702</v>
      </c>
      <c r="D695" s="9" t="n">
        <v>154000</v>
      </c>
      <c r="E695" t="n">
        <v>3</v>
      </c>
      <c r="F695" s="10" t="n">
        <v>0.207</v>
      </c>
      <c r="G695" t="inlineStr">
        <is>
          <t>Asset Finance</t>
        </is>
      </c>
      <c r="H695" t="inlineStr">
        <is>
          <t>LO010</t>
        </is>
      </c>
      <c r="I695" t="inlineStr">
        <is>
          <t>Mobile App</t>
        </is>
      </c>
      <c r="J695">
        <f>INDEX('Data - Borrowers'!$B$2:$B$851, MATCH(B695, 'Data - Borrowers'!$A$2:$A$851, 0))</f>
        <v/>
      </c>
      <c r="K695">
        <f>INDEX('Data - Borrowers'!$C$2:$C$851, MATCH(B695, 'Data - Borrowers'!$A$2:$A$851, 0))</f>
        <v/>
      </c>
      <c r="L695">
        <f>IF(D695&lt;100000, "Micro (&lt;100K)", IF(D695&lt;500000, "Small (100K-500K)", "Medium (500K+)"))</f>
        <v/>
      </c>
      <c r="M695">
        <f>TEXT(C695, "yyyy-mm")</f>
        <v/>
      </c>
    </row>
    <row r="696">
      <c r="A696" t="inlineStr">
        <is>
          <t>LN200758</t>
        </is>
      </c>
      <c r="B696" t="inlineStr">
        <is>
          <t>BOR100569</t>
        </is>
      </c>
      <c r="C696" s="8" t="n">
        <v>45994</v>
      </c>
      <c r="D696" s="9" t="n">
        <v>576000</v>
      </c>
      <c r="E696" t="n">
        <v>3</v>
      </c>
      <c r="F696" s="10" t="n">
        <v>0.221</v>
      </c>
      <c r="G696" t="inlineStr">
        <is>
          <t>Asset Finance</t>
        </is>
      </c>
      <c r="H696" t="inlineStr">
        <is>
          <t>LO009</t>
        </is>
      </c>
      <c r="I696" t="inlineStr">
        <is>
          <t>Mobile App</t>
        </is>
      </c>
      <c r="J696">
        <f>INDEX('Data - Borrowers'!$B$2:$B$851, MATCH(B696, 'Data - Borrowers'!$A$2:$A$851, 0))</f>
        <v/>
      </c>
      <c r="K696">
        <f>INDEX('Data - Borrowers'!$C$2:$C$851, MATCH(B696, 'Data - Borrowers'!$A$2:$A$851, 0))</f>
        <v/>
      </c>
      <c r="L696">
        <f>IF(D696&lt;100000, "Micro (&lt;100K)", IF(D696&lt;500000, "Small (100K-500K)", "Medium (500K+)"))</f>
        <v/>
      </c>
      <c r="M696">
        <f>TEXT(C696, "yyyy-mm")</f>
        <v/>
      </c>
    </row>
    <row r="697">
      <c r="A697" t="inlineStr">
        <is>
          <t>LN200759</t>
        </is>
      </c>
      <c r="B697" t="inlineStr">
        <is>
          <t>BOR100569</t>
        </is>
      </c>
      <c r="C697" s="8" t="n">
        <v>46201</v>
      </c>
      <c r="D697" s="9" t="n">
        <v>735000</v>
      </c>
      <c r="E697" t="n">
        <v>3</v>
      </c>
      <c r="F697" s="10" t="n">
        <v>0.192</v>
      </c>
      <c r="G697" t="inlineStr">
        <is>
          <t>Working Capital</t>
        </is>
      </c>
      <c r="H697" t="inlineStr">
        <is>
          <t>LO025</t>
        </is>
      </c>
      <c r="I697" t="inlineStr">
        <is>
          <t>Partner Referral</t>
        </is>
      </c>
      <c r="J697">
        <f>INDEX('Data - Borrowers'!$B$2:$B$851, MATCH(B697, 'Data - Borrowers'!$A$2:$A$851, 0))</f>
        <v/>
      </c>
      <c r="K697">
        <f>INDEX('Data - Borrowers'!$C$2:$C$851, MATCH(B697, 'Data - Borrowers'!$A$2:$A$851, 0))</f>
        <v/>
      </c>
      <c r="L697">
        <f>IF(D697&lt;100000, "Micro (&lt;100K)", IF(D697&lt;500000, "Small (100K-500K)", "Medium (500K+)"))</f>
        <v/>
      </c>
      <c r="M697">
        <f>TEXT(C697, "yyyy-mm")</f>
        <v/>
      </c>
    </row>
    <row r="698">
      <c r="A698" t="inlineStr">
        <is>
          <t>LN200761</t>
        </is>
      </c>
      <c r="B698" t="inlineStr">
        <is>
          <t>BOR100570</t>
        </is>
      </c>
      <c r="C698" s="8" t="n">
        <v>45951</v>
      </c>
      <c r="D698" s="9" t="n">
        <v>88000</v>
      </c>
      <c r="E698" t="n">
        <v>6</v>
      </c>
      <c r="F698" s="10" t="n">
        <v>0.162</v>
      </c>
      <c r="G698" t="inlineStr">
        <is>
          <t>Working Capital</t>
        </is>
      </c>
      <c r="H698" t="inlineStr">
        <is>
          <t>LO021</t>
        </is>
      </c>
      <c r="I698" t="inlineStr">
        <is>
          <t>Mobile App</t>
        </is>
      </c>
      <c r="J698">
        <f>INDEX('Data - Borrowers'!$B$2:$B$851, MATCH(B698, 'Data - Borrowers'!$A$2:$A$851, 0))</f>
        <v/>
      </c>
      <c r="K698">
        <f>INDEX('Data - Borrowers'!$C$2:$C$851, MATCH(B698, 'Data - Borrowers'!$A$2:$A$851, 0))</f>
        <v/>
      </c>
      <c r="L698">
        <f>IF(D698&lt;100000, "Micro (&lt;100K)", IF(D698&lt;500000, "Small (100K-500K)", "Medium (500K+)"))</f>
        <v/>
      </c>
      <c r="M698">
        <f>TEXT(C698, "yyyy-mm")</f>
        <v/>
      </c>
    </row>
    <row r="699">
      <c r="A699" t="inlineStr">
        <is>
          <t>LN200762</t>
        </is>
      </c>
      <c r="B699" t="inlineStr">
        <is>
          <t>BOR100570</t>
        </is>
      </c>
      <c r="C699" s="8" t="n">
        <v>46118</v>
      </c>
      <c r="D699" s="9" t="n">
        <v>91000</v>
      </c>
      <c r="E699" t="n">
        <v>6</v>
      </c>
      <c r="F699" s="10" t="n">
        <v>0.14</v>
      </c>
      <c r="G699" t="inlineStr">
        <is>
          <t>Working Capital</t>
        </is>
      </c>
      <c r="H699" t="inlineStr">
        <is>
          <t>LO005</t>
        </is>
      </c>
      <c r="I699" t="inlineStr">
        <is>
          <t>Mobile App</t>
        </is>
      </c>
      <c r="J699">
        <f>INDEX('Data - Borrowers'!$B$2:$B$851, MATCH(B699, 'Data - Borrowers'!$A$2:$A$851, 0))</f>
        <v/>
      </c>
      <c r="K699">
        <f>INDEX('Data - Borrowers'!$C$2:$C$851, MATCH(B699, 'Data - Borrowers'!$A$2:$A$851, 0))</f>
        <v/>
      </c>
      <c r="L699">
        <f>IF(D699&lt;100000, "Micro (&lt;100K)", IF(D699&lt;500000, "Small (100K-500K)", "Medium (500K+)"))</f>
        <v/>
      </c>
      <c r="M699">
        <f>TEXT(C699, "yyyy-mm")</f>
        <v/>
      </c>
    </row>
    <row r="700">
      <c r="A700" t="inlineStr">
        <is>
          <t>LN200763</t>
        </is>
      </c>
      <c r="B700" t="inlineStr">
        <is>
          <t>BOR100571</t>
        </is>
      </c>
      <c r="C700" s="8" t="n">
        <v>45873</v>
      </c>
      <c r="D700" s="9" t="n">
        <v>58000</v>
      </c>
      <c r="E700" t="n">
        <v>3</v>
      </c>
      <c r="F700" s="10" t="n">
        <v>0.156</v>
      </c>
      <c r="G700" t="inlineStr">
        <is>
          <t>Asset Finance</t>
        </is>
      </c>
      <c r="H700" t="inlineStr">
        <is>
          <t>LO010</t>
        </is>
      </c>
      <c r="I700" t="inlineStr">
        <is>
          <t>Mobile App</t>
        </is>
      </c>
      <c r="J700">
        <f>INDEX('Data - Borrowers'!$B$2:$B$851, MATCH(B700, 'Data - Borrowers'!$A$2:$A$851, 0))</f>
        <v/>
      </c>
      <c r="K700">
        <f>INDEX('Data - Borrowers'!$C$2:$C$851, MATCH(B700, 'Data - Borrowers'!$A$2:$A$851, 0))</f>
        <v/>
      </c>
      <c r="L700">
        <f>IF(D700&lt;100000, "Micro (&lt;100K)", IF(D700&lt;500000, "Small (100K-500K)", "Medium (500K+)"))</f>
        <v/>
      </c>
      <c r="M700">
        <f>TEXT(C700, "yyyy-mm")</f>
        <v/>
      </c>
    </row>
    <row r="701">
      <c r="A701" t="inlineStr">
        <is>
          <t>LN200764</t>
        </is>
      </c>
      <c r="B701" t="inlineStr">
        <is>
          <t>BOR100571</t>
        </is>
      </c>
      <c r="C701" s="8" t="n">
        <v>46022</v>
      </c>
      <c r="D701" s="9" t="n">
        <v>178000</v>
      </c>
      <c r="E701" t="n">
        <v>6</v>
      </c>
      <c r="F701" s="10" t="n">
        <v>0.181</v>
      </c>
      <c r="G701" t="inlineStr">
        <is>
          <t>Working Capital</t>
        </is>
      </c>
      <c r="H701" t="inlineStr">
        <is>
          <t>LO025</t>
        </is>
      </c>
      <c r="I701" t="inlineStr">
        <is>
          <t>Mobile App</t>
        </is>
      </c>
      <c r="J701">
        <f>INDEX('Data - Borrowers'!$B$2:$B$851, MATCH(B701, 'Data - Borrowers'!$A$2:$A$851, 0))</f>
        <v/>
      </c>
      <c r="K701">
        <f>INDEX('Data - Borrowers'!$C$2:$C$851, MATCH(B701, 'Data - Borrowers'!$A$2:$A$851, 0))</f>
        <v/>
      </c>
      <c r="L701">
        <f>IF(D701&lt;100000, "Micro (&lt;100K)", IF(D701&lt;500000, "Small (100K-500K)", "Medium (500K+)"))</f>
        <v/>
      </c>
      <c r="M701">
        <f>TEXT(C701, "yyyy-mm")</f>
        <v/>
      </c>
    </row>
    <row r="702">
      <c r="A702" t="inlineStr">
        <is>
          <t>LN200765</t>
        </is>
      </c>
      <c r="B702" t="inlineStr">
        <is>
          <t>BOR100572</t>
        </is>
      </c>
      <c r="C702" s="8" t="n">
        <v>45859</v>
      </c>
      <c r="D702" s="9" t="n">
        <v>64000</v>
      </c>
      <c r="E702" t="n">
        <v>9</v>
      </c>
      <c r="F702" s="10" t="n">
        <v>0.152</v>
      </c>
      <c r="G702" t="inlineStr">
        <is>
          <t>Working Capital</t>
        </is>
      </c>
      <c r="H702" t="inlineStr">
        <is>
          <t>LO024</t>
        </is>
      </c>
      <c r="I702" t="inlineStr">
        <is>
          <t>Branch</t>
        </is>
      </c>
      <c r="J702">
        <f>INDEX('Data - Borrowers'!$B$2:$B$851, MATCH(B702, 'Data - Borrowers'!$A$2:$A$851, 0))</f>
        <v/>
      </c>
      <c r="K702">
        <f>INDEX('Data - Borrowers'!$C$2:$C$851, MATCH(B702, 'Data - Borrowers'!$A$2:$A$851, 0))</f>
        <v/>
      </c>
      <c r="L702">
        <f>IF(D702&lt;100000, "Micro (&lt;100K)", IF(D702&lt;500000, "Small (100K-500K)", "Medium (500K+)"))</f>
        <v/>
      </c>
      <c r="M702">
        <f>TEXT(C702, "yyyy-mm")</f>
        <v/>
      </c>
    </row>
    <row r="703">
      <c r="A703" t="inlineStr">
        <is>
          <t>LN200766</t>
        </is>
      </c>
      <c r="B703" t="inlineStr">
        <is>
          <t>BOR100573</t>
        </is>
      </c>
      <c r="C703" s="8" t="n">
        <v>46200</v>
      </c>
      <c r="D703" s="9" t="n">
        <v>26000</v>
      </c>
      <c r="E703" t="n">
        <v>18</v>
      </c>
      <c r="F703" s="10" t="n">
        <v>0.136</v>
      </c>
      <c r="G703" t="inlineStr">
        <is>
          <t>Working Capital</t>
        </is>
      </c>
      <c r="H703" t="inlineStr">
        <is>
          <t>LO008</t>
        </is>
      </c>
      <c r="I703" t="inlineStr">
        <is>
          <t>Partner Referral</t>
        </is>
      </c>
      <c r="J703">
        <f>INDEX('Data - Borrowers'!$B$2:$B$851, MATCH(B703, 'Data - Borrowers'!$A$2:$A$851, 0))</f>
        <v/>
      </c>
      <c r="K703">
        <f>INDEX('Data - Borrowers'!$C$2:$C$851, MATCH(B703, 'Data - Borrowers'!$A$2:$A$851, 0))</f>
        <v/>
      </c>
      <c r="L703">
        <f>IF(D703&lt;100000, "Micro (&lt;100K)", IF(D703&lt;500000, "Small (100K-500K)", "Medium (500K+)"))</f>
        <v/>
      </c>
      <c r="M703">
        <f>TEXT(C703, "yyyy-mm")</f>
        <v/>
      </c>
    </row>
    <row r="704">
      <c r="A704" t="inlineStr">
        <is>
          <t>LN200767</t>
        </is>
      </c>
      <c r="B704" t="inlineStr">
        <is>
          <t>BOR100574</t>
        </is>
      </c>
      <c r="C704" s="8" t="n">
        <v>46142</v>
      </c>
      <c r="D704" s="9" t="n">
        <v>394000</v>
      </c>
      <c r="E704" t="n">
        <v>9</v>
      </c>
      <c r="F704" s="10" t="n">
        <v>0.207</v>
      </c>
      <c r="G704" t="inlineStr">
        <is>
          <t>Asset Finance</t>
        </is>
      </c>
      <c r="H704" t="inlineStr">
        <is>
          <t>LO022</t>
        </is>
      </c>
      <c r="I704" t="inlineStr">
        <is>
          <t>Mobile App</t>
        </is>
      </c>
      <c r="J704">
        <f>INDEX('Data - Borrowers'!$B$2:$B$851, MATCH(B704, 'Data - Borrowers'!$A$2:$A$851, 0))</f>
        <v/>
      </c>
      <c r="K704">
        <f>INDEX('Data - Borrowers'!$C$2:$C$851, MATCH(B704, 'Data - Borrowers'!$A$2:$A$851, 0))</f>
        <v/>
      </c>
      <c r="L704">
        <f>IF(D704&lt;100000, "Micro (&lt;100K)", IF(D704&lt;500000, "Small (100K-500K)", "Medium (500K+)"))</f>
        <v/>
      </c>
      <c r="M704">
        <f>TEXT(C704, "yyyy-mm")</f>
        <v/>
      </c>
    </row>
    <row r="705">
      <c r="A705" t="inlineStr">
        <is>
          <t>LN200768</t>
        </is>
      </c>
      <c r="B705" t="inlineStr">
        <is>
          <t>BOR100575</t>
        </is>
      </c>
      <c r="C705" s="8" t="n">
        <v>45967</v>
      </c>
      <c r="D705" s="9" t="n">
        <v>53000</v>
      </c>
      <c r="E705" t="n">
        <v>9</v>
      </c>
      <c r="F705" s="10" t="n">
        <v>0.184</v>
      </c>
      <c r="G705" t="inlineStr">
        <is>
          <t>Invoice Discounting</t>
        </is>
      </c>
      <c r="H705" t="inlineStr">
        <is>
          <t>LO024</t>
        </is>
      </c>
      <c r="I705" t="inlineStr">
        <is>
          <t>Mobile App</t>
        </is>
      </c>
      <c r="J705">
        <f>INDEX('Data - Borrowers'!$B$2:$B$851, MATCH(B705, 'Data - Borrowers'!$A$2:$A$851, 0))</f>
        <v/>
      </c>
      <c r="K705">
        <f>INDEX('Data - Borrowers'!$C$2:$C$851, MATCH(B705, 'Data - Borrowers'!$A$2:$A$851, 0))</f>
        <v/>
      </c>
      <c r="L705">
        <f>IF(D705&lt;100000, "Micro (&lt;100K)", IF(D705&lt;500000, "Small (100K-500K)", "Medium (500K+)"))</f>
        <v/>
      </c>
      <c r="M705">
        <f>TEXT(C705, "yyyy-mm")</f>
        <v/>
      </c>
    </row>
    <row r="706">
      <c r="A706" t="inlineStr">
        <is>
          <t>LN200769</t>
        </is>
      </c>
      <c r="B706" t="inlineStr">
        <is>
          <t>BOR100575</t>
        </is>
      </c>
      <c r="C706" s="8" t="n">
        <v>46149</v>
      </c>
      <c r="D706" s="9" t="n">
        <v>41000</v>
      </c>
      <c r="E706" t="n">
        <v>9</v>
      </c>
      <c r="F706" s="10" t="n">
        <v>0.177</v>
      </c>
      <c r="G706" t="inlineStr">
        <is>
          <t>Asset Finance</t>
        </is>
      </c>
      <c r="H706" t="inlineStr">
        <is>
          <t>LO018</t>
        </is>
      </c>
      <c r="I706" t="inlineStr">
        <is>
          <t>Mobile App</t>
        </is>
      </c>
      <c r="J706">
        <f>INDEX('Data - Borrowers'!$B$2:$B$851, MATCH(B706, 'Data - Borrowers'!$A$2:$A$851, 0))</f>
        <v/>
      </c>
      <c r="K706">
        <f>INDEX('Data - Borrowers'!$C$2:$C$851, MATCH(B706, 'Data - Borrowers'!$A$2:$A$851, 0))</f>
        <v/>
      </c>
      <c r="L706">
        <f>IF(D706&lt;100000, "Micro (&lt;100K)", IF(D706&lt;500000, "Small (100K-500K)", "Medium (500K+)"))</f>
        <v/>
      </c>
      <c r="M706">
        <f>TEXT(C706, "yyyy-mm")</f>
        <v/>
      </c>
    </row>
    <row r="707">
      <c r="A707" t="inlineStr">
        <is>
          <t>LN200771</t>
        </is>
      </c>
      <c r="B707" t="inlineStr">
        <is>
          <t>BOR100576</t>
        </is>
      </c>
      <c r="C707" s="8" t="n">
        <v>45678</v>
      </c>
      <c r="D707" s="9" t="n">
        <v>59000</v>
      </c>
      <c r="E707" t="n">
        <v>3</v>
      </c>
      <c r="F707" s="10" t="n">
        <v>0.17</v>
      </c>
      <c r="G707" t="inlineStr">
        <is>
          <t>Working Capital</t>
        </is>
      </c>
      <c r="H707" t="inlineStr">
        <is>
          <t>LO018</t>
        </is>
      </c>
      <c r="I707" t="inlineStr">
        <is>
          <t>Partner Referral</t>
        </is>
      </c>
      <c r="J707">
        <f>INDEX('Data - Borrowers'!$B$2:$B$851, MATCH(B707, 'Data - Borrowers'!$A$2:$A$851, 0))</f>
        <v/>
      </c>
      <c r="K707">
        <f>INDEX('Data - Borrowers'!$C$2:$C$851, MATCH(B707, 'Data - Borrowers'!$A$2:$A$851, 0))</f>
        <v/>
      </c>
      <c r="L707">
        <f>IF(D707&lt;100000, "Micro (&lt;100K)", IF(D707&lt;500000, "Small (100K-500K)", "Medium (500K+)"))</f>
        <v/>
      </c>
      <c r="M707">
        <f>TEXT(C707, "yyyy-mm")</f>
        <v/>
      </c>
    </row>
    <row r="708">
      <c r="A708" t="inlineStr">
        <is>
          <t>LN200772</t>
        </is>
      </c>
      <c r="B708" t="inlineStr">
        <is>
          <t>BOR100576</t>
        </is>
      </c>
      <c r="C708" s="8" t="n">
        <v>45890</v>
      </c>
      <c r="D708" s="9" t="n">
        <v>62000</v>
      </c>
      <c r="E708" t="n">
        <v>6</v>
      </c>
      <c r="F708" s="10" t="n">
        <v>0.237</v>
      </c>
      <c r="G708" t="inlineStr">
        <is>
          <t>Working Capital</t>
        </is>
      </c>
      <c r="H708" t="inlineStr">
        <is>
          <t>LO020</t>
        </is>
      </c>
      <c r="I708" t="inlineStr">
        <is>
          <t>Mobile App</t>
        </is>
      </c>
      <c r="J708">
        <f>INDEX('Data - Borrowers'!$B$2:$B$851, MATCH(B708, 'Data - Borrowers'!$A$2:$A$851, 0))</f>
        <v/>
      </c>
      <c r="K708">
        <f>INDEX('Data - Borrowers'!$C$2:$C$851, MATCH(B708, 'Data - Borrowers'!$A$2:$A$851, 0))</f>
        <v/>
      </c>
      <c r="L708">
        <f>IF(D708&lt;100000, "Micro (&lt;100K)", IF(D708&lt;500000, "Small (100K-500K)", "Medium (500K+)"))</f>
        <v/>
      </c>
      <c r="M708">
        <f>TEXT(C708, "yyyy-mm")</f>
        <v/>
      </c>
    </row>
    <row r="709">
      <c r="A709" t="inlineStr">
        <is>
          <t>LN200773</t>
        </is>
      </c>
      <c r="B709" t="inlineStr">
        <is>
          <t>BOR100576</t>
        </is>
      </c>
      <c r="C709" s="8" t="n">
        <v>46229</v>
      </c>
      <c r="D709" s="9" t="n">
        <v>73000</v>
      </c>
      <c r="E709" t="n">
        <v>9</v>
      </c>
      <c r="F709" s="10" t="n">
        <v>0.168</v>
      </c>
      <c r="G709" t="inlineStr">
        <is>
          <t>Working Capital</t>
        </is>
      </c>
      <c r="H709" t="inlineStr">
        <is>
          <t>LO021</t>
        </is>
      </c>
      <c r="I709" t="inlineStr">
        <is>
          <t>Partner Referral</t>
        </is>
      </c>
      <c r="J709">
        <f>INDEX('Data - Borrowers'!$B$2:$B$851, MATCH(B709, 'Data - Borrowers'!$A$2:$A$851, 0))</f>
        <v/>
      </c>
      <c r="K709">
        <f>INDEX('Data - Borrowers'!$C$2:$C$851, MATCH(B709, 'Data - Borrowers'!$A$2:$A$851, 0))</f>
        <v/>
      </c>
      <c r="L709">
        <f>IF(D709&lt;100000, "Micro (&lt;100K)", IF(D709&lt;500000, "Small (100K-500K)", "Medium (500K+)"))</f>
        <v/>
      </c>
      <c r="M709">
        <f>TEXT(C709, "yyyy-mm")</f>
        <v/>
      </c>
    </row>
    <row r="710">
      <c r="A710" t="inlineStr">
        <is>
          <t>LN200774</t>
        </is>
      </c>
      <c r="B710" t="inlineStr">
        <is>
          <t>BOR100577</t>
        </is>
      </c>
      <c r="C710" s="8" t="n">
        <v>45830</v>
      </c>
      <c r="D710" s="9" t="n">
        <v>73000</v>
      </c>
      <c r="E710" t="n">
        <v>12</v>
      </c>
      <c r="F710" s="10" t="n">
        <v>0.216</v>
      </c>
      <c r="G710" t="inlineStr">
        <is>
          <t>Working Capital</t>
        </is>
      </c>
      <c r="H710" t="inlineStr">
        <is>
          <t>LO003</t>
        </is>
      </c>
      <c r="I710" t="inlineStr">
        <is>
          <t>Mobile App</t>
        </is>
      </c>
      <c r="J710">
        <f>INDEX('Data - Borrowers'!$B$2:$B$851, MATCH(B710, 'Data - Borrowers'!$A$2:$A$851, 0))</f>
        <v/>
      </c>
      <c r="K710">
        <f>INDEX('Data - Borrowers'!$C$2:$C$851, MATCH(B710, 'Data - Borrowers'!$A$2:$A$851, 0))</f>
        <v/>
      </c>
      <c r="L710">
        <f>IF(D710&lt;100000, "Micro (&lt;100K)", IF(D710&lt;500000, "Small (100K-500K)", "Medium (500K+)"))</f>
        <v/>
      </c>
      <c r="M710">
        <f>TEXT(C710, "yyyy-mm")</f>
        <v/>
      </c>
    </row>
    <row r="711">
      <c r="A711" t="inlineStr">
        <is>
          <t>LN200775</t>
        </is>
      </c>
      <c r="B711" t="inlineStr">
        <is>
          <t>BOR100578</t>
        </is>
      </c>
      <c r="C711" s="8" t="n">
        <v>45802</v>
      </c>
      <c r="D711" s="9" t="n">
        <v>118000</v>
      </c>
      <c r="E711" t="n">
        <v>9</v>
      </c>
      <c r="F711" s="10" t="n">
        <v>0.182</v>
      </c>
      <c r="G711" t="inlineStr">
        <is>
          <t>Working Capital</t>
        </is>
      </c>
      <c r="H711" t="inlineStr">
        <is>
          <t>LO014</t>
        </is>
      </c>
      <c r="I711" t="inlineStr">
        <is>
          <t>Mobile App</t>
        </is>
      </c>
      <c r="J711">
        <f>INDEX('Data - Borrowers'!$B$2:$B$851, MATCH(B711, 'Data - Borrowers'!$A$2:$A$851, 0))</f>
        <v/>
      </c>
      <c r="K711">
        <f>INDEX('Data - Borrowers'!$C$2:$C$851, MATCH(B711, 'Data - Borrowers'!$A$2:$A$851, 0))</f>
        <v/>
      </c>
      <c r="L711">
        <f>IF(D711&lt;100000, "Micro (&lt;100K)", IF(D711&lt;500000, "Small (100K-500K)", "Medium (500K+)"))</f>
        <v/>
      </c>
      <c r="M711">
        <f>TEXT(C711, "yyyy-mm")</f>
        <v/>
      </c>
    </row>
    <row r="712">
      <c r="A712" t="inlineStr">
        <is>
          <t>LN200776</t>
        </is>
      </c>
      <c r="B712" t="inlineStr">
        <is>
          <t>BOR100578</t>
        </is>
      </c>
      <c r="C712" s="8" t="n">
        <v>46012</v>
      </c>
      <c r="D712" s="9" t="n">
        <v>129000</v>
      </c>
      <c r="E712" t="n">
        <v>9</v>
      </c>
      <c r="F712" s="10" t="n">
        <v>0.204</v>
      </c>
      <c r="G712" t="inlineStr">
        <is>
          <t>Invoice Discounting</t>
        </is>
      </c>
      <c r="H712" t="inlineStr">
        <is>
          <t>LO023</t>
        </is>
      </c>
      <c r="I712" t="inlineStr">
        <is>
          <t>Mobile App</t>
        </is>
      </c>
      <c r="J712">
        <f>INDEX('Data - Borrowers'!$B$2:$B$851, MATCH(B712, 'Data - Borrowers'!$A$2:$A$851, 0))</f>
        <v/>
      </c>
      <c r="K712">
        <f>INDEX('Data - Borrowers'!$C$2:$C$851, MATCH(B712, 'Data - Borrowers'!$A$2:$A$851, 0))</f>
        <v/>
      </c>
      <c r="L712">
        <f>IF(D712&lt;100000, "Micro (&lt;100K)", IF(D712&lt;500000, "Small (100K-500K)", "Medium (500K+)"))</f>
        <v/>
      </c>
      <c r="M712">
        <f>TEXT(C712, "yyyy-mm")</f>
        <v/>
      </c>
    </row>
    <row r="713">
      <c r="A713" t="inlineStr">
        <is>
          <t>LN200777</t>
        </is>
      </c>
      <c r="B713" t="inlineStr">
        <is>
          <t>BOR100579</t>
        </is>
      </c>
      <c r="C713" s="8" t="n">
        <v>46137</v>
      </c>
      <c r="D713" s="9" t="n">
        <v>29000</v>
      </c>
      <c r="E713" t="n">
        <v>3</v>
      </c>
      <c r="F713" s="10" t="n">
        <v>0.196</v>
      </c>
      <c r="G713" t="inlineStr">
        <is>
          <t>Asset Finance</t>
        </is>
      </c>
      <c r="H713" t="inlineStr">
        <is>
          <t>LO003</t>
        </is>
      </c>
      <c r="I713" t="inlineStr">
        <is>
          <t>Branch</t>
        </is>
      </c>
      <c r="J713">
        <f>INDEX('Data - Borrowers'!$B$2:$B$851, MATCH(B713, 'Data - Borrowers'!$A$2:$A$851, 0))</f>
        <v/>
      </c>
      <c r="K713">
        <f>INDEX('Data - Borrowers'!$C$2:$C$851, MATCH(B713, 'Data - Borrowers'!$A$2:$A$851, 0))</f>
        <v/>
      </c>
      <c r="L713">
        <f>IF(D713&lt;100000, "Micro (&lt;100K)", IF(D713&lt;500000, "Small (100K-500K)", "Medium (500K+)"))</f>
        <v/>
      </c>
      <c r="M713">
        <f>TEXT(C713, "yyyy-mm")</f>
        <v/>
      </c>
    </row>
    <row r="714">
      <c r="A714" t="inlineStr">
        <is>
          <t>LN200778</t>
        </is>
      </c>
      <c r="B714" t="inlineStr">
        <is>
          <t>BOR100580</t>
        </is>
      </c>
      <c r="C714" s="8" t="n">
        <v>46160</v>
      </c>
      <c r="D714" s="9" t="n">
        <v>53000</v>
      </c>
      <c r="E714" t="n">
        <v>3</v>
      </c>
      <c r="F714" s="10" t="n">
        <v>0.237</v>
      </c>
      <c r="G714" t="inlineStr">
        <is>
          <t>Invoice Discounting</t>
        </is>
      </c>
      <c r="H714" t="inlineStr">
        <is>
          <t>LO020</t>
        </is>
      </c>
      <c r="I714" t="inlineStr">
        <is>
          <t>Partner Referral</t>
        </is>
      </c>
      <c r="J714">
        <f>INDEX('Data - Borrowers'!$B$2:$B$851, MATCH(B714, 'Data - Borrowers'!$A$2:$A$851, 0))</f>
        <v/>
      </c>
      <c r="K714">
        <f>INDEX('Data - Borrowers'!$C$2:$C$851, MATCH(B714, 'Data - Borrowers'!$A$2:$A$851, 0))</f>
        <v/>
      </c>
      <c r="L714">
        <f>IF(D714&lt;100000, "Micro (&lt;100K)", IF(D714&lt;500000, "Small (100K-500K)", "Medium (500K+)"))</f>
        <v/>
      </c>
      <c r="M714">
        <f>TEXT(C714, "yyyy-mm")</f>
        <v/>
      </c>
    </row>
    <row r="715">
      <c r="A715" t="inlineStr">
        <is>
          <t>LN200779</t>
        </is>
      </c>
      <c r="B715" t="inlineStr">
        <is>
          <t>BOR100581</t>
        </is>
      </c>
      <c r="C715" s="8" t="n">
        <v>46103</v>
      </c>
      <c r="D715" s="9" t="n">
        <v>183000</v>
      </c>
      <c r="E715" t="n">
        <v>6</v>
      </c>
      <c r="F715" s="10" t="n">
        <v>0.234</v>
      </c>
      <c r="G715" t="inlineStr">
        <is>
          <t>Asset Finance</t>
        </is>
      </c>
      <c r="H715" t="inlineStr">
        <is>
          <t>LO013</t>
        </is>
      </c>
      <c r="I715" t="inlineStr">
        <is>
          <t>Mobile App</t>
        </is>
      </c>
      <c r="J715">
        <f>INDEX('Data - Borrowers'!$B$2:$B$851, MATCH(B715, 'Data - Borrowers'!$A$2:$A$851, 0))</f>
        <v/>
      </c>
      <c r="K715">
        <f>INDEX('Data - Borrowers'!$C$2:$C$851, MATCH(B715, 'Data - Borrowers'!$A$2:$A$851, 0))</f>
        <v/>
      </c>
      <c r="L715">
        <f>IF(D715&lt;100000, "Micro (&lt;100K)", IF(D715&lt;500000, "Small (100K-500K)", "Medium (500K+)"))</f>
        <v/>
      </c>
      <c r="M715">
        <f>TEXT(C715, "yyyy-mm")</f>
        <v/>
      </c>
    </row>
    <row r="716">
      <c r="A716" t="inlineStr">
        <is>
          <t>LN200781</t>
        </is>
      </c>
      <c r="B716" t="inlineStr">
        <is>
          <t>BOR100582</t>
        </is>
      </c>
      <c r="C716" s="8" t="n">
        <v>45910</v>
      </c>
      <c r="D716" s="9" t="n">
        <v>22000</v>
      </c>
      <c r="E716" t="n">
        <v>12</v>
      </c>
      <c r="F716" s="10" t="n">
        <v>0.172</v>
      </c>
      <c r="G716" t="inlineStr">
        <is>
          <t>Working Capital</t>
        </is>
      </c>
      <c r="H716" t="inlineStr">
        <is>
          <t>LO008</t>
        </is>
      </c>
      <c r="I716" t="inlineStr">
        <is>
          <t>Partner Referral</t>
        </is>
      </c>
      <c r="J716">
        <f>INDEX('Data - Borrowers'!$B$2:$B$851, MATCH(B716, 'Data - Borrowers'!$A$2:$A$851, 0))</f>
        <v/>
      </c>
      <c r="K716">
        <f>INDEX('Data - Borrowers'!$C$2:$C$851, MATCH(B716, 'Data - Borrowers'!$A$2:$A$851, 0))</f>
        <v/>
      </c>
      <c r="L716">
        <f>IF(D716&lt;100000, "Micro (&lt;100K)", IF(D716&lt;500000, "Small (100K-500K)", "Medium (500K+)"))</f>
        <v/>
      </c>
      <c r="M716">
        <f>TEXT(C716, "yyyy-mm")</f>
        <v/>
      </c>
    </row>
    <row r="717">
      <c r="A717" t="inlineStr">
        <is>
          <t>LN200782</t>
        </is>
      </c>
      <c r="B717" t="inlineStr">
        <is>
          <t>BOR100583</t>
        </is>
      </c>
      <c r="C717" s="8" t="n">
        <v>45825</v>
      </c>
      <c r="D717" s="9" t="n">
        <v>24000</v>
      </c>
      <c r="E717" t="n">
        <v>3</v>
      </c>
      <c r="F717" s="10" t="n">
        <v>0.131</v>
      </c>
      <c r="G717" t="inlineStr">
        <is>
          <t>Working Capital</t>
        </is>
      </c>
      <c r="H717" t="inlineStr">
        <is>
          <t>LO012</t>
        </is>
      </c>
      <c r="I717" t="inlineStr">
        <is>
          <t>Mobile App</t>
        </is>
      </c>
      <c r="J717">
        <f>INDEX('Data - Borrowers'!$B$2:$B$851, MATCH(B717, 'Data - Borrowers'!$A$2:$A$851, 0))</f>
        <v/>
      </c>
      <c r="K717">
        <f>INDEX('Data - Borrowers'!$C$2:$C$851, MATCH(B717, 'Data - Borrowers'!$A$2:$A$851, 0))</f>
        <v/>
      </c>
      <c r="L717">
        <f>IF(D717&lt;100000, "Micro (&lt;100K)", IF(D717&lt;500000, "Small (100K-500K)", "Medium (500K+)"))</f>
        <v/>
      </c>
      <c r="M717">
        <f>TEXT(C717, "yyyy-mm")</f>
        <v/>
      </c>
    </row>
    <row r="718">
      <c r="A718" t="inlineStr">
        <is>
          <t>LN200783</t>
        </is>
      </c>
      <c r="B718" t="inlineStr">
        <is>
          <t>BOR100584</t>
        </is>
      </c>
      <c r="C718" s="8" t="n">
        <v>45791</v>
      </c>
      <c r="D718" s="9" t="n">
        <v>101000</v>
      </c>
      <c r="E718" t="n">
        <v>18</v>
      </c>
      <c r="F718" s="10" t="n">
        <v>0.166</v>
      </c>
      <c r="G718" t="inlineStr">
        <is>
          <t>Working Capital</t>
        </is>
      </c>
      <c r="H718" t="inlineStr">
        <is>
          <t>LO008</t>
        </is>
      </c>
      <c r="I718" t="inlineStr">
        <is>
          <t>Partner Referral</t>
        </is>
      </c>
      <c r="J718">
        <f>INDEX('Data - Borrowers'!$B$2:$B$851, MATCH(B718, 'Data - Borrowers'!$A$2:$A$851, 0))</f>
        <v/>
      </c>
      <c r="K718">
        <f>INDEX('Data - Borrowers'!$C$2:$C$851, MATCH(B718, 'Data - Borrowers'!$A$2:$A$851, 0))</f>
        <v/>
      </c>
      <c r="L718">
        <f>IF(D718&lt;100000, "Micro (&lt;100K)", IF(D718&lt;500000, "Small (100K-500K)", "Medium (500K+)"))</f>
        <v/>
      </c>
      <c r="M718">
        <f>TEXT(C718, "yyyy-mm")</f>
        <v/>
      </c>
    </row>
    <row r="719">
      <c r="A719" t="inlineStr">
        <is>
          <t>LN200784</t>
        </is>
      </c>
      <c r="B719" t="inlineStr">
        <is>
          <t>BOR100585</t>
        </is>
      </c>
      <c r="C719" s="8" t="n">
        <v>45941</v>
      </c>
      <c r="D719" s="9" t="n">
        <v>89000</v>
      </c>
      <c r="E719" t="n">
        <v>9</v>
      </c>
      <c r="F719" s="10" t="n">
        <v>0.208</v>
      </c>
      <c r="G719" t="inlineStr">
        <is>
          <t>Invoice Discounting</t>
        </is>
      </c>
      <c r="H719" t="inlineStr">
        <is>
          <t>LO013</t>
        </is>
      </c>
      <c r="I719" t="inlineStr">
        <is>
          <t>Branch</t>
        </is>
      </c>
      <c r="J719">
        <f>INDEX('Data - Borrowers'!$B$2:$B$851, MATCH(B719, 'Data - Borrowers'!$A$2:$A$851, 0))</f>
        <v/>
      </c>
      <c r="K719">
        <f>INDEX('Data - Borrowers'!$C$2:$C$851, MATCH(B719, 'Data - Borrowers'!$A$2:$A$851, 0))</f>
        <v/>
      </c>
      <c r="L719">
        <f>IF(D719&lt;100000, "Micro (&lt;100K)", IF(D719&lt;500000, "Small (100K-500K)", "Medium (500K+)"))</f>
        <v/>
      </c>
      <c r="M719">
        <f>TEXT(C719, "yyyy-mm")</f>
        <v/>
      </c>
    </row>
    <row r="720">
      <c r="A720" t="inlineStr">
        <is>
          <t>LN200785</t>
        </is>
      </c>
      <c r="B720" t="inlineStr">
        <is>
          <t>BOR100586</t>
        </is>
      </c>
      <c r="C720" s="8" t="n">
        <v>46210</v>
      </c>
      <c r="D720" s="9" t="n">
        <v>50000</v>
      </c>
      <c r="E720" t="n">
        <v>12</v>
      </c>
      <c r="F720" s="10" t="n">
        <v>0.137</v>
      </c>
      <c r="G720" t="inlineStr">
        <is>
          <t>Working Capital</t>
        </is>
      </c>
      <c r="H720" t="inlineStr">
        <is>
          <t>LO002</t>
        </is>
      </c>
      <c r="I720" t="inlineStr">
        <is>
          <t>Branch</t>
        </is>
      </c>
      <c r="J720">
        <f>INDEX('Data - Borrowers'!$B$2:$B$851, MATCH(B720, 'Data - Borrowers'!$A$2:$A$851, 0))</f>
        <v/>
      </c>
      <c r="K720">
        <f>INDEX('Data - Borrowers'!$C$2:$C$851, MATCH(B720, 'Data - Borrowers'!$A$2:$A$851, 0))</f>
        <v/>
      </c>
      <c r="L720">
        <f>IF(D720&lt;100000, "Micro (&lt;100K)", IF(D720&lt;500000, "Small (100K-500K)", "Medium (500K+)"))</f>
        <v/>
      </c>
      <c r="M720">
        <f>TEXT(C720, "yyyy-mm")</f>
        <v/>
      </c>
    </row>
    <row r="721">
      <c r="A721" t="inlineStr">
        <is>
          <t>LN200786</t>
        </is>
      </c>
      <c r="B721" t="inlineStr">
        <is>
          <t>BOR100587</t>
        </is>
      </c>
      <c r="C721" s="8" t="n">
        <v>46100</v>
      </c>
      <c r="D721" s="9" t="n">
        <v>40000</v>
      </c>
      <c r="E721" t="n">
        <v>6</v>
      </c>
      <c r="F721" s="10" t="n">
        <v>0.177</v>
      </c>
      <c r="G721" t="inlineStr">
        <is>
          <t>Working Capital</t>
        </is>
      </c>
      <c r="H721" t="inlineStr">
        <is>
          <t>LO001</t>
        </is>
      </c>
      <c r="I721" t="inlineStr">
        <is>
          <t>Partner Referral</t>
        </is>
      </c>
      <c r="J721">
        <f>INDEX('Data - Borrowers'!$B$2:$B$851, MATCH(B721, 'Data - Borrowers'!$A$2:$A$851, 0))</f>
        <v/>
      </c>
      <c r="K721">
        <f>INDEX('Data - Borrowers'!$C$2:$C$851, MATCH(B721, 'Data - Borrowers'!$A$2:$A$851, 0))</f>
        <v/>
      </c>
      <c r="L721">
        <f>IF(D721&lt;100000, "Micro (&lt;100K)", IF(D721&lt;500000, "Small (100K-500K)", "Medium (500K+)"))</f>
        <v/>
      </c>
      <c r="M721">
        <f>TEXT(C721, "yyyy-mm")</f>
        <v/>
      </c>
    </row>
    <row r="722">
      <c r="A722" t="inlineStr">
        <is>
          <t>LN200787</t>
        </is>
      </c>
      <c r="B722" t="inlineStr">
        <is>
          <t>BOR100587</t>
        </is>
      </c>
      <c r="C722" s="8" t="n">
        <v>46213</v>
      </c>
      <c r="D722" s="9" t="n">
        <v>26000</v>
      </c>
      <c r="E722" t="n">
        <v>6</v>
      </c>
      <c r="F722" s="10" t="n">
        <v>0.179</v>
      </c>
      <c r="G722" t="inlineStr">
        <is>
          <t>Working Capital</t>
        </is>
      </c>
      <c r="H722" t="inlineStr">
        <is>
          <t>LO002</t>
        </is>
      </c>
      <c r="I722" t="inlineStr">
        <is>
          <t>Mobile App</t>
        </is>
      </c>
      <c r="J722">
        <f>INDEX('Data - Borrowers'!$B$2:$B$851, MATCH(B722, 'Data - Borrowers'!$A$2:$A$851, 0))</f>
        <v/>
      </c>
      <c r="K722">
        <f>INDEX('Data - Borrowers'!$C$2:$C$851, MATCH(B722, 'Data - Borrowers'!$A$2:$A$851, 0))</f>
        <v/>
      </c>
      <c r="L722">
        <f>IF(D722&lt;100000, "Micro (&lt;100K)", IF(D722&lt;500000, "Small (100K-500K)", "Medium (500K+)"))</f>
        <v/>
      </c>
      <c r="M722">
        <f>TEXT(C722, "yyyy-mm")</f>
        <v/>
      </c>
    </row>
    <row r="723">
      <c r="A723" t="inlineStr">
        <is>
          <t>LN200788</t>
        </is>
      </c>
      <c r="B723" t="inlineStr">
        <is>
          <t>BOR100588</t>
        </is>
      </c>
      <c r="C723" s="8" t="n">
        <v>46114</v>
      </c>
      <c r="D723" s="9" t="n">
        <v>49000</v>
      </c>
      <c r="E723" t="n">
        <v>9</v>
      </c>
      <c r="F723" s="10" t="n">
        <v>0.185</v>
      </c>
      <c r="G723" t="inlineStr">
        <is>
          <t>Working Capital</t>
        </is>
      </c>
      <c r="H723" t="inlineStr">
        <is>
          <t>LO001</t>
        </is>
      </c>
      <c r="I723" t="inlineStr">
        <is>
          <t>Partner Referral</t>
        </is>
      </c>
      <c r="J723">
        <f>INDEX('Data - Borrowers'!$B$2:$B$851, MATCH(B723, 'Data - Borrowers'!$A$2:$A$851, 0))</f>
        <v/>
      </c>
      <c r="K723">
        <f>INDEX('Data - Borrowers'!$C$2:$C$851, MATCH(B723, 'Data - Borrowers'!$A$2:$A$851, 0))</f>
        <v/>
      </c>
      <c r="L723">
        <f>IF(D723&lt;100000, "Micro (&lt;100K)", IF(D723&lt;500000, "Small (100K-500K)", "Medium (500K+)"))</f>
        <v/>
      </c>
      <c r="M723">
        <f>TEXT(C723, "yyyy-mm")</f>
        <v/>
      </c>
    </row>
    <row r="724">
      <c r="A724" t="inlineStr">
        <is>
          <t>LN200789</t>
        </is>
      </c>
      <c r="B724" t="inlineStr">
        <is>
          <t>BOR100588</t>
        </is>
      </c>
      <c r="C724" s="8" t="n">
        <v>46228</v>
      </c>
      <c r="D724" s="9" t="n">
        <v>33000</v>
      </c>
      <c r="E724" t="n">
        <v>12</v>
      </c>
      <c r="F724" s="10" t="n">
        <v>0.18</v>
      </c>
      <c r="G724" t="inlineStr">
        <is>
          <t>Invoice Discounting</t>
        </is>
      </c>
      <c r="H724" t="inlineStr">
        <is>
          <t>LO023</t>
        </is>
      </c>
      <c r="I724" t="inlineStr">
        <is>
          <t>Mobile App</t>
        </is>
      </c>
      <c r="J724">
        <f>INDEX('Data - Borrowers'!$B$2:$B$851, MATCH(B724, 'Data - Borrowers'!$A$2:$A$851, 0))</f>
        <v/>
      </c>
      <c r="K724">
        <f>INDEX('Data - Borrowers'!$C$2:$C$851, MATCH(B724, 'Data - Borrowers'!$A$2:$A$851, 0))</f>
        <v/>
      </c>
      <c r="L724">
        <f>IF(D724&lt;100000, "Micro (&lt;100K)", IF(D724&lt;500000, "Small (100K-500K)", "Medium (500K+)"))</f>
        <v/>
      </c>
      <c r="M724">
        <f>TEXT(C724, "yyyy-mm")</f>
        <v/>
      </c>
    </row>
    <row r="725">
      <c r="A725" t="inlineStr">
        <is>
          <t>LN200790</t>
        </is>
      </c>
      <c r="B725" t="inlineStr">
        <is>
          <t>BOR100589</t>
        </is>
      </c>
      <c r="C725" s="8" t="n">
        <v>46215</v>
      </c>
      <c r="D725" s="9" t="n">
        <v>46000</v>
      </c>
      <c r="E725" t="n">
        <v>9</v>
      </c>
      <c r="F725" s="10" t="n">
        <v>0.208</v>
      </c>
      <c r="G725" t="inlineStr">
        <is>
          <t>Working Capital</t>
        </is>
      </c>
      <c r="H725" t="inlineStr">
        <is>
          <t>LO005</t>
        </is>
      </c>
      <c r="I725" t="inlineStr">
        <is>
          <t>Mobile App</t>
        </is>
      </c>
      <c r="J725">
        <f>INDEX('Data - Borrowers'!$B$2:$B$851, MATCH(B725, 'Data - Borrowers'!$A$2:$A$851, 0))</f>
        <v/>
      </c>
      <c r="K725">
        <f>INDEX('Data - Borrowers'!$C$2:$C$851, MATCH(B725, 'Data - Borrowers'!$A$2:$A$851, 0))</f>
        <v/>
      </c>
      <c r="L725">
        <f>IF(D725&lt;100000, "Micro (&lt;100K)", IF(D725&lt;500000, "Small (100K-500K)", "Medium (500K+)"))</f>
        <v/>
      </c>
      <c r="M725">
        <f>TEXT(C725, "yyyy-mm")</f>
        <v/>
      </c>
    </row>
    <row r="726">
      <c r="A726" t="inlineStr">
        <is>
          <t>LN200792</t>
        </is>
      </c>
      <c r="B726" t="inlineStr">
        <is>
          <t>BOR100590</t>
        </is>
      </c>
      <c r="C726" s="8" t="n">
        <v>46040</v>
      </c>
      <c r="D726" s="9" t="n">
        <v>97000</v>
      </c>
      <c r="E726" t="n">
        <v>3</v>
      </c>
      <c r="F726" s="10" t="n">
        <v>0.125</v>
      </c>
      <c r="G726" t="inlineStr">
        <is>
          <t>Asset Finance</t>
        </is>
      </c>
      <c r="H726" t="inlineStr">
        <is>
          <t>LO019</t>
        </is>
      </c>
      <c r="I726" t="inlineStr">
        <is>
          <t>Branch</t>
        </is>
      </c>
      <c r="J726">
        <f>INDEX('Data - Borrowers'!$B$2:$B$851, MATCH(B726, 'Data - Borrowers'!$A$2:$A$851, 0))</f>
        <v/>
      </c>
      <c r="K726">
        <f>INDEX('Data - Borrowers'!$C$2:$C$851, MATCH(B726, 'Data - Borrowers'!$A$2:$A$851, 0))</f>
        <v/>
      </c>
      <c r="L726">
        <f>IF(D726&lt;100000, "Micro (&lt;100K)", IF(D726&lt;500000, "Small (100K-500K)", "Medium (500K+)"))</f>
        <v/>
      </c>
      <c r="M726">
        <f>TEXT(C726, "yyyy-mm")</f>
        <v/>
      </c>
    </row>
    <row r="727">
      <c r="A727" t="inlineStr">
        <is>
          <t>LN200793</t>
        </is>
      </c>
      <c r="B727" t="inlineStr">
        <is>
          <t>BOR100590</t>
        </is>
      </c>
      <c r="C727" s="8" t="n">
        <v>46234</v>
      </c>
      <c r="D727" s="9" t="n">
        <v>349000</v>
      </c>
      <c r="E727" t="n">
        <v>3</v>
      </c>
      <c r="F727" s="10" t="n">
        <v>0.134</v>
      </c>
      <c r="G727" t="inlineStr">
        <is>
          <t>Working Capital</t>
        </is>
      </c>
      <c r="H727" t="inlineStr">
        <is>
          <t>LO009</t>
        </is>
      </c>
      <c r="I727" t="inlineStr">
        <is>
          <t>Mobile App</t>
        </is>
      </c>
      <c r="J727">
        <f>INDEX('Data - Borrowers'!$B$2:$B$851, MATCH(B727, 'Data - Borrowers'!$A$2:$A$851, 0))</f>
        <v/>
      </c>
      <c r="K727">
        <f>INDEX('Data - Borrowers'!$C$2:$C$851, MATCH(B727, 'Data - Borrowers'!$A$2:$A$851, 0))</f>
        <v/>
      </c>
      <c r="L727">
        <f>IF(D727&lt;100000, "Micro (&lt;100K)", IF(D727&lt;500000, "Small (100K-500K)", "Medium (500K+)"))</f>
        <v/>
      </c>
      <c r="M727">
        <f>TEXT(C727, "yyyy-mm")</f>
        <v/>
      </c>
    </row>
    <row r="728">
      <c r="A728" t="inlineStr">
        <is>
          <t>LN200794</t>
        </is>
      </c>
      <c r="B728" t="inlineStr">
        <is>
          <t>BOR100591</t>
        </is>
      </c>
      <c r="C728" s="8" t="n">
        <v>46113</v>
      </c>
      <c r="D728" s="9" t="n">
        <v>59000</v>
      </c>
      <c r="E728" t="n">
        <v>3</v>
      </c>
      <c r="F728" s="10" t="n">
        <v>0.195</v>
      </c>
      <c r="G728" t="inlineStr">
        <is>
          <t>Invoice Discounting</t>
        </is>
      </c>
      <c r="H728" t="inlineStr">
        <is>
          <t>LO001</t>
        </is>
      </c>
      <c r="I728" t="inlineStr">
        <is>
          <t>Partner Referral</t>
        </is>
      </c>
      <c r="J728">
        <f>INDEX('Data - Borrowers'!$B$2:$B$851, MATCH(B728, 'Data - Borrowers'!$A$2:$A$851, 0))</f>
        <v/>
      </c>
      <c r="K728">
        <f>INDEX('Data - Borrowers'!$C$2:$C$851, MATCH(B728, 'Data - Borrowers'!$A$2:$A$851, 0))</f>
        <v/>
      </c>
      <c r="L728">
        <f>IF(D728&lt;100000, "Micro (&lt;100K)", IF(D728&lt;500000, "Small (100K-500K)", "Medium (500K+)"))</f>
        <v/>
      </c>
      <c r="M728">
        <f>TEXT(C728, "yyyy-mm")</f>
        <v/>
      </c>
    </row>
    <row r="729">
      <c r="A729" t="inlineStr">
        <is>
          <t>LN200795</t>
        </is>
      </c>
      <c r="B729" t="inlineStr">
        <is>
          <t>BOR100592</t>
        </is>
      </c>
      <c r="C729" s="8" t="n">
        <v>46176</v>
      </c>
      <c r="D729" s="9" t="n">
        <v>117000</v>
      </c>
      <c r="E729" t="n">
        <v>6</v>
      </c>
      <c r="F729" s="10" t="n">
        <v>0.188</v>
      </c>
      <c r="G729" t="inlineStr">
        <is>
          <t>Working Capital</t>
        </is>
      </c>
      <c r="H729" t="inlineStr">
        <is>
          <t>LO020</t>
        </is>
      </c>
      <c r="I729" t="inlineStr">
        <is>
          <t>Branch</t>
        </is>
      </c>
      <c r="J729">
        <f>INDEX('Data - Borrowers'!$B$2:$B$851, MATCH(B729, 'Data - Borrowers'!$A$2:$A$851, 0))</f>
        <v/>
      </c>
      <c r="K729">
        <f>INDEX('Data - Borrowers'!$C$2:$C$851, MATCH(B729, 'Data - Borrowers'!$A$2:$A$851, 0))</f>
        <v/>
      </c>
      <c r="L729">
        <f>IF(D729&lt;100000, "Micro (&lt;100K)", IF(D729&lt;500000, "Small (100K-500K)", "Medium (500K+)"))</f>
        <v/>
      </c>
      <c r="M729">
        <f>TEXT(C729, "yyyy-mm")</f>
        <v/>
      </c>
    </row>
    <row r="730">
      <c r="A730" t="inlineStr">
        <is>
          <t>LN200796</t>
        </is>
      </c>
      <c r="B730" t="inlineStr">
        <is>
          <t>BOR100593</t>
        </is>
      </c>
      <c r="C730" s="8" t="n">
        <v>46230</v>
      </c>
      <c r="D730" s="9" t="n">
        <v>142000</v>
      </c>
      <c r="E730" t="n">
        <v>3</v>
      </c>
      <c r="F730" s="10" t="n">
        <v>0.12</v>
      </c>
      <c r="G730" t="inlineStr">
        <is>
          <t>Working Capital</t>
        </is>
      </c>
      <c r="H730" t="inlineStr">
        <is>
          <t>LO007</t>
        </is>
      </c>
      <c r="I730" t="inlineStr">
        <is>
          <t>Branch</t>
        </is>
      </c>
      <c r="J730">
        <f>INDEX('Data - Borrowers'!$B$2:$B$851, MATCH(B730, 'Data - Borrowers'!$A$2:$A$851, 0))</f>
        <v/>
      </c>
      <c r="K730">
        <f>INDEX('Data - Borrowers'!$C$2:$C$851, MATCH(B730, 'Data - Borrowers'!$A$2:$A$851, 0))</f>
        <v/>
      </c>
      <c r="L730">
        <f>IF(D730&lt;100000, "Micro (&lt;100K)", IF(D730&lt;500000, "Small (100K-500K)", "Medium (500K+)"))</f>
        <v/>
      </c>
      <c r="M730">
        <f>TEXT(C730, "yyyy-mm")</f>
        <v/>
      </c>
    </row>
    <row r="731">
      <c r="A731" t="inlineStr">
        <is>
          <t>LN200797</t>
        </is>
      </c>
      <c r="B731" t="inlineStr">
        <is>
          <t>BOR100594</t>
        </is>
      </c>
      <c r="C731" s="8" t="n">
        <v>45818</v>
      </c>
      <c r="D731" s="9" t="n">
        <v>20000</v>
      </c>
      <c r="E731" t="n">
        <v>3</v>
      </c>
      <c r="F731" s="10" t="n">
        <v>0.204</v>
      </c>
      <c r="G731" t="inlineStr">
        <is>
          <t>Asset Finance</t>
        </is>
      </c>
      <c r="H731" t="inlineStr">
        <is>
          <t>LO015</t>
        </is>
      </c>
      <c r="I731" t="inlineStr">
        <is>
          <t>Partner Referral</t>
        </is>
      </c>
      <c r="J731">
        <f>INDEX('Data - Borrowers'!$B$2:$B$851, MATCH(B731, 'Data - Borrowers'!$A$2:$A$851, 0))</f>
        <v/>
      </c>
      <c r="K731">
        <f>INDEX('Data - Borrowers'!$C$2:$C$851, MATCH(B731, 'Data - Borrowers'!$A$2:$A$851, 0))</f>
        <v/>
      </c>
      <c r="L731">
        <f>IF(D731&lt;100000, "Micro (&lt;100K)", IF(D731&lt;500000, "Small (100K-500K)", "Medium (500K+)"))</f>
        <v/>
      </c>
      <c r="M731">
        <f>TEXT(C731, "yyyy-mm")</f>
        <v/>
      </c>
    </row>
    <row r="732">
      <c r="A732" t="inlineStr">
        <is>
          <t>LN200798</t>
        </is>
      </c>
      <c r="B732" t="inlineStr">
        <is>
          <t>BOR100594</t>
        </is>
      </c>
      <c r="C732" s="8" t="n">
        <v>46147</v>
      </c>
      <c r="D732" s="9" t="n">
        <v>26000</v>
      </c>
      <c r="E732" t="n">
        <v>9</v>
      </c>
      <c r="F732" s="10" t="n">
        <v>0.207</v>
      </c>
      <c r="G732" t="inlineStr">
        <is>
          <t>Asset Finance</t>
        </is>
      </c>
      <c r="H732" t="inlineStr">
        <is>
          <t>LO022</t>
        </is>
      </c>
      <c r="I732" t="inlineStr">
        <is>
          <t>Mobile App</t>
        </is>
      </c>
      <c r="J732">
        <f>INDEX('Data - Borrowers'!$B$2:$B$851, MATCH(B732, 'Data - Borrowers'!$A$2:$A$851, 0))</f>
        <v/>
      </c>
      <c r="K732">
        <f>INDEX('Data - Borrowers'!$C$2:$C$851, MATCH(B732, 'Data - Borrowers'!$A$2:$A$851, 0))</f>
        <v/>
      </c>
      <c r="L732">
        <f>IF(D732&lt;100000, "Micro (&lt;100K)", IF(D732&lt;500000, "Small (100K-500K)", "Medium (500K+)"))</f>
        <v/>
      </c>
      <c r="M732">
        <f>TEXT(C732, "yyyy-mm")</f>
        <v/>
      </c>
    </row>
    <row r="733">
      <c r="A733" t="inlineStr">
        <is>
          <t>LN200799</t>
        </is>
      </c>
      <c r="B733" t="inlineStr">
        <is>
          <t>BOR100595</t>
        </is>
      </c>
      <c r="C733" s="8" t="n">
        <v>46084</v>
      </c>
      <c r="D733" s="9" t="n">
        <v>271000</v>
      </c>
      <c r="E733" t="n">
        <v>6</v>
      </c>
      <c r="F733" s="10" t="n">
        <v>0.16</v>
      </c>
      <c r="G733" t="inlineStr">
        <is>
          <t>Working Capital</t>
        </is>
      </c>
      <c r="H733" t="inlineStr">
        <is>
          <t>LO018</t>
        </is>
      </c>
      <c r="I733" t="inlineStr">
        <is>
          <t>Branch</t>
        </is>
      </c>
      <c r="J733">
        <f>INDEX('Data - Borrowers'!$B$2:$B$851, MATCH(B733, 'Data - Borrowers'!$A$2:$A$851, 0))</f>
        <v/>
      </c>
      <c r="K733">
        <f>INDEX('Data - Borrowers'!$C$2:$C$851, MATCH(B733, 'Data - Borrowers'!$A$2:$A$851, 0))</f>
        <v/>
      </c>
      <c r="L733">
        <f>IF(D733&lt;100000, "Micro (&lt;100K)", IF(D733&lt;500000, "Small (100K-500K)", "Medium (500K+)"))</f>
        <v/>
      </c>
      <c r="M733">
        <f>TEXT(C733, "yyyy-mm")</f>
        <v/>
      </c>
    </row>
    <row r="734">
      <c r="A734" t="inlineStr">
        <is>
          <t>LN200800</t>
        </is>
      </c>
      <c r="B734" t="inlineStr">
        <is>
          <t>BOR100596</t>
        </is>
      </c>
      <c r="C734" s="8" t="n">
        <v>45817</v>
      </c>
      <c r="D734" s="9" t="n">
        <v>36000</v>
      </c>
      <c r="E734" t="n">
        <v>3</v>
      </c>
      <c r="F734" s="10" t="n">
        <v>0.168</v>
      </c>
      <c r="G734" t="inlineStr">
        <is>
          <t>Invoice Discounting</t>
        </is>
      </c>
      <c r="H734" t="inlineStr">
        <is>
          <t>LO025</t>
        </is>
      </c>
      <c r="I734" t="inlineStr">
        <is>
          <t>Mobile App</t>
        </is>
      </c>
      <c r="J734">
        <f>INDEX('Data - Borrowers'!$B$2:$B$851, MATCH(B734, 'Data - Borrowers'!$A$2:$A$851, 0))</f>
        <v/>
      </c>
      <c r="K734">
        <f>INDEX('Data - Borrowers'!$C$2:$C$851, MATCH(B734, 'Data - Borrowers'!$A$2:$A$851, 0))</f>
        <v/>
      </c>
      <c r="L734">
        <f>IF(D734&lt;100000, "Micro (&lt;100K)", IF(D734&lt;500000, "Small (100K-500K)", "Medium (500K+)"))</f>
        <v/>
      </c>
      <c r="M734">
        <f>TEXT(C734, "yyyy-mm")</f>
        <v/>
      </c>
    </row>
    <row r="735">
      <c r="A735" t="inlineStr">
        <is>
          <t>LN200801</t>
        </is>
      </c>
      <c r="B735" t="inlineStr">
        <is>
          <t>BOR100597</t>
        </is>
      </c>
      <c r="C735" s="8" t="n">
        <v>45831</v>
      </c>
      <c r="D735" s="9" t="n">
        <v>169000</v>
      </c>
      <c r="E735" t="n">
        <v>6</v>
      </c>
      <c r="F735" s="10" t="n">
        <v>0.126</v>
      </c>
      <c r="G735" t="inlineStr">
        <is>
          <t>Working Capital</t>
        </is>
      </c>
      <c r="H735" t="inlineStr">
        <is>
          <t>LO022</t>
        </is>
      </c>
      <c r="I735" t="inlineStr">
        <is>
          <t>Mobile App</t>
        </is>
      </c>
      <c r="J735">
        <f>INDEX('Data - Borrowers'!$B$2:$B$851, MATCH(B735, 'Data - Borrowers'!$A$2:$A$851, 0))</f>
        <v/>
      </c>
      <c r="K735">
        <f>INDEX('Data - Borrowers'!$C$2:$C$851, MATCH(B735, 'Data - Borrowers'!$A$2:$A$851, 0))</f>
        <v/>
      </c>
      <c r="L735">
        <f>IF(D735&lt;100000, "Micro (&lt;100K)", IF(D735&lt;500000, "Small (100K-500K)", "Medium (500K+)"))</f>
        <v/>
      </c>
      <c r="M735">
        <f>TEXT(C735, "yyyy-mm")</f>
        <v/>
      </c>
    </row>
    <row r="736">
      <c r="A736" t="inlineStr">
        <is>
          <t>LN200802</t>
        </is>
      </c>
      <c r="B736" t="inlineStr">
        <is>
          <t>BOR100598</t>
        </is>
      </c>
      <c r="C736" s="8" t="n">
        <v>45882</v>
      </c>
      <c r="D736" s="9" t="n">
        <v>178000</v>
      </c>
      <c r="E736" t="n">
        <v>18</v>
      </c>
      <c r="F736" s="10" t="n">
        <v>0.158</v>
      </c>
      <c r="G736" t="inlineStr">
        <is>
          <t>Asset Finance</t>
        </is>
      </c>
      <c r="H736" t="inlineStr">
        <is>
          <t>LO011</t>
        </is>
      </c>
      <c r="I736" t="inlineStr">
        <is>
          <t>Mobile App</t>
        </is>
      </c>
      <c r="J736">
        <f>INDEX('Data - Borrowers'!$B$2:$B$851, MATCH(B736, 'Data - Borrowers'!$A$2:$A$851, 0))</f>
        <v/>
      </c>
      <c r="K736">
        <f>INDEX('Data - Borrowers'!$C$2:$C$851, MATCH(B736, 'Data - Borrowers'!$A$2:$A$851, 0))</f>
        <v/>
      </c>
      <c r="L736">
        <f>IF(D736&lt;100000, "Micro (&lt;100K)", IF(D736&lt;500000, "Small (100K-500K)", "Medium (500K+)"))</f>
        <v/>
      </c>
      <c r="M736">
        <f>TEXT(C736, "yyyy-mm")</f>
        <v/>
      </c>
    </row>
    <row r="737">
      <c r="A737" t="inlineStr">
        <is>
          <t>LN200803</t>
        </is>
      </c>
      <c r="B737" t="inlineStr">
        <is>
          <t>BOR100598</t>
        </is>
      </c>
      <c r="C737" s="8" t="n">
        <v>46082</v>
      </c>
      <c r="D737" s="9" t="n">
        <v>178000</v>
      </c>
      <c r="E737" t="n">
        <v>6</v>
      </c>
      <c r="F737" s="10" t="n">
        <v>0.22</v>
      </c>
      <c r="G737" t="inlineStr">
        <is>
          <t>Working Capital</t>
        </is>
      </c>
      <c r="H737" t="inlineStr">
        <is>
          <t>LO023</t>
        </is>
      </c>
      <c r="I737" t="inlineStr">
        <is>
          <t>Partner Referral</t>
        </is>
      </c>
      <c r="J737">
        <f>INDEX('Data - Borrowers'!$B$2:$B$851, MATCH(B737, 'Data - Borrowers'!$A$2:$A$851, 0))</f>
        <v/>
      </c>
      <c r="K737">
        <f>INDEX('Data - Borrowers'!$C$2:$C$851, MATCH(B737, 'Data - Borrowers'!$A$2:$A$851, 0))</f>
        <v/>
      </c>
      <c r="L737">
        <f>IF(D737&lt;100000, "Micro (&lt;100K)", IF(D737&lt;500000, "Small (100K-500K)", "Medium (500K+)"))</f>
        <v/>
      </c>
      <c r="M737">
        <f>TEXT(C737, "yyyy-mm")</f>
        <v/>
      </c>
    </row>
    <row r="738">
      <c r="A738" t="inlineStr">
        <is>
          <t>LN200804</t>
        </is>
      </c>
      <c r="B738" t="inlineStr">
        <is>
          <t>BOR100599</t>
        </is>
      </c>
      <c r="C738" s="8" t="n">
        <v>45670</v>
      </c>
      <c r="D738" s="9" t="n">
        <v>204000</v>
      </c>
      <c r="E738" t="n">
        <v>6</v>
      </c>
      <c r="F738" s="10" t="n">
        <v>0.155</v>
      </c>
      <c r="G738" t="inlineStr">
        <is>
          <t>Working Capital</t>
        </is>
      </c>
      <c r="H738" t="inlineStr">
        <is>
          <t>LO007</t>
        </is>
      </c>
      <c r="I738" t="inlineStr">
        <is>
          <t>Branch</t>
        </is>
      </c>
      <c r="J738">
        <f>INDEX('Data - Borrowers'!$B$2:$B$851, MATCH(B738, 'Data - Borrowers'!$A$2:$A$851, 0))</f>
        <v/>
      </c>
      <c r="K738">
        <f>INDEX('Data - Borrowers'!$C$2:$C$851, MATCH(B738, 'Data - Borrowers'!$A$2:$A$851, 0))</f>
        <v/>
      </c>
      <c r="L738">
        <f>IF(D738&lt;100000, "Micro (&lt;100K)", IF(D738&lt;500000, "Small (100K-500K)", "Medium (500K+)"))</f>
        <v/>
      </c>
      <c r="M738">
        <f>TEXT(C738, "yyyy-mm")</f>
        <v/>
      </c>
    </row>
    <row r="739">
      <c r="A739" t="inlineStr">
        <is>
          <t>LN200805</t>
        </is>
      </c>
      <c r="B739" t="inlineStr">
        <is>
          <t>BOR100600</t>
        </is>
      </c>
      <c r="C739" s="8" t="n">
        <v>46072</v>
      </c>
      <c r="D739" s="9" t="n">
        <v>118000</v>
      </c>
      <c r="E739" t="n">
        <v>9</v>
      </c>
      <c r="F739" s="10" t="n">
        <v>0.143</v>
      </c>
      <c r="G739" t="inlineStr">
        <is>
          <t>Invoice Discounting</t>
        </is>
      </c>
      <c r="H739" t="inlineStr">
        <is>
          <t>LO018</t>
        </is>
      </c>
      <c r="I739" t="inlineStr">
        <is>
          <t>Mobile App</t>
        </is>
      </c>
      <c r="J739">
        <f>INDEX('Data - Borrowers'!$B$2:$B$851, MATCH(B739, 'Data - Borrowers'!$A$2:$A$851, 0))</f>
        <v/>
      </c>
      <c r="K739">
        <f>INDEX('Data - Borrowers'!$C$2:$C$851, MATCH(B739, 'Data - Borrowers'!$A$2:$A$851, 0))</f>
        <v/>
      </c>
      <c r="L739">
        <f>IF(D739&lt;100000, "Micro (&lt;100K)", IF(D739&lt;500000, "Small (100K-500K)", "Medium (500K+)"))</f>
        <v/>
      </c>
      <c r="M739">
        <f>TEXT(C739, "yyyy-mm")</f>
        <v/>
      </c>
    </row>
    <row r="740">
      <c r="A740" t="inlineStr">
        <is>
          <t>LN200806</t>
        </is>
      </c>
      <c r="B740" t="inlineStr">
        <is>
          <t>BOR100601</t>
        </is>
      </c>
      <c r="C740" s="8" t="n">
        <v>45732</v>
      </c>
      <c r="D740" s="9" t="n">
        <v>25000</v>
      </c>
      <c r="E740" t="n">
        <v>18</v>
      </c>
      <c r="F740" s="10" t="n">
        <v>0.221</v>
      </c>
      <c r="G740" t="inlineStr">
        <is>
          <t>Working Capital</t>
        </is>
      </c>
      <c r="H740" t="inlineStr">
        <is>
          <t>LO012</t>
        </is>
      </c>
      <c r="I740" t="inlineStr">
        <is>
          <t>Mobile App</t>
        </is>
      </c>
      <c r="J740">
        <f>INDEX('Data - Borrowers'!$B$2:$B$851, MATCH(B740, 'Data - Borrowers'!$A$2:$A$851, 0))</f>
        <v/>
      </c>
      <c r="K740">
        <f>INDEX('Data - Borrowers'!$C$2:$C$851, MATCH(B740, 'Data - Borrowers'!$A$2:$A$851, 0))</f>
        <v/>
      </c>
      <c r="L740">
        <f>IF(D740&lt;100000, "Micro (&lt;100K)", IF(D740&lt;500000, "Small (100K-500K)", "Medium (500K+)"))</f>
        <v/>
      </c>
      <c r="M740">
        <f>TEXT(C740, "yyyy-mm")</f>
        <v/>
      </c>
    </row>
    <row r="741">
      <c r="A741" t="inlineStr">
        <is>
          <t>LN200807</t>
        </is>
      </c>
      <c r="B741" t="inlineStr">
        <is>
          <t>BOR100601</t>
        </is>
      </c>
      <c r="C741" s="8" t="n">
        <v>46221</v>
      </c>
      <c r="D741" s="9" t="n">
        <v>30000</v>
      </c>
      <c r="E741" t="n">
        <v>3</v>
      </c>
      <c r="F741" s="10" t="n">
        <v>0.227</v>
      </c>
      <c r="G741" t="inlineStr">
        <is>
          <t>Working Capital</t>
        </is>
      </c>
      <c r="H741" t="inlineStr">
        <is>
          <t>LO008</t>
        </is>
      </c>
      <c r="I741" t="inlineStr">
        <is>
          <t>Mobile App</t>
        </is>
      </c>
      <c r="J741">
        <f>INDEX('Data - Borrowers'!$B$2:$B$851, MATCH(B741, 'Data - Borrowers'!$A$2:$A$851, 0))</f>
        <v/>
      </c>
      <c r="K741">
        <f>INDEX('Data - Borrowers'!$C$2:$C$851, MATCH(B741, 'Data - Borrowers'!$A$2:$A$851, 0))</f>
        <v/>
      </c>
      <c r="L741">
        <f>IF(D741&lt;100000, "Micro (&lt;100K)", IF(D741&lt;500000, "Small (100K-500K)", "Medium (500K+)"))</f>
        <v/>
      </c>
      <c r="M741">
        <f>TEXT(C741, "yyyy-mm")</f>
        <v/>
      </c>
    </row>
    <row r="742">
      <c r="A742" t="inlineStr">
        <is>
          <t>LN200808</t>
        </is>
      </c>
      <c r="B742" t="inlineStr">
        <is>
          <t>BOR100602</t>
        </is>
      </c>
      <c r="C742" s="8" t="n">
        <v>45946</v>
      </c>
      <c r="D742" s="9" t="n">
        <v>46000</v>
      </c>
      <c r="E742" t="n">
        <v>12</v>
      </c>
      <c r="F742" s="10" t="n">
        <v>0.127</v>
      </c>
      <c r="G742" t="inlineStr">
        <is>
          <t>Asset Finance</t>
        </is>
      </c>
      <c r="H742" t="inlineStr">
        <is>
          <t>LO011</t>
        </is>
      </c>
      <c r="I742" t="inlineStr">
        <is>
          <t>Branch</t>
        </is>
      </c>
      <c r="J742">
        <f>INDEX('Data - Borrowers'!$B$2:$B$851, MATCH(B742, 'Data - Borrowers'!$A$2:$A$851, 0))</f>
        <v/>
      </c>
      <c r="K742">
        <f>INDEX('Data - Borrowers'!$C$2:$C$851, MATCH(B742, 'Data - Borrowers'!$A$2:$A$851, 0))</f>
        <v/>
      </c>
      <c r="L742">
        <f>IF(D742&lt;100000, "Micro (&lt;100K)", IF(D742&lt;500000, "Small (100K-500K)", "Medium (500K+)"))</f>
        <v/>
      </c>
      <c r="M742">
        <f>TEXT(C742, "yyyy-mm")</f>
        <v/>
      </c>
    </row>
    <row r="743">
      <c r="A743" t="inlineStr">
        <is>
          <t>LN200809</t>
        </is>
      </c>
      <c r="B743" t="inlineStr">
        <is>
          <t>BOR100603</t>
        </is>
      </c>
      <c r="C743" s="8" t="n">
        <v>46042</v>
      </c>
      <c r="D743" s="9" t="n">
        <v>74000</v>
      </c>
      <c r="E743" t="n">
        <v>18</v>
      </c>
      <c r="F743" s="10" t="n">
        <v>0.189</v>
      </c>
      <c r="G743" t="inlineStr">
        <is>
          <t>Asset Finance</t>
        </is>
      </c>
      <c r="H743" t="inlineStr">
        <is>
          <t>LO011</t>
        </is>
      </c>
      <c r="I743" t="inlineStr">
        <is>
          <t>Branch</t>
        </is>
      </c>
      <c r="J743">
        <f>INDEX('Data - Borrowers'!$B$2:$B$851, MATCH(B743, 'Data - Borrowers'!$A$2:$A$851, 0))</f>
        <v/>
      </c>
      <c r="K743">
        <f>INDEX('Data - Borrowers'!$C$2:$C$851, MATCH(B743, 'Data - Borrowers'!$A$2:$A$851, 0))</f>
        <v/>
      </c>
      <c r="L743">
        <f>IF(D743&lt;100000, "Micro (&lt;100K)", IF(D743&lt;500000, "Small (100K-500K)", "Medium (500K+)"))</f>
        <v/>
      </c>
      <c r="M743">
        <f>TEXT(C743, "yyyy-mm")</f>
        <v/>
      </c>
    </row>
    <row r="744">
      <c r="A744" t="inlineStr">
        <is>
          <t>LN200810</t>
        </is>
      </c>
      <c r="B744" t="inlineStr">
        <is>
          <t>BOR100604</t>
        </is>
      </c>
      <c r="C744" s="8" t="n">
        <v>46011</v>
      </c>
      <c r="D744" s="9" t="n">
        <v>45000</v>
      </c>
      <c r="E744" t="n">
        <v>6</v>
      </c>
      <c r="F744" s="10" t="n">
        <v>0.204</v>
      </c>
      <c r="G744" t="inlineStr">
        <is>
          <t>Asset Finance</t>
        </is>
      </c>
      <c r="H744" t="inlineStr">
        <is>
          <t>LO005</t>
        </is>
      </c>
      <c r="I744" t="inlineStr">
        <is>
          <t>Mobile App</t>
        </is>
      </c>
      <c r="J744">
        <f>INDEX('Data - Borrowers'!$B$2:$B$851, MATCH(B744, 'Data - Borrowers'!$A$2:$A$851, 0))</f>
        <v/>
      </c>
      <c r="K744">
        <f>INDEX('Data - Borrowers'!$C$2:$C$851, MATCH(B744, 'Data - Borrowers'!$A$2:$A$851, 0))</f>
        <v/>
      </c>
      <c r="L744">
        <f>IF(D744&lt;100000, "Micro (&lt;100K)", IF(D744&lt;500000, "Small (100K-500K)", "Medium (500K+)"))</f>
        <v/>
      </c>
      <c r="M744">
        <f>TEXT(C744, "yyyy-mm")</f>
        <v/>
      </c>
    </row>
    <row r="745">
      <c r="A745" t="inlineStr">
        <is>
          <t>LN200811</t>
        </is>
      </c>
      <c r="B745" t="inlineStr">
        <is>
          <t>BOR100604</t>
        </is>
      </c>
      <c r="C745" s="8" t="n">
        <v>46155</v>
      </c>
      <c r="D745" s="9" t="n">
        <v>109000</v>
      </c>
      <c r="E745" t="n">
        <v>18</v>
      </c>
      <c r="F745" s="10" t="n">
        <v>0.222</v>
      </c>
      <c r="G745" t="inlineStr">
        <is>
          <t>Asset Finance</t>
        </is>
      </c>
      <c r="H745" t="inlineStr">
        <is>
          <t>LO013</t>
        </is>
      </c>
      <c r="I745" t="inlineStr">
        <is>
          <t>Mobile App</t>
        </is>
      </c>
      <c r="J745">
        <f>INDEX('Data - Borrowers'!$B$2:$B$851, MATCH(B745, 'Data - Borrowers'!$A$2:$A$851, 0))</f>
        <v/>
      </c>
      <c r="K745">
        <f>INDEX('Data - Borrowers'!$C$2:$C$851, MATCH(B745, 'Data - Borrowers'!$A$2:$A$851, 0))</f>
        <v/>
      </c>
      <c r="L745">
        <f>IF(D745&lt;100000, "Micro (&lt;100K)", IF(D745&lt;500000, "Small (100K-500K)", "Medium (500K+)"))</f>
        <v/>
      </c>
      <c r="M745">
        <f>TEXT(C745, "yyyy-mm")</f>
        <v/>
      </c>
    </row>
    <row r="746">
      <c r="A746" t="inlineStr">
        <is>
          <t>LN200812</t>
        </is>
      </c>
      <c r="B746" t="inlineStr">
        <is>
          <t>BOR100605</t>
        </is>
      </c>
      <c r="C746" s="8" t="n">
        <v>45888</v>
      </c>
      <c r="D746" s="9" t="n">
        <v>142000</v>
      </c>
      <c r="E746" t="n">
        <v>12</v>
      </c>
      <c r="F746" s="10" t="n">
        <v>0.147</v>
      </c>
      <c r="G746" t="inlineStr">
        <is>
          <t>Working Capital</t>
        </is>
      </c>
      <c r="H746" t="inlineStr">
        <is>
          <t>LO025</t>
        </is>
      </c>
      <c r="I746" t="inlineStr">
        <is>
          <t>Branch</t>
        </is>
      </c>
      <c r="J746">
        <f>INDEX('Data - Borrowers'!$B$2:$B$851, MATCH(B746, 'Data - Borrowers'!$A$2:$A$851, 0))</f>
        <v/>
      </c>
      <c r="K746">
        <f>INDEX('Data - Borrowers'!$C$2:$C$851, MATCH(B746, 'Data - Borrowers'!$A$2:$A$851, 0))</f>
        <v/>
      </c>
      <c r="L746">
        <f>IF(D746&lt;100000, "Micro (&lt;100K)", IF(D746&lt;500000, "Small (100K-500K)", "Medium (500K+)"))</f>
        <v/>
      </c>
      <c r="M746">
        <f>TEXT(C746, "yyyy-mm")</f>
        <v/>
      </c>
    </row>
    <row r="747">
      <c r="A747" t="inlineStr">
        <is>
          <t>LN200813</t>
        </is>
      </c>
      <c r="B747" t="inlineStr">
        <is>
          <t>BOR100606</t>
        </is>
      </c>
      <c r="C747" s="8" t="n">
        <v>45959</v>
      </c>
      <c r="D747" s="9" t="n">
        <v>144000</v>
      </c>
      <c r="E747" t="n">
        <v>3</v>
      </c>
      <c r="F747" s="10" t="n">
        <v>0.227</v>
      </c>
      <c r="G747" t="inlineStr">
        <is>
          <t>Working Capital</t>
        </is>
      </c>
      <c r="H747" t="inlineStr">
        <is>
          <t>LO001</t>
        </is>
      </c>
      <c r="I747" t="inlineStr">
        <is>
          <t>Mobile App</t>
        </is>
      </c>
      <c r="J747">
        <f>INDEX('Data - Borrowers'!$B$2:$B$851, MATCH(B747, 'Data - Borrowers'!$A$2:$A$851, 0))</f>
        <v/>
      </c>
      <c r="K747">
        <f>INDEX('Data - Borrowers'!$C$2:$C$851, MATCH(B747, 'Data - Borrowers'!$A$2:$A$851, 0))</f>
        <v/>
      </c>
      <c r="L747">
        <f>IF(D747&lt;100000, "Micro (&lt;100K)", IF(D747&lt;500000, "Small (100K-500K)", "Medium (500K+)"))</f>
        <v/>
      </c>
      <c r="M747">
        <f>TEXT(C747, "yyyy-mm")</f>
        <v/>
      </c>
    </row>
    <row r="748">
      <c r="A748" t="inlineStr">
        <is>
          <t>LN200814</t>
        </is>
      </c>
      <c r="B748" t="inlineStr">
        <is>
          <t>BOR100607</t>
        </is>
      </c>
      <c r="C748" s="8" t="n">
        <v>46060</v>
      </c>
      <c r="D748" s="9" t="n">
        <v>233000</v>
      </c>
      <c r="E748" t="n">
        <v>3</v>
      </c>
      <c r="F748" s="10" t="n">
        <v>0.193</v>
      </c>
      <c r="G748" t="inlineStr">
        <is>
          <t>Working Capital</t>
        </is>
      </c>
      <c r="H748" t="inlineStr">
        <is>
          <t>LO014</t>
        </is>
      </c>
      <c r="I748" t="inlineStr">
        <is>
          <t>Partner Referral</t>
        </is>
      </c>
      <c r="J748">
        <f>INDEX('Data - Borrowers'!$B$2:$B$851, MATCH(B748, 'Data - Borrowers'!$A$2:$A$851, 0))</f>
        <v/>
      </c>
      <c r="K748">
        <f>INDEX('Data - Borrowers'!$C$2:$C$851, MATCH(B748, 'Data - Borrowers'!$A$2:$A$851, 0))</f>
        <v/>
      </c>
      <c r="L748">
        <f>IF(D748&lt;100000, "Micro (&lt;100K)", IF(D748&lt;500000, "Small (100K-500K)", "Medium (500K+)"))</f>
        <v/>
      </c>
      <c r="M748">
        <f>TEXT(C748, "yyyy-mm")</f>
        <v/>
      </c>
    </row>
    <row r="749">
      <c r="A749" t="inlineStr">
        <is>
          <t>LN200815</t>
        </is>
      </c>
      <c r="B749" t="inlineStr">
        <is>
          <t>BOR100607</t>
        </is>
      </c>
      <c r="C749" s="8" t="n">
        <v>46160</v>
      </c>
      <c r="D749" s="9" t="n">
        <v>242000</v>
      </c>
      <c r="E749" t="n">
        <v>12</v>
      </c>
      <c r="F749" s="10" t="n">
        <v>0.122</v>
      </c>
      <c r="G749" t="inlineStr">
        <is>
          <t>Asset Finance</t>
        </is>
      </c>
      <c r="H749" t="inlineStr">
        <is>
          <t>LO025</t>
        </is>
      </c>
      <c r="I749" t="inlineStr">
        <is>
          <t>Mobile App</t>
        </is>
      </c>
      <c r="J749">
        <f>INDEX('Data - Borrowers'!$B$2:$B$851, MATCH(B749, 'Data - Borrowers'!$A$2:$A$851, 0))</f>
        <v/>
      </c>
      <c r="K749">
        <f>INDEX('Data - Borrowers'!$C$2:$C$851, MATCH(B749, 'Data - Borrowers'!$A$2:$A$851, 0))</f>
        <v/>
      </c>
      <c r="L749">
        <f>IF(D749&lt;100000, "Micro (&lt;100K)", IF(D749&lt;500000, "Small (100K-500K)", "Medium (500K+)"))</f>
        <v/>
      </c>
      <c r="M749">
        <f>TEXT(C749, "yyyy-mm")</f>
        <v/>
      </c>
    </row>
    <row r="750">
      <c r="A750" t="inlineStr">
        <is>
          <t>LN200816</t>
        </is>
      </c>
      <c r="B750" t="inlineStr">
        <is>
          <t>BOR100608</t>
        </is>
      </c>
      <c r="C750" s="8" t="n">
        <v>46208</v>
      </c>
      <c r="D750" s="9" t="n">
        <v>70000</v>
      </c>
      <c r="E750" t="n">
        <v>9</v>
      </c>
      <c r="F750" s="10" t="n">
        <v>0.219</v>
      </c>
      <c r="G750" t="inlineStr">
        <is>
          <t>Working Capital</t>
        </is>
      </c>
      <c r="H750" t="inlineStr">
        <is>
          <t>LO012</t>
        </is>
      </c>
      <c r="I750" t="inlineStr">
        <is>
          <t>Mobile App</t>
        </is>
      </c>
      <c r="J750">
        <f>INDEX('Data - Borrowers'!$B$2:$B$851, MATCH(B750, 'Data - Borrowers'!$A$2:$A$851, 0))</f>
        <v/>
      </c>
      <c r="K750">
        <f>INDEX('Data - Borrowers'!$C$2:$C$851, MATCH(B750, 'Data - Borrowers'!$A$2:$A$851, 0))</f>
        <v/>
      </c>
      <c r="L750">
        <f>IF(D750&lt;100000, "Micro (&lt;100K)", IF(D750&lt;500000, "Small (100K-500K)", "Medium (500K+)"))</f>
        <v/>
      </c>
      <c r="M750">
        <f>TEXT(C750, "yyyy-mm")</f>
        <v/>
      </c>
    </row>
    <row r="751">
      <c r="A751" t="inlineStr">
        <is>
          <t>LN200818</t>
        </is>
      </c>
      <c r="B751" t="inlineStr">
        <is>
          <t>BOR100609</t>
        </is>
      </c>
      <c r="C751" s="8" t="n">
        <v>46155</v>
      </c>
      <c r="D751" s="9" t="n">
        <v>27000</v>
      </c>
      <c r="E751" t="n">
        <v>9</v>
      </c>
      <c r="F751" s="10" t="n">
        <v>0.199</v>
      </c>
      <c r="G751" t="inlineStr">
        <is>
          <t>Working Capital</t>
        </is>
      </c>
      <c r="H751" t="inlineStr">
        <is>
          <t>LO019</t>
        </is>
      </c>
      <c r="I751" t="inlineStr">
        <is>
          <t>Branch</t>
        </is>
      </c>
      <c r="J751">
        <f>INDEX('Data - Borrowers'!$B$2:$B$851, MATCH(B751, 'Data - Borrowers'!$A$2:$A$851, 0))</f>
        <v/>
      </c>
      <c r="K751">
        <f>INDEX('Data - Borrowers'!$C$2:$C$851, MATCH(B751, 'Data - Borrowers'!$A$2:$A$851, 0))</f>
        <v/>
      </c>
      <c r="L751">
        <f>IF(D751&lt;100000, "Micro (&lt;100K)", IF(D751&lt;500000, "Small (100K-500K)", "Medium (500K+)"))</f>
        <v/>
      </c>
      <c r="M751">
        <f>TEXT(C751, "yyyy-mm")</f>
        <v/>
      </c>
    </row>
    <row r="752">
      <c r="A752" t="inlineStr">
        <is>
          <t>LN200819</t>
        </is>
      </c>
      <c r="B752" t="inlineStr">
        <is>
          <t>BOR100610</t>
        </is>
      </c>
      <c r="C752" s="8" t="n">
        <v>45908</v>
      </c>
      <c r="D752" s="9" t="n">
        <v>88000</v>
      </c>
      <c r="E752" t="n">
        <v>3</v>
      </c>
      <c r="F752" s="10" t="n">
        <v>0.129</v>
      </c>
      <c r="G752" t="inlineStr">
        <is>
          <t>Working Capital</t>
        </is>
      </c>
      <c r="H752" t="inlineStr">
        <is>
          <t>LO021</t>
        </is>
      </c>
      <c r="I752" t="inlineStr">
        <is>
          <t>Mobile App</t>
        </is>
      </c>
      <c r="J752">
        <f>INDEX('Data - Borrowers'!$B$2:$B$851, MATCH(B752, 'Data - Borrowers'!$A$2:$A$851, 0))</f>
        <v/>
      </c>
      <c r="K752">
        <f>INDEX('Data - Borrowers'!$C$2:$C$851, MATCH(B752, 'Data - Borrowers'!$A$2:$A$851, 0))</f>
        <v/>
      </c>
      <c r="L752">
        <f>IF(D752&lt;100000, "Micro (&lt;100K)", IF(D752&lt;500000, "Small (100K-500K)", "Medium (500K+)"))</f>
        <v/>
      </c>
      <c r="M752">
        <f>TEXT(C752, "yyyy-mm")</f>
        <v/>
      </c>
    </row>
    <row r="753">
      <c r="A753" t="inlineStr">
        <is>
          <t>LN200820</t>
        </is>
      </c>
      <c r="B753" t="inlineStr">
        <is>
          <t>BOR100610</t>
        </is>
      </c>
      <c r="C753" s="8" t="n">
        <v>46213</v>
      </c>
      <c r="D753" s="9" t="n">
        <v>116000</v>
      </c>
      <c r="E753" t="n">
        <v>6</v>
      </c>
      <c r="F753" s="10" t="n">
        <v>0.148</v>
      </c>
      <c r="G753" t="inlineStr">
        <is>
          <t>Working Capital</t>
        </is>
      </c>
      <c r="H753" t="inlineStr">
        <is>
          <t>LO021</t>
        </is>
      </c>
      <c r="I753" t="inlineStr">
        <is>
          <t>Mobile App</t>
        </is>
      </c>
      <c r="J753">
        <f>INDEX('Data - Borrowers'!$B$2:$B$851, MATCH(B753, 'Data - Borrowers'!$A$2:$A$851, 0))</f>
        <v/>
      </c>
      <c r="K753">
        <f>INDEX('Data - Borrowers'!$C$2:$C$851, MATCH(B753, 'Data - Borrowers'!$A$2:$A$851, 0))</f>
        <v/>
      </c>
      <c r="L753">
        <f>IF(D753&lt;100000, "Micro (&lt;100K)", IF(D753&lt;500000, "Small (100K-500K)", "Medium (500K+)"))</f>
        <v/>
      </c>
      <c r="M753">
        <f>TEXT(C753, "yyyy-mm")</f>
        <v/>
      </c>
    </row>
    <row r="754">
      <c r="A754" t="inlineStr">
        <is>
          <t>LN200821</t>
        </is>
      </c>
      <c r="B754" t="inlineStr">
        <is>
          <t>BOR100611</t>
        </is>
      </c>
      <c r="C754" s="8" t="n">
        <v>45669</v>
      </c>
      <c r="D754" s="9" t="n">
        <v>143000</v>
      </c>
      <c r="E754" t="n">
        <v>12</v>
      </c>
      <c r="F754" s="10" t="n">
        <v>0.151</v>
      </c>
      <c r="G754" t="inlineStr">
        <is>
          <t>Asset Finance</t>
        </is>
      </c>
      <c r="H754" t="inlineStr">
        <is>
          <t>LO024</t>
        </is>
      </c>
      <c r="I754" t="inlineStr">
        <is>
          <t>Mobile App</t>
        </is>
      </c>
      <c r="J754">
        <f>INDEX('Data - Borrowers'!$B$2:$B$851, MATCH(B754, 'Data - Borrowers'!$A$2:$A$851, 0))</f>
        <v/>
      </c>
      <c r="K754">
        <f>INDEX('Data - Borrowers'!$C$2:$C$851, MATCH(B754, 'Data - Borrowers'!$A$2:$A$851, 0))</f>
        <v/>
      </c>
      <c r="L754">
        <f>IF(D754&lt;100000, "Micro (&lt;100K)", IF(D754&lt;500000, "Small (100K-500K)", "Medium (500K+)"))</f>
        <v/>
      </c>
      <c r="M754">
        <f>TEXT(C754, "yyyy-mm")</f>
        <v/>
      </c>
    </row>
    <row r="755">
      <c r="A755" t="inlineStr">
        <is>
          <t>LN200822</t>
        </is>
      </c>
      <c r="B755" t="inlineStr">
        <is>
          <t>BOR100612</t>
        </is>
      </c>
      <c r="C755" s="8" t="n">
        <v>45959</v>
      </c>
      <c r="D755" s="9" t="n">
        <v>64000</v>
      </c>
      <c r="E755" t="n">
        <v>3</v>
      </c>
      <c r="F755" s="10" t="n">
        <v>0.212</v>
      </c>
      <c r="G755" t="inlineStr">
        <is>
          <t>Asset Finance</t>
        </is>
      </c>
      <c r="H755" t="inlineStr">
        <is>
          <t>LO002</t>
        </is>
      </c>
      <c r="I755" t="inlineStr">
        <is>
          <t>Branch</t>
        </is>
      </c>
      <c r="J755">
        <f>INDEX('Data - Borrowers'!$B$2:$B$851, MATCH(B755, 'Data - Borrowers'!$A$2:$A$851, 0))</f>
        <v/>
      </c>
      <c r="K755">
        <f>INDEX('Data - Borrowers'!$C$2:$C$851, MATCH(B755, 'Data - Borrowers'!$A$2:$A$851, 0))</f>
        <v/>
      </c>
      <c r="L755">
        <f>IF(D755&lt;100000, "Micro (&lt;100K)", IF(D755&lt;500000, "Small (100K-500K)", "Medium (500K+)"))</f>
        <v/>
      </c>
      <c r="M755">
        <f>TEXT(C755, "yyyy-mm")</f>
        <v/>
      </c>
    </row>
    <row r="756">
      <c r="A756" t="inlineStr">
        <is>
          <t>LN200823</t>
        </is>
      </c>
      <c r="B756" t="inlineStr">
        <is>
          <t>BOR100613</t>
        </is>
      </c>
      <c r="C756" s="8" t="n">
        <v>45836</v>
      </c>
      <c r="D756" s="9" t="n">
        <v>189000</v>
      </c>
      <c r="E756" t="n">
        <v>3</v>
      </c>
      <c r="F756" s="10" t="n">
        <v>0.232</v>
      </c>
      <c r="G756" t="inlineStr">
        <is>
          <t>Working Capital</t>
        </is>
      </c>
      <c r="H756" t="inlineStr">
        <is>
          <t>LO015</t>
        </is>
      </c>
      <c r="I756" t="inlineStr">
        <is>
          <t>Branch</t>
        </is>
      </c>
      <c r="J756">
        <f>INDEX('Data - Borrowers'!$B$2:$B$851, MATCH(B756, 'Data - Borrowers'!$A$2:$A$851, 0))</f>
        <v/>
      </c>
      <c r="K756">
        <f>INDEX('Data - Borrowers'!$C$2:$C$851, MATCH(B756, 'Data - Borrowers'!$A$2:$A$851, 0))</f>
        <v/>
      </c>
      <c r="L756">
        <f>IF(D756&lt;100000, "Micro (&lt;100K)", IF(D756&lt;500000, "Small (100K-500K)", "Medium (500K+)"))</f>
        <v/>
      </c>
      <c r="M756">
        <f>TEXT(C756, "yyyy-mm")</f>
        <v/>
      </c>
    </row>
    <row r="757">
      <c r="A757" t="inlineStr">
        <is>
          <t>LN200824</t>
        </is>
      </c>
      <c r="B757" t="inlineStr">
        <is>
          <t>BOR100614</t>
        </is>
      </c>
      <c r="C757" s="8" t="n">
        <v>45991</v>
      </c>
      <c r="D757" s="9" t="n">
        <v>162000</v>
      </c>
      <c r="E757" t="n">
        <v>3</v>
      </c>
      <c r="F757" s="10" t="n">
        <v>0.228</v>
      </c>
      <c r="G757" t="inlineStr">
        <is>
          <t>Working Capital</t>
        </is>
      </c>
      <c r="H757" t="inlineStr">
        <is>
          <t>LO018</t>
        </is>
      </c>
      <c r="I757" t="inlineStr">
        <is>
          <t>Partner Referral</t>
        </is>
      </c>
      <c r="J757">
        <f>INDEX('Data - Borrowers'!$B$2:$B$851, MATCH(B757, 'Data - Borrowers'!$A$2:$A$851, 0))</f>
        <v/>
      </c>
      <c r="K757">
        <f>INDEX('Data - Borrowers'!$C$2:$C$851, MATCH(B757, 'Data - Borrowers'!$A$2:$A$851, 0))</f>
        <v/>
      </c>
      <c r="L757">
        <f>IF(D757&lt;100000, "Micro (&lt;100K)", IF(D757&lt;500000, "Small (100K-500K)", "Medium (500K+)"))</f>
        <v/>
      </c>
      <c r="M757">
        <f>TEXT(C757, "yyyy-mm")</f>
        <v/>
      </c>
    </row>
    <row r="758">
      <c r="A758" t="inlineStr">
        <is>
          <t>LN200825</t>
        </is>
      </c>
      <c r="B758" t="inlineStr">
        <is>
          <t>BOR100615</t>
        </is>
      </c>
      <c r="C758" s="8" t="n">
        <v>46123</v>
      </c>
      <c r="D758" s="9" t="n">
        <v>68000</v>
      </c>
      <c r="E758" t="n">
        <v>9</v>
      </c>
      <c r="F758" s="10" t="n">
        <v>0.144</v>
      </c>
      <c r="G758" t="inlineStr">
        <is>
          <t>Working Capital</t>
        </is>
      </c>
      <c r="H758" t="inlineStr">
        <is>
          <t>LO003</t>
        </is>
      </c>
      <c r="I758" t="inlineStr">
        <is>
          <t>Branch</t>
        </is>
      </c>
      <c r="J758">
        <f>INDEX('Data - Borrowers'!$B$2:$B$851, MATCH(B758, 'Data - Borrowers'!$A$2:$A$851, 0))</f>
        <v/>
      </c>
      <c r="K758">
        <f>INDEX('Data - Borrowers'!$C$2:$C$851, MATCH(B758, 'Data - Borrowers'!$A$2:$A$851, 0))</f>
        <v/>
      </c>
      <c r="L758">
        <f>IF(D758&lt;100000, "Micro (&lt;100K)", IF(D758&lt;500000, "Small (100K-500K)", "Medium (500K+)"))</f>
        <v/>
      </c>
      <c r="M758">
        <f>TEXT(C758, "yyyy-mm")</f>
        <v/>
      </c>
    </row>
    <row r="759">
      <c r="A759" t="inlineStr">
        <is>
          <t>LN200826</t>
        </is>
      </c>
      <c r="B759" t="inlineStr">
        <is>
          <t>BOR100616</t>
        </is>
      </c>
      <c r="C759" s="8" t="n">
        <v>46110</v>
      </c>
      <c r="D759" s="9" t="n">
        <v>20000</v>
      </c>
      <c r="E759" t="n">
        <v>6</v>
      </c>
      <c r="F759" s="10" t="n">
        <v>0.136</v>
      </c>
      <c r="G759" t="inlineStr">
        <is>
          <t>Working Capital</t>
        </is>
      </c>
      <c r="H759" t="inlineStr">
        <is>
          <t>LO018</t>
        </is>
      </c>
      <c r="I759" t="inlineStr">
        <is>
          <t>Mobile App</t>
        </is>
      </c>
      <c r="J759">
        <f>INDEX('Data - Borrowers'!$B$2:$B$851, MATCH(B759, 'Data - Borrowers'!$A$2:$A$851, 0))</f>
        <v/>
      </c>
      <c r="K759">
        <f>INDEX('Data - Borrowers'!$C$2:$C$851, MATCH(B759, 'Data - Borrowers'!$A$2:$A$851, 0))</f>
        <v/>
      </c>
      <c r="L759">
        <f>IF(D759&lt;100000, "Micro (&lt;100K)", IF(D759&lt;500000, "Small (100K-500K)", "Medium (500K+)"))</f>
        <v/>
      </c>
      <c r="M759">
        <f>TEXT(C759, "yyyy-mm")</f>
        <v/>
      </c>
    </row>
    <row r="760">
      <c r="A760" t="inlineStr">
        <is>
          <t>LN200827</t>
        </is>
      </c>
      <c r="B760" t="inlineStr">
        <is>
          <t>BOR100617</t>
        </is>
      </c>
      <c r="C760" s="8" t="n">
        <v>45957</v>
      </c>
      <c r="D760" s="9" t="n">
        <v>20000</v>
      </c>
      <c r="E760" t="n">
        <v>3</v>
      </c>
      <c r="F760" s="10" t="n">
        <v>0.207</v>
      </c>
      <c r="G760" t="inlineStr">
        <is>
          <t>Working Capital</t>
        </is>
      </c>
      <c r="H760" t="inlineStr">
        <is>
          <t>LO025</t>
        </is>
      </c>
      <c r="I760" t="inlineStr">
        <is>
          <t>Mobile App</t>
        </is>
      </c>
      <c r="J760">
        <f>INDEX('Data - Borrowers'!$B$2:$B$851, MATCH(B760, 'Data - Borrowers'!$A$2:$A$851, 0))</f>
        <v/>
      </c>
      <c r="K760">
        <f>INDEX('Data - Borrowers'!$C$2:$C$851, MATCH(B760, 'Data - Borrowers'!$A$2:$A$851, 0))</f>
        <v/>
      </c>
      <c r="L760">
        <f>IF(D760&lt;100000, "Micro (&lt;100K)", IF(D760&lt;500000, "Small (100K-500K)", "Medium (500K+)"))</f>
        <v/>
      </c>
      <c r="M760">
        <f>TEXT(C760, "yyyy-mm")</f>
        <v/>
      </c>
    </row>
    <row r="761">
      <c r="A761" t="inlineStr">
        <is>
          <t>LN200828</t>
        </is>
      </c>
      <c r="B761" t="inlineStr">
        <is>
          <t>BOR100617</t>
        </is>
      </c>
      <c r="C761" s="8" t="n">
        <v>46056</v>
      </c>
      <c r="D761" s="9" t="n">
        <v>40000</v>
      </c>
      <c r="E761" t="n">
        <v>9</v>
      </c>
      <c r="F761" s="10" t="n">
        <v>0.133</v>
      </c>
      <c r="G761" t="inlineStr">
        <is>
          <t>Working Capital</t>
        </is>
      </c>
      <c r="H761" t="inlineStr">
        <is>
          <t>LO011</t>
        </is>
      </c>
      <c r="I761" t="inlineStr">
        <is>
          <t>Branch</t>
        </is>
      </c>
      <c r="J761">
        <f>INDEX('Data - Borrowers'!$B$2:$B$851, MATCH(B761, 'Data - Borrowers'!$A$2:$A$851, 0))</f>
        <v/>
      </c>
      <c r="K761">
        <f>INDEX('Data - Borrowers'!$C$2:$C$851, MATCH(B761, 'Data - Borrowers'!$A$2:$A$851, 0))</f>
        <v/>
      </c>
      <c r="L761">
        <f>IF(D761&lt;100000, "Micro (&lt;100K)", IF(D761&lt;500000, "Small (100K-500K)", "Medium (500K+)"))</f>
        <v/>
      </c>
      <c r="M761">
        <f>TEXT(C761, "yyyy-mm")</f>
        <v/>
      </c>
    </row>
    <row r="762">
      <c r="A762" t="inlineStr">
        <is>
          <t>LN200829</t>
        </is>
      </c>
      <c r="B762" t="inlineStr">
        <is>
          <t>BOR100617</t>
        </is>
      </c>
      <c r="C762" s="8" t="n">
        <v>46210</v>
      </c>
      <c r="D762" s="9" t="n">
        <v>47000</v>
      </c>
      <c r="E762" t="n">
        <v>3</v>
      </c>
      <c r="F762" s="10" t="n">
        <v>0.154</v>
      </c>
      <c r="G762" t="inlineStr">
        <is>
          <t>Asset Finance</t>
        </is>
      </c>
      <c r="H762" t="inlineStr">
        <is>
          <t>LO005</t>
        </is>
      </c>
      <c r="I762" t="inlineStr">
        <is>
          <t>Mobile App</t>
        </is>
      </c>
      <c r="J762">
        <f>INDEX('Data - Borrowers'!$B$2:$B$851, MATCH(B762, 'Data - Borrowers'!$A$2:$A$851, 0))</f>
        <v/>
      </c>
      <c r="K762">
        <f>INDEX('Data - Borrowers'!$C$2:$C$851, MATCH(B762, 'Data - Borrowers'!$A$2:$A$851, 0))</f>
        <v/>
      </c>
      <c r="L762">
        <f>IF(D762&lt;100000, "Micro (&lt;100K)", IF(D762&lt;500000, "Small (100K-500K)", "Medium (500K+)"))</f>
        <v/>
      </c>
      <c r="M762">
        <f>TEXT(C762, "yyyy-mm")</f>
        <v/>
      </c>
    </row>
    <row r="763">
      <c r="A763" t="inlineStr">
        <is>
          <t>LN200830</t>
        </is>
      </c>
      <c r="B763" t="inlineStr">
        <is>
          <t>BOR100618</t>
        </is>
      </c>
      <c r="C763" s="8" t="n">
        <v>45943</v>
      </c>
      <c r="D763" s="9" t="n">
        <v>564000</v>
      </c>
      <c r="E763" t="n">
        <v>12</v>
      </c>
      <c r="F763" s="10" t="n">
        <v>0.171</v>
      </c>
      <c r="G763" t="inlineStr">
        <is>
          <t>Working Capital</t>
        </is>
      </c>
      <c r="H763" t="inlineStr">
        <is>
          <t>LO002</t>
        </is>
      </c>
      <c r="I763" t="inlineStr">
        <is>
          <t>Mobile App</t>
        </is>
      </c>
      <c r="J763">
        <f>INDEX('Data - Borrowers'!$B$2:$B$851, MATCH(B763, 'Data - Borrowers'!$A$2:$A$851, 0))</f>
        <v/>
      </c>
      <c r="K763">
        <f>INDEX('Data - Borrowers'!$C$2:$C$851, MATCH(B763, 'Data - Borrowers'!$A$2:$A$851, 0))</f>
        <v/>
      </c>
      <c r="L763">
        <f>IF(D763&lt;100000, "Micro (&lt;100K)", IF(D763&lt;500000, "Small (100K-500K)", "Medium (500K+)"))</f>
        <v/>
      </c>
      <c r="M763">
        <f>TEXT(C763, "yyyy-mm")</f>
        <v/>
      </c>
    </row>
    <row r="764">
      <c r="A764" t="inlineStr">
        <is>
          <t>LN200831</t>
        </is>
      </c>
      <c r="B764" t="inlineStr">
        <is>
          <t>BOR100618</t>
        </is>
      </c>
      <c r="C764" s="8" t="n">
        <v>46057</v>
      </c>
      <c r="D764" s="9" t="n">
        <v>154000</v>
      </c>
      <c r="E764" t="n">
        <v>6</v>
      </c>
      <c r="F764" s="10" t="n">
        <v>0.222</v>
      </c>
      <c r="G764" t="inlineStr">
        <is>
          <t>Asset Finance</t>
        </is>
      </c>
      <c r="H764" t="inlineStr">
        <is>
          <t>LO025</t>
        </is>
      </c>
      <c r="I764" t="inlineStr">
        <is>
          <t>Mobile App</t>
        </is>
      </c>
      <c r="J764">
        <f>INDEX('Data - Borrowers'!$B$2:$B$851, MATCH(B764, 'Data - Borrowers'!$A$2:$A$851, 0))</f>
        <v/>
      </c>
      <c r="K764">
        <f>INDEX('Data - Borrowers'!$C$2:$C$851, MATCH(B764, 'Data - Borrowers'!$A$2:$A$851, 0))</f>
        <v/>
      </c>
      <c r="L764">
        <f>IF(D764&lt;100000, "Micro (&lt;100K)", IF(D764&lt;500000, "Small (100K-500K)", "Medium (500K+)"))</f>
        <v/>
      </c>
      <c r="M764">
        <f>TEXT(C764, "yyyy-mm")</f>
        <v/>
      </c>
    </row>
    <row r="765">
      <c r="A765" t="inlineStr">
        <is>
          <t>LN200832</t>
        </is>
      </c>
      <c r="B765" t="inlineStr">
        <is>
          <t>BOR100618</t>
        </is>
      </c>
      <c r="C765" s="8" t="n">
        <v>46161</v>
      </c>
      <c r="D765" s="9" t="n">
        <v>554000</v>
      </c>
      <c r="E765" t="n">
        <v>6</v>
      </c>
      <c r="F765" s="10" t="n">
        <v>0.215</v>
      </c>
      <c r="G765" t="inlineStr">
        <is>
          <t>Working Capital</t>
        </is>
      </c>
      <c r="H765" t="inlineStr">
        <is>
          <t>LO008</t>
        </is>
      </c>
      <c r="I765" t="inlineStr">
        <is>
          <t>Mobile App</t>
        </is>
      </c>
      <c r="J765">
        <f>INDEX('Data - Borrowers'!$B$2:$B$851, MATCH(B765, 'Data - Borrowers'!$A$2:$A$851, 0))</f>
        <v/>
      </c>
      <c r="K765">
        <f>INDEX('Data - Borrowers'!$C$2:$C$851, MATCH(B765, 'Data - Borrowers'!$A$2:$A$851, 0))</f>
        <v/>
      </c>
      <c r="L765">
        <f>IF(D765&lt;100000, "Micro (&lt;100K)", IF(D765&lt;500000, "Small (100K-500K)", "Medium (500K+)"))</f>
        <v/>
      </c>
      <c r="M765">
        <f>TEXT(C765, "yyyy-mm")</f>
        <v/>
      </c>
    </row>
    <row r="766">
      <c r="A766" t="inlineStr">
        <is>
          <t>LN200833</t>
        </is>
      </c>
      <c r="B766" t="inlineStr">
        <is>
          <t>BOR100619</t>
        </is>
      </c>
      <c r="C766" s="8" t="n">
        <v>45772</v>
      </c>
      <c r="D766" s="9" t="n">
        <v>59000</v>
      </c>
      <c r="E766" t="n">
        <v>3</v>
      </c>
      <c r="F766" s="10" t="n">
        <v>0.195</v>
      </c>
      <c r="G766" t="inlineStr">
        <is>
          <t>Working Capital</t>
        </is>
      </c>
      <c r="H766" t="inlineStr">
        <is>
          <t>LO024</t>
        </is>
      </c>
      <c r="I766" t="inlineStr">
        <is>
          <t>Branch</t>
        </is>
      </c>
      <c r="J766">
        <f>INDEX('Data - Borrowers'!$B$2:$B$851, MATCH(B766, 'Data - Borrowers'!$A$2:$A$851, 0))</f>
        <v/>
      </c>
      <c r="K766">
        <f>INDEX('Data - Borrowers'!$C$2:$C$851, MATCH(B766, 'Data - Borrowers'!$A$2:$A$851, 0))</f>
        <v/>
      </c>
      <c r="L766">
        <f>IF(D766&lt;100000, "Micro (&lt;100K)", IF(D766&lt;500000, "Small (100K-500K)", "Medium (500K+)"))</f>
        <v/>
      </c>
      <c r="M766">
        <f>TEXT(C766, "yyyy-mm")</f>
        <v/>
      </c>
    </row>
    <row r="767">
      <c r="A767" t="inlineStr">
        <is>
          <t>LN200834</t>
        </is>
      </c>
      <c r="B767" t="inlineStr">
        <is>
          <t>BOR100619</t>
        </is>
      </c>
      <c r="C767" s="8" t="n">
        <v>46038</v>
      </c>
      <c r="D767" s="9" t="n">
        <v>98000</v>
      </c>
      <c r="E767" t="n">
        <v>6</v>
      </c>
      <c r="F767" s="10" t="n">
        <v>0.166</v>
      </c>
      <c r="G767" t="inlineStr">
        <is>
          <t>Asset Finance</t>
        </is>
      </c>
      <c r="H767" t="inlineStr">
        <is>
          <t>LO001</t>
        </is>
      </c>
      <c r="I767" t="inlineStr">
        <is>
          <t>Mobile App</t>
        </is>
      </c>
      <c r="J767">
        <f>INDEX('Data - Borrowers'!$B$2:$B$851, MATCH(B767, 'Data - Borrowers'!$A$2:$A$851, 0))</f>
        <v/>
      </c>
      <c r="K767">
        <f>INDEX('Data - Borrowers'!$C$2:$C$851, MATCH(B767, 'Data - Borrowers'!$A$2:$A$851, 0))</f>
        <v/>
      </c>
      <c r="L767">
        <f>IF(D767&lt;100000, "Micro (&lt;100K)", IF(D767&lt;500000, "Small (100K-500K)", "Medium (500K+)"))</f>
        <v/>
      </c>
      <c r="M767">
        <f>TEXT(C767, "yyyy-mm")</f>
        <v/>
      </c>
    </row>
    <row r="768">
      <c r="A768" t="inlineStr">
        <is>
          <t>LN200835</t>
        </is>
      </c>
      <c r="B768" t="inlineStr">
        <is>
          <t>BOR100620</t>
        </is>
      </c>
      <c r="C768" s="8" t="n">
        <v>46055</v>
      </c>
      <c r="D768" s="9" t="n">
        <v>33000</v>
      </c>
      <c r="E768" t="n">
        <v>9</v>
      </c>
      <c r="F768" s="10" t="n">
        <v>0.22</v>
      </c>
      <c r="G768" t="inlineStr">
        <is>
          <t>Working Capital</t>
        </is>
      </c>
      <c r="H768" t="inlineStr">
        <is>
          <t>LO007</t>
        </is>
      </c>
      <c r="I768" t="inlineStr">
        <is>
          <t>Mobile App</t>
        </is>
      </c>
      <c r="J768">
        <f>INDEX('Data - Borrowers'!$B$2:$B$851, MATCH(B768, 'Data - Borrowers'!$A$2:$A$851, 0))</f>
        <v/>
      </c>
      <c r="K768">
        <f>INDEX('Data - Borrowers'!$C$2:$C$851, MATCH(B768, 'Data - Borrowers'!$A$2:$A$851, 0))</f>
        <v/>
      </c>
      <c r="L768">
        <f>IF(D768&lt;100000, "Micro (&lt;100K)", IF(D768&lt;500000, "Small (100K-500K)", "Medium (500K+)"))</f>
        <v/>
      </c>
      <c r="M768">
        <f>TEXT(C768, "yyyy-mm")</f>
        <v/>
      </c>
    </row>
    <row r="769">
      <c r="A769" t="inlineStr">
        <is>
          <t>LN200836</t>
        </is>
      </c>
      <c r="B769" t="inlineStr">
        <is>
          <t>BOR100621</t>
        </is>
      </c>
      <c r="C769" s="8" t="n">
        <v>45941</v>
      </c>
      <c r="D769" s="9" t="n">
        <v>351000</v>
      </c>
      <c r="E769" t="n">
        <v>3</v>
      </c>
      <c r="F769" s="10" t="n">
        <v>0.237</v>
      </c>
      <c r="G769" t="inlineStr">
        <is>
          <t>Working Capital</t>
        </is>
      </c>
      <c r="H769" t="inlineStr">
        <is>
          <t>LO013</t>
        </is>
      </c>
      <c r="I769" t="inlineStr">
        <is>
          <t>Mobile App</t>
        </is>
      </c>
      <c r="J769">
        <f>INDEX('Data - Borrowers'!$B$2:$B$851, MATCH(B769, 'Data - Borrowers'!$A$2:$A$851, 0))</f>
        <v/>
      </c>
      <c r="K769">
        <f>INDEX('Data - Borrowers'!$C$2:$C$851, MATCH(B769, 'Data - Borrowers'!$A$2:$A$851, 0))</f>
        <v/>
      </c>
      <c r="L769">
        <f>IF(D769&lt;100000, "Micro (&lt;100K)", IF(D769&lt;500000, "Small (100K-500K)", "Medium (500K+)"))</f>
        <v/>
      </c>
      <c r="M769">
        <f>TEXT(C769, "yyyy-mm")</f>
        <v/>
      </c>
    </row>
    <row r="770">
      <c r="A770" t="inlineStr">
        <is>
          <t>LN200837</t>
        </is>
      </c>
      <c r="B770" t="inlineStr">
        <is>
          <t>BOR100622</t>
        </is>
      </c>
      <c r="C770" s="8" t="n">
        <v>46146</v>
      </c>
      <c r="D770" s="9" t="n">
        <v>53000</v>
      </c>
      <c r="E770" t="n">
        <v>9</v>
      </c>
      <c r="F770" s="10" t="n">
        <v>0.128</v>
      </c>
      <c r="G770" t="inlineStr">
        <is>
          <t>Working Capital</t>
        </is>
      </c>
      <c r="H770" t="inlineStr">
        <is>
          <t>LO017</t>
        </is>
      </c>
      <c r="I770" t="inlineStr">
        <is>
          <t>Partner Referral</t>
        </is>
      </c>
      <c r="J770">
        <f>INDEX('Data - Borrowers'!$B$2:$B$851, MATCH(B770, 'Data - Borrowers'!$A$2:$A$851, 0))</f>
        <v/>
      </c>
      <c r="K770">
        <f>INDEX('Data - Borrowers'!$C$2:$C$851, MATCH(B770, 'Data - Borrowers'!$A$2:$A$851, 0))</f>
        <v/>
      </c>
      <c r="L770">
        <f>IF(D770&lt;100000, "Micro (&lt;100K)", IF(D770&lt;500000, "Small (100K-500K)", "Medium (500K+)"))</f>
        <v/>
      </c>
      <c r="M770">
        <f>TEXT(C770, "yyyy-mm")</f>
        <v/>
      </c>
    </row>
    <row r="771">
      <c r="A771" t="inlineStr">
        <is>
          <t>LN200839</t>
        </is>
      </c>
      <c r="B771" t="inlineStr">
        <is>
          <t>BOR100623</t>
        </is>
      </c>
      <c r="C771" s="8" t="n">
        <v>46025</v>
      </c>
      <c r="D771" s="9" t="n">
        <v>197000</v>
      </c>
      <c r="E771" t="n">
        <v>18</v>
      </c>
      <c r="F771" s="10" t="n">
        <v>0.228</v>
      </c>
      <c r="G771" t="inlineStr">
        <is>
          <t>Working Capital</t>
        </is>
      </c>
      <c r="H771" t="inlineStr">
        <is>
          <t>LO020</t>
        </is>
      </c>
      <c r="I771" t="inlineStr">
        <is>
          <t>Mobile App</t>
        </is>
      </c>
      <c r="J771">
        <f>INDEX('Data - Borrowers'!$B$2:$B$851, MATCH(B771, 'Data - Borrowers'!$A$2:$A$851, 0))</f>
        <v/>
      </c>
      <c r="K771">
        <f>INDEX('Data - Borrowers'!$C$2:$C$851, MATCH(B771, 'Data - Borrowers'!$A$2:$A$851, 0))</f>
        <v/>
      </c>
      <c r="L771">
        <f>IF(D771&lt;100000, "Micro (&lt;100K)", IF(D771&lt;500000, "Small (100K-500K)", "Medium (500K+)"))</f>
        <v/>
      </c>
      <c r="M771">
        <f>TEXT(C771, "yyyy-mm")</f>
        <v/>
      </c>
    </row>
    <row r="772">
      <c r="A772" t="inlineStr">
        <is>
          <t>LN200840</t>
        </is>
      </c>
      <c r="B772" t="inlineStr">
        <is>
          <t>BOR100624</t>
        </is>
      </c>
      <c r="C772" s="8" t="n">
        <v>46160</v>
      </c>
      <c r="D772" s="9" t="n">
        <v>100000</v>
      </c>
      <c r="E772" t="n">
        <v>12</v>
      </c>
      <c r="F772" s="10" t="n">
        <v>0.126</v>
      </c>
      <c r="G772" t="inlineStr">
        <is>
          <t>Asset Finance</t>
        </is>
      </c>
      <c r="H772" t="inlineStr">
        <is>
          <t>LO023</t>
        </is>
      </c>
      <c r="I772" t="inlineStr">
        <is>
          <t>Branch</t>
        </is>
      </c>
      <c r="J772">
        <f>INDEX('Data - Borrowers'!$B$2:$B$851, MATCH(B772, 'Data - Borrowers'!$A$2:$A$851, 0))</f>
        <v/>
      </c>
      <c r="K772">
        <f>INDEX('Data - Borrowers'!$C$2:$C$851, MATCH(B772, 'Data - Borrowers'!$A$2:$A$851, 0))</f>
        <v/>
      </c>
      <c r="L772">
        <f>IF(D772&lt;100000, "Micro (&lt;100K)", IF(D772&lt;500000, "Small (100K-500K)", "Medium (500K+)"))</f>
        <v/>
      </c>
      <c r="M772">
        <f>TEXT(C772, "yyyy-mm")</f>
        <v/>
      </c>
    </row>
    <row r="773">
      <c r="A773" t="inlineStr">
        <is>
          <t>LN200841</t>
        </is>
      </c>
      <c r="B773" t="inlineStr">
        <is>
          <t>BOR100625</t>
        </is>
      </c>
      <c r="C773" s="8" t="n">
        <v>45756</v>
      </c>
      <c r="D773" s="9" t="n">
        <v>65000</v>
      </c>
      <c r="E773" t="n">
        <v>9</v>
      </c>
      <c r="F773" s="10" t="n">
        <v>0.122</v>
      </c>
      <c r="G773" t="inlineStr">
        <is>
          <t>Asset Finance</t>
        </is>
      </c>
      <c r="H773" t="inlineStr">
        <is>
          <t>LO014</t>
        </is>
      </c>
      <c r="I773" t="inlineStr">
        <is>
          <t>Branch</t>
        </is>
      </c>
      <c r="J773">
        <f>INDEX('Data - Borrowers'!$B$2:$B$851, MATCH(B773, 'Data - Borrowers'!$A$2:$A$851, 0))</f>
        <v/>
      </c>
      <c r="K773">
        <f>INDEX('Data - Borrowers'!$C$2:$C$851, MATCH(B773, 'Data - Borrowers'!$A$2:$A$851, 0))</f>
        <v/>
      </c>
      <c r="L773">
        <f>IF(D773&lt;100000, "Micro (&lt;100K)", IF(D773&lt;500000, "Small (100K-500K)", "Medium (500K+)"))</f>
        <v/>
      </c>
      <c r="M773">
        <f>TEXT(C773, "yyyy-mm")</f>
        <v/>
      </c>
    </row>
    <row r="774">
      <c r="A774" t="inlineStr">
        <is>
          <t>LN200842</t>
        </is>
      </c>
      <c r="B774" t="inlineStr">
        <is>
          <t>BOR100625</t>
        </is>
      </c>
      <c r="C774" s="8" t="n">
        <v>46072</v>
      </c>
      <c r="D774" s="9" t="n">
        <v>208000</v>
      </c>
      <c r="E774" t="n">
        <v>6</v>
      </c>
      <c r="F774" s="10" t="n">
        <v>0.141</v>
      </c>
      <c r="G774" t="inlineStr">
        <is>
          <t>Working Capital</t>
        </is>
      </c>
      <c r="H774" t="inlineStr">
        <is>
          <t>LO020</t>
        </is>
      </c>
      <c r="I774" t="inlineStr">
        <is>
          <t>Mobile App</t>
        </is>
      </c>
      <c r="J774">
        <f>INDEX('Data - Borrowers'!$B$2:$B$851, MATCH(B774, 'Data - Borrowers'!$A$2:$A$851, 0))</f>
        <v/>
      </c>
      <c r="K774">
        <f>INDEX('Data - Borrowers'!$C$2:$C$851, MATCH(B774, 'Data - Borrowers'!$A$2:$A$851, 0))</f>
        <v/>
      </c>
      <c r="L774">
        <f>IF(D774&lt;100000, "Micro (&lt;100K)", IF(D774&lt;500000, "Small (100K-500K)", "Medium (500K+)"))</f>
        <v/>
      </c>
      <c r="M774">
        <f>TEXT(C774, "yyyy-mm")</f>
        <v/>
      </c>
    </row>
    <row r="775">
      <c r="A775" t="inlineStr">
        <is>
          <t>LN200843</t>
        </is>
      </c>
      <c r="B775" t="inlineStr">
        <is>
          <t>BOR100626</t>
        </is>
      </c>
      <c r="C775" s="8" t="n">
        <v>45804</v>
      </c>
      <c r="D775" s="9" t="n">
        <v>167000</v>
      </c>
      <c r="E775" t="n">
        <v>12</v>
      </c>
      <c r="F775" s="10" t="n">
        <v>0.122</v>
      </c>
      <c r="G775" t="inlineStr">
        <is>
          <t>Invoice Discounting</t>
        </is>
      </c>
      <c r="H775" t="inlineStr">
        <is>
          <t>LO015</t>
        </is>
      </c>
      <c r="I775" t="inlineStr">
        <is>
          <t>Mobile App</t>
        </is>
      </c>
      <c r="J775">
        <f>INDEX('Data - Borrowers'!$B$2:$B$851, MATCH(B775, 'Data - Borrowers'!$A$2:$A$851, 0))</f>
        <v/>
      </c>
      <c r="K775">
        <f>INDEX('Data - Borrowers'!$C$2:$C$851, MATCH(B775, 'Data - Borrowers'!$A$2:$A$851, 0))</f>
        <v/>
      </c>
      <c r="L775">
        <f>IF(D775&lt;100000, "Micro (&lt;100K)", IF(D775&lt;500000, "Small (100K-500K)", "Medium (500K+)"))</f>
        <v/>
      </c>
      <c r="M775">
        <f>TEXT(C775, "yyyy-mm")</f>
        <v/>
      </c>
    </row>
    <row r="776">
      <c r="A776" t="inlineStr">
        <is>
          <t>LN200844</t>
        </is>
      </c>
      <c r="B776" t="inlineStr">
        <is>
          <t>BOR100627</t>
        </is>
      </c>
      <c r="C776" s="8" t="n">
        <v>45846</v>
      </c>
      <c r="D776" s="9" t="n">
        <v>82000</v>
      </c>
      <c r="E776" t="n">
        <v>9</v>
      </c>
      <c r="F776" s="10" t="n">
        <v>0.181</v>
      </c>
      <c r="G776" t="inlineStr">
        <is>
          <t>Invoice Discounting</t>
        </is>
      </c>
      <c r="H776" t="inlineStr">
        <is>
          <t>LO011</t>
        </is>
      </c>
      <c r="I776" t="inlineStr">
        <is>
          <t>Branch</t>
        </is>
      </c>
      <c r="J776">
        <f>INDEX('Data - Borrowers'!$B$2:$B$851, MATCH(B776, 'Data - Borrowers'!$A$2:$A$851, 0))</f>
        <v/>
      </c>
      <c r="K776">
        <f>INDEX('Data - Borrowers'!$C$2:$C$851, MATCH(B776, 'Data - Borrowers'!$A$2:$A$851, 0))</f>
        <v/>
      </c>
      <c r="L776">
        <f>IF(D776&lt;100000, "Micro (&lt;100K)", IF(D776&lt;500000, "Small (100K-500K)", "Medium (500K+)"))</f>
        <v/>
      </c>
      <c r="M776">
        <f>TEXT(C776, "yyyy-mm")</f>
        <v/>
      </c>
    </row>
    <row r="777">
      <c r="A777" t="inlineStr">
        <is>
          <t>LN200845</t>
        </is>
      </c>
      <c r="B777" t="inlineStr">
        <is>
          <t>BOR100627</t>
        </is>
      </c>
      <c r="C777" s="8" t="n">
        <v>46085</v>
      </c>
      <c r="D777" s="9" t="n">
        <v>91000</v>
      </c>
      <c r="E777" t="n">
        <v>9</v>
      </c>
      <c r="F777" s="10" t="n">
        <v>0.162</v>
      </c>
      <c r="G777" t="inlineStr">
        <is>
          <t>Working Capital</t>
        </is>
      </c>
      <c r="H777" t="inlineStr">
        <is>
          <t>LO005</t>
        </is>
      </c>
      <c r="I777" t="inlineStr">
        <is>
          <t>Branch</t>
        </is>
      </c>
      <c r="J777">
        <f>INDEX('Data - Borrowers'!$B$2:$B$851, MATCH(B777, 'Data - Borrowers'!$A$2:$A$851, 0))</f>
        <v/>
      </c>
      <c r="K777">
        <f>INDEX('Data - Borrowers'!$C$2:$C$851, MATCH(B777, 'Data - Borrowers'!$A$2:$A$851, 0))</f>
        <v/>
      </c>
      <c r="L777">
        <f>IF(D777&lt;100000, "Micro (&lt;100K)", IF(D777&lt;500000, "Small (100K-500K)", "Medium (500K+)"))</f>
        <v/>
      </c>
      <c r="M777">
        <f>TEXT(C777, "yyyy-mm")</f>
        <v/>
      </c>
    </row>
    <row r="778">
      <c r="A778" t="inlineStr">
        <is>
          <t>LN200846</t>
        </is>
      </c>
      <c r="B778" t="inlineStr">
        <is>
          <t>BOR100628</t>
        </is>
      </c>
      <c r="C778" s="8" t="n">
        <v>46056</v>
      </c>
      <c r="D778" s="9" t="n">
        <v>470000</v>
      </c>
      <c r="E778" t="n">
        <v>18</v>
      </c>
      <c r="F778" s="10" t="n">
        <v>0.139</v>
      </c>
      <c r="G778" t="inlineStr">
        <is>
          <t>Invoice Discounting</t>
        </is>
      </c>
      <c r="H778" t="inlineStr">
        <is>
          <t>LO024</t>
        </is>
      </c>
      <c r="I778" t="inlineStr">
        <is>
          <t>Mobile App</t>
        </is>
      </c>
      <c r="J778">
        <f>INDEX('Data - Borrowers'!$B$2:$B$851, MATCH(B778, 'Data - Borrowers'!$A$2:$A$851, 0))</f>
        <v/>
      </c>
      <c r="K778">
        <f>INDEX('Data - Borrowers'!$C$2:$C$851, MATCH(B778, 'Data - Borrowers'!$A$2:$A$851, 0))</f>
        <v/>
      </c>
      <c r="L778">
        <f>IF(D778&lt;100000, "Micro (&lt;100K)", IF(D778&lt;500000, "Small (100K-500K)", "Medium (500K+)"))</f>
        <v/>
      </c>
      <c r="M778">
        <f>TEXT(C778, "yyyy-mm")</f>
        <v/>
      </c>
    </row>
    <row r="779">
      <c r="A779" t="inlineStr">
        <is>
          <t>LN200847</t>
        </is>
      </c>
      <c r="B779" t="inlineStr">
        <is>
          <t>BOR100629</t>
        </is>
      </c>
      <c r="C779" s="8" t="n">
        <v>46104</v>
      </c>
      <c r="D779" s="9" t="n">
        <v>209000</v>
      </c>
      <c r="E779" t="n">
        <v>6</v>
      </c>
      <c r="F779" s="10" t="n">
        <v>0.184</v>
      </c>
      <c r="G779" t="inlineStr">
        <is>
          <t>Asset Finance</t>
        </is>
      </c>
      <c r="H779" t="inlineStr">
        <is>
          <t>LO017</t>
        </is>
      </c>
      <c r="I779" t="inlineStr">
        <is>
          <t>Mobile App</t>
        </is>
      </c>
      <c r="J779">
        <f>INDEX('Data - Borrowers'!$B$2:$B$851, MATCH(B779, 'Data - Borrowers'!$A$2:$A$851, 0))</f>
        <v/>
      </c>
      <c r="K779">
        <f>INDEX('Data - Borrowers'!$C$2:$C$851, MATCH(B779, 'Data - Borrowers'!$A$2:$A$851, 0))</f>
        <v/>
      </c>
      <c r="L779">
        <f>IF(D779&lt;100000, "Micro (&lt;100K)", IF(D779&lt;500000, "Small (100K-500K)", "Medium (500K+)"))</f>
        <v/>
      </c>
      <c r="M779">
        <f>TEXT(C779, "yyyy-mm")</f>
        <v/>
      </c>
    </row>
    <row r="780">
      <c r="A780" t="inlineStr">
        <is>
          <t>LN200849</t>
        </is>
      </c>
      <c r="B780" t="inlineStr">
        <is>
          <t>BOR100630</t>
        </is>
      </c>
      <c r="C780" s="8" t="n">
        <v>45711</v>
      </c>
      <c r="D780" s="9" t="n">
        <v>28000</v>
      </c>
      <c r="E780" t="n">
        <v>12</v>
      </c>
      <c r="F780" s="10" t="n">
        <v>0.129</v>
      </c>
      <c r="G780" t="inlineStr">
        <is>
          <t>Asset Finance</t>
        </is>
      </c>
      <c r="H780" t="inlineStr">
        <is>
          <t>LO001</t>
        </is>
      </c>
      <c r="I780" t="inlineStr">
        <is>
          <t>Partner Referral</t>
        </is>
      </c>
      <c r="J780">
        <f>INDEX('Data - Borrowers'!$B$2:$B$851, MATCH(B780, 'Data - Borrowers'!$A$2:$A$851, 0))</f>
        <v/>
      </c>
      <c r="K780">
        <f>INDEX('Data - Borrowers'!$C$2:$C$851, MATCH(B780, 'Data - Borrowers'!$A$2:$A$851, 0))</f>
        <v/>
      </c>
      <c r="L780">
        <f>IF(D780&lt;100000, "Micro (&lt;100K)", IF(D780&lt;500000, "Small (100K-500K)", "Medium (500K+)"))</f>
        <v/>
      </c>
      <c r="M780">
        <f>TEXT(C780, "yyyy-mm")</f>
        <v/>
      </c>
    </row>
    <row r="781">
      <c r="A781" t="inlineStr">
        <is>
          <t>LN200850</t>
        </is>
      </c>
      <c r="B781" t="inlineStr">
        <is>
          <t>BOR100630</t>
        </is>
      </c>
      <c r="C781" s="8" t="n">
        <v>46166</v>
      </c>
      <c r="D781" s="9" t="n">
        <v>45000</v>
      </c>
      <c r="E781" t="n">
        <v>6</v>
      </c>
      <c r="F781" s="10" t="n">
        <v>0.143</v>
      </c>
      <c r="G781" t="inlineStr">
        <is>
          <t>Working Capital</t>
        </is>
      </c>
      <c r="H781" t="inlineStr">
        <is>
          <t>LO017</t>
        </is>
      </c>
      <c r="I781" t="inlineStr">
        <is>
          <t>Mobile App</t>
        </is>
      </c>
      <c r="J781">
        <f>INDEX('Data - Borrowers'!$B$2:$B$851, MATCH(B781, 'Data - Borrowers'!$A$2:$A$851, 0))</f>
        <v/>
      </c>
      <c r="K781">
        <f>INDEX('Data - Borrowers'!$C$2:$C$851, MATCH(B781, 'Data - Borrowers'!$A$2:$A$851, 0))</f>
        <v/>
      </c>
      <c r="L781">
        <f>IF(D781&lt;100000, "Micro (&lt;100K)", IF(D781&lt;500000, "Small (100K-500K)", "Medium (500K+)"))</f>
        <v/>
      </c>
      <c r="M781">
        <f>TEXT(C781, "yyyy-mm")</f>
        <v/>
      </c>
    </row>
    <row r="782">
      <c r="A782" t="inlineStr">
        <is>
          <t>LN200851</t>
        </is>
      </c>
      <c r="B782" t="inlineStr">
        <is>
          <t>BOR100631</t>
        </is>
      </c>
      <c r="C782" s="8" t="n">
        <v>46021</v>
      </c>
      <c r="D782" s="9" t="n">
        <v>209000</v>
      </c>
      <c r="E782" t="n">
        <v>6</v>
      </c>
      <c r="F782" s="10" t="n">
        <v>0.188</v>
      </c>
      <c r="G782" t="inlineStr">
        <is>
          <t>Invoice Discounting</t>
        </is>
      </c>
      <c r="H782" t="inlineStr">
        <is>
          <t>LO013</t>
        </is>
      </c>
      <c r="I782" t="inlineStr">
        <is>
          <t>Mobile App</t>
        </is>
      </c>
      <c r="J782">
        <f>INDEX('Data - Borrowers'!$B$2:$B$851, MATCH(B782, 'Data - Borrowers'!$A$2:$A$851, 0))</f>
        <v/>
      </c>
      <c r="K782">
        <f>INDEX('Data - Borrowers'!$C$2:$C$851, MATCH(B782, 'Data - Borrowers'!$A$2:$A$851, 0))</f>
        <v/>
      </c>
      <c r="L782">
        <f>IF(D782&lt;100000, "Micro (&lt;100K)", IF(D782&lt;500000, "Small (100K-500K)", "Medium (500K+)"))</f>
        <v/>
      </c>
      <c r="M782">
        <f>TEXT(C782, "yyyy-mm")</f>
        <v/>
      </c>
    </row>
    <row r="783">
      <c r="A783" t="inlineStr">
        <is>
          <t>LN200852</t>
        </is>
      </c>
      <c r="B783" t="inlineStr">
        <is>
          <t>BOR100632</t>
        </is>
      </c>
      <c r="C783" s="8" t="n">
        <v>45955</v>
      </c>
      <c r="D783" s="9" t="n">
        <v>295000</v>
      </c>
      <c r="E783" t="n">
        <v>9</v>
      </c>
      <c r="F783" s="10" t="n">
        <v>0.171</v>
      </c>
      <c r="G783" t="inlineStr">
        <is>
          <t>Invoice Discounting</t>
        </is>
      </c>
      <c r="H783" t="inlineStr">
        <is>
          <t>LO002</t>
        </is>
      </c>
      <c r="I783" t="inlineStr">
        <is>
          <t>Mobile App</t>
        </is>
      </c>
      <c r="J783">
        <f>INDEX('Data - Borrowers'!$B$2:$B$851, MATCH(B783, 'Data - Borrowers'!$A$2:$A$851, 0))</f>
        <v/>
      </c>
      <c r="K783">
        <f>INDEX('Data - Borrowers'!$C$2:$C$851, MATCH(B783, 'Data - Borrowers'!$A$2:$A$851, 0))</f>
        <v/>
      </c>
      <c r="L783">
        <f>IF(D783&lt;100000, "Micro (&lt;100K)", IF(D783&lt;500000, "Small (100K-500K)", "Medium (500K+)"))</f>
        <v/>
      </c>
      <c r="M783">
        <f>TEXT(C783, "yyyy-mm")</f>
        <v/>
      </c>
    </row>
    <row r="784">
      <c r="A784" t="inlineStr">
        <is>
          <t>LN200853</t>
        </is>
      </c>
      <c r="B784" t="inlineStr">
        <is>
          <t>BOR100633</t>
        </is>
      </c>
      <c r="C784" s="8" t="n">
        <v>45809</v>
      </c>
      <c r="D784" s="9" t="n">
        <v>220000</v>
      </c>
      <c r="E784" t="n">
        <v>6</v>
      </c>
      <c r="F784" s="10" t="n">
        <v>0.172</v>
      </c>
      <c r="G784" t="inlineStr">
        <is>
          <t>Working Capital</t>
        </is>
      </c>
      <c r="H784" t="inlineStr">
        <is>
          <t>LO007</t>
        </is>
      </c>
      <c r="I784" t="inlineStr">
        <is>
          <t>Branch</t>
        </is>
      </c>
      <c r="J784">
        <f>INDEX('Data - Borrowers'!$B$2:$B$851, MATCH(B784, 'Data - Borrowers'!$A$2:$A$851, 0))</f>
        <v/>
      </c>
      <c r="K784">
        <f>INDEX('Data - Borrowers'!$C$2:$C$851, MATCH(B784, 'Data - Borrowers'!$A$2:$A$851, 0))</f>
        <v/>
      </c>
      <c r="L784">
        <f>IF(D784&lt;100000, "Micro (&lt;100K)", IF(D784&lt;500000, "Small (100K-500K)", "Medium (500K+)"))</f>
        <v/>
      </c>
      <c r="M784">
        <f>TEXT(C784, "yyyy-mm")</f>
        <v/>
      </c>
    </row>
    <row r="785">
      <c r="A785" t="inlineStr">
        <is>
          <t>LN200854</t>
        </is>
      </c>
      <c r="B785" t="inlineStr">
        <is>
          <t>BOR100633</t>
        </is>
      </c>
      <c r="C785" s="8" t="n">
        <v>46023</v>
      </c>
      <c r="D785" s="9" t="n">
        <v>103000</v>
      </c>
      <c r="E785" t="n">
        <v>9</v>
      </c>
      <c r="F785" s="10" t="n">
        <v>0.217</v>
      </c>
      <c r="G785" t="inlineStr">
        <is>
          <t>Working Capital</t>
        </is>
      </c>
      <c r="H785" t="inlineStr">
        <is>
          <t>LO025</t>
        </is>
      </c>
      <c r="I785" t="inlineStr">
        <is>
          <t>Branch</t>
        </is>
      </c>
      <c r="J785">
        <f>INDEX('Data - Borrowers'!$B$2:$B$851, MATCH(B785, 'Data - Borrowers'!$A$2:$A$851, 0))</f>
        <v/>
      </c>
      <c r="K785">
        <f>INDEX('Data - Borrowers'!$C$2:$C$851, MATCH(B785, 'Data - Borrowers'!$A$2:$A$851, 0))</f>
        <v/>
      </c>
      <c r="L785">
        <f>IF(D785&lt;100000, "Micro (&lt;100K)", IF(D785&lt;500000, "Small (100K-500K)", "Medium (500K+)"))</f>
        <v/>
      </c>
      <c r="M785">
        <f>TEXT(C785, "yyyy-mm")</f>
        <v/>
      </c>
    </row>
    <row r="786">
      <c r="A786" t="inlineStr">
        <is>
          <t>LN200855</t>
        </is>
      </c>
      <c r="B786" t="inlineStr">
        <is>
          <t>BOR100634</t>
        </is>
      </c>
      <c r="C786" s="8" t="n">
        <v>45878</v>
      </c>
      <c r="D786" s="9" t="n">
        <v>71000</v>
      </c>
      <c r="E786" t="n">
        <v>3</v>
      </c>
      <c r="F786" s="10" t="n">
        <v>0.128</v>
      </c>
      <c r="G786" t="inlineStr">
        <is>
          <t>Working Capital</t>
        </is>
      </c>
      <c r="H786" t="inlineStr">
        <is>
          <t>LO021</t>
        </is>
      </c>
      <c r="I786" t="inlineStr">
        <is>
          <t>Partner Referral</t>
        </is>
      </c>
      <c r="J786">
        <f>INDEX('Data - Borrowers'!$B$2:$B$851, MATCH(B786, 'Data - Borrowers'!$A$2:$A$851, 0))</f>
        <v/>
      </c>
      <c r="K786">
        <f>INDEX('Data - Borrowers'!$C$2:$C$851, MATCH(B786, 'Data - Borrowers'!$A$2:$A$851, 0))</f>
        <v/>
      </c>
      <c r="L786">
        <f>IF(D786&lt;100000, "Micro (&lt;100K)", IF(D786&lt;500000, "Small (100K-500K)", "Medium (500K+)"))</f>
        <v/>
      </c>
      <c r="M786">
        <f>TEXT(C786, "yyyy-mm")</f>
        <v/>
      </c>
    </row>
    <row r="787">
      <c r="A787" t="inlineStr">
        <is>
          <t>LN200856</t>
        </is>
      </c>
      <c r="B787" t="inlineStr">
        <is>
          <t>BOR100635</t>
        </is>
      </c>
      <c r="C787" s="8" t="n">
        <v>45904</v>
      </c>
      <c r="D787" s="9" t="n">
        <v>204000</v>
      </c>
      <c r="E787" t="n">
        <v>12</v>
      </c>
      <c r="F787" s="10" t="n">
        <v>0.134</v>
      </c>
      <c r="G787" t="inlineStr">
        <is>
          <t>Invoice Discounting</t>
        </is>
      </c>
      <c r="H787" t="inlineStr">
        <is>
          <t>LO020</t>
        </is>
      </c>
      <c r="I787" t="inlineStr">
        <is>
          <t>Mobile App</t>
        </is>
      </c>
      <c r="J787">
        <f>INDEX('Data - Borrowers'!$B$2:$B$851, MATCH(B787, 'Data - Borrowers'!$A$2:$A$851, 0))</f>
        <v/>
      </c>
      <c r="K787">
        <f>INDEX('Data - Borrowers'!$C$2:$C$851, MATCH(B787, 'Data - Borrowers'!$A$2:$A$851, 0))</f>
        <v/>
      </c>
      <c r="L787">
        <f>IF(D787&lt;100000, "Micro (&lt;100K)", IF(D787&lt;500000, "Small (100K-500K)", "Medium (500K+)"))</f>
        <v/>
      </c>
      <c r="M787">
        <f>TEXT(C787, "yyyy-mm")</f>
        <v/>
      </c>
    </row>
    <row r="788">
      <c r="A788" t="inlineStr">
        <is>
          <t>LN200857</t>
        </is>
      </c>
      <c r="B788" t="inlineStr">
        <is>
          <t>BOR100635</t>
        </is>
      </c>
      <c r="C788" s="8" t="n">
        <v>46229</v>
      </c>
      <c r="D788" s="9" t="n">
        <v>140000</v>
      </c>
      <c r="E788" t="n">
        <v>12</v>
      </c>
      <c r="F788" s="10" t="n">
        <v>0.143</v>
      </c>
      <c r="G788" t="inlineStr">
        <is>
          <t>Invoice Discounting</t>
        </is>
      </c>
      <c r="H788" t="inlineStr">
        <is>
          <t>LO005</t>
        </is>
      </c>
      <c r="I788" t="inlineStr">
        <is>
          <t>Mobile App</t>
        </is>
      </c>
      <c r="J788">
        <f>INDEX('Data - Borrowers'!$B$2:$B$851, MATCH(B788, 'Data - Borrowers'!$A$2:$A$851, 0))</f>
        <v/>
      </c>
      <c r="K788">
        <f>INDEX('Data - Borrowers'!$C$2:$C$851, MATCH(B788, 'Data - Borrowers'!$A$2:$A$851, 0))</f>
        <v/>
      </c>
      <c r="L788">
        <f>IF(D788&lt;100000, "Micro (&lt;100K)", IF(D788&lt;500000, "Small (100K-500K)", "Medium (500K+)"))</f>
        <v/>
      </c>
      <c r="M788">
        <f>TEXT(C788, "yyyy-mm")</f>
        <v/>
      </c>
    </row>
    <row r="789">
      <c r="A789" t="inlineStr">
        <is>
          <t>LN200858</t>
        </is>
      </c>
      <c r="B789" t="inlineStr">
        <is>
          <t>BOR100636</t>
        </is>
      </c>
      <c r="C789" s="8" t="n">
        <v>46166</v>
      </c>
      <c r="D789" s="9" t="n">
        <v>231000</v>
      </c>
      <c r="E789" t="n">
        <v>6</v>
      </c>
      <c r="F789" s="10" t="n">
        <v>0.235</v>
      </c>
      <c r="G789" t="inlineStr">
        <is>
          <t>Working Capital</t>
        </is>
      </c>
      <c r="H789" t="inlineStr">
        <is>
          <t>LO001</t>
        </is>
      </c>
      <c r="I789" t="inlineStr">
        <is>
          <t>Mobile App</t>
        </is>
      </c>
      <c r="J789">
        <f>INDEX('Data - Borrowers'!$B$2:$B$851, MATCH(B789, 'Data - Borrowers'!$A$2:$A$851, 0))</f>
        <v/>
      </c>
      <c r="K789">
        <f>INDEX('Data - Borrowers'!$C$2:$C$851, MATCH(B789, 'Data - Borrowers'!$A$2:$A$851, 0))</f>
        <v/>
      </c>
      <c r="L789">
        <f>IF(D789&lt;100000, "Micro (&lt;100K)", IF(D789&lt;500000, "Small (100K-500K)", "Medium (500K+)"))</f>
        <v/>
      </c>
      <c r="M789">
        <f>TEXT(C789, "yyyy-mm")</f>
        <v/>
      </c>
    </row>
    <row r="790">
      <c r="A790" t="inlineStr">
        <is>
          <t>LN200859</t>
        </is>
      </c>
      <c r="B790" t="inlineStr">
        <is>
          <t>BOR100637</t>
        </is>
      </c>
      <c r="C790" s="8" t="n">
        <v>46107</v>
      </c>
      <c r="D790" s="9" t="n">
        <v>595000</v>
      </c>
      <c r="E790" t="n">
        <v>9</v>
      </c>
      <c r="F790" s="10" t="n">
        <v>0.202</v>
      </c>
      <c r="G790" t="inlineStr">
        <is>
          <t>Invoice Discounting</t>
        </is>
      </c>
      <c r="H790" t="inlineStr">
        <is>
          <t>LO018</t>
        </is>
      </c>
      <c r="I790" t="inlineStr">
        <is>
          <t>Mobile App</t>
        </is>
      </c>
      <c r="J790">
        <f>INDEX('Data - Borrowers'!$B$2:$B$851, MATCH(B790, 'Data - Borrowers'!$A$2:$A$851, 0))</f>
        <v/>
      </c>
      <c r="K790">
        <f>INDEX('Data - Borrowers'!$C$2:$C$851, MATCH(B790, 'Data - Borrowers'!$A$2:$A$851, 0))</f>
        <v/>
      </c>
      <c r="L790">
        <f>IF(D790&lt;100000, "Micro (&lt;100K)", IF(D790&lt;500000, "Small (100K-500K)", "Medium (500K+)"))</f>
        <v/>
      </c>
      <c r="M790">
        <f>TEXT(C790, "yyyy-mm")</f>
        <v/>
      </c>
    </row>
    <row r="791">
      <c r="A791" t="inlineStr">
        <is>
          <t>LN200860</t>
        </is>
      </c>
      <c r="B791" t="inlineStr">
        <is>
          <t>BOR100638</t>
        </is>
      </c>
      <c r="C791" s="8" t="n">
        <v>45795</v>
      </c>
      <c r="D791" s="9" t="n">
        <v>44000</v>
      </c>
      <c r="E791" t="n">
        <v>3</v>
      </c>
      <c r="F791" s="10" t="n">
        <v>0.239</v>
      </c>
      <c r="G791" t="inlineStr">
        <is>
          <t>Asset Finance</t>
        </is>
      </c>
      <c r="H791" t="inlineStr">
        <is>
          <t>LO007</t>
        </is>
      </c>
      <c r="I791" t="inlineStr">
        <is>
          <t>Branch</t>
        </is>
      </c>
      <c r="J791">
        <f>INDEX('Data - Borrowers'!$B$2:$B$851, MATCH(B791, 'Data - Borrowers'!$A$2:$A$851, 0))</f>
        <v/>
      </c>
      <c r="K791">
        <f>INDEX('Data - Borrowers'!$C$2:$C$851, MATCH(B791, 'Data - Borrowers'!$A$2:$A$851, 0))</f>
        <v/>
      </c>
      <c r="L791">
        <f>IF(D791&lt;100000, "Micro (&lt;100K)", IF(D791&lt;500000, "Small (100K-500K)", "Medium (500K+)"))</f>
        <v/>
      </c>
      <c r="M791">
        <f>TEXT(C791, "yyyy-mm")</f>
        <v/>
      </c>
    </row>
    <row r="792">
      <c r="A792" t="inlineStr">
        <is>
          <t>LN200861</t>
        </is>
      </c>
      <c r="B792" t="inlineStr">
        <is>
          <t>BOR100638</t>
        </is>
      </c>
      <c r="C792" s="8" t="n">
        <v>46086</v>
      </c>
      <c r="D792" s="9" t="n">
        <v>62000</v>
      </c>
      <c r="E792" t="n">
        <v>12</v>
      </c>
      <c r="F792" s="10" t="n">
        <v>0.157</v>
      </c>
      <c r="G792" t="inlineStr">
        <is>
          <t>Invoice Discounting</t>
        </is>
      </c>
      <c r="H792" t="inlineStr">
        <is>
          <t>LO002</t>
        </is>
      </c>
      <c r="I792" t="inlineStr">
        <is>
          <t>Branch</t>
        </is>
      </c>
      <c r="J792">
        <f>INDEX('Data - Borrowers'!$B$2:$B$851, MATCH(B792, 'Data - Borrowers'!$A$2:$A$851, 0))</f>
        <v/>
      </c>
      <c r="K792">
        <f>INDEX('Data - Borrowers'!$C$2:$C$851, MATCH(B792, 'Data - Borrowers'!$A$2:$A$851, 0))</f>
        <v/>
      </c>
      <c r="L792">
        <f>IF(D792&lt;100000, "Micro (&lt;100K)", IF(D792&lt;500000, "Small (100K-500K)", "Medium (500K+)"))</f>
        <v/>
      </c>
      <c r="M792">
        <f>TEXT(C792, "yyyy-mm")</f>
        <v/>
      </c>
    </row>
    <row r="793">
      <c r="A793" t="inlineStr">
        <is>
          <t>LN200862</t>
        </is>
      </c>
      <c r="B793" t="inlineStr">
        <is>
          <t>BOR100639</t>
        </is>
      </c>
      <c r="C793" s="8" t="n">
        <v>46164</v>
      </c>
      <c r="D793" s="9" t="n">
        <v>54000</v>
      </c>
      <c r="E793" t="n">
        <v>9</v>
      </c>
      <c r="F793" s="10" t="n">
        <v>0.18</v>
      </c>
      <c r="G793" t="inlineStr">
        <is>
          <t>Invoice Discounting</t>
        </is>
      </c>
      <c r="H793" t="inlineStr">
        <is>
          <t>LO020</t>
        </is>
      </c>
      <c r="I793" t="inlineStr">
        <is>
          <t>Partner Referral</t>
        </is>
      </c>
      <c r="J793">
        <f>INDEX('Data - Borrowers'!$B$2:$B$851, MATCH(B793, 'Data - Borrowers'!$A$2:$A$851, 0))</f>
        <v/>
      </c>
      <c r="K793">
        <f>INDEX('Data - Borrowers'!$C$2:$C$851, MATCH(B793, 'Data - Borrowers'!$A$2:$A$851, 0))</f>
        <v/>
      </c>
      <c r="L793">
        <f>IF(D793&lt;100000, "Micro (&lt;100K)", IF(D793&lt;500000, "Small (100K-500K)", "Medium (500K+)"))</f>
        <v/>
      </c>
      <c r="M793">
        <f>TEXT(C793, "yyyy-mm")</f>
        <v/>
      </c>
    </row>
    <row r="794">
      <c r="A794" t="inlineStr">
        <is>
          <t>LN200864</t>
        </is>
      </c>
      <c r="B794" t="inlineStr">
        <is>
          <t>BOR100640</t>
        </is>
      </c>
      <c r="C794" s="8" t="n">
        <v>45811</v>
      </c>
      <c r="D794" s="9" t="n">
        <v>111000</v>
      </c>
      <c r="E794" t="n">
        <v>6</v>
      </c>
      <c r="F794" s="10" t="n">
        <v>0.137</v>
      </c>
      <c r="G794" t="inlineStr">
        <is>
          <t>Asset Finance</t>
        </is>
      </c>
      <c r="H794" t="inlineStr">
        <is>
          <t>LO016</t>
        </is>
      </c>
      <c r="I794" t="inlineStr">
        <is>
          <t>Mobile App</t>
        </is>
      </c>
      <c r="J794">
        <f>INDEX('Data - Borrowers'!$B$2:$B$851, MATCH(B794, 'Data - Borrowers'!$A$2:$A$851, 0))</f>
        <v/>
      </c>
      <c r="K794">
        <f>INDEX('Data - Borrowers'!$C$2:$C$851, MATCH(B794, 'Data - Borrowers'!$A$2:$A$851, 0))</f>
        <v/>
      </c>
      <c r="L794">
        <f>IF(D794&lt;100000, "Micro (&lt;100K)", IF(D794&lt;500000, "Small (100K-500K)", "Medium (500K+)"))</f>
        <v/>
      </c>
      <c r="M794">
        <f>TEXT(C794, "yyyy-mm")</f>
        <v/>
      </c>
    </row>
    <row r="795">
      <c r="A795" t="inlineStr">
        <is>
          <t>LN200865</t>
        </is>
      </c>
      <c r="B795" t="inlineStr">
        <is>
          <t>BOR100641</t>
        </is>
      </c>
      <c r="C795" s="8" t="n">
        <v>45852</v>
      </c>
      <c r="D795" s="9" t="n">
        <v>68000</v>
      </c>
      <c r="E795" t="n">
        <v>6</v>
      </c>
      <c r="F795" s="10" t="n">
        <v>0.136</v>
      </c>
      <c r="G795" t="inlineStr">
        <is>
          <t>Asset Finance</t>
        </is>
      </c>
      <c r="H795" t="inlineStr">
        <is>
          <t>LO009</t>
        </is>
      </c>
      <c r="I795" t="inlineStr">
        <is>
          <t>Partner Referral</t>
        </is>
      </c>
      <c r="J795">
        <f>INDEX('Data - Borrowers'!$B$2:$B$851, MATCH(B795, 'Data - Borrowers'!$A$2:$A$851, 0))</f>
        <v/>
      </c>
      <c r="K795">
        <f>INDEX('Data - Borrowers'!$C$2:$C$851, MATCH(B795, 'Data - Borrowers'!$A$2:$A$851, 0))</f>
        <v/>
      </c>
      <c r="L795">
        <f>IF(D795&lt;100000, "Micro (&lt;100K)", IF(D795&lt;500000, "Small (100K-500K)", "Medium (500K+)"))</f>
        <v/>
      </c>
      <c r="M795">
        <f>TEXT(C795, "yyyy-mm")</f>
        <v/>
      </c>
    </row>
    <row r="796">
      <c r="A796" t="inlineStr">
        <is>
          <t>LN200866</t>
        </is>
      </c>
      <c r="B796" t="inlineStr">
        <is>
          <t>BOR100642</t>
        </is>
      </c>
      <c r="C796" s="8" t="n">
        <v>46063</v>
      </c>
      <c r="D796" s="9" t="n">
        <v>39000</v>
      </c>
      <c r="E796" t="n">
        <v>9</v>
      </c>
      <c r="F796" s="10" t="n">
        <v>0.124</v>
      </c>
      <c r="G796" t="inlineStr">
        <is>
          <t>Working Capital</t>
        </is>
      </c>
      <c r="H796" t="inlineStr">
        <is>
          <t>LO003</t>
        </is>
      </c>
      <c r="I796" t="inlineStr">
        <is>
          <t>Mobile App</t>
        </is>
      </c>
      <c r="J796">
        <f>INDEX('Data - Borrowers'!$B$2:$B$851, MATCH(B796, 'Data - Borrowers'!$A$2:$A$851, 0))</f>
        <v/>
      </c>
      <c r="K796">
        <f>INDEX('Data - Borrowers'!$C$2:$C$851, MATCH(B796, 'Data - Borrowers'!$A$2:$A$851, 0))</f>
        <v/>
      </c>
      <c r="L796">
        <f>IF(D796&lt;100000, "Micro (&lt;100K)", IF(D796&lt;500000, "Small (100K-500K)", "Medium (500K+)"))</f>
        <v/>
      </c>
      <c r="M796">
        <f>TEXT(C796, "yyyy-mm")</f>
        <v/>
      </c>
    </row>
    <row r="797">
      <c r="A797" t="inlineStr">
        <is>
          <t>LN200867</t>
        </is>
      </c>
      <c r="B797" t="inlineStr">
        <is>
          <t>BOR100642</t>
        </is>
      </c>
      <c r="C797" s="8" t="n">
        <v>46219</v>
      </c>
      <c r="D797" s="9" t="n">
        <v>70000</v>
      </c>
      <c r="E797" t="n">
        <v>6</v>
      </c>
      <c r="F797" s="10" t="n">
        <v>0.234</v>
      </c>
      <c r="G797" t="inlineStr">
        <is>
          <t>Asset Finance</t>
        </is>
      </c>
      <c r="H797" t="inlineStr">
        <is>
          <t>LO005</t>
        </is>
      </c>
      <c r="I797" t="inlineStr">
        <is>
          <t>Branch</t>
        </is>
      </c>
      <c r="J797">
        <f>INDEX('Data - Borrowers'!$B$2:$B$851, MATCH(B797, 'Data - Borrowers'!$A$2:$A$851, 0))</f>
        <v/>
      </c>
      <c r="K797">
        <f>INDEX('Data - Borrowers'!$C$2:$C$851, MATCH(B797, 'Data - Borrowers'!$A$2:$A$851, 0))</f>
        <v/>
      </c>
      <c r="L797">
        <f>IF(D797&lt;100000, "Micro (&lt;100K)", IF(D797&lt;500000, "Small (100K-500K)", "Medium (500K+)"))</f>
        <v/>
      </c>
      <c r="M797">
        <f>TEXT(C797, "yyyy-mm")</f>
        <v/>
      </c>
    </row>
    <row r="798">
      <c r="A798" t="inlineStr">
        <is>
          <t>LN200868</t>
        </is>
      </c>
      <c r="B798" t="inlineStr">
        <is>
          <t>BOR100643</t>
        </is>
      </c>
      <c r="C798" s="8" t="n">
        <v>45658</v>
      </c>
      <c r="D798" s="9" t="n">
        <v>20000</v>
      </c>
      <c r="E798" t="n">
        <v>6</v>
      </c>
      <c r="F798" s="10" t="n">
        <v>0.22</v>
      </c>
      <c r="G798" t="inlineStr">
        <is>
          <t>Working Capital</t>
        </is>
      </c>
      <c r="H798" t="inlineStr">
        <is>
          <t>LO019</t>
        </is>
      </c>
      <c r="I798" t="inlineStr">
        <is>
          <t>Partner Referral</t>
        </is>
      </c>
      <c r="J798">
        <f>INDEX('Data - Borrowers'!$B$2:$B$851, MATCH(B798, 'Data - Borrowers'!$A$2:$A$851, 0))</f>
        <v/>
      </c>
      <c r="K798">
        <f>INDEX('Data - Borrowers'!$C$2:$C$851, MATCH(B798, 'Data - Borrowers'!$A$2:$A$851, 0))</f>
        <v/>
      </c>
      <c r="L798">
        <f>IF(D798&lt;100000, "Micro (&lt;100K)", IF(D798&lt;500000, "Small (100K-500K)", "Medium (500K+)"))</f>
        <v/>
      </c>
      <c r="M798">
        <f>TEXT(C798, "yyyy-mm")</f>
        <v/>
      </c>
    </row>
    <row r="799">
      <c r="A799" t="inlineStr">
        <is>
          <t>LN200869</t>
        </is>
      </c>
      <c r="B799" t="inlineStr">
        <is>
          <t>BOR100644</t>
        </is>
      </c>
      <c r="C799" s="8" t="n">
        <v>46210</v>
      </c>
      <c r="D799" s="9" t="n">
        <v>107000</v>
      </c>
      <c r="E799" t="n">
        <v>12</v>
      </c>
      <c r="F799" s="10" t="n">
        <v>0.178</v>
      </c>
      <c r="G799" t="inlineStr">
        <is>
          <t>Working Capital</t>
        </is>
      </c>
      <c r="H799" t="inlineStr">
        <is>
          <t>LO018</t>
        </is>
      </c>
      <c r="I799" t="inlineStr">
        <is>
          <t>Partner Referral</t>
        </is>
      </c>
      <c r="J799">
        <f>INDEX('Data - Borrowers'!$B$2:$B$851, MATCH(B799, 'Data - Borrowers'!$A$2:$A$851, 0))</f>
        <v/>
      </c>
      <c r="K799">
        <f>INDEX('Data - Borrowers'!$C$2:$C$851, MATCH(B799, 'Data - Borrowers'!$A$2:$A$851, 0))</f>
        <v/>
      </c>
      <c r="L799">
        <f>IF(D799&lt;100000, "Micro (&lt;100K)", IF(D799&lt;500000, "Small (100K-500K)", "Medium (500K+)"))</f>
        <v/>
      </c>
      <c r="M799">
        <f>TEXT(C799, "yyyy-mm")</f>
        <v/>
      </c>
    </row>
    <row r="800">
      <c r="A800" t="inlineStr">
        <is>
          <t>LN200871</t>
        </is>
      </c>
      <c r="B800" t="inlineStr">
        <is>
          <t>BOR100645</t>
        </is>
      </c>
      <c r="C800" s="8" t="n">
        <v>46163</v>
      </c>
      <c r="D800" s="9" t="n">
        <v>172000</v>
      </c>
      <c r="E800" t="n">
        <v>3</v>
      </c>
      <c r="F800" s="10" t="n">
        <v>0.133</v>
      </c>
      <c r="G800" t="inlineStr">
        <is>
          <t>Working Capital</t>
        </is>
      </c>
      <c r="H800" t="inlineStr">
        <is>
          <t>LO013</t>
        </is>
      </c>
      <c r="I800" t="inlineStr">
        <is>
          <t>Branch</t>
        </is>
      </c>
      <c r="J800">
        <f>INDEX('Data - Borrowers'!$B$2:$B$851, MATCH(B800, 'Data - Borrowers'!$A$2:$A$851, 0))</f>
        <v/>
      </c>
      <c r="K800">
        <f>INDEX('Data - Borrowers'!$C$2:$C$851, MATCH(B800, 'Data - Borrowers'!$A$2:$A$851, 0))</f>
        <v/>
      </c>
      <c r="L800">
        <f>IF(D800&lt;100000, "Micro (&lt;100K)", IF(D800&lt;500000, "Small (100K-500K)", "Medium (500K+)"))</f>
        <v/>
      </c>
      <c r="M800">
        <f>TEXT(C800, "yyyy-mm")</f>
        <v/>
      </c>
    </row>
    <row r="801">
      <c r="A801" t="inlineStr">
        <is>
          <t>LN200872</t>
        </is>
      </c>
      <c r="B801" t="inlineStr">
        <is>
          <t>BOR100646</t>
        </is>
      </c>
      <c r="C801" s="8" t="n">
        <v>45929</v>
      </c>
      <c r="D801" s="9" t="n">
        <v>62000</v>
      </c>
      <c r="E801" t="n">
        <v>12</v>
      </c>
      <c r="F801" s="10" t="n">
        <v>0.137</v>
      </c>
      <c r="G801" t="inlineStr">
        <is>
          <t>Invoice Discounting</t>
        </is>
      </c>
      <c r="H801" t="inlineStr">
        <is>
          <t>LO009</t>
        </is>
      </c>
      <c r="I801" t="inlineStr">
        <is>
          <t>Mobile App</t>
        </is>
      </c>
      <c r="J801">
        <f>INDEX('Data - Borrowers'!$B$2:$B$851, MATCH(B801, 'Data - Borrowers'!$A$2:$A$851, 0))</f>
        <v/>
      </c>
      <c r="K801">
        <f>INDEX('Data - Borrowers'!$C$2:$C$851, MATCH(B801, 'Data - Borrowers'!$A$2:$A$851, 0))</f>
        <v/>
      </c>
      <c r="L801">
        <f>IF(D801&lt;100000, "Micro (&lt;100K)", IF(D801&lt;500000, "Small (100K-500K)", "Medium (500K+)"))</f>
        <v/>
      </c>
      <c r="M801">
        <f>TEXT(C801, "yyyy-mm")</f>
        <v/>
      </c>
    </row>
    <row r="802">
      <c r="A802" t="inlineStr">
        <is>
          <t>LN200873</t>
        </is>
      </c>
      <c r="B802" t="inlineStr">
        <is>
          <t>BOR100646</t>
        </is>
      </c>
      <c r="C802" s="8" t="n">
        <v>46110</v>
      </c>
      <c r="D802" s="9" t="n">
        <v>83000</v>
      </c>
      <c r="E802" t="n">
        <v>9</v>
      </c>
      <c r="F802" s="10" t="n">
        <v>0.201</v>
      </c>
      <c r="G802" t="inlineStr">
        <is>
          <t>Invoice Discounting</t>
        </is>
      </c>
      <c r="H802" t="inlineStr">
        <is>
          <t>LO015</t>
        </is>
      </c>
      <c r="I802" t="inlineStr">
        <is>
          <t>Partner Referral</t>
        </is>
      </c>
      <c r="J802">
        <f>INDEX('Data - Borrowers'!$B$2:$B$851, MATCH(B802, 'Data - Borrowers'!$A$2:$A$851, 0))</f>
        <v/>
      </c>
      <c r="K802">
        <f>INDEX('Data - Borrowers'!$C$2:$C$851, MATCH(B802, 'Data - Borrowers'!$A$2:$A$851, 0))</f>
        <v/>
      </c>
      <c r="L802">
        <f>IF(D802&lt;100000, "Micro (&lt;100K)", IF(D802&lt;500000, "Small (100K-500K)", "Medium (500K+)"))</f>
        <v/>
      </c>
      <c r="M802">
        <f>TEXT(C802, "yyyy-mm")</f>
        <v/>
      </c>
    </row>
    <row r="803">
      <c r="A803" t="inlineStr">
        <is>
          <t>LN200874</t>
        </is>
      </c>
      <c r="B803" t="inlineStr">
        <is>
          <t>BOR100647</t>
        </is>
      </c>
      <c r="C803" s="8" t="n">
        <v>45921</v>
      </c>
      <c r="D803" s="9" t="n">
        <v>284000</v>
      </c>
      <c r="E803" t="n">
        <v>9</v>
      </c>
      <c r="F803" s="10" t="n">
        <v>0.181</v>
      </c>
      <c r="G803" t="inlineStr">
        <is>
          <t>Working Capital</t>
        </is>
      </c>
      <c r="H803" t="inlineStr">
        <is>
          <t>LO013</t>
        </is>
      </c>
      <c r="I803" t="inlineStr">
        <is>
          <t>Branch</t>
        </is>
      </c>
      <c r="J803">
        <f>INDEX('Data - Borrowers'!$B$2:$B$851, MATCH(B803, 'Data - Borrowers'!$A$2:$A$851, 0))</f>
        <v/>
      </c>
      <c r="K803">
        <f>INDEX('Data - Borrowers'!$C$2:$C$851, MATCH(B803, 'Data - Borrowers'!$A$2:$A$851, 0))</f>
        <v/>
      </c>
      <c r="L803">
        <f>IF(D803&lt;100000, "Micro (&lt;100K)", IF(D803&lt;500000, "Small (100K-500K)", "Medium (500K+)"))</f>
        <v/>
      </c>
      <c r="M803">
        <f>TEXT(C803, "yyyy-mm")</f>
        <v/>
      </c>
    </row>
    <row r="804">
      <c r="A804" t="inlineStr">
        <is>
          <t>LN200875</t>
        </is>
      </c>
      <c r="B804" t="inlineStr">
        <is>
          <t>BOR100648</t>
        </is>
      </c>
      <c r="C804" s="8" t="n">
        <v>45881</v>
      </c>
      <c r="D804" s="9" t="n">
        <v>41000</v>
      </c>
      <c r="E804" t="n">
        <v>6</v>
      </c>
      <c r="F804" s="10" t="n">
        <v>0.14</v>
      </c>
      <c r="G804" t="inlineStr">
        <is>
          <t>Working Capital</t>
        </is>
      </c>
      <c r="H804" t="inlineStr">
        <is>
          <t>LO015</t>
        </is>
      </c>
      <c r="I804" t="inlineStr">
        <is>
          <t>Partner Referral</t>
        </is>
      </c>
      <c r="J804">
        <f>INDEX('Data - Borrowers'!$B$2:$B$851, MATCH(B804, 'Data - Borrowers'!$A$2:$A$851, 0))</f>
        <v/>
      </c>
      <c r="K804">
        <f>INDEX('Data - Borrowers'!$C$2:$C$851, MATCH(B804, 'Data - Borrowers'!$A$2:$A$851, 0))</f>
        <v/>
      </c>
      <c r="L804">
        <f>IF(D804&lt;100000, "Micro (&lt;100K)", IF(D804&lt;500000, "Small (100K-500K)", "Medium (500K+)"))</f>
        <v/>
      </c>
      <c r="M804">
        <f>TEXT(C804, "yyyy-mm")</f>
        <v/>
      </c>
    </row>
    <row r="805">
      <c r="A805" t="inlineStr">
        <is>
          <t>LN200876</t>
        </is>
      </c>
      <c r="B805" t="inlineStr">
        <is>
          <t>BOR100649</t>
        </is>
      </c>
      <c r="C805" s="8" t="n">
        <v>45669</v>
      </c>
      <c r="D805" s="9" t="n">
        <v>365000</v>
      </c>
      <c r="E805" t="n">
        <v>12</v>
      </c>
      <c r="F805" s="10" t="n">
        <v>0.182</v>
      </c>
      <c r="G805" t="inlineStr">
        <is>
          <t>Asset Finance</t>
        </is>
      </c>
      <c r="H805" t="inlineStr">
        <is>
          <t>LO018</t>
        </is>
      </c>
      <c r="I805" t="inlineStr">
        <is>
          <t>Mobile App</t>
        </is>
      </c>
      <c r="J805">
        <f>INDEX('Data - Borrowers'!$B$2:$B$851, MATCH(B805, 'Data - Borrowers'!$A$2:$A$851, 0))</f>
        <v/>
      </c>
      <c r="K805">
        <f>INDEX('Data - Borrowers'!$C$2:$C$851, MATCH(B805, 'Data - Borrowers'!$A$2:$A$851, 0))</f>
        <v/>
      </c>
      <c r="L805">
        <f>IF(D805&lt;100000, "Micro (&lt;100K)", IF(D805&lt;500000, "Small (100K-500K)", "Medium (500K+)"))</f>
        <v/>
      </c>
      <c r="M805">
        <f>TEXT(C805, "yyyy-mm")</f>
        <v/>
      </c>
    </row>
    <row r="806">
      <c r="A806" t="inlineStr">
        <is>
          <t>LN200877</t>
        </is>
      </c>
      <c r="B806" t="inlineStr">
        <is>
          <t>BOR100649</t>
        </is>
      </c>
      <c r="C806" s="8" t="n">
        <v>46104</v>
      </c>
      <c r="D806" s="9" t="n">
        <v>232000</v>
      </c>
      <c r="E806" t="n">
        <v>6</v>
      </c>
      <c r="F806" s="10" t="n">
        <v>0.163</v>
      </c>
      <c r="G806" t="inlineStr">
        <is>
          <t>Invoice Discounting</t>
        </is>
      </c>
      <c r="H806" t="inlineStr">
        <is>
          <t>LO022</t>
        </is>
      </c>
      <c r="I806" t="inlineStr">
        <is>
          <t>Branch</t>
        </is>
      </c>
      <c r="J806">
        <f>INDEX('Data - Borrowers'!$B$2:$B$851, MATCH(B806, 'Data - Borrowers'!$A$2:$A$851, 0))</f>
        <v/>
      </c>
      <c r="K806">
        <f>INDEX('Data - Borrowers'!$C$2:$C$851, MATCH(B806, 'Data - Borrowers'!$A$2:$A$851, 0))</f>
        <v/>
      </c>
      <c r="L806">
        <f>IF(D806&lt;100000, "Micro (&lt;100K)", IF(D806&lt;500000, "Small (100K-500K)", "Medium (500K+)"))</f>
        <v/>
      </c>
      <c r="M806">
        <f>TEXT(C806, "yyyy-mm")</f>
        <v/>
      </c>
    </row>
    <row r="807">
      <c r="A807" t="inlineStr">
        <is>
          <t>LN200878</t>
        </is>
      </c>
      <c r="B807" t="inlineStr">
        <is>
          <t>BOR100649</t>
        </is>
      </c>
      <c r="C807" s="8" t="n">
        <v>46235</v>
      </c>
      <c r="D807" s="9" t="n">
        <v>99000</v>
      </c>
      <c r="E807" t="n">
        <v>12</v>
      </c>
      <c r="F807" s="10" t="n">
        <v>0.218</v>
      </c>
      <c r="G807" t="inlineStr">
        <is>
          <t>Invoice Discounting</t>
        </is>
      </c>
      <c r="H807" t="inlineStr">
        <is>
          <t>LO010</t>
        </is>
      </c>
      <c r="I807" t="inlineStr">
        <is>
          <t>Branch</t>
        </is>
      </c>
      <c r="J807">
        <f>INDEX('Data - Borrowers'!$B$2:$B$851, MATCH(B807, 'Data - Borrowers'!$A$2:$A$851, 0))</f>
        <v/>
      </c>
      <c r="K807">
        <f>INDEX('Data - Borrowers'!$C$2:$C$851, MATCH(B807, 'Data - Borrowers'!$A$2:$A$851, 0))</f>
        <v/>
      </c>
      <c r="L807">
        <f>IF(D807&lt;100000, "Micro (&lt;100K)", IF(D807&lt;500000, "Small (100K-500K)", "Medium (500K+)"))</f>
        <v/>
      </c>
      <c r="M807">
        <f>TEXT(C807, "yyyy-mm")</f>
        <v/>
      </c>
    </row>
    <row r="808">
      <c r="A808" t="inlineStr">
        <is>
          <t>LN200879</t>
        </is>
      </c>
      <c r="B808" t="inlineStr">
        <is>
          <t>BOR100650</t>
        </is>
      </c>
      <c r="C808" s="8" t="n">
        <v>45721</v>
      </c>
      <c r="D808" s="9" t="n">
        <v>68000</v>
      </c>
      <c r="E808" t="n">
        <v>6</v>
      </c>
      <c r="F808" s="10" t="n">
        <v>0.158</v>
      </c>
      <c r="G808" t="inlineStr">
        <is>
          <t>Invoice Discounting</t>
        </is>
      </c>
      <c r="H808" t="inlineStr">
        <is>
          <t>LO013</t>
        </is>
      </c>
      <c r="I808" t="inlineStr">
        <is>
          <t>Mobile App</t>
        </is>
      </c>
      <c r="J808">
        <f>INDEX('Data - Borrowers'!$B$2:$B$851, MATCH(B808, 'Data - Borrowers'!$A$2:$A$851, 0))</f>
        <v/>
      </c>
      <c r="K808">
        <f>INDEX('Data - Borrowers'!$C$2:$C$851, MATCH(B808, 'Data - Borrowers'!$A$2:$A$851, 0))</f>
        <v/>
      </c>
      <c r="L808">
        <f>IF(D808&lt;100000, "Micro (&lt;100K)", IF(D808&lt;500000, "Small (100K-500K)", "Medium (500K+)"))</f>
        <v/>
      </c>
      <c r="M808">
        <f>TEXT(C808, "yyyy-mm")</f>
        <v/>
      </c>
    </row>
    <row r="809">
      <c r="A809" t="inlineStr">
        <is>
          <t>LN200880</t>
        </is>
      </c>
      <c r="B809" t="inlineStr">
        <is>
          <t>BOR100651</t>
        </is>
      </c>
      <c r="C809" s="8" t="n">
        <v>45976</v>
      </c>
      <c r="D809" s="9" t="n">
        <v>251000</v>
      </c>
      <c r="E809" t="n">
        <v>6</v>
      </c>
      <c r="F809" s="10" t="n">
        <v>0.178</v>
      </c>
      <c r="G809" t="inlineStr">
        <is>
          <t>Asset Finance</t>
        </is>
      </c>
      <c r="H809" t="inlineStr">
        <is>
          <t>LO005</t>
        </is>
      </c>
      <c r="I809" t="inlineStr">
        <is>
          <t>Partner Referral</t>
        </is>
      </c>
      <c r="J809">
        <f>INDEX('Data - Borrowers'!$B$2:$B$851, MATCH(B809, 'Data - Borrowers'!$A$2:$A$851, 0))</f>
        <v/>
      </c>
      <c r="K809">
        <f>INDEX('Data - Borrowers'!$C$2:$C$851, MATCH(B809, 'Data - Borrowers'!$A$2:$A$851, 0))</f>
        <v/>
      </c>
      <c r="L809">
        <f>IF(D809&lt;100000, "Micro (&lt;100K)", IF(D809&lt;500000, "Small (100K-500K)", "Medium (500K+)"))</f>
        <v/>
      </c>
      <c r="M809">
        <f>TEXT(C809, "yyyy-mm")</f>
        <v/>
      </c>
    </row>
    <row r="810">
      <c r="A810" t="inlineStr">
        <is>
          <t>LN200881</t>
        </is>
      </c>
      <c r="B810" t="inlineStr">
        <is>
          <t>BOR100652</t>
        </is>
      </c>
      <c r="C810" s="8" t="n">
        <v>46008</v>
      </c>
      <c r="D810" s="9" t="n">
        <v>169000</v>
      </c>
      <c r="E810" t="n">
        <v>3</v>
      </c>
      <c r="F810" s="10" t="n">
        <v>0.196</v>
      </c>
      <c r="G810" t="inlineStr">
        <is>
          <t>Asset Finance</t>
        </is>
      </c>
      <c r="H810" t="inlineStr">
        <is>
          <t>LO005</t>
        </is>
      </c>
      <c r="I810" t="inlineStr">
        <is>
          <t>Mobile App</t>
        </is>
      </c>
      <c r="J810">
        <f>INDEX('Data - Borrowers'!$B$2:$B$851, MATCH(B810, 'Data - Borrowers'!$A$2:$A$851, 0))</f>
        <v/>
      </c>
      <c r="K810">
        <f>INDEX('Data - Borrowers'!$C$2:$C$851, MATCH(B810, 'Data - Borrowers'!$A$2:$A$851, 0))</f>
        <v/>
      </c>
      <c r="L810">
        <f>IF(D810&lt;100000, "Micro (&lt;100K)", IF(D810&lt;500000, "Small (100K-500K)", "Medium (500K+)"))</f>
        <v/>
      </c>
      <c r="M810">
        <f>TEXT(C810, "yyyy-mm")</f>
        <v/>
      </c>
    </row>
    <row r="811">
      <c r="A811" t="inlineStr">
        <is>
          <t>LN200882</t>
        </is>
      </c>
      <c r="B811" t="inlineStr">
        <is>
          <t>BOR100652</t>
        </is>
      </c>
      <c r="C811" s="8" t="n">
        <v>46186</v>
      </c>
      <c r="D811" s="9" t="n">
        <v>165000</v>
      </c>
      <c r="E811" t="n">
        <v>12</v>
      </c>
      <c r="F811" s="10" t="n">
        <v>0.124</v>
      </c>
      <c r="G811" t="inlineStr">
        <is>
          <t>Working Capital</t>
        </is>
      </c>
      <c r="H811" t="inlineStr">
        <is>
          <t>LO012</t>
        </is>
      </c>
      <c r="I811" t="inlineStr">
        <is>
          <t>Mobile App</t>
        </is>
      </c>
      <c r="J811">
        <f>INDEX('Data - Borrowers'!$B$2:$B$851, MATCH(B811, 'Data - Borrowers'!$A$2:$A$851, 0))</f>
        <v/>
      </c>
      <c r="K811">
        <f>INDEX('Data - Borrowers'!$C$2:$C$851, MATCH(B811, 'Data - Borrowers'!$A$2:$A$851, 0))</f>
        <v/>
      </c>
      <c r="L811">
        <f>IF(D811&lt;100000, "Micro (&lt;100K)", IF(D811&lt;500000, "Small (100K-500K)", "Medium (500K+)"))</f>
        <v/>
      </c>
      <c r="M811">
        <f>TEXT(C811, "yyyy-mm")</f>
        <v/>
      </c>
    </row>
    <row r="812">
      <c r="A812" t="inlineStr">
        <is>
          <t>LN200883</t>
        </is>
      </c>
      <c r="B812" t="inlineStr">
        <is>
          <t>BOR100653</t>
        </is>
      </c>
      <c r="C812" s="8" t="n">
        <v>45832</v>
      </c>
      <c r="D812" s="9" t="n">
        <v>382000</v>
      </c>
      <c r="E812" t="n">
        <v>6</v>
      </c>
      <c r="F812" s="10" t="n">
        <v>0.177</v>
      </c>
      <c r="G812" t="inlineStr">
        <is>
          <t>Working Capital</t>
        </is>
      </c>
      <c r="H812" t="inlineStr">
        <is>
          <t>LO010</t>
        </is>
      </c>
      <c r="I812" t="inlineStr">
        <is>
          <t>Mobile App</t>
        </is>
      </c>
      <c r="J812">
        <f>INDEX('Data - Borrowers'!$B$2:$B$851, MATCH(B812, 'Data - Borrowers'!$A$2:$A$851, 0))</f>
        <v/>
      </c>
      <c r="K812">
        <f>INDEX('Data - Borrowers'!$C$2:$C$851, MATCH(B812, 'Data - Borrowers'!$A$2:$A$851, 0))</f>
        <v/>
      </c>
      <c r="L812">
        <f>IF(D812&lt;100000, "Micro (&lt;100K)", IF(D812&lt;500000, "Small (100K-500K)", "Medium (500K+)"))</f>
        <v/>
      </c>
      <c r="M812">
        <f>TEXT(C812, "yyyy-mm")</f>
        <v/>
      </c>
    </row>
    <row r="813">
      <c r="A813" t="inlineStr">
        <is>
          <t>LN200884</t>
        </is>
      </c>
      <c r="B813" t="inlineStr">
        <is>
          <t>BOR100654</t>
        </is>
      </c>
      <c r="C813" s="8" t="n">
        <v>46088</v>
      </c>
      <c r="D813" s="9" t="n">
        <v>70000</v>
      </c>
      <c r="E813" t="n">
        <v>6</v>
      </c>
      <c r="F813" s="10" t="n">
        <v>0.239</v>
      </c>
      <c r="G813" t="inlineStr">
        <is>
          <t>Asset Finance</t>
        </is>
      </c>
      <c r="H813" t="inlineStr">
        <is>
          <t>LO013</t>
        </is>
      </c>
      <c r="I813" t="inlineStr">
        <is>
          <t>Branch</t>
        </is>
      </c>
      <c r="J813">
        <f>INDEX('Data - Borrowers'!$B$2:$B$851, MATCH(B813, 'Data - Borrowers'!$A$2:$A$851, 0))</f>
        <v/>
      </c>
      <c r="K813">
        <f>INDEX('Data - Borrowers'!$C$2:$C$851, MATCH(B813, 'Data - Borrowers'!$A$2:$A$851, 0))</f>
        <v/>
      </c>
      <c r="L813">
        <f>IF(D813&lt;100000, "Micro (&lt;100K)", IF(D813&lt;500000, "Small (100K-500K)", "Medium (500K+)"))</f>
        <v/>
      </c>
      <c r="M813">
        <f>TEXT(C813, "yyyy-mm")</f>
        <v/>
      </c>
    </row>
    <row r="814">
      <c r="A814" t="inlineStr">
        <is>
          <t>LN200885</t>
        </is>
      </c>
      <c r="B814" t="inlineStr">
        <is>
          <t>BOR100655</t>
        </is>
      </c>
      <c r="C814" s="8" t="n">
        <v>46160</v>
      </c>
      <c r="D814" s="9" t="n">
        <v>217000</v>
      </c>
      <c r="E814" t="n">
        <v>3</v>
      </c>
      <c r="F814" s="10" t="n">
        <v>0.218</v>
      </c>
      <c r="G814" t="inlineStr">
        <is>
          <t>Working Capital</t>
        </is>
      </c>
      <c r="H814" t="inlineStr">
        <is>
          <t>LO025</t>
        </is>
      </c>
      <c r="I814" t="inlineStr">
        <is>
          <t>Partner Referral</t>
        </is>
      </c>
      <c r="J814">
        <f>INDEX('Data - Borrowers'!$B$2:$B$851, MATCH(B814, 'Data - Borrowers'!$A$2:$A$851, 0))</f>
        <v/>
      </c>
      <c r="K814">
        <f>INDEX('Data - Borrowers'!$C$2:$C$851, MATCH(B814, 'Data - Borrowers'!$A$2:$A$851, 0))</f>
        <v/>
      </c>
      <c r="L814">
        <f>IF(D814&lt;100000, "Micro (&lt;100K)", IF(D814&lt;500000, "Small (100K-500K)", "Medium (500K+)"))</f>
        <v/>
      </c>
      <c r="M814">
        <f>TEXT(C814, "yyyy-mm")</f>
        <v/>
      </c>
    </row>
    <row r="815">
      <c r="A815" t="inlineStr">
        <is>
          <t>LN200886</t>
        </is>
      </c>
      <c r="B815" t="inlineStr">
        <is>
          <t>BOR100656</t>
        </is>
      </c>
      <c r="C815" s="8" t="n">
        <v>45960</v>
      </c>
      <c r="D815" s="9" t="n">
        <v>96000</v>
      </c>
      <c r="E815" t="n">
        <v>3</v>
      </c>
      <c r="F815" s="10" t="n">
        <v>0.233</v>
      </c>
      <c r="G815" t="inlineStr">
        <is>
          <t>Asset Finance</t>
        </is>
      </c>
      <c r="H815" t="inlineStr">
        <is>
          <t>LO010</t>
        </is>
      </c>
      <c r="I815" t="inlineStr">
        <is>
          <t>Mobile App</t>
        </is>
      </c>
      <c r="J815">
        <f>INDEX('Data - Borrowers'!$B$2:$B$851, MATCH(B815, 'Data - Borrowers'!$A$2:$A$851, 0))</f>
        <v/>
      </c>
      <c r="K815">
        <f>INDEX('Data - Borrowers'!$C$2:$C$851, MATCH(B815, 'Data - Borrowers'!$A$2:$A$851, 0))</f>
        <v/>
      </c>
      <c r="L815">
        <f>IF(D815&lt;100000, "Micro (&lt;100K)", IF(D815&lt;500000, "Small (100K-500K)", "Medium (500K+)"))</f>
        <v/>
      </c>
      <c r="M815">
        <f>TEXT(C815, "yyyy-mm")</f>
        <v/>
      </c>
    </row>
    <row r="816">
      <c r="A816" t="inlineStr">
        <is>
          <t>LN200887</t>
        </is>
      </c>
      <c r="B816" t="inlineStr">
        <is>
          <t>BOR100657</t>
        </is>
      </c>
      <c r="C816" s="8" t="n">
        <v>46159</v>
      </c>
      <c r="D816" s="9" t="n">
        <v>86000</v>
      </c>
      <c r="E816" t="n">
        <v>3</v>
      </c>
      <c r="F816" s="10" t="n">
        <v>0.19</v>
      </c>
      <c r="G816" t="inlineStr">
        <is>
          <t>Asset Finance</t>
        </is>
      </c>
      <c r="H816" t="inlineStr">
        <is>
          <t>LO001</t>
        </is>
      </c>
      <c r="I816" t="inlineStr">
        <is>
          <t>Mobile App</t>
        </is>
      </c>
      <c r="J816">
        <f>INDEX('Data - Borrowers'!$B$2:$B$851, MATCH(B816, 'Data - Borrowers'!$A$2:$A$851, 0))</f>
        <v/>
      </c>
      <c r="K816">
        <f>INDEX('Data - Borrowers'!$C$2:$C$851, MATCH(B816, 'Data - Borrowers'!$A$2:$A$851, 0))</f>
        <v/>
      </c>
      <c r="L816">
        <f>IF(D816&lt;100000, "Micro (&lt;100K)", IF(D816&lt;500000, "Small (100K-500K)", "Medium (500K+)"))</f>
        <v/>
      </c>
      <c r="M816">
        <f>TEXT(C816, "yyyy-mm")</f>
        <v/>
      </c>
    </row>
    <row r="817">
      <c r="A817" t="inlineStr">
        <is>
          <t>LN200888</t>
        </is>
      </c>
      <c r="B817" t="inlineStr">
        <is>
          <t>BOR100658</t>
        </is>
      </c>
      <c r="C817" s="8" t="n">
        <v>45826</v>
      </c>
      <c r="D817" s="9" t="n">
        <v>145000</v>
      </c>
      <c r="E817" t="n">
        <v>6</v>
      </c>
      <c r="F817" s="10" t="n">
        <v>0.156</v>
      </c>
      <c r="G817" t="inlineStr">
        <is>
          <t>Invoice Discounting</t>
        </is>
      </c>
      <c r="H817" t="inlineStr">
        <is>
          <t>LO001</t>
        </is>
      </c>
      <c r="I817" t="inlineStr">
        <is>
          <t>Mobile App</t>
        </is>
      </c>
      <c r="J817">
        <f>INDEX('Data - Borrowers'!$B$2:$B$851, MATCH(B817, 'Data - Borrowers'!$A$2:$A$851, 0))</f>
        <v/>
      </c>
      <c r="K817">
        <f>INDEX('Data - Borrowers'!$C$2:$C$851, MATCH(B817, 'Data - Borrowers'!$A$2:$A$851, 0))</f>
        <v/>
      </c>
      <c r="L817">
        <f>IF(D817&lt;100000, "Micro (&lt;100K)", IF(D817&lt;500000, "Small (100K-500K)", "Medium (500K+)"))</f>
        <v/>
      </c>
      <c r="M817">
        <f>TEXT(C817, "yyyy-mm")</f>
        <v/>
      </c>
    </row>
    <row r="818">
      <c r="A818" t="inlineStr">
        <is>
          <t>LN200889</t>
        </is>
      </c>
      <c r="B818" t="inlineStr">
        <is>
          <t>BOR100659</t>
        </is>
      </c>
      <c r="C818" s="8" t="n">
        <v>46064</v>
      </c>
      <c r="D818" s="9" t="n">
        <v>332000</v>
      </c>
      <c r="E818" t="n">
        <v>9</v>
      </c>
      <c r="F818" s="10" t="n">
        <v>0.163</v>
      </c>
      <c r="G818" t="inlineStr">
        <is>
          <t>Asset Finance</t>
        </is>
      </c>
      <c r="H818" t="inlineStr">
        <is>
          <t>LO025</t>
        </is>
      </c>
      <c r="I818" t="inlineStr">
        <is>
          <t>Mobile App</t>
        </is>
      </c>
      <c r="J818">
        <f>INDEX('Data - Borrowers'!$B$2:$B$851, MATCH(B818, 'Data - Borrowers'!$A$2:$A$851, 0))</f>
        <v/>
      </c>
      <c r="K818">
        <f>INDEX('Data - Borrowers'!$C$2:$C$851, MATCH(B818, 'Data - Borrowers'!$A$2:$A$851, 0))</f>
        <v/>
      </c>
      <c r="L818">
        <f>IF(D818&lt;100000, "Micro (&lt;100K)", IF(D818&lt;500000, "Small (100K-500K)", "Medium (500K+)"))</f>
        <v/>
      </c>
      <c r="M818">
        <f>TEXT(C818, "yyyy-mm")</f>
        <v/>
      </c>
    </row>
    <row r="819">
      <c r="A819" t="inlineStr">
        <is>
          <t>LN200890</t>
        </is>
      </c>
      <c r="B819" t="inlineStr">
        <is>
          <t>BOR100660</t>
        </is>
      </c>
      <c r="C819" s="8" t="n">
        <v>46211</v>
      </c>
      <c r="D819" s="9" t="n">
        <v>97000</v>
      </c>
      <c r="E819" t="n">
        <v>6</v>
      </c>
      <c r="F819" s="10" t="n">
        <v>0.203</v>
      </c>
      <c r="G819" t="inlineStr">
        <is>
          <t>Working Capital</t>
        </is>
      </c>
      <c r="H819" t="inlineStr">
        <is>
          <t>LO008</t>
        </is>
      </c>
      <c r="I819" t="inlineStr">
        <is>
          <t>Branch</t>
        </is>
      </c>
      <c r="J819">
        <f>INDEX('Data - Borrowers'!$B$2:$B$851, MATCH(B819, 'Data - Borrowers'!$A$2:$A$851, 0))</f>
        <v/>
      </c>
      <c r="K819">
        <f>INDEX('Data - Borrowers'!$C$2:$C$851, MATCH(B819, 'Data - Borrowers'!$A$2:$A$851, 0))</f>
        <v/>
      </c>
      <c r="L819">
        <f>IF(D819&lt;100000, "Micro (&lt;100K)", IF(D819&lt;500000, "Small (100K-500K)", "Medium (500K+)"))</f>
        <v/>
      </c>
      <c r="M819">
        <f>TEXT(C819, "yyyy-mm")</f>
        <v/>
      </c>
    </row>
    <row r="820">
      <c r="A820" t="inlineStr">
        <is>
          <t>LN200891</t>
        </is>
      </c>
      <c r="B820" t="inlineStr">
        <is>
          <t>BOR100661</t>
        </is>
      </c>
      <c r="C820" s="8" t="n">
        <v>45962</v>
      </c>
      <c r="D820" s="9" t="n">
        <v>101000</v>
      </c>
      <c r="E820" t="n">
        <v>3</v>
      </c>
      <c r="F820" s="10" t="n">
        <v>0.202</v>
      </c>
      <c r="G820" t="inlineStr">
        <is>
          <t>Asset Finance</t>
        </is>
      </c>
      <c r="H820" t="inlineStr">
        <is>
          <t>LO016</t>
        </is>
      </c>
      <c r="I820" t="inlineStr">
        <is>
          <t>Mobile App</t>
        </is>
      </c>
      <c r="J820">
        <f>INDEX('Data - Borrowers'!$B$2:$B$851, MATCH(B820, 'Data - Borrowers'!$A$2:$A$851, 0))</f>
        <v/>
      </c>
      <c r="K820">
        <f>INDEX('Data - Borrowers'!$C$2:$C$851, MATCH(B820, 'Data - Borrowers'!$A$2:$A$851, 0))</f>
        <v/>
      </c>
      <c r="L820">
        <f>IF(D820&lt;100000, "Micro (&lt;100K)", IF(D820&lt;500000, "Small (100K-500K)", "Medium (500K+)"))</f>
        <v/>
      </c>
      <c r="M820">
        <f>TEXT(C820, "yyyy-mm")</f>
        <v/>
      </c>
    </row>
    <row r="821">
      <c r="A821" t="inlineStr">
        <is>
          <t>LN200892</t>
        </is>
      </c>
      <c r="B821" t="inlineStr">
        <is>
          <t>BOR100662</t>
        </is>
      </c>
      <c r="C821" s="8" t="n">
        <v>45848</v>
      </c>
      <c r="D821" s="9" t="n">
        <v>306000</v>
      </c>
      <c r="E821" t="n">
        <v>3</v>
      </c>
      <c r="F821" s="10" t="n">
        <v>0.213</v>
      </c>
      <c r="G821" t="inlineStr">
        <is>
          <t>Asset Finance</t>
        </is>
      </c>
      <c r="H821" t="inlineStr">
        <is>
          <t>LO011</t>
        </is>
      </c>
      <c r="I821" t="inlineStr">
        <is>
          <t>Mobile App</t>
        </is>
      </c>
      <c r="J821">
        <f>INDEX('Data - Borrowers'!$B$2:$B$851, MATCH(B821, 'Data - Borrowers'!$A$2:$A$851, 0))</f>
        <v/>
      </c>
      <c r="K821">
        <f>INDEX('Data - Borrowers'!$C$2:$C$851, MATCH(B821, 'Data - Borrowers'!$A$2:$A$851, 0))</f>
        <v/>
      </c>
      <c r="L821">
        <f>IF(D821&lt;100000, "Micro (&lt;100K)", IF(D821&lt;500000, "Small (100K-500K)", "Medium (500K+)"))</f>
        <v/>
      </c>
      <c r="M821">
        <f>TEXT(C821, "yyyy-mm")</f>
        <v/>
      </c>
    </row>
    <row r="822">
      <c r="A822" t="inlineStr">
        <is>
          <t>LN200893</t>
        </is>
      </c>
      <c r="B822" t="inlineStr">
        <is>
          <t>BOR100663</t>
        </is>
      </c>
      <c r="C822" s="8" t="n">
        <v>46025</v>
      </c>
      <c r="D822" s="9" t="n">
        <v>276000</v>
      </c>
      <c r="E822" t="n">
        <v>12</v>
      </c>
      <c r="F822" s="10" t="n">
        <v>0.127</v>
      </c>
      <c r="G822" t="inlineStr">
        <is>
          <t>Working Capital</t>
        </is>
      </c>
      <c r="H822" t="inlineStr">
        <is>
          <t>LO020</t>
        </is>
      </c>
      <c r="I822" t="inlineStr">
        <is>
          <t>Branch</t>
        </is>
      </c>
      <c r="J822">
        <f>INDEX('Data - Borrowers'!$B$2:$B$851, MATCH(B822, 'Data - Borrowers'!$A$2:$A$851, 0))</f>
        <v/>
      </c>
      <c r="K822">
        <f>INDEX('Data - Borrowers'!$C$2:$C$851, MATCH(B822, 'Data - Borrowers'!$A$2:$A$851, 0))</f>
        <v/>
      </c>
      <c r="L822">
        <f>IF(D822&lt;100000, "Micro (&lt;100K)", IF(D822&lt;500000, "Small (100K-500K)", "Medium (500K+)"))</f>
        <v/>
      </c>
      <c r="M822">
        <f>TEXT(C822, "yyyy-mm")</f>
        <v/>
      </c>
    </row>
    <row r="823">
      <c r="A823" t="inlineStr">
        <is>
          <t>LN200894</t>
        </is>
      </c>
      <c r="B823" t="inlineStr">
        <is>
          <t>BOR100663</t>
        </is>
      </c>
      <c r="C823" s="8" t="n">
        <v>46229</v>
      </c>
      <c r="D823" s="9" t="n">
        <v>281000</v>
      </c>
      <c r="E823" t="n">
        <v>9</v>
      </c>
      <c r="F823" s="10" t="n">
        <v>0.228</v>
      </c>
      <c r="G823" t="inlineStr">
        <is>
          <t>Working Capital</t>
        </is>
      </c>
      <c r="H823" t="inlineStr">
        <is>
          <t>LO012</t>
        </is>
      </c>
      <c r="I823" t="inlineStr">
        <is>
          <t>Mobile App</t>
        </is>
      </c>
      <c r="J823">
        <f>INDEX('Data - Borrowers'!$B$2:$B$851, MATCH(B823, 'Data - Borrowers'!$A$2:$A$851, 0))</f>
        <v/>
      </c>
      <c r="K823">
        <f>INDEX('Data - Borrowers'!$C$2:$C$851, MATCH(B823, 'Data - Borrowers'!$A$2:$A$851, 0))</f>
        <v/>
      </c>
      <c r="L823">
        <f>IF(D823&lt;100000, "Micro (&lt;100K)", IF(D823&lt;500000, "Small (100K-500K)", "Medium (500K+)"))</f>
        <v/>
      </c>
      <c r="M823">
        <f>TEXT(C823, "yyyy-mm")</f>
        <v/>
      </c>
    </row>
    <row r="824">
      <c r="A824" t="inlineStr">
        <is>
          <t>LN200895</t>
        </is>
      </c>
      <c r="B824" t="inlineStr">
        <is>
          <t>BOR100664</t>
        </is>
      </c>
      <c r="C824" s="8" t="n">
        <v>45719</v>
      </c>
      <c r="D824" s="9" t="n">
        <v>86000</v>
      </c>
      <c r="E824" t="n">
        <v>6</v>
      </c>
      <c r="F824" s="10" t="n">
        <v>0.211</v>
      </c>
      <c r="G824" t="inlineStr">
        <is>
          <t>Asset Finance</t>
        </is>
      </c>
      <c r="H824" t="inlineStr">
        <is>
          <t>LO018</t>
        </is>
      </c>
      <c r="I824" t="inlineStr">
        <is>
          <t>Mobile App</t>
        </is>
      </c>
      <c r="J824">
        <f>INDEX('Data - Borrowers'!$B$2:$B$851, MATCH(B824, 'Data - Borrowers'!$A$2:$A$851, 0))</f>
        <v/>
      </c>
      <c r="K824">
        <f>INDEX('Data - Borrowers'!$C$2:$C$851, MATCH(B824, 'Data - Borrowers'!$A$2:$A$851, 0))</f>
        <v/>
      </c>
      <c r="L824">
        <f>IF(D824&lt;100000, "Micro (&lt;100K)", IF(D824&lt;500000, "Small (100K-500K)", "Medium (500K+)"))</f>
        <v/>
      </c>
      <c r="M824">
        <f>TEXT(C824, "yyyy-mm")</f>
        <v/>
      </c>
    </row>
    <row r="825">
      <c r="A825" t="inlineStr">
        <is>
          <t>LN200896</t>
        </is>
      </c>
      <c r="B825" t="inlineStr">
        <is>
          <t>BOR100665</t>
        </is>
      </c>
      <c r="C825" s="8" t="n">
        <v>45890</v>
      </c>
      <c r="D825" s="9" t="n">
        <v>20000</v>
      </c>
      <c r="E825" t="n">
        <v>3</v>
      </c>
      <c r="F825" s="10" t="n">
        <v>0.203</v>
      </c>
      <c r="G825" t="inlineStr">
        <is>
          <t>Working Capital</t>
        </is>
      </c>
      <c r="H825" t="inlineStr">
        <is>
          <t>LO014</t>
        </is>
      </c>
      <c r="I825" t="inlineStr">
        <is>
          <t>Partner Referral</t>
        </is>
      </c>
      <c r="J825">
        <f>INDEX('Data - Borrowers'!$B$2:$B$851, MATCH(B825, 'Data - Borrowers'!$A$2:$A$851, 0))</f>
        <v/>
      </c>
      <c r="K825">
        <f>INDEX('Data - Borrowers'!$C$2:$C$851, MATCH(B825, 'Data - Borrowers'!$A$2:$A$851, 0))</f>
        <v/>
      </c>
      <c r="L825">
        <f>IF(D825&lt;100000, "Micro (&lt;100K)", IF(D825&lt;500000, "Small (100K-500K)", "Medium (500K+)"))</f>
        <v/>
      </c>
      <c r="M825">
        <f>TEXT(C825, "yyyy-mm")</f>
        <v/>
      </c>
    </row>
    <row r="826">
      <c r="A826" t="inlineStr">
        <is>
          <t>LN200897</t>
        </is>
      </c>
      <c r="B826" t="inlineStr">
        <is>
          <t>BOR100666</t>
        </is>
      </c>
      <c r="C826" s="8" t="n">
        <v>46177</v>
      </c>
      <c r="D826" s="9" t="n">
        <v>230000</v>
      </c>
      <c r="E826" t="n">
        <v>6</v>
      </c>
      <c r="F826" s="10" t="n">
        <v>0.188</v>
      </c>
      <c r="G826" t="inlineStr">
        <is>
          <t>Invoice Discounting</t>
        </is>
      </c>
      <c r="H826" t="inlineStr">
        <is>
          <t>LO004</t>
        </is>
      </c>
      <c r="I826" t="inlineStr">
        <is>
          <t>Mobile App</t>
        </is>
      </c>
      <c r="J826">
        <f>INDEX('Data - Borrowers'!$B$2:$B$851, MATCH(B826, 'Data - Borrowers'!$A$2:$A$851, 0))</f>
        <v/>
      </c>
      <c r="K826">
        <f>INDEX('Data - Borrowers'!$C$2:$C$851, MATCH(B826, 'Data - Borrowers'!$A$2:$A$851, 0))</f>
        <v/>
      </c>
      <c r="L826">
        <f>IF(D826&lt;100000, "Micro (&lt;100K)", IF(D826&lt;500000, "Small (100K-500K)", "Medium (500K+)"))</f>
        <v/>
      </c>
      <c r="M826">
        <f>TEXT(C826, "yyyy-mm")</f>
        <v/>
      </c>
    </row>
    <row r="827">
      <c r="A827" t="inlineStr">
        <is>
          <t>LN200898</t>
        </is>
      </c>
      <c r="B827" t="inlineStr">
        <is>
          <t>BOR100667</t>
        </is>
      </c>
      <c r="C827" s="8" t="n">
        <v>45773</v>
      </c>
      <c r="D827" s="9" t="n">
        <v>30000</v>
      </c>
      <c r="E827" t="n">
        <v>3</v>
      </c>
      <c r="F827" s="10" t="n">
        <v>0.212</v>
      </c>
      <c r="G827" t="inlineStr">
        <is>
          <t>Asset Finance</t>
        </is>
      </c>
      <c r="H827" t="inlineStr">
        <is>
          <t>LO009</t>
        </is>
      </c>
      <c r="I827" t="inlineStr">
        <is>
          <t>Partner Referral</t>
        </is>
      </c>
      <c r="J827">
        <f>INDEX('Data - Borrowers'!$B$2:$B$851, MATCH(B827, 'Data - Borrowers'!$A$2:$A$851, 0))</f>
        <v/>
      </c>
      <c r="K827">
        <f>INDEX('Data - Borrowers'!$C$2:$C$851, MATCH(B827, 'Data - Borrowers'!$A$2:$A$851, 0))</f>
        <v/>
      </c>
      <c r="L827">
        <f>IF(D827&lt;100000, "Micro (&lt;100K)", IF(D827&lt;500000, "Small (100K-500K)", "Medium (500K+)"))</f>
        <v/>
      </c>
      <c r="M827">
        <f>TEXT(C827, "yyyy-mm")</f>
        <v/>
      </c>
    </row>
    <row r="828">
      <c r="A828" t="inlineStr">
        <is>
          <t>LN200899</t>
        </is>
      </c>
      <c r="B828" t="inlineStr">
        <is>
          <t>BOR100668</t>
        </is>
      </c>
      <c r="C828" s="8" t="n">
        <v>46170</v>
      </c>
      <c r="D828" s="9" t="n">
        <v>234000</v>
      </c>
      <c r="E828" t="n">
        <v>12</v>
      </c>
      <c r="F828" s="10" t="n">
        <v>0.127</v>
      </c>
      <c r="G828" t="inlineStr">
        <is>
          <t>Working Capital</t>
        </is>
      </c>
      <c r="H828" t="inlineStr">
        <is>
          <t>LO006</t>
        </is>
      </c>
      <c r="I828" t="inlineStr">
        <is>
          <t>Mobile App</t>
        </is>
      </c>
      <c r="J828">
        <f>INDEX('Data - Borrowers'!$B$2:$B$851, MATCH(B828, 'Data - Borrowers'!$A$2:$A$851, 0))</f>
        <v/>
      </c>
      <c r="K828">
        <f>INDEX('Data - Borrowers'!$C$2:$C$851, MATCH(B828, 'Data - Borrowers'!$A$2:$A$851, 0))</f>
        <v/>
      </c>
      <c r="L828">
        <f>IF(D828&lt;100000, "Micro (&lt;100K)", IF(D828&lt;500000, "Small (100K-500K)", "Medium (500K+)"))</f>
        <v/>
      </c>
      <c r="M828">
        <f>TEXT(C828, "yyyy-mm")</f>
        <v/>
      </c>
    </row>
    <row r="829">
      <c r="A829" t="inlineStr">
        <is>
          <t>LN200900</t>
        </is>
      </c>
      <c r="B829" t="inlineStr">
        <is>
          <t>BOR100668</t>
        </is>
      </c>
      <c r="C829" s="8" t="n">
        <v>46234</v>
      </c>
      <c r="D829" s="9" t="n">
        <v>340000</v>
      </c>
      <c r="E829" t="n">
        <v>6</v>
      </c>
      <c r="F829" s="10" t="n">
        <v>0.235</v>
      </c>
      <c r="G829" t="inlineStr">
        <is>
          <t>Invoice Discounting</t>
        </is>
      </c>
      <c r="H829" t="inlineStr">
        <is>
          <t>LO009</t>
        </is>
      </c>
      <c r="I829" t="inlineStr">
        <is>
          <t>Branch</t>
        </is>
      </c>
      <c r="J829">
        <f>INDEX('Data - Borrowers'!$B$2:$B$851, MATCH(B829, 'Data - Borrowers'!$A$2:$A$851, 0))</f>
        <v/>
      </c>
      <c r="K829">
        <f>INDEX('Data - Borrowers'!$C$2:$C$851, MATCH(B829, 'Data - Borrowers'!$A$2:$A$851, 0))</f>
        <v/>
      </c>
      <c r="L829">
        <f>IF(D829&lt;100000, "Micro (&lt;100K)", IF(D829&lt;500000, "Small (100K-500K)", "Medium (500K+)"))</f>
        <v/>
      </c>
      <c r="M829">
        <f>TEXT(C829, "yyyy-mm")</f>
        <v/>
      </c>
    </row>
    <row r="830">
      <c r="A830" t="inlineStr">
        <is>
          <t>LN200901</t>
        </is>
      </c>
      <c r="B830" t="inlineStr">
        <is>
          <t>BOR100669</t>
        </is>
      </c>
      <c r="C830" s="8" t="n">
        <v>45830</v>
      </c>
      <c r="D830" s="9" t="n">
        <v>85000</v>
      </c>
      <c r="E830" t="n">
        <v>3</v>
      </c>
      <c r="F830" s="10" t="n">
        <v>0.168</v>
      </c>
      <c r="G830" t="inlineStr">
        <is>
          <t>Working Capital</t>
        </is>
      </c>
      <c r="H830" t="inlineStr">
        <is>
          <t>LO010</t>
        </is>
      </c>
      <c r="I830" t="inlineStr">
        <is>
          <t>Mobile App</t>
        </is>
      </c>
      <c r="J830">
        <f>INDEX('Data - Borrowers'!$B$2:$B$851, MATCH(B830, 'Data - Borrowers'!$A$2:$A$851, 0))</f>
        <v/>
      </c>
      <c r="K830">
        <f>INDEX('Data - Borrowers'!$C$2:$C$851, MATCH(B830, 'Data - Borrowers'!$A$2:$A$851, 0))</f>
        <v/>
      </c>
      <c r="L830">
        <f>IF(D830&lt;100000, "Micro (&lt;100K)", IF(D830&lt;500000, "Small (100K-500K)", "Medium (500K+)"))</f>
        <v/>
      </c>
      <c r="M830">
        <f>TEXT(C830, "yyyy-mm")</f>
        <v/>
      </c>
    </row>
    <row r="831">
      <c r="A831" t="inlineStr">
        <is>
          <t>LN200902</t>
        </is>
      </c>
      <c r="B831" t="inlineStr">
        <is>
          <t>BOR100670</t>
        </is>
      </c>
      <c r="C831" s="8" t="n">
        <v>45933</v>
      </c>
      <c r="D831" s="9" t="n">
        <v>276000</v>
      </c>
      <c r="E831" t="n">
        <v>3</v>
      </c>
      <c r="F831" s="10" t="n">
        <v>0.231</v>
      </c>
      <c r="G831" t="inlineStr">
        <is>
          <t>Asset Finance</t>
        </is>
      </c>
      <c r="H831" t="inlineStr">
        <is>
          <t>LO007</t>
        </is>
      </c>
      <c r="I831" t="inlineStr">
        <is>
          <t>Branch</t>
        </is>
      </c>
      <c r="J831">
        <f>INDEX('Data - Borrowers'!$B$2:$B$851, MATCH(B831, 'Data - Borrowers'!$A$2:$A$851, 0))</f>
        <v/>
      </c>
      <c r="K831">
        <f>INDEX('Data - Borrowers'!$C$2:$C$851, MATCH(B831, 'Data - Borrowers'!$A$2:$A$851, 0))</f>
        <v/>
      </c>
      <c r="L831">
        <f>IF(D831&lt;100000, "Micro (&lt;100K)", IF(D831&lt;500000, "Small (100K-500K)", "Medium (500K+)"))</f>
        <v/>
      </c>
      <c r="M831">
        <f>TEXT(C831, "yyyy-mm")</f>
        <v/>
      </c>
    </row>
    <row r="832">
      <c r="A832" t="inlineStr">
        <is>
          <t>LN200903</t>
        </is>
      </c>
      <c r="B832" t="inlineStr">
        <is>
          <t>BOR100671</t>
        </is>
      </c>
      <c r="C832" s="8" t="n">
        <v>46068</v>
      </c>
      <c r="D832" s="9" t="n">
        <v>83000</v>
      </c>
      <c r="E832" t="n">
        <v>18</v>
      </c>
      <c r="F832" s="10" t="n">
        <v>0.171</v>
      </c>
      <c r="G832" t="inlineStr">
        <is>
          <t>Asset Finance</t>
        </is>
      </c>
      <c r="H832" t="inlineStr">
        <is>
          <t>LO016</t>
        </is>
      </c>
      <c r="I832" t="inlineStr">
        <is>
          <t>Partner Referral</t>
        </is>
      </c>
      <c r="J832">
        <f>INDEX('Data - Borrowers'!$B$2:$B$851, MATCH(B832, 'Data - Borrowers'!$A$2:$A$851, 0))</f>
        <v/>
      </c>
      <c r="K832">
        <f>INDEX('Data - Borrowers'!$C$2:$C$851, MATCH(B832, 'Data - Borrowers'!$A$2:$A$851, 0))</f>
        <v/>
      </c>
      <c r="L832">
        <f>IF(D832&lt;100000, "Micro (&lt;100K)", IF(D832&lt;500000, "Small (100K-500K)", "Medium (500K+)"))</f>
        <v/>
      </c>
      <c r="M832">
        <f>TEXT(C832, "yyyy-mm")</f>
        <v/>
      </c>
    </row>
    <row r="833">
      <c r="A833" t="inlineStr">
        <is>
          <t>LN200904</t>
        </is>
      </c>
      <c r="B833" t="inlineStr">
        <is>
          <t>BOR100672</t>
        </is>
      </c>
      <c r="C833" s="8" t="n">
        <v>46014</v>
      </c>
      <c r="D833" s="9" t="n">
        <v>42000</v>
      </c>
      <c r="E833" t="n">
        <v>9</v>
      </c>
      <c r="F833" s="10" t="n">
        <v>0.164</v>
      </c>
      <c r="G833" t="inlineStr">
        <is>
          <t>Working Capital</t>
        </is>
      </c>
      <c r="H833" t="inlineStr">
        <is>
          <t>LO020</t>
        </is>
      </c>
      <c r="I833" t="inlineStr">
        <is>
          <t>Mobile App</t>
        </is>
      </c>
      <c r="J833">
        <f>INDEX('Data - Borrowers'!$B$2:$B$851, MATCH(B833, 'Data - Borrowers'!$A$2:$A$851, 0))</f>
        <v/>
      </c>
      <c r="K833">
        <f>INDEX('Data - Borrowers'!$C$2:$C$851, MATCH(B833, 'Data - Borrowers'!$A$2:$A$851, 0))</f>
        <v/>
      </c>
      <c r="L833">
        <f>IF(D833&lt;100000, "Micro (&lt;100K)", IF(D833&lt;500000, "Small (100K-500K)", "Medium (500K+)"))</f>
        <v/>
      </c>
      <c r="M833">
        <f>TEXT(C833, "yyyy-mm")</f>
        <v/>
      </c>
    </row>
    <row r="834">
      <c r="A834" t="inlineStr">
        <is>
          <t>LN200905</t>
        </is>
      </c>
      <c r="B834" t="inlineStr">
        <is>
          <t>BOR100673</t>
        </is>
      </c>
      <c r="C834" s="8" t="n">
        <v>45828</v>
      </c>
      <c r="D834" s="9" t="n">
        <v>98000</v>
      </c>
      <c r="E834" t="n">
        <v>12</v>
      </c>
      <c r="F834" s="10" t="n">
        <v>0.151</v>
      </c>
      <c r="G834" t="inlineStr">
        <is>
          <t>Invoice Discounting</t>
        </is>
      </c>
      <c r="H834" t="inlineStr">
        <is>
          <t>LO017</t>
        </is>
      </c>
      <c r="I834" t="inlineStr">
        <is>
          <t>Branch</t>
        </is>
      </c>
      <c r="J834">
        <f>INDEX('Data - Borrowers'!$B$2:$B$851, MATCH(B834, 'Data - Borrowers'!$A$2:$A$851, 0))</f>
        <v/>
      </c>
      <c r="K834">
        <f>INDEX('Data - Borrowers'!$C$2:$C$851, MATCH(B834, 'Data - Borrowers'!$A$2:$A$851, 0))</f>
        <v/>
      </c>
      <c r="L834">
        <f>IF(D834&lt;100000, "Micro (&lt;100K)", IF(D834&lt;500000, "Small (100K-500K)", "Medium (500K+)"))</f>
        <v/>
      </c>
      <c r="M834">
        <f>TEXT(C834, "yyyy-mm")</f>
        <v/>
      </c>
    </row>
    <row r="835">
      <c r="A835" t="inlineStr">
        <is>
          <t>LN200906</t>
        </is>
      </c>
      <c r="B835" t="inlineStr">
        <is>
          <t>BOR100674</t>
        </is>
      </c>
      <c r="C835" s="8" t="n">
        <v>46113</v>
      </c>
      <c r="D835" s="9" t="n">
        <v>131000</v>
      </c>
      <c r="E835" t="n">
        <v>3</v>
      </c>
      <c r="F835" s="10" t="n">
        <v>0.194</v>
      </c>
      <c r="G835" t="inlineStr">
        <is>
          <t>Working Capital</t>
        </is>
      </c>
      <c r="H835" t="inlineStr">
        <is>
          <t>LO024</t>
        </is>
      </c>
      <c r="I835" t="inlineStr">
        <is>
          <t>Partner Referral</t>
        </is>
      </c>
      <c r="J835">
        <f>INDEX('Data - Borrowers'!$B$2:$B$851, MATCH(B835, 'Data - Borrowers'!$A$2:$A$851, 0))</f>
        <v/>
      </c>
      <c r="K835">
        <f>INDEX('Data - Borrowers'!$C$2:$C$851, MATCH(B835, 'Data - Borrowers'!$A$2:$A$851, 0))</f>
        <v/>
      </c>
      <c r="L835">
        <f>IF(D835&lt;100000, "Micro (&lt;100K)", IF(D835&lt;500000, "Small (100K-500K)", "Medium (500K+)"))</f>
        <v/>
      </c>
      <c r="M835">
        <f>TEXT(C835, "yyyy-mm")</f>
        <v/>
      </c>
    </row>
    <row r="836">
      <c r="A836" t="inlineStr">
        <is>
          <t>LN200907</t>
        </is>
      </c>
      <c r="B836" t="inlineStr">
        <is>
          <t>BOR100675</t>
        </is>
      </c>
      <c r="C836" s="8" t="n">
        <v>45875</v>
      </c>
      <c r="D836" s="9" t="n">
        <v>66000</v>
      </c>
      <c r="E836" t="n">
        <v>6</v>
      </c>
      <c r="F836" s="10" t="n">
        <v>0.232</v>
      </c>
      <c r="G836" t="inlineStr">
        <is>
          <t>Invoice Discounting</t>
        </is>
      </c>
      <c r="H836" t="inlineStr">
        <is>
          <t>LO008</t>
        </is>
      </c>
      <c r="I836" t="inlineStr">
        <is>
          <t>Partner Referral</t>
        </is>
      </c>
      <c r="J836">
        <f>INDEX('Data - Borrowers'!$B$2:$B$851, MATCH(B836, 'Data - Borrowers'!$A$2:$A$851, 0))</f>
        <v/>
      </c>
      <c r="K836">
        <f>INDEX('Data - Borrowers'!$C$2:$C$851, MATCH(B836, 'Data - Borrowers'!$A$2:$A$851, 0))</f>
        <v/>
      </c>
      <c r="L836">
        <f>IF(D836&lt;100000, "Micro (&lt;100K)", IF(D836&lt;500000, "Small (100K-500K)", "Medium (500K+)"))</f>
        <v/>
      </c>
      <c r="M836">
        <f>TEXT(C836, "yyyy-mm")</f>
        <v/>
      </c>
    </row>
    <row r="837">
      <c r="A837" t="inlineStr">
        <is>
          <t>LN200908</t>
        </is>
      </c>
      <c r="B837" t="inlineStr">
        <is>
          <t>BOR100676</t>
        </is>
      </c>
      <c r="C837" s="8" t="n">
        <v>46212</v>
      </c>
      <c r="D837" s="9" t="n">
        <v>89000</v>
      </c>
      <c r="E837" t="n">
        <v>3</v>
      </c>
      <c r="F837" s="10" t="n">
        <v>0.233</v>
      </c>
      <c r="G837" t="inlineStr">
        <is>
          <t>Working Capital</t>
        </is>
      </c>
      <c r="H837" t="inlineStr">
        <is>
          <t>LO018</t>
        </is>
      </c>
      <c r="I837" t="inlineStr">
        <is>
          <t>Branch</t>
        </is>
      </c>
      <c r="J837">
        <f>INDEX('Data - Borrowers'!$B$2:$B$851, MATCH(B837, 'Data - Borrowers'!$A$2:$A$851, 0))</f>
        <v/>
      </c>
      <c r="K837">
        <f>INDEX('Data - Borrowers'!$C$2:$C$851, MATCH(B837, 'Data - Borrowers'!$A$2:$A$851, 0))</f>
        <v/>
      </c>
      <c r="L837">
        <f>IF(D837&lt;100000, "Micro (&lt;100K)", IF(D837&lt;500000, "Small (100K-500K)", "Medium (500K+)"))</f>
        <v/>
      </c>
      <c r="M837">
        <f>TEXT(C837, "yyyy-mm")</f>
        <v/>
      </c>
    </row>
    <row r="838">
      <c r="A838" t="inlineStr">
        <is>
          <t>LN200910</t>
        </is>
      </c>
      <c r="B838" t="inlineStr">
        <is>
          <t>BOR100677</t>
        </is>
      </c>
      <c r="C838" s="8" t="n">
        <v>46161</v>
      </c>
      <c r="D838" s="9" t="n">
        <v>678000</v>
      </c>
      <c r="E838" t="n">
        <v>9</v>
      </c>
      <c r="F838" s="10" t="n">
        <v>0.239</v>
      </c>
      <c r="G838" t="inlineStr">
        <is>
          <t>Invoice Discounting</t>
        </is>
      </c>
      <c r="H838" t="inlineStr">
        <is>
          <t>LO025</t>
        </is>
      </c>
      <c r="I838" t="inlineStr">
        <is>
          <t>Mobile App</t>
        </is>
      </c>
      <c r="J838">
        <f>INDEX('Data - Borrowers'!$B$2:$B$851, MATCH(B838, 'Data - Borrowers'!$A$2:$A$851, 0))</f>
        <v/>
      </c>
      <c r="K838">
        <f>INDEX('Data - Borrowers'!$C$2:$C$851, MATCH(B838, 'Data - Borrowers'!$A$2:$A$851, 0))</f>
        <v/>
      </c>
      <c r="L838">
        <f>IF(D838&lt;100000, "Micro (&lt;100K)", IF(D838&lt;500000, "Small (100K-500K)", "Medium (500K+)"))</f>
        <v/>
      </c>
      <c r="M838">
        <f>TEXT(C838, "yyyy-mm")</f>
        <v/>
      </c>
    </row>
    <row r="839">
      <c r="A839" t="inlineStr">
        <is>
          <t>LN200912</t>
        </is>
      </c>
      <c r="B839" t="inlineStr">
        <is>
          <t>BOR100678</t>
        </is>
      </c>
      <c r="C839" s="8" t="n">
        <v>45766</v>
      </c>
      <c r="D839" s="9" t="n">
        <v>95000</v>
      </c>
      <c r="E839" t="n">
        <v>6</v>
      </c>
      <c r="F839" s="10" t="n">
        <v>0.182</v>
      </c>
      <c r="G839" t="inlineStr">
        <is>
          <t>Asset Finance</t>
        </is>
      </c>
      <c r="H839" t="inlineStr">
        <is>
          <t>LO015</t>
        </is>
      </c>
      <c r="I839" t="inlineStr">
        <is>
          <t>Branch</t>
        </is>
      </c>
      <c r="J839">
        <f>INDEX('Data - Borrowers'!$B$2:$B$851, MATCH(B839, 'Data - Borrowers'!$A$2:$A$851, 0))</f>
        <v/>
      </c>
      <c r="K839">
        <f>INDEX('Data - Borrowers'!$C$2:$C$851, MATCH(B839, 'Data - Borrowers'!$A$2:$A$851, 0))</f>
        <v/>
      </c>
      <c r="L839">
        <f>IF(D839&lt;100000, "Micro (&lt;100K)", IF(D839&lt;500000, "Small (100K-500K)", "Medium (500K+)"))</f>
        <v/>
      </c>
      <c r="M839">
        <f>TEXT(C839, "yyyy-mm")</f>
        <v/>
      </c>
    </row>
    <row r="840">
      <c r="A840" t="inlineStr">
        <is>
          <t>LN200913</t>
        </is>
      </c>
      <c r="B840" t="inlineStr">
        <is>
          <t>BOR100678</t>
        </is>
      </c>
      <c r="C840" s="8" t="n">
        <v>46092</v>
      </c>
      <c r="D840" s="9" t="n">
        <v>269000</v>
      </c>
      <c r="E840" t="n">
        <v>12</v>
      </c>
      <c r="F840" s="10" t="n">
        <v>0.168</v>
      </c>
      <c r="G840" t="inlineStr">
        <is>
          <t>Asset Finance</t>
        </is>
      </c>
      <c r="H840" t="inlineStr">
        <is>
          <t>LO011</t>
        </is>
      </c>
      <c r="I840" t="inlineStr">
        <is>
          <t>Branch</t>
        </is>
      </c>
      <c r="J840">
        <f>INDEX('Data - Borrowers'!$B$2:$B$851, MATCH(B840, 'Data - Borrowers'!$A$2:$A$851, 0))</f>
        <v/>
      </c>
      <c r="K840">
        <f>INDEX('Data - Borrowers'!$C$2:$C$851, MATCH(B840, 'Data - Borrowers'!$A$2:$A$851, 0))</f>
        <v/>
      </c>
      <c r="L840">
        <f>IF(D840&lt;100000, "Micro (&lt;100K)", IF(D840&lt;500000, "Small (100K-500K)", "Medium (500K+)"))</f>
        <v/>
      </c>
      <c r="M840">
        <f>TEXT(C840, "yyyy-mm")</f>
        <v/>
      </c>
    </row>
    <row r="841">
      <c r="A841" t="inlineStr">
        <is>
          <t>LN200914</t>
        </is>
      </c>
      <c r="B841" t="inlineStr">
        <is>
          <t>BOR100678</t>
        </is>
      </c>
      <c r="C841" s="8" t="n">
        <v>46230</v>
      </c>
      <c r="D841" s="9" t="n">
        <v>184000</v>
      </c>
      <c r="E841" t="n">
        <v>3</v>
      </c>
      <c r="F841" s="10" t="n">
        <v>0.189</v>
      </c>
      <c r="G841" t="inlineStr">
        <is>
          <t>Working Capital</t>
        </is>
      </c>
      <c r="H841" t="inlineStr">
        <is>
          <t>LO002</t>
        </is>
      </c>
      <c r="I841" t="inlineStr">
        <is>
          <t>Mobile App</t>
        </is>
      </c>
      <c r="J841">
        <f>INDEX('Data - Borrowers'!$B$2:$B$851, MATCH(B841, 'Data - Borrowers'!$A$2:$A$851, 0))</f>
        <v/>
      </c>
      <c r="K841">
        <f>INDEX('Data - Borrowers'!$C$2:$C$851, MATCH(B841, 'Data - Borrowers'!$A$2:$A$851, 0))</f>
        <v/>
      </c>
      <c r="L841">
        <f>IF(D841&lt;100000, "Micro (&lt;100K)", IF(D841&lt;500000, "Small (100K-500K)", "Medium (500K+)"))</f>
        <v/>
      </c>
      <c r="M841">
        <f>TEXT(C841, "yyyy-mm")</f>
        <v/>
      </c>
    </row>
    <row r="842">
      <c r="A842" t="inlineStr">
        <is>
          <t>LN200915</t>
        </is>
      </c>
      <c r="B842" t="inlineStr">
        <is>
          <t>BOR100679</t>
        </is>
      </c>
      <c r="C842" s="8" t="n">
        <v>45853</v>
      </c>
      <c r="D842" s="9" t="n">
        <v>134000</v>
      </c>
      <c r="E842" t="n">
        <v>9</v>
      </c>
      <c r="F842" s="10" t="n">
        <v>0.134</v>
      </c>
      <c r="G842" t="inlineStr">
        <is>
          <t>Working Capital</t>
        </is>
      </c>
      <c r="H842" t="inlineStr">
        <is>
          <t>LO011</t>
        </is>
      </c>
      <c r="I842" t="inlineStr">
        <is>
          <t>Mobile App</t>
        </is>
      </c>
      <c r="J842">
        <f>INDEX('Data - Borrowers'!$B$2:$B$851, MATCH(B842, 'Data - Borrowers'!$A$2:$A$851, 0))</f>
        <v/>
      </c>
      <c r="K842">
        <f>INDEX('Data - Borrowers'!$C$2:$C$851, MATCH(B842, 'Data - Borrowers'!$A$2:$A$851, 0))</f>
        <v/>
      </c>
      <c r="L842">
        <f>IF(D842&lt;100000, "Micro (&lt;100K)", IF(D842&lt;500000, "Small (100K-500K)", "Medium (500K+)"))</f>
        <v/>
      </c>
      <c r="M842">
        <f>TEXT(C842, "yyyy-mm")</f>
        <v/>
      </c>
    </row>
    <row r="843">
      <c r="A843" t="inlineStr">
        <is>
          <t>LN200916</t>
        </is>
      </c>
      <c r="B843" t="inlineStr">
        <is>
          <t>BOR100680</t>
        </is>
      </c>
      <c r="C843" s="8" t="n">
        <v>46235</v>
      </c>
      <c r="D843" s="9" t="n">
        <v>192000</v>
      </c>
      <c r="E843" t="n">
        <v>9</v>
      </c>
      <c r="F843" s="10" t="n">
        <v>0.142</v>
      </c>
      <c r="G843" t="inlineStr">
        <is>
          <t>Asset Finance</t>
        </is>
      </c>
      <c r="H843" t="inlineStr">
        <is>
          <t>LO011</t>
        </is>
      </c>
      <c r="I843" t="inlineStr">
        <is>
          <t>Partner Referral</t>
        </is>
      </c>
      <c r="J843">
        <f>INDEX('Data - Borrowers'!$B$2:$B$851, MATCH(B843, 'Data - Borrowers'!$A$2:$A$851, 0))</f>
        <v/>
      </c>
      <c r="K843">
        <f>INDEX('Data - Borrowers'!$C$2:$C$851, MATCH(B843, 'Data - Borrowers'!$A$2:$A$851, 0))</f>
        <v/>
      </c>
      <c r="L843">
        <f>IF(D843&lt;100000, "Micro (&lt;100K)", IF(D843&lt;500000, "Small (100K-500K)", "Medium (500K+)"))</f>
        <v/>
      </c>
      <c r="M843">
        <f>TEXT(C843, "yyyy-mm")</f>
        <v/>
      </c>
    </row>
    <row r="844">
      <c r="A844" t="inlineStr">
        <is>
          <t>LN200918</t>
        </is>
      </c>
      <c r="B844" t="inlineStr">
        <is>
          <t>BOR100681</t>
        </is>
      </c>
      <c r="C844" s="8" t="n">
        <v>45723</v>
      </c>
      <c r="D844" s="9" t="n">
        <v>384000</v>
      </c>
      <c r="E844" t="n">
        <v>12</v>
      </c>
      <c r="F844" s="10" t="n">
        <v>0.125</v>
      </c>
      <c r="G844" t="inlineStr">
        <is>
          <t>Working Capital</t>
        </is>
      </c>
      <c r="H844" t="inlineStr">
        <is>
          <t>LO020</t>
        </is>
      </c>
      <c r="I844" t="inlineStr">
        <is>
          <t>Partner Referral</t>
        </is>
      </c>
      <c r="J844">
        <f>INDEX('Data - Borrowers'!$B$2:$B$851, MATCH(B844, 'Data - Borrowers'!$A$2:$A$851, 0))</f>
        <v/>
      </c>
      <c r="K844">
        <f>INDEX('Data - Borrowers'!$C$2:$C$851, MATCH(B844, 'Data - Borrowers'!$A$2:$A$851, 0))</f>
        <v/>
      </c>
      <c r="L844">
        <f>IF(D844&lt;100000, "Micro (&lt;100K)", IF(D844&lt;500000, "Small (100K-500K)", "Medium (500K+)"))</f>
        <v/>
      </c>
      <c r="M844">
        <f>TEXT(C844, "yyyy-mm")</f>
        <v/>
      </c>
    </row>
    <row r="845">
      <c r="A845" t="inlineStr">
        <is>
          <t>LN200919</t>
        </is>
      </c>
      <c r="B845" t="inlineStr">
        <is>
          <t>BOR100682</t>
        </is>
      </c>
      <c r="C845" s="8" t="n">
        <v>46119</v>
      </c>
      <c r="D845" s="9" t="n">
        <v>102000</v>
      </c>
      <c r="E845" t="n">
        <v>12</v>
      </c>
      <c r="F845" s="10" t="n">
        <v>0.161</v>
      </c>
      <c r="G845" t="inlineStr">
        <is>
          <t>Working Capital</t>
        </is>
      </c>
      <c r="H845" t="inlineStr">
        <is>
          <t>LO019</t>
        </is>
      </c>
      <c r="I845" t="inlineStr">
        <is>
          <t>Partner Referral</t>
        </is>
      </c>
      <c r="J845">
        <f>INDEX('Data - Borrowers'!$B$2:$B$851, MATCH(B845, 'Data - Borrowers'!$A$2:$A$851, 0))</f>
        <v/>
      </c>
      <c r="K845">
        <f>INDEX('Data - Borrowers'!$C$2:$C$851, MATCH(B845, 'Data - Borrowers'!$A$2:$A$851, 0))</f>
        <v/>
      </c>
      <c r="L845">
        <f>IF(D845&lt;100000, "Micro (&lt;100K)", IF(D845&lt;500000, "Small (100K-500K)", "Medium (500K+)"))</f>
        <v/>
      </c>
      <c r="M845">
        <f>TEXT(C845, "yyyy-mm")</f>
        <v/>
      </c>
    </row>
    <row r="846">
      <c r="A846" t="inlineStr">
        <is>
          <t>LN200921</t>
        </is>
      </c>
      <c r="B846" t="inlineStr">
        <is>
          <t>BOR100683</t>
        </is>
      </c>
      <c r="C846" s="8" t="n">
        <v>45984</v>
      </c>
      <c r="D846" s="9" t="n">
        <v>38000</v>
      </c>
      <c r="E846" t="n">
        <v>6</v>
      </c>
      <c r="F846" s="10" t="n">
        <v>0.189</v>
      </c>
      <c r="G846" t="inlineStr">
        <is>
          <t>Asset Finance</t>
        </is>
      </c>
      <c r="H846" t="inlineStr">
        <is>
          <t>LO018</t>
        </is>
      </c>
      <c r="I846" t="inlineStr">
        <is>
          <t>Mobile App</t>
        </is>
      </c>
      <c r="J846">
        <f>INDEX('Data - Borrowers'!$B$2:$B$851, MATCH(B846, 'Data - Borrowers'!$A$2:$A$851, 0))</f>
        <v/>
      </c>
      <c r="K846">
        <f>INDEX('Data - Borrowers'!$C$2:$C$851, MATCH(B846, 'Data - Borrowers'!$A$2:$A$851, 0))</f>
        <v/>
      </c>
      <c r="L846">
        <f>IF(D846&lt;100000, "Micro (&lt;100K)", IF(D846&lt;500000, "Small (100K-500K)", "Medium (500K+)"))</f>
        <v/>
      </c>
      <c r="M846">
        <f>TEXT(C846, "yyyy-mm")</f>
        <v/>
      </c>
    </row>
    <row r="847">
      <c r="A847" t="inlineStr">
        <is>
          <t>LN200922</t>
        </is>
      </c>
      <c r="B847" t="inlineStr">
        <is>
          <t>BOR100683</t>
        </is>
      </c>
      <c r="C847" s="8" t="n">
        <v>46158</v>
      </c>
      <c r="D847" s="9" t="n">
        <v>36000</v>
      </c>
      <c r="E847" t="n">
        <v>6</v>
      </c>
      <c r="F847" s="10" t="n">
        <v>0.236</v>
      </c>
      <c r="G847" t="inlineStr">
        <is>
          <t>Asset Finance</t>
        </is>
      </c>
      <c r="H847" t="inlineStr">
        <is>
          <t>LO004</t>
        </is>
      </c>
      <c r="I847" t="inlineStr">
        <is>
          <t>Branch</t>
        </is>
      </c>
      <c r="J847">
        <f>INDEX('Data - Borrowers'!$B$2:$B$851, MATCH(B847, 'Data - Borrowers'!$A$2:$A$851, 0))</f>
        <v/>
      </c>
      <c r="K847">
        <f>INDEX('Data - Borrowers'!$C$2:$C$851, MATCH(B847, 'Data - Borrowers'!$A$2:$A$851, 0))</f>
        <v/>
      </c>
      <c r="L847">
        <f>IF(D847&lt;100000, "Micro (&lt;100K)", IF(D847&lt;500000, "Small (100K-500K)", "Medium (500K+)"))</f>
        <v/>
      </c>
      <c r="M847">
        <f>TEXT(C847, "yyyy-mm")</f>
        <v/>
      </c>
    </row>
    <row r="848">
      <c r="A848" t="inlineStr">
        <is>
          <t>LN200923</t>
        </is>
      </c>
      <c r="B848" t="inlineStr">
        <is>
          <t>BOR100684</t>
        </is>
      </c>
      <c r="C848" s="8" t="n">
        <v>46035</v>
      </c>
      <c r="D848" s="9" t="n">
        <v>86000</v>
      </c>
      <c r="E848" t="n">
        <v>12</v>
      </c>
      <c r="F848" s="10" t="n">
        <v>0.232</v>
      </c>
      <c r="G848" t="inlineStr">
        <is>
          <t>Working Capital</t>
        </is>
      </c>
      <c r="H848" t="inlineStr">
        <is>
          <t>LO018</t>
        </is>
      </c>
      <c r="I848" t="inlineStr">
        <is>
          <t>Mobile App</t>
        </is>
      </c>
      <c r="J848">
        <f>INDEX('Data - Borrowers'!$B$2:$B$851, MATCH(B848, 'Data - Borrowers'!$A$2:$A$851, 0))</f>
        <v/>
      </c>
      <c r="K848">
        <f>INDEX('Data - Borrowers'!$C$2:$C$851, MATCH(B848, 'Data - Borrowers'!$A$2:$A$851, 0))</f>
        <v/>
      </c>
      <c r="L848">
        <f>IF(D848&lt;100000, "Micro (&lt;100K)", IF(D848&lt;500000, "Small (100K-500K)", "Medium (500K+)"))</f>
        <v/>
      </c>
      <c r="M848">
        <f>TEXT(C848, "yyyy-mm")</f>
        <v/>
      </c>
    </row>
    <row r="849">
      <c r="A849" t="inlineStr">
        <is>
          <t>LN200924</t>
        </is>
      </c>
      <c r="B849" t="inlineStr">
        <is>
          <t>BOR100685</t>
        </is>
      </c>
      <c r="C849" s="8" t="n">
        <v>46024</v>
      </c>
      <c r="D849" s="9" t="n">
        <v>264000</v>
      </c>
      <c r="E849" t="n">
        <v>12</v>
      </c>
      <c r="F849" s="10" t="n">
        <v>0.182</v>
      </c>
      <c r="G849" t="inlineStr">
        <is>
          <t>Working Capital</t>
        </is>
      </c>
      <c r="H849" t="inlineStr">
        <is>
          <t>LO025</t>
        </is>
      </c>
      <c r="I849" t="inlineStr">
        <is>
          <t>Mobile App</t>
        </is>
      </c>
      <c r="J849">
        <f>INDEX('Data - Borrowers'!$B$2:$B$851, MATCH(B849, 'Data - Borrowers'!$A$2:$A$851, 0))</f>
        <v/>
      </c>
      <c r="K849">
        <f>INDEX('Data - Borrowers'!$C$2:$C$851, MATCH(B849, 'Data - Borrowers'!$A$2:$A$851, 0))</f>
        <v/>
      </c>
      <c r="L849">
        <f>IF(D849&lt;100000, "Micro (&lt;100K)", IF(D849&lt;500000, "Small (100K-500K)", "Medium (500K+)"))</f>
        <v/>
      </c>
      <c r="M849">
        <f>TEXT(C849, "yyyy-mm")</f>
        <v/>
      </c>
    </row>
    <row r="850">
      <c r="A850" t="inlineStr">
        <is>
          <t>LN200925</t>
        </is>
      </c>
      <c r="B850" t="inlineStr">
        <is>
          <t>BOR100686</t>
        </is>
      </c>
      <c r="C850" s="8" t="n">
        <v>45890</v>
      </c>
      <c r="D850" s="9" t="n">
        <v>65000</v>
      </c>
      <c r="E850" t="n">
        <v>6</v>
      </c>
      <c r="F850" s="10" t="n">
        <v>0.154</v>
      </c>
      <c r="G850" t="inlineStr">
        <is>
          <t>Invoice Discounting</t>
        </is>
      </c>
      <c r="H850" t="inlineStr">
        <is>
          <t>LO022</t>
        </is>
      </c>
      <c r="I850" t="inlineStr">
        <is>
          <t>Branch</t>
        </is>
      </c>
      <c r="J850">
        <f>INDEX('Data - Borrowers'!$B$2:$B$851, MATCH(B850, 'Data - Borrowers'!$A$2:$A$851, 0))</f>
        <v/>
      </c>
      <c r="K850">
        <f>INDEX('Data - Borrowers'!$C$2:$C$851, MATCH(B850, 'Data - Borrowers'!$A$2:$A$851, 0))</f>
        <v/>
      </c>
      <c r="L850">
        <f>IF(D850&lt;100000, "Micro (&lt;100K)", IF(D850&lt;500000, "Small (100K-500K)", "Medium (500K+)"))</f>
        <v/>
      </c>
      <c r="M850">
        <f>TEXT(C850, "yyyy-mm")</f>
        <v/>
      </c>
    </row>
    <row r="851">
      <c r="A851" t="inlineStr">
        <is>
          <t>LN200926</t>
        </is>
      </c>
      <c r="B851" t="inlineStr">
        <is>
          <t>BOR100687</t>
        </is>
      </c>
      <c r="C851" s="8" t="n">
        <v>46103</v>
      </c>
      <c r="D851" s="9" t="n">
        <v>60000</v>
      </c>
      <c r="E851" t="n">
        <v>6</v>
      </c>
      <c r="F851" s="10" t="n">
        <v>0.136</v>
      </c>
      <c r="G851" t="inlineStr">
        <is>
          <t>Working Capital</t>
        </is>
      </c>
      <c r="H851" t="inlineStr">
        <is>
          <t>LO023</t>
        </is>
      </c>
      <c r="I851" t="inlineStr">
        <is>
          <t>Mobile App</t>
        </is>
      </c>
      <c r="J851">
        <f>INDEX('Data - Borrowers'!$B$2:$B$851, MATCH(B851, 'Data - Borrowers'!$A$2:$A$851, 0))</f>
        <v/>
      </c>
      <c r="K851">
        <f>INDEX('Data - Borrowers'!$C$2:$C$851, MATCH(B851, 'Data - Borrowers'!$A$2:$A$851, 0))</f>
        <v/>
      </c>
      <c r="L851">
        <f>IF(D851&lt;100000, "Micro (&lt;100K)", IF(D851&lt;500000, "Small (100K-500K)", "Medium (500K+)"))</f>
        <v/>
      </c>
      <c r="M851">
        <f>TEXT(C851, "yyyy-mm")</f>
        <v/>
      </c>
    </row>
    <row r="852">
      <c r="A852" t="inlineStr">
        <is>
          <t>LN200927</t>
        </is>
      </c>
      <c r="B852" t="inlineStr">
        <is>
          <t>BOR100687</t>
        </is>
      </c>
      <c r="C852" s="8" t="n">
        <v>46231</v>
      </c>
      <c r="D852" s="9" t="n">
        <v>113000</v>
      </c>
      <c r="E852" t="n">
        <v>6</v>
      </c>
      <c r="F852" s="10" t="n">
        <v>0.146</v>
      </c>
      <c r="G852" t="inlineStr">
        <is>
          <t>Working Capital</t>
        </is>
      </c>
      <c r="H852" t="inlineStr">
        <is>
          <t>LO003</t>
        </is>
      </c>
      <c r="I852" t="inlineStr">
        <is>
          <t>Partner Referral</t>
        </is>
      </c>
      <c r="J852">
        <f>INDEX('Data - Borrowers'!$B$2:$B$851, MATCH(B852, 'Data - Borrowers'!$A$2:$A$851, 0))</f>
        <v/>
      </c>
      <c r="K852">
        <f>INDEX('Data - Borrowers'!$C$2:$C$851, MATCH(B852, 'Data - Borrowers'!$A$2:$A$851, 0))</f>
        <v/>
      </c>
      <c r="L852">
        <f>IF(D852&lt;100000, "Micro (&lt;100K)", IF(D852&lt;500000, "Small (100K-500K)", "Medium (500K+)"))</f>
        <v/>
      </c>
      <c r="M852">
        <f>TEXT(C852, "yyyy-mm")</f>
        <v/>
      </c>
    </row>
    <row r="853">
      <c r="A853" t="inlineStr">
        <is>
          <t>LN200928</t>
        </is>
      </c>
      <c r="B853" t="inlineStr">
        <is>
          <t>BOR100688</t>
        </is>
      </c>
      <c r="C853" s="8" t="n">
        <v>45806</v>
      </c>
      <c r="D853" s="9" t="n">
        <v>40000</v>
      </c>
      <c r="E853" t="n">
        <v>9</v>
      </c>
      <c r="F853" s="10" t="n">
        <v>0.154</v>
      </c>
      <c r="G853" t="inlineStr">
        <is>
          <t>Working Capital</t>
        </is>
      </c>
      <c r="H853" t="inlineStr">
        <is>
          <t>LO010</t>
        </is>
      </c>
      <c r="I853" t="inlineStr">
        <is>
          <t>Mobile App</t>
        </is>
      </c>
      <c r="J853">
        <f>INDEX('Data - Borrowers'!$B$2:$B$851, MATCH(B853, 'Data - Borrowers'!$A$2:$A$851, 0))</f>
        <v/>
      </c>
      <c r="K853">
        <f>INDEX('Data - Borrowers'!$C$2:$C$851, MATCH(B853, 'Data - Borrowers'!$A$2:$A$851, 0))</f>
        <v/>
      </c>
      <c r="L853">
        <f>IF(D853&lt;100000, "Micro (&lt;100K)", IF(D853&lt;500000, "Small (100K-500K)", "Medium (500K+)"))</f>
        <v/>
      </c>
      <c r="M853">
        <f>TEXT(C853, "yyyy-mm")</f>
        <v/>
      </c>
    </row>
    <row r="854">
      <c r="A854" t="inlineStr">
        <is>
          <t>LN200929</t>
        </is>
      </c>
      <c r="B854" t="inlineStr">
        <is>
          <t>BOR100689</t>
        </is>
      </c>
      <c r="C854" s="8" t="n">
        <v>45786</v>
      </c>
      <c r="D854" s="9" t="n">
        <v>242000</v>
      </c>
      <c r="E854" t="n">
        <v>6</v>
      </c>
      <c r="F854" s="10" t="n">
        <v>0.236</v>
      </c>
      <c r="G854" t="inlineStr">
        <is>
          <t>Working Capital</t>
        </is>
      </c>
      <c r="H854" t="inlineStr">
        <is>
          <t>LO011</t>
        </is>
      </c>
      <c r="I854" t="inlineStr">
        <is>
          <t>Partner Referral</t>
        </is>
      </c>
      <c r="J854">
        <f>INDEX('Data - Borrowers'!$B$2:$B$851, MATCH(B854, 'Data - Borrowers'!$A$2:$A$851, 0))</f>
        <v/>
      </c>
      <c r="K854">
        <f>INDEX('Data - Borrowers'!$C$2:$C$851, MATCH(B854, 'Data - Borrowers'!$A$2:$A$851, 0))</f>
        <v/>
      </c>
      <c r="L854">
        <f>IF(D854&lt;100000, "Micro (&lt;100K)", IF(D854&lt;500000, "Small (100K-500K)", "Medium (500K+)"))</f>
        <v/>
      </c>
      <c r="M854">
        <f>TEXT(C854, "yyyy-mm")</f>
        <v/>
      </c>
    </row>
    <row r="855">
      <c r="A855" t="inlineStr">
        <is>
          <t>LN200930</t>
        </is>
      </c>
      <c r="B855" t="inlineStr">
        <is>
          <t>BOR100689</t>
        </is>
      </c>
      <c r="C855" s="8" t="n">
        <v>46020</v>
      </c>
      <c r="D855" s="9" t="n">
        <v>134000</v>
      </c>
      <c r="E855" t="n">
        <v>6</v>
      </c>
      <c r="F855" s="10" t="n">
        <v>0.182</v>
      </c>
      <c r="G855" t="inlineStr">
        <is>
          <t>Invoice Discounting</t>
        </is>
      </c>
      <c r="H855" t="inlineStr">
        <is>
          <t>LO009</t>
        </is>
      </c>
      <c r="I855" t="inlineStr">
        <is>
          <t>Mobile App</t>
        </is>
      </c>
      <c r="J855">
        <f>INDEX('Data - Borrowers'!$B$2:$B$851, MATCH(B855, 'Data - Borrowers'!$A$2:$A$851, 0))</f>
        <v/>
      </c>
      <c r="K855">
        <f>INDEX('Data - Borrowers'!$C$2:$C$851, MATCH(B855, 'Data - Borrowers'!$A$2:$A$851, 0))</f>
        <v/>
      </c>
      <c r="L855">
        <f>IF(D855&lt;100000, "Micro (&lt;100K)", IF(D855&lt;500000, "Small (100K-500K)", "Medium (500K+)"))</f>
        <v/>
      </c>
      <c r="M855">
        <f>TEXT(C855, "yyyy-mm")</f>
        <v/>
      </c>
    </row>
    <row r="856">
      <c r="A856" t="inlineStr">
        <is>
          <t>LN200931</t>
        </is>
      </c>
      <c r="B856" t="inlineStr">
        <is>
          <t>BOR100690</t>
        </is>
      </c>
      <c r="C856" s="8" t="n">
        <v>45771</v>
      </c>
      <c r="D856" s="9" t="n">
        <v>211000</v>
      </c>
      <c r="E856" t="n">
        <v>3</v>
      </c>
      <c r="F856" s="10" t="n">
        <v>0.157</v>
      </c>
      <c r="G856" t="inlineStr">
        <is>
          <t>Asset Finance</t>
        </is>
      </c>
      <c r="H856" t="inlineStr">
        <is>
          <t>LO017</t>
        </is>
      </c>
      <c r="I856" t="inlineStr">
        <is>
          <t>Partner Referral</t>
        </is>
      </c>
      <c r="J856">
        <f>INDEX('Data - Borrowers'!$B$2:$B$851, MATCH(B856, 'Data - Borrowers'!$A$2:$A$851, 0))</f>
        <v/>
      </c>
      <c r="K856">
        <f>INDEX('Data - Borrowers'!$C$2:$C$851, MATCH(B856, 'Data - Borrowers'!$A$2:$A$851, 0))</f>
        <v/>
      </c>
      <c r="L856">
        <f>IF(D856&lt;100000, "Micro (&lt;100K)", IF(D856&lt;500000, "Small (100K-500K)", "Medium (500K+)"))</f>
        <v/>
      </c>
      <c r="M856">
        <f>TEXT(C856, "yyyy-mm")</f>
        <v/>
      </c>
    </row>
    <row r="857">
      <c r="A857" t="inlineStr">
        <is>
          <t>LN200932</t>
        </is>
      </c>
      <c r="B857" t="inlineStr">
        <is>
          <t>BOR100690</t>
        </is>
      </c>
      <c r="C857" s="8" t="n">
        <v>46135</v>
      </c>
      <c r="D857" s="9" t="n">
        <v>186000</v>
      </c>
      <c r="E857" t="n">
        <v>12</v>
      </c>
      <c r="F857" s="10" t="n">
        <v>0.186</v>
      </c>
      <c r="G857" t="inlineStr">
        <is>
          <t>Asset Finance</t>
        </is>
      </c>
      <c r="H857" t="inlineStr">
        <is>
          <t>LO022</t>
        </is>
      </c>
      <c r="I857" t="inlineStr">
        <is>
          <t>Branch</t>
        </is>
      </c>
      <c r="J857">
        <f>INDEX('Data - Borrowers'!$B$2:$B$851, MATCH(B857, 'Data - Borrowers'!$A$2:$A$851, 0))</f>
        <v/>
      </c>
      <c r="K857">
        <f>INDEX('Data - Borrowers'!$C$2:$C$851, MATCH(B857, 'Data - Borrowers'!$A$2:$A$851, 0))</f>
        <v/>
      </c>
      <c r="L857">
        <f>IF(D857&lt;100000, "Micro (&lt;100K)", IF(D857&lt;500000, "Small (100K-500K)", "Medium (500K+)"))</f>
        <v/>
      </c>
      <c r="M857">
        <f>TEXT(C857, "yyyy-mm")</f>
        <v/>
      </c>
    </row>
    <row r="858">
      <c r="A858" t="inlineStr">
        <is>
          <t>LN200933</t>
        </is>
      </c>
      <c r="B858" t="inlineStr">
        <is>
          <t>BOR100691</t>
        </is>
      </c>
      <c r="C858" s="8" t="n">
        <v>45795</v>
      </c>
      <c r="D858" s="9" t="n">
        <v>68000</v>
      </c>
      <c r="E858" t="n">
        <v>12</v>
      </c>
      <c r="F858" s="10" t="n">
        <v>0.201</v>
      </c>
      <c r="G858" t="inlineStr">
        <is>
          <t>Working Capital</t>
        </is>
      </c>
      <c r="H858" t="inlineStr">
        <is>
          <t>LO014</t>
        </is>
      </c>
      <c r="I858" t="inlineStr">
        <is>
          <t>Mobile App</t>
        </is>
      </c>
      <c r="J858">
        <f>INDEX('Data - Borrowers'!$B$2:$B$851, MATCH(B858, 'Data - Borrowers'!$A$2:$A$851, 0))</f>
        <v/>
      </c>
      <c r="K858">
        <f>INDEX('Data - Borrowers'!$C$2:$C$851, MATCH(B858, 'Data - Borrowers'!$A$2:$A$851, 0))</f>
        <v/>
      </c>
      <c r="L858">
        <f>IF(D858&lt;100000, "Micro (&lt;100K)", IF(D858&lt;500000, "Small (100K-500K)", "Medium (500K+)"))</f>
        <v/>
      </c>
      <c r="M858">
        <f>TEXT(C858, "yyyy-mm")</f>
        <v/>
      </c>
    </row>
    <row r="859">
      <c r="A859" t="inlineStr">
        <is>
          <t>LN200934</t>
        </is>
      </c>
      <c r="B859" t="inlineStr">
        <is>
          <t>BOR100692</t>
        </is>
      </c>
      <c r="C859" s="8" t="n">
        <v>45748</v>
      </c>
      <c r="D859" s="9" t="n">
        <v>174000</v>
      </c>
      <c r="E859" t="n">
        <v>9</v>
      </c>
      <c r="F859" s="10" t="n">
        <v>0.224</v>
      </c>
      <c r="G859" t="inlineStr">
        <is>
          <t>Working Capital</t>
        </is>
      </c>
      <c r="H859" t="inlineStr">
        <is>
          <t>LO006</t>
        </is>
      </c>
      <c r="I859" t="inlineStr">
        <is>
          <t>Branch</t>
        </is>
      </c>
      <c r="J859">
        <f>INDEX('Data - Borrowers'!$B$2:$B$851, MATCH(B859, 'Data - Borrowers'!$A$2:$A$851, 0))</f>
        <v/>
      </c>
      <c r="K859">
        <f>INDEX('Data - Borrowers'!$C$2:$C$851, MATCH(B859, 'Data - Borrowers'!$A$2:$A$851, 0))</f>
        <v/>
      </c>
      <c r="L859">
        <f>IF(D859&lt;100000, "Micro (&lt;100K)", IF(D859&lt;500000, "Small (100K-500K)", "Medium (500K+)"))</f>
        <v/>
      </c>
      <c r="M859">
        <f>TEXT(C859, "yyyy-mm")</f>
        <v/>
      </c>
    </row>
    <row r="860">
      <c r="A860" t="inlineStr">
        <is>
          <t>LN200935</t>
        </is>
      </c>
      <c r="B860" t="inlineStr">
        <is>
          <t>BOR100692</t>
        </is>
      </c>
      <c r="C860" s="8" t="n">
        <v>45934</v>
      </c>
      <c r="D860" s="9" t="n">
        <v>131000</v>
      </c>
      <c r="E860" t="n">
        <v>6</v>
      </c>
      <c r="F860" s="10" t="n">
        <v>0.182</v>
      </c>
      <c r="G860" t="inlineStr">
        <is>
          <t>Working Capital</t>
        </is>
      </c>
      <c r="H860" t="inlineStr">
        <is>
          <t>LO012</t>
        </is>
      </c>
      <c r="I860" t="inlineStr">
        <is>
          <t>Mobile App</t>
        </is>
      </c>
      <c r="J860">
        <f>INDEX('Data - Borrowers'!$B$2:$B$851, MATCH(B860, 'Data - Borrowers'!$A$2:$A$851, 0))</f>
        <v/>
      </c>
      <c r="K860">
        <f>INDEX('Data - Borrowers'!$C$2:$C$851, MATCH(B860, 'Data - Borrowers'!$A$2:$A$851, 0))</f>
        <v/>
      </c>
      <c r="L860">
        <f>IF(D860&lt;100000, "Micro (&lt;100K)", IF(D860&lt;500000, "Small (100K-500K)", "Medium (500K+)"))</f>
        <v/>
      </c>
      <c r="M860">
        <f>TEXT(C860, "yyyy-mm")</f>
        <v/>
      </c>
    </row>
    <row r="861">
      <c r="A861" t="inlineStr">
        <is>
          <t>LN200936</t>
        </is>
      </c>
      <c r="B861" t="inlineStr">
        <is>
          <t>BOR100693</t>
        </is>
      </c>
      <c r="C861" s="8" t="n">
        <v>45823</v>
      </c>
      <c r="D861" s="9" t="n">
        <v>80000</v>
      </c>
      <c r="E861" t="n">
        <v>3</v>
      </c>
      <c r="F861" s="10" t="n">
        <v>0.173</v>
      </c>
      <c r="G861" t="inlineStr">
        <is>
          <t>Working Capital</t>
        </is>
      </c>
      <c r="H861" t="inlineStr">
        <is>
          <t>LO017</t>
        </is>
      </c>
      <c r="I861" t="inlineStr">
        <is>
          <t>Branch</t>
        </is>
      </c>
      <c r="J861">
        <f>INDEX('Data - Borrowers'!$B$2:$B$851, MATCH(B861, 'Data - Borrowers'!$A$2:$A$851, 0))</f>
        <v/>
      </c>
      <c r="K861">
        <f>INDEX('Data - Borrowers'!$C$2:$C$851, MATCH(B861, 'Data - Borrowers'!$A$2:$A$851, 0))</f>
        <v/>
      </c>
      <c r="L861">
        <f>IF(D861&lt;100000, "Micro (&lt;100K)", IF(D861&lt;500000, "Small (100K-500K)", "Medium (500K+)"))</f>
        <v/>
      </c>
      <c r="M861">
        <f>TEXT(C861, "yyyy-mm")</f>
        <v/>
      </c>
    </row>
    <row r="862">
      <c r="A862" t="inlineStr">
        <is>
          <t>LN200937</t>
        </is>
      </c>
      <c r="B862" t="inlineStr">
        <is>
          <t>BOR100694</t>
        </is>
      </c>
      <c r="C862" s="8" t="n">
        <v>45706</v>
      </c>
      <c r="D862" s="9" t="n">
        <v>178000</v>
      </c>
      <c r="E862" t="n">
        <v>3</v>
      </c>
      <c r="F862" s="10" t="n">
        <v>0.158</v>
      </c>
      <c r="G862" t="inlineStr">
        <is>
          <t>Asset Finance</t>
        </is>
      </c>
      <c r="H862" t="inlineStr">
        <is>
          <t>LO014</t>
        </is>
      </c>
      <c r="I862" t="inlineStr">
        <is>
          <t>Mobile App</t>
        </is>
      </c>
      <c r="J862">
        <f>INDEX('Data - Borrowers'!$B$2:$B$851, MATCH(B862, 'Data - Borrowers'!$A$2:$A$851, 0))</f>
        <v/>
      </c>
      <c r="K862">
        <f>INDEX('Data - Borrowers'!$C$2:$C$851, MATCH(B862, 'Data - Borrowers'!$A$2:$A$851, 0))</f>
        <v/>
      </c>
      <c r="L862">
        <f>IF(D862&lt;100000, "Micro (&lt;100K)", IF(D862&lt;500000, "Small (100K-500K)", "Medium (500K+)"))</f>
        <v/>
      </c>
      <c r="M862">
        <f>TEXT(C862, "yyyy-mm")</f>
        <v/>
      </c>
    </row>
    <row r="863">
      <c r="A863" t="inlineStr">
        <is>
          <t>LN200938</t>
        </is>
      </c>
      <c r="B863" t="inlineStr">
        <is>
          <t>BOR100694</t>
        </is>
      </c>
      <c r="C863" s="8" t="n">
        <v>45870</v>
      </c>
      <c r="D863" s="9" t="n">
        <v>76000</v>
      </c>
      <c r="E863" t="n">
        <v>12</v>
      </c>
      <c r="F863" s="10" t="n">
        <v>0.154</v>
      </c>
      <c r="G863" t="inlineStr">
        <is>
          <t>Working Capital</t>
        </is>
      </c>
      <c r="H863" t="inlineStr">
        <is>
          <t>LO014</t>
        </is>
      </c>
      <c r="I863" t="inlineStr">
        <is>
          <t>Partner Referral</t>
        </is>
      </c>
      <c r="J863">
        <f>INDEX('Data - Borrowers'!$B$2:$B$851, MATCH(B863, 'Data - Borrowers'!$A$2:$A$851, 0))</f>
        <v/>
      </c>
      <c r="K863">
        <f>INDEX('Data - Borrowers'!$C$2:$C$851, MATCH(B863, 'Data - Borrowers'!$A$2:$A$851, 0))</f>
        <v/>
      </c>
      <c r="L863">
        <f>IF(D863&lt;100000, "Micro (&lt;100K)", IF(D863&lt;500000, "Small (100K-500K)", "Medium (500K+)"))</f>
        <v/>
      </c>
      <c r="M863">
        <f>TEXT(C863, "yyyy-mm")</f>
        <v/>
      </c>
    </row>
    <row r="864">
      <c r="A864" t="inlineStr">
        <is>
          <t>LN200939</t>
        </is>
      </c>
      <c r="B864" t="inlineStr">
        <is>
          <t>BOR100695</t>
        </is>
      </c>
      <c r="C864" s="8" t="n">
        <v>45763</v>
      </c>
      <c r="D864" s="9" t="n">
        <v>65000</v>
      </c>
      <c r="E864" t="n">
        <v>12</v>
      </c>
      <c r="F864" s="10" t="n">
        <v>0.177</v>
      </c>
      <c r="G864" t="inlineStr">
        <is>
          <t>Invoice Discounting</t>
        </is>
      </c>
      <c r="H864" t="inlineStr">
        <is>
          <t>LO002</t>
        </is>
      </c>
      <c r="I864" t="inlineStr">
        <is>
          <t>Mobile App</t>
        </is>
      </c>
      <c r="J864">
        <f>INDEX('Data - Borrowers'!$B$2:$B$851, MATCH(B864, 'Data - Borrowers'!$A$2:$A$851, 0))</f>
        <v/>
      </c>
      <c r="K864">
        <f>INDEX('Data - Borrowers'!$C$2:$C$851, MATCH(B864, 'Data - Borrowers'!$A$2:$A$851, 0))</f>
        <v/>
      </c>
      <c r="L864">
        <f>IF(D864&lt;100000, "Micro (&lt;100K)", IF(D864&lt;500000, "Small (100K-500K)", "Medium (500K+)"))</f>
        <v/>
      </c>
      <c r="M864">
        <f>TEXT(C864, "yyyy-mm")</f>
        <v/>
      </c>
    </row>
    <row r="865">
      <c r="A865" t="inlineStr">
        <is>
          <t>LN200940</t>
        </is>
      </c>
      <c r="B865" t="inlineStr">
        <is>
          <t>BOR100695</t>
        </is>
      </c>
      <c r="C865" s="8" t="n">
        <v>45892</v>
      </c>
      <c r="D865" s="9" t="n">
        <v>24000</v>
      </c>
      <c r="E865" t="n">
        <v>3</v>
      </c>
      <c r="F865" s="10" t="n">
        <v>0.202</v>
      </c>
      <c r="G865" t="inlineStr">
        <is>
          <t>Asset Finance</t>
        </is>
      </c>
      <c r="H865" t="inlineStr">
        <is>
          <t>LO008</t>
        </is>
      </c>
      <c r="I865" t="inlineStr">
        <is>
          <t>Mobile App</t>
        </is>
      </c>
      <c r="J865">
        <f>INDEX('Data - Borrowers'!$B$2:$B$851, MATCH(B865, 'Data - Borrowers'!$A$2:$A$851, 0))</f>
        <v/>
      </c>
      <c r="K865">
        <f>INDEX('Data - Borrowers'!$C$2:$C$851, MATCH(B865, 'Data - Borrowers'!$A$2:$A$851, 0))</f>
        <v/>
      </c>
      <c r="L865">
        <f>IF(D865&lt;100000, "Micro (&lt;100K)", IF(D865&lt;500000, "Small (100K-500K)", "Medium (500K+)"))</f>
        <v/>
      </c>
      <c r="M865">
        <f>TEXT(C865, "yyyy-mm")</f>
        <v/>
      </c>
    </row>
    <row r="866">
      <c r="A866" t="inlineStr">
        <is>
          <t>LN200941</t>
        </is>
      </c>
      <c r="B866" t="inlineStr">
        <is>
          <t>BOR100696</t>
        </is>
      </c>
      <c r="C866" s="8" t="n">
        <v>45792</v>
      </c>
      <c r="D866" s="9" t="n">
        <v>20000</v>
      </c>
      <c r="E866" t="n">
        <v>3</v>
      </c>
      <c r="F866" s="10" t="n">
        <v>0.148</v>
      </c>
      <c r="G866" t="inlineStr">
        <is>
          <t>Asset Finance</t>
        </is>
      </c>
      <c r="H866" t="inlineStr">
        <is>
          <t>LO003</t>
        </is>
      </c>
      <c r="I866" t="inlineStr">
        <is>
          <t>Branch</t>
        </is>
      </c>
      <c r="J866">
        <f>INDEX('Data - Borrowers'!$B$2:$B$851, MATCH(B866, 'Data - Borrowers'!$A$2:$A$851, 0))</f>
        <v/>
      </c>
      <c r="K866">
        <f>INDEX('Data - Borrowers'!$C$2:$C$851, MATCH(B866, 'Data - Borrowers'!$A$2:$A$851, 0))</f>
        <v/>
      </c>
      <c r="L866">
        <f>IF(D866&lt;100000, "Micro (&lt;100K)", IF(D866&lt;500000, "Small (100K-500K)", "Medium (500K+)"))</f>
        <v/>
      </c>
      <c r="M866">
        <f>TEXT(C866, "yyyy-mm")</f>
        <v/>
      </c>
    </row>
    <row r="867">
      <c r="A867" t="inlineStr">
        <is>
          <t>LN200942</t>
        </is>
      </c>
      <c r="B867" t="inlineStr">
        <is>
          <t>BOR100697</t>
        </is>
      </c>
      <c r="C867" s="8" t="n">
        <v>45665</v>
      </c>
      <c r="D867" s="9" t="n">
        <v>66000</v>
      </c>
      <c r="E867" t="n">
        <v>12</v>
      </c>
      <c r="F867" s="10" t="n">
        <v>0.152</v>
      </c>
      <c r="G867" t="inlineStr">
        <is>
          <t>Invoice Discounting</t>
        </is>
      </c>
      <c r="H867" t="inlineStr">
        <is>
          <t>LO001</t>
        </is>
      </c>
      <c r="I867" t="inlineStr">
        <is>
          <t>Mobile App</t>
        </is>
      </c>
      <c r="J867">
        <f>INDEX('Data - Borrowers'!$B$2:$B$851, MATCH(B867, 'Data - Borrowers'!$A$2:$A$851, 0))</f>
        <v/>
      </c>
      <c r="K867">
        <f>INDEX('Data - Borrowers'!$C$2:$C$851, MATCH(B867, 'Data - Borrowers'!$A$2:$A$851, 0))</f>
        <v/>
      </c>
      <c r="L867">
        <f>IF(D867&lt;100000, "Micro (&lt;100K)", IF(D867&lt;500000, "Small (100K-500K)", "Medium (500K+)"))</f>
        <v/>
      </c>
      <c r="M867">
        <f>TEXT(C867, "yyyy-mm")</f>
        <v/>
      </c>
    </row>
    <row r="868">
      <c r="A868" t="inlineStr">
        <is>
          <t>LN200943</t>
        </is>
      </c>
      <c r="B868" t="inlineStr">
        <is>
          <t>BOR100698</t>
        </is>
      </c>
      <c r="C868" s="8" t="n">
        <v>45832</v>
      </c>
      <c r="D868" s="9" t="n">
        <v>138000</v>
      </c>
      <c r="E868" t="n">
        <v>12</v>
      </c>
      <c r="F868" s="10" t="n">
        <v>0.121</v>
      </c>
      <c r="G868" t="inlineStr">
        <is>
          <t>Invoice Discounting</t>
        </is>
      </c>
      <c r="H868" t="inlineStr">
        <is>
          <t>LO007</t>
        </is>
      </c>
      <c r="I868" t="inlineStr">
        <is>
          <t>Partner Referral</t>
        </is>
      </c>
      <c r="J868">
        <f>INDEX('Data - Borrowers'!$B$2:$B$851, MATCH(B868, 'Data - Borrowers'!$A$2:$A$851, 0))</f>
        <v/>
      </c>
      <c r="K868">
        <f>INDEX('Data - Borrowers'!$C$2:$C$851, MATCH(B868, 'Data - Borrowers'!$A$2:$A$851, 0))</f>
        <v/>
      </c>
      <c r="L868">
        <f>IF(D868&lt;100000, "Micro (&lt;100K)", IF(D868&lt;500000, "Small (100K-500K)", "Medium (500K+)"))</f>
        <v/>
      </c>
      <c r="M868">
        <f>TEXT(C868, "yyyy-mm")</f>
        <v/>
      </c>
    </row>
    <row r="869">
      <c r="A869" t="inlineStr">
        <is>
          <t>LN200944</t>
        </is>
      </c>
      <c r="B869" t="inlineStr">
        <is>
          <t>BOR100698</t>
        </is>
      </c>
      <c r="C869" s="8" t="n">
        <v>46149</v>
      </c>
      <c r="D869" s="9" t="n">
        <v>156000</v>
      </c>
      <c r="E869" t="n">
        <v>3</v>
      </c>
      <c r="F869" s="10" t="n">
        <v>0.217</v>
      </c>
      <c r="G869" t="inlineStr">
        <is>
          <t>Asset Finance</t>
        </is>
      </c>
      <c r="H869" t="inlineStr">
        <is>
          <t>LO023</t>
        </is>
      </c>
      <c r="I869" t="inlineStr">
        <is>
          <t>Branch</t>
        </is>
      </c>
      <c r="J869">
        <f>INDEX('Data - Borrowers'!$B$2:$B$851, MATCH(B869, 'Data - Borrowers'!$A$2:$A$851, 0))</f>
        <v/>
      </c>
      <c r="K869">
        <f>INDEX('Data - Borrowers'!$C$2:$C$851, MATCH(B869, 'Data - Borrowers'!$A$2:$A$851, 0))</f>
        <v/>
      </c>
      <c r="L869">
        <f>IF(D869&lt;100000, "Micro (&lt;100K)", IF(D869&lt;500000, "Small (100K-500K)", "Medium (500K+)"))</f>
        <v/>
      </c>
      <c r="M869">
        <f>TEXT(C869, "yyyy-mm")</f>
        <v/>
      </c>
    </row>
    <row r="870">
      <c r="A870" t="inlineStr">
        <is>
          <t>LN200945</t>
        </is>
      </c>
      <c r="B870" t="inlineStr">
        <is>
          <t>BOR100699</t>
        </is>
      </c>
      <c r="C870" s="8" t="n">
        <v>46210</v>
      </c>
      <c r="D870" s="9" t="n">
        <v>352000</v>
      </c>
      <c r="E870" t="n">
        <v>9</v>
      </c>
      <c r="F870" s="10" t="n">
        <v>0.192</v>
      </c>
      <c r="G870" t="inlineStr">
        <is>
          <t>Working Capital</t>
        </is>
      </c>
      <c r="H870" t="inlineStr">
        <is>
          <t>LO005</t>
        </is>
      </c>
      <c r="I870" t="inlineStr">
        <is>
          <t>Mobile App</t>
        </is>
      </c>
      <c r="J870">
        <f>INDEX('Data - Borrowers'!$B$2:$B$851, MATCH(B870, 'Data - Borrowers'!$A$2:$A$851, 0))</f>
        <v/>
      </c>
      <c r="K870">
        <f>INDEX('Data - Borrowers'!$C$2:$C$851, MATCH(B870, 'Data - Borrowers'!$A$2:$A$851, 0))</f>
        <v/>
      </c>
      <c r="L870">
        <f>IF(D870&lt;100000, "Micro (&lt;100K)", IF(D870&lt;500000, "Small (100K-500K)", "Medium (500K+)"))</f>
        <v/>
      </c>
      <c r="M870">
        <f>TEXT(C870, "yyyy-mm")</f>
        <v/>
      </c>
    </row>
    <row r="871">
      <c r="A871" t="inlineStr">
        <is>
          <t>LN200946</t>
        </is>
      </c>
      <c r="B871" t="inlineStr">
        <is>
          <t>BOR100700</t>
        </is>
      </c>
      <c r="C871" s="8" t="n">
        <v>45789</v>
      </c>
      <c r="D871" s="9" t="n">
        <v>258000</v>
      </c>
      <c r="E871" t="n">
        <v>3</v>
      </c>
      <c r="F871" s="10" t="n">
        <v>0.233</v>
      </c>
      <c r="G871" t="inlineStr">
        <is>
          <t>Invoice Discounting</t>
        </is>
      </c>
      <c r="H871" t="inlineStr">
        <is>
          <t>LO010</t>
        </is>
      </c>
      <c r="I871" t="inlineStr">
        <is>
          <t>Mobile App</t>
        </is>
      </c>
      <c r="J871">
        <f>INDEX('Data - Borrowers'!$B$2:$B$851, MATCH(B871, 'Data - Borrowers'!$A$2:$A$851, 0))</f>
        <v/>
      </c>
      <c r="K871">
        <f>INDEX('Data - Borrowers'!$C$2:$C$851, MATCH(B871, 'Data - Borrowers'!$A$2:$A$851, 0))</f>
        <v/>
      </c>
      <c r="L871">
        <f>IF(D871&lt;100000, "Micro (&lt;100K)", IF(D871&lt;500000, "Small (100K-500K)", "Medium (500K+)"))</f>
        <v/>
      </c>
      <c r="M871">
        <f>TEXT(C871, "yyyy-mm")</f>
        <v/>
      </c>
    </row>
    <row r="872">
      <c r="A872" t="inlineStr">
        <is>
          <t>LN200947</t>
        </is>
      </c>
      <c r="B872" t="inlineStr">
        <is>
          <t>BOR100701</t>
        </is>
      </c>
      <c r="C872" s="8" t="n">
        <v>45947</v>
      </c>
      <c r="D872" s="9" t="n">
        <v>356000</v>
      </c>
      <c r="E872" t="n">
        <v>3</v>
      </c>
      <c r="F872" s="10" t="n">
        <v>0.191</v>
      </c>
      <c r="G872" t="inlineStr">
        <is>
          <t>Working Capital</t>
        </is>
      </c>
      <c r="H872" t="inlineStr">
        <is>
          <t>LO008</t>
        </is>
      </c>
      <c r="I872" t="inlineStr">
        <is>
          <t>Branch</t>
        </is>
      </c>
      <c r="J872">
        <f>INDEX('Data - Borrowers'!$B$2:$B$851, MATCH(B872, 'Data - Borrowers'!$A$2:$A$851, 0))</f>
        <v/>
      </c>
      <c r="K872">
        <f>INDEX('Data - Borrowers'!$C$2:$C$851, MATCH(B872, 'Data - Borrowers'!$A$2:$A$851, 0))</f>
        <v/>
      </c>
      <c r="L872">
        <f>IF(D872&lt;100000, "Micro (&lt;100K)", IF(D872&lt;500000, "Small (100K-500K)", "Medium (500K+)"))</f>
        <v/>
      </c>
      <c r="M872">
        <f>TEXT(C872, "yyyy-mm")</f>
        <v/>
      </c>
    </row>
    <row r="873">
      <c r="A873" t="inlineStr">
        <is>
          <t>LN200948</t>
        </is>
      </c>
      <c r="B873" t="inlineStr">
        <is>
          <t>BOR100702</t>
        </is>
      </c>
      <c r="C873" s="8" t="n">
        <v>46032</v>
      </c>
      <c r="D873" s="9" t="n">
        <v>24000</v>
      </c>
      <c r="E873" t="n">
        <v>3</v>
      </c>
      <c r="F873" s="10" t="n">
        <v>0.208</v>
      </c>
      <c r="G873" t="inlineStr">
        <is>
          <t>Working Capital</t>
        </is>
      </c>
      <c r="H873" t="inlineStr">
        <is>
          <t>LO006</t>
        </is>
      </c>
      <c r="I873" t="inlineStr">
        <is>
          <t>Branch</t>
        </is>
      </c>
      <c r="J873">
        <f>INDEX('Data - Borrowers'!$B$2:$B$851, MATCH(B873, 'Data - Borrowers'!$A$2:$A$851, 0))</f>
        <v/>
      </c>
      <c r="K873">
        <f>INDEX('Data - Borrowers'!$C$2:$C$851, MATCH(B873, 'Data - Borrowers'!$A$2:$A$851, 0))</f>
        <v/>
      </c>
      <c r="L873">
        <f>IF(D873&lt;100000, "Micro (&lt;100K)", IF(D873&lt;500000, "Small (100K-500K)", "Medium (500K+)"))</f>
        <v/>
      </c>
      <c r="M873">
        <f>TEXT(C873, "yyyy-mm")</f>
        <v/>
      </c>
    </row>
    <row r="874">
      <c r="A874" t="inlineStr">
        <is>
          <t>LN200949</t>
        </is>
      </c>
      <c r="B874" t="inlineStr">
        <is>
          <t>BOR100703</t>
        </is>
      </c>
      <c r="C874" s="8" t="n">
        <v>45727</v>
      </c>
      <c r="D874" s="9" t="n">
        <v>78000</v>
      </c>
      <c r="E874" t="n">
        <v>3</v>
      </c>
      <c r="F874" s="10" t="n">
        <v>0.197</v>
      </c>
      <c r="G874" t="inlineStr">
        <is>
          <t>Working Capital</t>
        </is>
      </c>
      <c r="H874" t="inlineStr">
        <is>
          <t>LO019</t>
        </is>
      </c>
      <c r="I874" t="inlineStr">
        <is>
          <t>Mobile App</t>
        </is>
      </c>
      <c r="J874">
        <f>INDEX('Data - Borrowers'!$B$2:$B$851, MATCH(B874, 'Data - Borrowers'!$A$2:$A$851, 0))</f>
        <v/>
      </c>
      <c r="K874">
        <f>INDEX('Data - Borrowers'!$C$2:$C$851, MATCH(B874, 'Data - Borrowers'!$A$2:$A$851, 0))</f>
        <v/>
      </c>
      <c r="L874">
        <f>IF(D874&lt;100000, "Micro (&lt;100K)", IF(D874&lt;500000, "Small (100K-500K)", "Medium (500K+)"))</f>
        <v/>
      </c>
      <c r="M874">
        <f>TEXT(C874, "yyyy-mm")</f>
        <v/>
      </c>
    </row>
    <row r="875">
      <c r="A875" t="inlineStr">
        <is>
          <t>LN200950</t>
        </is>
      </c>
      <c r="B875" t="inlineStr">
        <is>
          <t>BOR100704</t>
        </is>
      </c>
      <c r="C875" s="8" t="n">
        <v>46127</v>
      </c>
      <c r="D875" s="9" t="n">
        <v>65000</v>
      </c>
      <c r="E875" t="n">
        <v>6</v>
      </c>
      <c r="F875" s="10" t="n">
        <v>0.139</v>
      </c>
      <c r="G875" t="inlineStr">
        <is>
          <t>Asset Finance</t>
        </is>
      </c>
      <c r="H875" t="inlineStr">
        <is>
          <t>LO024</t>
        </is>
      </c>
      <c r="I875" t="inlineStr">
        <is>
          <t>Partner Referral</t>
        </is>
      </c>
      <c r="J875">
        <f>INDEX('Data - Borrowers'!$B$2:$B$851, MATCH(B875, 'Data - Borrowers'!$A$2:$A$851, 0))</f>
        <v/>
      </c>
      <c r="K875">
        <f>INDEX('Data - Borrowers'!$C$2:$C$851, MATCH(B875, 'Data - Borrowers'!$A$2:$A$851, 0))</f>
        <v/>
      </c>
      <c r="L875">
        <f>IF(D875&lt;100000, "Micro (&lt;100K)", IF(D875&lt;500000, "Small (100K-500K)", "Medium (500K+)"))</f>
        <v/>
      </c>
      <c r="M875">
        <f>TEXT(C875, "yyyy-mm")</f>
        <v/>
      </c>
    </row>
    <row r="876">
      <c r="A876" t="inlineStr">
        <is>
          <t>LN200951</t>
        </is>
      </c>
      <c r="B876" t="inlineStr">
        <is>
          <t>BOR100705</t>
        </is>
      </c>
      <c r="C876" s="8" t="n">
        <v>45710</v>
      </c>
      <c r="D876" s="9" t="n">
        <v>487000</v>
      </c>
      <c r="E876" t="n">
        <v>12</v>
      </c>
      <c r="F876" s="10" t="n">
        <v>0.198</v>
      </c>
      <c r="G876" t="inlineStr">
        <is>
          <t>Working Capital</t>
        </is>
      </c>
      <c r="H876" t="inlineStr">
        <is>
          <t>LO021</t>
        </is>
      </c>
      <c r="I876" t="inlineStr">
        <is>
          <t>Mobile App</t>
        </is>
      </c>
      <c r="J876">
        <f>INDEX('Data - Borrowers'!$B$2:$B$851, MATCH(B876, 'Data - Borrowers'!$A$2:$A$851, 0))</f>
        <v/>
      </c>
      <c r="K876">
        <f>INDEX('Data - Borrowers'!$C$2:$C$851, MATCH(B876, 'Data - Borrowers'!$A$2:$A$851, 0))</f>
        <v/>
      </c>
      <c r="L876">
        <f>IF(D876&lt;100000, "Micro (&lt;100K)", IF(D876&lt;500000, "Small (100K-500K)", "Medium (500K+)"))</f>
        <v/>
      </c>
      <c r="M876">
        <f>TEXT(C876, "yyyy-mm")</f>
        <v/>
      </c>
    </row>
    <row r="877">
      <c r="A877" t="inlineStr">
        <is>
          <t>LN200952</t>
        </is>
      </c>
      <c r="B877" t="inlineStr">
        <is>
          <t>BOR100706</t>
        </is>
      </c>
      <c r="C877" s="8" t="n">
        <v>45702</v>
      </c>
      <c r="D877" s="9" t="n">
        <v>354000</v>
      </c>
      <c r="E877" t="n">
        <v>6</v>
      </c>
      <c r="F877" s="10" t="n">
        <v>0.201</v>
      </c>
      <c r="G877" t="inlineStr">
        <is>
          <t>Working Capital</t>
        </is>
      </c>
      <c r="H877" t="inlineStr">
        <is>
          <t>LO012</t>
        </is>
      </c>
      <c r="I877" t="inlineStr">
        <is>
          <t>Mobile App</t>
        </is>
      </c>
      <c r="J877">
        <f>INDEX('Data - Borrowers'!$B$2:$B$851, MATCH(B877, 'Data - Borrowers'!$A$2:$A$851, 0))</f>
        <v/>
      </c>
      <c r="K877">
        <f>INDEX('Data - Borrowers'!$C$2:$C$851, MATCH(B877, 'Data - Borrowers'!$A$2:$A$851, 0))</f>
        <v/>
      </c>
      <c r="L877">
        <f>IF(D877&lt;100000, "Micro (&lt;100K)", IF(D877&lt;500000, "Small (100K-500K)", "Medium (500K+)"))</f>
        <v/>
      </c>
      <c r="M877">
        <f>TEXT(C877, "yyyy-mm")</f>
        <v/>
      </c>
    </row>
    <row r="878">
      <c r="A878" t="inlineStr">
        <is>
          <t>LN200953</t>
        </is>
      </c>
      <c r="B878" t="inlineStr">
        <is>
          <t>BOR100707</t>
        </is>
      </c>
      <c r="C878" s="8" t="n">
        <v>46089</v>
      </c>
      <c r="D878" s="9" t="n">
        <v>282000</v>
      </c>
      <c r="E878" t="n">
        <v>12</v>
      </c>
      <c r="F878" s="10" t="n">
        <v>0.191</v>
      </c>
      <c r="G878" t="inlineStr">
        <is>
          <t>Working Capital</t>
        </is>
      </c>
      <c r="H878" t="inlineStr">
        <is>
          <t>LO023</t>
        </is>
      </c>
      <c r="I878" t="inlineStr">
        <is>
          <t>Branch</t>
        </is>
      </c>
      <c r="J878">
        <f>INDEX('Data - Borrowers'!$B$2:$B$851, MATCH(B878, 'Data - Borrowers'!$A$2:$A$851, 0))</f>
        <v/>
      </c>
      <c r="K878">
        <f>INDEX('Data - Borrowers'!$C$2:$C$851, MATCH(B878, 'Data - Borrowers'!$A$2:$A$851, 0))</f>
        <v/>
      </c>
      <c r="L878">
        <f>IF(D878&lt;100000, "Micro (&lt;100K)", IF(D878&lt;500000, "Small (100K-500K)", "Medium (500K+)"))</f>
        <v/>
      </c>
      <c r="M878">
        <f>TEXT(C878, "yyyy-mm")</f>
        <v/>
      </c>
    </row>
    <row r="879">
      <c r="A879" t="inlineStr">
        <is>
          <t>LN200954</t>
        </is>
      </c>
      <c r="B879" t="inlineStr">
        <is>
          <t>BOR100707</t>
        </is>
      </c>
      <c r="C879" s="8" t="n">
        <v>46233</v>
      </c>
      <c r="D879" s="9" t="n">
        <v>101000</v>
      </c>
      <c r="E879" t="n">
        <v>12</v>
      </c>
      <c r="F879" s="10" t="n">
        <v>0.18</v>
      </c>
      <c r="G879" t="inlineStr">
        <is>
          <t>Working Capital</t>
        </is>
      </c>
      <c r="H879" t="inlineStr">
        <is>
          <t>LO019</t>
        </is>
      </c>
      <c r="I879" t="inlineStr">
        <is>
          <t>Branch</t>
        </is>
      </c>
      <c r="J879">
        <f>INDEX('Data - Borrowers'!$B$2:$B$851, MATCH(B879, 'Data - Borrowers'!$A$2:$A$851, 0))</f>
        <v/>
      </c>
      <c r="K879">
        <f>INDEX('Data - Borrowers'!$C$2:$C$851, MATCH(B879, 'Data - Borrowers'!$A$2:$A$851, 0))</f>
        <v/>
      </c>
      <c r="L879">
        <f>IF(D879&lt;100000, "Micro (&lt;100K)", IF(D879&lt;500000, "Small (100K-500K)", "Medium (500K+)"))</f>
        <v/>
      </c>
      <c r="M879">
        <f>TEXT(C879, "yyyy-mm")</f>
        <v/>
      </c>
    </row>
    <row r="880">
      <c r="A880" t="inlineStr">
        <is>
          <t>LN200956</t>
        </is>
      </c>
      <c r="B880" t="inlineStr">
        <is>
          <t>BOR100708</t>
        </is>
      </c>
      <c r="C880" s="8" t="n">
        <v>46132</v>
      </c>
      <c r="D880" s="9" t="n">
        <v>52000</v>
      </c>
      <c r="E880" t="n">
        <v>6</v>
      </c>
      <c r="F880" s="10" t="n">
        <v>0.183</v>
      </c>
      <c r="G880" t="inlineStr">
        <is>
          <t>Working Capital</t>
        </is>
      </c>
      <c r="H880" t="inlineStr">
        <is>
          <t>LO015</t>
        </is>
      </c>
      <c r="I880" t="inlineStr">
        <is>
          <t>Branch</t>
        </is>
      </c>
      <c r="J880">
        <f>INDEX('Data - Borrowers'!$B$2:$B$851, MATCH(B880, 'Data - Borrowers'!$A$2:$A$851, 0))</f>
        <v/>
      </c>
      <c r="K880">
        <f>INDEX('Data - Borrowers'!$C$2:$C$851, MATCH(B880, 'Data - Borrowers'!$A$2:$A$851, 0))</f>
        <v/>
      </c>
      <c r="L880">
        <f>IF(D880&lt;100000, "Micro (&lt;100K)", IF(D880&lt;500000, "Small (100K-500K)", "Medium (500K+)"))</f>
        <v/>
      </c>
      <c r="M880">
        <f>TEXT(C880, "yyyy-mm")</f>
        <v/>
      </c>
    </row>
    <row r="881">
      <c r="A881" t="inlineStr">
        <is>
          <t>LN200957</t>
        </is>
      </c>
      <c r="B881" t="inlineStr">
        <is>
          <t>BOR100709</t>
        </is>
      </c>
      <c r="C881" s="8" t="n">
        <v>45925</v>
      </c>
      <c r="D881" s="9" t="n">
        <v>23000</v>
      </c>
      <c r="E881" t="n">
        <v>6</v>
      </c>
      <c r="F881" s="10" t="n">
        <v>0.148</v>
      </c>
      <c r="G881" t="inlineStr">
        <is>
          <t>Working Capital</t>
        </is>
      </c>
      <c r="H881" t="inlineStr">
        <is>
          <t>LO022</t>
        </is>
      </c>
      <c r="I881" t="inlineStr">
        <is>
          <t>Mobile App</t>
        </is>
      </c>
      <c r="J881">
        <f>INDEX('Data - Borrowers'!$B$2:$B$851, MATCH(B881, 'Data - Borrowers'!$A$2:$A$851, 0))</f>
        <v/>
      </c>
      <c r="K881">
        <f>INDEX('Data - Borrowers'!$C$2:$C$851, MATCH(B881, 'Data - Borrowers'!$A$2:$A$851, 0))</f>
        <v/>
      </c>
      <c r="L881">
        <f>IF(D881&lt;100000, "Micro (&lt;100K)", IF(D881&lt;500000, "Small (100K-500K)", "Medium (500K+)"))</f>
        <v/>
      </c>
      <c r="M881">
        <f>TEXT(C881, "yyyy-mm")</f>
        <v/>
      </c>
    </row>
    <row r="882">
      <c r="A882" t="inlineStr">
        <is>
          <t>LN200958</t>
        </is>
      </c>
      <c r="B882" t="inlineStr">
        <is>
          <t>BOR100710</t>
        </is>
      </c>
      <c r="C882" s="8" t="n">
        <v>45862</v>
      </c>
      <c r="D882" s="9" t="n">
        <v>181000</v>
      </c>
      <c r="E882" t="n">
        <v>12</v>
      </c>
      <c r="F882" s="10" t="n">
        <v>0.154</v>
      </c>
      <c r="G882" t="inlineStr">
        <is>
          <t>Asset Finance</t>
        </is>
      </c>
      <c r="H882" t="inlineStr">
        <is>
          <t>LO019</t>
        </is>
      </c>
      <c r="I882" t="inlineStr">
        <is>
          <t>Mobile App</t>
        </is>
      </c>
      <c r="J882">
        <f>INDEX('Data - Borrowers'!$B$2:$B$851, MATCH(B882, 'Data - Borrowers'!$A$2:$A$851, 0))</f>
        <v/>
      </c>
      <c r="K882">
        <f>INDEX('Data - Borrowers'!$C$2:$C$851, MATCH(B882, 'Data - Borrowers'!$A$2:$A$851, 0))</f>
        <v/>
      </c>
      <c r="L882">
        <f>IF(D882&lt;100000, "Micro (&lt;100K)", IF(D882&lt;500000, "Small (100K-500K)", "Medium (500K+)"))</f>
        <v/>
      </c>
      <c r="M882">
        <f>TEXT(C882, "yyyy-mm")</f>
        <v/>
      </c>
    </row>
    <row r="883">
      <c r="A883" t="inlineStr">
        <is>
          <t>LN200959</t>
        </is>
      </c>
      <c r="B883" t="inlineStr">
        <is>
          <t>BOR100711</t>
        </is>
      </c>
      <c r="C883" s="8" t="n">
        <v>45693</v>
      </c>
      <c r="D883" s="9" t="n">
        <v>28000</v>
      </c>
      <c r="E883" t="n">
        <v>3</v>
      </c>
      <c r="F883" s="10" t="n">
        <v>0.158</v>
      </c>
      <c r="G883" t="inlineStr">
        <is>
          <t>Asset Finance</t>
        </is>
      </c>
      <c r="H883" t="inlineStr">
        <is>
          <t>LO020</t>
        </is>
      </c>
      <c r="I883" t="inlineStr">
        <is>
          <t>Partner Referral</t>
        </is>
      </c>
      <c r="J883">
        <f>INDEX('Data - Borrowers'!$B$2:$B$851, MATCH(B883, 'Data - Borrowers'!$A$2:$A$851, 0))</f>
        <v/>
      </c>
      <c r="K883">
        <f>INDEX('Data - Borrowers'!$C$2:$C$851, MATCH(B883, 'Data - Borrowers'!$A$2:$A$851, 0))</f>
        <v/>
      </c>
      <c r="L883">
        <f>IF(D883&lt;100000, "Micro (&lt;100K)", IF(D883&lt;500000, "Small (100K-500K)", "Medium (500K+)"))</f>
        <v/>
      </c>
      <c r="M883">
        <f>TEXT(C883, "yyyy-mm")</f>
        <v/>
      </c>
    </row>
    <row r="884">
      <c r="A884" t="inlineStr">
        <is>
          <t>LN200960</t>
        </is>
      </c>
      <c r="B884" t="inlineStr">
        <is>
          <t>BOR100712</t>
        </is>
      </c>
      <c r="C884" s="8" t="n">
        <v>45842</v>
      </c>
      <c r="D884" s="9" t="n">
        <v>45000</v>
      </c>
      <c r="E884" t="n">
        <v>6</v>
      </c>
      <c r="F884" s="10" t="n">
        <v>0.135</v>
      </c>
      <c r="G884" t="inlineStr">
        <is>
          <t>Working Capital</t>
        </is>
      </c>
      <c r="H884" t="inlineStr">
        <is>
          <t>LO006</t>
        </is>
      </c>
      <c r="I884" t="inlineStr">
        <is>
          <t>Mobile App</t>
        </is>
      </c>
      <c r="J884">
        <f>INDEX('Data - Borrowers'!$B$2:$B$851, MATCH(B884, 'Data - Borrowers'!$A$2:$A$851, 0))</f>
        <v/>
      </c>
      <c r="K884">
        <f>INDEX('Data - Borrowers'!$C$2:$C$851, MATCH(B884, 'Data - Borrowers'!$A$2:$A$851, 0))</f>
        <v/>
      </c>
      <c r="L884">
        <f>IF(D884&lt;100000, "Micro (&lt;100K)", IF(D884&lt;500000, "Small (100K-500K)", "Medium (500K+)"))</f>
        <v/>
      </c>
      <c r="M884">
        <f>TEXT(C884, "yyyy-mm")</f>
        <v/>
      </c>
    </row>
    <row r="885">
      <c r="A885" t="inlineStr">
        <is>
          <t>LN200961</t>
        </is>
      </c>
      <c r="B885" t="inlineStr">
        <is>
          <t>BOR100713</t>
        </is>
      </c>
      <c r="C885" s="8" t="n">
        <v>45893</v>
      </c>
      <c r="D885" s="9" t="n">
        <v>43000</v>
      </c>
      <c r="E885" t="n">
        <v>6</v>
      </c>
      <c r="F885" s="10" t="n">
        <v>0.224</v>
      </c>
      <c r="G885" t="inlineStr">
        <is>
          <t>Asset Finance</t>
        </is>
      </c>
      <c r="H885" t="inlineStr">
        <is>
          <t>LO020</t>
        </is>
      </c>
      <c r="I885" t="inlineStr">
        <is>
          <t>Partner Referral</t>
        </is>
      </c>
      <c r="J885">
        <f>INDEX('Data - Borrowers'!$B$2:$B$851, MATCH(B885, 'Data - Borrowers'!$A$2:$A$851, 0))</f>
        <v/>
      </c>
      <c r="K885">
        <f>INDEX('Data - Borrowers'!$C$2:$C$851, MATCH(B885, 'Data - Borrowers'!$A$2:$A$851, 0))</f>
        <v/>
      </c>
      <c r="L885">
        <f>IF(D885&lt;100000, "Micro (&lt;100K)", IF(D885&lt;500000, "Small (100K-500K)", "Medium (500K+)"))</f>
        <v/>
      </c>
      <c r="M885">
        <f>TEXT(C885, "yyyy-mm")</f>
        <v/>
      </c>
    </row>
    <row r="886">
      <c r="A886" t="inlineStr">
        <is>
          <t>LN200962</t>
        </is>
      </c>
      <c r="B886" t="inlineStr">
        <is>
          <t>BOR100714</t>
        </is>
      </c>
      <c r="C886" s="8" t="n">
        <v>45822</v>
      </c>
      <c r="D886" s="9" t="n">
        <v>428000</v>
      </c>
      <c r="E886" t="n">
        <v>3</v>
      </c>
      <c r="F886" s="10" t="n">
        <v>0.163</v>
      </c>
      <c r="G886" t="inlineStr">
        <is>
          <t>Working Capital</t>
        </is>
      </c>
      <c r="H886" t="inlineStr">
        <is>
          <t>LO022</t>
        </is>
      </c>
      <c r="I886" t="inlineStr">
        <is>
          <t>Branch</t>
        </is>
      </c>
      <c r="J886">
        <f>INDEX('Data - Borrowers'!$B$2:$B$851, MATCH(B886, 'Data - Borrowers'!$A$2:$A$851, 0))</f>
        <v/>
      </c>
      <c r="K886">
        <f>INDEX('Data - Borrowers'!$C$2:$C$851, MATCH(B886, 'Data - Borrowers'!$A$2:$A$851, 0))</f>
        <v/>
      </c>
      <c r="L886">
        <f>IF(D886&lt;100000, "Micro (&lt;100K)", IF(D886&lt;500000, "Small (100K-500K)", "Medium (500K+)"))</f>
        <v/>
      </c>
      <c r="M886">
        <f>TEXT(C886, "yyyy-mm")</f>
        <v/>
      </c>
    </row>
    <row r="887">
      <c r="A887" t="inlineStr">
        <is>
          <t>LN200963</t>
        </is>
      </c>
      <c r="B887" t="inlineStr">
        <is>
          <t>BOR100714</t>
        </is>
      </c>
      <c r="C887" s="8" t="n">
        <v>46230</v>
      </c>
      <c r="D887" s="9" t="n">
        <v>444000</v>
      </c>
      <c r="E887" t="n">
        <v>9</v>
      </c>
      <c r="F887" s="10" t="n">
        <v>0.208</v>
      </c>
      <c r="G887" t="inlineStr">
        <is>
          <t>Invoice Discounting</t>
        </is>
      </c>
      <c r="H887" t="inlineStr">
        <is>
          <t>LO013</t>
        </is>
      </c>
      <c r="I887" t="inlineStr">
        <is>
          <t>Branch</t>
        </is>
      </c>
      <c r="J887">
        <f>INDEX('Data - Borrowers'!$B$2:$B$851, MATCH(B887, 'Data - Borrowers'!$A$2:$A$851, 0))</f>
        <v/>
      </c>
      <c r="K887">
        <f>INDEX('Data - Borrowers'!$C$2:$C$851, MATCH(B887, 'Data - Borrowers'!$A$2:$A$851, 0))</f>
        <v/>
      </c>
      <c r="L887">
        <f>IF(D887&lt;100000, "Micro (&lt;100K)", IF(D887&lt;500000, "Small (100K-500K)", "Medium (500K+)"))</f>
        <v/>
      </c>
      <c r="M887">
        <f>TEXT(C887, "yyyy-mm")</f>
        <v/>
      </c>
    </row>
    <row r="888">
      <c r="A888" t="inlineStr">
        <is>
          <t>LN200964</t>
        </is>
      </c>
      <c r="B888" t="inlineStr">
        <is>
          <t>BOR100715</t>
        </is>
      </c>
      <c r="C888" s="8" t="n">
        <v>45914</v>
      </c>
      <c r="D888" s="9" t="n">
        <v>104000</v>
      </c>
      <c r="E888" t="n">
        <v>12</v>
      </c>
      <c r="F888" s="10" t="n">
        <v>0.189</v>
      </c>
      <c r="G888" t="inlineStr">
        <is>
          <t>Invoice Discounting</t>
        </is>
      </c>
      <c r="H888" t="inlineStr">
        <is>
          <t>LO025</t>
        </is>
      </c>
      <c r="I888" t="inlineStr">
        <is>
          <t>Mobile App</t>
        </is>
      </c>
      <c r="J888">
        <f>INDEX('Data - Borrowers'!$B$2:$B$851, MATCH(B888, 'Data - Borrowers'!$A$2:$A$851, 0))</f>
        <v/>
      </c>
      <c r="K888">
        <f>INDEX('Data - Borrowers'!$C$2:$C$851, MATCH(B888, 'Data - Borrowers'!$A$2:$A$851, 0))</f>
        <v/>
      </c>
      <c r="L888">
        <f>IF(D888&lt;100000, "Micro (&lt;100K)", IF(D888&lt;500000, "Small (100K-500K)", "Medium (500K+)"))</f>
        <v/>
      </c>
      <c r="M888">
        <f>TEXT(C888, "yyyy-mm")</f>
        <v/>
      </c>
    </row>
    <row r="889">
      <c r="A889" t="inlineStr">
        <is>
          <t>LN200965</t>
        </is>
      </c>
      <c r="B889" t="inlineStr">
        <is>
          <t>BOR100716</t>
        </is>
      </c>
      <c r="C889" s="8" t="n">
        <v>45989</v>
      </c>
      <c r="D889" s="9" t="n">
        <v>22000</v>
      </c>
      <c r="E889" t="n">
        <v>6</v>
      </c>
      <c r="F889" s="10" t="n">
        <v>0.187</v>
      </c>
      <c r="G889" t="inlineStr">
        <is>
          <t>Working Capital</t>
        </is>
      </c>
      <c r="H889" t="inlineStr">
        <is>
          <t>LO001</t>
        </is>
      </c>
      <c r="I889" t="inlineStr">
        <is>
          <t>Mobile App</t>
        </is>
      </c>
      <c r="J889">
        <f>INDEX('Data - Borrowers'!$B$2:$B$851, MATCH(B889, 'Data - Borrowers'!$A$2:$A$851, 0))</f>
        <v/>
      </c>
      <c r="K889">
        <f>INDEX('Data - Borrowers'!$C$2:$C$851, MATCH(B889, 'Data - Borrowers'!$A$2:$A$851, 0))</f>
        <v/>
      </c>
      <c r="L889">
        <f>IF(D889&lt;100000, "Micro (&lt;100K)", IF(D889&lt;500000, "Small (100K-500K)", "Medium (500K+)"))</f>
        <v/>
      </c>
      <c r="M889">
        <f>TEXT(C889, "yyyy-mm")</f>
        <v/>
      </c>
    </row>
    <row r="890">
      <c r="A890" t="inlineStr">
        <is>
          <t>LN200966</t>
        </is>
      </c>
      <c r="B890" t="inlineStr">
        <is>
          <t>BOR100716</t>
        </is>
      </c>
      <c r="C890" s="8" t="n">
        <v>46210</v>
      </c>
      <c r="D890" s="9" t="n">
        <v>20000</v>
      </c>
      <c r="E890" t="n">
        <v>6</v>
      </c>
      <c r="F890" s="10" t="n">
        <v>0.203</v>
      </c>
      <c r="G890" t="inlineStr">
        <is>
          <t>Working Capital</t>
        </is>
      </c>
      <c r="H890" t="inlineStr">
        <is>
          <t>LO021</t>
        </is>
      </c>
      <c r="I890" t="inlineStr">
        <is>
          <t>Mobile App</t>
        </is>
      </c>
      <c r="J890">
        <f>INDEX('Data - Borrowers'!$B$2:$B$851, MATCH(B890, 'Data - Borrowers'!$A$2:$A$851, 0))</f>
        <v/>
      </c>
      <c r="K890">
        <f>INDEX('Data - Borrowers'!$C$2:$C$851, MATCH(B890, 'Data - Borrowers'!$A$2:$A$851, 0))</f>
        <v/>
      </c>
      <c r="L890">
        <f>IF(D890&lt;100000, "Micro (&lt;100K)", IF(D890&lt;500000, "Small (100K-500K)", "Medium (500K+)"))</f>
        <v/>
      </c>
      <c r="M890">
        <f>TEXT(C890, "yyyy-mm")</f>
        <v/>
      </c>
    </row>
    <row r="891">
      <c r="A891" t="inlineStr">
        <is>
          <t>LN200967</t>
        </is>
      </c>
      <c r="B891" t="inlineStr">
        <is>
          <t>BOR100717</t>
        </is>
      </c>
      <c r="C891" s="8" t="n">
        <v>45801</v>
      </c>
      <c r="D891" s="9" t="n">
        <v>78000</v>
      </c>
      <c r="E891" t="n">
        <v>12</v>
      </c>
      <c r="F891" s="10" t="n">
        <v>0.161</v>
      </c>
      <c r="G891" t="inlineStr">
        <is>
          <t>Working Capital</t>
        </is>
      </c>
      <c r="H891" t="inlineStr">
        <is>
          <t>LO003</t>
        </is>
      </c>
      <c r="I891" t="inlineStr">
        <is>
          <t>Mobile App</t>
        </is>
      </c>
      <c r="J891">
        <f>INDEX('Data - Borrowers'!$B$2:$B$851, MATCH(B891, 'Data - Borrowers'!$A$2:$A$851, 0))</f>
        <v/>
      </c>
      <c r="K891">
        <f>INDEX('Data - Borrowers'!$C$2:$C$851, MATCH(B891, 'Data - Borrowers'!$A$2:$A$851, 0))</f>
        <v/>
      </c>
      <c r="L891">
        <f>IF(D891&lt;100000, "Micro (&lt;100K)", IF(D891&lt;500000, "Small (100K-500K)", "Medium (500K+)"))</f>
        <v/>
      </c>
      <c r="M891">
        <f>TEXT(C891, "yyyy-mm")</f>
        <v/>
      </c>
    </row>
    <row r="892">
      <c r="A892" t="inlineStr">
        <is>
          <t>LN200968</t>
        </is>
      </c>
      <c r="B892" t="inlineStr">
        <is>
          <t>BOR100718</t>
        </is>
      </c>
      <c r="C892" s="8" t="n">
        <v>46057</v>
      </c>
      <c r="D892" s="9" t="n">
        <v>95000</v>
      </c>
      <c r="E892" t="n">
        <v>9</v>
      </c>
      <c r="F892" s="10" t="n">
        <v>0.17</v>
      </c>
      <c r="G892" t="inlineStr">
        <is>
          <t>Invoice Discounting</t>
        </is>
      </c>
      <c r="H892" t="inlineStr">
        <is>
          <t>LO025</t>
        </is>
      </c>
      <c r="I892" t="inlineStr">
        <is>
          <t>Mobile App</t>
        </is>
      </c>
      <c r="J892">
        <f>INDEX('Data - Borrowers'!$B$2:$B$851, MATCH(B892, 'Data - Borrowers'!$A$2:$A$851, 0))</f>
        <v/>
      </c>
      <c r="K892">
        <f>INDEX('Data - Borrowers'!$C$2:$C$851, MATCH(B892, 'Data - Borrowers'!$A$2:$A$851, 0))</f>
        <v/>
      </c>
      <c r="L892">
        <f>IF(D892&lt;100000, "Micro (&lt;100K)", IF(D892&lt;500000, "Small (100K-500K)", "Medium (500K+)"))</f>
        <v/>
      </c>
      <c r="M892">
        <f>TEXT(C892, "yyyy-mm")</f>
        <v/>
      </c>
    </row>
    <row r="893">
      <c r="A893" t="inlineStr">
        <is>
          <t>LN200969</t>
        </is>
      </c>
      <c r="B893" t="inlineStr">
        <is>
          <t>BOR100718</t>
        </is>
      </c>
      <c r="C893" s="8" t="n">
        <v>46216</v>
      </c>
      <c r="D893" s="9" t="n">
        <v>61000</v>
      </c>
      <c r="E893" t="n">
        <v>6</v>
      </c>
      <c r="F893" s="10" t="n">
        <v>0.146</v>
      </c>
      <c r="G893" t="inlineStr">
        <is>
          <t>Working Capital</t>
        </is>
      </c>
      <c r="H893" t="inlineStr">
        <is>
          <t>LO001</t>
        </is>
      </c>
      <c r="I893" t="inlineStr">
        <is>
          <t>Branch</t>
        </is>
      </c>
      <c r="J893">
        <f>INDEX('Data - Borrowers'!$B$2:$B$851, MATCH(B893, 'Data - Borrowers'!$A$2:$A$851, 0))</f>
        <v/>
      </c>
      <c r="K893">
        <f>INDEX('Data - Borrowers'!$C$2:$C$851, MATCH(B893, 'Data - Borrowers'!$A$2:$A$851, 0))</f>
        <v/>
      </c>
      <c r="L893">
        <f>IF(D893&lt;100000, "Micro (&lt;100K)", IF(D893&lt;500000, "Small (100K-500K)", "Medium (500K+)"))</f>
        <v/>
      </c>
      <c r="M893">
        <f>TEXT(C893, "yyyy-mm")</f>
        <v/>
      </c>
    </row>
    <row r="894">
      <c r="A894" t="inlineStr">
        <is>
          <t>LN200970</t>
        </is>
      </c>
      <c r="B894" t="inlineStr">
        <is>
          <t>BOR100719</t>
        </is>
      </c>
      <c r="C894" s="8" t="n">
        <v>45684</v>
      </c>
      <c r="D894" s="9" t="n">
        <v>104000</v>
      </c>
      <c r="E894" t="n">
        <v>9</v>
      </c>
      <c r="F894" s="10" t="n">
        <v>0.208</v>
      </c>
      <c r="G894" t="inlineStr">
        <is>
          <t>Working Capital</t>
        </is>
      </c>
      <c r="H894" t="inlineStr">
        <is>
          <t>LO009</t>
        </is>
      </c>
      <c r="I894" t="inlineStr">
        <is>
          <t>Mobile App</t>
        </is>
      </c>
      <c r="J894">
        <f>INDEX('Data - Borrowers'!$B$2:$B$851, MATCH(B894, 'Data - Borrowers'!$A$2:$A$851, 0))</f>
        <v/>
      </c>
      <c r="K894">
        <f>INDEX('Data - Borrowers'!$C$2:$C$851, MATCH(B894, 'Data - Borrowers'!$A$2:$A$851, 0))</f>
        <v/>
      </c>
      <c r="L894">
        <f>IF(D894&lt;100000, "Micro (&lt;100K)", IF(D894&lt;500000, "Small (100K-500K)", "Medium (500K+)"))</f>
        <v/>
      </c>
      <c r="M894">
        <f>TEXT(C894, "yyyy-mm")</f>
        <v/>
      </c>
    </row>
    <row r="895">
      <c r="A895" t="inlineStr">
        <is>
          <t>LN200971</t>
        </is>
      </c>
      <c r="B895" t="inlineStr">
        <is>
          <t>BOR100720</t>
        </is>
      </c>
      <c r="C895" s="8" t="n">
        <v>45838</v>
      </c>
      <c r="D895" s="9" t="n">
        <v>39000</v>
      </c>
      <c r="E895" t="n">
        <v>6</v>
      </c>
      <c r="F895" s="10" t="n">
        <v>0.138</v>
      </c>
      <c r="G895" t="inlineStr">
        <is>
          <t>Working Capital</t>
        </is>
      </c>
      <c r="H895" t="inlineStr">
        <is>
          <t>LO025</t>
        </is>
      </c>
      <c r="I895" t="inlineStr">
        <is>
          <t>Mobile App</t>
        </is>
      </c>
      <c r="J895">
        <f>INDEX('Data - Borrowers'!$B$2:$B$851, MATCH(B895, 'Data - Borrowers'!$A$2:$A$851, 0))</f>
        <v/>
      </c>
      <c r="K895">
        <f>INDEX('Data - Borrowers'!$C$2:$C$851, MATCH(B895, 'Data - Borrowers'!$A$2:$A$851, 0))</f>
        <v/>
      </c>
      <c r="L895">
        <f>IF(D895&lt;100000, "Micro (&lt;100K)", IF(D895&lt;500000, "Small (100K-500K)", "Medium (500K+)"))</f>
        <v/>
      </c>
      <c r="M895">
        <f>TEXT(C895, "yyyy-mm")</f>
        <v/>
      </c>
    </row>
    <row r="896">
      <c r="A896" t="inlineStr">
        <is>
          <t>LN200972</t>
        </is>
      </c>
      <c r="B896" t="inlineStr">
        <is>
          <t>BOR100721</t>
        </is>
      </c>
      <c r="C896" s="8" t="n">
        <v>46144</v>
      </c>
      <c r="D896" s="9" t="n">
        <v>41000</v>
      </c>
      <c r="E896" t="n">
        <v>3</v>
      </c>
      <c r="F896" s="10" t="n">
        <v>0.219</v>
      </c>
      <c r="G896" t="inlineStr">
        <is>
          <t>Invoice Discounting</t>
        </is>
      </c>
      <c r="H896" t="inlineStr">
        <is>
          <t>LO013</t>
        </is>
      </c>
      <c r="I896" t="inlineStr">
        <is>
          <t>Mobile App</t>
        </is>
      </c>
      <c r="J896">
        <f>INDEX('Data - Borrowers'!$B$2:$B$851, MATCH(B896, 'Data - Borrowers'!$A$2:$A$851, 0))</f>
        <v/>
      </c>
      <c r="K896">
        <f>INDEX('Data - Borrowers'!$C$2:$C$851, MATCH(B896, 'Data - Borrowers'!$A$2:$A$851, 0))</f>
        <v/>
      </c>
      <c r="L896">
        <f>IF(D896&lt;100000, "Micro (&lt;100K)", IF(D896&lt;500000, "Small (100K-500K)", "Medium (500K+)"))</f>
        <v/>
      </c>
      <c r="M896">
        <f>TEXT(C896, "yyyy-mm")</f>
        <v/>
      </c>
    </row>
    <row r="897">
      <c r="A897" t="inlineStr">
        <is>
          <t>LN200973</t>
        </is>
      </c>
      <c r="B897" t="inlineStr">
        <is>
          <t>BOR100722</t>
        </is>
      </c>
      <c r="C897" s="8" t="n">
        <v>45734</v>
      </c>
      <c r="D897" s="9" t="n">
        <v>101000</v>
      </c>
      <c r="E897" t="n">
        <v>18</v>
      </c>
      <c r="F897" s="10" t="n">
        <v>0.216</v>
      </c>
      <c r="G897" t="inlineStr">
        <is>
          <t>Asset Finance</t>
        </is>
      </c>
      <c r="H897" t="inlineStr">
        <is>
          <t>LO008</t>
        </is>
      </c>
      <c r="I897" t="inlineStr">
        <is>
          <t>Branch</t>
        </is>
      </c>
      <c r="J897">
        <f>INDEX('Data - Borrowers'!$B$2:$B$851, MATCH(B897, 'Data - Borrowers'!$A$2:$A$851, 0))</f>
        <v/>
      </c>
      <c r="K897">
        <f>INDEX('Data - Borrowers'!$C$2:$C$851, MATCH(B897, 'Data - Borrowers'!$A$2:$A$851, 0))</f>
        <v/>
      </c>
      <c r="L897">
        <f>IF(D897&lt;100000, "Micro (&lt;100K)", IF(D897&lt;500000, "Small (100K-500K)", "Medium (500K+)"))</f>
        <v/>
      </c>
      <c r="M897">
        <f>TEXT(C897, "yyyy-mm")</f>
        <v/>
      </c>
    </row>
    <row r="898">
      <c r="A898" t="inlineStr">
        <is>
          <t>LN200974</t>
        </is>
      </c>
      <c r="B898" t="inlineStr">
        <is>
          <t>BOR100722</t>
        </is>
      </c>
      <c r="C898" s="8" t="n">
        <v>46172</v>
      </c>
      <c r="D898" s="9" t="n">
        <v>91000</v>
      </c>
      <c r="E898" t="n">
        <v>6</v>
      </c>
      <c r="F898" s="10" t="n">
        <v>0.235</v>
      </c>
      <c r="G898" t="inlineStr">
        <is>
          <t>Working Capital</t>
        </is>
      </c>
      <c r="H898" t="inlineStr">
        <is>
          <t>LO022</t>
        </is>
      </c>
      <c r="I898" t="inlineStr">
        <is>
          <t>Mobile App</t>
        </is>
      </c>
      <c r="J898">
        <f>INDEX('Data - Borrowers'!$B$2:$B$851, MATCH(B898, 'Data - Borrowers'!$A$2:$A$851, 0))</f>
        <v/>
      </c>
      <c r="K898">
        <f>INDEX('Data - Borrowers'!$C$2:$C$851, MATCH(B898, 'Data - Borrowers'!$A$2:$A$851, 0))</f>
        <v/>
      </c>
      <c r="L898">
        <f>IF(D898&lt;100000, "Micro (&lt;100K)", IF(D898&lt;500000, "Small (100K-500K)", "Medium (500K+)"))</f>
        <v/>
      </c>
      <c r="M898">
        <f>TEXT(C898, "yyyy-mm")</f>
        <v/>
      </c>
    </row>
    <row r="899">
      <c r="A899" t="inlineStr">
        <is>
          <t>LN200975</t>
        </is>
      </c>
      <c r="B899" t="inlineStr">
        <is>
          <t>BOR100723</t>
        </is>
      </c>
      <c r="C899" s="8" t="n">
        <v>45694</v>
      </c>
      <c r="D899" s="9" t="n">
        <v>25000</v>
      </c>
      <c r="E899" t="n">
        <v>9</v>
      </c>
      <c r="F899" s="10" t="n">
        <v>0.198</v>
      </c>
      <c r="G899" t="inlineStr">
        <is>
          <t>Working Capital</t>
        </is>
      </c>
      <c r="H899" t="inlineStr">
        <is>
          <t>LO013</t>
        </is>
      </c>
      <c r="I899" t="inlineStr">
        <is>
          <t>Mobile App</t>
        </is>
      </c>
      <c r="J899">
        <f>INDEX('Data - Borrowers'!$B$2:$B$851, MATCH(B899, 'Data - Borrowers'!$A$2:$A$851, 0))</f>
        <v/>
      </c>
      <c r="K899">
        <f>INDEX('Data - Borrowers'!$C$2:$C$851, MATCH(B899, 'Data - Borrowers'!$A$2:$A$851, 0))</f>
        <v/>
      </c>
      <c r="L899">
        <f>IF(D899&lt;100000, "Micro (&lt;100K)", IF(D899&lt;500000, "Small (100K-500K)", "Medium (500K+)"))</f>
        <v/>
      </c>
      <c r="M899">
        <f>TEXT(C899, "yyyy-mm")</f>
        <v/>
      </c>
    </row>
    <row r="900">
      <c r="A900" t="inlineStr">
        <is>
          <t>LN200976</t>
        </is>
      </c>
      <c r="B900" t="inlineStr">
        <is>
          <t>BOR100723</t>
        </is>
      </c>
      <c r="C900" s="8" t="n">
        <v>45946</v>
      </c>
      <c r="D900" s="9" t="n">
        <v>20000</v>
      </c>
      <c r="E900" t="n">
        <v>6</v>
      </c>
      <c r="F900" s="10" t="n">
        <v>0.205</v>
      </c>
      <c r="G900" t="inlineStr">
        <is>
          <t>Working Capital</t>
        </is>
      </c>
      <c r="H900" t="inlineStr">
        <is>
          <t>LO014</t>
        </is>
      </c>
      <c r="I900" t="inlineStr">
        <is>
          <t>Mobile App</t>
        </is>
      </c>
      <c r="J900">
        <f>INDEX('Data - Borrowers'!$B$2:$B$851, MATCH(B900, 'Data - Borrowers'!$A$2:$A$851, 0))</f>
        <v/>
      </c>
      <c r="K900">
        <f>INDEX('Data - Borrowers'!$C$2:$C$851, MATCH(B900, 'Data - Borrowers'!$A$2:$A$851, 0))</f>
        <v/>
      </c>
      <c r="L900">
        <f>IF(D900&lt;100000, "Micro (&lt;100K)", IF(D900&lt;500000, "Small (100K-500K)", "Medium (500K+)"))</f>
        <v/>
      </c>
      <c r="M900">
        <f>TEXT(C900, "yyyy-mm")</f>
        <v/>
      </c>
    </row>
    <row r="901">
      <c r="A901" t="inlineStr">
        <is>
          <t>LN200977</t>
        </is>
      </c>
      <c r="B901" t="inlineStr">
        <is>
          <t>BOR100724</t>
        </is>
      </c>
      <c r="C901" s="8" t="n">
        <v>46099</v>
      </c>
      <c r="D901" s="9" t="n">
        <v>62000</v>
      </c>
      <c r="E901" t="n">
        <v>9</v>
      </c>
      <c r="F901" s="10" t="n">
        <v>0.225</v>
      </c>
      <c r="G901" t="inlineStr">
        <is>
          <t>Working Capital</t>
        </is>
      </c>
      <c r="H901" t="inlineStr">
        <is>
          <t>LO009</t>
        </is>
      </c>
      <c r="I901" t="inlineStr">
        <is>
          <t>Branch</t>
        </is>
      </c>
      <c r="J901">
        <f>INDEX('Data - Borrowers'!$B$2:$B$851, MATCH(B901, 'Data - Borrowers'!$A$2:$A$851, 0))</f>
        <v/>
      </c>
      <c r="K901">
        <f>INDEX('Data - Borrowers'!$C$2:$C$851, MATCH(B901, 'Data - Borrowers'!$A$2:$A$851, 0))</f>
        <v/>
      </c>
      <c r="L901">
        <f>IF(D901&lt;100000, "Micro (&lt;100K)", IF(D901&lt;500000, "Small (100K-500K)", "Medium (500K+)"))</f>
        <v/>
      </c>
      <c r="M901">
        <f>TEXT(C901, "yyyy-mm")</f>
        <v/>
      </c>
    </row>
    <row r="902">
      <c r="A902" t="inlineStr">
        <is>
          <t>LN200978</t>
        </is>
      </c>
      <c r="B902" t="inlineStr">
        <is>
          <t>BOR100725</t>
        </is>
      </c>
      <c r="C902" s="8" t="n">
        <v>45817</v>
      </c>
      <c r="D902" s="9" t="n">
        <v>217000</v>
      </c>
      <c r="E902" t="n">
        <v>18</v>
      </c>
      <c r="F902" s="10" t="n">
        <v>0.189</v>
      </c>
      <c r="G902" t="inlineStr">
        <is>
          <t>Working Capital</t>
        </is>
      </c>
      <c r="H902" t="inlineStr">
        <is>
          <t>LO018</t>
        </is>
      </c>
      <c r="I902" t="inlineStr">
        <is>
          <t>Mobile App</t>
        </is>
      </c>
      <c r="J902">
        <f>INDEX('Data - Borrowers'!$B$2:$B$851, MATCH(B902, 'Data - Borrowers'!$A$2:$A$851, 0))</f>
        <v/>
      </c>
      <c r="K902">
        <f>INDEX('Data - Borrowers'!$C$2:$C$851, MATCH(B902, 'Data - Borrowers'!$A$2:$A$851, 0))</f>
        <v/>
      </c>
      <c r="L902">
        <f>IF(D902&lt;100000, "Micro (&lt;100K)", IF(D902&lt;500000, "Small (100K-500K)", "Medium (500K+)"))</f>
        <v/>
      </c>
      <c r="M902">
        <f>TEXT(C902, "yyyy-mm")</f>
        <v/>
      </c>
    </row>
    <row r="903">
      <c r="A903" t="inlineStr">
        <is>
          <t>LN200979</t>
        </is>
      </c>
      <c r="B903" t="inlineStr">
        <is>
          <t>BOR100725</t>
        </is>
      </c>
      <c r="C903" s="8" t="n">
        <v>45982</v>
      </c>
      <c r="D903" s="9" t="n">
        <v>195000</v>
      </c>
      <c r="E903" t="n">
        <v>6</v>
      </c>
      <c r="F903" s="10" t="n">
        <v>0.165</v>
      </c>
      <c r="G903" t="inlineStr">
        <is>
          <t>Asset Finance</t>
        </is>
      </c>
      <c r="H903" t="inlineStr">
        <is>
          <t>LO008</t>
        </is>
      </c>
      <c r="I903" t="inlineStr">
        <is>
          <t>Mobile App</t>
        </is>
      </c>
      <c r="J903">
        <f>INDEX('Data - Borrowers'!$B$2:$B$851, MATCH(B903, 'Data - Borrowers'!$A$2:$A$851, 0))</f>
        <v/>
      </c>
      <c r="K903">
        <f>INDEX('Data - Borrowers'!$C$2:$C$851, MATCH(B903, 'Data - Borrowers'!$A$2:$A$851, 0))</f>
        <v/>
      </c>
      <c r="L903">
        <f>IF(D903&lt;100000, "Micro (&lt;100K)", IF(D903&lt;500000, "Small (100K-500K)", "Medium (500K+)"))</f>
        <v/>
      </c>
      <c r="M903">
        <f>TEXT(C903, "yyyy-mm")</f>
        <v/>
      </c>
    </row>
    <row r="904">
      <c r="A904" t="inlineStr">
        <is>
          <t>LN200980</t>
        </is>
      </c>
      <c r="B904" t="inlineStr">
        <is>
          <t>BOR100726</t>
        </is>
      </c>
      <c r="C904" s="8" t="n">
        <v>45954</v>
      </c>
      <c r="D904" s="9" t="n">
        <v>69000</v>
      </c>
      <c r="E904" t="n">
        <v>12</v>
      </c>
      <c r="F904" s="10" t="n">
        <v>0.234</v>
      </c>
      <c r="G904" t="inlineStr">
        <is>
          <t>Working Capital</t>
        </is>
      </c>
      <c r="H904" t="inlineStr">
        <is>
          <t>LO006</t>
        </is>
      </c>
      <c r="I904" t="inlineStr">
        <is>
          <t>Branch</t>
        </is>
      </c>
      <c r="J904">
        <f>INDEX('Data - Borrowers'!$B$2:$B$851, MATCH(B904, 'Data - Borrowers'!$A$2:$A$851, 0))</f>
        <v/>
      </c>
      <c r="K904">
        <f>INDEX('Data - Borrowers'!$C$2:$C$851, MATCH(B904, 'Data - Borrowers'!$A$2:$A$851, 0))</f>
        <v/>
      </c>
      <c r="L904">
        <f>IF(D904&lt;100000, "Micro (&lt;100K)", IF(D904&lt;500000, "Small (100K-500K)", "Medium (500K+)"))</f>
        <v/>
      </c>
      <c r="M904">
        <f>TEXT(C904, "yyyy-mm")</f>
        <v/>
      </c>
    </row>
    <row r="905">
      <c r="A905" t="inlineStr">
        <is>
          <t>LN200981</t>
        </is>
      </c>
      <c r="B905" t="inlineStr">
        <is>
          <t>BOR100727</t>
        </is>
      </c>
      <c r="C905" s="8" t="n">
        <v>46091</v>
      </c>
      <c r="D905" s="9" t="n">
        <v>41000</v>
      </c>
      <c r="E905" t="n">
        <v>18</v>
      </c>
      <c r="F905" s="10" t="n">
        <v>0.133</v>
      </c>
      <c r="G905" t="inlineStr">
        <is>
          <t>Invoice Discounting</t>
        </is>
      </c>
      <c r="H905" t="inlineStr">
        <is>
          <t>LO014</t>
        </is>
      </c>
      <c r="I905" t="inlineStr">
        <is>
          <t>Mobile App</t>
        </is>
      </c>
      <c r="J905">
        <f>INDEX('Data - Borrowers'!$B$2:$B$851, MATCH(B905, 'Data - Borrowers'!$A$2:$A$851, 0))</f>
        <v/>
      </c>
      <c r="K905">
        <f>INDEX('Data - Borrowers'!$C$2:$C$851, MATCH(B905, 'Data - Borrowers'!$A$2:$A$851, 0))</f>
        <v/>
      </c>
      <c r="L905">
        <f>IF(D905&lt;100000, "Micro (&lt;100K)", IF(D905&lt;500000, "Small (100K-500K)", "Medium (500K+)"))</f>
        <v/>
      </c>
      <c r="M905">
        <f>TEXT(C905, "yyyy-mm")</f>
        <v/>
      </c>
    </row>
    <row r="906">
      <c r="A906" t="inlineStr">
        <is>
          <t>LN200982</t>
        </is>
      </c>
      <c r="B906" t="inlineStr">
        <is>
          <t>BOR100728</t>
        </is>
      </c>
      <c r="C906" s="8" t="n">
        <v>46034</v>
      </c>
      <c r="D906" s="9" t="n">
        <v>90000</v>
      </c>
      <c r="E906" t="n">
        <v>12</v>
      </c>
      <c r="F906" s="10" t="n">
        <v>0.129</v>
      </c>
      <c r="G906" t="inlineStr">
        <is>
          <t>Asset Finance</t>
        </is>
      </c>
      <c r="H906" t="inlineStr">
        <is>
          <t>LO018</t>
        </is>
      </c>
      <c r="I906" t="inlineStr">
        <is>
          <t>Mobile App</t>
        </is>
      </c>
      <c r="J906">
        <f>INDEX('Data - Borrowers'!$B$2:$B$851, MATCH(B906, 'Data - Borrowers'!$A$2:$A$851, 0))</f>
        <v/>
      </c>
      <c r="K906">
        <f>INDEX('Data - Borrowers'!$C$2:$C$851, MATCH(B906, 'Data - Borrowers'!$A$2:$A$851, 0))</f>
        <v/>
      </c>
      <c r="L906">
        <f>IF(D906&lt;100000, "Micro (&lt;100K)", IF(D906&lt;500000, "Small (100K-500K)", "Medium (500K+)"))</f>
        <v/>
      </c>
      <c r="M906">
        <f>TEXT(C906, "yyyy-mm")</f>
        <v/>
      </c>
    </row>
    <row r="907">
      <c r="A907" t="inlineStr">
        <is>
          <t>LN200983</t>
        </is>
      </c>
      <c r="B907" t="inlineStr">
        <is>
          <t>BOR100729</t>
        </is>
      </c>
      <c r="C907" s="8" t="n">
        <v>46170</v>
      </c>
      <c r="D907" s="9" t="n">
        <v>221000</v>
      </c>
      <c r="E907" t="n">
        <v>12</v>
      </c>
      <c r="F907" s="10" t="n">
        <v>0.185</v>
      </c>
      <c r="G907" t="inlineStr">
        <is>
          <t>Asset Finance</t>
        </is>
      </c>
      <c r="H907" t="inlineStr">
        <is>
          <t>LO012</t>
        </is>
      </c>
      <c r="I907" t="inlineStr">
        <is>
          <t>Mobile App</t>
        </is>
      </c>
      <c r="J907">
        <f>INDEX('Data - Borrowers'!$B$2:$B$851, MATCH(B907, 'Data - Borrowers'!$A$2:$A$851, 0))</f>
        <v/>
      </c>
      <c r="K907">
        <f>INDEX('Data - Borrowers'!$C$2:$C$851, MATCH(B907, 'Data - Borrowers'!$A$2:$A$851, 0))</f>
        <v/>
      </c>
      <c r="L907">
        <f>IF(D907&lt;100000, "Micro (&lt;100K)", IF(D907&lt;500000, "Small (100K-500K)", "Medium (500K+)"))</f>
        <v/>
      </c>
      <c r="M907">
        <f>TEXT(C907, "yyyy-mm")</f>
        <v/>
      </c>
    </row>
    <row r="908">
      <c r="A908" t="inlineStr">
        <is>
          <t>LN200984</t>
        </is>
      </c>
      <c r="B908" t="inlineStr">
        <is>
          <t>BOR100730</t>
        </is>
      </c>
      <c r="C908" s="8" t="n">
        <v>45852</v>
      </c>
      <c r="D908" s="9" t="n">
        <v>68000</v>
      </c>
      <c r="E908" t="n">
        <v>6</v>
      </c>
      <c r="F908" s="10" t="n">
        <v>0.152</v>
      </c>
      <c r="G908" t="inlineStr">
        <is>
          <t>Invoice Discounting</t>
        </is>
      </c>
      <c r="H908" t="inlineStr">
        <is>
          <t>LO019</t>
        </is>
      </c>
      <c r="I908" t="inlineStr">
        <is>
          <t>Mobile App</t>
        </is>
      </c>
      <c r="J908">
        <f>INDEX('Data - Borrowers'!$B$2:$B$851, MATCH(B908, 'Data - Borrowers'!$A$2:$A$851, 0))</f>
        <v/>
      </c>
      <c r="K908">
        <f>INDEX('Data - Borrowers'!$C$2:$C$851, MATCH(B908, 'Data - Borrowers'!$A$2:$A$851, 0))</f>
        <v/>
      </c>
      <c r="L908">
        <f>IF(D908&lt;100000, "Micro (&lt;100K)", IF(D908&lt;500000, "Small (100K-500K)", "Medium (500K+)"))</f>
        <v/>
      </c>
      <c r="M908">
        <f>TEXT(C908, "yyyy-mm")</f>
        <v/>
      </c>
    </row>
    <row r="909">
      <c r="A909" t="inlineStr">
        <is>
          <t>LN200985</t>
        </is>
      </c>
      <c r="B909" t="inlineStr">
        <is>
          <t>BOR100730</t>
        </is>
      </c>
      <c r="C909" s="8" t="n">
        <v>46076</v>
      </c>
      <c r="D909" s="9" t="n">
        <v>119000</v>
      </c>
      <c r="E909" t="n">
        <v>6</v>
      </c>
      <c r="F909" s="10" t="n">
        <v>0.185</v>
      </c>
      <c r="G909" t="inlineStr">
        <is>
          <t>Asset Finance</t>
        </is>
      </c>
      <c r="H909" t="inlineStr">
        <is>
          <t>LO001</t>
        </is>
      </c>
      <c r="I909" t="inlineStr">
        <is>
          <t>Partner Referral</t>
        </is>
      </c>
      <c r="J909">
        <f>INDEX('Data - Borrowers'!$B$2:$B$851, MATCH(B909, 'Data - Borrowers'!$A$2:$A$851, 0))</f>
        <v/>
      </c>
      <c r="K909">
        <f>INDEX('Data - Borrowers'!$C$2:$C$851, MATCH(B909, 'Data - Borrowers'!$A$2:$A$851, 0))</f>
        <v/>
      </c>
      <c r="L909">
        <f>IF(D909&lt;100000, "Micro (&lt;100K)", IF(D909&lt;500000, "Small (100K-500K)", "Medium (500K+)"))</f>
        <v/>
      </c>
      <c r="M909">
        <f>TEXT(C909, "yyyy-mm")</f>
        <v/>
      </c>
    </row>
    <row r="910">
      <c r="A910" t="inlineStr">
        <is>
          <t>LN200986</t>
        </is>
      </c>
      <c r="B910" t="inlineStr">
        <is>
          <t>BOR100731</t>
        </is>
      </c>
      <c r="C910" s="8" t="n">
        <v>46108</v>
      </c>
      <c r="D910" s="9" t="n">
        <v>20000</v>
      </c>
      <c r="E910" t="n">
        <v>9</v>
      </c>
      <c r="F910" s="10" t="n">
        <v>0.147</v>
      </c>
      <c r="G910" t="inlineStr">
        <is>
          <t>Working Capital</t>
        </is>
      </c>
      <c r="H910" t="inlineStr">
        <is>
          <t>LO010</t>
        </is>
      </c>
      <c r="I910" t="inlineStr">
        <is>
          <t>Mobile App</t>
        </is>
      </c>
      <c r="J910">
        <f>INDEX('Data - Borrowers'!$B$2:$B$851, MATCH(B910, 'Data - Borrowers'!$A$2:$A$851, 0))</f>
        <v/>
      </c>
      <c r="K910">
        <f>INDEX('Data - Borrowers'!$C$2:$C$851, MATCH(B910, 'Data - Borrowers'!$A$2:$A$851, 0))</f>
        <v/>
      </c>
      <c r="L910">
        <f>IF(D910&lt;100000, "Micro (&lt;100K)", IF(D910&lt;500000, "Small (100K-500K)", "Medium (500K+)"))</f>
        <v/>
      </c>
      <c r="M910">
        <f>TEXT(C910, "yyyy-mm")</f>
        <v/>
      </c>
    </row>
    <row r="911">
      <c r="A911" t="inlineStr">
        <is>
          <t>LN200987</t>
        </is>
      </c>
      <c r="B911" t="inlineStr">
        <is>
          <t>BOR100731</t>
        </is>
      </c>
      <c r="C911" s="8" t="n">
        <v>46230</v>
      </c>
      <c r="D911" s="9" t="n">
        <v>23000</v>
      </c>
      <c r="E911" t="n">
        <v>6</v>
      </c>
      <c r="F911" s="10" t="n">
        <v>0.198</v>
      </c>
      <c r="G911" t="inlineStr">
        <is>
          <t>Working Capital</t>
        </is>
      </c>
      <c r="H911" t="inlineStr">
        <is>
          <t>LO016</t>
        </is>
      </c>
      <c r="I911" t="inlineStr">
        <is>
          <t>Partner Referral</t>
        </is>
      </c>
      <c r="J911">
        <f>INDEX('Data - Borrowers'!$B$2:$B$851, MATCH(B911, 'Data - Borrowers'!$A$2:$A$851, 0))</f>
        <v/>
      </c>
      <c r="K911">
        <f>INDEX('Data - Borrowers'!$C$2:$C$851, MATCH(B911, 'Data - Borrowers'!$A$2:$A$851, 0))</f>
        <v/>
      </c>
      <c r="L911">
        <f>IF(D911&lt;100000, "Micro (&lt;100K)", IF(D911&lt;500000, "Small (100K-500K)", "Medium (500K+)"))</f>
        <v/>
      </c>
      <c r="M911">
        <f>TEXT(C911, "yyyy-mm")</f>
        <v/>
      </c>
    </row>
    <row r="912">
      <c r="A912" t="inlineStr">
        <is>
          <t>LN200989</t>
        </is>
      </c>
      <c r="B912" t="inlineStr">
        <is>
          <t>BOR100732</t>
        </is>
      </c>
      <c r="C912" s="8" t="n">
        <v>46166</v>
      </c>
      <c r="D912" s="9" t="n">
        <v>214000</v>
      </c>
      <c r="E912" t="n">
        <v>12</v>
      </c>
      <c r="F912" s="10" t="n">
        <v>0.168</v>
      </c>
      <c r="G912" t="inlineStr">
        <is>
          <t>Working Capital</t>
        </is>
      </c>
      <c r="H912" t="inlineStr">
        <is>
          <t>LO011</t>
        </is>
      </c>
      <c r="I912" t="inlineStr">
        <is>
          <t>Mobile App</t>
        </is>
      </c>
      <c r="J912">
        <f>INDEX('Data - Borrowers'!$B$2:$B$851, MATCH(B912, 'Data - Borrowers'!$A$2:$A$851, 0))</f>
        <v/>
      </c>
      <c r="K912">
        <f>INDEX('Data - Borrowers'!$C$2:$C$851, MATCH(B912, 'Data - Borrowers'!$A$2:$A$851, 0))</f>
        <v/>
      </c>
      <c r="L912">
        <f>IF(D912&lt;100000, "Micro (&lt;100K)", IF(D912&lt;500000, "Small (100K-500K)", "Medium (500K+)"))</f>
        <v/>
      </c>
      <c r="M912">
        <f>TEXT(C912, "yyyy-mm")</f>
        <v/>
      </c>
    </row>
    <row r="913">
      <c r="A913" t="inlineStr">
        <is>
          <t>LN200991</t>
        </is>
      </c>
      <c r="B913" t="inlineStr">
        <is>
          <t>BOR100733</t>
        </is>
      </c>
      <c r="C913" s="8" t="n">
        <v>45680</v>
      </c>
      <c r="D913" s="9" t="n">
        <v>20000</v>
      </c>
      <c r="E913" t="n">
        <v>3</v>
      </c>
      <c r="F913" s="10" t="n">
        <v>0.223</v>
      </c>
      <c r="G913" t="inlineStr">
        <is>
          <t>Working Capital</t>
        </is>
      </c>
      <c r="H913" t="inlineStr">
        <is>
          <t>LO018</t>
        </is>
      </c>
      <c r="I913" t="inlineStr">
        <is>
          <t>Partner Referral</t>
        </is>
      </c>
      <c r="J913">
        <f>INDEX('Data - Borrowers'!$B$2:$B$851, MATCH(B913, 'Data - Borrowers'!$A$2:$A$851, 0))</f>
        <v/>
      </c>
      <c r="K913">
        <f>INDEX('Data - Borrowers'!$C$2:$C$851, MATCH(B913, 'Data - Borrowers'!$A$2:$A$851, 0))</f>
        <v/>
      </c>
      <c r="L913">
        <f>IF(D913&lt;100000, "Micro (&lt;100K)", IF(D913&lt;500000, "Small (100K-500K)", "Medium (500K+)"))</f>
        <v/>
      </c>
      <c r="M913">
        <f>TEXT(C913, "yyyy-mm")</f>
        <v/>
      </c>
    </row>
    <row r="914">
      <c r="A914" t="inlineStr">
        <is>
          <t>LN200992</t>
        </is>
      </c>
      <c r="B914" t="inlineStr">
        <is>
          <t>BOR100734</t>
        </is>
      </c>
      <c r="C914" s="8" t="n">
        <v>46119</v>
      </c>
      <c r="D914" s="9" t="n">
        <v>153000</v>
      </c>
      <c r="E914" t="n">
        <v>3</v>
      </c>
      <c r="F914" s="10" t="n">
        <v>0.154</v>
      </c>
      <c r="G914" t="inlineStr">
        <is>
          <t>Asset Finance</t>
        </is>
      </c>
      <c r="H914" t="inlineStr">
        <is>
          <t>LO020</t>
        </is>
      </c>
      <c r="I914" t="inlineStr">
        <is>
          <t>Partner Referral</t>
        </is>
      </c>
      <c r="J914">
        <f>INDEX('Data - Borrowers'!$B$2:$B$851, MATCH(B914, 'Data - Borrowers'!$A$2:$A$851, 0))</f>
        <v/>
      </c>
      <c r="K914">
        <f>INDEX('Data - Borrowers'!$C$2:$C$851, MATCH(B914, 'Data - Borrowers'!$A$2:$A$851, 0))</f>
        <v/>
      </c>
      <c r="L914">
        <f>IF(D914&lt;100000, "Micro (&lt;100K)", IF(D914&lt;500000, "Small (100K-500K)", "Medium (500K+)"))</f>
        <v/>
      </c>
      <c r="M914">
        <f>TEXT(C914, "yyyy-mm")</f>
        <v/>
      </c>
    </row>
    <row r="915">
      <c r="A915" t="inlineStr">
        <is>
          <t>LN200993</t>
        </is>
      </c>
      <c r="B915" t="inlineStr">
        <is>
          <t>BOR100735</t>
        </is>
      </c>
      <c r="C915" s="8" t="n">
        <v>45958</v>
      </c>
      <c r="D915" s="9" t="n">
        <v>27000</v>
      </c>
      <c r="E915" t="n">
        <v>9</v>
      </c>
      <c r="F915" s="10" t="n">
        <v>0.123</v>
      </c>
      <c r="G915" t="inlineStr">
        <is>
          <t>Working Capital</t>
        </is>
      </c>
      <c r="H915" t="inlineStr">
        <is>
          <t>LO020</t>
        </is>
      </c>
      <c r="I915" t="inlineStr">
        <is>
          <t>Mobile App</t>
        </is>
      </c>
      <c r="J915">
        <f>INDEX('Data - Borrowers'!$B$2:$B$851, MATCH(B915, 'Data - Borrowers'!$A$2:$A$851, 0))</f>
        <v/>
      </c>
      <c r="K915">
        <f>INDEX('Data - Borrowers'!$C$2:$C$851, MATCH(B915, 'Data - Borrowers'!$A$2:$A$851, 0))</f>
        <v/>
      </c>
      <c r="L915">
        <f>IF(D915&lt;100000, "Micro (&lt;100K)", IF(D915&lt;500000, "Small (100K-500K)", "Medium (500K+)"))</f>
        <v/>
      </c>
      <c r="M915">
        <f>TEXT(C915, "yyyy-mm")</f>
        <v/>
      </c>
    </row>
    <row r="916">
      <c r="A916" t="inlineStr">
        <is>
          <t>LN200994</t>
        </is>
      </c>
      <c r="B916" t="inlineStr">
        <is>
          <t>BOR100735</t>
        </is>
      </c>
      <c r="C916" s="8" t="n">
        <v>46108</v>
      </c>
      <c r="D916" s="9" t="n">
        <v>86000</v>
      </c>
      <c r="E916" t="n">
        <v>3</v>
      </c>
      <c r="F916" s="10" t="n">
        <v>0.184</v>
      </c>
      <c r="G916" t="inlineStr">
        <is>
          <t>Working Capital</t>
        </is>
      </c>
      <c r="H916" t="inlineStr">
        <is>
          <t>LO018</t>
        </is>
      </c>
      <c r="I916" t="inlineStr">
        <is>
          <t>Mobile App</t>
        </is>
      </c>
      <c r="J916">
        <f>INDEX('Data - Borrowers'!$B$2:$B$851, MATCH(B916, 'Data - Borrowers'!$A$2:$A$851, 0))</f>
        <v/>
      </c>
      <c r="K916">
        <f>INDEX('Data - Borrowers'!$C$2:$C$851, MATCH(B916, 'Data - Borrowers'!$A$2:$A$851, 0))</f>
        <v/>
      </c>
      <c r="L916">
        <f>IF(D916&lt;100000, "Micro (&lt;100K)", IF(D916&lt;500000, "Small (100K-500K)", "Medium (500K+)"))</f>
        <v/>
      </c>
      <c r="M916">
        <f>TEXT(C916, "yyyy-mm")</f>
        <v/>
      </c>
    </row>
    <row r="917">
      <c r="A917" t="inlineStr">
        <is>
          <t>LN200995</t>
        </is>
      </c>
      <c r="B917" t="inlineStr">
        <is>
          <t>BOR100736</t>
        </is>
      </c>
      <c r="C917" s="8" t="n">
        <v>46070</v>
      </c>
      <c r="D917" s="9" t="n">
        <v>65000</v>
      </c>
      <c r="E917" t="n">
        <v>9</v>
      </c>
      <c r="F917" s="10" t="n">
        <v>0.156</v>
      </c>
      <c r="G917" t="inlineStr">
        <is>
          <t>Working Capital</t>
        </is>
      </c>
      <c r="H917" t="inlineStr">
        <is>
          <t>LO013</t>
        </is>
      </c>
      <c r="I917" t="inlineStr">
        <is>
          <t>Mobile App</t>
        </is>
      </c>
      <c r="J917">
        <f>INDEX('Data - Borrowers'!$B$2:$B$851, MATCH(B917, 'Data - Borrowers'!$A$2:$A$851, 0))</f>
        <v/>
      </c>
      <c r="K917">
        <f>INDEX('Data - Borrowers'!$C$2:$C$851, MATCH(B917, 'Data - Borrowers'!$A$2:$A$851, 0))</f>
        <v/>
      </c>
      <c r="L917">
        <f>IF(D917&lt;100000, "Micro (&lt;100K)", IF(D917&lt;500000, "Small (100K-500K)", "Medium (500K+)"))</f>
        <v/>
      </c>
      <c r="M917">
        <f>TEXT(C917, "yyyy-mm")</f>
        <v/>
      </c>
    </row>
    <row r="918">
      <c r="A918" t="inlineStr">
        <is>
          <t>LN200996</t>
        </is>
      </c>
      <c r="B918" t="inlineStr">
        <is>
          <t>BOR100737</t>
        </is>
      </c>
      <c r="C918" s="8" t="n">
        <v>46175</v>
      </c>
      <c r="D918" s="9" t="n">
        <v>118000</v>
      </c>
      <c r="E918" t="n">
        <v>6</v>
      </c>
      <c r="F918" s="10" t="n">
        <v>0.19</v>
      </c>
      <c r="G918" t="inlineStr">
        <is>
          <t>Working Capital</t>
        </is>
      </c>
      <c r="H918" t="inlineStr">
        <is>
          <t>LO022</t>
        </is>
      </c>
      <c r="I918" t="inlineStr">
        <is>
          <t>Mobile App</t>
        </is>
      </c>
      <c r="J918">
        <f>INDEX('Data - Borrowers'!$B$2:$B$851, MATCH(B918, 'Data - Borrowers'!$A$2:$A$851, 0))</f>
        <v/>
      </c>
      <c r="K918">
        <f>INDEX('Data - Borrowers'!$C$2:$C$851, MATCH(B918, 'Data - Borrowers'!$A$2:$A$851, 0))</f>
        <v/>
      </c>
      <c r="L918">
        <f>IF(D918&lt;100000, "Micro (&lt;100K)", IF(D918&lt;500000, "Small (100K-500K)", "Medium (500K+)"))</f>
        <v/>
      </c>
      <c r="M918">
        <f>TEXT(C918, "yyyy-mm")</f>
        <v/>
      </c>
    </row>
    <row r="919">
      <c r="A919" t="inlineStr">
        <is>
          <t>LN200997</t>
        </is>
      </c>
      <c r="B919" t="inlineStr">
        <is>
          <t>BOR100738</t>
        </is>
      </c>
      <c r="C919" s="8" t="n">
        <v>46051</v>
      </c>
      <c r="D919" s="9" t="n">
        <v>57000</v>
      </c>
      <c r="E919" t="n">
        <v>6</v>
      </c>
      <c r="F919" s="10" t="n">
        <v>0.188</v>
      </c>
      <c r="G919" t="inlineStr">
        <is>
          <t>Invoice Discounting</t>
        </is>
      </c>
      <c r="H919" t="inlineStr">
        <is>
          <t>LO009</t>
        </is>
      </c>
      <c r="I919" t="inlineStr">
        <is>
          <t>Mobile App</t>
        </is>
      </c>
      <c r="J919">
        <f>INDEX('Data - Borrowers'!$B$2:$B$851, MATCH(B919, 'Data - Borrowers'!$A$2:$A$851, 0))</f>
        <v/>
      </c>
      <c r="K919">
        <f>INDEX('Data - Borrowers'!$C$2:$C$851, MATCH(B919, 'Data - Borrowers'!$A$2:$A$851, 0))</f>
        <v/>
      </c>
      <c r="L919">
        <f>IF(D919&lt;100000, "Micro (&lt;100K)", IF(D919&lt;500000, "Small (100K-500K)", "Medium (500K+)"))</f>
        <v/>
      </c>
      <c r="M919">
        <f>TEXT(C919, "yyyy-mm")</f>
        <v/>
      </c>
    </row>
    <row r="920">
      <c r="A920" t="inlineStr">
        <is>
          <t>LN200998</t>
        </is>
      </c>
      <c r="B920" t="inlineStr">
        <is>
          <t>BOR100739</t>
        </is>
      </c>
      <c r="C920" s="8" t="n">
        <v>46222</v>
      </c>
      <c r="D920" s="9" t="n">
        <v>86000</v>
      </c>
      <c r="E920" t="n">
        <v>12</v>
      </c>
      <c r="F920" s="10" t="n">
        <v>0.129</v>
      </c>
      <c r="G920" t="inlineStr">
        <is>
          <t>Working Capital</t>
        </is>
      </c>
      <c r="H920" t="inlineStr">
        <is>
          <t>LO022</t>
        </is>
      </c>
      <c r="I920" t="inlineStr">
        <is>
          <t>Branch</t>
        </is>
      </c>
      <c r="J920">
        <f>INDEX('Data - Borrowers'!$B$2:$B$851, MATCH(B920, 'Data - Borrowers'!$A$2:$A$851, 0))</f>
        <v/>
      </c>
      <c r="K920">
        <f>INDEX('Data - Borrowers'!$C$2:$C$851, MATCH(B920, 'Data - Borrowers'!$A$2:$A$851, 0))</f>
        <v/>
      </c>
      <c r="L920">
        <f>IF(D920&lt;100000, "Micro (&lt;100K)", IF(D920&lt;500000, "Small (100K-500K)", "Medium (500K+)"))</f>
        <v/>
      </c>
      <c r="M920">
        <f>TEXT(C920, "yyyy-mm")</f>
        <v/>
      </c>
    </row>
    <row r="921">
      <c r="A921" t="inlineStr">
        <is>
          <t>LN200999</t>
        </is>
      </c>
      <c r="B921" t="inlineStr">
        <is>
          <t>BOR100740</t>
        </is>
      </c>
      <c r="C921" s="8" t="n">
        <v>45961</v>
      </c>
      <c r="D921" s="9" t="n">
        <v>66000</v>
      </c>
      <c r="E921" t="n">
        <v>3</v>
      </c>
      <c r="F921" s="10" t="n">
        <v>0.207</v>
      </c>
      <c r="G921" t="inlineStr">
        <is>
          <t>Asset Finance</t>
        </is>
      </c>
      <c r="H921" t="inlineStr">
        <is>
          <t>LO016</t>
        </is>
      </c>
      <c r="I921" t="inlineStr">
        <is>
          <t>Mobile App</t>
        </is>
      </c>
      <c r="J921">
        <f>INDEX('Data - Borrowers'!$B$2:$B$851, MATCH(B921, 'Data - Borrowers'!$A$2:$A$851, 0))</f>
        <v/>
      </c>
      <c r="K921">
        <f>INDEX('Data - Borrowers'!$C$2:$C$851, MATCH(B921, 'Data - Borrowers'!$A$2:$A$851, 0))</f>
        <v/>
      </c>
      <c r="L921">
        <f>IF(D921&lt;100000, "Micro (&lt;100K)", IF(D921&lt;500000, "Small (100K-500K)", "Medium (500K+)"))</f>
        <v/>
      </c>
      <c r="M921">
        <f>TEXT(C921, "yyyy-mm")</f>
        <v/>
      </c>
    </row>
    <row r="922">
      <c r="A922" t="inlineStr">
        <is>
          <t>LN201000</t>
        </is>
      </c>
      <c r="B922" t="inlineStr">
        <is>
          <t>BOR100740</t>
        </is>
      </c>
      <c r="C922" s="8" t="n">
        <v>46108</v>
      </c>
      <c r="D922" s="9" t="n">
        <v>203000</v>
      </c>
      <c r="E922" t="n">
        <v>3</v>
      </c>
      <c r="F922" s="10" t="n">
        <v>0.217</v>
      </c>
      <c r="G922" t="inlineStr">
        <is>
          <t>Working Capital</t>
        </is>
      </c>
      <c r="H922" t="inlineStr">
        <is>
          <t>LO023</t>
        </is>
      </c>
      <c r="I922" t="inlineStr">
        <is>
          <t>Mobile App</t>
        </is>
      </c>
      <c r="J922">
        <f>INDEX('Data - Borrowers'!$B$2:$B$851, MATCH(B922, 'Data - Borrowers'!$A$2:$A$851, 0))</f>
        <v/>
      </c>
      <c r="K922">
        <f>INDEX('Data - Borrowers'!$C$2:$C$851, MATCH(B922, 'Data - Borrowers'!$A$2:$A$851, 0))</f>
        <v/>
      </c>
      <c r="L922">
        <f>IF(D922&lt;100000, "Micro (&lt;100K)", IF(D922&lt;500000, "Small (100K-500K)", "Medium (500K+)"))</f>
        <v/>
      </c>
      <c r="M922">
        <f>TEXT(C922, "yyyy-mm")</f>
        <v/>
      </c>
    </row>
    <row r="923">
      <c r="A923" t="inlineStr">
        <is>
          <t>LN201001</t>
        </is>
      </c>
      <c r="B923" t="inlineStr">
        <is>
          <t>BOR100741</t>
        </is>
      </c>
      <c r="C923" s="8" t="n">
        <v>46144</v>
      </c>
      <c r="D923" s="9" t="n">
        <v>90000</v>
      </c>
      <c r="E923" t="n">
        <v>6</v>
      </c>
      <c r="F923" s="10" t="n">
        <v>0.191</v>
      </c>
      <c r="G923" t="inlineStr">
        <is>
          <t>Invoice Discounting</t>
        </is>
      </c>
      <c r="H923" t="inlineStr">
        <is>
          <t>LO017</t>
        </is>
      </c>
      <c r="I923" t="inlineStr">
        <is>
          <t>Mobile App</t>
        </is>
      </c>
      <c r="J923">
        <f>INDEX('Data - Borrowers'!$B$2:$B$851, MATCH(B923, 'Data - Borrowers'!$A$2:$A$851, 0))</f>
        <v/>
      </c>
      <c r="K923">
        <f>INDEX('Data - Borrowers'!$C$2:$C$851, MATCH(B923, 'Data - Borrowers'!$A$2:$A$851, 0))</f>
        <v/>
      </c>
      <c r="L923">
        <f>IF(D923&lt;100000, "Micro (&lt;100K)", IF(D923&lt;500000, "Small (100K-500K)", "Medium (500K+)"))</f>
        <v/>
      </c>
      <c r="M923">
        <f>TEXT(C923, "yyyy-mm")</f>
        <v/>
      </c>
    </row>
    <row r="924">
      <c r="A924" t="inlineStr">
        <is>
          <t>LN201002</t>
        </is>
      </c>
      <c r="B924" t="inlineStr">
        <is>
          <t>BOR100742</t>
        </is>
      </c>
      <c r="C924" s="8" t="n">
        <v>45858</v>
      </c>
      <c r="D924" s="9" t="n">
        <v>215000</v>
      </c>
      <c r="E924" t="n">
        <v>12</v>
      </c>
      <c r="F924" s="10" t="n">
        <v>0.133</v>
      </c>
      <c r="G924" t="inlineStr">
        <is>
          <t>Working Capital</t>
        </is>
      </c>
      <c r="H924" t="inlineStr">
        <is>
          <t>LO024</t>
        </is>
      </c>
      <c r="I924" t="inlineStr">
        <is>
          <t>Mobile App</t>
        </is>
      </c>
      <c r="J924">
        <f>INDEX('Data - Borrowers'!$B$2:$B$851, MATCH(B924, 'Data - Borrowers'!$A$2:$A$851, 0))</f>
        <v/>
      </c>
      <c r="K924">
        <f>INDEX('Data - Borrowers'!$C$2:$C$851, MATCH(B924, 'Data - Borrowers'!$A$2:$A$851, 0))</f>
        <v/>
      </c>
      <c r="L924">
        <f>IF(D924&lt;100000, "Micro (&lt;100K)", IF(D924&lt;500000, "Small (100K-500K)", "Medium (500K+)"))</f>
        <v/>
      </c>
      <c r="M924">
        <f>TEXT(C924, "yyyy-mm")</f>
        <v/>
      </c>
    </row>
    <row r="925">
      <c r="A925" t="inlineStr">
        <is>
          <t>LN201003</t>
        </is>
      </c>
      <c r="B925" t="inlineStr">
        <is>
          <t>BOR100743</t>
        </is>
      </c>
      <c r="C925" s="8" t="n">
        <v>46064</v>
      </c>
      <c r="D925" s="9" t="n">
        <v>134000</v>
      </c>
      <c r="E925" t="n">
        <v>9</v>
      </c>
      <c r="F925" s="10" t="n">
        <v>0.222</v>
      </c>
      <c r="G925" t="inlineStr">
        <is>
          <t>Invoice Discounting</t>
        </is>
      </c>
      <c r="H925" t="inlineStr">
        <is>
          <t>LO021</t>
        </is>
      </c>
      <c r="I925" t="inlineStr">
        <is>
          <t>Mobile App</t>
        </is>
      </c>
      <c r="J925">
        <f>INDEX('Data - Borrowers'!$B$2:$B$851, MATCH(B925, 'Data - Borrowers'!$A$2:$A$851, 0))</f>
        <v/>
      </c>
      <c r="K925">
        <f>INDEX('Data - Borrowers'!$C$2:$C$851, MATCH(B925, 'Data - Borrowers'!$A$2:$A$851, 0))</f>
        <v/>
      </c>
      <c r="L925">
        <f>IF(D925&lt;100000, "Micro (&lt;100K)", IF(D925&lt;500000, "Small (100K-500K)", "Medium (500K+)"))</f>
        <v/>
      </c>
      <c r="M925">
        <f>TEXT(C925, "yyyy-mm")</f>
        <v/>
      </c>
    </row>
    <row r="926">
      <c r="A926" t="inlineStr">
        <is>
          <t>LN201004</t>
        </is>
      </c>
      <c r="B926" t="inlineStr">
        <is>
          <t>BOR100744</t>
        </is>
      </c>
      <c r="C926" s="8" t="n">
        <v>45972</v>
      </c>
      <c r="D926" s="9" t="n">
        <v>57000</v>
      </c>
      <c r="E926" t="n">
        <v>6</v>
      </c>
      <c r="F926" s="10" t="n">
        <v>0.208</v>
      </c>
      <c r="G926" t="inlineStr">
        <is>
          <t>Working Capital</t>
        </is>
      </c>
      <c r="H926" t="inlineStr">
        <is>
          <t>LO005</t>
        </is>
      </c>
      <c r="I926" t="inlineStr">
        <is>
          <t>Branch</t>
        </is>
      </c>
      <c r="J926">
        <f>INDEX('Data - Borrowers'!$B$2:$B$851, MATCH(B926, 'Data - Borrowers'!$A$2:$A$851, 0))</f>
        <v/>
      </c>
      <c r="K926">
        <f>INDEX('Data - Borrowers'!$C$2:$C$851, MATCH(B926, 'Data - Borrowers'!$A$2:$A$851, 0))</f>
        <v/>
      </c>
      <c r="L926">
        <f>IF(D926&lt;100000, "Micro (&lt;100K)", IF(D926&lt;500000, "Small (100K-500K)", "Medium (500K+)"))</f>
        <v/>
      </c>
      <c r="M926">
        <f>TEXT(C926, "yyyy-mm")</f>
        <v/>
      </c>
    </row>
    <row r="927">
      <c r="A927" t="inlineStr">
        <is>
          <t>LN201005</t>
        </is>
      </c>
      <c r="B927" t="inlineStr">
        <is>
          <t>BOR100745</t>
        </is>
      </c>
      <c r="C927" s="8" t="n">
        <v>45913</v>
      </c>
      <c r="D927" s="9" t="n">
        <v>81000</v>
      </c>
      <c r="E927" t="n">
        <v>6</v>
      </c>
      <c r="F927" s="10" t="n">
        <v>0.217</v>
      </c>
      <c r="G927" t="inlineStr">
        <is>
          <t>Invoice Discounting</t>
        </is>
      </c>
      <c r="H927" t="inlineStr">
        <is>
          <t>LO021</t>
        </is>
      </c>
      <c r="I927" t="inlineStr">
        <is>
          <t>Mobile App</t>
        </is>
      </c>
      <c r="J927">
        <f>INDEX('Data - Borrowers'!$B$2:$B$851, MATCH(B927, 'Data - Borrowers'!$A$2:$A$851, 0))</f>
        <v/>
      </c>
      <c r="K927">
        <f>INDEX('Data - Borrowers'!$C$2:$C$851, MATCH(B927, 'Data - Borrowers'!$A$2:$A$851, 0))</f>
        <v/>
      </c>
      <c r="L927">
        <f>IF(D927&lt;100000, "Micro (&lt;100K)", IF(D927&lt;500000, "Small (100K-500K)", "Medium (500K+)"))</f>
        <v/>
      </c>
      <c r="M927">
        <f>TEXT(C927, "yyyy-mm")</f>
        <v/>
      </c>
    </row>
    <row r="928">
      <c r="A928" t="inlineStr">
        <is>
          <t>LN201006</t>
        </is>
      </c>
      <c r="B928" t="inlineStr">
        <is>
          <t>BOR100745</t>
        </is>
      </c>
      <c r="C928" s="8" t="n">
        <v>46212</v>
      </c>
      <c r="D928" s="9" t="n">
        <v>54000</v>
      </c>
      <c r="E928" t="n">
        <v>9</v>
      </c>
      <c r="F928" s="10" t="n">
        <v>0.212</v>
      </c>
      <c r="G928" t="inlineStr">
        <is>
          <t>Asset Finance</t>
        </is>
      </c>
      <c r="H928" t="inlineStr">
        <is>
          <t>LO006</t>
        </is>
      </c>
      <c r="I928" t="inlineStr">
        <is>
          <t>Mobile App</t>
        </is>
      </c>
      <c r="J928">
        <f>INDEX('Data - Borrowers'!$B$2:$B$851, MATCH(B928, 'Data - Borrowers'!$A$2:$A$851, 0))</f>
        <v/>
      </c>
      <c r="K928">
        <f>INDEX('Data - Borrowers'!$C$2:$C$851, MATCH(B928, 'Data - Borrowers'!$A$2:$A$851, 0))</f>
        <v/>
      </c>
      <c r="L928">
        <f>IF(D928&lt;100000, "Micro (&lt;100K)", IF(D928&lt;500000, "Small (100K-500K)", "Medium (500K+)"))</f>
        <v/>
      </c>
      <c r="M928">
        <f>TEXT(C928, "yyyy-mm")</f>
        <v/>
      </c>
    </row>
    <row r="929">
      <c r="A929" t="inlineStr">
        <is>
          <t>LN201007</t>
        </is>
      </c>
      <c r="B929" t="inlineStr">
        <is>
          <t>BOR100746</t>
        </is>
      </c>
      <c r="C929" s="8" t="n">
        <v>46198</v>
      </c>
      <c r="D929" s="9" t="n">
        <v>20000</v>
      </c>
      <c r="E929" t="n">
        <v>12</v>
      </c>
      <c r="F929" s="10" t="n">
        <v>0.134</v>
      </c>
      <c r="G929" t="inlineStr">
        <is>
          <t>Invoice Discounting</t>
        </is>
      </c>
      <c r="H929" t="inlineStr">
        <is>
          <t>LO022</t>
        </is>
      </c>
      <c r="I929" t="inlineStr">
        <is>
          <t>Mobile App</t>
        </is>
      </c>
      <c r="J929">
        <f>INDEX('Data - Borrowers'!$B$2:$B$851, MATCH(B929, 'Data - Borrowers'!$A$2:$A$851, 0))</f>
        <v/>
      </c>
      <c r="K929">
        <f>INDEX('Data - Borrowers'!$C$2:$C$851, MATCH(B929, 'Data - Borrowers'!$A$2:$A$851, 0))</f>
        <v/>
      </c>
      <c r="L929">
        <f>IF(D929&lt;100000, "Micro (&lt;100K)", IF(D929&lt;500000, "Small (100K-500K)", "Medium (500K+)"))</f>
        <v/>
      </c>
      <c r="M929">
        <f>TEXT(C929, "yyyy-mm")</f>
        <v/>
      </c>
    </row>
    <row r="930">
      <c r="A930" t="inlineStr">
        <is>
          <t>LN201008</t>
        </is>
      </c>
      <c r="B930" t="inlineStr">
        <is>
          <t>BOR100747</t>
        </is>
      </c>
      <c r="C930" s="8" t="n">
        <v>45794</v>
      </c>
      <c r="D930" s="9" t="n">
        <v>108000</v>
      </c>
      <c r="E930" t="n">
        <v>9</v>
      </c>
      <c r="F930" s="10" t="n">
        <v>0.153</v>
      </c>
      <c r="G930" t="inlineStr">
        <is>
          <t>Invoice Discounting</t>
        </is>
      </c>
      <c r="H930" t="inlineStr">
        <is>
          <t>LO006</t>
        </is>
      </c>
      <c r="I930" t="inlineStr">
        <is>
          <t>Mobile App</t>
        </is>
      </c>
      <c r="J930">
        <f>INDEX('Data - Borrowers'!$B$2:$B$851, MATCH(B930, 'Data - Borrowers'!$A$2:$A$851, 0))</f>
        <v/>
      </c>
      <c r="K930">
        <f>INDEX('Data - Borrowers'!$C$2:$C$851, MATCH(B930, 'Data - Borrowers'!$A$2:$A$851, 0))</f>
        <v/>
      </c>
      <c r="L930">
        <f>IF(D930&lt;100000, "Micro (&lt;100K)", IF(D930&lt;500000, "Small (100K-500K)", "Medium (500K+)"))</f>
        <v/>
      </c>
      <c r="M930">
        <f>TEXT(C930, "yyyy-mm")</f>
        <v/>
      </c>
    </row>
    <row r="931">
      <c r="A931" t="inlineStr">
        <is>
          <t>LN201009</t>
        </is>
      </c>
      <c r="B931" t="inlineStr">
        <is>
          <t>BOR100748</t>
        </is>
      </c>
      <c r="C931" s="8" t="n">
        <v>46090</v>
      </c>
      <c r="D931" s="9" t="n">
        <v>41000</v>
      </c>
      <c r="E931" t="n">
        <v>12</v>
      </c>
      <c r="F931" s="10" t="n">
        <v>0.151</v>
      </c>
      <c r="G931" t="inlineStr">
        <is>
          <t>Working Capital</t>
        </is>
      </c>
      <c r="H931" t="inlineStr">
        <is>
          <t>LO018</t>
        </is>
      </c>
      <c r="I931" t="inlineStr">
        <is>
          <t>Partner Referral</t>
        </is>
      </c>
      <c r="J931">
        <f>INDEX('Data - Borrowers'!$B$2:$B$851, MATCH(B931, 'Data - Borrowers'!$A$2:$A$851, 0))</f>
        <v/>
      </c>
      <c r="K931">
        <f>INDEX('Data - Borrowers'!$C$2:$C$851, MATCH(B931, 'Data - Borrowers'!$A$2:$A$851, 0))</f>
        <v/>
      </c>
      <c r="L931">
        <f>IF(D931&lt;100000, "Micro (&lt;100K)", IF(D931&lt;500000, "Small (100K-500K)", "Medium (500K+)"))</f>
        <v/>
      </c>
      <c r="M931">
        <f>TEXT(C931, "yyyy-mm")</f>
        <v/>
      </c>
    </row>
    <row r="932">
      <c r="A932" t="inlineStr">
        <is>
          <t>LN201010</t>
        </is>
      </c>
      <c r="B932" t="inlineStr">
        <is>
          <t>BOR100749</t>
        </is>
      </c>
      <c r="C932" s="8" t="n">
        <v>46113</v>
      </c>
      <c r="D932" s="9" t="n">
        <v>20000</v>
      </c>
      <c r="E932" t="n">
        <v>6</v>
      </c>
      <c r="F932" s="10" t="n">
        <v>0.12</v>
      </c>
      <c r="G932" t="inlineStr">
        <is>
          <t>Asset Finance</t>
        </is>
      </c>
      <c r="H932" t="inlineStr">
        <is>
          <t>LO003</t>
        </is>
      </c>
      <c r="I932" t="inlineStr">
        <is>
          <t>Mobile App</t>
        </is>
      </c>
      <c r="J932">
        <f>INDEX('Data - Borrowers'!$B$2:$B$851, MATCH(B932, 'Data - Borrowers'!$A$2:$A$851, 0))</f>
        <v/>
      </c>
      <c r="K932">
        <f>INDEX('Data - Borrowers'!$C$2:$C$851, MATCH(B932, 'Data - Borrowers'!$A$2:$A$851, 0))</f>
        <v/>
      </c>
      <c r="L932">
        <f>IF(D932&lt;100000, "Micro (&lt;100K)", IF(D932&lt;500000, "Small (100K-500K)", "Medium (500K+)"))</f>
        <v/>
      </c>
      <c r="M932">
        <f>TEXT(C932, "yyyy-mm")</f>
        <v/>
      </c>
    </row>
    <row r="933">
      <c r="A933" t="inlineStr">
        <is>
          <t>LN201011</t>
        </is>
      </c>
      <c r="B933" t="inlineStr">
        <is>
          <t>BOR100750</t>
        </is>
      </c>
      <c r="C933" s="8" t="n">
        <v>45781</v>
      </c>
      <c r="D933" s="9" t="n">
        <v>38000</v>
      </c>
      <c r="E933" t="n">
        <v>12</v>
      </c>
      <c r="F933" s="10" t="n">
        <v>0.16</v>
      </c>
      <c r="G933" t="inlineStr">
        <is>
          <t>Asset Finance</t>
        </is>
      </c>
      <c r="H933" t="inlineStr">
        <is>
          <t>LO006</t>
        </is>
      </c>
      <c r="I933" t="inlineStr">
        <is>
          <t>Mobile App</t>
        </is>
      </c>
      <c r="J933">
        <f>INDEX('Data - Borrowers'!$B$2:$B$851, MATCH(B933, 'Data - Borrowers'!$A$2:$A$851, 0))</f>
        <v/>
      </c>
      <c r="K933">
        <f>INDEX('Data - Borrowers'!$C$2:$C$851, MATCH(B933, 'Data - Borrowers'!$A$2:$A$851, 0))</f>
        <v/>
      </c>
      <c r="L933">
        <f>IF(D933&lt;100000, "Micro (&lt;100K)", IF(D933&lt;500000, "Small (100K-500K)", "Medium (500K+)"))</f>
        <v/>
      </c>
      <c r="M933">
        <f>TEXT(C933, "yyyy-mm")</f>
        <v/>
      </c>
    </row>
    <row r="934">
      <c r="A934" t="inlineStr">
        <is>
          <t>LN201012</t>
        </is>
      </c>
      <c r="B934" t="inlineStr">
        <is>
          <t>BOR100751</t>
        </is>
      </c>
      <c r="C934" s="8" t="n">
        <v>46000</v>
      </c>
      <c r="D934" s="9" t="n">
        <v>52000</v>
      </c>
      <c r="E934" t="n">
        <v>6</v>
      </c>
      <c r="F934" s="10" t="n">
        <v>0.201</v>
      </c>
      <c r="G934" t="inlineStr">
        <is>
          <t>Asset Finance</t>
        </is>
      </c>
      <c r="H934" t="inlineStr">
        <is>
          <t>LO006</t>
        </is>
      </c>
      <c r="I934" t="inlineStr">
        <is>
          <t>Partner Referral</t>
        </is>
      </c>
      <c r="J934">
        <f>INDEX('Data - Borrowers'!$B$2:$B$851, MATCH(B934, 'Data - Borrowers'!$A$2:$A$851, 0))</f>
        <v/>
      </c>
      <c r="K934">
        <f>INDEX('Data - Borrowers'!$C$2:$C$851, MATCH(B934, 'Data - Borrowers'!$A$2:$A$851, 0))</f>
        <v/>
      </c>
      <c r="L934">
        <f>IF(D934&lt;100000, "Micro (&lt;100K)", IF(D934&lt;500000, "Small (100K-500K)", "Medium (500K+)"))</f>
        <v/>
      </c>
      <c r="M934">
        <f>TEXT(C934, "yyyy-mm")</f>
        <v/>
      </c>
    </row>
    <row r="935">
      <c r="A935" t="inlineStr">
        <is>
          <t>LN201013</t>
        </is>
      </c>
      <c r="B935" t="inlineStr">
        <is>
          <t>BOR100752</t>
        </is>
      </c>
      <c r="C935" s="8" t="n">
        <v>45910</v>
      </c>
      <c r="D935" s="9" t="n">
        <v>362000</v>
      </c>
      <c r="E935" t="n">
        <v>6</v>
      </c>
      <c r="F935" s="10" t="n">
        <v>0.201</v>
      </c>
      <c r="G935" t="inlineStr">
        <is>
          <t>Invoice Discounting</t>
        </is>
      </c>
      <c r="H935" t="inlineStr">
        <is>
          <t>LO006</t>
        </is>
      </c>
      <c r="I935" t="inlineStr">
        <is>
          <t>Branch</t>
        </is>
      </c>
      <c r="J935">
        <f>INDEX('Data - Borrowers'!$B$2:$B$851, MATCH(B935, 'Data - Borrowers'!$A$2:$A$851, 0))</f>
        <v/>
      </c>
      <c r="K935">
        <f>INDEX('Data - Borrowers'!$C$2:$C$851, MATCH(B935, 'Data - Borrowers'!$A$2:$A$851, 0))</f>
        <v/>
      </c>
      <c r="L935">
        <f>IF(D935&lt;100000, "Micro (&lt;100K)", IF(D935&lt;500000, "Small (100K-500K)", "Medium (500K+)"))</f>
        <v/>
      </c>
      <c r="M935">
        <f>TEXT(C935, "yyyy-mm")</f>
        <v/>
      </c>
    </row>
    <row r="936">
      <c r="A936" t="inlineStr">
        <is>
          <t>LN201014</t>
        </is>
      </c>
      <c r="B936" t="inlineStr">
        <is>
          <t>BOR100753</t>
        </is>
      </c>
      <c r="C936" s="8" t="n">
        <v>46105</v>
      </c>
      <c r="D936" s="9" t="n">
        <v>40000</v>
      </c>
      <c r="E936" t="n">
        <v>6</v>
      </c>
      <c r="F936" s="10" t="n">
        <v>0.205</v>
      </c>
      <c r="G936" t="inlineStr">
        <is>
          <t>Working Capital</t>
        </is>
      </c>
      <c r="H936" t="inlineStr">
        <is>
          <t>LO004</t>
        </is>
      </c>
      <c r="I936" t="inlineStr">
        <is>
          <t>Partner Referral</t>
        </is>
      </c>
      <c r="J936">
        <f>INDEX('Data - Borrowers'!$B$2:$B$851, MATCH(B936, 'Data - Borrowers'!$A$2:$A$851, 0))</f>
        <v/>
      </c>
      <c r="K936">
        <f>INDEX('Data - Borrowers'!$C$2:$C$851, MATCH(B936, 'Data - Borrowers'!$A$2:$A$851, 0))</f>
        <v/>
      </c>
      <c r="L936">
        <f>IF(D936&lt;100000, "Micro (&lt;100K)", IF(D936&lt;500000, "Small (100K-500K)", "Medium (500K+)"))</f>
        <v/>
      </c>
      <c r="M936">
        <f>TEXT(C936, "yyyy-mm")</f>
        <v/>
      </c>
    </row>
    <row r="937">
      <c r="A937" t="inlineStr">
        <is>
          <t>LN201015</t>
        </is>
      </c>
      <c r="B937" t="inlineStr">
        <is>
          <t>BOR100754</t>
        </is>
      </c>
      <c r="C937" s="8" t="n">
        <v>45876</v>
      </c>
      <c r="D937" s="9" t="n">
        <v>41000</v>
      </c>
      <c r="E937" t="n">
        <v>6</v>
      </c>
      <c r="F937" s="10" t="n">
        <v>0.191</v>
      </c>
      <c r="G937" t="inlineStr">
        <is>
          <t>Working Capital</t>
        </is>
      </c>
      <c r="H937" t="inlineStr">
        <is>
          <t>LO019</t>
        </is>
      </c>
      <c r="I937" t="inlineStr">
        <is>
          <t>Mobile App</t>
        </is>
      </c>
      <c r="J937">
        <f>INDEX('Data - Borrowers'!$B$2:$B$851, MATCH(B937, 'Data - Borrowers'!$A$2:$A$851, 0))</f>
        <v/>
      </c>
      <c r="K937">
        <f>INDEX('Data - Borrowers'!$C$2:$C$851, MATCH(B937, 'Data - Borrowers'!$A$2:$A$851, 0))</f>
        <v/>
      </c>
      <c r="L937">
        <f>IF(D937&lt;100000, "Micro (&lt;100K)", IF(D937&lt;500000, "Small (100K-500K)", "Medium (500K+)"))</f>
        <v/>
      </c>
      <c r="M937">
        <f>TEXT(C937, "yyyy-mm")</f>
        <v/>
      </c>
    </row>
    <row r="938">
      <c r="A938" t="inlineStr">
        <is>
          <t>LN201016</t>
        </is>
      </c>
      <c r="B938" t="inlineStr">
        <is>
          <t>BOR100754</t>
        </is>
      </c>
      <c r="C938" s="8" t="n">
        <v>46138</v>
      </c>
      <c r="D938" s="9" t="n">
        <v>51000</v>
      </c>
      <c r="E938" t="n">
        <v>6</v>
      </c>
      <c r="F938" s="10" t="n">
        <v>0.171</v>
      </c>
      <c r="G938" t="inlineStr">
        <is>
          <t>Working Capital</t>
        </is>
      </c>
      <c r="H938" t="inlineStr">
        <is>
          <t>LO019</t>
        </is>
      </c>
      <c r="I938" t="inlineStr">
        <is>
          <t>Branch</t>
        </is>
      </c>
      <c r="J938">
        <f>INDEX('Data - Borrowers'!$B$2:$B$851, MATCH(B938, 'Data - Borrowers'!$A$2:$A$851, 0))</f>
        <v/>
      </c>
      <c r="K938">
        <f>INDEX('Data - Borrowers'!$C$2:$C$851, MATCH(B938, 'Data - Borrowers'!$A$2:$A$851, 0))</f>
        <v/>
      </c>
      <c r="L938">
        <f>IF(D938&lt;100000, "Micro (&lt;100K)", IF(D938&lt;500000, "Small (100K-500K)", "Medium (500K+)"))</f>
        <v/>
      </c>
      <c r="M938">
        <f>TEXT(C938, "yyyy-mm")</f>
        <v/>
      </c>
    </row>
    <row r="939">
      <c r="A939" t="inlineStr">
        <is>
          <t>LN201018</t>
        </is>
      </c>
      <c r="B939" t="inlineStr">
        <is>
          <t>BOR100755</t>
        </is>
      </c>
      <c r="C939" s="8" t="n">
        <v>46105</v>
      </c>
      <c r="D939" s="9" t="n">
        <v>257000</v>
      </c>
      <c r="E939" t="n">
        <v>6</v>
      </c>
      <c r="F939" s="10" t="n">
        <v>0.137</v>
      </c>
      <c r="G939" t="inlineStr">
        <is>
          <t>Asset Finance</t>
        </is>
      </c>
      <c r="H939" t="inlineStr">
        <is>
          <t>LO006</t>
        </is>
      </c>
      <c r="I939" t="inlineStr">
        <is>
          <t>Partner Referral</t>
        </is>
      </c>
      <c r="J939">
        <f>INDEX('Data - Borrowers'!$B$2:$B$851, MATCH(B939, 'Data - Borrowers'!$A$2:$A$851, 0))</f>
        <v/>
      </c>
      <c r="K939">
        <f>INDEX('Data - Borrowers'!$C$2:$C$851, MATCH(B939, 'Data - Borrowers'!$A$2:$A$851, 0))</f>
        <v/>
      </c>
      <c r="L939">
        <f>IF(D939&lt;100000, "Micro (&lt;100K)", IF(D939&lt;500000, "Small (100K-500K)", "Medium (500K+)"))</f>
        <v/>
      </c>
      <c r="M939">
        <f>TEXT(C939, "yyyy-mm")</f>
        <v/>
      </c>
    </row>
    <row r="940">
      <c r="A940" t="inlineStr">
        <is>
          <t>LN201019</t>
        </is>
      </c>
      <c r="B940" t="inlineStr">
        <is>
          <t>BOR100756</t>
        </is>
      </c>
      <c r="C940" s="8" t="n">
        <v>45671</v>
      </c>
      <c r="D940" s="9" t="n">
        <v>326000</v>
      </c>
      <c r="E940" t="n">
        <v>6</v>
      </c>
      <c r="F940" s="10" t="n">
        <v>0.199</v>
      </c>
      <c r="G940" t="inlineStr">
        <is>
          <t>Working Capital</t>
        </is>
      </c>
      <c r="H940" t="inlineStr">
        <is>
          <t>LO011</t>
        </is>
      </c>
      <c r="I940" t="inlineStr">
        <is>
          <t>Branch</t>
        </is>
      </c>
      <c r="J940">
        <f>INDEX('Data - Borrowers'!$B$2:$B$851, MATCH(B940, 'Data - Borrowers'!$A$2:$A$851, 0))</f>
        <v/>
      </c>
      <c r="K940">
        <f>INDEX('Data - Borrowers'!$C$2:$C$851, MATCH(B940, 'Data - Borrowers'!$A$2:$A$851, 0))</f>
        <v/>
      </c>
      <c r="L940">
        <f>IF(D940&lt;100000, "Micro (&lt;100K)", IF(D940&lt;500000, "Small (100K-500K)", "Medium (500K+)"))</f>
        <v/>
      </c>
      <c r="M940">
        <f>TEXT(C940, "yyyy-mm")</f>
        <v/>
      </c>
    </row>
    <row r="941">
      <c r="A941" t="inlineStr">
        <is>
          <t>LN201020</t>
        </is>
      </c>
      <c r="B941" t="inlineStr">
        <is>
          <t>BOR100756</t>
        </is>
      </c>
      <c r="C941" s="8" t="n">
        <v>46192</v>
      </c>
      <c r="D941" s="9" t="n">
        <v>236000</v>
      </c>
      <c r="E941" t="n">
        <v>9</v>
      </c>
      <c r="F941" s="10" t="n">
        <v>0.197</v>
      </c>
      <c r="G941" t="inlineStr">
        <is>
          <t>Working Capital</t>
        </is>
      </c>
      <c r="H941" t="inlineStr">
        <is>
          <t>LO004</t>
        </is>
      </c>
      <c r="I941" t="inlineStr">
        <is>
          <t>Branch</t>
        </is>
      </c>
      <c r="J941">
        <f>INDEX('Data - Borrowers'!$B$2:$B$851, MATCH(B941, 'Data - Borrowers'!$A$2:$A$851, 0))</f>
        <v/>
      </c>
      <c r="K941">
        <f>INDEX('Data - Borrowers'!$C$2:$C$851, MATCH(B941, 'Data - Borrowers'!$A$2:$A$851, 0))</f>
        <v/>
      </c>
      <c r="L941">
        <f>IF(D941&lt;100000, "Micro (&lt;100K)", IF(D941&lt;500000, "Small (100K-500K)", "Medium (500K+)"))</f>
        <v/>
      </c>
      <c r="M941">
        <f>TEXT(C941, "yyyy-mm")</f>
        <v/>
      </c>
    </row>
    <row r="942">
      <c r="A942" t="inlineStr">
        <is>
          <t>LN201021</t>
        </is>
      </c>
      <c r="B942" t="inlineStr">
        <is>
          <t>BOR100757</t>
        </is>
      </c>
      <c r="C942" s="8" t="n">
        <v>45932</v>
      </c>
      <c r="D942" s="9" t="n">
        <v>91000</v>
      </c>
      <c r="E942" t="n">
        <v>6</v>
      </c>
      <c r="F942" s="10" t="n">
        <v>0.181</v>
      </c>
      <c r="G942" t="inlineStr">
        <is>
          <t>Working Capital</t>
        </is>
      </c>
      <c r="H942" t="inlineStr">
        <is>
          <t>LO021</t>
        </is>
      </c>
      <c r="I942" t="inlineStr">
        <is>
          <t>Mobile App</t>
        </is>
      </c>
      <c r="J942">
        <f>INDEX('Data - Borrowers'!$B$2:$B$851, MATCH(B942, 'Data - Borrowers'!$A$2:$A$851, 0))</f>
        <v/>
      </c>
      <c r="K942">
        <f>INDEX('Data - Borrowers'!$C$2:$C$851, MATCH(B942, 'Data - Borrowers'!$A$2:$A$851, 0))</f>
        <v/>
      </c>
      <c r="L942">
        <f>IF(D942&lt;100000, "Micro (&lt;100K)", IF(D942&lt;500000, "Small (100K-500K)", "Medium (500K+)"))</f>
        <v/>
      </c>
      <c r="M942">
        <f>TEXT(C942, "yyyy-mm")</f>
        <v/>
      </c>
    </row>
    <row r="943">
      <c r="A943" t="inlineStr">
        <is>
          <t>LN201022</t>
        </is>
      </c>
      <c r="B943" t="inlineStr">
        <is>
          <t>BOR100758</t>
        </is>
      </c>
      <c r="C943" s="8" t="n">
        <v>45868</v>
      </c>
      <c r="D943" s="9" t="n">
        <v>91000</v>
      </c>
      <c r="E943" t="n">
        <v>18</v>
      </c>
      <c r="F943" s="10" t="n">
        <v>0.221</v>
      </c>
      <c r="G943" t="inlineStr">
        <is>
          <t>Invoice Discounting</t>
        </is>
      </c>
      <c r="H943" t="inlineStr">
        <is>
          <t>LO025</t>
        </is>
      </c>
      <c r="I943" t="inlineStr">
        <is>
          <t>Mobile App</t>
        </is>
      </c>
      <c r="J943">
        <f>INDEX('Data - Borrowers'!$B$2:$B$851, MATCH(B943, 'Data - Borrowers'!$A$2:$A$851, 0))</f>
        <v/>
      </c>
      <c r="K943">
        <f>INDEX('Data - Borrowers'!$C$2:$C$851, MATCH(B943, 'Data - Borrowers'!$A$2:$A$851, 0))</f>
        <v/>
      </c>
      <c r="L943">
        <f>IF(D943&lt;100000, "Micro (&lt;100K)", IF(D943&lt;500000, "Small (100K-500K)", "Medium (500K+)"))</f>
        <v/>
      </c>
      <c r="M943">
        <f>TEXT(C943, "yyyy-mm")</f>
        <v/>
      </c>
    </row>
    <row r="944">
      <c r="A944" t="inlineStr">
        <is>
          <t>LN201023</t>
        </is>
      </c>
      <c r="B944" t="inlineStr">
        <is>
          <t>BOR100759</t>
        </is>
      </c>
      <c r="C944" s="8" t="n">
        <v>45773</v>
      </c>
      <c r="D944" s="9" t="n">
        <v>199000</v>
      </c>
      <c r="E944" t="n">
        <v>3</v>
      </c>
      <c r="F944" s="10" t="n">
        <v>0.144</v>
      </c>
      <c r="G944" t="inlineStr">
        <is>
          <t>Asset Finance</t>
        </is>
      </c>
      <c r="H944" t="inlineStr">
        <is>
          <t>LO016</t>
        </is>
      </c>
      <c r="I944" t="inlineStr">
        <is>
          <t>Mobile App</t>
        </is>
      </c>
      <c r="J944">
        <f>INDEX('Data - Borrowers'!$B$2:$B$851, MATCH(B944, 'Data - Borrowers'!$A$2:$A$851, 0))</f>
        <v/>
      </c>
      <c r="K944">
        <f>INDEX('Data - Borrowers'!$C$2:$C$851, MATCH(B944, 'Data - Borrowers'!$A$2:$A$851, 0))</f>
        <v/>
      </c>
      <c r="L944">
        <f>IF(D944&lt;100000, "Micro (&lt;100K)", IF(D944&lt;500000, "Small (100K-500K)", "Medium (500K+)"))</f>
        <v/>
      </c>
      <c r="M944">
        <f>TEXT(C944, "yyyy-mm")</f>
        <v/>
      </c>
    </row>
    <row r="945">
      <c r="A945" t="inlineStr">
        <is>
          <t>LN201024</t>
        </is>
      </c>
      <c r="B945" t="inlineStr">
        <is>
          <t>BOR100760</t>
        </is>
      </c>
      <c r="C945" s="8" t="n">
        <v>45810</v>
      </c>
      <c r="D945" s="9" t="n">
        <v>28000</v>
      </c>
      <c r="E945" t="n">
        <v>6</v>
      </c>
      <c r="F945" s="10" t="n">
        <v>0.218</v>
      </c>
      <c r="G945" t="inlineStr">
        <is>
          <t>Asset Finance</t>
        </is>
      </c>
      <c r="H945" t="inlineStr">
        <is>
          <t>LO025</t>
        </is>
      </c>
      <c r="I945" t="inlineStr">
        <is>
          <t>Branch</t>
        </is>
      </c>
      <c r="J945">
        <f>INDEX('Data - Borrowers'!$B$2:$B$851, MATCH(B945, 'Data - Borrowers'!$A$2:$A$851, 0))</f>
        <v/>
      </c>
      <c r="K945">
        <f>INDEX('Data - Borrowers'!$C$2:$C$851, MATCH(B945, 'Data - Borrowers'!$A$2:$A$851, 0))</f>
        <v/>
      </c>
      <c r="L945">
        <f>IF(D945&lt;100000, "Micro (&lt;100K)", IF(D945&lt;500000, "Small (100K-500K)", "Medium (500K+)"))</f>
        <v/>
      </c>
      <c r="M945">
        <f>TEXT(C945, "yyyy-mm")</f>
        <v/>
      </c>
    </row>
    <row r="946">
      <c r="A946" t="inlineStr">
        <is>
          <t>LN201025</t>
        </is>
      </c>
      <c r="B946" t="inlineStr">
        <is>
          <t>BOR100760</t>
        </is>
      </c>
      <c r="C946" s="8" t="n">
        <v>46171</v>
      </c>
      <c r="D946" s="9" t="n">
        <v>20000</v>
      </c>
      <c r="E946" t="n">
        <v>3</v>
      </c>
      <c r="F946" s="10" t="n">
        <v>0.182</v>
      </c>
      <c r="G946" t="inlineStr">
        <is>
          <t>Working Capital</t>
        </is>
      </c>
      <c r="H946" t="inlineStr">
        <is>
          <t>LO006</t>
        </is>
      </c>
      <c r="I946" t="inlineStr">
        <is>
          <t>Mobile App</t>
        </is>
      </c>
      <c r="J946">
        <f>INDEX('Data - Borrowers'!$B$2:$B$851, MATCH(B946, 'Data - Borrowers'!$A$2:$A$851, 0))</f>
        <v/>
      </c>
      <c r="K946">
        <f>INDEX('Data - Borrowers'!$C$2:$C$851, MATCH(B946, 'Data - Borrowers'!$A$2:$A$851, 0))</f>
        <v/>
      </c>
      <c r="L946">
        <f>IF(D946&lt;100000, "Micro (&lt;100K)", IF(D946&lt;500000, "Small (100K-500K)", "Medium (500K+)"))</f>
        <v/>
      </c>
      <c r="M946">
        <f>TEXT(C946, "yyyy-mm")</f>
        <v/>
      </c>
    </row>
    <row r="947">
      <c r="A947" t="inlineStr">
        <is>
          <t>LN201026</t>
        </is>
      </c>
      <c r="B947" t="inlineStr">
        <is>
          <t>BOR100761</t>
        </is>
      </c>
      <c r="C947" s="8" t="n">
        <v>46109</v>
      </c>
      <c r="D947" s="9" t="n">
        <v>20000</v>
      </c>
      <c r="E947" t="n">
        <v>3</v>
      </c>
      <c r="F947" s="10" t="n">
        <v>0.162</v>
      </c>
      <c r="G947" t="inlineStr">
        <is>
          <t>Asset Finance</t>
        </is>
      </c>
      <c r="H947" t="inlineStr">
        <is>
          <t>LO017</t>
        </is>
      </c>
      <c r="I947" t="inlineStr">
        <is>
          <t>Partner Referral</t>
        </is>
      </c>
      <c r="J947">
        <f>INDEX('Data - Borrowers'!$B$2:$B$851, MATCH(B947, 'Data - Borrowers'!$A$2:$A$851, 0))</f>
        <v/>
      </c>
      <c r="K947">
        <f>INDEX('Data - Borrowers'!$C$2:$C$851, MATCH(B947, 'Data - Borrowers'!$A$2:$A$851, 0))</f>
        <v/>
      </c>
      <c r="L947">
        <f>IF(D947&lt;100000, "Micro (&lt;100K)", IF(D947&lt;500000, "Small (100K-500K)", "Medium (500K+)"))</f>
        <v/>
      </c>
      <c r="M947">
        <f>TEXT(C947, "yyyy-mm")</f>
        <v/>
      </c>
    </row>
    <row r="948">
      <c r="A948" t="inlineStr">
        <is>
          <t>LN201027</t>
        </is>
      </c>
      <c r="B948" t="inlineStr">
        <is>
          <t>BOR100762</t>
        </is>
      </c>
      <c r="C948" s="8" t="n">
        <v>46129</v>
      </c>
      <c r="D948" s="9" t="n">
        <v>131000</v>
      </c>
      <c r="E948" t="n">
        <v>9</v>
      </c>
      <c r="F948" s="10" t="n">
        <v>0.131</v>
      </c>
      <c r="G948" t="inlineStr">
        <is>
          <t>Asset Finance</t>
        </is>
      </c>
      <c r="H948" t="inlineStr">
        <is>
          <t>LO008</t>
        </is>
      </c>
      <c r="I948" t="inlineStr">
        <is>
          <t>Branch</t>
        </is>
      </c>
      <c r="J948">
        <f>INDEX('Data - Borrowers'!$B$2:$B$851, MATCH(B948, 'Data - Borrowers'!$A$2:$A$851, 0))</f>
        <v/>
      </c>
      <c r="K948">
        <f>INDEX('Data - Borrowers'!$C$2:$C$851, MATCH(B948, 'Data - Borrowers'!$A$2:$A$851, 0))</f>
        <v/>
      </c>
      <c r="L948">
        <f>IF(D948&lt;100000, "Micro (&lt;100K)", IF(D948&lt;500000, "Small (100K-500K)", "Medium (500K+)"))</f>
        <v/>
      </c>
      <c r="M948">
        <f>TEXT(C948, "yyyy-mm")</f>
        <v/>
      </c>
    </row>
    <row r="949">
      <c r="A949" t="inlineStr">
        <is>
          <t>LN201029</t>
        </is>
      </c>
      <c r="B949" t="inlineStr">
        <is>
          <t>BOR100763</t>
        </is>
      </c>
      <c r="C949" s="8" t="n">
        <v>46000</v>
      </c>
      <c r="D949" s="9" t="n">
        <v>275000</v>
      </c>
      <c r="E949" t="n">
        <v>3</v>
      </c>
      <c r="F949" s="10" t="n">
        <v>0.203</v>
      </c>
      <c r="G949" t="inlineStr">
        <is>
          <t>Working Capital</t>
        </is>
      </c>
      <c r="H949" t="inlineStr">
        <is>
          <t>LO012</t>
        </is>
      </c>
      <c r="I949" t="inlineStr">
        <is>
          <t>Mobile App</t>
        </is>
      </c>
      <c r="J949">
        <f>INDEX('Data - Borrowers'!$B$2:$B$851, MATCH(B949, 'Data - Borrowers'!$A$2:$A$851, 0))</f>
        <v/>
      </c>
      <c r="K949">
        <f>INDEX('Data - Borrowers'!$C$2:$C$851, MATCH(B949, 'Data - Borrowers'!$A$2:$A$851, 0))</f>
        <v/>
      </c>
      <c r="L949">
        <f>IF(D949&lt;100000, "Micro (&lt;100K)", IF(D949&lt;500000, "Small (100K-500K)", "Medium (500K+)"))</f>
        <v/>
      </c>
      <c r="M949">
        <f>TEXT(C949, "yyyy-mm")</f>
        <v/>
      </c>
    </row>
    <row r="950">
      <c r="A950" t="inlineStr">
        <is>
          <t>LN201030</t>
        </is>
      </c>
      <c r="B950" t="inlineStr">
        <is>
          <t>BOR100764</t>
        </is>
      </c>
      <c r="C950" s="8" t="n">
        <v>46062</v>
      </c>
      <c r="D950" s="9" t="n">
        <v>38000</v>
      </c>
      <c r="E950" t="n">
        <v>18</v>
      </c>
      <c r="F950" s="10" t="n">
        <v>0.22</v>
      </c>
      <c r="G950" t="inlineStr">
        <is>
          <t>Working Capital</t>
        </is>
      </c>
      <c r="H950" t="inlineStr">
        <is>
          <t>LO023</t>
        </is>
      </c>
      <c r="I950" t="inlineStr">
        <is>
          <t>Partner Referral</t>
        </is>
      </c>
      <c r="J950">
        <f>INDEX('Data - Borrowers'!$B$2:$B$851, MATCH(B950, 'Data - Borrowers'!$A$2:$A$851, 0))</f>
        <v/>
      </c>
      <c r="K950">
        <f>INDEX('Data - Borrowers'!$C$2:$C$851, MATCH(B950, 'Data - Borrowers'!$A$2:$A$851, 0))</f>
        <v/>
      </c>
      <c r="L950">
        <f>IF(D950&lt;100000, "Micro (&lt;100K)", IF(D950&lt;500000, "Small (100K-500K)", "Medium (500K+)"))</f>
        <v/>
      </c>
      <c r="M950">
        <f>TEXT(C950, "yyyy-mm")</f>
        <v/>
      </c>
    </row>
    <row r="951">
      <c r="A951" t="inlineStr">
        <is>
          <t>LN201032</t>
        </is>
      </c>
      <c r="B951" t="inlineStr">
        <is>
          <t>BOR100765</t>
        </is>
      </c>
      <c r="C951" s="8" t="n">
        <v>46167</v>
      </c>
      <c r="D951" s="9" t="n">
        <v>96000</v>
      </c>
      <c r="E951" t="n">
        <v>9</v>
      </c>
      <c r="F951" s="10" t="n">
        <v>0.239</v>
      </c>
      <c r="G951" t="inlineStr">
        <is>
          <t>Asset Finance</t>
        </is>
      </c>
      <c r="H951" t="inlineStr">
        <is>
          <t>LO010</t>
        </is>
      </c>
      <c r="I951" t="inlineStr">
        <is>
          <t>Mobile App</t>
        </is>
      </c>
      <c r="J951">
        <f>INDEX('Data - Borrowers'!$B$2:$B$851, MATCH(B951, 'Data - Borrowers'!$A$2:$A$851, 0))</f>
        <v/>
      </c>
      <c r="K951">
        <f>INDEX('Data - Borrowers'!$C$2:$C$851, MATCH(B951, 'Data - Borrowers'!$A$2:$A$851, 0))</f>
        <v/>
      </c>
      <c r="L951">
        <f>IF(D951&lt;100000, "Micro (&lt;100K)", IF(D951&lt;500000, "Small (100K-500K)", "Medium (500K+)"))</f>
        <v/>
      </c>
      <c r="M951">
        <f>TEXT(C951, "yyyy-mm")</f>
        <v/>
      </c>
    </row>
    <row r="952">
      <c r="A952" t="inlineStr">
        <is>
          <t>LN201034</t>
        </is>
      </c>
      <c r="B952" t="inlineStr">
        <is>
          <t>BOR100766</t>
        </is>
      </c>
      <c r="C952" s="8" t="n">
        <v>45896</v>
      </c>
      <c r="D952" s="9" t="n">
        <v>166000</v>
      </c>
      <c r="E952" t="n">
        <v>3</v>
      </c>
      <c r="F952" s="10" t="n">
        <v>0.211</v>
      </c>
      <c r="G952" t="inlineStr">
        <is>
          <t>Working Capital</t>
        </is>
      </c>
      <c r="H952" t="inlineStr">
        <is>
          <t>LO001</t>
        </is>
      </c>
      <c r="I952" t="inlineStr">
        <is>
          <t>Mobile App</t>
        </is>
      </c>
      <c r="J952">
        <f>INDEX('Data - Borrowers'!$B$2:$B$851, MATCH(B952, 'Data - Borrowers'!$A$2:$A$851, 0))</f>
        <v/>
      </c>
      <c r="K952">
        <f>INDEX('Data - Borrowers'!$C$2:$C$851, MATCH(B952, 'Data - Borrowers'!$A$2:$A$851, 0))</f>
        <v/>
      </c>
      <c r="L952">
        <f>IF(D952&lt;100000, "Micro (&lt;100K)", IF(D952&lt;500000, "Small (100K-500K)", "Medium (500K+)"))</f>
        <v/>
      </c>
      <c r="M952">
        <f>TEXT(C952, "yyyy-mm")</f>
        <v/>
      </c>
    </row>
    <row r="953">
      <c r="A953" t="inlineStr">
        <is>
          <t>LN201035</t>
        </is>
      </c>
      <c r="B953" t="inlineStr">
        <is>
          <t>BOR100766</t>
        </is>
      </c>
      <c r="C953" s="8" t="n">
        <v>46201</v>
      </c>
      <c r="D953" s="9" t="n">
        <v>265000</v>
      </c>
      <c r="E953" t="n">
        <v>9</v>
      </c>
      <c r="F953" s="10" t="n">
        <v>0.235</v>
      </c>
      <c r="G953" t="inlineStr">
        <is>
          <t>Asset Finance</t>
        </is>
      </c>
      <c r="H953" t="inlineStr">
        <is>
          <t>LO016</t>
        </is>
      </c>
      <c r="I953" t="inlineStr">
        <is>
          <t>Mobile App</t>
        </is>
      </c>
      <c r="J953">
        <f>INDEX('Data - Borrowers'!$B$2:$B$851, MATCH(B953, 'Data - Borrowers'!$A$2:$A$851, 0))</f>
        <v/>
      </c>
      <c r="K953">
        <f>INDEX('Data - Borrowers'!$C$2:$C$851, MATCH(B953, 'Data - Borrowers'!$A$2:$A$851, 0))</f>
        <v/>
      </c>
      <c r="L953">
        <f>IF(D953&lt;100000, "Micro (&lt;100K)", IF(D953&lt;500000, "Small (100K-500K)", "Medium (500K+)"))</f>
        <v/>
      </c>
      <c r="M953">
        <f>TEXT(C953, "yyyy-mm")</f>
        <v/>
      </c>
    </row>
    <row r="954">
      <c r="A954" t="inlineStr">
        <is>
          <t>LN201036</t>
        </is>
      </c>
      <c r="B954" t="inlineStr">
        <is>
          <t>BOR100767</t>
        </is>
      </c>
      <c r="C954" s="8" t="n">
        <v>45781</v>
      </c>
      <c r="D954" s="9" t="n">
        <v>197000</v>
      </c>
      <c r="E954" t="n">
        <v>6</v>
      </c>
      <c r="F954" s="10" t="n">
        <v>0.138</v>
      </c>
      <c r="G954" t="inlineStr">
        <is>
          <t>Working Capital</t>
        </is>
      </c>
      <c r="H954" t="inlineStr">
        <is>
          <t>LO015</t>
        </is>
      </c>
      <c r="I954" t="inlineStr">
        <is>
          <t>Partner Referral</t>
        </is>
      </c>
      <c r="J954">
        <f>INDEX('Data - Borrowers'!$B$2:$B$851, MATCH(B954, 'Data - Borrowers'!$A$2:$A$851, 0))</f>
        <v/>
      </c>
      <c r="K954">
        <f>INDEX('Data - Borrowers'!$C$2:$C$851, MATCH(B954, 'Data - Borrowers'!$A$2:$A$851, 0))</f>
        <v/>
      </c>
      <c r="L954">
        <f>IF(D954&lt;100000, "Micro (&lt;100K)", IF(D954&lt;500000, "Small (100K-500K)", "Medium (500K+)"))</f>
        <v/>
      </c>
      <c r="M954">
        <f>TEXT(C954, "yyyy-mm")</f>
        <v/>
      </c>
    </row>
    <row r="955">
      <c r="A955" t="inlineStr">
        <is>
          <t>LN201037</t>
        </is>
      </c>
      <c r="B955" t="inlineStr">
        <is>
          <t>BOR100768</t>
        </is>
      </c>
      <c r="C955" s="8" t="n">
        <v>45913</v>
      </c>
      <c r="D955" s="9" t="n">
        <v>43000</v>
      </c>
      <c r="E955" t="n">
        <v>3</v>
      </c>
      <c r="F955" s="10" t="n">
        <v>0.165</v>
      </c>
      <c r="G955" t="inlineStr">
        <is>
          <t>Asset Finance</t>
        </is>
      </c>
      <c r="H955" t="inlineStr">
        <is>
          <t>LO015</t>
        </is>
      </c>
      <c r="I955" t="inlineStr">
        <is>
          <t>Branch</t>
        </is>
      </c>
      <c r="J955">
        <f>INDEX('Data - Borrowers'!$B$2:$B$851, MATCH(B955, 'Data - Borrowers'!$A$2:$A$851, 0))</f>
        <v/>
      </c>
      <c r="K955">
        <f>INDEX('Data - Borrowers'!$C$2:$C$851, MATCH(B955, 'Data - Borrowers'!$A$2:$A$851, 0))</f>
        <v/>
      </c>
      <c r="L955">
        <f>IF(D955&lt;100000, "Micro (&lt;100K)", IF(D955&lt;500000, "Small (100K-500K)", "Medium (500K+)"))</f>
        <v/>
      </c>
      <c r="M955">
        <f>TEXT(C955, "yyyy-mm")</f>
        <v/>
      </c>
    </row>
    <row r="956">
      <c r="A956" t="inlineStr">
        <is>
          <t>LN201038</t>
        </is>
      </c>
      <c r="B956" t="inlineStr">
        <is>
          <t>BOR100769</t>
        </is>
      </c>
      <c r="C956" s="8" t="n">
        <v>46165</v>
      </c>
      <c r="D956" s="9" t="n">
        <v>36000</v>
      </c>
      <c r="E956" t="n">
        <v>3</v>
      </c>
      <c r="F956" s="10" t="n">
        <v>0.161</v>
      </c>
      <c r="G956" t="inlineStr">
        <is>
          <t>Working Capital</t>
        </is>
      </c>
      <c r="H956" t="inlineStr">
        <is>
          <t>LO017</t>
        </is>
      </c>
      <c r="I956" t="inlineStr">
        <is>
          <t>Mobile App</t>
        </is>
      </c>
      <c r="J956">
        <f>INDEX('Data - Borrowers'!$B$2:$B$851, MATCH(B956, 'Data - Borrowers'!$A$2:$A$851, 0))</f>
        <v/>
      </c>
      <c r="K956">
        <f>INDEX('Data - Borrowers'!$C$2:$C$851, MATCH(B956, 'Data - Borrowers'!$A$2:$A$851, 0))</f>
        <v/>
      </c>
      <c r="L956">
        <f>IF(D956&lt;100000, "Micro (&lt;100K)", IF(D956&lt;500000, "Small (100K-500K)", "Medium (500K+)"))</f>
        <v/>
      </c>
      <c r="M956">
        <f>TEXT(C956, "yyyy-mm")</f>
        <v/>
      </c>
    </row>
    <row r="957">
      <c r="A957" t="inlineStr">
        <is>
          <t>LN201039</t>
        </is>
      </c>
      <c r="B957" t="inlineStr">
        <is>
          <t>BOR100770</t>
        </is>
      </c>
      <c r="C957" s="8" t="n">
        <v>46100</v>
      </c>
      <c r="D957" s="9" t="n">
        <v>442000</v>
      </c>
      <c r="E957" t="n">
        <v>9</v>
      </c>
      <c r="F957" s="10" t="n">
        <v>0.197</v>
      </c>
      <c r="G957" t="inlineStr">
        <is>
          <t>Working Capital</t>
        </is>
      </c>
      <c r="H957" t="inlineStr">
        <is>
          <t>LO002</t>
        </is>
      </c>
      <c r="I957" t="inlineStr">
        <is>
          <t>Mobile App</t>
        </is>
      </c>
      <c r="J957">
        <f>INDEX('Data - Borrowers'!$B$2:$B$851, MATCH(B957, 'Data - Borrowers'!$A$2:$A$851, 0))</f>
        <v/>
      </c>
      <c r="K957">
        <f>INDEX('Data - Borrowers'!$C$2:$C$851, MATCH(B957, 'Data - Borrowers'!$A$2:$A$851, 0))</f>
        <v/>
      </c>
      <c r="L957">
        <f>IF(D957&lt;100000, "Micro (&lt;100K)", IF(D957&lt;500000, "Small (100K-500K)", "Medium (500K+)"))</f>
        <v/>
      </c>
      <c r="M957">
        <f>TEXT(C957, "yyyy-mm")</f>
        <v/>
      </c>
    </row>
    <row r="958">
      <c r="A958" t="inlineStr">
        <is>
          <t>LN201040</t>
        </is>
      </c>
      <c r="B958" t="inlineStr">
        <is>
          <t>BOR100770</t>
        </is>
      </c>
      <c r="C958" s="8" t="n">
        <v>46209</v>
      </c>
      <c r="D958" s="9" t="n">
        <v>215000</v>
      </c>
      <c r="E958" t="n">
        <v>12</v>
      </c>
      <c r="F958" s="10" t="n">
        <v>0.206</v>
      </c>
      <c r="G958" t="inlineStr">
        <is>
          <t>Working Capital</t>
        </is>
      </c>
      <c r="H958" t="inlineStr">
        <is>
          <t>LO025</t>
        </is>
      </c>
      <c r="I958" t="inlineStr">
        <is>
          <t>Branch</t>
        </is>
      </c>
      <c r="J958">
        <f>INDEX('Data - Borrowers'!$B$2:$B$851, MATCH(B958, 'Data - Borrowers'!$A$2:$A$851, 0))</f>
        <v/>
      </c>
      <c r="K958">
        <f>INDEX('Data - Borrowers'!$C$2:$C$851, MATCH(B958, 'Data - Borrowers'!$A$2:$A$851, 0))</f>
        <v/>
      </c>
      <c r="L958">
        <f>IF(D958&lt;100000, "Micro (&lt;100K)", IF(D958&lt;500000, "Small (100K-500K)", "Medium (500K+)"))</f>
        <v/>
      </c>
      <c r="M958">
        <f>TEXT(C958, "yyyy-mm")</f>
        <v/>
      </c>
    </row>
    <row r="959">
      <c r="A959" t="inlineStr">
        <is>
          <t>LN201041</t>
        </is>
      </c>
      <c r="B959" t="inlineStr">
        <is>
          <t>BOR100771</t>
        </is>
      </c>
      <c r="C959" s="8" t="n">
        <v>46019</v>
      </c>
      <c r="D959" s="9" t="n">
        <v>34000</v>
      </c>
      <c r="E959" t="n">
        <v>9</v>
      </c>
      <c r="F959" s="10" t="n">
        <v>0.161</v>
      </c>
      <c r="G959" t="inlineStr">
        <is>
          <t>Asset Finance</t>
        </is>
      </c>
      <c r="H959" t="inlineStr">
        <is>
          <t>LO018</t>
        </is>
      </c>
      <c r="I959" t="inlineStr">
        <is>
          <t>Mobile App</t>
        </is>
      </c>
      <c r="J959">
        <f>INDEX('Data - Borrowers'!$B$2:$B$851, MATCH(B959, 'Data - Borrowers'!$A$2:$A$851, 0))</f>
        <v/>
      </c>
      <c r="K959">
        <f>INDEX('Data - Borrowers'!$C$2:$C$851, MATCH(B959, 'Data - Borrowers'!$A$2:$A$851, 0))</f>
        <v/>
      </c>
      <c r="L959">
        <f>IF(D959&lt;100000, "Micro (&lt;100K)", IF(D959&lt;500000, "Small (100K-500K)", "Medium (500K+)"))</f>
        <v/>
      </c>
      <c r="M959">
        <f>TEXT(C959, "yyyy-mm")</f>
        <v/>
      </c>
    </row>
    <row r="960">
      <c r="A960" t="inlineStr">
        <is>
          <t>LN201042</t>
        </is>
      </c>
      <c r="B960" t="inlineStr">
        <is>
          <t>BOR100772</t>
        </is>
      </c>
      <c r="C960" s="8" t="n">
        <v>45754</v>
      </c>
      <c r="D960" s="9" t="n">
        <v>264000</v>
      </c>
      <c r="E960" t="n">
        <v>9</v>
      </c>
      <c r="F960" s="10" t="n">
        <v>0.201</v>
      </c>
      <c r="G960" t="inlineStr">
        <is>
          <t>Working Capital</t>
        </is>
      </c>
      <c r="H960" t="inlineStr">
        <is>
          <t>LO008</t>
        </is>
      </c>
      <c r="I960" t="inlineStr">
        <is>
          <t>Branch</t>
        </is>
      </c>
      <c r="J960">
        <f>INDEX('Data - Borrowers'!$B$2:$B$851, MATCH(B960, 'Data - Borrowers'!$A$2:$A$851, 0))</f>
        <v/>
      </c>
      <c r="K960">
        <f>INDEX('Data - Borrowers'!$C$2:$C$851, MATCH(B960, 'Data - Borrowers'!$A$2:$A$851, 0))</f>
        <v/>
      </c>
      <c r="L960">
        <f>IF(D960&lt;100000, "Micro (&lt;100K)", IF(D960&lt;500000, "Small (100K-500K)", "Medium (500K+)"))</f>
        <v/>
      </c>
      <c r="M960">
        <f>TEXT(C960, "yyyy-mm")</f>
        <v/>
      </c>
    </row>
    <row r="961">
      <c r="A961" t="inlineStr">
        <is>
          <t>LN201043</t>
        </is>
      </c>
      <c r="B961" t="inlineStr">
        <is>
          <t>BOR100772</t>
        </is>
      </c>
      <c r="C961" s="8" t="n">
        <v>45966</v>
      </c>
      <c r="D961" s="9" t="n">
        <v>321000</v>
      </c>
      <c r="E961" t="n">
        <v>12</v>
      </c>
      <c r="F961" s="10" t="n">
        <v>0.176</v>
      </c>
      <c r="G961" t="inlineStr">
        <is>
          <t>Working Capital</t>
        </is>
      </c>
      <c r="H961" t="inlineStr">
        <is>
          <t>LO013</t>
        </is>
      </c>
      <c r="I961" t="inlineStr">
        <is>
          <t>Partner Referral</t>
        </is>
      </c>
      <c r="J961">
        <f>INDEX('Data - Borrowers'!$B$2:$B$851, MATCH(B961, 'Data - Borrowers'!$A$2:$A$851, 0))</f>
        <v/>
      </c>
      <c r="K961">
        <f>INDEX('Data - Borrowers'!$C$2:$C$851, MATCH(B961, 'Data - Borrowers'!$A$2:$A$851, 0))</f>
        <v/>
      </c>
      <c r="L961">
        <f>IF(D961&lt;100000, "Micro (&lt;100K)", IF(D961&lt;500000, "Small (100K-500K)", "Medium (500K+)"))</f>
        <v/>
      </c>
      <c r="M961">
        <f>TEXT(C961, "yyyy-mm")</f>
        <v/>
      </c>
    </row>
    <row r="962">
      <c r="A962" t="inlineStr">
        <is>
          <t>LN201044</t>
        </is>
      </c>
      <c r="B962" t="inlineStr">
        <is>
          <t>BOR100773</t>
        </is>
      </c>
      <c r="C962" s="8" t="n">
        <v>45660</v>
      </c>
      <c r="D962" s="9" t="n">
        <v>32000</v>
      </c>
      <c r="E962" t="n">
        <v>9</v>
      </c>
      <c r="F962" s="10" t="n">
        <v>0.126</v>
      </c>
      <c r="G962" t="inlineStr">
        <is>
          <t>Asset Finance</t>
        </is>
      </c>
      <c r="H962" t="inlineStr">
        <is>
          <t>LO013</t>
        </is>
      </c>
      <c r="I962" t="inlineStr">
        <is>
          <t>Mobile App</t>
        </is>
      </c>
      <c r="J962">
        <f>INDEX('Data - Borrowers'!$B$2:$B$851, MATCH(B962, 'Data - Borrowers'!$A$2:$A$851, 0))</f>
        <v/>
      </c>
      <c r="K962">
        <f>INDEX('Data - Borrowers'!$C$2:$C$851, MATCH(B962, 'Data - Borrowers'!$A$2:$A$851, 0))</f>
        <v/>
      </c>
      <c r="L962">
        <f>IF(D962&lt;100000, "Micro (&lt;100K)", IF(D962&lt;500000, "Small (100K-500K)", "Medium (500K+)"))</f>
        <v/>
      </c>
      <c r="M962">
        <f>TEXT(C962, "yyyy-mm")</f>
        <v/>
      </c>
    </row>
    <row r="963">
      <c r="A963" t="inlineStr">
        <is>
          <t>LN201045</t>
        </is>
      </c>
      <c r="B963" t="inlineStr">
        <is>
          <t>BOR100773</t>
        </is>
      </c>
      <c r="C963" s="8" t="n">
        <v>46128</v>
      </c>
      <c r="D963" s="9" t="n">
        <v>58000</v>
      </c>
      <c r="E963" t="n">
        <v>12</v>
      </c>
      <c r="F963" s="10" t="n">
        <v>0.203</v>
      </c>
      <c r="G963" t="inlineStr">
        <is>
          <t>Working Capital</t>
        </is>
      </c>
      <c r="H963" t="inlineStr">
        <is>
          <t>LO018</t>
        </is>
      </c>
      <c r="I963" t="inlineStr">
        <is>
          <t>Mobile App</t>
        </is>
      </c>
      <c r="J963">
        <f>INDEX('Data - Borrowers'!$B$2:$B$851, MATCH(B963, 'Data - Borrowers'!$A$2:$A$851, 0))</f>
        <v/>
      </c>
      <c r="K963">
        <f>INDEX('Data - Borrowers'!$C$2:$C$851, MATCH(B963, 'Data - Borrowers'!$A$2:$A$851, 0))</f>
        <v/>
      </c>
      <c r="L963">
        <f>IF(D963&lt;100000, "Micro (&lt;100K)", IF(D963&lt;500000, "Small (100K-500K)", "Medium (500K+)"))</f>
        <v/>
      </c>
      <c r="M963">
        <f>TEXT(C963, "yyyy-mm")</f>
        <v/>
      </c>
    </row>
    <row r="964">
      <c r="A964" t="inlineStr">
        <is>
          <t>LN201047</t>
        </is>
      </c>
      <c r="B964" t="inlineStr">
        <is>
          <t>BOR100774</t>
        </is>
      </c>
      <c r="C964" s="8" t="n">
        <v>46197</v>
      </c>
      <c r="D964" s="9" t="n">
        <v>67000</v>
      </c>
      <c r="E964" t="n">
        <v>3</v>
      </c>
      <c r="F964" s="10" t="n">
        <v>0.19</v>
      </c>
      <c r="G964" t="inlineStr">
        <is>
          <t>Working Capital</t>
        </is>
      </c>
      <c r="H964" t="inlineStr">
        <is>
          <t>LO007</t>
        </is>
      </c>
      <c r="I964" t="inlineStr">
        <is>
          <t>Mobile App</t>
        </is>
      </c>
      <c r="J964">
        <f>INDEX('Data - Borrowers'!$B$2:$B$851, MATCH(B964, 'Data - Borrowers'!$A$2:$A$851, 0))</f>
        <v/>
      </c>
      <c r="K964">
        <f>INDEX('Data - Borrowers'!$C$2:$C$851, MATCH(B964, 'Data - Borrowers'!$A$2:$A$851, 0))</f>
        <v/>
      </c>
      <c r="L964">
        <f>IF(D964&lt;100000, "Micro (&lt;100K)", IF(D964&lt;500000, "Small (100K-500K)", "Medium (500K+)"))</f>
        <v/>
      </c>
      <c r="M964">
        <f>TEXT(C964, "yyyy-mm")</f>
        <v/>
      </c>
    </row>
    <row r="965">
      <c r="A965" t="inlineStr">
        <is>
          <t>LN201048</t>
        </is>
      </c>
      <c r="B965" t="inlineStr">
        <is>
          <t>BOR100775</t>
        </is>
      </c>
      <c r="C965" s="8" t="n">
        <v>46007</v>
      </c>
      <c r="D965" s="9" t="n">
        <v>97000</v>
      </c>
      <c r="E965" t="n">
        <v>18</v>
      </c>
      <c r="F965" s="10" t="n">
        <v>0.122</v>
      </c>
      <c r="G965" t="inlineStr">
        <is>
          <t>Working Capital</t>
        </is>
      </c>
      <c r="H965" t="inlineStr">
        <is>
          <t>LO022</t>
        </is>
      </c>
      <c r="I965" t="inlineStr">
        <is>
          <t>Partner Referral</t>
        </is>
      </c>
      <c r="J965">
        <f>INDEX('Data - Borrowers'!$B$2:$B$851, MATCH(B965, 'Data - Borrowers'!$A$2:$A$851, 0))</f>
        <v/>
      </c>
      <c r="K965">
        <f>INDEX('Data - Borrowers'!$C$2:$C$851, MATCH(B965, 'Data - Borrowers'!$A$2:$A$851, 0))</f>
        <v/>
      </c>
      <c r="L965">
        <f>IF(D965&lt;100000, "Micro (&lt;100K)", IF(D965&lt;500000, "Small (100K-500K)", "Medium (500K+)"))</f>
        <v/>
      </c>
      <c r="M965">
        <f>TEXT(C965, "yyyy-mm")</f>
        <v/>
      </c>
    </row>
    <row r="966">
      <c r="A966" t="inlineStr">
        <is>
          <t>LN201049</t>
        </is>
      </c>
      <c r="B966" t="inlineStr">
        <is>
          <t>BOR100776</t>
        </is>
      </c>
      <c r="C966" s="8" t="n">
        <v>46197</v>
      </c>
      <c r="D966" s="9" t="n">
        <v>49000</v>
      </c>
      <c r="E966" t="n">
        <v>6</v>
      </c>
      <c r="F966" s="10" t="n">
        <v>0.212</v>
      </c>
      <c r="G966" t="inlineStr">
        <is>
          <t>Working Capital</t>
        </is>
      </c>
      <c r="H966" t="inlineStr">
        <is>
          <t>LO016</t>
        </is>
      </c>
      <c r="I966" t="inlineStr">
        <is>
          <t>Branch</t>
        </is>
      </c>
      <c r="J966">
        <f>INDEX('Data - Borrowers'!$B$2:$B$851, MATCH(B966, 'Data - Borrowers'!$A$2:$A$851, 0))</f>
        <v/>
      </c>
      <c r="K966">
        <f>INDEX('Data - Borrowers'!$C$2:$C$851, MATCH(B966, 'Data - Borrowers'!$A$2:$A$851, 0))</f>
        <v/>
      </c>
      <c r="L966">
        <f>IF(D966&lt;100000, "Micro (&lt;100K)", IF(D966&lt;500000, "Small (100K-500K)", "Medium (500K+)"))</f>
        <v/>
      </c>
      <c r="M966">
        <f>TEXT(C966, "yyyy-mm")</f>
        <v/>
      </c>
    </row>
    <row r="967">
      <c r="A967" t="inlineStr">
        <is>
          <t>LN201051</t>
        </is>
      </c>
      <c r="B967" t="inlineStr">
        <is>
          <t>BOR100777</t>
        </is>
      </c>
      <c r="C967" s="8" t="n">
        <v>45759</v>
      </c>
      <c r="D967" s="9" t="n">
        <v>41000</v>
      </c>
      <c r="E967" t="n">
        <v>6</v>
      </c>
      <c r="F967" s="10" t="n">
        <v>0.227</v>
      </c>
      <c r="G967" t="inlineStr">
        <is>
          <t>Working Capital</t>
        </is>
      </c>
      <c r="H967" t="inlineStr">
        <is>
          <t>LO005</t>
        </is>
      </c>
      <c r="I967" t="inlineStr">
        <is>
          <t>Mobile App</t>
        </is>
      </c>
      <c r="J967">
        <f>INDEX('Data - Borrowers'!$B$2:$B$851, MATCH(B967, 'Data - Borrowers'!$A$2:$A$851, 0))</f>
        <v/>
      </c>
      <c r="K967">
        <f>INDEX('Data - Borrowers'!$C$2:$C$851, MATCH(B967, 'Data - Borrowers'!$A$2:$A$851, 0))</f>
        <v/>
      </c>
      <c r="L967">
        <f>IF(D967&lt;100000, "Micro (&lt;100K)", IF(D967&lt;500000, "Small (100K-500K)", "Medium (500K+)"))</f>
        <v/>
      </c>
      <c r="M967">
        <f>TEXT(C967, "yyyy-mm")</f>
        <v/>
      </c>
    </row>
    <row r="968">
      <c r="A968" t="inlineStr">
        <is>
          <t>LN201052</t>
        </is>
      </c>
      <c r="B968" t="inlineStr">
        <is>
          <t>BOR100778</t>
        </is>
      </c>
      <c r="C968" s="8" t="n">
        <v>45796</v>
      </c>
      <c r="D968" s="9" t="n">
        <v>125000</v>
      </c>
      <c r="E968" t="n">
        <v>9</v>
      </c>
      <c r="F968" s="10" t="n">
        <v>0.234</v>
      </c>
      <c r="G968" t="inlineStr">
        <is>
          <t>Working Capital</t>
        </is>
      </c>
      <c r="H968" t="inlineStr">
        <is>
          <t>LO025</t>
        </is>
      </c>
      <c r="I968" t="inlineStr">
        <is>
          <t>Partner Referral</t>
        </is>
      </c>
      <c r="J968">
        <f>INDEX('Data - Borrowers'!$B$2:$B$851, MATCH(B968, 'Data - Borrowers'!$A$2:$A$851, 0))</f>
        <v/>
      </c>
      <c r="K968">
        <f>INDEX('Data - Borrowers'!$C$2:$C$851, MATCH(B968, 'Data - Borrowers'!$A$2:$A$851, 0))</f>
        <v/>
      </c>
      <c r="L968">
        <f>IF(D968&lt;100000, "Micro (&lt;100K)", IF(D968&lt;500000, "Small (100K-500K)", "Medium (500K+)"))</f>
        <v/>
      </c>
      <c r="M968">
        <f>TEXT(C968, "yyyy-mm")</f>
        <v/>
      </c>
    </row>
    <row r="969">
      <c r="A969" t="inlineStr">
        <is>
          <t>LN201053</t>
        </is>
      </c>
      <c r="B969" t="inlineStr">
        <is>
          <t>BOR100779</t>
        </is>
      </c>
      <c r="C969" s="8" t="n">
        <v>46233</v>
      </c>
      <c r="D969" s="9" t="n">
        <v>161000</v>
      </c>
      <c r="E969" t="n">
        <v>9</v>
      </c>
      <c r="F969" s="10" t="n">
        <v>0.214</v>
      </c>
      <c r="G969" t="inlineStr">
        <is>
          <t>Working Capital</t>
        </is>
      </c>
      <c r="H969" t="inlineStr">
        <is>
          <t>LO021</t>
        </is>
      </c>
      <c r="I969" t="inlineStr">
        <is>
          <t>Mobile App</t>
        </is>
      </c>
      <c r="J969">
        <f>INDEX('Data - Borrowers'!$B$2:$B$851, MATCH(B969, 'Data - Borrowers'!$A$2:$A$851, 0))</f>
        <v/>
      </c>
      <c r="K969">
        <f>INDEX('Data - Borrowers'!$C$2:$C$851, MATCH(B969, 'Data - Borrowers'!$A$2:$A$851, 0))</f>
        <v/>
      </c>
      <c r="L969">
        <f>IF(D969&lt;100000, "Micro (&lt;100K)", IF(D969&lt;500000, "Small (100K-500K)", "Medium (500K+)"))</f>
        <v/>
      </c>
      <c r="M969">
        <f>TEXT(C969, "yyyy-mm")</f>
        <v/>
      </c>
    </row>
    <row r="970">
      <c r="A970" t="inlineStr">
        <is>
          <t>LN201055</t>
        </is>
      </c>
      <c r="B970" t="inlineStr">
        <is>
          <t>BOR100780</t>
        </is>
      </c>
      <c r="C970" s="8" t="n">
        <v>45787</v>
      </c>
      <c r="D970" s="9" t="n">
        <v>91000</v>
      </c>
      <c r="E970" t="n">
        <v>3</v>
      </c>
      <c r="F970" s="10" t="n">
        <v>0.165</v>
      </c>
      <c r="G970" t="inlineStr">
        <is>
          <t>Asset Finance</t>
        </is>
      </c>
      <c r="H970" t="inlineStr">
        <is>
          <t>LO016</t>
        </is>
      </c>
      <c r="I970" t="inlineStr">
        <is>
          <t>Branch</t>
        </is>
      </c>
      <c r="J970">
        <f>INDEX('Data - Borrowers'!$B$2:$B$851, MATCH(B970, 'Data - Borrowers'!$A$2:$A$851, 0))</f>
        <v/>
      </c>
      <c r="K970">
        <f>INDEX('Data - Borrowers'!$C$2:$C$851, MATCH(B970, 'Data - Borrowers'!$A$2:$A$851, 0))</f>
        <v/>
      </c>
      <c r="L970">
        <f>IF(D970&lt;100000, "Micro (&lt;100K)", IF(D970&lt;500000, "Small (100K-500K)", "Medium (500K+)"))</f>
        <v/>
      </c>
      <c r="M970">
        <f>TEXT(C970, "yyyy-mm")</f>
        <v/>
      </c>
    </row>
    <row r="971">
      <c r="A971" t="inlineStr">
        <is>
          <t>LN201056</t>
        </is>
      </c>
      <c r="B971" t="inlineStr">
        <is>
          <t>BOR100781</t>
        </is>
      </c>
      <c r="C971" s="8" t="n">
        <v>45762</v>
      </c>
      <c r="D971" s="9" t="n">
        <v>147000</v>
      </c>
      <c r="E971" t="n">
        <v>9</v>
      </c>
      <c r="F971" s="10" t="n">
        <v>0.191</v>
      </c>
      <c r="G971" t="inlineStr">
        <is>
          <t>Asset Finance</t>
        </is>
      </c>
      <c r="H971" t="inlineStr">
        <is>
          <t>LO002</t>
        </is>
      </c>
      <c r="I971" t="inlineStr">
        <is>
          <t>Partner Referral</t>
        </is>
      </c>
      <c r="J971">
        <f>INDEX('Data - Borrowers'!$B$2:$B$851, MATCH(B971, 'Data - Borrowers'!$A$2:$A$851, 0))</f>
        <v/>
      </c>
      <c r="K971">
        <f>INDEX('Data - Borrowers'!$C$2:$C$851, MATCH(B971, 'Data - Borrowers'!$A$2:$A$851, 0))</f>
        <v/>
      </c>
      <c r="L971">
        <f>IF(D971&lt;100000, "Micro (&lt;100K)", IF(D971&lt;500000, "Small (100K-500K)", "Medium (500K+)"))</f>
        <v/>
      </c>
      <c r="M971">
        <f>TEXT(C971, "yyyy-mm")</f>
        <v/>
      </c>
    </row>
    <row r="972">
      <c r="A972" t="inlineStr">
        <is>
          <t>LN201057</t>
        </is>
      </c>
      <c r="B972" t="inlineStr">
        <is>
          <t>BOR100782</t>
        </is>
      </c>
      <c r="C972" s="8" t="n">
        <v>46170</v>
      </c>
      <c r="D972" s="9" t="n">
        <v>202000</v>
      </c>
      <c r="E972" t="n">
        <v>3</v>
      </c>
      <c r="F972" s="10" t="n">
        <v>0.121</v>
      </c>
      <c r="G972" t="inlineStr">
        <is>
          <t>Invoice Discounting</t>
        </is>
      </c>
      <c r="H972" t="inlineStr">
        <is>
          <t>LO010</t>
        </is>
      </c>
      <c r="I972" t="inlineStr">
        <is>
          <t>Mobile App</t>
        </is>
      </c>
      <c r="J972">
        <f>INDEX('Data - Borrowers'!$B$2:$B$851, MATCH(B972, 'Data - Borrowers'!$A$2:$A$851, 0))</f>
        <v/>
      </c>
      <c r="K972">
        <f>INDEX('Data - Borrowers'!$C$2:$C$851, MATCH(B972, 'Data - Borrowers'!$A$2:$A$851, 0))</f>
        <v/>
      </c>
      <c r="L972">
        <f>IF(D972&lt;100000, "Micro (&lt;100K)", IF(D972&lt;500000, "Small (100K-500K)", "Medium (500K+)"))</f>
        <v/>
      </c>
      <c r="M972">
        <f>TEXT(C972, "yyyy-mm")</f>
        <v/>
      </c>
    </row>
    <row r="973">
      <c r="A973" t="inlineStr">
        <is>
          <t>LN201058</t>
        </is>
      </c>
      <c r="B973" t="inlineStr">
        <is>
          <t>BOR100783</t>
        </is>
      </c>
      <c r="C973" s="8" t="n">
        <v>45853</v>
      </c>
      <c r="D973" s="9" t="n">
        <v>29000</v>
      </c>
      <c r="E973" t="n">
        <v>3</v>
      </c>
      <c r="F973" s="10" t="n">
        <v>0.161</v>
      </c>
      <c r="G973" t="inlineStr">
        <is>
          <t>Asset Finance</t>
        </is>
      </c>
      <c r="H973" t="inlineStr">
        <is>
          <t>LO015</t>
        </is>
      </c>
      <c r="I973" t="inlineStr">
        <is>
          <t>Mobile App</t>
        </is>
      </c>
      <c r="J973">
        <f>INDEX('Data - Borrowers'!$B$2:$B$851, MATCH(B973, 'Data - Borrowers'!$A$2:$A$851, 0))</f>
        <v/>
      </c>
      <c r="K973">
        <f>INDEX('Data - Borrowers'!$C$2:$C$851, MATCH(B973, 'Data - Borrowers'!$A$2:$A$851, 0))</f>
        <v/>
      </c>
      <c r="L973">
        <f>IF(D973&lt;100000, "Micro (&lt;100K)", IF(D973&lt;500000, "Small (100K-500K)", "Medium (500K+)"))</f>
        <v/>
      </c>
      <c r="M973">
        <f>TEXT(C973, "yyyy-mm")</f>
        <v/>
      </c>
    </row>
    <row r="974">
      <c r="A974" t="inlineStr">
        <is>
          <t>LN201059</t>
        </is>
      </c>
      <c r="B974" t="inlineStr">
        <is>
          <t>BOR100784</t>
        </is>
      </c>
      <c r="C974" s="8" t="n">
        <v>46129</v>
      </c>
      <c r="D974" s="9" t="n">
        <v>157000</v>
      </c>
      <c r="E974" t="n">
        <v>6</v>
      </c>
      <c r="F974" s="10" t="n">
        <v>0.154</v>
      </c>
      <c r="G974" t="inlineStr">
        <is>
          <t>Working Capital</t>
        </is>
      </c>
      <c r="H974" t="inlineStr">
        <is>
          <t>LO024</t>
        </is>
      </c>
      <c r="I974" t="inlineStr">
        <is>
          <t>Mobile App</t>
        </is>
      </c>
      <c r="J974">
        <f>INDEX('Data - Borrowers'!$B$2:$B$851, MATCH(B974, 'Data - Borrowers'!$A$2:$A$851, 0))</f>
        <v/>
      </c>
      <c r="K974">
        <f>INDEX('Data - Borrowers'!$C$2:$C$851, MATCH(B974, 'Data - Borrowers'!$A$2:$A$851, 0))</f>
        <v/>
      </c>
      <c r="L974">
        <f>IF(D974&lt;100000, "Micro (&lt;100K)", IF(D974&lt;500000, "Small (100K-500K)", "Medium (500K+)"))</f>
        <v/>
      </c>
      <c r="M974">
        <f>TEXT(C974, "yyyy-mm")</f>
        <v/>
      </c>
    </row>
    <row r="975">
      <c r="A975" t="inlineStr">
        <is>
          <t>LN201060</t>
        </is>
      </c>
      <c r="B975" t="inlineStr">
        <is>
          <t>BOR100785</t>
        </is>
      </c>
      <c r="C975" s="8" t="n">
        <v>45785</v>
      </c>
      <c r="D975" s="9" t="n">
        <v>199000</v>
      </c>
      <c r="E975" t="n">
        <v>6</v>
      </c>
      <c r="F975" s="10" t="n">
        <v>0.227</v>
      </c>
      <c r="G975" t="inlineStr">
        <is>
          <t>Invoice Discounting</t>
        </is>
      </c>
      <c r="H975" t="inlineStr">
        <is>
          <t>LO016</t>
        </is>
      </c>
      <c r="I975" t="inlineStr">
        <is>
          <t>Partner Referral</t>
        </is>
      </c>
      <c r="J975">
        <f>INDEX('Data - Borrowers'!$B$2:$B$851, MATCH(B975, 'Data - Borrowers'!$A$2:$A$851, 0))</f>
        <v/>
      </c>
      <c r="K975">
        <f>INDEX('Data - Borrowers'!$C$2:$C$851, MATCH(B975, 'Data - Borrowers'!$A$2:$A$851, 0))</f>
        <v/>
      </c>
      <c r="L975">
        <f>IF(D975&lt;100000, "Micro (&lt;100K)", IF(D975&lt;500000, "Small (100K-500K)", "Medium (500K+)"))</f>
        <v/>
      </c>
      <c r="M975">
        <f>TEXT(C975, "yyyy-mm")</f>
        <v/>
      </c>
    </row>
    <row r="976">
      <c r="A976" t="inlineStr">
        <is>
          <t>LN201061</t>
        </is>
      </c>
      <c r="B976" t="inlineStr">
        <is>
          <t>BOR100785</t>
        </is>
      </c>
      <c r="C976" s="8" t="n">
        <v>46209</v>
      </c>
      <c r="D976" s="9" t="n">
        <v>245000</v>
      </c>
      <c r="E976" t="n">
        <v>18</v>
      </c>
      <c r="F976" s="10" t="n">
        <v>0.215</v>
      </c>
      <c r="G976" t="inlineStr">
        <is>
          <t>Working Capital</t>
        </is>
      </c>
      <c r="H976" t="inlineStr">
        <is>
          <t>LO016</t>
        </is>
      </c>
      <c r="I976" t="inlineStr">
        <is>
          <t>Partner Referral</t>
        </is>
      </c>
      <c r="J976">
        <f>INDEX('Data - Borrowers'!$B$2:$B$851, MATCH(B976, 'Data - Borrowers'!$A$2:$A$851, 0))</f>
        <v/>
      </c>
      <c r="K976">
        <f>INDEX('Data - Borrowers'!$C$2:$C$851, MATCH(B976, 'Data - Borrowers'!$A$2:$A$851, 0))</f>
        <v/>
      </c>
      <c r="L976">
        <f>IF(D976&lt;100000, "Micro (&lt;100K)", IF(D976&lt;500000, "Small (100K-500K)", "Medium (500K+)"))</f>
        <v/>
      </c>
      <c r="M976">
        <f>TEXT(C976, "yyyy-mm")</f>
        <v/>
      </c>
    </row>
    <row r="977">
      <c r="A977" t="inlineStr">
        <is>
          <t>LN201062</t>
        </is>
      </c>
      <c r="B977" t="inlineStr">
        <is>
          <t>BOR100786</t>
        </is>
      </c>
      <c r="C977" s="8" t="n">
        <v>46043</v>
      </c>
      <c r="D977" s="9" t="n">
        <v>789000</v>
      </c>
      <c r="E977" t="n">
        <v>9</v>
      </c>
      <c r="F977" s="10" t="n">
        <v>0.21</v>
      </c>
      <c r="G977" t="inlineStr">
        <is>
          <t>Asset Finance</t>
        </is>
      </c>
      <c r="H977" t="inlineStr">
        <is>
          <t>LO023</t>
        </is>
      </c>
      <c r="I977" t="inlineStr">
        <is>
          <t>Mobile App</t>
        </is>
      </c>
      <c r="J977">
        <f>INDEX('Data - Borrowers'!$B$2:$B$851, MATCH(B977, 'Data - Borrowers'!$A$2:$A$851, 0))</f>
        <v/>
      </c>
      <c r="K977">
        <f>INDEX('Data - Borrowers'!$C$2:$C$851, MATCH(B977, 'Data - Borrowers'!$A$2:$A$851, 0))</f>
        <v/>
      </c>
      <c r="L977">
        <f>IF(D977&lt;100000, "Micro (&lt;100K)", IF(D977&lt;500000, "Small (100K-500K)", "Medium (500K+)"))</f>
        <v/>
      </c>
      <c r="M977">
        <f>TEXT(C977, "yyyy-mm")</f>
        <v/>
      </c>
    </row>
    <row r="978">
      <c r="A978" t="inlineStr">
        <is>
          <t>LN201063</t>
        </is>
      </c>
      <c r="B978" t="inlineStr">
        <is>
          <t>BOR100787</t>
        </is>
      </c>
      <c r="C978" s="8" t="n">
        <v>45768</v>
      </c>
      <c r="D978" s="9" t="n">
        <v>108000</v>
      </c>
      <c r="E978" t="n">
        <v>9</v>
      </c>
      <c r="F978" s="10" t="n">
        <v>0.215</v>
      </c>
      <c r="G978" t="inlineStr">
        <is>
          <t>Asset Finance</t>
        </is>
      </c>
      <c r="H978" t="inlineStr">
        <is>
          <t>LO008</t>
        </is>
      </c>
      <c r="I978" t="inlineStr">
        <is>
          <t>Mobile App</t>
        </is>
      </c>
      <c r="J978">
        <f>INDEX('Data - Borrowers'!$B$2:$B$851, MATCH(B978, 'Data - Borrowers'!$A$2:$A$851, 0))</f>
        <v/>
      </c>
      <c r="K978">
        <f>INDEX('Data - Borrowers'!$C$2:$C$851, MATCH(B978, 'Data - Borrowers'!$A$2:$A$851, 0))</f>
        <v/>
      </c>
      <c r="L978">
        <f>IF(D978&lt;100000, "Micro (&lt;100K)", IF(D978&lt;500000, "Small (100K-500K)", "Medium (500K+)"))</f>
        <v/>
      </c>
      <c r="M978">
        <f>TEXT(C978, "yyyy-mm")</f>
        <v/>
      </c>
    </row>
    <row r="979">
      <c r="A979" t="inlineStr">
        <is>
          <t>LN201064</t>
        </is>
      </c>
      <c r="B979" t="inlineStr">
        <is>
          <t>BOR100788</t>
        </is>
      </c>
      <c r="C979" s="8" t="n">
        <v>46002</v>
      </c>
      <c r="D979" s="9" t="n">
        <v>107000</v>
      </c>
      <c r="E979" t="n">
        <v>9</v>
      </c>
      <c r="F979" s="10" t="n">
        <v>0.24</v>
      </c>
      <c r="G979" t="inlineStr">
        <is>
          <t>Invoice Discounting</t>
        </is>
      </c>
      <c r="H979" t="inlineStr">
        <is>
          <t>LO013</t>
        </is>
      </c>
      <c r="I979" t="inlineStr">
        <is>
          <t>Branch</t>
        </is>
      </c>
      <c r="J979">
        <f>INDEX('Data - Borrowers'!$B$2:$B$851, MATCH(B979, 'Data - Borrowers'!$A$2:$A$851, 0))</f>
        <v/>
      </c>
      <c r="K979">
        <f>INDEX('Data - Borrowers'!$C$2:$C$851, MATCH(B979, 'Data - Borrowers'!$A$2:$A$851, 0))</f>
        <v/>
      </c>
      <c r="L979">
        <f>IF(D979&lt;100000, "Micro (&lt;100K)", IF(D979&lt;500000, "Small (100K-500K)", "Medium (500K+)"))</f>
        <v/>
      </c>
      <c r="M979">
        <f>TEXT(C979, "yyyy-mm")</f>
        <v/>
      </c>
    </row>
    <row r="980">
      <c r="A980" t="inlineStr">
        <is>
          <t>LN201065</t>
        </is>
      </c>
      <c r="B980" t="inlineStr">
        <is>
          <t>BOR100789</t>
        </is>
      </c>
      <c r="C980" s="8" t="n">
        <v>45865</v>
      </c>
      <c r="D980" s="9" t="n">
        <v>115000</v>
      </c>
      <c r="E980" t="n">
        <v>3</v>
      </c>
      <c r="F980" s="10" t="n">
        <v>0.142</v>
      </c>
      <c r="G980" t="inlineStr">
        <is>
          <t>Working Capital</t>
        </is>
      </c>
      <c r="H980" t="inlineStr">
        <is>
          <t>LO010</t>
        </is>
      </c>
      <c r="I980" t="inlineStr">
        <is>
          <t>Mobile App</t>
        </is>
      </c>
      <c r="J980">
        <f>INDEX('Data - Borrowers'!$B$2:$B$851, MATCH(B980, 'Data - Borrowers'!$A$2:$A$851, 0))</f>
        <v/>
      </c>
      <c r="K980">
        <f>INDEX('Data - Borrowers'!$C$2:$C$851, MATCH(B980, 'Data - Borrowers'!$A$2:$A$851, 0))</f>
        <v/>
      </c>
      <c r="L980">
        <f>IF(D980&lt;100000, "Micro (&lt;100K)", IF(D980&lt;500000, "Small (100K-500K)", "Medium (500K+)"))</f>
        <v/>
      </c>
      <c r="M980">
        <f>TEXT(C980, "yyyy-mm")</f>
        <v/>
      </c>
    </row>
    <row r="981">
      <c r="A981" t="inlineStr">
        <is>
          <t>LN201066</t>
        </is>
      </c>
      <c r="B981" t="inlineStr">
        <is>
          <t>BOR100790</t>
        </is>
      </c>
      <c r="C981" s="8" t="n">
        <v>46022</v>
      </c>
      <c r="D981" s="9" t="n">
        <v>254000</v>
      </c>
      <c r="E981" t="n">
        <v>6</v>
      </c>
      <c r="F981" s="10" t="n">
        <v>0.173</v>
      </c>
      <c r="G981" t="inlineStr">
        <is>
          <t>Working Capital</t>
        </is>
      </c>
      <c r="H981" t="inlineStr">
        <is>
          <t>LO009</t>
        </is>
      </c>
      <c r="I981" t="inlineStr">
        <is>
          <t>Partner Referral</t>
        </is>
      </c>
      <c r="J981">
        <f>INDEX('Data - Borrowers'!$B$2:$B$851, MATCH(B981, 'Data - Borrowers'!$A$2:$A$851, 0))</f>
        <v/>
      </c>
      <c r="K981">
        <f>INDEX('Data - Borrowers'!$C$2:$C$851, MATCH(B981, 'Data - Borrowers'!$A$2:$A$851, 0))</f>
        <v/>
      </c>
      <c r="L981">
        <f>IF(D981&lt;100000, "Micro (&lt;100K)", IF(D981&lt;500000, "Small (100K-500K)", "Medium (500K+)"))</f>
        <v/>
      </c>
      <c r="M981">
        <f>TEXT(C981, "yyyy-mm")</f>
        <v/>
      </c>
    </row>
    <row r="982">
      <c r="A982" t="inlineStr">
        <is>
          <t>LN201067</t>
        </is>
      </c>
      <c r="B982" t="inlineStr">
        <is>
          <t>BOR100791</t>
        </is>
      </c>
      <c r="C982" s="8" t="n">
        <v>45705</v>
      </c>
      <c r="D982" s="9" t="n">
        <v>36000</v>
      </c>
      <c r="E982" t="n">
        <v>12</v>
      </c>
      <c r="F982" s="10" t="n">
        <v>0.212</v>
      </c>
      <c r="G982" t="inlineStr">
        <is>
          <t>Asset Finance</t>
        </is>
      </c>
      <c r="H982" t="inlineStr">
        <is>
          <t>LO011</t>
        </is>
      </c>
      <c r="I982" t="inlineStr">
        <is>
          <t>Mobile App</t>
        </is>
      </c>
      <c r="J982">
        <f>INDEX('Data - Borrowers'!$B$2:$B$851, MATCH(B982, 'Data - Borrowers'!$A$2:$A$851, 0))</f>
        <v/>
      </c>
      <c r="K982">
        <f>INDEX('Data - Borrowers'!$C$2:$C$851, MATCH(B982, 'Data - Borrowers'!$A$2:$A$851, 0))</f>
        <v/>
      </c>
      <c r="L982">
        <f>IF(D982&lt;100000, "Micro (&lt;100K)", IF(D982&lt;500000, "Small (100K-500K)", "Medium (500K+)"))</f>
        <v/>
      </c>
      <c r="M982">
        <f>TEXT(C982, "yyyy-mm")</f>
        <v/>
      </c>
    </row>
    <row r="983">
      <c r="A983" t="inlineStr">
        <is>
          <t>LN201068</t>
        </is>
      </c>
      <c r="B983" t="inlineStr">
        <is>
          <t>BOR100791</t>
        </is>
      </c>
      <c r="C983" s="8" t="n">
        <v>45975</v>
      </c>
      <c r="D983" s="9" t="n">
        <v>47000</v>
      </c>
      <c r="E983" t="n">
        <v>3</v>
      </c>
      <c r="F983" s="10" t="n">
        <v>0.133</v>
      </c>
      <c r="G983" t="inlineStr">
        <is>
          <t>Asset Finance</t>
        </is>
      </c>
      <c r="H983" t="inlineStr">
        <is>
          <t>LO005</t>
        </is>
      </c>
      <c r="I983" t="inlineStr">
        <is>
          <t>Branch</t>
        </is>
      </c>
      <c r="J983">
        <f>INDEX('Data - Borrowers'!$B$2:$B$851, MATCH(B983, 'Data - Borrowers'!$A$2:$A$851, 0))</f>
        <v/>
      </c>
      <c r="K983">
        <f>INDEX('Data - Borrowers'!$C$2:$C$851, MATCH(B983, 'Data - Borrowers'!$A$2:$A$851, 0))</f>
        <v/>
      </c>
      <c r="L983">
        <f>IF(D983&lt;100000, "Micro (&lt;100K)", IF(D983&lt;500000, "Small (100K-500K)", "Medium (500K+)"))</f>
        <v/>
      </c>
      <c r="M983">
        <f>TEXT(C983, "yyyy-mm")</f>
        <v/>
      </c>
    </row>
    <row r="984">
      <c r="A984" t="inlineStr">
        <is>
          <t>LN201069</t>
        </is>
      </c>
      <c r="B984" t="inlineStr">
        <is>
          <t>BOR100792</t>
        </is>
      </c>
      <c r="C984" s="8" t="n">
        <v>46162</v>
      </c>
      <c r="D984" s="9" t="n">
        <v>49000</v>
      </c>
      <c r="E984" t="n">
        <v>12</v>
      </c>
      <c r="F984" s="10" t="n">
        <v>0.233</v>
      </c>
      <c r="G984" t="inlineStr">
        <is>
          <t>Working Capital</t>
        </is>
      </c>
      <c r="H984" t="inlineStr">
        <is>
          <t>LO013</t>
        </is>
      </c>
      <c r="I984" t="inlineStr">
        <is>
          <t>Mobile App</t>
        </is>
      </c>
      <c r="J984">
        <f>INDEX('Data - Borrowers'!$B$2:$B$851, MATCH(B984, 'Data - Borrowers'!$A$2:$A$851, 0))</f>
        <v/>
      </c>
      <c r="K984">
        <f>INDEX('Data - Borrowers'!$C$2:$C$851, MATCH(B984, 'Data - Borrowers'!$A$2:$A$851, 0))</f>
        <v/>
      </c>
      <c r="L984">
        <f>IF(D984&lt;100000, "Micro (&lt;100K)", IF(D984&lt;500000, "Small (100K-500K)", "Medium (500K+)"))</f>
        <v/>
      </c>
      <c r="M984">
        <f>TEXT(C984, "yyyy-mm")</f>
        <v/>
      </c>
    </row>
    <row r="985">
      <c r="A985" t="inlineStr">
        <is>
          <t>LN201070</t>
        </is>
      </c>
      <c r="B985" t="inlineStr">
        <is>
          <t>BOR100793</t>
        </is>
      </c>
      <c r="C985" s="8" t="n">
        <v>46234</v>
      </c>
      <c r="D985" s="9" t="n">
        <v>99000</v>
      </c>
      <c r="E985" t="n">
        <v>6</v>
      </c>
      <c r="F985" s="10" t="n">
        <v>0.226</v>
      </c>
      <c r="G985" t="inlineStr">
        <is>
          <t>Working Capital</t>
        </is>
      </c>
      <c r="H985" t="inlineStr">
        <is>
          <t>LO007</t>
        </is>
      </c>
      <c r="I985" t="inlineStr">
        <is>
          <t>Branch</t>
        </is>
      </c>
      <c r="J985">
        <f>INDEX('Data - Borrowers'!$B$2:$B$851, MATCH(B985, 'Data - Borrowers'!$A$2:$A$851, 0))</f>
        <v/>
      </c>
      <c r="K985">
        <f>INDEX('Data - Borrowers'!$C$2:$C$851, MATCH(B985, 'Data - Borrowers'!$A$2:$A$851, 0))</f>
        <v/>
      </c>
      <c r="L985">
        <f>IF(D985&lt;100000, "Micro (&lt;100K)", IF(D985&lt;500000, "Small (100K-500K)", "Medium (500K+)"))</f>
        <v/>
      </c>
      <c r="M985">
        <f>TEXT(C985, "yyyy-mm")</f>
        <v/>
      </c>
    </row>
    <row r="986">
      <c r="A986" t="inlineStr">
        <is>
          <t>LN201071</t>
        </is>
      </c>
      <c r="B986" t="inlineStr">
        <is>
          <t>BOR100794</t>
        </is>
      </c>
      <c r="C986" s="8" t="n">
        <v>46002</v>
      </c>
      <c r="D986" s="9" t="n">
        <v>41000</v>
      </c>
      <c r="E986" t="n">
        <v>3</v>
      </c>
      <c r="F986" s="10" t="n">
        <v>0.133</v>
      </c>
      <c r="G986" t="inlineStr">
        <is>
          <t>Working Capital</t>
        </is>
      </c>
      <c r="H986" t="inlineStr">
        <is>
          <t>LO012</t>
        </is>
      </c>
      <c r="I986" t="inlineStr">
        <is>
          <t>Mobile App</t>
        </is>
      </c>
      <c r="J986">
        <f>INDEX('Data - Borrowers'!$B$2:$B$851, MATCH(B986, 'Data - Borrowers'!$A$2:$A$851, 0))</f>
        <v/>
      </c>
      <c r="K986">
        <f>INDEX('Data - Borrowers'!$C$2:$C$851, MATCH(B986, 'Data - Borrowers'!$A$2:$A$851, 0))</f>
        <v/>
      </c>
      <c r="L986">
        <f>IF(D986&lt;100000, "Micro (&lt;100K)", IF(D986&lt;500000, "Small (100K-500K)", "Medium (500K+)"))</f>
        <v/>
      </c>
      <c r="M986">
        <f>TEXT(C986, "yyyy-mm")</f>
        <v/>
      </c>
    </row>
    <row r="987">
      <c r="A987" t="inlineStr">
        <is>
          <t>LN201072</t>
        </is>
      </c>
      <c r="B987" t="inlineStr">
        <is>
          <t>BOR100795</t>
        </is>
      </c>
      <c r="C987" s="8" t="n">
        <v>46185</v>
      </c>
      <c r="D987" s="9" t="n">
        <v>107000</v>
      </c>
      <c r="E987" t="n">
        <v>6</v>
      </c>
      <c r="F987" s="10" t="n">
        <v>0.163</v>
      </c>
      <c r="G987" t="inlineStr">
        <is>
          <t>Invoice Discounting</t>
        </is>
      </c>
      <c r="H987" t="inlineStr">
        <is>
          <t>LO017</t>
        </is>
      </c>
      <c r="I987" t="inlineStr">
        <is>
          <t>Mobile App</t>
        </is>
      </c>
      <c r="J987">
        <f>INDEX('Data - Borrowers'!$B$2:$B$851, MATCH(B987, 'Data - Borrowers'!$A$2:$A$851, 0))</f>
        <v/>
      </c>
      <c r="K987">
        <f>INDEX('Data - Borrowers'!$C$2:$C$851, MATCH(B987, 'Data - Borrowers'!$A$2:$A$851, 0))</f>
        <v/>
      </c>
      <c r="L987">
        <f>IF(D987&lt;100000, "Micro (&lt;100K)", IF(D987&lt;500000, "Small (100K-500K)", "Medium (500K+)"))</f>
        <v/>
      </c>
      <c r="M987">
        <f>TEXT(C987, "yyyy-mm")</f>
        <v/>
      </c>
    </row>
    <row r="988">
      <c r="A988" t="inlineStr">
        <is>
          <t>LN201074</t>
        </is>
      </c>
      <c r="B988" t="inlineStr">
        <is>
          <t>BOR100796</t>
        </is>
      </c>
      <c r="C988" s="8" t="n">
        <v>46123</v>
      </c>
      <c r="D988" s="9" t="n">
        <v>121000</v>
      </c>
      <c r="E988" t="n">
        <v>12</v>
      </c>
      <c r="F988" s="10" t="n">
        <v>0.182</v>
      </c>
      <c r="G988" t="inlineStr">
        <is>
          <t>Working Capital</t>
        </is>
      </c>
      <c r="H988" t="inlineStr">
        <is>
          <t>LO016</t>
        </is>
      </c>
      <c r="I988" t="inlineStr">
        <is>
          <t>Mobile App</t>
        </is>
      </c>
      <c r="J988">
        <f>INDEX('Data - Borrowers'!$B$2:$B$851, MATCH(B988, 'Data - Borrowers'!$A$2:$A$851, 0))</f>
        <v/>
      </c>
      <c r="K988">
        <f>INDEX('Data - Borrowers'!$C$2:$C$851, MATCH(B988, 'Data - Borrowers'!$A$2:$A$851, 0))</f>
        <v/>
      </c>
      <c r="L988">
        <f>IF(D988&lt;100000, "Micro (&lt;100K)", IF(D988&lt;500000, "Small (100K-500K)", "Medium (500K+)"))</f>
        <v/>
      </c>
      <c r="M988">
        <f>TEXT(C988, "yyyy-mm")</f>
        <v/>
      </c>
    </row>
    <row r="989">
      <c r="A989" t="inlineStr">
        <is>
          <t>LN201075</t>
        </is>
      </c>
      <c r="B989" t="inlineStr">
        <is>
          <t>BOR100797</t>
        </is>
      </c>
      <c r="C989" s="8" t="n">
        <v>45862</v>
      </c>
      <c r="D989" s="9" t="n">
        <v>132000</v>
      </c>
      <c r="E989" t="n">
        <v>6</v>
      </c>
      <c r="F989" s="10" t="n">
        <v>0.229</v>
      </c>
      <c r="G989" t="inlineStr">
        <is>
          <t>Working Capital</t>
        </is>
      </c>
      <c r="H989" t="inlineStr">
        <is>
          <t>LO003</t>
        </is>
      </c>
      <c r="I989" t="inlineStr">
        <is>
          <t>Mobile App</t>
        </is>
      </c>
      <c r="J989">
        <f>INDEX('Data - Borrowers'!$B$2:$B$851, MATCH(B989, 'Data - Borrowers'!$A$2:$A$851, 0))</f>
        <v/>
      </c>
      <c r="K989">
        <f>INDEX('Data - Borrowers'!$C$2:$C$851, MATCH(B989, 'Data - Borrowers'!$A$2:$A$851, 0))</f>
        <v/>
      </c>
      <c r="L989">
        <f>IF(D989&lt;100000, "Micro (&lt;100K)", IF(D989&lt;500000, "Small (100K-500K)", "Medium (500K+)"))</f>
        <v/>
      </c>
      <c r="M989">
        <f>TEXT(C989, "yyyy-mm")</f>
        <v/>
      </c>
    </row>
    <row r="990">
      <c r="A990" t="inlineStr">
        <is>
          <t>LN201076</t>
        </is>
      </c>
      <c r="B990" t="inlineStr">
        <is>
          <t>BOR100797</t>
        </is>
      </c>
      <c r="C990" s="8" t="n">
        <v>46177</v>
      </c>
      <c r="D990" s="9" t="n">
        <v>88000</v>
      </c>
      <c r="E990" t="n">
        <v>12</v>
      </c>
      <c r="F990" s="10" t="n">
        <v>0.167</v>
      </c>
      <c r="G990" t="inlineStr">
        <is>
          <t>Working Capital</t>
        </is>
      </c>
      <c r="H990" t="inlineStr">
        <is>
          <t>LO024</t>
        </is>
      </c>
      <c r="I990" t="inlineStr">
        <is>
          <t>Mobile App</t>
        </is>
      </c>
      <c r="J990">
        <f>INDEX('Data - Borrowers'!$B$2:$B$851, MATCH(B990, 'Data - Borrowers'!$A$2:$A$851, 0))</f>
        <v/>
      </c>
      <c r="K990">
        <f>INDEX('Data - Borrowers'!$C$2:$C$851, MATCH(B990, 'Data - Borrowers'!$A$2:$A$851, 0))</f>
        <v/>
      </c>
      <c r="L990">
        <f>IF(D990&lt;100000, "Micro (&lt;100K)", IF(D990&lt;500000, "Small (100K-500K)", "Medium (500K+)"))</f>
        <v/>
      </c>
      <c r="M990">
        <f>TEXT(C990, "yyyy-mm")</f>
        <v/>
      </c>
    </row>
    <row r="991">
      <c r="A991" t="inlineStr">
        <is>
          <t>LN201078</t>
        </is>
      </c>
      <c r="B991" t="inlineStr">
        <is>
          <t>BOR100798</t>
        </is>
      </c>
      <c r="C991" s="8" t="n">
        <v>46235</v>
      </c>
      <c r="D991" s="9" t="n">
        <v>46000</v>
      </c>
      <c r="E991" t="n">
        <v>3</v>
      </c>
      <c r="F991" s="10" t="n">
        <v>0.174</v>
      </c>
      <c r="G991" t="inlineStr">
        <is>
          <t>Asset Finance</t>
        </is>
      </c>
      <c r="H991" t="inlineStr">
        <is>
          <t>LO016</t>
        </is>
      </c>
      <c r="I991" t="inlineStr">
        <is>
          <t>Mobile App</t>
        </is>
      </c>
      <c r="J991">
        <f>INDEX('Data - Borrowers'!$B$2:$B$851, MATCH(B991, 'Data - Borrowers'!$A$2:$A$851, 0))</f>
        <v/>
      </c>
      <c r="K991">
        <f>INDEX('Data - Borrowers'!$C$2:$C$851, MATCH(B991, 'Data - Borrowers'!$A$2:$A$851, 0))</f>
        <v/>
      </c>
      <c r="L991">
        <f>IF(D991&lt;100000, "Micro (&lt;100K)", IF(D991&lt;500000, "Small (100K-500K)", "Medium (500K+)"))</f>
        <v/>
      </c>
      <c r="M991">
        <f>TEXT(C991, "yyyy-mm")</f>
        <v/>
      </c>
    </row>
    <row r="992">
      <c r="A992" t="inlineStr">
        <is>
          <t>LN201080</t>
        </is>
      </c>
      <c r="B992" t="inlineStr">
        <is>
          <t>BOR100799</t>
        </is>
      </c>
      <c r="C992" s="8" t="n">
        <v>45966</v>
      </c>
      <c r="D992" s="9" t="n">
        <v>22000</v>
      </c>
      <c r="E992" t="n">
        <v>6</v>
      </c>
      <c r="F992" s="10" t="n">
        <v>0.181</v>
      </c>
      <c r="G992" t="inlineStr">
        <is>
          <t>Invoice Discounting</t>
        </is>
      </c>
      <c r="H992" t="inlineStr">
        <is>
          <t>LO016</t>
        </is>
      </c>
      <c r="I992" t="inlineStr">
        <is>
          <t>Mobile App</t>
        </is>
      </c>
      <c r="J992">
        <f>INDEX('Data - Borrowers'!$B$2:$B$851, MATCH(B992, 'Data - Borrowers'!$A$2:$A$851, 0))</f>
        <v/>
      </c>
      <c r="K992">
        <f>INDEX('Data - Borrowers'!$C$2:$C$851, MATCH(B992, 'Data - Borrowers'!$A$2:$A$851, 0))</f>
        <v/>
      </c>
      <c r="L992">
        <f>IF(D992&lt;100000, "Micro (&lt;100K)", IF(D992&lt;500000, "Small (100K-500K)", "Medium (500K+)"))</f>
        <v/>
      </c>
      <c r="M992">
        <f>TEXT(C992, "yyyy-mm")</f>
        <v/>
      </c>
    </row>
    <row r="993">
      <c r="A993" t="inlineStr">
        <is>
          <t>LN201081</t>
        </is>
      </c>
      <c r="B993" t="inlineStr">
        <is>
          <t>BOR100800</t>
        </is>
      </c>
      <c r="C993" s="8" t="n">
        <v>45905</v>
      </c>
      <c r="D993" s="9" t="n">
        <v>38000</v>
      </c>
      <c r="E993" t="n">
        <v>6</v>
      </c>
      <c r="F993" s="10" t="n">
        <v>0.181</v>
      </c>
      <c r="G993" t="inlineStr">
        <is>
          <t>Working Capital</t>
        </is>
      </c>
      <c r="H993" t="inlineStr">
        <is>
          <t>LO020</t>
        </is>
      </c>
      <c r="I993" t="inlineStr">
        <is>
          <t>Branch</t>
        </is>
      </c>
      <c r="J993">
        <f>INDEX('Data - Borrowers'!$B$2:$B$851, MATCH(B993, 'Data - Borrowers'!$A$2:$A$851, 0))</f>
        <v/>
      </c>
      <c r="K993">
        <f>INDEX('Data - Borrowers'!$C$2:$C$851, MATCH(B993, 'Data - Borrowers'!$A$2:$A$851, 0))</f>
        <v/>
      </c>
      <c r="L993">
        <f>IF(D993&lt;100000, "Micro (&lt;100K)", IF(D993&lt;500000, "Small (100K-500K)", "Medium (500K+)"))</f>
        <v/>
      </c>
      <c r="M993">
        <f>TEXT(C993, "yyyy-mm")</f>
        <v/>
      </c>
    </row>
    <row r="994">
      <c r="A994" t="inlineStr">
        <is>
          <t>LN201082</t>
        </is>
      </c>
      <c r="B994" t="inlineStr">
        <is>
          <t>BOR100801</t>
        </is>
      </c>
      <c r="C994" s="8" t="n">
        <v>46218</v>
      </c>
      <c r="D994" s="9" t="n">
        <v>63000</v>
      </c>
      <c r="E994" t="n">
        <v>12</v>
      </c>
      <c r="F994" s="10" t="n">
        <v>0.126</v>
      </c>
      <c r="G994" t="inlineStr">
        <is>
          <t>Working Capital</t>
        </is>
      </c>
      <c r="H994" t="inlineStr">
        <is>
          <t>LO015</t>
        </is>
      </c>
      <c r="I994" t="inlineStr">
        <is>
          <t>Mobile App</t>
        </is>
      </c>
      <c r="J994">
        <f>INDEX('Data - Borrowers'!$B$2:$B$851, MATCH(B994, 'Data - Borrowers'!$A$2:$A$851, 0))</f>
        <v/>
      </c>
      <c r="K994">
        <f>INDEX('Data - Borrowers'!$C$2:$C$851, MATCH(B994, 'Data - Borrowers'!$A$2:$A$851, 0))</f>
        <v/>
      </c>
      <c r="L994">
        <f>IF(D994&lt;100000, "Micro (&lt;100K)", IF(D994&lt;500000, "Small (100K-500K)", "Medium (500K+)"))</f>
        <v/>
      </c>
      <c r="M994">
        <f>TEXT(C994, "yyyy-mm")</f>
        <v/>
      </c>
    </row>
    <row r="995">
      <c r="A995" t="inlineStr">
        <is>
          <t>LN201084</t>
        </is>
      </c>
      <c r="B995" t="inlineStr">
        <is>
          <t>BOR100802</t>
        </is>
      </c>
      <c r="C995" s="8" t="n">
        <v>46063</v>
      </c>
      <c r="D995" s="9" t="n">
        <v>50000</v>
      </c>
      <c r="E995" t="n">
        <v>6</v>
      </c>
      <c r="F995" s="10" t="n">
        <v>0.181</v>
      </c>
      <c r="G995" t="inlineStr">
        <is>
          <t>Working Capital</t>
        </is>
      </c>
      <c r="H995" t="inlineStr">
        <is>
          <t>LO015</t>
        </is>
      </c>
      <c r="I995" t="inlineStr">
        <is>
          <t>Mobile App</t>
        </is>
      </c>
      <c r="J995">
        <f>INDEX('Data - Borrowers'!$B$2:$B$851, MATCH(B995, 'Data - Borrowers'!$A$2:$A$851, 0))</f>
        <v/>
      </c>
      <c r="K995">
        <f>INDEX('Data - Borrowers'!$C$2:$C$851, MATCH(B995, 'Data - Borrowers'!$A$2:$A$851, 0))</f>
        <v/>
      </c>
      <c r="L995">
        <f>IF(D995&lt;100000, "Micro (&lt;100K)", IF(D995&lt;500000, "Small (100K-500K)", "Medium (500K+)"))</f>
        <v/>
      </c>
      <c r="M995">
        <f>TEXT(C995, "yyyy-mm")</f>
        <v/>
      </c>
    </row>
    <row r="996">
      <c r="A996" t="inlineStr">
        <is>
          <t>LN201085</t>
        </is>
      </c>
      <c r="B996" t="inlineStr">
        <is>
          <t>BOR100803</t>
        </is>
      </c>
      <c r="C996" s="8" t="n">
        <v>45739</v>
      </c>
      <c r="D996" s="9" t="n">
        <v>73000</v>
      </c>
      <c r="E996" t="n">
        <v>9</v>
      </c>
      <c r="F996" s="10" t="n">
        <v>0.229</v>
      </c>
      <c r="G996" t="inlineStr">
        <is>
          <t>Invoice Discounting</t>
        </is>
      </c>
      <c r="H996" t="inlineStr">
        <is>
          <t>LO025</t>
        </is>
      </c>
      <c r="I996" t="inlineStr">
        <is>
          <t>Branch</t>
        </is>
      </c>
      <c r="J996">
        <f>INDEX('Data - Borrowers'!$B$2:$B$851, MATCH(B996, 'Data - Borrowers'!$A$2:$A$851, 0))</f>
        <v/>
      </c>
      <c r="K996">
        <f>INDEX('Data - Borrowers'!$C$2:$C$851, MATCH(B996, 'Data - Borrowers'!$A$2:$A$851, 0))</f>
        <v/>
      </c>
      <c r="L996">
        <f>IF(D996&lt;100000, "Micro (&lt;100K)", IF(D996&lt;500000, "Small (100K-500K)", "Medium (500K+)"))</f>
        <v/>
      </c>
      <c r="M996">
        <f>TEXT(C996, "yyyy-mm")</f>
        <v/>
      </c>
    </row>
    <row r="997">
      <c r="A997" t="inlineStr">
        <is>
          <t>LN201086</t>
        </is>
      </c>
      <c r="B997" t="inlineStr">
        <is>
          <t>BOR100804</t>
        </is>
      </c>
      <c r="C997" s="8" t="n">
        <v>45882</v>
      </c>
      <c r="D997" s="9" t="n">
        <v>59000</v>
      </c>
      <c r="E997" t="n">
        <v>9</v>
      </c>
      <c r="F997" s="10" t="n">
        <v>0.159</v>
      </c>
      <c r="G997" t="inlineStr">
        <is>
          <t>Asset Finance</t>
        </is>
      </c>
      <c r="H997" t="inlineStr">
        <is>
          <t>LO006</t>
        </is>
      </c>
      <c r="I997" t="inlineStr">
        <is>
          <t>Mobile App</t>
        </is>
      </c>
      <c r="J997">
        <f>INDEX('Data - Borrowers'!$B$2:$B$851, MATCH(B997, 'Data - Borrowers'!$A$2:$A$851, 0))</f>
        <v/>
      </c>
      <c r="K997">
        <f>INDEX('Data - Borrowers'!$C$2:$C$851, MATCH(B997, 'Data - Borrowers'!$A$2:$A$851, 0))</f>
        <v/>
      </c>
      <c r="L997">
        <f>IF(D997&lt;100000, "Micro (&lt;100K)", IF(D997&lt;500000, "Small (100K-500K)", "Medium (500K+)"))</f>
        <v/>
      </c>
      <c r="M997">
        <f>TEXT(C997, "yyyy-mm")</f>
        <v/>
      </c>
    </row>
    <row r="998">
      <c r="A998" t="inlineStr">
        <is>
          <t>LN201087</t>
        </is>
      </c>
      <c r="B998" t="inlineStr">
        <is>
          <t>BOR100805</t>
        </is>
      </c>
      <c r="C998" s="8" t="n">
        <v>45910</v>
      </c>
      <c r="D998" s="9" t="n">
        <v>76000</v>
      </c>
      <c r="E998" t="n">
        <v>9</v>
      </c>
      <c r="F998" s="10" t="n">
        <v>0.139</v>
      </c>
      <c r="G998" t="inlineStr">
        <is>
          <t>Working Capital</t>
        </is>
      </c>
      <c r="H998" t="inlineStr">
        <is>
          <t>LO013</t>
        </is>
      </c>
      <c r="I998" t="inlineStr">
        <is>
          <t>Mobile App</t>
        </is>
      </c>
      <c r="J998">
        <f>INDEX('Data - Borrowers'!$B$2:$B$851, MATCH(B998, 'Data - Borrowers'!$A$2:$A$851, 0))</f>
        <v/>
      </c>
      <c r="K998">
        <f>INDEX('Data - Borrowers'!$C$2:$C$851, MATCH(B998, 'Data - Borrowers'!$A$2:$A$851, 0))</f>
        <v/>
      </c>
      <c r="L998">
        <f>IF(D998&lt;100000, "Micro (&lt;100K)", IF(D998&lt;500000, "Small (100K-500K)", "Medium (500K+)"))</f>
        <v/>
      </c>
      <c r="M998">
        <f>TEXT(C998, "yyyy-mm")</f>
        <v/>
      </c>
    </row>
    <row r="999">
      <c r="A999" t="inlineStr">
        <is>
          <t>LN201088</t>
        </is>
      </c>
      <c r="B999" t="inlineStr">
        <is>
          <t>BOR100805</t>
        </is>
      </c>
      <c r="C999" s="8" t="n">
        <v>46038</v>
      </c>
      <c r="D999" s="9" t="n">
        <v>98000</v>
      </c>
      <c r="E999" t="n">
        <v>6</v>
      </c>
      <c r="F999" s="10" t="n">
        <v>0.135</v>
      </c>
      <c r="G999" t="inlineStr">
        <is>
          <t>Invoice Discounting</t>
        </is>
      </c>
      <c r="H999" t="inlineStr">
        <is>
          <t>LO014</t>
        </is>
      </c>
      <c r="I999" t="inlineStr">
        <is>
          <t>Mobile App</t>
        </is>
      </c>
      <c r="J999">
        <f>INDEX('Data - Borrowers'!$B$2:$B$851, MATCH(B999, 'Data - Borrowers'!$A$2:$A$851, 0))</f>
        <v/>
      </c>
      <c r="K999">
        <f>INDEX('Data - Borrowers'!$C$2:$C$851, MATCH(B999, 'Data - Borrowers'!$A$2:$A$851, 0))</f>
        <v/>
      </c>
      <c r="L999">
        <f>IF(D999&lt;100000, "Micro (&lt;100K)", IF(D999&lt;500000, "Small (100K-500K)", "Medium (500K+)"))</f>
        <v/>
      </c>
      <c r="M999">
        <f>TEXT(C999, "yyyy-mm")</f>
        <v/>
      </c>
    </row>
    <row r="1000">
      <c r="A1000" t="inlineStr">
        <is>
          <t>LN201089</t>
        </is>
      </c>
      <c r="B1000" t="inlineStr">
        <is>
          <t>BOR100805</t>
        </is>
      </c>
      <c r="C1000" s="8" t="n">
        <v>46231</v>
      </c>
      <c r="D1000" s="9" t="n">
        <v>74000</v>
      </c>
      <c r="E1000" t="n">
        <v>6</v>
      </c>
      <c r="F1000" s="10" t="n">
        <v>0.226</v>
      </c>
      <c r="G1000" t="inlineStr">
        <is>
          <t>Invoice Discounting</t>
        </is>
      </c>
      <c r="H1000" t="inlineStr">
        <is>
          <t>LO005</t>
        </is>
      </c>
      <c r="I1000" t="inlineStr">
        <is>
          <t>Branch</t>
        </is>
      </c>
      <c r="J1000">
        <f>INDEX('Data - Borrowers'!$B$2:$B$851, MATCH(B1000, 'Data - Borrowers'!$A$2:$A$851, 0))</f>
        <v/>
      </c>
      <c r="K1000">
        <f>INDEX('Data - Borrowers'!$C$2:$C$851, MATCH(B1000, 'Data - Borrowers'!$A$2:$A$851, 0))</f>
        <v/>
      </c>
      <c r="L1000">
        <f>IF(D1000&lt;100000, "Micro (&lt;100K)", IF(D1000&lt;500000, "Small (100K-500K)", "Medium (500K+)"))</f>
        <v/>
      </c>
      <c r="M1000">
        <f>TEXT(C1000, "yyyy-mm")</f>
        <v/>
      </c>
    </row>
    <row r="1001">
      <c r="A1001" t="inlineStr">
        <is>
          <t>LN201090</t>
        </is>
      </c>
      <c r="B1001" t="inlineStr">
        <is>
          <t>BOR100806</t>
        </is>
      </c>
      <c r="C1001" s="8" t="n">
        <v>46101</v>
      </c>
      <c r="D1001" s="9" t="n">
        <v>57000</v>
      </c>
      <c r="E1001" t="n">
        <v>9</v>
      </c>
      <c r="F1001" s="10" t="n">
        <v>0.149</v>
      </c>
      <c r="G1001" t="inlineStr">
        <is>
          <t>Working Capital</t>
        </is>
      </c>
      <c r="H1001" t="inlineStr">
        <is>
          <t>LO016</t>
        </is>
      </c>
      <c r="I1001" t="inlineStr">
        <is>
          <t>Mobile App</t>
        </is>
      </c>
      <c r="J1001">
        <f>INDEX('Data - Borrowers'!$B$2:$B$851, MATCH(B1001, 'Data - Borrowers'!$A$2:$A$851, 0))</f>
        <v/>
      </c>
      <c r="K1001">
        <f>INDEX('Data - Borrowers'!$C$2:$C$851, MATCH(B1001, 'Data - Borrowers'!$A$2:$A$851, 0))</f>
        <v/>
      </c>
      <c r="L1001">
        <f>IF(D1001&lt;100000, "Micro (&lt;100K)", IF(D1001&lt;500000, "Small (100K-500K)", "Medium (500K+)"))</f>
        <v/>
      </c>
      <c r="M1001">
        <f>TEXT(C1001, "yyyy-mm")</f>
        <v/>
      </c>
    </row>
    <row r="1002">
      <c r="A1002" t="inlineStr">
        <is>
          <t>LN201091</t>
        </is>
      </c>
      <c r="B1002" t="inlineStr">
        <is>
          <t>BOR100807</t>
        </is>
      </c>
      <c r="C1002" s="8" t="n">
        <v>45827</v>
      </c>
      <c r="D1002" s="9" t="n">
        <v>37000</v>
      </c>
      <c r="E1002" t="n">
        <v>6</v>
      </c>
      <c r="F1002" s="10" t="n">
        <v>0.224</v>
      </c>
      <c r="G1002" t="inlineStr">
        <is>
          <t>Working Capital</t>
        </is>
      </c>
      <c r="H1002" t="inlineStr">
        <is>
          <t>LO012</t>
        </is>
      </c>
      <c r="I1002" t="inlineStr">
        <is>
          <t>Mobile App</t>
        </is>
      </c>
      <c r="J1002">
        <f>INDEX('Data - Borrowers'!$B$2:$B$851, MATCH(B1002, 'Data - Borrowers'!$A$2:$A$851, 0))</f>
        <v/>
      </c>
      <c r="K1002">
        <f>INDEX('Data - Borrowers'!$C$2:$C$851, MATCH(B1002, 'Data - Borrowers'!$A$2:$A$851, 0))</f>
        <v/>
      </c>
      <c r="L1002">
        <f>IF(D1002&lt;100000, "Micro (&lt;100K)", IF(D1002&lt;500000, "Small (100K-500K)", "Medium (500K+)"))</f>
        <v/>
      </c>
      <c r="M1002">
        <f>TEXT(C1002, "yyyy-mm")</f>
        <v/>
      </c>
    </row>
    <row r="1003">
      <c r="A1003" t="inlineStr">
        <is>
          <t>LN201092</t>
        </is>
      </c>
      <c r="B1003" t="inlineStr">
        <is>
          <t>BOR100808</t>
        </is>
      </c>
      <c r="C1003" s="8" t="n">
        <v>46010</v>
      </c>
      <c r="D1003" s="9" t="n">
        <v>283000</v>
      </c>
      <c r="E1003" t="n">
        <v>9</v>
      </c>
      <c r="F1003" s="10" t="n">
        <v>0.197</v>
      </c>
      <c r="G1003" t="inlineStr">
        <is>
          <t>Working Capital</t>
        </is>
      </c>
      <c r="H1003" t="inlineStr">
        <is>
          <t>LO002</t>
        </is>
      </c>
      <c r="I1003" t="inlineStr">
        <is>
          <t>Mobile App</t>
        </is>
      </c>
      <c r="J1003">
        <f>INDEX('Data - Borrowers'!$B$2:$B$851, MATCH(B1003, 'Data - Borrowers'!$A$2:$A$851, 0))</f>
        <v/>
      </c>
      <c r="K1003">
        <f>INDEX('Data - Borrowers'!$C$2:$C$851, MATCH(B1003, 'Data - Borrowers'!$A$2:$A$851, 0))</f>
        <v/>
      </c>
      <c r="L1003">
        <f>IF(D1003&lt;100000, "Micro (&lt;100K)", IF(D1003&lt;500000, "Small (100K-500K)", "Medium (500K+)"))</f>
        <v/>
      </c>
      <c r="M1003">
        <f>TEXT(C1003, "yyyy-mm")</f>
        <v/>
      </c>
    </row>
    <row r="1004">
      <c r="A1004" t="inlineStr">
        <is>
          <t>LN201093</t>
        </is>
      </c>
      <c r="B1004" t="inlineStr">
        <is>
          <t>BOR100809</t>
        </is>
      </c>
      <c r="C1004" s="8" t="n">
        <v>46061</v>
      </c>
      <c r="D1004" s="9" t="n">
        <v>143000</v>
      </c>
      <c r="E1004" t="n">
        <v>6</v>
      </c>
      <c r="F1004" s="10" t="n">
        <v>0.208</v>
      </c>
      <c r="G1004" t="inlineStr">
        <is>
          <t>Working Capital</t>
        </is>
      </c>
      <c r="H1004" t="inlineStr">
        <is>
          <t>LO008</t>
        </is>
      </c>
      <c r="I1004" t="inlineStr">
        <is>
          <t>Branch</t>
        </is>
      </c>
      <c r="J1004">
        <f>INDEX('Data - Borrowers'!$B$2:$B$851, MATCH(B1004, 'Data - Borrowers'!$A$2:$A$851, 0))</f>
        <v/>
      </c>
      <c r="K1004">
        <f>INDEX('Data - Borrowers'!$C$2:$C$851, MATCH(B1004, 'Data - Borrowers'!$A$2:$A$851, 0))</f>
        <v/>
      </c>
      <c r="L1004">
        <f>IF(D1004&lt;100000, "Micro (&lt;100K)", IF(D1004&lt;500000, "Small (100K-500K)", "Medium (500K+)"))</f>
        <v/>
      </c>
      <c r="M1004">
        <f>TEXT(C1004, "yyyy-mm")</f>
        <v/>
      </c>
    </row>
    <row r="1005">
      <c r="A1005" t="inlineStr">
        <is>
          <t>LN201094</t>
        </is>
      </c>
      <c r="B1005" t="inlineStr">
        <is>
          <t>BOR100810</t>
        </is>
      </c>
      <c r="C1005" s="8" t="n">
        <v>45754</v>
      </c>
      <c r="D1005" s="9" t="n">
        <v>46000</v>
      </c>
      <c r="E1005" t="n">
        <v>9</v>
      </c>
      <c r="F1005" s="10" t="n">
        <v>0.161</v>
      </c>
      <c r="G1005" t="inlineStr">
        <is>
          <t>Working Capital</t>
        </is>
      </c>
      <c r="H1005" t="inlineStr">
        <is>
          <t>LO016</t>
        </is>
      </c>
      <c r="I1005" t="inlineStr">
        <is>
          <t>Branch</t>
        </is>
      </c>
      <c r="J1005">
        <f>INDEX('Data - Borrowers'!$B$2:$B$851, MATCH(B1005, 'Data - Borrowers'!$A$2:$A$851, 0))</f>
        <v/>
      </c>
      <c r="K1005">
        <f>INDEX('Data - Borrowers'!$C$2:$C$851, MATCH(B1005, 'Data - Borrowers'!$A$2:$A$851, 0))</f>
        <v/>
      </c>
      <c r="L1005">
        <f>IF(D1005&lt;100000, "Micro (&lt;100K)", IF(D1005&lt;500000, "Small (100K-500K)", "Medium (500K+)"))</f>
        <v/>
      </c>
      <c r="M1005">
        <f>TEXT(C1005, "yyyy-mm")</f>
        <v/>
      </c>
    </row>
    <row r="1006">
      <c r="A1006" t="inlineStr">
        <is>
          <t>LN201095</t>
        </is>
      </c>
      <c r="B1006" t="inlineStr">
        <is>
          <t>BOR100811</t>
        </is>
      </c>
      <c r="C1006" s="8" t="n">
        <v>45884</v>
      </c>
      <c r="D1006" s="9" t="n">
        <v>100000</v>
      </c>
      <c r="E1006" t="n">
        <v>18</v>
      </c>
      <c r="F1006" s="10" t="n">
        <v>0.156</v>
      </c>
      <c r="G1006" t="inlineStr">
        <is>
          <t>Invoice Discounting</t>
        </is>
      </c>
      <c r="H1006" t="inlineStr">
        <is>
          <t>LO004</t>
        </is>
      </c>
      <c r="I1006" t="inlineStr">
        <is>
          <t>Mobile App</t>
        </is>
      </c>
      <c r="J1006">
        <f>INDEX('Data - Borrowers'!$B$2:$B$851, MATCH(B1006, 'Data - Borrowers'!$A$2:$A$851, 0))</f>
        <v/>
      </c>
      <c r="K1006">
        <f>INDEX('Data - Borrowers'!$C$2:$C$851, MATCH(B1006, 'Data - Borrowers'!$A$2:$A$851, 0))</f>
        <v/>
      </c>
      <c r="L1006">
        <f>IF(D1006&lt;100000, "Micro (&lt;100K)", IF(D1006&lt;500000, "Small (100K-500K)", "Medium (500K+)"))</f>
        <v/>
      </c>
      <c r="M1006">
        <f>TEXT(C1006, "yyyy-mm")</f>
        <v/>
      </c>
    </row>
    <row r="1007">
      <c r="A1007" t="inlineStr">
        <is>
          <t>LN201096</t>
        </is>
      </c>
      <c r="B1007" t="inlineStr">
        <is>
          <t>BOR100812</t>
        </is>
      </c>
      <c r="C1007" s="8" t="n">
        <v>46041</v>
      </c>
      <c r="D1007" s="9" t="n">
        <v>57000</v>
      </c>
      <c r="E1007" t="n">
        <v>3</v>
      </c>
      <c r="F1007" s="10" t="n">
        <v>0.216</v>
      </c>
      <c r="G1007" t="inlineStr">
        <is>
          <t>Working Capital</t>
        </is>
      </c>
      <c r="H1007" t="inlineStr">
        <is>
          <t>LO006</t>
        </is>
      </c>
      <c r="I1007" t="inlineStr">
        <is>
          <t>Branch</t>
        </is>
      </c>
      <c r="J1007">
        <f>INDEX('Data - Borrowers'!$B$2:$B$851, MATCH(B1007, 'Data - Borrowers'!$A$2:$A$851, 0))</f>
        <v/>
      </c>
      <c r="K1007">
        <f>INDEX('Data - Borrowers'!$C$2:$C$851, MATCH(B1007, 'Data - Borrowers'!$A$2:$A$851, 0))</f>
        <v/>
      </c>
      <c r="L1007">
        <f>IF(D1007&lt;100000, "Micro (&lt;100K)", IF(D1007&lt;500000, "Small (100K-500K)", "Medium (500K+)"))</f>
        <v/>
      </c>
      <c r="M1007">
        <f>TEXT(C1007, "yyyy-mm")</f>
        <v/>
      </c>
    </row>
    <row r="1008">
      <c r="A1008" t="inlineStr">
        <is>
          <t>LN201098</t>
        </is>
      </c>
      <c r="B1008" t="inlineStr">
        <is>
          <t>BOR100813</t>
        </is>
      </c>
      <c r="C1008" s="8" t="n">
        <v>45899</v>
      </c>
      <c r="D1008" s="9" t="n">
        <v>106000</v>
      </c>
      <c r="E1008" t="n">
        <v>12</v>
      </c>
      <c r="F1008" s="10" t="n">
        <v>0.197</v>
      </c>
      <c r="G1008" t="inlineStr">
        <is>
          <t>Invoice Discounting</t>
        </is>
      </c>
      <c r="H1008" t="inlineStr">
        <is>
          <t>LO019</t>
        </is>
      </c>
      <c r="I1008" t="inlineStr">
        <is>
          <t>Partner Referral</t>
        </is>
      </c>
      <c r="J1008">
        <f>INDEX('Data - Borrowers'!$B$2:$B$851, MATCH(B1008, 'Data - Borrowers'!$A$2:$A$851, 0))</f>
        <v/>
      </c>
      <c r="K1008">
        <f>INDEX('Data - Borrowers'!$C$2:$C$851, MATCH(B1008, 'Data - Borrowers'!$A$2:$A$851, 0))</f>
        <v/>
      </c>
      <c r="L1008">
        <f>IF(D1008&lt;100000, "Micro (&lt;100K)", IF(D1008&lt;500000, "Small (100K-500K)", "Medium (500K+)"))</f>
        <v/>
      </c>
      <c r="M1008">
        <f>TEXT(C1008, "yyyy-mm")</f>
        <v/>
      </c>
    </row>
    <row r="1009">
      <c r="A1009" t="inlineStr">
        <is>
          <t>LN201099</t>
        </is>
      </c>
      <c r="B1009" t="inlineStr">
        <is>
          <t>BOR100814</t>
        </is>
      </c>
      <c r="C1009" s="8" t="n">
        <v>46205</v>
      </c>
      <c r="D1009" s="9" t="n">
        <v>200000</v>
      </c>
      <c r="E1009" t="n">
        <v>6</v>
      </c>
      <c r="F1009" s="10" t="n">
        <v>0.144</v>
      </c>
      <c r="G1009" t="inlineStr">
        <is>
          <t>Working Capital</t>
        </is>
      </c>
      <c r="H1009" t="inlineStr">
        <is>
          <t>LO010</t>
        </is>
      </c>
      <c r="I1009" t="inlineStr">
        <is>
          <t>Branch</t>
        </is>
      </c>
      <c r="J1009">
        <f>INDEX('Data - Borrowers'!$B$2:$B$851, MATCH(B1009, 'Data - Borrowers'!$A$2:$A$851, 0))</f>
        <v/>
      </c>
      <c r="K1009">
        <f>INDEX('Data - Borrowers'!$C$2:$C$851, MATCH(B1009, 'Data - Borrowers'!$A$2:$A$851, 0))</f>
        <v/>
      </c>
      <c r="L1009">
        <f>IF(D1009&lt;100000, "Micro (&lt;100K)", IF(D1009&lt;500000, "Small (100K-500K)", "Medium (500K+)"))</f>
        <v/>
      </c>
      <c r="M1009">
        <f>TEXT(C1009, "yyyy-mm")</f>
        <v/>
      </c>
    </row>
    <row r="1010">
      <c r="A1010" t="inlineStr">
        <is>
          <t>LN201100</t>
        </is>
      </c>
      <c r="B1010" t="inlineStr">
        <is>
          <t>BOR100815</t>
        </is>
      </c>
      <c r="C1010" s="8" t="n">
        <v>45916</v>
      </c>
      <c r="D1010" s="9" t="n">
        <v>66000</v>
      </c>
      <c r="E1010" t="n">
        <v>6</v>
      </c>
      <c r="F1010" s="10" t="n">
        <v>0.132</v>
      </c>
      <c r="G1010" t="inlineStr">
        <is>
          <t>Invoice Discounting</t>
        </is>
      </c>
      <c r="H1010" t="inlineStr">
        <is>
          <t>LO023</t>
        </is>
      </c>
      <c r="I1010" t="inlineStr">
        <is>
          <t>Partner Referral</t>
        </is>
      </c>
      <c r="J1010">
        <f>INDEX('Data - Borrowers'!$B$2:$B$851, MATCH(B1010, 'Data - Borrowers'!$A$2:$A$851, 0))</f>
        <v/>
      </c>
      <c r="K1010">
        <f>INDEX('Data - Borrowers'!$C$2:$C$851, MATCH(B1010, 'Data - Borrowers'!$A$2:$A$851, 0))</f>
        <v/>
      </c>
      <c r="L1010">
        <f>IF(D1010&lt;100000, "Micro (&lt;100K)", IF(D1010&lt;500000, "Small (100K-500K)", "Medium (500K+)"))</f>
        <v/>
      </c>
      <c r="M1010">
        <f>TEXT(C1010, "yyyy-mm")</f>
        <v/>
      </c>
    </row>
    <row r="1011">
      <c r="A1011" t="inlineStr">
        <is>
          <t>LN201101</t>
        </is>
      </c>
      <c r="B1011" t="inlineStr">
        <is>
          <t>BOR100816</t>
        </is>
      </c>
      <c r="C1011" s="8" t="n">
        <v>45958</v>
      </c>
      <c r="D1011" s="9" t="n">
        <v>118000</v>
      </c>
      <c r="E1011" t="n">
        <v>3</v>
      </c>
      <c r="F1011" s="10" t="n">
        <v>0.141</v>
      </c>
      <c r="G1011" t="inlineStr">
        <is>
          <t>Invoice Discounting</t>
        </is>
      </c>
      <c r="H1011" t="inlineStr">
        <is>
          <t>LO003</t>
        </is>
      </c>
      <c r="I1011" t="inlineStr">
        <is>
          <t>Branch</t>
        </is>
      </c>
      <c r="J1011">
        <f>INDEX('Data - Borrowers'!$B$2:$B$851, MATCH(B1011, 'Data - Borrowers'!$A$2:$A$851, 0))</f>
        <v/>
      </c>
      <c r="K1011">
        <f>INDEX('Data - Borrowers'!$C$2:$C$851, MATCH(B1011, 'Data - Borrowers'!$A$2:$A$851, 0))</f>
        <v/>
      </c>
      <c r="L1011">
        <f>IF(D1011&lt;100000, "Micro (&lt;100K)", IF(D1011&lt;500000, "Small (100K-500K)", "Medium (500K+)"))</f>
        <v/>
      </c>
      <c r="M1011">
        <f>TEXT(C1011, "yyyy-mm")</f>
        <v/>
      </c>
    </row>
    <row r="1012">
      <c r="A1012" t="inlineStr">
        <is>
          <t>LN201102</t>
        </is>
      </c>
      <c r="B1012" t="inlineStr">
        <is>
          <t>BOR100816</t>
        </is>
      </c>
      <c r="C1012" s="8" t="n">
        <v>46071</v>
      </c>
      <c r="D1012" s="9" t="n">
        <v>164000</v>
      </c>
      <c r="E1012" t="n">
        <v>6</v>
      </c>
      <c r="F1012" s="10" t="n">
        <v>0.153</v>
      </c>
      <c r="G1012" t="inlineStr">
        <is>
          <t>Working Capital</t>
        </is>
      </c>
      <c r="H1012" t="inlineStr">
        <is>
          <t>LO009</t>
        </is>
      </c>
      <c r="I1012" t="inlineStr">
        <is>
          <t>Branch</t>
        </is>
      </c>
      <c r="J1012">
        <f>INDEX('Data - Borrowers'!$B$2:$B$851, MATCH(B1012, 'Data - Borrowers'!$A$2:$A$851, 0))</f>
        <v/>
      </c>
      <c r="K1012">
        <f>INDEX('Data - Borrowers'!$C$2:$C$851, MATCH(B1012, 'Data - Borrowers'!$A$2:$A$851, 0))</f>
        <v/>
      </c>
      <c r="L1012">
        <f>IF(D1012&lt;100000, "Micro (&lt;100K)", IF(D1012&lt;500000, "Small (100K-500K)", "Medium (500K+)"))</f>
        <v/>
      </c>
      <c r="M1012">
        <f>TEXT(C1012, "yyyy-mm")</f>
        <v/>
      </c>
    </row>
    <row r="1013">
      <c r="A1013" t="inlineStr">
        <is>
          <t>LN201103</t>
        </is>
      </c>
      <c r="B1013" t="inlineStr">
        <is>
          <t>BOR100817</t>
        </is>
      </c>
      <c r="C1013" s="8" t="n">
        <v>46012</v>
      </c>
      <c r="D1013" s="9" t="n">
        <v>37000</v>
      </c>
      <c r="E1013" t="n">
        <v>9</v>
      </c>
      <c r="F1013" s="10" t="n">
        <v>0.16</v>
      </c>
      <c r="G1013" t="inlineStr">
        <is>
          <t>Working Capital</t>
        </is>
      </c>
      <c r="H1013" t="inlineStr">
        <is>
          <t>LO011</t>
        </is>
      </c>
      <c r="I1013" t="inlineStr">
        <is>
          <t>Partner Referral</t>
        </is>
      </c>
      <c r="J1013">
        <f>INDEX('Data - Borrowers'!$B$2:$B$851, MATCH(B1013, 'Data - Borrowers'!$A$2:$A$851, 0))</f>
        <v/>
      </c>
      <c r="K1013">
        <f>INDEX('Data - Borrowers'!$C$2:$C$851, MATCH(B1013, 'Data - Borrowers'!$A$2:$A$851, 0))</f>
        <v/>
      </c>
      <c r="L1013">
        <f>IF(D1013&lt;100000, "Micro (&lt;100K)", IF(D1013&lt;500000, "Small (100K-500K)", "Medium (500K+)"))</f>
        <v/>
      </c>
      <c r="M1013">
        <f>TEXT(C1013, "yyyy-mm")</f>
        <v/>
      </c>
    </row>
    <row r="1014">
      <c r="A1014" t="inlineStr">
        <is>
          <t>LN201104</t>
        </is>
      </c>
      <c r="B1014" t="inlineStr">
        <is>
          <t>BOR100817</t>
        </is>
      </c>
      <c r="C1014" s="8" t="n">
        <v>46217</v>
      </c>
      <c r="D1014" s="9" t="n">
        <v>33000</v>
      </c>
      <c r="E1014" t="n">
        <v>6</v>
      </c>
      <c r="F1014" s="10" t="n">
        <v>0.232</v>
      </c>
      <c r="G1014" t="inlineStr">
        <is>
          <t>Working Capital</t>
        </is>
      </c>
      <c r="H1014" t="inlineStr">
        <is>
          <t>LO009</t>
        </is>
      </c>
      <c r="I1014" t="inlineStr">
        <is>
          <t>Branch</t>
        </is>
      </c>
      <c r="J1014">
        <f>INDEX('Data - Borrowers'!$B$2:$B$851, MATCH(B1014, 'Data - Borrowers'!$A$2:$A$851, 0))</f>
        <v/>
      </c>
      <c r="K1014">
        <f>INDEX('Data - Borrowers'!$C$2:$C$851, MATCH(B1014, 'Data - Borrowers'!$A$2:$A$851, 0))</f>
        <v/>
      </c>
      <c r="L1014">
        <f>IF(D1014&lt;100000, "Micro (&lt;100K)", IF(D1014&lt;500000, "Small (100K-500K)", "Medium (500K+)"))</f>
        <v/>
      </c>
      <c r="M1014">
        <f>TEXT(C1014, "yyyy-mm")</f>
        <v/>
      </c>
    </row>
    <row r="1015">
      <c r="A1015" t="inlineStr">
        <is>
          <t>LN201105</t>
        </is>
      </c>
      <c r="B1015" t="inlineStr">
        <is>
          <t>BOR100818</t>
        </is>
      </c>
      <c r="C1015" s="8" t="n">
        <v>46230</v>
      </c>
      <c r="D1015" s="9" t="n">
        <v>64000</v>
      </c>
      <c r="E1015" t="n">
        <v>3</v>
      </c>
      <c r="F1015" s="10" t="n">
        <v>0.134</v>
      </c>
      <c r="G1015" t="inlineStr">
        <is>
          <t>Working Capital</t>
        </is>
      </c>
      <c r="H1015" t="inlineStr">
        <is>
          <t>LO010</t>
        </is>
      </c>
      <c r="I1015" t="inlineStr">
        <is>
          <t>Branch</t>
        </is>
      </c>
      <c r="J1015">
        <f>INDEX('Data - Borrowers'!$B$2:$B$851, MATCH(B1015, 'Data - Borrowers'!$A$2:$A$851, 0))</f>
        <v/>
      </c>
      <c r="K1015">
        <f>INDEX('Data - Borrowers'!$C$2:$C$851, MATCH(B1015, 'Data - Borrowers'!$A$2:$A$851, 0))</f>
        <v/>
      </c>
      <c r="L1015">
        <f>IF(D1015&lt;100000, "Micro (&lt;100K)", IF(D1015&lt;500000, "Small (100K-500K)", "Medium (500K+)"))</f>
        <v/>
      </c>
      <c r="M1015">
        <f>TEXT(C1015, "yyyy-mm")</f>
        <v/>
      </c>
    </row>
    <row r="1016">
      <c r="A1016" t="inlineStr">
        <is>
          <t>LN201106</t>
        </is>
      </c>
      <c r="B1016" t="inlineStr">
        <is>
          <t>BOR100819</t>
        </is>
      </c>
      <c r="C1016" s="8" t="n">
        <v>45988</v>
      </c>
      <c r="D1016" s="9" t="n">
        <v>93000</v>
      </c>
      <c r="E1016" t="n">
        <v>3</v>
      </c>
      <c r="F1016" s="10" t="n">
        <v>0.138</v>
      </c>
      <c r="G1016" t="inlineStr">
        <is>
          <t>Working Capital</t>
        </is>
      </c>
      <c r="H1016" t="inlineStr">
        <is>
          <t>LO003</t>
        </is>
      </c>
      <c r="I1016" t="inlineStr">
        <is>
          <t>Mobile App</t>
        </is>
      </c>
      <c r="J1016">
        <f>INDEX('Data - Borrowers'!$B$2:$B$851, MATCH(B1016, 'Data - Borrowers'!$A$2:$A$851, 0))</f>
        <v/>
      </c>
      <c r="K1016">
        <f>INDEX('Data - Borrowers'!$C$2:$C$851, MATCH(B1016, 'Data - Borrowers'!$A$2:$A$851, 0))</f>
        <v/>
      </c>
      <c r="L1016">
        <f>IF(D1016&lt;100000, "Micro (&lt;100K)", IF(D1016&lt;500000, "Small (100K-500K)", "Medium (500K+)"))</f>
        <v/>
      </c>
      <c r="M1016">
        <f>TEXT(C1016, "yyyy-mm")</f>
        <v/>
      </c>
    </row>
    <row r="1017">
      <c r="A1017" t="inlineStr">
        <is>
          <t>LN201107</t>
        </is>
      </c>
      <c r="B1017" t="inlineStr">
        <is>
          <t>BOR100820</t>
        </is>
      </c>
      <c r="C1017" s="8" t="n">
        <v>46024</v>
      </c>
      <c r="D1017" s="9" t="n">
        <v>94000</v>
      </c>
      <c r="E1017" t="n">
        <v>12</v>
      </c>
      <c r="F1017" s="10" t="n">
        <v>0.229</v>
      </c>
      <c r="G1017" t="inlineStr">
        <is>
          <t>Invoice Discounting</t>
        </is>
      </c>
      <c r="H1017" t="inlineStr">
        <is>
          <t>LO019</t>
        </is>
      </c>
      <c r="I1017" t="inlineStr">
        <is>
          <t>Branch</t>
        </is>
      </c>
      <c r="J1017">
        <f>INDEX('Data - Borrowers'!$B$2:$B$851, MATCH(B1017, 'Data - Borrowers'!$A$2:$A$851, 0))</f>
        <v/>
      </c>
      <c r="K1017">
        <f>INDEX('Data - Borrowers'!$C$2:$C$851, MATCH(B1017, 'Data - Borrowers'!$A$2:$A$851, 0))</f>
        <v/>
      </c>
      <c r="L1017">
        <f>IF(D1017&lt;100000, "Micro (&lt;100K)", IF(D1017&lt;500000, "Small (100K-500K)", "Medium (500K+)"))</f>
        <v/>
      </c>
      <c r="M1017">
        <f>TEXT(C1017, "yyyy-mm")</f>
        <v/>
      </c>
    </row>
    <row r="1018">
      <c r="A1018" t="inlineStr">
        <is>
          <t>LN201108</t>
        </is>
      </c>
      <c r="B1018" t="inlineStr">
        <is>
          <t>BOR100821</t>
        </is>
      </c>
      <c r="C1018" s="8" t="n">
        <v>45679</v>
      </c>
      <c r="D1018" s="9" t="n">
        <v>196000</v>
      </c>
      <c r="E1018" t="n">
        <v>6</v>
      </c>
      <c r="F1018" s="10" t="n">
        <v>0.216</v>
      </c>
      <c r="G1018" t="inlineStr">
        <is>
          <t>Working Capital</t>
        </is>
      </c>
      <c r="H1018" t="inlineStr">
        <is>
          <t>LO011</t>
        </is>
      </c>
      <c r="I1018" t="inlineStr">
        <is>
          <t>Mobile App</t>
        </is>
      </c>
      <c r="J1018">
        <f>INDEX('Data - Borrowers'!$B$2:$B$851, MATCH(B1018, 'Data - Borrowers'!$A$2:$A$851, 0))</f>
        <v/>
      </c>
      <c r="K1018">
        <f>INDEX('Data - Borrowers'!$C$2:$C$851, MATCH(B1018, 'Data - Borrowers'!$A$2:$A$851, 0))</f>
        <v/>
      </c>
      <c r="L1018">
        <f>IF(D1018&lt;100000, "Micro (&lt;100K)", IF(D1018&lt;500000, "Small (100K-500K)", "Medium (500K+)"))</f>
        <v/>
      </c>
      <c r="M1018">
        <f>TEXT(C1018, "yyyy-mm")</f>
        <v/>
      </c>
    </row>
    <row r="1019">
      <c r="A1019" t="inlineStr">
        <is>
          <t>LN201109</t>
        </is>
      </c>
      <c r="B1019" t="inlineStr">
        <is>
          <t>BOR100822</t>
        </is>
      </c>
      <c r="C1019" s="8" t="n">
        <v>46194</v>
      </c>
      <c r="D1019" s="9" t="n">
        <v>49000</v>
      </c>
      <c r="E1019" t="n">
        <v>3</v>
      </c>
      <c r="F1019" s="10" t="n">
        <v>0.161</v>
      </c>
      <c r="G1019" t="inlineStr">
        <is>
          <t>Working Capital</t>
        </is>
      </c>
      <c r="H1019" t="inlineStr">
        <is>
          <t>LO022</t>
        </is>
      </c>
      <c r="I1019" t="inlineStr">
        <is>
          <t>Partner Referral</t>
        </is>
      </c>
      <c r="J1019">
        <f>INDEX('Data - Borrowers'!$B$2:$B$851, MATCH(B1019, 'Data - Borrowers'!$A$2:$A$851, 0))</f>
        <v/>
      </c>
      <c r="K1019">
        <f>INDEX('Data - Borrowers'!$C$2:$C$851, MATCH(B1019, 'Data - Borrowers'!$A$2:$A$851, 0))</f>
        <v/>
      </c>
      <c r="L1019">
        <f>IF(D1019&lt;100000, "Micro (&lt;100K)", IF(D1019&lt;500000, "Small (100K-500K)", "Medium (500K+)"))</f>
        <v/>
      </c>
      <c r="M1019">
        <f>TEXT(C1019, "yyyy-mm")</f>
        <v/>
      </c>
    </row>
    <row r="1020">
      <c r="A1020" t="inlineStr">
        <is>
          <t>LN201110</t>
        </is>
      </c>
      <c r="B1020" t="inlineStr">
        <is>
          <t>BOR100823</t>
        </is>
      </c>
      <c r="C1020" s="8" t="n">
        <v>45882</v>
      </c>
      <c r="D1020" s="9" t="n">
        <v>147000</v>
      </c>
      <c r="E1020" t="n">
        <v>9</v>
      </c>
      <c r="F1020" s="10" t="n">
        <v>0.128</v>
      </c>
      <c r="G1020" t="inlineStr">
        <is>
          <t>Working Capital</t>
        </is>
      </c>
      <c r="H1020" t="inlineStr">
        <is>
          <t>LO019</t>
        </is>
      </c>
      <c r="I1020" t="inlineStr">
        <is>
          <t>Mobile App</t>
        </is>
      </c>
      <c r="J1020">
        <f>INDEX('Data - Borrowers'!$B$2:$B$851, MATCH(B1020, 'Data - Borrowers'!$A$2:$A$851, 0))</f>
        <v/>
      </c>
      <c r="K1020">
        <f>INDEX('Data - Borrowers'!$C$2:$C$851, MATCH(B1020, 'Data - Borrowers'!$A$2:$A$851, 0))</f>
        <v/>
      </c>
      <c r="L1020">
        <f>IF(D1020&lt;100000, "Micro (&lt;100K)", IF(D1020&lt;500000, "Small (100K-500K)", "Medium (500K+)"))</f>
        <v/>
      </c>
      <c r="M1020">
        <f>TEXT(C1020, "yyyy-mm")</f>
        <v/>
      </c>
    </row>
    <row r="1021">
      <c r="A1021" t="inlineStr">
        <is>
          <t>LN201111</t>
        </is>
      </c>
      <c r="B1021" t="inlineStr">
        <is>
          <t>BOR100824</t>
        </is>
      </c>
      <c r="C1021" s="8" t="n">
        <v>46075</v>
      </c>
      <c r="D1021" s="9" t="n">
        <v>96000</v>
      </c>
      <c r="E1021" t="n">
        <v>9</v>
      </c>
      <c r="F1021" s="10" t="n">
        <v>0.231</v>
      </c>
      <c r="G1021" t="inlineStr">
        <is>
          <t>Invoice Discounting</t>
        </is>
      </c>
      <c r="H1021" t="inlineStr">
        <is>
          <t>LO013</t>
        </is>
      </c>
      <c r="I1021" t="inlineStr">
        <is>
          <t>Mobile App</t>
        </is>
      </c>
      <c r="J1021">
        <f>INDEX('Data - Borrowers'!$B$2:$B$851, MATCH(B1021, 'Data - Borrowers'!$A$2:$A$851, 0))</f>
        <v/>
      </c>
      <c r="K1021">
        <f>INDEX('Data - Borrowers'!$C$2:$C$851, MATCH(B1021, 'Data - Borrowers'!$A$2:$A$851, 0))</f>
        <v/>
      </c>
      <c r="L1021">
        <f>IF(D1021&lt;100000, "Micro (&lt;100K)", IF(D1021&lt;500000, "Small (100K-500K)", "Medium (500K+)"))</f>
        <v/>
      </c>
      <c r="M1021">
        <f>TEXT(C1021, "yyyy-mm")</f>
        <v/>
      </c>
    </row>
    <row r="1022">
      <c r="A1022" t="inlineStr">
        <is>
          <t>LN201112</t>
        </is>
      </c>
      <c r="B1022" t="inlineStr">
        <is>
          <t>BOR100825</t>
        </is>
      </c>
      <c r="C1022" s="8" t="n">
        <v>45838</v>
      </c>
      <c r="D1022" s="9" t="n">
        <v>63000</v>
      </c>
      <c r="E1022" t="n">
        <v>9</v>
      </c>
      <c r="F1022" s="10" t="n">
        <v>0.236</v>
      </c>
      <c r="G1022" t="inlineStr">
        <is>
          <t>Invoice Discounting</t>
        </is>
      </c>
      <c r="H1022" t="inlineStr">
        <is>
          <t>LO023</t>
        </is>
      </c>
      <c r="I1022" t="inlineStr">
        <is>
          <t>Branch</t>
        </is>
      </c>
      <c r="J1022">
        <f>INDEX('Data - Borrowers'!$B$2:$B$851, MATCH(B1022, 'Data - Borrowers'!$A$2:$A$851, 0))</f>
        <v/>
      </c>
      <c r="K1022">
        <f>INDEX('Data - Borrowers'!$C$2:$C$851, MATCH(B1022, 'Data - Borrowers'!$A$2:$A$851, 0))</f>
        <v/>
      </c>
      <c r="L1022">
        <f>IF(D1022&lt;100000, "Micro (&lt;100K)", IF(D1022&lt;500000, "Small (100K-500K)", "Medium (500K+)"))</f>
        <v/>
      </c>
      <c r="M1022">
        <f>TEXT(C1022, "yyyy-mm")</f>
        <v/>
      </c>
    </row>
    <row r="1023">
      <c r="A1023" t="inlineStr">
        <is>
          <t>LN201113</t>
        </is>
      </c>
      <c r="B1023" t="inlineStr">
        <is>
          <t>BOR100826</t>
        </is>
      </c>
      <c r="C1023" s="8" t="n">
        <v>45978</v>
      </c>
      <c r="D1023" s="9" t="n">
        <v>132000</v>
      </c>
      <c r="E1023" t="n">
        <v>12</v>
      </c>
      <c r="F1023" s="10" t="n">
        <v>0.187</v>
      </c>
      <c r="G1023" t="inlineStr">
        <is>
          <t>Working Capital</t>
        </is>
      </c>
      <c r="H1023" t="inlineStr">
        <is>
          <t>LO006</t>
        </is>
      </c>
      <c r="I1023" t="inlineStr">
        <is>
          <t>Branch</t>
        </is>
      </c>
      <c r="J1023">
        <f>INDEX('Data - Borrowers'!$B$2:$B$851, MATCH(B1023, 'Data - Borrowers'!$A$2:$A$851, 0))</f>
        <v/>
      </c>
      <c r="K1023">
        <f>INDEX('Data - Borrowers'!$C$2:$C$851, MATCH(B1023, 'Data - Borrowers'!$A$2:$A$851, 0))</f>
        <v/>
      </c>
      <c r="L1023">
        <f>IF(D1023&lt;100000, "Micro (&lt;100K)", IF(D1023&lt;500000, "Small (100K-500K)", "Medium (500K+)"))</f>
        <v/>
      </c>
      <c r="M1023">
        <f>TEXT(C1023, "yyyy-mm")</f>
        <v/>
      </c>
    </row>
    <row r="1024">
      <c r="A1024" t="inlineStr">
        <is>
          <t>LN201114</t>
        </is>
      </c>
      <c r="B1024" t="inlineStr">
        <is>
          <t>BOR100827</t>
        </is>
      </c>
      <c r="C1024" s="8" t="n">
        <v>45930</v>
      </c>
      <c r="D1024" s="9" t="n">
        <v>56000</v>
      </c>
      <c r="E1024" t="n">
        <v>3</v>
      </c>
      <c r="F1024" s="10" t="n">
        <v>0.211</v>
      </c>
      <c r="G1024" t="inlineStr">
        <is>
          <t>Working Capital</t>
        </is>
      </c>
      <c r="H1024" t="inlineStr">
        <is>
          <t>LO014</t>
        </is>
      </c>
      <c r="I1024" t="inlineStr">
        <is>
          <t>Mobile App</t>
        </is>
      </c>
      <c r="J1024">
        <f>INDEX('Data - Borrowers'!$B$2:$B$851, MATCH(B1024, 'Data - Borrowers'!$A$2:$A$851, 0))</f>
        <v/>
      </c>
      <c r="K1024">
        <f>INDEX('Data - Borrowers'!$C$2:$C$851, MATCH(B1024, 'Data - Borrowers'!$A$2:$A$851, 0))</f>
        <v/>
      </c>
      <c r="L1024">
        <f>IF(D1024&lt;100000, "Micro (&lt;100K)", IF(D1024&lt;500000, "Small (100K-500K)", "Medium (500K+)"))</f>
        <v/>
      </c>
      <c r="M1024">
        <f>TEXT(C1024, "yyyy-mm")</f>
        <v/>
      </c>
    </row>
    <row r="1025">
      <c r="A1025" t="inlineStr">
        <is>
          <t>LN201115</t>
        </is>
      </c>
      <c r="B1025" t="inlineStr">
        <is>
          <t>BOR100828</t>
        </is>
      </c>
      <c r="C1025" s="8" t="n">
        <v>45899</v>
      </c>
      <c r="D1025" s="9" t="n">
        <v>136000</v>
      </c>
      <c r="E1025" t="n">
        <v>3</v>
      </c>
      <c r="F1025" s="10" t="n">
        <v>0.212</v>
      </c>
      <c r="G1025" t="inlineStr">
        <is>
          <t>Asset Finance</t>
        </is>
      </c>
      <c r="H1025" t="inlineStr">
        <is>
          <t>LO023</t>
        </is>
      </c>
      <c r="I1025" t="inlineStr">
        <is>
          <t>Mobile App</t>
        </is>
      </c>
      <c r="J1025">
        <f>INDEX('Data - Borrowers'!$B$2:$B$851, MATCH(B1025, 'Data - Borrowers'!$A$2:$A$851, 0))</f>
        <v/>
      </c>
      <c r="K1025">
        <f>INDEX('Data - Borrowers'!$C$2:$C$851, MATCH(B1025, 'Data - Borrowers'!$A$2:$A$851, 0))</f>
        <v/>
      </c>
      <c r="L1025">
        <f>IF(D1025&lt;100000, "Micro (&lt;100K)", IF(D1025&lt;500000, "Small (100K-500K)", "Medium (500K+)"))</f>
        <v/>
      </c>
      <c r="M1025">
        <f>TEXT(C1025, "yyyy-mm")</f>
        <v/>
      </c>
    </row>
    <row r="1026">
      <c r="A1026" t="inlineStr">
        <is>
          <t>LN201116</t>
        </is>
      </c>
      <c r="B1026" t="inlineStr">
        <is>
          <t>BOR100829</t>
        </is>
      </c>
      <c r="C1026" s="8" t="n">
        <v>46021</v>
      </c>
      <c r="D1026" s="9" t="n">
        <v>129000</v>
      </c>
      <c r="E1026" t="n">
        <v>9</v>
      </c>
      <c r="F1026" s="10" t="n">
        <v>0.181</v>
      </c>
      <c r="G1026" t="inlineStr">
        <is>
          <t>Working Capital</t>
        </is>
      </c>
      <c r="H1026" t="inlineStr">
        <is>
          <t>LO012</t>
        </is>
      </c>
      <c r="I1026" t="inlineStr">
        <is>
          <t>Mobile App</t>
        </is>
      </c>
      <c r="J1026">
        <f>INDEX('Data - Borrowers'!$B$2:$B$851, MATCH(B1026, 'Data - Borrowers'!$A$2:$A$851, 0))</f>
        <v/>
      </c>
      <c r="K1026">
        <f>INDEX('Data - Borrowers'!$C$2:$C$851, MATCH(B1026, 'Data - Borrowers'!$A$2:$A$851, 0))</f>
        <v/>
      </c>
      <c r="L1026">
        <f>IF(D1026&lt;100000, "Micro (&lt;100K)", IF(D1026&lt;500000, "Small (100K-500K)", "Medium (500K+)"))</f>
        <v/>
      </c>
      <c r="M1026">
        <f>TEXT(C1026, "yyyy-mm")</f>
        <v/>
      </c>
    </row>
    <row r="1027">
      <c r="A1027" t="inlineStr">
        <is>
          <t>LN201117</t>
        </is>
      </c>
      <c r="B1027" t="inlineStr">
        <is>
          <t>BOR100830</t>
        </is>
      </c>
      <c r="C1027" s="8" t="n">
        <v>45688</v>
      </c>
      <c r="D1027" s="9" t="n">
        <v>71000</v>
      </c>
      <c r="E1027" t="n">
        <v>3</v>
      </c>
      <c r="F1027" s="10" t="n">
        <v>0.137</v>
      </c>
      <c r="G1027" t="inlineStr">
        <is>
          <t>Invoice Discounting</t>
        </is>
      </c>
      <c r="H1027" t="inlineStr">
        <is>
          <t>LO004</t>
        </is>
      </c>
      <c r="I1027" t="inlineStr">
        <is>
          <t>Branch</t>
        </is>
      </c>
      <c r="J1027">
        <f>INDEX('Data - Borrowers'!$B$2:$B$851, MATCH(B1027, 'Data - Borrowers'!$A$2:$A$851, 0))</f>
        <v/>
      </c>
      <c r="K1027">
        <f>INDEX('Data - Borrowers'!$C$2:$C$851, MATCH(B1027, 'Data - Borrowers'!$A$2:$A$851, 0))</f>
        <v/>
      </c>
      <c r="L1027">
        <f>IF(D1027&lt;100000, "Micro (&lt;100K)", IF(D1027&lt;500000, "Small (100K-500K)", "Medium (500K+)"))</f>
        <v/>
      </c>
      <c r="M1027">
        <f>TEXT(C1027, "yyyy-mm")</f>
        <v/>
      </c>
    </row>
    <row r="1028">
      <c r="A1028" t="inlineStr">
        <is>
          <t>LN201118</t>
        </is>
      </c>
      <c r="B1028" t="inlineStr">
        <is>
          <t>BOR100831</t>
        </is>
      </c>
      <c r="C1028" s="8" t="n">
        <v>45854</v>
      </c>
      <c r="D1028" s="9" t="n">
        <v>209000</v>
      </c>
      <c r="E1028" t="n">
        <v>6</v>
      </c>
      <c r="F1028" s="10" t="n">
        <v>0.125</v>
      </c>
      <c r="G1028" t="inlineStr">
        <is>
          <t>Asset Finance</t>
        </is>
      </c>
      <c r="H1028" t="inlineStr">
        <is>
          <t>LO024</t>
        </is>
      </c>
      <c r="I1028" t="inlineStr">
        <is>
          <t>Partner Referral</t>
        </is>
      </c>
      <c r="J1028">
        <f>INDEX('Data - Borrowers'!$B$2:$B$851, MATCH(B1028, 'Data - Borrowers'!$A$2:$A$851, 0))</f>
        <v/>
      </c>
      <c r="K1028">
        <f>INDEX('Data - Borrowers'!$C$2:$C$851, MATCH(B1028, 'Data - Borrowers'!$A$2:$A$851, 0))</f>
        <v/>
      </c>
      <c r="L1028">
        <f>IF(D1028&lt;100000, "Micro (&lt;100K)", IF(D1028&lt;500000, "Small (100K-500K)", "Medium (500K+)"))</f>
        <v/>
      </c>
      <c r="M1028">
        <f>TEXT(C1028, "yyyy-mm")</f>
        <v/>
      </c>
    </row>
    <row r="1029">
      <c r="A1029" t="inlineStr">
        <is>
          <t>LN201119</t>
        </is>
      </c>
      <c r="B1029" t="inlineStr">
        <is>
          <t>BOR100832</t>
        </is>
      </c>
      <c r="C1029" s="8" t="n">
        <v>45986</v>
      </c>
      <c r="D1029" s="9" t="n">
        <v>64000</v>
      </c>
      <c r="E1029" t="n">
        <v>3</v>
      </c>
      <c r="F1029" s="10" t="n">
        <v>0.212</v>
      </c>
      <c r="G1029" t="inlineStr">
        <is>
          <t>Asset Finance</t>
        </is>
      </c>
      <c r="H1029" t="inlineStr">
        <is>
          <t>LO007</t>
        </is>
      </c>
      <c r="I1029" t="inlineStr">
        <is>
          <t>Partner Referral</t>
        </is>
      </c>
      <c r="J1029">
        <f>INDEX('Data - Borrowers'!$B$2:$B$851, MATCH(B1029, 'Data - Borrowers'!$A$2:$A$851, 0))</f>
        <v/>
      </c>
      <c r="K1029">
        <f>INDEX('Data - Borrowers'!$C$2:$C$851, MATCH(B1029, 'Data - Borrowers'!$A$2:$A$851, 0))</f>
        <v/>
      </c>
      <c r="L1029">
        <f>IF(D1029&lt;100000, "Micro (&lt;100K)", IF(D1029&lt;500000, "Small (100K-500K)", "Medium (500K+)"))</f>
        <v/>
      </c>
      <c r="M1029">
        <f>TEXT(C1029, "yyyy-mm")</f>
        <v/>
      </c>
    </row>
    <row r="1030">
      <c r="A1030" t="inlineStr">
        <is>
          <t>LN201120</t>
        </is>
      </c>
      <c r="B1030" t="inlineStr">
        <is>
          <t>BOR100832</t>
        </is>
      </c>
      <c r="C1030" s="8" t="n">
        <v>46190</v>
      </c>
      <c r="D1030" s="9" t="n">
        <v>39000</v>
      </c>
      <c r="E1030" t="n">
        <v>9</v>
      </c>
      <c r="F1030" s="10" t="n">
        <v>0.195</v>
      </c>
      <c r="G1030" t="inlineStr">
        <is>
          <t>Asset Finance</t>
        </is>
      </c>
      <c r="H1030" t="inlineStr">
        <is>
          <t>LO005</t>
        </is>
      </c>
      <c r="I1030" t="inlineStr">
        <is>
          <t>Branch</t>
        </is>
      </c>
      <c r="J1030">
        <f>INDEX('Data - Borrowers'!$B$2:$B$851, MATCH(B1030, 'Data - Borrowers'!$A$2:$A$851, 0))</f>
        <v/>
      </c>
      <c r="K1030">
        <f>INDEX('Data - Borrowers'!$C$2:$C$851, MATCH(B1030, 'Data - Borrowers'!$A$2:$A$851, 0))</f>
        <v/>
      </c>
      <c r="L1030">
        <f>IF(D1030&lt;100000, "Micro (&lt;100K)", IF(D1030&lt;500000, "Small (100K-500K)", "Medium (500K+)"))</f>
        <v/>
      </c>
      <c r="M1030">
        <f>TEXT(C1030, "yyyy-mm")</f>
        <v/>
      </c>
    </row>
    <row r="1031">
      <c r="A1031" t="inlineStr">
        <is>
          <t>LN201122</t>
        </is>
      </c>
      <c r="B1031" t="inlineStr">
        <is>
          <t>BOR100833</t>
        </is>
      </c>
      <c r="C1031" s="8" t="n">
        <v>46193</v>
      </c>
      <c r="D1031" s="9" t="n">
        <v>95000</v>
      </c>
      <c r="E1031" t="n">
        <v>3</v>
      </c>
      <c r="F1031" s="10" t="n">
        <v>0.175</v>
      </c>
      <c r="G1031" t="inlineStr">
        <is>
          <t>Working Capital</t>
        </is>
      </c>
      <c r="H1031" t="inlineStr">
        <is>
          <t>LO002</t>
        </is>
      </c>
      <c r="I1031" t="inlineStr">
        <is>
          <t>Partner Referral</t>
        </is>
      </c>
      <c r="J1031">
        <f>INDEX('Data - Borrowers'!$B$2:$B$851, MATCH(B1031, 'Data - Borrowers'!$A$2:$A$851, 0))</f>
        <v/>
      </c>
      <c r="K1031">
        <f>INDEX('Data - Borrowers'!$C$2:$C$851, MATCH(B1031, 'Data - Borrowers'!$A$2:$A$851, 0))</f>
        <v/>
      </c>
      <c r="L1031">
        <f>IF(D1031&lt;100000, "Micro (&lt;100K)", IF(D1031&lt;500000, "Small (100K-500K)", "Medium (500K+)"))</f>
        <v/>
      </c>
      <c r="M1031">
        <f>TEXT(C1031, "yyyy-mm")</f>
        <v/>
      </c>
    </row>
    <row r="1032">
      <c r="A1032" t="inlineStr">
        <is>
          <t>LN201124</t>
        </is>
      </c>
      <c r="B1032" t="inlineStr">
        <is>
          <t>BOR100834</t>
        </is>
      </c>
      <c r="C1032" s="8" t="n">
        <v>45917</v>
      </c>
      <c r="D1032" s="9" t="n">
        <v>82000</v>
      </c>
      <c r="E1032" t="n">
        <v>6</v>
      </c>
      <c r="F1032" s="10" t="n">
        <v>0.199</v>
      </c>
      <c r="G1032" t="inlineStr">
        <is>
          <t>Working Capital</t>
        </is>
      </c>
      <c r="H1032" t="inlineStr">
        <is>
          <t>LO016</t>
        </is>
      </c>
      <c r="I1032" t="inlineStr">
        <is>
          <t>Partner Referral</t>
        </is>
      </c>
      <c r="J1032">
        <f>INDEX('Data - Borrowers'!$B$2:$B$851, MATCH(B1032, 'Data - Borrowers'!$A$2:$A$851, 0))</f>
        <v/>
      </c>
      <c r="K1032">
        <f>INDEX('Data - Borrowers'!$C$2:$C$851, MATCH(B1032, 'Data - Borrowers'!$A$2:$A$851, 0))</f>
        <v/>
      </c>
      <c r="L1032">
        <f>IF(D1032&lt;100000, "Micro (&lt;100K)", IF(D1032&lt;500000, "Small (100K-500K)", "Medium (500K+)"))</f>
        <v/>
      </c>
      <c r="M1032">
        <f>TEXT(C1032, "yyyy-mm")</f>
        <v/>
      </c>
    </row>
    <row r="1033">
      <c r="A1033" t="inlineStr">
        <is>
          <t>LN201125</t>
        </is>
      </c>
      <c r="B1033" t="inlineStr">
        <is>
          <t>BOR100835</t>
        </is>
      </c>
      <c r="C1033" s="8" t="n">
        <v>45860</v>
      </c>
      <c r="D1033" s="9" t="n">
        <v>258000</v>
      </c>
      <c r="E1033" t="n">
        <v>6</v>
      </c>
      <c r="F1033" s="10" t="n">
        <v>0.164</v>
      </c>
      <c r="G1033" t="inlineStr">
        <is>
          <t>Working Capital</t>
        </is>
      </c>
      <c r="H1033" t="inlineStr">
        <is>
          <t>LO005</t>
        </is>
      </c>
      <c r="I1033" t="inlineStr">
        <is>
          <t>Branch</t>
        </is>
      </c>
      <c r="J1033">
        <f>INDEX('Data - Borrowers'!$B$2:$B$851, MATCH(B1033, 'Data - Borrowers'!$A$2:$A$851, 0))</f>
        <v/>
      </c>
      <c r="K1033">
        <f>INDEX('Data - Borrowers'!$C$2:$C$851, MATCH(B1033, 'Data - Borrowers'!$A$2:$A$851, 0))</f>
        <v/>
      </c>
      <c r="L1033">
        <f>IF(D1033&lt;100000, "Micro (&lt;100K)", IF(D1033&lt;500000, "Small (100K-500K)", "Medium (500K+)"))</f>
        <v/>
      </c>
      <c r="M1033">
        <f>TEXT(C1033, "yyyy-mm")</f>
        <v/>
      </c>
    </row>
    <row r="1034">
      <c r="A1034" t="inlineStr">
        <is>
          <t>LN201126</t>
        </is>
      </c>
      <c r="B1034" t="inlineStr">
        <is>
          <t>BOR100836</t>
        </is>
      </c>
      <c r="C1034" s="8" t="n">
        <v>46145</v>
      </c>
      <c r="D1034" s="9" t="n">
        <v>414000</v>
      </c>
      <c r="E1034" t="n">
        <v>6</v>
      </c>
      <c r="F1034" s="10" t="n">
        <v>0.132</v>
      </c>
      <c r="G1034" t="inlineStr">
        <is>
          <t>Invoice Discounting</t>
        </is>
      </c>
      <c r="H1034" t="inlineStr">
        <is>
          <t>LO019</t>
        </is>
      </c>
      <c r="I1034" t="inlineStr">
        <is>
          <t>Mobile App</t>
        </is>
      </c>
      <c r="J1034">
        <f>INDEX('Data - Borrowers'!$B$2:$B$851, MATCH(B1034, 'Data - Borrowers'!$A$2:$A$851, 0))</f>
        <v/>
      </c>
      <c r="K1034">
        <f>INDEX('Data - Borrowers'!$C$2:$C$851, MATCH(B1034, 'Data - Borrowers'!$A$2:$A$851, 0))</f>
        <v/>
      </c>
      <c r="L1034">
        <f>IF(D1034&lt;100000, "Micro (&lt;100K)", IF(D1034&lt;500000, "Small (100K-500K)", "Medium (500K+)"))</f>
        <v/>
      </c>
      <c r="M1034">
        <f>TEXT(C1034, "yyyy-mm")</f>
        <v/>
      </c>
    </row>
    <row r="1035">
      <c r="A1035" t="inlineStr">
        <is>
          <t>LN201127</t>
        </is>
      </c>
      <c r="B1035" t="inlineStr">
        <is>
          <t>BOR100837</t>
        </is>
      </c>
      <c r="C1035" s="8" t="n">
        <v>45867</v>
      </c>
      <c r="D1035" s="9" t="n">
        <v>59000</v>
      </c>
      <c r="E1035" t="n">
        <v>3</v>
      </c>
      <c r="F1035" s="10" t="n">
        <v>0.187</v>
      </c>
      <c r="G1035" t="inlineStr">
        <is>
          <t>Asset Finance</t>
        </is>
      </c>
      <c r="H1035" t="inlineStr">
        <is>
          <t>LO017</t>
        </is>
      </c>
      <c r="I1035" t="inlineStr">
        <is>
          <t>Branch</t>
        </is>
      </c>
      <c r="J1035">
        <f>INDEX('Data - Borrowers'!$B$2:$B$851, MATCH(B1035, 'Data - Borrowers'!$A$2:$A$851, 0))</f>
        <v/>
      </c>
      <c r="K1035">
        <f>INDEX('Data - Borrowers'!$C$2:$C$851, MATCH(B1035, 'Data - Borrowers'!$A$2:$A$851, 0))</f>
        <v/>
      </c>
      <c r="L1035">
        <f>IF(D1035&lt;100000, "Micro (&lt;100K)", IF(D1035&lt;500000, "Small (100K-500K)", "Medium (500K+)"))</f>
        <v/>
      </c>
      <c r="M1035">
        <f>TEXT(C1035, "yyyy-mm")</f>
        <v/>
      </c>
    </row>
    <row r="1036">
      <c r="A1036" t="inlineStr">
        <is>
          <t>LN201128</t>
        </is>
      </c>
      <c r="B1036" t="inlineStr">
        <is>
          <t>BOR100838</t>
        </is>
      </c>
      <c r="C1036" s="8" t="n">
        <v>45813</v>
      </c>
      <c r="D1036" s="9" t="n">
        <v>21000</v>
      </c>
      <c r="E1036" t="n">
        <v>3</v>
      </c>
      <c r="F1036" s="10" t="n">
        <v>0.131</v>
      </c>
      <c r="G1036" t="inlineStr">
        <is>
          <t>Working Capital</t>
        </is>
      </c>
      <c r="H1036" t="inlineStr">
        <is>
          <t>LO022</t>
        </is>
      </c>
      <c r="I1036" t="inlineStr">
        <is>
          <t>Branch</t>
        </is>
      </c>
      <c r="J1036">
        <f>INDEX('Data - Borrowers'!$B$2:$B$851, MATCH(B1036, 'Data - Borrowers'!$A$2:$A$851, 0))</f>
        <v/>
      </c>
      <c r="K1036">
        <f>INDEX('Data - Borrowers'!$C$2:$C$851, MATCH(B1036, 'Data - Borrowers'!$A$2:$A$851, 0))</f>
        <v/>
      </c>
      <c r="L1036">
        <f>IF(D1036&lt;100000, "Micro (&lt;100K)", IF(D1036&lt;500000, "Small (100K-500K)", "Medium (500K+)"))</f>
        <v/>
      </c>
      <c r="M1036">
        <f>TEXT(C1036, "yyyy-mm")</f>
        <v/>
      </c>
    </row>
    <row r="1037">
      <c r="A1037" t="inlineStr">
        <is>
          <t>LN201129</t>
        </is>
      </c>
      <c r="B1037" t="inlineStr">
        <is>
          <t>BOR100839</t>
        </is>
      </c>
      <c r="C1037" s="8" t="n">
        <v>45955</v>
      </c>
      <c r="D1037" s="9" t="n">
        <v>34000</v>
      </c>
      <c r="E1037" t="n">
        <v>18</v>
      </c>
      <c r="F1037" s="10" t="n">
        <v>0.226</v>
      </c>
      <c r="G1037" t="inlineStr">
        <is>
          <t>Working Capital</t>
        </is>
      </c>
      <c r="H1037" t="inlineStr">
        <is>
          <t>LO015</t>
        </is>
      </c>
      <c r="I1037" t="inlineStr">
        <is>
          <t>Mobile App</t>
        </is>
      </c>
      <c r="J1037">
        <f>INDEX('Data - Borrowers'!$B$2:$B$851, MATCH(B1037, 'Data - Borrowers'!$A$2:$A$851, 0))</f>
        <v/>
      </c>
      <c r="K1037">
        <f>INDEX('Data - Borrowers'!$C$2:$C$851, MATCH(B1037, 'Data - Borrowers'!$A$2:$A$851, 0))</f>
        <v/>
      </c>
      <c r="L1037">
        <f>IF(D1037&lt;100000, "Micro (&lt;100K)", IF(D1037&lt;500000, "Small (100K-500K)", "Medium (500K+)"))</f>
        <v/>
      </c>
      <c r="M1037">
        <f>TEXT(C1037, "yyyy-mm")</f>
        <v/>
      </c>
    </row>
    <row r="1038">
      <c r="A1038" t="inlineStr">
        <is>
          <t>LN201130</t>
        </is>
      </c>
      <c r="B1038" t="inlineStr">
        <is>
          <t>BOR100840</t>
        </is>
      </c>
      <c r="C1038" s="8" t="n">
        <v>46120</v>
      </c>
      <c r="D1038" s="9" t="n">
        <v>155000</v>
      </c>
      <c r="E1038" t="n">
        <v>18</v>
      </c>
      <c r="F1038" s="10" t="n">
        <v>0.225</v>
      </c>
      <c r="G1038" t="inlineStr">
        <is>
          <t>Working Capital</t>
        </is>
      </c>
      <c r="H1038" t="inlineStr">
        <is>
          <t>LO021</t>
        </is>
      </c>
      <c r="I1038" t="inlineStr">
        <is>
          <t>Mobile App</t>
        </is>
      </c>
      <c r="J1038">
        <f>INDEX('Data - Borrowers'!$B$2:$B$851, MATCH(B1038, 'Data - Borrowers'!$A$2:$A$851, 0))</f>
        <v/>
      </c>
      <c r="K1038">
        <f>INDEX('Data - Borrowers'!$C$2:$C$851, MATCH(B1038, 'Data - Borrowers'!$A$2:$A$851, 0))</f>
        <v/>
      </c>
      <c r="L1038">
        <f>IF(D1038&lt;100000, "Micro (&lt;100K)", IF(D1038&lt;500000, "Small (100K-500K)", "Medium (500K+)"))</f>
        <v/>
      </c>
      <c r="M1038">
        <f>TEXT(C1038, "yyyy-mm")</f>
        <v/>
      </c>
    </row>
    <row r="1039">
      <c r="A1039" t="inlineStr">
        <is>
          <t>LN201131</t>
        </is>
      </c>
      <c r="B1039" t="inlineStr">
        <is>
          <t>BOR100841</t>
        </is>
      </c>
      <c r="C1039" s="8" t="n">
        <v>45948</v>
      </c>
      <c r="D1039" s="9" t="n">
        <v>226000</v>
      </c>
      <c r="E1039" t="n">
        <v>6</v>
      </c>
      <c r="F1039" s="10" t="n">
        <v>0.149</v>
      </c>
      <c r="G1039" t="inlineStr">
        <is>
          <t>Working Capital</t>
        </is>
      </c>
      <c r="H1039" t="inlineStr">
        <is>
          <t>LO023</t>
        </is>
      </c>
      <c r="I1039" t="inlineStr">
        <is>
          <t>Partner Referral</t>
        </is>
      </c>
      <c r="J1039">
        <f>INDEX('Data - Borrowers'!$B$2:$B$851, MATCH(B1039, 'Data - Borrowers'!$A$2:$A$851, 0))</f>
        <v/>
      </c>
      <c r="K1039">
        <f>INDEX('Data - Borrowers'!$C$2:$C$851, MATCH(B1039, 'Data - Borrowers'!$A$2:$A$851, 0))</f>
        <v/>
      </c>
      <c r="L1039">
        <f>IF(D1039&lt;100000, "Micro (&lt;100K)", IF(D1039&lt;500000, "Small (100K-500K)", "Medium (500K+)"))</f>
        <v/>
      </c>
      <c r="M1039">
        <f>TEXT(C1039, "yyyy-mm")</f>
        <v/>
      </c>
    </row>
    <row r="1040">
      <c r="A1040" t="inlineStr">
        <is>
          <t>LN201132</t>
        </is>
      </c>
      <c r="B1040" t="inlineStr">
        <is>
          <t>BOR100842</t>
        </is>
      </c>
      <c r="C1040" s="8" t="n">
        <v>46190</v>
      </c>
      <c r="D1040" s="9" t="n">
        <v>136000</v>
      </c>
      <c r="E1040" t="n">
        <v>3</v>
      </c>
      <c r="F1040" s="10" t="n">
        <v>0.239</v>
      </c>
      <c r="G1040" t="inlineStr">
        <is>
          <t>Working Capital</t>
        </is>
      </c>
      <c r="H1040" t="inlineStr">
        <is>
          <t>LO006</t>
        </is>
      </c>
      <c r="I1040" t="inlineStr">
        <is>
          <t>Partner Referral</t>
        </is>
      </c>
      <c r="J1040">
        <f>INDEX('Data - Borrowers'!$B$2:$B$851, MATCH(B1040, 'Data - Borrowers'!$A$2:$A$851, 0))</f>
        <v/>
      </c>
      <c r="K1040">
        <f>INDEX('Data - Borrowers'!$C$2:$C$851, MATCH(B1040, 'Data - Borrowers'!$A$2:$A$851, 0))</f>
        <v/>
      </c>
      <c r="L1040">
        <f>IF(D1040&lt;100000, "Micro (&lt;100K)", IF(D1040&lt;500000, "Small (100K-500K)", "Medium (500K+)"))</f>
        <v/>
      </c>
      <c r="M1040">
        <f>TEXT(C1040, "yyyy-mm")</f>
        <v/>
      </c>
    </row>
    <row r="1041">
      <c r="A1041" t="inlineStr">
        <is>
          <t>LN201133</t>
        </is>
      </c>
      <c r="B1041" t="inlineStr">
        <is>
          <t>BOR100843</t>
        </is>
      </c>
      <c r="C1041" s="8" t="n">
        <v>46176</v>
      </c>
      <c r="D1041" s="9" t="n">
        <v>301000</v>
      </c>
      <c r="E1041" t="n">
        <v>3</v>
      </c>
      <c r="F1041" s="10" t="n">
        <v>0.143</v>
      </c>
      <c r="G1041" t="inlineStr">
        <is>
          <t>Working Capital</t>
        </is>
      </c>
      <c r="H1041" t="inlineStr">
        <is>
          <t>LO019</t>
        </is>
      </c>
      <c r="I1041" t="inlineStr">
        <is>
          <t>Mobile App</t>
        </is>
      </c>
      <c r="J1041">
        <f>INDEX('Data - Borrowers'!$B$2:$B$851, MATCH(B1041, 'Data - Borrowers'!$A$2:$A$851, 0))</f>
        <v/>
      </c>
      <c r="K1041">
        <f>INDEX('Data - Borrowers'!$C$2:$C$851, MATCH(B1041, 'Data - Borrowers'!$A$2:$A$851, 0))</f>
        <v/>
      </c>
      <c r="L1041">
        <f>IF(D1041&lt;100000, "Micro (&lt;100K)", IF(D1041&lt;500000, "Small (100K-500K)", "Medium (500K+)"))</f>
        <v/>
      </c>
      <c r="M1041">
        <f>TEXT(C1041, "yyyy-mm")</f>
        <v/>
      </c>
    </row>
    <row r="1042">
      <c r="A1042" t="inlineStr">
        <is>
          <t>LN201134</t>
        </is>
      </c>
      <c r="B1042" t="inlineStr">
        <is>
          <t>BOR100844</t>
        </is>
      </c>
      <c r="C1042" s="8" t="n">
        <v>45746</v>
      </c>
      <c r="D1042" s="9" t="n">
        <v>203000</v>
      </c>
      <c r="E1042" t="n">
        <v>3</v>
      </c>
      <c r="F1042" s="10" t="n">
        <v>0.214</v>
      </c>
      <c r="G1042" t="inlineStr">
        <is>
          <t>Working Capital</t>
        </is>
      </c>
      <c r="H1042" t="inlineStr">
        <is>
          <t>LO014</t>
        </is>
      </c>
      <c r="I1042" t="inlineStr">
        <is>
          <t>Branch</t>
        </is>
      </c>
      <c r="J1042">
        <f>INDEX('Data - Borrowers'!$B$2:$B$851, MATCH(B1042, 'Data - Borrowers'!$A$2:$A$851, 0))</f>
        <v/>
      </c>
      <c r="K1042">
        <f>INDEX('Data - Borrowers'!$C$2:$C$851, MATCH(B1042, 'Data - Borrowers'!$A$2:$A$851, 0))</f>
        <v/>
      </c>
      <c r="L1042">
        <f>IF(D1042&lt;100000, "Micro (&lt;100K)", IF(D1042&lt;500000, "Small (100K-500K)", "Medium (500K+)"))</f>
        <v/>
      </c>
      <c r="M1042">
        <f>TEXT(C1042, "yyyy-mm")</f>
        <v/>
      </c>
    </row>
    <row r="1043">
      <c r="A1043" t="inlineStr">
        <is>
          <t>LN201135</t>
        </is>
      </c>
      <c r="B1043" t="inlineStr">
        <is>
          <t>BOR100845</t>
        </is>
      </c>
      <c r="C1043" s="8" t="n">
        <v>45805</v>
      </c>
      <c r="D1043" s="9" t="n">
        <v>250000</v>
      </c>
      <c r="E1043" t="n">
        <v>6</v>
      </c>
      <c r="F1043" s="10" t="n">
        <v>0.166</v>
      </c>
      <c r="G1043" t="inlineStr">
        <is>
          <t>Asset Finance</t>
        </is>
      </c>
      <c r="H1043" t="inlineStr">
        <is>
          <t>LO010</t>
        </is>
      </c>
      <c r="I1043" t="inlineStr">
        <is>
          <t>Branch</t>
        </is>
      </c>
      <c r="J1043">
        <f>INDEX('Data - Borrowers'!$B$2:$B$851, MATCH(B1043, 'Data - Borrowers'!$A$2:$A$851, 0))</f>
        <v/>
      </c>
      <c r="K1043">
        <f>INDEX('Data - Borrowers'!$C$2:$C$851, MATCH(B1043, 'Data - Borrowers'!$A$2:$A$851, 0))</f>
        <v/>
      </c>
      <c r="L1043">
        <f>IF(D1043&lt;100000, "Micro (&lt;100K)", IF(D1043&lt;500000, "Small (100K-500K)", "Medium (500K+)"))</f>
        <v/>
      </c>
      <c r="M1043">
        <f>TEXT(C1043, "yyyy-mm")</f>
        <v/>
      </c>
    </row>
    <row r="1044">
      <c r="A1044" t="inlineStr">
        <is>
          <t>LN201136</t>
        </is>
      </c>
      <c r="B1044" t="inlineStr">
        <is>
          <t>BOR100846</t>
        </is>
      </c>
      <c r="C1044" s="8" t="n">
        <v>45766</v>
      </c>
      <c r="D1044" s="9" t="n">
        <v>192000</v>
      </c>
      <c r="E1044" t="n">
        <v>6</v>
      </c>
      <c r="F1044" s="10" t="n">
        <v>0.212</v>
      </c>
      <c r="G1044" t="inlineStr">
        <is>
          <t>Asset Finance</t>
        </is>
      </c>
      <c r="H1044" t="inlineStr">
        <is>
          <t>LO005</t>
        </is>
      </c>
      <c r="I1044" t="inlineStr">
        <is>
          <t>Mobile App</t>
        </is>
      </c>
      <c r="J1044">
        <f>INDEX('Data - Borrowers'!$B$2:$B$851, MATCH(B1044, 'Data - Borrowers'!$A$2:$A$851, 0))</f>
        <v/>
      </c>
      <c r="K1044">
        <f>INDEX('Data - Borrowers'!$C$2:$C$851, MATCH(B1044, 'Data - Borrowers'!$A$2:$A$851, 0))</f>
        <v/>
      </c>
      <c r="L1044">
        <f>IF(D1044&lt;100000, "Micro (&lt;100K)", IF(D1044&lt;500000, "Small (100K-500K)", "Medium (500K+)"))</f>
        <v/>
      </c>
      <c r="M1044">
        <f>TEXT(C1044, "yyyy-mm")</f>
        <v/>
      </c>
    </row>
    <row r="1045">
      <c r="A1045" t="inlineStr">
        <is>
          <t>LN201137</t>
        </is>
      </c>
      <c r="B1045" t="inlineStr">
        <is>
          <t>BOR100846</t>
        </is>
      </c>
      <c r="C1045" s="8" t="n">
        <v>45911</v>
      </c>
      <c r="D1045" s="9" t="n">
        <v>92000</v>
      </c>
      <c r="E1045" t="n">
        <v>6</v>
      </c>
      <c r="F1045" s="10" t="n">
        <v>0.191</v>
      </c>
      <c r="G1045" t="inlineStr">
        <is>
          <t>Working Capital</t>
        </is>
      </c>
      <c r="H1045" t="inlineStr">
        <is>
          <t>LO010</t>
        </is>
      </c>
      <c r="I1045" t="inlineStr">
        <is>
          <t>Branch</t>
        </is>
      </c>
      <c r="J1045">
        <f>INDEX('Data - Borrowers'!$B$2:$B$851, MATCH(B1045, 'Data - Borrowers'!$A$2:$A$851, 0))</f>
        <v/>
      </c>
      <c r="K1045">
        <f>INDEX('Data - Borrowers'!$C$2:$C$851, MATCH(B1045, 'Data - Borrowers'!$A$2:$A$851, 0))</f>
        <v/>
      </c>
      <c r="L1045">
        <f>IF(D1045&lt;100000, "Micro (&lt;100K)", IF(D1045&lt;500000, "Small (100K-500K)", "Medium (500K+)"))</f>
        <v/>
      </c>
      <c r="M1045">
        <f>TEXT(C1045, "yyyy-mm")</f>
        <v/>
      </c>
    </row>
    <row r="1046">
      <c r="A1046" t="inlineStr">
        <is>
          <t>LN201138</t>
        </is>
      </c>
      <c r="B1046" t="inlineStr">
        <is>
          <t>BOR100847</t>
        </is>
      </c>
      <c r="C1046" s="8" t="n">
        <v>45849</v>
      </c>
      <c r="D1046" s="9" t="n">
        <v>368000</v>
      </c>
      <c r="E1046" t="n">
        <v>18</v>
      </c>
      <c r="F1046" s="10" t="n">
        <v>0.183</v>
      </c>
      <c r="G1046" t="inlineStr">
        <is>
          <t>Working Capital</t>
        </is>
      </c>
      <c r="H1046" t="inlineStr">
        <is>
          <t>LO017</t>
        </is>
      </c>
      <c r="I1046" t="inlineStr">
        <is>
          <t>Mobile App</t>
        </is>
      </c>
      <c r="J1046">
        <f>INDEX('Data - Borrowers'!$B$2:$B$851, MATCH(B1046, 'Data - Borrowers'!$A$2:$A$851, 0))</f>
        <v/>
      </c>
      <c r="K1046">
        <f>INDEX('Data - Borrowers'!$C$2:$C$851, MATCH(B1046, 'Data - Borrowers'!$A$2:$A$851, 0))</f>
        <v/>
      </c>
      <c r="L1046">
        <f>IF(D1046&lt;100000, "Micro (&lt;100K)", IF(D1046&lt;500000, "Small (100K-500K)", "Medium (500K+)"))</f>
        <v/>
      </c>
      <c r="M1046">
        <f>TEXT(C1046, "yyyy-mm")</f>
        <v/>
      </c>
    </row>
    <row r="1047">
      <c r="A1047" t="inlineStr">
        <is>
          <t>LN201139</t>
        </is>
      </c>
      <c r="B1047" t="inlineStr">
        <is>
          <t>BOR100847</t>
        </is>
      </c>
      <c r="C1047" s="8" t="n">
        <v>46181</v>
      </c>
      <c r="D1047" s="9" t="n">
        <v>388000</v>
      </c>
      <c r="E1047" t="n">
        <v>9</v>
      </c>
      <c r="F1047" s="10" t="n">
        <v>0.23</v>
      </c>
      <c r="G1047" t="inlineStr">
        <is>
          <t>Asset Finance</t>
        </is>
      </c>
      <c r="H1047" t="inlineStr">
        <is>
          <t>LO024</t>
        </is>
      </c>
      <c r="I1047" t="inlineStr">
        <is>
          <t>Branch</t>
        </is>
      </c>
      <c r="J1047">
        <f>INDEX('Data - Borrowers'!$B$2:$B$851, MATCH(B1047, 'Data - Borrowers'!$A$2:$A$851, 0))</f>
        <v/>
      </c>
      <c r="K1047">
        <f>INDEX('Data - Borrowers'!$C$2:$C$851, MATCH(B1047, 'Data - Borrowers'!$A$2:$A$851, 0))</f>
        <v/>
      </c>
      <c r="L1047">
        <f>IF(D1047&lt;100000, "Micro (&lt;100K)", IF(D1047&lt;500000, "Small (100K-500K)", "Medium (500K+)"))</f>
        <v/>
      </c>
      <c r="M1047">
        <f>TEXT(C1047, "yyyy-mm")</f>
        <v/>
      </c>
    </row>
    <row r="1048">
      <c r="A1048" t="inlineStr">
        <is>
          <t>LN201140</t>
        </is>
      </c>
      <c r="B1048" t="inlineStr">
        <is>
          <t>BOR100848</t>
        </is>
      </c>
      <c r="C1048" s="8" t="n">
        <v>46206</v>
      </c>
      <c r="D1048" s="9" t="n">
        <v>149000</v>
      </c>
      <c r="E1048" t="n">
        <v>3</v>
      </c>
      <c r="F1048" s="10" t="n">
        <v>0.141</v>
      </c>
      <c r="G1048" t="inlineStr">
        <is>
          <t>Invoice Discounting</t>
        </is>
      </c>
      <c r="H1048" t="inlineStr">
        <is>
          <t>LO023</t>
        </is>
      </c>
      <c r="I1048" t="inlineStr">
        <is>
          <t>Mobile App</t>
        </is>
      </c>
      <c r="J1048">
        <f>INDEX('Data - Borrowers'!$B$2:$B$851, MATCH(B1048, 'Data - Borrowers'!$A$2:$A$851, 0))</f>
        <v/>
      </c>
      <c r="K1048">
        <f>INDEX('Data - Borrowers'!$C$2:$C$851, MATCH(B1048, 'Data - Borrowers'!$A$2:$A$851, 0))</f>
        <v/>
      </c>
      <c r="L1048">
        <f>IF(D1048&lt;100000, "Micro (&lt;100K)", IF(D1048&lt;500000, "Small (100K-500K)", "Medium (500K+)"))</f>
        <v/>
      </c>
      <c r="M1048">
        <f>TEXT(C1048, "yyyy-mm")</f>
        <v/>
      </c>
    </row>
    <row r="1049">
      <c r="A1049" t="inlineStr">
        <is>
          <t>LN201142</t>
        </is>
      </c>
      <c r="B1049" t="inlineStr">
        <is>
          <t>BOR100849</t>
        </is>
      </c>
      <c r="C1049" s="8" t="n">
        <v>45723</v>
      </c>
      <c r="D1049" s="9" t="n">
        <v>221000</v>
      </c>
      <c r="E1049" t="n">
        <v>3</v>
      </c>
      <c r="F1049" s="10" t="n">
        <v>0.227</v>
      </c>
      <c r="G1049" t="inlineStr">
        <is>
          <t>Working Capital</t>
        </is>
      </c>
      <c r="H1049" t="inlineStr">
        <is>
          <t>LO001</t>
        </is>
      </c>
      <c r="I1049" t="inlineStr">
        <is>
          <t>Partner Referral</t>
        </is>
      </c>
      <c r="J1049">
        <f>INDEX('Data - Borrowers'!$B$2:$B$851, MATCH(B1049, 'Data - Borrowers'!$A$2:$A$851, 0))</f>
        <v/>
      </c>
      <c r="K1049">
        <f>INDEX('Data - Borrowers'!$C$2:$C$851, MATCH(B1049, 'Data - Borrowers'!$A$2:$A$851, 0))</f>
        <v/>
      </c>
      <c r="L1049">
        <f>IF(D1049&lt;100000, "Micro (&lt;100K)", IF(D1049&lt;500000, "Small (100K-500K)", "Medium (500K+)"))</f>
        <v/>
      </c>
      <c r="M1049">
        <f>TEXT(C1049, "yyyy-mm")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4" customWidth="1" min="5" max="5"/>
    <col width="1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6" t="inlineStr">
        <is>
          <t>repayment_id</t>
        </is>
      </c>
      <c r="B1" s="6" t="inlineStr">
        <is>
          <t>loan_id</t>
        </is>
      </c>
      <c r="C1" s="6" t="inlineStr">
        <is>
          <t>installment_no</t>
        </is>
      </c>
      <c r="D1" s="6" t="inlineStr">
        <is>
          <t>due_date</t>
        </is>
      </c>
      <c r="E1" s="6" t="inlineStr">
        <is>
          <t>due_amount</t>
        </is>
      </c>
      <c r="F1" s="6" t="inlineStr">
        <is>
          <t>payment_date</t>
        </is>
      </c>
      <c r="G1" s="6" t="inlineStr">
        <is>
          <t>paid_amount</t>
        </is>
      </c>
      <c r="H1" s="6" t="inlineStr">
        <is>
          <t>status</t>
        </is>
      </c>
      <c r="I1" s="6" t="inlineStr">
        <is>
          <t>dpd_days</t>
        </is>
      </c>
      <c r="J1" s="6" t="inlineStr">
        <is>
          <t>pay_month</t>
        </is>
      </c>
    </row>
    <row r="2">
      <c r="A2" t="inlineStr">
        <is>
          <t>RP0000001</t>
        </is>
      </c>
      <c r="B2" t="inlineStr">
        <is>
          <t>LN200001</t>
        </is>
      </c>
      <c r="C2" t="n">
        <v>1</v>
      </c>
      <c r="D2" s="8" t="n">
        <v>45730</v>
      </c>
      <c r="E2" s="9" t="n">
        <v>7793.5</v>
      </c>
      <c r="F2" s="8" t="n">
        <v>45727</v>
      </c>
      <c r="G2" s="9" t="n">
        <v>7793.5</v>
      </c>
      <c r="H2" t="inlineStr">
        <is>
          <t>PAID_ON_TIME</t>
        </is>
      </c>
      <c r="I2">
        <f>IF(H2="UNPAID", AsOfDate-D2, 0)</f>
        <v/>
      </c>
      <c r="J2">
        <f>IF(F2&lt;&gt;"", TEXT(F2, "yyyy-mm"), "")</f>
        <v/>
      </c>
    </row>
    <row r="3">
      <c r="A3" t="inlineStr">
        <is>
          <t>RP0000002</t>
        </is>
      </c>
      <c r="B3" t="inlineStr">
        <is>
          <t>LN200001</t>
        </is>
      </c>
      <c r="C3" t="n">
        <v>2</v>
      </c>
      <c r="D3" s="8" t="n">
        <v>45761</v>
      </c>
      <c r="E3" s="9" t="n">
        <v>7793.5</v>
      </c>
      <c r="F3" s="8" t="n">
        <v>45764</v>
      </c>
      <c r="G3" s="9" t="n">
        <v>7793.5</v>
      </c>
      <c r="H3" t="inlineStr">
        <is>
          <t>PAID_ON_TIME</t>
        </is>
      </c>
      <c r="I3">
        <f>IF(H3="UNPAID", AsOfDate-D3, 0)</f>
        <v/>
      </c>
      <c r="J3">
        <f>IF(F3&lt;&gt;"", TEXT(F3, "yyyy-mm"), "")</f>
        <v/>
      </c>
    </row>
    <row r="4">
      <c r="A4" t="inlineStr">
        <is>
          <t>RP0000003</t>
        </is>
      </c>
      <c r="B4" t="inlineStr">
        <is>
          <t>LN200001</t>
        </is>
      </c>
      <c r="C4" t="n">
        <v>3</v>
      </c>
      <c r="D4" s="8" t="n">
        <v>45791</v>
      </c>
      <c r="E4" s="9" t="n">
        <v>7793.5</v>
      </c>
      <c r="F4" s="8" t="n">
        <v>45795</v>
      </c>
      <c r="G4" s="9" t="n">
        <v>7793.5</v>
      </c>
      <c r="H4" t="inlineStr">
        <is>
          <t>PAID_ON_TIME</t>
        </is>
      </c>
      <c r="I4">
        <f>IF(H4="UNPAID", AsOfDate-D4, 0)</f>
        <v/>
      </c>
      <c r="J4">
        <f>IF(F4&lt;&gt;"", TEXT(F4, "yyyy-mm"), "")</f>
        <v/>
      </c>
    </row>
    <row r="5">
      <c r="A5" t="inlineStr">
        <is>
          <t>RP0000004</t>
        </is>
      </c>
      <c r="B5" t="inlineStr">
        <is>
          <t>LN200001</t>
        </is>
      </c>
      <c r="C5" t="n">
        <v>4</v>
      </c>
      <c r="D5" s="8" t="n">
        <v>45822</v>
      </c>
      <c r="E5" s="9" t="n">
        <v>7793.5</v>
      </c>
      <c r="F5" s="8" t="n">
        <v>45824</v>
      </c>
      <c r="G5" s="9" t="n">
        <v>7793.5</v>
      </c>
      <c r="H5" t="inlineStr">
        <is>
          <t>PAID_ON_TIME</t>
        </is>
      </c>
      <c r="I5">
        <f>IF(H5="UNPAID", AsOfDate-D5, 0)</f>
        <v/>
      </c>
      <c r="J5">
        <f>IF(F5&lt;&gt;"", TEXT(F5, "yyyy-mm"), "")</f>
        <v/>
      </c>
    </row>
    <row r="6">
      <c r="A6" t="inlineStr">
        <is>
          <t>RP0000005</t>
        </is>
      </c>
      <c r="B6" t="inlineStr">
        <is>
          <t>LN200001</t>
        </is>
      </c>
      <c r="C6" t="n">
        <v>5</v>
      </c>
      <c r="D6" s="8" t="n">
        <v>45852</v>
      </c>
      <c r="E6" s="9" t="n">
        <v>7793.5</v>
      </c>
      <c r="F6" s="8" t="n">
        <v>45855</v>
      </c>
      <c r="G6" s="9" t="n">
        <v>7793.5</v>
      </c>
      <c r="H6" t="inlineStr">
        <is>
          <t>PAID_ON_TIME</t>
        </is>
      </c>
      <c r="I6">
        <f>IF(H6="UNPAID", AsOfDate-D6, 0)</f>
        <v/>
      </c>
      <c r="J6">
        <f>IF(F6&lt;&gt;"", TEXT(F6, "yyyy-mm"), "")</f>
        <v/>
      </c>
    </row>
    <row r="7">
      <c r="A7" t="inlineStr">
        <is>
          <t>RP0000006</t>
        </is>
      </c>
      <c r="B7" t="inlineStr">
        <is>
          <t>LN200001</t>
        </is>
      </c>
      <c r="C7" t="n">
        <v>6</v>
      </c>
      <c r="D7" s="8" t="n">
        <v>45883</v>
      </c>
      <c r="E7" s="9" t="n">
        <v>7793.5</v>
      </c>
      <c r="F7" s="8" t="n">
        <v>45880</v>
      </c>
      <c r="G7" s="9" t="n">
        <v>7793.5</v>
      </c>
      <c r="H7" t="inlineStr">
        <is>
          <t>PAID_ON_TIME</t>
        </is>
      </c>
      <c r="I7">
        <f>IF(H7="UNPAID", AsOfDate-D7, 0)</f>
        <v/>
      </c>
      <c r="J7">
        <f>IF(F7&lt;&gt;"", TEXT(F7, "yyyy-mm"), "")</f>
        <v/>
      </c>
    </row>
    <row r="8">
      <c r="A8" t="inlineStr">
        <is>
          <t>RP0000007</t>
        </is>
      </c>
      <c r="B8" t="inlineStr">
        <is>
          <t>LN200001</t>
        </is>
      </c>
      <c r="C8" t="n">
        <v>7</v>
      </c>
      <c r="D8" s="8" t="n">
        <v>45914</v>
      </c>
      <c r="E8" s="9" t="n">
        <v>7793.5</v>
      </c>
      <c r="F8" s="8" t="n">
        <v>45917</v>
      </c>
      <c r="G8" s="9" t="n">
        <v>7793.5</v>
      </c>
      <c r="H8" t="inlineStr">
        <is>
          <t>PAID_ON_TIME</t>
        </is>
      </c>
      <c r="I8">
        <f>IF(H8="UNPAID", AsOfDate-D8, 0)</f>
        <v/>
      </c>
      <c r="J8">
        <f>IF(F8&lt;&gt;"", TEXT(F8, "yyyy-mm"), "")</f>
        <v/>
      </c>
    </row>
    <row r="9">
      <c r="A9" t="inlineStr">
        <is>
          <t>RP0000008</t>
        </is>
      </c>
      <c r="B9" t="inlineStr">
        <is>
          <t>LN200001</t>
        </is>
      </c>
      <c r="C9" t="n">
        <v>8</v>
      </c>
      <c r="D9" s="8" t="n">
        <v>45944</v>
      </c>
      <c r="E9" s="9" t="n">
        <v>7793.5</v>
      </c>
      <c r="F9" s="8" t="n">
        <v>45947</v>
      </c>
      <c r="G9" s="9" t="n">
        <v>7793.5</v>
      </c>
      <c r="H9" t="inlineStr">
        <is>
          <t>PAID_ON_TIME</t>
        </is>
      </c>
      <c r="I9">
        <f>IF(H9="UNPAID", AsOfDate-D9, 0)</f>
        <v/>
      </c>
      <c r="J9">
        <f>IF(F9&lt;&gt;"", TEXT(F9, "yyyy-mm"), "")</f>
        <v/>
      </c>
    </row>
    <row r="10">
      <c r="A10" t="inlineStr">
        <is>
          <t>RP0000009</t>
        </is>
      </c>
      <c r="B10" t="inlineStr">
        <is>
          <t>LN200001</t>
        </is>
      </c>
      <c r="C10" t="n">
        <v>9</v>
      </c>
      <c r="D10" s="8" t="n">
        <v>45975</v>
      </c>
      <c r="E10" s="9" t="n">
        <v>7793.5</v>
      </c>
      <c r="F10" s="8" t="n">
        <v>45978</v>
      </c>
      <c r="G10" s="9" t="n">
        <v>7793.5</v>
      </c>
      <c r="H10" t="inlineStr">
        <is>
          <t>PAID_ON_TIME</t>
        </is>
      </c>
      <c r="I10">
        <f>IF(H10="UNPAID", AsOfDate-D10, 0)</f>
        <v/>
      </c>
      <c r="J10">
        <f>IF(F10&lt;&gt;"", TEXT(F10, "yyyy-mm"), "")</f>
        <v/>
      </c>
    </row>
    <row r="11">
      <c r="A11" t="inlineStr">
        <is>
          <t>RP0000010</t>
        </is>
      </c>
      <c r="B11" t="inlineStr">
        <is>
          <t>LN200001</t>
        </is>
      </c>
      <c r="C11" t="n">
        <v>10</v>
      </c>
      <c r="D11" s="8" t="n">
        <v>46005</v>
      </c>
      <c r="E11" s="9" t="n">
        <v>7793.5</v>
      </c>
      <c r="F11" s="8" t="n">
        <v>46003</v>
      </c>
      <c r="G11" s="9" t="n">
        <v>7793.5</v>
      </c>
      <c r="H11" t="inlineStr">
        <is>
          <t>PAID_ON_TIME</t>
        </is>
      </c>
      <c r="I11">
        <f>IF(H11="UNPAID", AsOfDate-D11, 0)</f>
        <v/>
      </c>
      <c r="J11">
        <f>IF(F11&lt;&gt;"", TEXT(F11, "yyyy-mm"), "")</f>
        <v/>
      </c>
    </row>
    <row r="12">
      <c r="A12" t="inlineStr">
        <is>
          <t>RP0000011</t>
        </is>
      </c>
      <c r="B12" t="inlineStr">
        <is>
          <t>LN200001</t>
        </is>
      </c>
      <c r="C12" t="n">
        <v>11</v>
      </c>
      <c r="D12" s="8" t="n">
        <v>46036</v>
      </c>
      <c r="E12" s="9" t="n">
        <v>7793.5</v>
      </c>
      <c r="F12" s="8" t="n">
        <v>46035</v>
      </c>
      <c r="G12" s="9" t="n">
        <v>7793.5</v>
      </c>
      <c r="H12" t="inlineStr">
        <is>
          <t>PAID_ON_TIME</t>
        </is>
      </c>
      <c r="I12">
        <f>IF(H12="UNPAID", AsOfDate-D12, 0)</f>
        <v/>
      </c>
      <c r="J12">
        <f>IF(F12&lt;&gt;"", TEXT(F12, "yyyy-mm"), "")</f>
        <v/>
      </c>
    </row>
    <row r="13">
      <c r="A13" t="inlineStr">
        <is>
          <t>RP0000012</t>
        </is>
      </c>
      <c r="B13" t="inlineStr">
        <is>
          <t>LN200001</t>
        </is>
      </c>
      <c r="C13" t="n">
        <v>12</v>
      </c>
      <c r="D13" s="8" t="n">
        <v>46067</v>
      </c>
      <c r="E13" s="9" t="n">
        <v>7793.5</v>
      </c>
      <c r="F13" s="8" t="n">
        <v>46069</v>
      </c>
      <c r="G13" s="9" t="n">
        <v>7793.5</v>
      </c>
      <c r="H13" t="inlineStr">
        <is>
          <t>PAID_ON_TIME</t>
        </is>
      </c>
      <c r="I13">
        <f>IF(H13="UNPAID", AsOfDate-D13, 0)</f>
        <v/>
      </c>
      <c r="J13">
        <f>IF(F13&lt;&gt;"", TEXT(F13, "yyyy-mm"), "")</f>
        <v/>
      </c>
    </row>
    <row r="14">
      <c r="A14" t="inlineStr">
        <is>
          <t>RP0000013</t>
        </is>
      </c>
      <c r="B14" t="inlineStr">
        <is>
          <t>LN200002</t>
        </is>
      </c>
      <c r="C14" t="n">
        <v>1</v>
      </c>
      <c r="D14" s="8" t="n">
        <v>46107</v>
      </c>
      <c r="E14" s="9" t="n">
        <v>14209.92</v>
      </c>
      <c r="F14" s="8" t="n">
        <v>46107</v>
      </c>
      <c r="G14" s="9" t="n">
        <v>14209.92</v>
      </c>
      <c r="H14" t="inlineStr">
        <is>
          <t>PAID_ON_TIME</t>
        </is>
      </c>
      <c r="I14">
        <f>IF(H14="UNPAID", AsOfDate-D14, 0)</f>
        <v/>
      </c>
      <c r="J14">
        <f>IF(F14&lt;&gt;"", TEXT(F14, "yyyy-mm"), "")</f>
        <v/>
      </c>
    </row>
    <row r="15">
      <c r="A15" t="inlineStr">
        <is>
          <t>RP0000014</t>
        </is>
      </c>
      <c r="B15" t="inlineStr">
        <is>
          <t>LN200002</t>
        </is>
      </c>
      <c r="C15" t="n">
        <v>2</v>
      </c>
      <c r="D15" s="8" t="n">
        <v>46138</v>
      </c>
      <c r="E15" s="9" t="n">
        <v>14209.92</v>
      </c>
      <c r="F15" s="8" t="n">
        <v>46137</v>
      </c>
      <c r="G15" s="9" t="n">
        <v>14209.92</v>
      </c>
      <c r="H15" t="inlineStr">
        <is>
          <t>PAID_ON_TIME</t>
        </is>
      </c>
      <c r="I15">
        <f>IF(H15="UNPAID", AsOfDate-D15, 0)</f>
        <v/>
      </c>
      <c r="J15">
        <f>IF(F15&lt;&gt;"", TEXT(F15, "yyyy-mm"), "")</f>
        <v/>
      </c>
    </row>
    <row r="16">
      <c r="A16" t="inlineStr">
        <is>
          <t>RP0000015</t>
        </is>
      </c>
      <c r="B16" t="inlineStr">
        <is>
          <t>LN200002</t>
        </is>
      </c>
      <c r="C16" t="n">
        <v>3</v>
      </c>
      <c r="D16" s="8" t="n">
        <v>46168</v>
      </c>
      <c r="E16" s="9" t="n">
        <v>14209.92</v>
      </c>
      <c r="F16" s="8" t="n">
        <v>46168</v>
      </c>
      <c r="G16" s="9" t="n">
        <v>14209.92</v>
      </c>
      <c r="H16" t="inlineStr">
        <is>
          <t>PAID_ON_TIME</t>
        </is>
      </c>
      <c r="I16">
        <f>IF(H16="UNPAID", AsOfDate-D16, 0)</f>
        <v/>
      </c>
      <c r="J16">
        <f>IF(F16&lt;&gt;"", TEXT(F16, "yyyy-mm"), "")</f>
        <v/>
      </c>
    </row>
    <row r="17">
      <c r="A17" t="inlineStr">
        <is>
          <t>RP0000016</t>
        </is>
      </c>
      <c r="B17" t="inlineStr">
        <is>
          <t>LN200003</t>
        </is>
      </c>
      <c r="C17" t="n">
        <v>1</v>
      </c>
      <c r="D17" s="8" t="n">
        <v>46029</v>
      </c>
      <c r="E17" s="9" t="n">
        <v>19313.06</v>
      </c>
      <c r="F17" s="8" t="n">
        <v>46031</v>
      </c>
      <c r="G17" s="9" t="n">
        <v>19313.06</v>
      </c>
      <c r="H17" t="inlineStr">
        <is>
          <t>PAID_ON_TIME</t>
        </is>
      </c>
      <c r="I17">
        <f>IF(H17="UNPAID", AsOfDate-D17, 0)</f>
        <v/>
      </c>
      <c r="J17">
        <f>IF(F17&lt;&gt;"", TEXT(F17, "yyyy-mm"), "")</f>
        <v/>
      </c>
    </row>
    <row r="18">
      <c r="A18" t="inlineStr">
        <is>
          <t>RP0000017</t>
        </is>
      </c>
      <c r="B18" t="inlineStr">
        <is>
          <t>LN200003</t>
        </is>
      </c>
      <c r="C18" t="n">
        <v>2</v>
      </c>
      <c r="D18" s="8" t="n">
        <v>46060</v>
      </c>
      <c r="E18" s="9" t="n">
        <v>19313.06</v>
      </c>
      <c r="F18" s="8" t="n">
        <v>46064</v>
      </c>
      <c r="G18" s="9" t="n">
        <v>19313.06</v>
      </c>
      <c r="H18" t="inlineStr">
        <is>
          <t>PAID_ON_TIME</t>
        </is>
      </c>
      <c r="I18">
        <f>IF(H18="UNPAID", AsOfDate-D18, 0)</f>
        <v/>
      </c>
      <c r="J18">
        <f>IF(F18&lt;&gt;"", TEXT(F18, "yyyy-mm"), "")</f>
        <v/>
      </c>
    </row>
    <row r="19">
      <c r="A19" t="inlineStr">
        <is>
          <t>RP0000018</t>
        </is>
      </c>
      <c r="B19" t="inlineStr">
        <is>
          <t>LN200003</t>
        </is>
      </c>
      <c r="C19" t="n">
        <v>3</v>
      </c>
      <c r="D19" s="8" t="n">
        <v>46088</v>
      </c>
      <c r="E19" s="9" t="n">
        <v>19313.06</v>
      </c>
      <c r="F19" s="8" t="n">
        <v>46088</v>
      </c>
      <c r="G19" s="9" t="n">
        <v>19313.06</v>
      </c>
      <c r="H19" t="inlineStr">
        <is>
          <t>PAID_ON_TIME</t>
        </is>
      </c>
      <c r="I19">
        <f>IF(H19="UNPAID", AsOfDate-D19, 0)</f>
        <v/>
      </c>
      <c r="J19">
        <f>IF(F19&lt;&gt;"", TEXT(F19, "yyyy-mm"), "")</f>
        <v/>
      </c>
    </row>
    <row r="20">
      <c r="A20" t="inlineStr">
        <is>
          <t>RP0000019</t>
        </is>
      </c>
      <c r="B20" t="inlineStr">
        <is>
          <t>LN200003</t>
        </is>
      </c>
      <c r="C20" t="n">
        <v>4</v>
      </c>
      <c r="D20" s="8" t="n">
        <v>46119</v>
      </c>
      <c r="E20" s="9" t="n">
        <v>19313.06</v>
      </c>
      <c r="F20" s="8" t="n">
        <v>46130</v>
      </c>
      <c r="G20" s="9" t="n">
        <v>19313.06</v>
      </c>
      <c r="H20" t="inlineStr">
        <is>
          <t>PAID_LATE</t>
        </is>
      </c>
      <c r="I20">
        <f>IF(H20="UNPAID", AsOfDate-D20, 0)</f>
        <v/>
      </c>
      <c r="J20">
        <f>IF(F20&lt;&gt;"", TEXT(F20, "yyyy-mm"), "")</f>
        <v/>
      </c>
    </row>
    <row r="21">
      <c r="A21" t="inlineStr">
        <is>
          <t>RP0000020</t>
        </is>
      </c>
      <c r="B21" t="inlineStr">
        <is>
          <t>LN200003</t>
        </is>
      </c>
      <c r="C21" t="n">
        <v>5</v>
      </c>
      <c r="D21" s="8" t="n">
        <v>46149</v>
      </c>
      <c r="E21" s="9" t="n">
        <v>19313.06</v>
      </c>
      <c r="F21" s="8" t="n">
        <v>46152</v>
      </c>
      <c r="G21" s="9" t="n">
        <v>19313.06</v>
      </c>
      <c r="H21" t="inlineStr">
        <is>
          <t>PAID_ON_TIME</t>
        </is>
      </c>
      <c r="I21">
        <f>IF(H21="UNPAID", AsOfDate-D21, 0)</f>
        <v/>
      </c>
      <c r="J21">
        <f>IF(F21&lt;&gt;"", TEXT(F21, "yyyy-mm"), "")</f>
        <v/>
      </c>
    </row>
    <row r="22">
      <c r="A22" t="inlineStr">
        <is>
          <t>RP0000021</t>
        </is>
      </c>
      <c r="B22" t="inlineStr">
        <is>
          <t>LN200003</t>
        </is>
      </c>
      <c r="C22" t="n">
        <v>6</v>
      </c>
      <c r="D22" s="8" t="n">
        <v>46180</v>
      </c>
      <c r="E22" s="9" t="n">
        <v>19313.06</v>
      </c>
      <c r="F22" s="8" t="n"/>
      <c r="G22" s="9" t="n">
        <v>0</v>
      </c>
      <c r="H22" t="inlineStr">
        <is>
          <t>UNPAID</t>
        </is>
      </c>
      <c r="I22">
        <f>IF(H22="UNPAID", AsOfDate-D22, 0)</f>
        <v/>
      </c>
      <c r="J22">
        <f>IF(F22&lt;&gt;"", TEXT(F22, "yyyy-mm"), "")</f>
        <v/>
      </c>
    </row>
    <row r="23">
      <c r="A23" t="inlineStr">
        <is>
          <t>RP0000022</t>
        </is>
      </c>
      <c r="B23" t="inlineStr">
        <is>
          <t>LN200003</t>
        </is>
      </c>
      <c r="C23" t="n">
        <v>7</v>
      </c>
      <c r="D23" s="8" t="n">
        <v>46210</v>
      </c>
      <c r="E23" s="9" t="n">
        <v>19313.06</v>
      </c>
      <c r="F23" s="8" t="n">
        <v>46207</v>
      </c>
      <c r="G23" s="9" t="n">
        <v>19313.06</v>
      </c>
      <c r="H23" t="inlineStr">
        <is>
          <t>PAID_ON_TIME</t>
        </is>
      </c>
      <c r="I23">
        <f>IF(H23="UNPAID", AsOfDate-D23, 0)</f>
        <v/>
      </c>
      <c r="J23">
        <f>IF(F23&lt;&gt;"", TEXT(F23, "yyyy-mm"), "")</f>
        <v/>
      </c>
    </row>
    <row r="24">
      <c r="A24" t="inlineStr">
        <is>
          <t>RP0000023</t>
        </is>
      </c>
      <c r="B24" t="inlineStr">
        <is>
          <t>LN200003</t>
        </is>
      </c>
      <c r="C24" t="n">
        <v>8</v>
      </c>
      <c r="D24" s="8" t="n">
        <v>46241</v>
      </c>
      <c r="E24" s="9" t="n">
        <v>19313.06</v>
      </c>
      <c r="F24" s="8" t="n">
        <v>46240</v>
      </c>
      <c r="G24" s="9" t="n">
        <v>19313.06</v>
      </c>
      <c r="H24" t="inlineStr">
        <is>
          <t>PAID_ON_TIME</t>
        </is>
      </c>
      <c r="I24">
        <f>IF(H24="UNPAID", AsOfDate-D24, 0)</f>
        <v/>
      </c>
      <c r="J24">
        <f>IF(F24&lt;&gt;"", TEXT(F24, "yyyy-mm"), "")</f>
        <v/>
      </c>
    </row>
    <row r="25">
      <c r="A25" t="inlineStr">
        <is>
          <t>RP0000024</t>
        </is>
      </c>
      <c r="B25" t="inlineStr">
        <is>
          <t>LN200003</t>
        </is>
      </c>
      <c r="C25" t="n">
        <v>9</v>
      </c>
      <c r="D25" s="8" t="n">
        <v>46272</v>
      </c>
      <c r="E25" s="9" t="n">
        <v>19313.06</v>
      </c>
      <c r="F25" s="8" t="n"/>
      <c r="G25" s="9" t="n">
        <v>0</v>
      </c>
      <c r="H25" t="inlineStr">
        <is>
          <t>NOT_DUE</t>
        </is>
      </c>
      <c r="I25">
        <f>IF(H25="UNPAID", AsOfDate-D25, 0)</f>
        <v/>
      </c>
      <c r="J25">
        <f>IF(F25&lt;&gt;"", TEXT(F25, "yyyy-mm"), "")</f>
        <v/>
      </c>
    </row>
    <row r="26">
      <c r="A26" t="inlineStr">
        <is>
          <t>RP0000025</t>
        </is>
      </c>
      <c r="B26" t="inlineStr">
        <is>
          <t>LN200003</t>
        </is>
      </c>
      <c r="C26" t="n">
        <v>10</v>
      </c>
      <c r="D26" s="8" t="n">
        <v>46302</v>
      </c>
      <c r="E26" s="9" t="n">
        <v>19313.06</v>
      </c>
      <c r="F26" s="8" t="n"/>
      <c r="G26" s="9" t="n">
        <v>0</v>
      </c>
      <c r="H26" t="inlineStr">
        <is>
          <t>NOT_DUE</t>
        </is>
      </c>
      <c r="I26">
        <f>IF(H26="UNPAID", AsOfDate-D26, 0)</f>
        <v/>
      </c>
      <c r="J26">
        <f>IF(F26&lt;&gt;"", TEXT(F26, "yyyy-mm"), "")</f>
        <v/>
      </c>
    </row>
    <row r="27">
      <c r="A27" t="inlineStr">
        <is>
          <t>RP0000026</t>
        </is>
      </c>
      <c r="B27" t="inlineStr">
        <is>
          <t>LN200003</t>
        </is>
      </c>
      <c r="C27" t="n">
        <v>11</v>
      </c>
      <c r="D27" s="8" t="n">
        <v>46333</v>
      </c>
      <c r="E27" s="9" t="n">
        <v>19313.06</v>
      </c>
      <c r="F27" s="8" t="n"/>
      <c r="G27" s="9" t="n">
        <v>0</v>
      </c>
      <c r="H27" t="inlineStr">
        <is>
          <t>NOT_DUE</t>
        </is>
      </c>
      <c r="I27">
        <f>IF(H27="UNPAID", AsOfDate-D27, 0)</f>
        <v/>
      </c>
      <c r="J27">
        <f>IF(F27&lt;&gt;"", TEXT(F27, "yyyy-mm"), "")</f>
        <v/>
      </c>
    </row>
    <row r="28">
      <c r="A28" t="inlineStr">
        <is>
          <t>RP0000027</t>
        </is>
      </c>
      <c r="B28" t="inlineStr">
        <is>
          <t>LN200003</t>
        </is>
      </c>
      <c r="C28" t="n">
        <v>12</v>
      </c>
      <c r="D28" s="8" t="n">
        <v>46363</v>
      </c>
      <c r="E28" s="9" t="n">
        <v>19313.06</v>
      </c>
      <c r="F28" s="8" t="n"/>
      <c r="G28" s="9" t="n">
        <v>0</v>
      </c>
      <c r="H28" t="inlineStr">
        <is>
          <t>NOT_DUE</t>
        </is>
      </c>
      <c r="I28">
        <f>IF(H28="UNPAID", AsOfDate-D28, 0)</f>
        <v/>
      </c>
      <c r="J28">
        <f>IF(F28&lt;&gt;"", TEXT(F28, "yyyy-mm"), "")</f>
        <v/>
      </c>
    </row>
    <row r="29">
      <c r="A29" t="inlineStr">
        <is>
          <t>RP0000028</t>
        </is>
      </c>
      <c r="B29" t="inlineStr">
        <is>
          <t>LN200003</t>
        </is>
      </c>
      <c r="C29" t="n">
        <v>13</v>
      </c>
      <c r="D29" s="8" t="n">
        <v>46394</v>
      </c>
      <c r="E29" s="9" t="n">
        <v>19313.06</v>
      </c>
      <c r="F29" s="8" t="n"/>
      <c r="G29" s="9" t="n">
        <v>0</v>
      </c>
      <c r="H29" t="inlineStr">
        <is>
          <t>NOT_DUE</t>
        </is>
      </c>
      <c r="I29">
        <f>IF(H29="UNPAID", AsOfDate-D29, 0)</f>
        <v/>
      </c>
      <c r="J29">
        <f>IF(F29&lt;&gt;"", TEXT(F29, "yyyy-mm"), "")</f>
        <v/>
      </c>
    </row>
    <row r="30">
      <c r="A30" t="inlineStr">
        <is>
          <t>RP0000029</t>
        </is>
      </c>
      <c r="B30" t="inlineStr">
        <is>
          <t>LN200003</t>
        </is>
      </c>
      <c r="C30" t="n">
        <v>14</v>
      </c>
      <c r="D30" s="8" t="n">
        <v>46425</v>
      </c>
      <c r="E30" s="9" t="n">
        <v>19313.06</v>
      </c>
      <c r="F30" s="8" t="n"/>
      <c r="G30" s="9" t="n">
        <v>0</v>
      </c>
      <c r="H30" t="inlineStr">
        <is>
          <t>NOT_DUE</t>
        </is>
      </c>
      <c r="I30">
        <f>IF(H30="UNPAID", AsOfDate-D30, 0)</f>
        <v/>
      </c>
      <c r="J30">
        <f>IF(F30&lt;&gt;"", TEXT(F30, "yyyy-mm"), "")</f>
        <v/>
      </c>
    </row>
    <row r="31">
      <c r="A31" t="inlineStr">
        <is>
          <t>RP0000030</t>
        </is>
      </c>
      <c r="B31" t="inlineStr">
        <is>
          <t>LN200003</t>
        </is>
      </c>
      <c r="C31" t="n">
        <v>15</v>
      </c>
      <c r="D31" s="8" t="n">
        <v>46453</v>
      </c>
      <c r="E31" s="9" t="n">
        <v>19313.06</v>
      </c>
      <c r="F31" s="8" t="n"/>
      <c r="G31" s="9" t="n">
        <v>0</v>
      </c>
      <c r="H31" t="inlineStr">
        <is>
          <t>NOT_DUE</t>
        </is>
      </c>
      <c r="I31">
        <f>IF(H31="UNPAID", AsOfDate-D31, 0)</f>
        <v/>
      </c>
      <c r="J31">
        <f>IF(F31&lt;&gt;"", TEXT(F31, "yyyy-mm"), "")</f>
        <v/>
      </c>
    </row>
    <row r="32">
      <c r="A32" t="inlineStr">
        <is>
          <t>RP0000031</t>
        </is>
      </c>
      <c r="B32" t="inlineStr">
        <is>
          <t>LN200003</t>
        </is>
      </c>
      <c r="C32" t="n">
        <v>16</v>
      </c>
      <c r="D32" s="8" t="n">
        <v>46484</v>
      </c>
      <c r="E32" s="9" t="n">
        <v>19313.06</v>
      </c>
      <c r="F32" s="8" t="n"/>
      <c r="G32" s="9" t="n">
        <v>0</v>
      </c>
      <c r="H32" t="inlineStr">
        <is>
          <t>NOT_DUE</t>
        </is>
      </c>
      <c r="I32">
        <f>IF(H32="UNPAID", AsOfDate-D32, 0)</f>
        <v/>
      </c>
      <c r="J32">
        <f>IF(F32&lt;&gt;"", TEXT(F32, "yyyy-mm"), "")</f>
        <v/>
      </c>
    </row>
    <row r="33">
      <c r="A33" t="inlineStr">
        <is>
          <t>RP0000032</t>
        </is>
      </c>
      <c r="B33" t="inlineStr">
        <is>
          <t>LN200003</t>
        </is>
      </c>
      <c r="C33" t="n">
        <v>17</v>
      </c>
      <c r="D33" s="8" t="n">
        <v>46514</v>
      </c>
      <c r="E33" s="9" t="n">
        <v>19313.06</v>
      </c>
      <c r="F33" s="8" t="n"/>
      <c r="G33" s="9" t="n">
        <v>0</v>
      </c>
      <c r="H33" t="inlineStr">
        <is>
          <t>NOT_DUE</t>
        </is>
      </c>
      <c r="I33">
        <f>IF(H33="UNPAID", AsOfDate-D33, 0)</f>
        <v/>
      </c>
      <c r="J33">
        <f>IF(F33&lt;&gt;"", TEXT(F33, "yyyy-mm"), "")</f>
        <v/>
      </c>
    </row>
    <row r="34">
      <c r="A34" t="inlineStr">
        <is>
          <t>RP0000033</t>
        </is>
      </c>
      <c r="B34" t="inlineStr">
        <is>
          <t>LN200003</t>
        </is>
      </c>
      <c r="C34" t="n">
        <v>18</v>
      </c>
      <c r="D34" s="8" t="n">
        <v>46545</v>
      </c>
      <c r="E34" s="9" t="n">
        <v>19313.06</v>
      </c>
      <c r="F34" s="8" t="n"/>
      <c r="G34" s="9" t="n">
        <v>0</v>
      </c>
      <c r="H34" t="inlineStr">
        <is>
          <t>NOT_DUE</t>
        </is>
      </c>
      <c r="I34">
        <f>IF(H34="UNPAID", AsOfDate-D34, 0)</f>
        <v/>
      </c>
      <c r="J34">
        <f>IF(F34&lt;&gt;"", TEXT(F34, "yyyy-mm"), "")</f>
        <v/>
      </c>
    </row>
    <row r="35">
      <c r="A35" t="inlineStr">
        <is>
          <t>RP0000034</t>
        </is>
      </c>
      <c r="B35" t="inlineStr">
        <is>
          <t>LN200004</t>
        </is>
      </c>
      <c r="C35" t="n">
        <v>1</v>
      </c>
      <c r="D35" s="8" t="n">
        <v>46064</v>
      </c>
      <c r="E35" s="9" t="n">
        <v>12618</v>
      </c>
      <c r="F35" s="8" t="n">
        <v>46099</v>
      </c>
      <c r="G35" s="9" t="n">
        <v>12618</v>
      </c>
      <c r="H35" t="inlineStr">
        <is>
          <t>PAID_LATE</t>
        </is>
      </c>
      <c r="I35">
        <f>IF(H35="UNPAID", AsOfDate-D35, 0)</f>
        <v/>
      </c>
      <c r="J35">
        <f>IF(F35&lt;&gt;"", TEXT(F35, "yyyy-mm"), "")</f>
        <v/>
      </c>
    </row>
    <row r="36">
      <c r="A36" t="inlineStr">
        <is>
          <t>RP0000035</t>
        </is>
      </c>
      <c r="B36" t="inlineStr">
        <is>
          <t>LN200004</t>
        </is>
      </c>
      <c r="C36" t="n">
        <v>2</v>
      </c>
      <c r="D36" s="8" t="n">
        <v>46092</v>
      </c>
      <c r="E36" s="9" t="n">
        <v>12618</v>
      </c>
      <c r="F36" s="8" t="n">
        <v>46112</v>
      </c>
      <c r="G36" s="9" t="n">
        <v>12618</v>
      </c>
      <c r="H36" t="inlineStr">
        <is>
          <t>PAID_LATE</t>
        </is>
      </c>
      <c r="I36">
        <f>IF(H36="UNPAID", AsOfDate-D36, 0)</f>
        <v/>
      </c>
      <c r="J36">
        <f>IF(F36&lt;&gt;"", TEXT(F36, "yyyy-mm"), "")</f>
        <v/>
      </c>
    </row>
    <row r="37">
      <c r="A37" t="inlineStr">
        <is>
          <t>RP0000036</t>
        </is>
      </c>
      <c r="B37" t="inlineStr">
        <is>
          <t>LN200004</t>
        </is>
      </c>
      <c r="C37" t="n">
        <v>3</v>
      </c>
      <c r="D37" s="8" t="n">
        <v>46123</v>
      </c>
      <c r="E37" s="9" t="n">
        <v>12618</v>
      </c>
      <c r="F37" s="8" t="n">
        <v>46211</v>
      </c>
      <c r="G37" s="9" t="n">
        <v>12618</v>
      </c>
      <c r="H37" t="inlineStr">
        <is>
          <t>PAID_LATE</t>
        </is>
      </c>
      <c r="I37">
        <f>IF(H37="UNPAID", AsOfDate-D37, 0)</f>
        <v/>
      </c>
      <c r="J37">
        <f>IF(F37&lt;&gt;"", TEXT(F37, "yyyy-mm"), "")</f>
        <v/>
      </c>
    </row>
    <row r="38">
      <c r="A38" t="inlineStr">
        <is>
          <t>RP0000037</t>
        </is>
      </c>
      <c r="B38" t="inlineStr">
        <is>
          <t>LN200005</t>
        </is>
      </c>
      <c r="C38" t="n">
        <v>1</v>
      </c>
      <c r="D38" s="8" t="n">
        <v>46050</v>
      </c>
      <c r="E38" s="9" t="n">
        <v>19231.33</v>
      </c>
      <c r="F38" s="8" t="n">
        <v>46121</v>
      </c>
      <c r="G38" s="9" t="n">
        <v>19231.33</v>
      </c>
      <c r="H38" t="inlineStr">
        <is>
          <t>PAID_LATE</t>
        </is>
      </c>
      <c r="I38">
        <f>IF(H38="UNPAID", AsOfDate-D38, 0)</f>
        <v/>
      </c>
      <c r="J38">
        <f>IF(F38&lt;&gt;"", TEXT(F38, "yyyy-mm"), "")</f>
        <v/>
      </c>
    </row>
    <row r="39">
      <c r="A39" t="inlineStr">
        <is>
          <t>RP0000038</t>
        </is>
      </c>
      <c r="B39" t="inlineStr">
        <is>
          <t>LN200005</t>
        </is>
      </c>
      <c r="C39" t="n">
        <v>2</v>
      </c>
      <c r="D39" s="8" t="n">
        <v>46081</v>
      </c>
      <c r="E39" s="9" t="n">
        <v>19231.33</v>
      </c>
      <c r="F39" s="8" t="n">
        <v>46082</v>
      </c>
      <c r="G39" s="9" t="n">
        <v>19231.33</v>
      </c>
      <c r="H39" t="inlineStr">
        <is>
          <t>PAID_ON_TIME</t>
        </is>
      </c>
      <c r="I39">
        <f>IF(H39="UNPAID", AsOfDate-D39, 0)</f>
        <v/>
      </c>
      <c r="J39">
        <f>IF(F39&lt;&gt;"", TEXT(F39, "yyyy-mm"), "")</f>
        <v/>
      </c>
    </row>
    <row r="40">
      <c r="A40" t="inlineStr">
        <is>
          <t>RP0000039</t>
        </is>
      </c>
      <c r="B40" t="inlineStr">
        <is>
          <t>LN200005</t>
        </is>
      </c>
      <c r="C40" t="n">
        <v>3</v>
      </c>
      <c r="D40" s="8" t="n">
        <v>46109</v>
      </c>
      <c r="E40" s="9" t="n">
        <v>19231.33</v>
      </c>
      <c r="F40" s="8" t="n">
        <v>46107</v>
      </c>
      <c r="G40" s="9" t="n">
        <v>19231.33</v>
      </c>
      <c r="H40" t="inlineStr">
        <is>
          <t>PAID_ON_TIME</t>
        </is>
      </c>
      <c r="I40">
        <f>IF(H40="UNPAID", AsOfDate-D40, 0)</f>
        <v/>
      </c>
      <c r="J40">
        <f>IF(F40&lt;&gt;"", TEXT(F40, "yyyy-mm"), "")</f>
        <v/>
      </c>
    </row>
    <row r="41">
      <c r="A41" t="inlineStr">
        <is>
          <t>RP0000040</t>
        </is>
      </c>
      <c r="B41" t="inlineStr">
        <is>
          <t>LN200006</t>
        </is>
      </c>
      <c r="C41" t="n">
        <v>1</v>
      </c>
      <c r="D41" s="8" t="n">
        <v>45980</v>
      </c>
      <c r="E41" s="9" t="n">
        <v>145820.67</v>
      </c>
      <c r="F41" s="8" t="n">
        <v>45981</v>
      </c>
      <c r="G41" s="9" t="n">
        <v>145820.67</v>
      </c>
      <c r="H41" t="inlineStr">
        <is>
          <t>PAID_ON_TIME</t>
        </is>
      </c>
      <c r="I41">
        <f>IF(H41="UNPAID", AsOfDate-D41, 0)</f>
        <v/>
      </c>
      <c r="J41">
        <f>IF(F41&lt;&gt;"", TEXT(F41, "yyyy-mm"), "")</f>
        <v/>
      </c>
    </row>
    <row r="42">
      <c r="A42" t="inlineStr">
        <is>
          <t>RP0000041</t>
        </is>
      </c>
      <c r="B42" t="inlineStr">
        <is>
          <t>LN200006</t>
        </is>
      </c>
      <c r="C42" t="n">
        <v>2</v>
      </c>
      <c r="D42" s="8" t="n">
        <v>46010</v>
      </c>
      <c r="E42" s="9" t="n">
        <v>145820.67</v>
      </c>
      <c r="F42" s="8" t="n">
        <v>46014</v>
      </c>
      <c r="G42" s="9" t="n">
        <v>145820.67</v>
      </c>
      <c r="H42" t="inlineStr">
        <is>
          <t>PAID_ON_TIME</t>
        </is>
      </c>
      <c r="I42">
        <f>IF(H42="UNPAID", AsOfDate-D42, 0)</f>
        <v/>
      </c>
      <c r="J42">
        <f>IF(F42&lt;&gt;"", TEXT(F42, "yyyy-mm"), "")</f>
        <v/>
      </c>
    </row>
    <row r="43">
      <c r="A43" t="inlineStr">
        <is>
          <t>RP0000042</t>
        </is>
      </c>
      <c r="B43" t="inlineStr">
        <is>
          <t>LN200006</t>
        </is>
      </c>
      <c r="C43" t="n">
        <v>3</v>
      </c>
      <c r="D43" s="8" t="n">
        <v>46041</v>
      </c>
      <c r="E43" s="9" t="n">
        <v>145820.67</v>
      </c>
      <c r="F43" s="8" t="n">
        <v>46118</v>
      </c>
      <c r="G43" s="9" t="n">
        <v>145820.67</v>
      </c>
      <c r="H43" t="inlineStr">
        <is>
          <t>PAID_LATE</t>
        </is>
      </c>
      <c r="I43">
        <f>IF(H43="UNPAID", AsOfDate-D43, 0)</f>
        <v/>
      </c>
      <c r="J43">
        <f>IF(F43&lt;&gt;"", TEXT(F43, "yyyy-mm"), "")</f>
        <v/>
      </c>
    </row>
    <row r="44">
      <c r="A44" t="inlineStr">
        <is>
          <t>RP0000043</t>
        </is>
      </c>
      <c r="B44" t="inlineStr">
        <is>
          <t>LN200007</t>
        </is>
      </c>
      <c r="C44" t="n">
        <v>1</v>
      </c>
      <c r="D44" s="8" t="n">
        <v>46189</v>
      </c>
      <c r="E44" s="9" t="n">
        <v>33009.67</v>
      </c>
      <c r="F44" s="8" t="n">
        <v>46193</v>
      </c>
      <c r="G44" s="9" t="n">
        <v>33009.67</v>
      </c>
      <c r="H44" t="inlineStr">
        <is>
          <t>PAID_ON_TIME</t>
        </is>
      </c>
      <c r="I44">
        <f>IF(H44="UNPAID", AsOfDate-D44, 0)</f>
        <v/>
      </c>
      <c r="J44">
        <f>IF(F44&lt;&gt;"", TEXT(F44, "yyyy-mm"), "")</f>
        <v/>
      </c>
    </row>
    <row r="45">
      <c r="A45" t="inlineStr">
        <is>
          <t>RP0000044</t>
        </is>
      </c>
      <c r="B45" t="inlineStr">
        <is>
          <t>LN200007</t>
        </is>
      </c>
      <c r="C45" t="n">
        <v>2</v>
      </c>
      <c r="D45" s="8" t="n">
        <v>46219</v>
      </c>
      <c r="E45" s="9" t="n">
        <v>33009.67</v>
      </c>
      <c r="F45" s="8" t="n">
        <v>46221</v>
      </c>
      <c r="G45" s="9" t="n">
        <v>33009.67</v>
      </c>
      <c r="H45" t="inlineStr">
        <is>
          <t>PAID_ON_TIME</t>
        </is>
      </c>
      <c r="I45">
        <f>IF(H45="UNPAID", AsOfDate-D45, 0)</f>
        <v/>
      </c>
      <c r="J45">
        <f>IF(F45&lt;&gt;"", TEXT(F45, "yyyy-mm"), "")</f>
        <v/>
      </c>
    </row>
    <row r="46">
      <c r="A46" t="inlineStr">
        <is>
          <t>RP0000045</t>
        </is>
      </c>
      <c r="B46" t="inlineStr">
        <is>
          <t>LN200007</t>
        </is>
      </c>
      <c r="C46" t="n">
        <v>3</v>
      </c>
      <c r="D46" s="8" t="n">
        <v>46250</v>
      </c>
      <c r="E46" s="9" t="n">
        <v>33009.67</v>
      </c>
      <c r="F46" s="8" t="n">
        <v>46253</v>
      </c>
      <c r="G46" s="9" t="n">
        <v>33009.67</v>
      </c>
      <c r="H46" t="inlineStr">
        <is>
          <t>PAID_ON_TIME</t>
        </is>
      </c>
      <c r="I46">
        <f>IF(H46="UNPAID", AsOfDate-D46, 0)</f>
        <v/>
      </c>
      <c r="J46">
        <f>IF(F46&lt;&gt;"", TEXT(F46, "yyyy-mm"), "")</f>
        <v/>
      </c>
    </row>
    <row r="47">
      <c r="A47" t="inlineStr">
        <is>
          <t>RP0000046</t>
        </is>
      </c>
      <c r="B47" t="inlineStr">
        <is>
          <t>LN200007</t>
        </is>
      </c>
      <c r="C47" t="n">
        <v>4</v>
      </c>
      <c r="D47" s="8" t="n">
        <v>46281</v>
      </c>
      <c r="E47" s="9" t="n">
        <v>33009.67</v>
      </c>
      <c r="F47" s="8" t="n"/>
      <c r="G47" s="9" t="n">
        <v>0</v>
      </c>
      <c r="H47" t="inlineStr">
        <is>
          <t>NOT_DUE</t>
        </is>
      </c>
      <c r="I47">
        <f>IF(H47="UNPAID", AsOfDate-D47, 0)</f>
        <v/>
      </c>
      <c r="J47">
        <f>IF(F47&lt;&gt;"", TEXT(F47, "yyyy-mm"), "")</f>
        <v/>
      </c>
    </row>
    <row r="48">
      <c r="A48" t="inlineStr">
        <is>
          <t>RP0000047</t>
        </is>
      </c>
      <c r="B48" t="inlineStr">
        <is>
          <t>LN200007</t>
        </is>
      </c>
      <c r="C48" t="n">
        <v>5</v>
      </c>
      <c r="D48" s="8" t="n">
        <v>46311</v>
      </c>
      <c r="E48" s="9" t="n">
        <v>33009.67</v>
      </c>
      <c r="F48" s="8" t="n"/>
      <c r="G48" s="9" t="n">
        <v>0</v>
      </c>
      <c r="H48" t="inlineStr">
        <is>
          <t>NOT_DUE</t>
        </is>
      </c>
      <c r="I48">
        <f>IF(H48="UNPAID", AsOfDate-D48, 0)</f>
        <v/>
      </c>
      <c r="J48">
        <f>IF(F48&lt;&gt;"", TEXT(F48, "yyyy-mm"), "")</f>
        <v/>
      </c>
    </row>
    <row r="49">
      <c r="A49" t="inlineStr">
        <is>
          <t>RP0000048</t>
        </is>
      </c>
      <c r="B49" t="inlineStr">
        <is>
          <t>LN200007</t>
        </is>
      </c>
      <c r="C49" t="n">
        <v>6</v>
      </c>
      <c r="D49" s="8" t="n">
        <v>46342</v>
      </c>
      <c r="E49" s="9" t="n">
        <v>33009.67</v>
      </c>
      <c r="F49" s="8" t="n"/>
      <c r="G49" s="9" t="n">
        <v>0</v>
      </c>
      <c r="H49" t="inlineStr">
        <is>
          <t>NOT_DUE</t>
        </is>
      </c>
      <c r="I49">
        <f>IF(H49="UNPAID", AsOfDate-D49, 0)</f>
        <v/>
      </c>
      <c r="J49">
        <f>IF(F49&lt;&gt;"", TEXT(F49, "yyyy-mm"), "")</f>
        <v/>
      </c>
    </row>
    <row r="50">
      <c r="A50" t="inlineStr">
        <is>
          <t>RP0000049</t>
        </is>
      </c>
      <c r="B50" t="inlineStr">
        <is>
          <t>LN200007</t>
        </is>
      </c>
      <c r="C50" t="n">
        <v>7</v>
      </c>
      <c r="D50" s="8" t="n">
        <v>46372</v>
      </c>
      <c r="E50" s="9" t="n">
        <v>33009.67</v>
      </c>
      <c r="F50" s="8" t="n"/>
      <c r="G50" s="9" t="n">
        <v>0</v>
      </c>
      <c r="H50" t="inlineStr">
        <is>
          <t>NOT_DUE</t>
        </is>
      </c>
      <c r="I50">
        <f>IF(H50="UNPAID", AsOfDate-D50, 0)</f>
        <v/>
      </c>
      <c r="J50">
        <f>IF(F50&lt;&gt;"", TEXT(F50, "yyyy-mm"), "")</f>
        <v/>
      </c>
    </row>
    <row r="51">
      <c r="A51" t="inlineStr">
        <is>
          <t>RP0000050</t>
        </is>
      </c>
      <c r="B51" t="inlineStr">
        <is>
          <t>LN200007</t>
        </is>
      </c>
      <c r="C51" t="n">
        <v>8</v>
      </c>
      <c r="D51" s="8" t="n">
        <v>46403</v>
      </c>
      <c r="E51" s="9" t="n">
        <v>33009.67</v>
      </c>
      <c r="F51" s="8" t="n"/>
      <c r="G51" s="9" t="n">
        <v>0</v>
      </c>
      <c r="H51" t="inlineStr">
        <is>
          <t>NOT_DUE</t>
        </is>
      </c>
      <c r="I51">
        <f>IF(H51="UNPAID", AsOfDate-D51, 0)</f>
        <v/>
      </c>
      <c r="J51">
        <f>IF(F51&lt;&gt;"", TEXT(F51, "yyyy-mm"), "")</f>
        <v/>
      </c>
    </row>
    <row r="52">
      <c r="A52" t="inlineStr">
        <is>
          <t>RP0000051</t>
        </is>
      </c>
      <c r="B52" t="inlineStr">
        <is>
          <t>LN200007</t>
        </is>
      </c>
      <c r="C52" t="n">
        <v>9</v>
      </c>
      <c r="D52" s="8" t="n">
        <v>46434</v>
      </c>
      <c r="E52" s="9" t="n">
        <v>33009.67</v>
      </c>
      <c r="F52" s="8" t="n"/>
      <c r="G52" s="9" t="n">
        <v>0</v>
      </c>
      <c r="H52" t="inlineStr">
        <is>
          <t>NOT_DUE</t>
        </is>
      </c>
      <c r="I52">
        <f>IF(H52="UNPAID", AsOfDate-D52, 0)</f>
        <v/>
      </c>
      <c r="J52">
        <f>IF(F52&lt;&gt;"", TEXT(F52, "yyyy-mm"), "")</f>
        <v/>
      </c>
    </row>
    <row r="53">
      <c r="A53" t="inlineStr">
        <is>
          <t>RP0000052</t>
        </is>
      </c>
      <c r="B53" t="inlineStr">
        <is>
          <t>LN200008</t>
        </is>
      </c>
      <c r="C53" t="n">
        <v>1</v>
      </c>
      <c r="D53" s="8" t="n">
        <v>45759</v>
      </c>
      <c r="E53" s="9" t="n">
        <v>9024.17</v>
      </c>
      <c r="F53" s="8" t="n"/>
      <c r="G53" s="9" t="n">
        <v>0</v>
      </c>
      <c r="H53" t="inlineStr">
        <is>
          <t>UNPAID</t>
        </is>
      </c>
      <c r="I53">
        <f>IF(H53="UNPAID", AsOfDate-D53, 0)</f>
        <v/>
      </c>
      <c r="J53">
        <f>IF(F53&lt;&gt;"", TEXT(F53, "yyyy-mm"), "")</f>
        <v/>
      </c>
    </row>
    <row r="54">
      <c r="A54" t="inlineStr">
        <is>
          <t>RP0000053</t>
        </is>
      </c>
      <c r="B54" t="inlineStr">
        <is>
          <t>LN200008</t>
        </is>
      </c>
      <c r="C54" t="n">
        <v>2</v>
      </c>
      <c r="D54" s="8" t="n">
        <v>45789</v>
      </c>
      <c r="E54" s="9" t="n">
        <v>9024.17</v>
      </c>
      <c r="F54" s="8" t="n">
        <v>45894</v>
      </c>
      <c r="G54" s="9" t="n">
        <v>9024.17</v>
      </c>
      <c r="H54" t="inlineStr">
        <is>
          <t>PAID_LATE</t>
        </is>
      </c>
      <c r="I54">
        <f>IF(H54="UNPAID", AsOfDate-D54, 0)</f>
        <v/>
      </c>
      <c r="J54">
        <f>IF(F54&lt;&gt;"", TEXT(F54, "yyyy-mm"), "")</f>
        <v/>
      </c>
    </row>
    <row r="55">
      <c r="A55" t="inlineStr">
        <is>
          <t>RP0000054</t>
        </is>
      </c>
      <c r="B55" t="inlineStr">
        <is>
          <t>LN200008</t>
        </is>
      </c>
      <c r="C55" t="n">
        <v>3</v>
      </c>
      <c r="D55" s="8" t="n">
        <v>45820</v>
      </c>
      <c r="E55" s="9" t="n">
        <v>9024.17</v>
      </c>
      <c r="F55" s="8" t="n">
        <v>45824</v>
      </c>
      <c r="G55" s="9" t="n">
        <v>9024.17</v>
      </c>
      <c r="H55" t="inlineStr">
        <is>
          <t>PAID_ON_TIME</t>
        </is>
      </c>
      <c r="I55">
        <f>IF(H55="UNPAID", AsOfDate-D55, 0)</f>
        <v/>
      </c>
      <c r="J55">
        <f>IF(F55&lt;&gt;"", TEXT(F55, "yyyy-mm"), "")</f>
        <v/>
      </c>
    </row>
    <row r="56">
      <c r="A56" t="inlineStr">
        <is>
          <t>RP0000055</t>
        </is>
      </c>
      <c r="B56" t="inlineStr">
        <is>
          <t>LN200008</t>
        </is>
      </c>
      <c r="C56" t="n">
        <v>4</v>
      </c>
      <c r="D56" s="8" t="n">
        <v>45850</v>
      </c>
      <c r="E56" s="9" t="n">
        <v>9024.17</v>
      </c>
      <c r="F56" s="8" t="n">
        <v>45853</v>
      </c>
      <c r="G56" s="9" t="n">
        <v>9024.17</v>
      </c>
      <c r="H56" t="inlineStr">
        <is>
          <t>PAID_ON_TIME</t>
        </is>
      </c>
      <c r="I56">
        <f>IF(H56="UNPAID", AsOfDate-D56, 0)</f>
        <v/>
      </c>
      <c r="J56">
        <f>IF(F56&lt;&gt;"", TEXT(F56, "yyyy-mm"), "")</f>
        <v/>
      </c>
    </row>
    <row r="57">
      <c r="A57" t="inlineStr">
        <is>
          <t>RP0000056</t>
        </is>
      </c>
      <c r="B57" t="inlineStr">
        <is>
          <t>LN200008</t>
        </is>
      </c>
      <c r="C57" t="n">
        <v>5</v>
      </c>
      <c r="D57" s="8" t="n">
        <v>45881</v>
      </c>
      <c r="E57" s="9" t="n">
        <v>9024.17</v>
      </c>
      <c r="F57" s="8" t="n">
        <v>45878</v>
      </c>
      <c r="G57" s="9" t="n">
        <v>9024.17</v>
      </c>
      <c r="H57" t="inlineStr">
        <is>
          <t>PAID_ON_TIME</t>
        </is>
      </c>
      <c r="I57">
        <f>IF(H57="UNPAID", AsOfDate-D57, 0)</f>
        <v/>
      </c>
      <c r="J57">
        <f>IF(F57&lt;&gt;"", TEXT(F57, "yyyy-mm"), "")</f>
        <v/>
      </c>
    </row>
    <row r="58">
      <c r="A58" t="inlineStr">
        <is>
          <t>RP0000057</t>
        </is>
      </c>
      <c r="B58" t="inlineStr">
        <is>
          <t>LN200008</t>
        </is>
      </c>
      <c r="C58" t="n">
        <v>6</v>
      </c>
      <c r="D58" s="8" t="n">
        <v>45912</v>
      </c>
      <c r="E58" s="9" t="n">
        <v>9024.17</v>
      </c>
      <c r="F58" s="8" t="n">
        <v>45912</v>
      </c>
      <c r="G58" s="9" t="n">
        <v>9024.17</v>
      </c>
      <c r="H58" t="inlineStr">
        <is>
          <t>PAID_ON_TIME</t>
        </is>
      </c>
      <c r="I58">
        <f>IF(H58="UNPAID", AsOfDate-D58, 0)</f>
        <v/>
      </c>
      <c r="J58">
        <f>IF(F58&lt;&gt;"", TEXT(F58, "yyyy-mm"), "")</f>
        <v/>
      </c>
    </row>
    <row r="59">
      <c r="A59" t="inlineStr">
        <is>
          <t>RP0000058</t>
        </is>
      </c>
      <c r="B59" t="inlineStr">
        <is>
          <t>LN200009</t>
        </is>
      </c>
      <c r="C59" t="n">
        <v>1</v>
      </c>
      <c r="D59" s="8" t="n">
        <v>46158</v>
      </c>
      <c r="E59" s="9" t="n">
        <v>6189.17</v>
      </c>
      <c r="F59" s="8" t="n"/>
      <c r="G59" s="9" t="n">
        <v>0</v>
      </c>
      <c r="H59" t="inlineStr">
        <is>
          <t>UNPAID</t>
        </is>
      </c>
      <c r="I59">
        <f>IF(H59="UNPAID", AsOfDate-D59, 0)</f>
        <v/>
      </c>
      <c r="J59">
        <f>IF(F59&lt;&gt;"", TEXT(F59, "yyyy-mm"), "")</f>
        <v/>
      </c>
    </row>
    <row r="60">
      <c r="A60" t="inlineStr">
        <is>
          <t>RP0000059</t>
        </is>
      </c>
      <c r="B60" t="inlineStr">
        <is>
          <t>LN200009</t>
        </is>
      </c>
      <c r="C60" t="n">
        <v>2</v>
      </c>
      <c r="D60" s="8" t="n">
        <v>46189</v>
      </c>
      <c r="E60" s="9" t="n">
        <v>6189.17</v>
      </c>
      <c r="F60" s="8" t="n"/>
      <c r="G60" s="9" t="n">
        <v>0</v>
      </c>
      <c r="H60" t="inlineStr">
        <is>
          <t>UNPAID</t>
        </is>
      </c>
      <c r="I60">
        <f>IF(H60="UNPAID", AsOfDate-D60, 0)</f>
        <v/>
      </c>
      <c r="J60">
        <f>IF(F60&lt;&gt;"", TEXT(F60, "yyyy-mm"), "")</f>
        <v/>
      </c>
    </row>
    <row r="61">
      <c r="A61" t="inlineStr">
        <is>
          <t>RP0000060</t>
        </is>
      </c>
      <c r="B61" t="inlineStr">
        <is>
          <t>LN200009</t>
        </is>
      </c>
      <c r="C61" t="n">
        <v>3</v>
      </c>
      <c r="D61" s="8" t="n">
        <v>46219</v>
      </c>
      <c r="E61" s="9" t="n">
        <v>6189.17</v>
      </c>
      <c r="F61" s="8" t="n"/>
      <c r="G61" s="9" t="n">
        <v>0</v>
      </c>
      <c r="H61" t="inlineStr">
        <is>
          <t>UNPAID</t>
        </is>
      </c>
      <c r="I61">
        <f>IF(H61="UNPAID", AsOfDate-D61, 0)</f>
        <v/>
      </c>
      <c r="J61">
        <f>IF(F61&lt;&gt;"", TEXT(F61, "yyyy-mm"), "")</f>
        <v/>
      </c>
    </row>
    <row r="62">
      <c r="A62" t="inlineStr">
        <is>
          <t>RP0000061</t>
        </is>
      </c>
      <c r="B62" t="inlineStr">
        <is>
          <t>LN200009</t>
        </is>
      </c>
      <c r="C62" t="n">
        <v>4</v>
      </c>
      <c r="D62" s="8" t="n">
        <v>46250</v>
      </c>
      <c r="E62" s="9" t="n">
        <v>6189.17</v>
      </c>
      <c r="F62" s="8" t="n">
        <v>46254</v>
      </c>
      <c r="G62" s="9" t="n">
        <v>6189.17</v>
      </c>
      <c r="H62" t="inlineStr">
        <is>
          <t>PAID_ON_TIME</t>
        </is>
      </c>
      <c r="I62">
        <f>IF(H62="UNPAID", AsOfDate-D62, 0)</f>
        <v/>
      </c>
      <c r="J62">
        <f>IF(F62&lt;&gt;"", TEXT(F62, "yyyy-mm"), "")</f>
        <v/>
      </c>
    </row>
    <row r="63">
      <c r="A63" t="inlineStr">
        <is>
          <t>RP0000062</t>
        </is>
      </c>
      <c r="B63" t="inlineStr">
        <is>
          <t>LN200009</t>
        </is>
      </c>
      <c r="C63" t="n">
        <v>5</v>
      </c>
      <c r="D63" s="8" t="n">
        <v>46281</v>
      </c>
      <c r="E63" s="9" t="n">
        <v>6189.17</v>
      </c>
      <c r="F63" s="8" t="n"/>
      <c r="G63" s="9" t="n">
        <v>0</v>
      </c>
      <c r="H63" t="inlineStr">
        <is>
          <t>NOT_DUE</t>
        </is>
      </c>
      <c r="I63">
        <f>IF(H63="UNPAID", AsOfDate-D63, 0)</f>
        <v/>
      </c>
      <c r="J63">
        <f>IF(F63&lt;&gt;"", TEXT(F63, "yyyy-mm"), "")</f>
        <v/>
      </c>
    </row>
    <row r="64">
      <c r="A64" t="inlineStr">
        <is>
          <t>RP0000063</t>
        </is>
      </c>
      <c r="B64" t="inlineStr">
        <is>
          <t>LN200009</t>
        </is>
      </c>
      <c r="C64" t="n">
        <v>6</v>
      </c>
      <c r="D64" s="8" t="n">
        <v>46311</v>
      </c>
      <c r="E64" s="9" t="n">
        <v>6189.17</v>
      </c>
      <c r="F64" s="8" t="n"/>
      <c r="G64" s="9" t="n">
        <v>0</v>
      </c>
      <c r="H64" t="inlineStr">
        <is>
          <t>NOT_DUE</t>
        </is>
      </c>
      <c r="I64">
        <f>IF(H64="UNPAID", AsOfDate-D64, 0)</f>
        <v/>
      </c>
      <c r="J64">
        <f>IF(F64&lt;&gt;"", TEXT(F64, "yyyy-mm"), "")</f>
        <v/>
      </c>
    </row>
    <row r="65">
      <c r="A65" t="inlineStr">
        <is>
          <t>RP0000064</t>
        </is>
      </c>
      <c r="B65" t="inlineStr">
        <is>
          <t>LN200010</t>
        </is>
      </c>
      <c r="C65" t="n">
        <v>1</v>
      </c>
      <c r="D65" s="8" t="n">
        <v>45777</v>
      </c>
      <c r="E65" s="9" t="n">
        <v>14534</v>
      </c>
      <c r="F65" s="8" t="n">
        <v>45781</v>
      </c>
      <c r="G65" s="9" t="n">
        <v>14534</v>
      </c>
      <c r="H65" t="inlineStr">
        <is>
          <t>PAID_ON_TIME</t>
        </is>
      </c>
      <c r="I65">
        <f>IF(H65="UNPAID", AsOfDate-D65, 0)</f>
        <v/>
      </c>
      <c r="J65">
        <f>IF(F65&lt;&gt;"", TEXT(F65, "yyyy-mm"), "")</f>
        <v/>
      </c>
    </row>
    <row r="66">
      <c r="A66" t="inlineStr">
        <is>
          <t>RP0000065</t>
        </is>
      </c>
      <c r="B66" t="inlineStr">
        <is>
          <t>LN200010</t>
        </is>
      </c>
      <c r="C66" t="n">
        <v>2</v>
      </c>
      <c r="D66" s="8" t="n">
        <v>45808</v>
      </c>
      <c r="E66" s="9" t="n">
        <v>14534</v>
      </c>
      <c r="F66" s="8" t="n">
        <v>45809</v>
      </c>
      <c r="G66" s="9" t="n">
        <v>14534</v>
      </c>
      <c r="H66" t="inlineStr">
        <is>
          <t>PAID_ON_TIME</t>
        </is>
      </c>
      <c r="I66">
        <f>IF(H66="UNPAID", AsOfDate-D66, 0)</f>
        <v/>
      </c>
      <c r="J66">
        <f>IF(F66&lt;&gt;"", TEXT(F66, "yyyy-mm"), "")</f>
        <v/>
      </c>
    </row>
    <row r="67">
      <c r="A67" t="inlineStr">
        <is>
          <t>RP0000066</t>
        </is>
      </c>
      <c r="B67" t="inlineStr">
        <is>
          <t>LN200010</t>
        </is>
      </c>
      <c r="C67" t="n">
        <v>3</v>
      </c>
      <c r="D67" s="8" t="n">
        <v>45838</v>
      </c>
      <c r="E67" s="9" t="n">
        <v>14534</v>
      </c>
      <c r="F67" s="8" t="n">
        <v>45842</v>
      </c>
      <c r="G67" s="9" t="n">
        <v>14534</v>
      </c>
      <c r="H67" t="inlineStr">
        <is>
          <t>PAID_ON_TIME</t>
        </is>
      </c>
      <c r="I67">
        <f>IF(H67="UNPAID", AsOfDate-D67, 0)</f>
        <v/>
      </c>
      <c r="J67">
        <f>IF(F67&lt;&gt;"", TEXT(F67, "yyyy-mm"), "")</f>
        <v/>
      </c>
    </row>
    <row r="68">
      <c r="A68" t="inlineStr">
        <is>
          <t>RP0000067</t>
        </is>
      </c>
      <c r="B68" t="inlineStr">
        <is>
          <t>LN200010</t>
        </is>
      </c>
      <c r="C68" t="n">
        <v>4</v>
      </c>
      <c r="D68" s="8" t="n">
        <v>45869</v>
      </c>
      <c r="E68" s="9" t="n">
        <v>14534</v>
      </c>
      <c r="F68" s="8" t="n">
        <v>45866</v>
      </c>
      <c r="G68" s="9" t="n">
        <v>14534</v>
      </c>
      <c r="H68" t="inlineStr">
        <is>
          <t>PAID_ON_TIME</t>
        </is>
      </c>
      <c r="I68">
        <f>IF(H68="UNPAID", AsOfDate-D68, 0)</f>
        <v/>
      </c>
      <c r="J68">
        <f>IF(F68&lt;&gt;"", TEXT(F68, "yyyy-mm"), "")</f>
        <v/>
      </c>
    </row>
    <row r="69">
      <c r="A69" t="inlineStr">
        <is>
          <t>RP0000068</t>
        </is>
      </c>
      <c r="B69" t="inlineStr">
        <is>
          <t>LN200010</t>
        </is>
      </c>
      <c r="C69" t="n">
        <v>5</v>
      </c>
      <c r="D69" s="8" t="n">
        <v>45900</v>
      </c>
      <c r="E69" s="9" t="n">
        <v>14534</v>
      </c>
      <c r="F69" s="8" t="n">
        <v>45898</v>
      </c>
      <c r="G69" s="9" t="n">
        <v>14534</v>
      </c>
      <c r="H69" t="inlineStr">
        <is>
          <t>PAID_ON_TIME</t>
        </is>
      </c>
      <c r="I69">
        <f>IF(H69="UNPAID", AsOfDate-D69, 0)</f>
        <v/>
      </c>
      <c r="J69">
        <f>IF(F69&lt;&gt;"", TEXT(F69, "yyyy-mm"), "")</f>
        <v/>
      </c>
    </row>
    <row r="70">
      <c r="A70" t="inlineStr">
        <is>
          <t>RP0000069</t>
        </is>
      </c>
      <c r="B70" t="inlineStr">
        <is>
          <t>LN200010</t>
        </is>
      </c>
      <c r="C70" t="n">
        <v>6</v>
      </c>
      <c r="D70" s="8" t="n">
        <v>45930</v>
      </c>
      <c r="E70" s="9" t="n">
        <v>14534</v>
      </c>
      <c r="F70" s="8" t="n">
        <v>45932</v>
      </c>
      <c r="G70" s="9" t="n">
        <v>14534</v>
      </c>
      <c r="H70" t="inlineStr">
        <is>
          <t>PAID_ON_TIME</t>
        </is>
      </c>
      <c r="I70">
        <f>IF(H70="UNPAID", AsOfDate-D70, 0)</f>
        <v/>
      </c>
      <c r="J70">
        <f>IF(F70&lt;&gt;"", TEXT(F70, "yyyy-mm"), "")</f>
        <v/>
      </c>
    </row>
    <row r="71">
      <c r="A71" t="inlineStr">
        <is>
          <t>RP0000070</t>
        </is>
      </c>
      <c r="B71" t="inlineStr">
        <is>
          <t>LN200011</t>
        </is>
      </c>
      <c r="C71" t="n">
        <v>1</v>
      </c>
      <c r="D71" s="8" t="n">
        <v>46045</v>
      </c>
      <c r="E71" s="9" t="n">
        <v>8620</v>
      </c>
      <c r="F71" s="8" t="n">
        <v>46043</v>
      </c>
      <c r="G71" s="9" t="n">
        <v>8620</v>
      </c>
      <c r="H71" t="inlineStr">
        <is>
          <t>PAID_ON_TIME</t>
        </is>
      </c>
      <c r="I71">
        <f>IF(H71="UNPAID", AsOfDate-D71, 0)</f>
        <v/>
      </c>
      <c r="J71">
        <f>IF(F71&lt;&gt;"", TEXT(F71, "yyyy-mm"), "")</f>
        <v/>
      </c>
    </row>
    <row r="72">
      <c r="A72" t="inlineStr">
        <is>
          <t>RP0000071</t>
        </is>
      </c>
      <c r="B72" t="inlineStr">
        <is>
          <t>LN200011</t>
        </is>
      </c>
      <c r="C72" t="n">
        <v>2</v>
      </c>
      <c r="D72" s="8" t="n">
        <v>46076</v>
      </c>
      <c r="E72" s="9" t="n">
        <v>8620</v>
      </c>
      <c r="F72" s="8" t="n">
        <v>46115</v>
      </c>
      <c r="G72" s="9" t="n">
        <v>8620</v>
      </c>
      <c r="H72" t="inlineStr">
        <is>
          <t>PAID_LATE</t>
        </is>
      </c>
      <c r="I72">
        <f>IF(H72="UNPAID", AsOfDate-D72, 0)</f>
        <v/>
      </c>
      <c r="J72">
        <f>IF(F72&lt;&gt;"", TEXT(F72, "yyyy-mm"), "")</f>
        <v/>
      </c>
    </row>
    <row r="73">
      <c r="A73" t="inlineStr">
        <is>
          <t>RP0000072</t>
        </is>
      </c>
      <c r="B73" t="inlineStr">
        <is>
          <t>LN200011</t>
        </is>
      </c>
      <c r="C73" t="n">
        <v>3</v>
      </c>
      <c r="D73" s="8" t="n">
        <v>46104</v>
      </c>
      <c r="E73" s="9" t="n">
        <v>8620</v>
      </c>
      <c r="F73" s="8" t="n">
        <v>46220</v>
      </c>
      <c r="G73" s="9" t="n">
        <v>8620</v>
      </c>
      <c r="H73" t="inlineStr">
        <is>
          <t>PAID_LATE</t>
        </is>
      </c>
      <c r="I73">
        <f>IF(H73="UNPAID", AsOfDate-D73, 0)</f>
        <v/>
      </c>
      <c r="J73">
        <f>IF(F73&lt;&gt;"", TEXT(F73, "yyyy-mm"), "")</f>
        <v/>
      </c>
    </row>
    <row r="74">
      <c r="A74" t="inlineStr">
        <is>
          <t>RP0000073</t>
        </is>
      </c>
      <c r="B74" t="inlineStr">
        <is>
          <t>LN200011</t>
        </is>
      </c>
      <c r="C74" t="n">
        <v>4</v>
      </c>
      <c r="D74" s="8" t="n">
        <v>46135</v>
      </c>
      <c r="E74" s="9" t="n">
        <v>8620</v>
      </c>
      <c r="F74" s="8" t="n">
        <v>46135</v>
      </c>
      <c r="G74" s="9" t="n">
        <v>8620</v>
      </c>
      <c r="H74" t="inlineStr">
        <is>
          <t>PAID_ON_TIME</t>
        </is>
      </c>
      <c r="I74">
        <f>IF(H74="UNPAID", AsOfDate-D74, 0)</f>
        <v/>
      </c>
      <c r="J74">
        <f>IF(F74&lt;&gt;"", TEXT(F74, "yyyy-mm"), "")</f>
        <v/>
      </c>
    </row>
    <row r="75">
      <c r="A75" t="inlineStr">
        <is>
          <t>RP0000074</t>
        </is>
      </c>
      <c r="B75" t="inlineStr">
        <is>
          <t>LN200011</t>
        </is>
      </c>
      <c r="C75" t="n">
        <v>5</v>
      </c>
      <c r="D75" s="8" t="n">
        <v>46165</v>
      </c>
      <c r="E75" s="9" t="n">
        <v>8620</v>
      </c>
      <c r="F75" s="8" t="n">
        <v>46167</v>
      </c>
      <c r="G75" s="9" t="n">
        <v>8620</v>
      </c>
      <c r="H75" t="inlineStr">
        <is>
          <t>PAID_ON_TIME</t>
        </is>
      </c>
      <c r="I75">
        <f>IF(H75="UNPAID", AsOfDate-D75, 0)</f>
        <v/>
      </c>
      <c r="J75">
        <f>IF(F75&lt;&gt;"", TEXT(F75, "yyyy-mm"), "")</f>
        <v/>
      </c>
    </row>
    <row r="76">
      <c r="A76" t="inlineStr">
        <is>
          <t>RP0000075</t>
        </is>
      </c>
      <c r="B76" t="inlineStr">
        <is>
          <t>LN200011</t>
        </is>
      </c>
      <c r="C76" t="n">
        <v>6</v>
      </c>
      <c r="D76" s="8" t="n">
        <v>46196</v>
      </c>
      <c r="E76" s="9" t="n">
        <v>8620</v>
      </c>
      <c r="F76" s="8" t="n">
        <v>46194</v>
      </c>
      <c r="G76" s="9" t="n">
        <v>8620</v>
      </c>
      <c r="H76" t="inlineStr">
        <is>
          <t>PAID_ON_TIME</t>
        </is>
      </c>
      <c r="I76">
        <f>IF(H76="UNPAID", AsOfDate-D76, 0)</f>
        <v/>
      </c>
      <c r="J76">
        <f>IF(F76&lt;&gt;"", TEXT(F76, "yyyy-mm"), "")</f>
        <v/>
      </c>
    </row>
    <row r="77">
      <c r="A77" t="inlineStr">
        <is>
          <t>RP0000076</t>
        </is>
      </c>
      <c r="B77" t="inlineStr">
        <is>
          <t>LN200012</t>
        </is>
      </c>
      <c r="C77" t="n">
        <v>1</v>
      </c>
      <c r="D77" s="8" t="n">
        <v>45759</v>
      </c>
      <c r="E77" s="9" t="n">
        <v>33384</v>
      </c>
      <c r="F77" s="8" t="n">
        <v>45759</v>
      </c>
      <c r="G77" s="9" t="n">
        <v>33384</v>
      </c>
      <c r="H77" t="inlineStr">
        <is>
          <t>PAID_ON_TIME</t>
        </is>
      </c>
      <c r="I77">
        <f>IF(H77="UNPAID", AsOfDate-D77, 0)</f>
        <v/>
      </c>
      <c r="J77">
        <f>IF(F77&lt;&gt;"", TEXT(F77, "yyyy-mm"), "")</f>
        <v/>
      </c>
    </row>
    <row r="78">
      <c r="A78" t="inlineStr">
        <is>
          <t>RP0000077</t>
        </is>
      </c>
      <c r="B78" t="inlineStr">
        <is>
          <t>LN200012</t>
        </is>
      </c>
      <c r="C78" t="n">
        <v>2</v>
      </c>
      <c r="D78" s="8" t="n">
        <v>45789</v>
      </c>
      <c r="E78" s="9" t="n">
        <v>33384</v>
      </c>
      <c r="F78" s="8" t="n">
        <v>45786</v>
      </c>
      <c r="G78" s="9" t="n">
        <v>33384</v>
      </c>
      <c r="H78" t="inlineStr">
        <is>
          <t>PAID_ON_TIME</t>
        </is>
      </c>
      <c r="I78">
        <f>IF(H78="UNPAID", AsOfDate-D78, 0)</f>
        <v/>
      </c>
      <c r="J78">
        <f>IF(F78&lt;&gt;"", TEXT(F78, "yyyy-mm"), "")</f>
        <v/>
      </c>
    </row>
    <row r="79">
      <c r="A79" t="inlineStr">
        <is>
          <t>RP0000078</t>
        </is>
      </c>
      <c r="B79" t="inlineStr">
        <is>
          <t>LN200012</t>
        </is>
      </c>
      <c r="C79" t="n">
        <v>3</v>
      </c>
      <c r="D79" s="8" t="n">
        <v>45820</v>
      </c>
      <c r="E79" s="9" t="n">
        <v>33384</v>
      </c>
      <c r="F79" s="8" t="n">
        <v>45925</v>
      </c>
      <c r="G79" s="9" t="n">
        <v>33384</v>
      </c>
      <c r="H79" t="inlineStr">
        <is>
          <t>PAID_LATE</t>
        </is>
      </c>
      <c r="I79">
        <f>IF(H79="UNPAID", AsOfDate-D79, 0)</f>
        <v/>
      </c>
      <c r="J79">
        <f>IF(F79&lt;&gt;"", TEXT(F79, "yyyy-mm"), "")</f>
        <v/>
      </c>
    </row>
    <row r="80">
      <c r="A80" t="inlineStr">
        <is>
          <t>RP0000079</t>
        </is>
      </c>
      <c r="B80" t="inlineStr">
        <is>
          <t>LN200013</t>
        </is>
      </c>
      <c r="C80" t="n">
        <v>1</v>
      </c>
      <c r="D80" s="8" t="n">
        <v>45768</v>
      </c>
      <c r="E80" s="9" t="n">
        <v>17827.25</v>
      </c>
      <c r="F80" s="8" t="n">
        <v>45766</v>
      </c>
      <c r="G80" s="9" t="n">
        <v>17827.25</v>
      </c>
      <c r="H80" t="inlineStr">
        <is>
          <t>PAID_ON_TIME</t>
        </is>
      </c>
      <c r="I80">
        <f>IF(H80="UNPAID", AsOfDate-D80, 0)</f>
        <v/>
      </c>
      <c r="J80">
        <f>IF(F80&lt;&gt;"", TEXT(F80, "yyyy-mm"), "")</f>
        <v/>
      </c>
    </row>
    <row r="81">
      <c r="A81" t="inlineStr">
        <is>
          <t>RP0000080</t>
        </is>
      </c>
      <c r="B81" t="inlineStr">
        <is>
          <t>LN200013</t>
        </is>
      </c>
      <c r="C81" t="n">
        <v>2</v>
      </c>
      <c r="D81" s="8" t="n">
        <v>45798</v>
      </c>
      <c r="E81" s="9" t="n">
        <v>17827.25</v>
      </c>
      <c r="F81" s="8" t="n">
        <v>45800</v>
      </c>
      <c r="G81" s="9" t="n">
        <v>17827.25</v>
      </c>
      <c r="H81" t="inlineStr">
        <is>
          <t>PAID_ON_TIME</t>
        </is>
      </c>
      <c r="I81">
        <f>IF(H81="UNPAID", AsOfDate-D81, 0)</f>
        <v/>
      </c>
      <c r="J81">
        <f>IF(F81&lt;&gt;"", TEXT(F81, "yyyy-mm"), "")</f>
        <v/>
      </c>
    </row>
    <row r="82">
      <c r="A82" t="inlineStr">
        <is>
          <t>RP0000081</t>
        </is>
      </c>
      <c r="B82" t="inlineStr">
        <is>
          <t>LN200013</t>
        </is>
      </c>
      <c r="C82" t="n">
        <v>3</v>
      </c>
      <c r="D82" s="8" t="n">
        <v>45829</v>
      </c>
      <c r="E82" s="9" t="n">
        <v>17827.25</v>
      </c>
      <c r="F82" s="8" t="n">
        <v>45828</v>
      </c>
      <c r="G82" s="9" t="n">
        <v>17827.25</v>
      </c>
      <c r="H82" t="inlineStr">
        <is>
          <t>PAID_ON_TIME</t>
        </is>
      </c>
      <c r="I82">
        <f>IF(H82="UNPAID", AsOfDate-D82, 0)</f>
        <v/>
      </c>
      <c r="J82">
        <f>IF(F82&lt;&gt;"", TEXT(F82, "yyyy-mm"), "")</f>
        <v/>
      </c>
    </row>
    <row r="83">
      <c r="A83" t="inlineStr">
        <is>
          <t>RP0000082</t>
        </is>
      </c>
      <c r="B83" t="inlineStr">
        <is>
          <t>LN200013</t>
        </is>
      </c>
      <c r="C83" t="n">
        <v>4</v>
      </c>
      <c r="D83" s="8" t="n">
        <v>45859</v>
      </c>
      <c r="E83" s="9" t="n">
        <v>17827.25</v>
      </c>
      <c r="F83" s="8" t="n">
        <v>45856</v>
      </c>
      <c r="G83" s="9" t="n">
        <v>17827.25</v>
      </c>
      <c r="H83" t="inlineStr">
        <is>
          <t>PAID_ON_TIME</t>
        </is>
      </c>
      <c r="I83">
        <f>IF(H83="UNPAID", AsOfDate-D83, 0)</f>
        <v/>
      </c>
      <c r="J83">
        <f>IF(F83&lt;&gt;"", TEXT(F83, "yyyy-mm"), "")</f>
        <v/>
      </c>
    </row>
    <row r="84">
      <c r="A84" t="inlineStr">
        <is>
          <t>RP0000083</t>
        </is>
      </c>
      <c r="B84" t="inlineStr">
        <is>
          <t>LN200013</t>
        </is>
      </c>
      <c r="C84" t="n">
        <v>5</v>
      </c>
      <c r="D84" s="8" t="n">
        <v>45890</v>
      </c>
      <c r="E84" s="9" t="n">
        <v>17827.25</v>
      </c>
      <c r="F84" s="8" t="n">
        <v>45891</v>
      </c>
      <c r="G84" s="9" t="n">
        <v>17827.25</v>
      </c>
      <c r="H84" t="inlineStr">
        <is>
          <t>PAID_ON_TIME</t>
        </is>
      </c>
      <c r="I84">
        <f>IF(H84="UNPAID", AsOfDate-D84, 0)</f>
        <v/>
      </c>
      <c r="J84">
        <f>IF(F84&lt;&gt;"", TEXT(F84, "yyyy-mm"), "")</f>
        <v/>
      </c>
    </row>
    <row r="85">
      <c r="A85" t="inlineStr">
        <is>
          <t>RP0000084</t>
        </is>
      </c>
      <c r="B85" t="inlineStr">
        <is>
          <t>LN200013</t>
        </is>
      </c>
      <c r="C85" t="n">
        <v>6</v>
      </c>
      <c r="D85" s="8" t="n">
        <v>45921</v>
      </c>
      <c r="E85" s="9" t="n">
        <v>17827.25</v>
      </c>
      <c r="F85" s="8" t="n">
        <v>45919</v>
      </c>
      <c r="G85" s="9" t="n">
        <v>17827.25</v>
      </c>
      <c r="H85" t="inlineStr">
        <is>
          <t>PAID_ON_TIME</t>
        </is>
      </c>
      <c r="I85">
        <f>IF(H85="UNPAID", AsOfDate-D85, 0)</f>
        <v/>
      </c>
      <c r="J85">
        <f>IF(F85&lt;&gt;"", TEXT(F85, "yyyy-mm"), "")</f>
        <v/>
      </c>
    </row>
    <row r="86">
      <c r="A86" t="inlineStr">
        <is>
          <t>RP0000085</t>
        </is>
      </c>
      <c r="B86" t="inlineStr">
        <is>
          <t>LN200013</t>
        </is>
      </c>
      <c r="C86" t="n">
        <v>7</v>
      </c>
      <c r="D86" s="8" t="n">
        <v>45951</v>
      </c>
      <c r="E86" s="9" t="n">
        <v>17827.25</v>
      </c>
      <c r="F86" s="8" t="n">
        <v>45950</v>
      </c>
      <c r="G86" s="9" t="n">
        <v>17827.25</v>
      </c>
      <c r="H86" t="inlineStr">
        <is>
          <t>PAID_ON_TIME</t>
        </is>
      </c>
      <c r="I86">
        <f>IF(H86="UNPAID", AsOfDate-D86, 0)</f>
        <v/>
      </c>
      <c r="J86">
        <f>IF(F86&lt;&gt;"", TEXT(F86, "yyyy-mm"), "")</f>
        <v/>
      </c>
    </row>
    <row r="87">
      <c r="A87" t="inlineStr">
        <is>
          <t>RP0000086</t>
        </is>
      </c>
      <c r="B87" t="inlineStr">
        <is>
          <t>LN200013</t>
        </is>
      </c>
      <c r="C87" t="n">
        <v>8</v>
      </c>
      <c r="D87" s="8" t="n">
        <v>45982</v>
      </c>
      <c r="E87" s="9" t="n">
        <v>17827.25</v>
      </c>
      <c r="F87" s="8" t="n">
        <v>45983</v>
      </c>
      <c r="G87" s="9" t="n">
        <v>17827.25</v>
      </c>
      <c r="H87" t="inlineStr">
        <is>
          <t>PAID_ON_TIME</t>
        </is>
      </c>
      <c r="I87">
        <f>IF(H87="UNPAID", AsOfDate-D87, 0)</f>
        <v/>
      </c>
      <c r="J87">
        <f>IF(F87&lt;&gt;"", TEXT(F87, "yyyy-mm"), "")</f>
        <v/>
      </c>
    </row>
    <row r="88">
      <c r="A88" t="inlineStr">
        <is>
          <t>RP0000087</t>
        </is>
      </c>
      <c r="B88" t="inlineStr">
        <is>
          <t>LN200013</t>
        </is>
      </c>
      <c r="C88" t="n">
        <v>9</v>
      </c>
      <c r="D88" s="8" t="n">
        <v>46012</v>
      </c>
      <c r="E88" s="9" t="n">
        <v>17827.25</v>
      </c>
      <c r="F88" s="8" t="n">
        <v>46013</v>
      </c>
      <c r="G88" s="9" t="n">
        <v>17827.25</v>
      </c>
      <c r="H88" t="inlineStr">
        <is>
          <t>PAID_ON_TIME</t>
        </is>
      </c>
      <c r="I88">
        <f>IF(H88="UNPAID", AsOfDate-D88, 0)</f>
        <v/>
      </c>
      <c r="J88">
        <f>IF(F88&lt;&gt;"", TEXT(F88, "yyyy-mm"), "")</f>
        <v/>
      </c>
    </row>
    <row r="89">
      <c r="A89" t="inlineStr">
        <is>
          <t>RP0000088</t>
        </is>
      </c>
      <c r="B89" t="inlineStr">
        <is>
          <t>LN200013</t>
        </is>
      </c>
      <c r="C89" t="n">
        <v>10</v>
      </c>
      <c r="D89" s="8" t="n">
        <v>46043</v>
      </c>
      <c r="E89" s="9" t="n">
        <v>17827.25</v>
      </c>
      <c r="F89" s="8" t="n">
        <v>46043</v>
      </c>
      <c r="G89" s="9" t="n">
        <v>17827.25</v>
      </c>
      <c r="H89" t="inlineStr">
        <is>
          <t>PAID_ON_TIME</t>
        </is>
      </c>
      <c r="I89">
        <f>IF(H89="UNPAID", AsOfDate-D89, 0)</f>
        <v/>
      </c>
      <c r="J89">
        <f>IF(F89&lt;&gt;"", TEXT(F89, "yyyy-mm"), "")</f>
        <v/>
      </c>
    </row>
    <row r="90">
      <c r="A90" t="inlineStr">
        <is>
          <t>RP0000089</t>
        </is>
      </c>
      <c r="B90" t="inlineStr">
        <is>
          <t>LN200013</t>
        </is>
      </c>
      <c r="C90" t="n">
        <v>11</v>
      </c>
      <c r="D90" s="8" t="n">
        <v>46074</v>
      </c>
      <c r="E90" s="9" t="n">
        <v>17827.25</v>
      </c>
      <c r="F90" s="8" t="n">
        <v>46077</v>
      </c>
      <c r="G90" s="9" t="n">
        <v>17827.25</v>
      </c>
      <c r="H90" t="inlineStr">
        <is>
          <t>PAID_ON_TIME</t>
        </is>
      </c>
      <c r="I90">
        <f>IF(H90="UNPAID", AsOfDate-D90, 0)</f>
        <v/>
      </c>
      <c r="J90">
        <f>IF(F90&lt;&gt;"", TEXT(F90, "yyyy-mm"), "")</f>
        <v/>
      </c>
    </row>
    <row r="91">
      <c r="A91" t="inlineStr">
        <is>
          <t>RP0000090</t>
        </is>
      </c>
      <c r="B91" t="inlineStr">
        <is>
          <t>LN200013</t>
        </is>
      </c>
      <c r="C91" t="n">
        <v>12</v>
      </c>
      <c r="D91" s="8" t="n">
        <v>46102</v>
      </c>
      <c r="E91" s="9" t="n">
        <v>17827.25</v>
      </c>
      <c r="F91" s="8" t="n">
        <v>46104</v>
      </c>
      <c r="G91" s="9" t="n">
        <v>17827.25</v>
      </c>
      <c r="H91" t="inlineStr">
        <is>
          <t>PAID_ON_TIME</t>
        </is>
      </c>
      <c r="I91">
        <f>IF(H91="UNPAID", AsOfDate-D91, 0)</f>
        <v/>
      </c>
      <c r="J91">
        <f>IF(F91&lt;&gt;"", TEXT(F91, "yyyy-mm"), "")</f>
        <v/>
      </c>
    </row>
    <row r="92">
      <c r="A92" t="inlineStr">
        <is>
          <t>RP0000091</t>
        </is>
      </c>
      <c r="B92" t="inlineStr">
        <is>
          <t>LN200014</t>
        </is>
      </c>
      <c r="C92" t="n">
        <v>1</v>
      </c>
      <c r="D92" s="8" t="n">
        <v>45923</v>
      </c>
      <c r="E92" s="9" t="n">
        <v>19544</v>
      </c>
      <c r="F92" s="8" t="n">
        <v>45923</v>
      </c>
      <c r="G92" s="9" t="n">
        <v>19544</v>
      </c>
      <c r="H92" t="inlineStr">
        <is>
          <t>PAID_ON_TIME</t>
        </is>
      </c>
      <c r="I92">
        <f>IF(H92="UNPAID", AsOfDate-D92, 0)</f>
        <v/>
      </c>
      <c r="J92">
        <f>IF(F92&lt;&gt;"", TEXT(F92, "yyyy-mm"), "")</f>
        <v/>
      </c>
    </row>
    <row r="93">
      <c r="A93" t="inlineStr">
        <is>
          <t>RP0000092</t>
        </is>
      </c>
      <c r="B93" t="inlineStr">
        <is>
          <t>LN200014</t>
        </is>
      </c>
      <c r="C93" t="n">
        <v>2</v>
      </c>
      <c r="D93" s="8" t="n">
        <v>45953</v>
      </c>
      <c r="E93" s="9" t="n">
        <v>19544</v>
      </c>
      <c r="F93" s="8" t="n">
        <v>45954</v>
      </c>
      <c r="G93" s="9" t="n">
        <v>19544</v>
      </c>
      <c r="H93" t="inlineStr">
        <is>
          <t>PAID_ON_TIME</t>
        </is>
      </c>
      <c r="I93">
        <f>IF(H93="UNPAID", AsOfDate-D93, 0)</f>
        <v/>
      </c>
      <c r="J93">
        <f>IF(F93&lt;&gt;"", TEXT(F93, "yyyy-mm"), "")</f>
        <v/>
      </c>
    </row>
    <row r="94">
      <c r="A94" t="inlineStr">
        <is>
          <t>RP0000093</t>
        </is>
      </c>
      <c r="B94" t="inlineStr">
        <is>
          <t>LN200014</t>
        </is>
      </c>
      <c r="C94" t="n">
        <v>3</v>
      </c>
      <c r="D94" s="8" t="n">
        <v>45984</v>
      </c>
      <c r="E94" s="9" t="n">
        <v>19544</v>
      </c>
      <c r="F94" s="8" t="n">
        <v>45985</v>
      </c>
      <c r="G94" s="9" t="n">
        <v>19544</v>
      </c>
      <c r="H94" t="inlineStr">
        <is>
          <t>PAID_ON_TIME</t>
        </is>
      </c>
      <c r="I94">
        <f>IF(H94="UNPAID", AsOfDate-D94, 0)</f>
        <v/>
      </c>
      <c r="J94">
        <f>IF(F94&lt;&gt;"", TEXT(F94, "yyyy-mm"), "")</f>
        <v/>
      </c>
    </row>
    <row r="95">
      <c r="A95" t="inlineStr">
        <is>
          <t>RP0000094</t>
        </is>
      </c>
      <c r="B95" t="inlineStr">
        <is>
          <t>LN200015</t>
        </is>
      </c>
      <c r="C95" t="n">
        <v>1</v>
      </c>
      <c r="D95" s="8" t="n">
        <v>45769</v>
      </c>
      <c r="E95" s="9" t="n">
        <v>20174.25</v>
      </c>
      <c r="F95" s="8" t="n">
        <v>45808</v>
      </c>
      <c r="G95" s="9" t="n">
        <v>20174.25</v>
      </c>
      <c r="H95" t="inlineStr">
        <is>
          <t>PAID_LATE</t>
        </is>
      </c>
      <c r="I95">
        <f>IF(H95="UNPAID", AsOfDate-D95, 0)</f>
        <v/>
      </c>
      <c r="J95">
        <f>IF(F95&lt;&gt;"", TEXT(F95, "yyyy-mm"), "")</f>
        <v/>
      </c>
    </row>
    <row r="96">
      <c r="A96" t="inlineStr">
        <is>
          <t>RP0000095</t>
        </is>
      </c>
      <c r="B96" t="inlineStr">
        <is>
          <t>LN200015</t>
        </is>
      </c>
      <c r="C96" t="n">
        <v>2</v>
      </c>
      <c r="D96" s="8" t="n">
        <v>45799</v>
      </c>
      <c r="E96" s="9" t="n">
        <v>20174.25</v>
      </c>
      <c r="F96" s="8" t="n">
        <v>45798</v>
      </c>
      <c r="G96" s="9" t="n">
        <v>20174.25</v>
      </c>
      <c r="H96" t="inlineStr">
        <is>
          <t>PAID_ON_TIME</t>
        </is>
      </c>
      <c r="I96">
        <f>IF(H96="UNPAID", AsOfDate-D96, 0)</f>
        <v/>
      </c>
      <c r="J96">
        <f>IF(F96&lt;&gt;"", TEXT(F96, "yyyy-mm"), "")</f>
        <v/>
      </c>
    </row>
    <row r="97">
      <c r="A97" t="inlineStr">
        <is>
          <t>RP0000096</t>
        </is>
      </c>
      <c r="B97" t="inlineStr">
        <is>
          <t>LN200015</t>
        </is>
      </c>
      <c r="C97" t="n">
        <v>3</v>
      </c>
      <c r="D97" s="8" t="n">
        <v>45830</v>
      </c>
      <c r="E97" s="9" t="n">
        <v>20174.25</v>
      </c>
      <c r="F97" s="8" t="n">
        <v>45831</v>
      </c>
      <c r="G97" s="9" t="n">
        <v>20174.25</v>
      </c>
      <c r="H97" t="inlineStr">
        <is>
          <t>PAID_ON_TIME</t>
        </is>
      </c>
      <c r="I97">
        <f>IF(H97="UNPAID", AsOfDate-D97, 0)</f>
        <v/>
      </c>
      <c r="J97">
        <f>IF(F97&lt;&gt;"", TEXT(F97, "yyyy-mm"), "")</f>
        <v/>
      </c>
    </row>
    <row r="98">
      <c r="A98" t="inlineStr">
        <is>
          <t>RP0000097</t>
        </is>
      </c>
      <c r="B98" t="inlineStr">
        <is>
          <t>LN200015</t>
        </is>
      </c>
      <c r="C98" t="n">
        <v>4</v>
      </c>
      <c r="D98" s="8" t="n">
        <v>45860</v>
      </c>
      <c r="E98" s="9" t="n">
        <v>20174.25</v>
      </c>
      <c r="F98" s="8" t="n">
        <v>45859</v>
      </c>
      <c r="G98" s="9" t="n">
        <v>20174.25</v>
      </c>
      <c r="H98" t="inlineStr">
        <is>
          <t>PAID_ON_TIME</t>
        </is>
      </c>
      <c r="I98">
        <f>IF(H98="UNPAID", AsOfDate-D98, 0)</f>
        <v/>
      </c>
      <c r="J98">
        <f>IF(F98&lt;&gt;"", TEXT(F98, "yyyy-mm"), "")</f>
        <v/>
      </c>
    </row>
    <row r="99">
      <c r="A99" t="inlineStr">
        <is>
          <t>RP0000098</t>
        </is>
      </c>
      <c r="B99" t="inlineStr">
        <is>
          <t>LN200015</t>
        </is>
      </c>
      <c r="C99" t="n">
        <v>5</v>
      </c>
      <c r="D99" s="8" t="n">
        <v>45891</v>
      </c>
      <c r="E99" s="9" t="n">
        <v>20174.25</v>
      </c>
      <c r="F99" s="8" t="n">
        <v>45889</v>
      </c>
      <c r="G99" s="9" t="n">
        <v>20174.25</v>
      </c>
      <c r="H99" t="inlineStr">
        <is>
          <t>PAID_ON_TIME</t>
        </is>
      </c>
      <c r="I99">
        <f>IF(H99="UNPAID", AsOfDate-D99, 0)</f>
        <v/>
      </c>
      <c r="J99">
        <f>IF(F99&lt;&gt;"", TEXT(F99, "yyyy-mm"), "")</f>
        <v/>
      </c>
    </row>
    <row r="100">
      <c r="A100" t="inlineStr">
        <is>
          <t>RP0000099</t>
        </is>
      </c>
      <c r="B100" t="inlineStr">
        <is>
          <t>LN200015</t>
        </is>
      </c>
      <c r="C100" t="n">
        <v>6</v>
      </c>
      <c r="D100" s="8" t="n">
        <v>45922</v>
      </c>
      <c r="E100" s="9" t="n">
        <v>20174.25</v>
      </c>
      <c r="F100" s="8" t="n">
        <v>45926</v>
      </c>
      <c r="G100" s="9" t="n">
        <v>20174.25</v>
      </c>
      <c r="H100" t="inlineStr">
        <is>
          <t>PAID_ON_TIME</t>
        </is>
      </c>
      <c r="I100">
        <f>IF(H100="UNPAID", AsOfDate-D100, 0)</f>
        <v/>
      </c>
      <c r="J100">
        <f>IF(F100&lt;&gt;"", TEXT(F100, "yyyy-mm"), "")</f>
        <v/>
      </c>
    </row>
    <row r="101">
      <c r="A101" t="inlineStr">
        <is>
          <t>RP0000100</t>
        </is>
      </c>
      <c r="B101" t="inlineStr">
        <is>
          <t>LN200016</t>
        </is>
      </c>
      <c r="C101" t="n">
        <v>1</v>
      </c>
      <c r="D101" s="8" t="n">
        <v>45804</v>
      </c>
      <c r="E101" s="9" t="n">
        <v>7729.33</v>
      </c>
      <c r="F101" s="8" t="n">
        <v>45807</v>
      </c>
      <c r="G101" s="9" t="n">
        <v>7729.33</v>
      </c>
      <c r="H101" t="inlineStr">
        <is>
          <t>PAID_ON_TIME</t>
        </is>
      </c>
      <c r="I101">
        <f>IF(H101="UNPAID", AsOfDate-D101, 0)</f>
        <v/>
      </c>
      <c r="J101">
        <f>IF(F101&lt;&gt;"", TEXT(F101, "yyyy-mm"), "")</f>
        <v/>
      </c>
    </row>
    <row r="102">
      <c r="A102" t="inlineStr">
        <is>
          <t>RP0000101</t>
        </is>
      </c>
      <c r="B102" t="inlineStr">
        <is>
          <t>LN200016</t>
        </is>
      </c>
      <c r="C102" t="n">
        <v>2</v>
      </c>
      <c r="D102" s="8" t="n">
        <v>45835</v>
      </c>
      <c r="E102" s="9" t="n">
        <v>7729.33</v>
      </c>
      <c r="F102" s="8" t="n">
        <v>45834</v>
      </c>
      <c r="G102" s="9" t="n">
        <v>7729.33</v>
      </c>
      <c r="H102" t="inlineStr">
        <is>
          <t>PAID_ON_TIME</t>
        </is>
      </c>
      <c r="I102">
        <f>IF(H102="UNPAID", AsOfDate-D102, 0)</f>
        <v/>
      </c>
      <c r="J102">
        <f>IF(F102&lt;&gt;"", TEXT(F102, "yyyy-mm"), "")</f>
        <v/>
      </c>
    </row>
    <row r="103">
      <c r="A103" t="inlineStr">
        <is>
          <t>RP0000102</t>
        </is>
      </c>
      <c r="B103" t="inlineStr">
        <is>
          <t>LN200016</t>
        </is>
      </c>
      <c r="C103" t="n">
        <v>3</v>
      </c>
      <c r="D103" s="8" t="n">
        <v>45865</v>
      </c>
      <c r="E103" s="9" t="n">
        <v>7729.33</v>
      </c>
      <c r="F103" s="8" t="n">
        <v>45862</v>
      </c>
      <c r="G103" s="9" t="n">
        <v>7729.33</v>
      </c>
      <c r="H103" t="inlineStr">
        <is>
          <t>PAID_ON_TIME</t>
        </is>
      </c>
      <c r="I103">
        <f>IF(H103="UNPAID", AsOfDate-D103, 0)</f>
        <v/>
      </c>
      <c r="J103">
        <f>IF(F103&lt;&gt;"", TEXT(F103, "yyyy-mm"), "")</f>
        <v/>
      </c>
    </row>
    <row r="104">
      <c r="A104" t="inlineStr">
        <is>
          <t>RP0000103</t>
        </is>
      </c>
      <c r="B104" t="inlineStr">
        <is>
          <t>LN200017</t>
        </is>
      </c>
      <c r="C104" t="n">
        <v>1</v>
      </c>
      <c r="D104" s="8" t="n">
        <v>46266</v>
      </c>
      <c r="E104" s="9" t="n">
        <v>3663.33</v>
      </c>
      <c r="F104" s="8" t="n">
        <v>46268</v>
      </c>
      <c r="G104" s="9" t="n">
        <v>3663.33</v>
      </c>
      <c r="H104" t="inlineStr">
        <is>
          <t>PAID_ON_TIME</t>
        </is>
      </c>
      <c r="I104">
        <f>IF(H104="UNPAID", AsOfDate-D104, 0)</f>
        <v/>
      </c>
      <c r="J104">
        <f>IF(F104&lt;&gt;"", TEXT(F104, "yyyy-mm"), "")</f>
        <v/>
      </c>
    </row>
    <row r="105">
      <c r="A105" t="inlineStr">
        <is>
          <t>RP0000104</t>
        </is>
      </c>
      <c r="B105" t="inlineStr">
        <is>
          <t>LN200017</t>
        </is>
      </c>
      <c r="C105" t="n">
        <v>2</v>
      </c>
      <c r="D105" s="8" t="n">
        <v>46296</v>
      </c>
      <c r="E105" s="9" t="n">
        <v>3663.33</v>
      </c>
      <c r="F105" s="8" t="n"/>
      <c r="G105" s="9" t="n">
        <v>0</v>
      </c>
      <c r="H105" t="inlineStr">
        <is>
          <t>NOT_DUE</t>
        </is>
      </c>
      <c r="I105">
        <f>IF(H105="UNPAID", AsOfDate-D105, 0)</f>
        <v/>
      </c>
      <c r="J105">
        <f>IF(F105&lt;&gt;"", TEXT(F105, "yyyy-mm"), "")</f>
        <v/>
      </c>
    </row>
    <row r="106">
      <c r="A106" t="inlineStr">
        <is>
          <t>RP0000105</t>
        </is>
      </c>
      <c r="B106" t="inlineStr">
        <is>
          <t>LN200017</t>
        </is>
      </c>
      <c r="C106" t="n">
        <v>3</v>
      </c>
      <c r="D106" s="8" t="n">
        <v>46327</v>
      </c>
      <c r="E106" s="9" t="n">
        <v>3663.33</v>
      </c>
      <c r="F106" s="8" t="n"/>
      <c r="G106" s="9" t="n">
        <v>0</v>
      </c>
      <c r="H106" t="inlineStr">
        <is>
          <t>NOT_DUE</t>
        </is>
      </c>
      <c r="I106">
        <f>IF(H106="UNPAID", AsOfDate-D106, 0)</f>
        <v/>
      </c>
      <c r="J106">
        <f>IF(F106&lt;&gt;"", TEXT(F106, "yyyy-mm"), "")</f>
        <v/>
      </c>
    </row>
    <row r="107">
      <c r="A107" t="inlineStr">
        <is>
          <t>RP0000106</t>
        </is>
      </c>
      <c r="B107" t="inlineStr">
        <is>
          <t>LN200017</t>
        </is>
      </c>
      <c r="C107" t="n">
        <v>4</v>
      </c>
      <c r="D107" s="8" t="n">
        <v>46357</v>
      </c>
      <c r="E107" s="9" t="n">
        <v>3663.33</v>
      </c>
      <c r="F107" s="8" t="n"/>
      <c r="G107" s="9" t="n">
        <v>0</v>
      </c>
      <c r="H107" t="inlineStr">
        <is>
          <t>NOT_DUE</t>
        </is>
      </c>
      <c r="I107">
        <f>IF(H107="UNPAID", AsOfDate-D107, 0)</f>
        <v/>
      </c>
      <c r="J107">
        <f>IF(F107&lt;&gt;"", TEXT(F107, "yyyy-mm"), "")</f>
        <v/>
      </c>
    </row>
    <row r="108">
      <c r="A108" t="inlineStr">
        <is>
          <t>RP0000107</t>
        </is>
      </c>
      <c r="B108" t="inlineStr">
        <is>
          <t>LN200017</t>
        </is>
      </c>
      <c r="C108" t="n">
        <v>5</v>
      </c>
      <c r="D108" s="8" t="n">
        <v>46388</v>
      </c>
      <c r="E108" s="9" t="n">
        <v>3663.33</v>
      </c>
      <c r="F108" s="8" t="n"/>
      <c r="G108" s="9" t="n">
        <v>0</v>
      </c>
      <c r="H108" t="inlineStr">
        <is>
          <t>NOT_DUE</t>
        </is>
      </c>
      <c r="I108">
        <f>IF(H108="UNPAID", AsOfDate-D108, 0)</f>
        <v/>
      </c>
      <c r="J108">
        <f>IF(F108&lt;&gt;"", TEXT(F108, "yyyy-mm"), "")</f>
        <v/>
      </c>
    </row>
    <row r="109">
      <c r="A109" t="inlineStr">
        <is>
          <t>RP0000108</t>
        </is>
      </c>
      <c r="B109" t="inlineStr">
        <is>
          <t>LN200017</t>
        </is>
      </c>
      <c r="C109" t="n">
        <v>6</v>
      </c>
      <c r="D109" s="8" t="n">
        <v>46419</v>
      </c>
      <c r="E109" s="9" t="n">
        <v>3663.33</v>
      </c>
      <c r="F109" s="8" t="n"/>
      <c r="G109" s="9" t="n">
        <v>0</v>
      </c>
      <c r="H109" t="inlineStr">
        <is>
          <t>NOT_DUE</t>
        </is>
      </c>
      <c r="I109">
        <f>IF(H109="UNPAID", AsOfDate-D109, 0)</f>
        <v/>
      </c>
      <c r="J109">
        <f>IF(F109&lt;&gt;"", TEXT(F109, "yyyy-mm"), "")</f>
        <v/>
      </c>
    </row>
    <row r="110">
      <c r="A110" t="inlineStr">
        <is>
          <t>RP0000109</t>
        </is>
      </c>
      <c r="B110" t="inlineStr">
        <is>
          <t>LN200018</t>
        </is>
      </c>
      <c r="C110" t="n">
        <v>1</v>
      </c>
      <c r="D110" s="8" t="n">
        <v>46194</v>
      </c>
      <c r="E110" s="9" t="n">
        <v>29920</v>
      </c>
      <c r="F110" s="8" t="n">
        <v>46194</v>
      </c>
      <c r="G110" s="9" t="n">
        <v>29920</v>
      </c>
      <c r="H110" t="inlineStr">
        <is>
          <t>PAID_ON_TIME</t>
        </is>
      </c>
      <c r="I110">
        <f>IF(H110="UNPAID", AsOfDate-D110, 0)</f>
        <v/>
      </c>
      <c r="J110">
        <f>IF(F110&lt;&gt;"", TEXT(F110, "yyyy-mm"), "")</f>
        <v/>
      </c>
    </row>
    <row r="111">
      <c r="A111" t="inlineStr">
        <is>
          <t>RP0000110</t>
        </is>
      </c>
      <c r="B111" t="inlineStr">
        <is>
          <t>LN200018</t>
        </is>
      </c>
      <c r="C111" t="n">
        <v>2</v>
      </c>
      <c r="D111" s="8" t="n">
        <v>46224</v>
      </c>
      <c r="E111" s="9" t="n">
        <v>29920</v>
      </c>
      <c r="F111" s="8" t="n">
        <v>46224</v>
      </c>
      <c r="G111" s="9" t="n">
        <v>29920</v>
      </c>
      <c r="H111" t="inlineStr">
        <is>
          <t>PAID_ON_TIME</t>
        </is>
      </c>
      <c r="I111">
        <f>IF(H111="UNPAID", AsOfDate-D111, 0)</f>
        <v/>
      </c>
      <c r="J111">
        <f>IF(F111&lt;&gt;"", TEXT(F111, "yyyy-mm"), "")</f>
        <v/>
      </c>
    </row>
    <row r="112">
      <c r="A112" t="inlineStr">
        <is>
          <t>RP0000111</t>
        </is>
      </c>
      <c r="B112" t="inlineStr">
        <is>
          <t>LN200018</t>
        </is>
      </c>
      <c r="C112" t="n">
        <v>3</v>
      </c>
      <c r="D112" s="8" t="n">
        <v>46255</v>
      </c>
      <c r="E112" s="9" t="n">
        <v>29920</v>
      </c>
      <c r="F112" s="8" t="n">
        <v>46254</v>
      </c>
      <c r="G112" s="9" t="n">
        <v>29920</v>
      </c>
      <c r="H112" t="inlineStr">
        <is>
          <t>PAID_ON_TIME</t>
        </is>
      </c>
      <c r="I112">
        <f>IF(H112="UNPAID", AsOfDate-D112, 0)</f>
        <v/>
      </c>
      <c r="J112">
        <f>IF(F112&lt;&gt;"", TEXT(F112, "yyyy-mm"), "")</f>
        <v/>
      </c>
    </row>
    <row r="113">
      <c r="A113" t="inlineStr">
        <is>
          <t>RP0000112</t>
        </is>
      </c>
      <c r="B113" t="inlineStr">
        <is>
          <t>LN200019</t>
        </is>
      </c>
      <c r="C113" t="n">
        <v>1</v>
      </c>
      <c r="D113" s="8" t="n">
        <v>45962</v>
      </c>
      <c r="E113" s="9" t="n">
        <v>19141.83</v>
      </c>
      <c r="F113" s="8" t="n">
        <v>45961</v>
      </c>
      <c r="G113" s="9" t="n">
        <v>19141.83</v>
      </c>
      <c r="H113" t="inlineStr">
        <is>
          <t>PAID_ON_TIME</t>
        </is>
      </c>
      <c r="I113">
        <f>IF(H113="UNPAID", AsOfDate-D113, 0)</f>
        <v/>
      </c>
      <c r="J113">
        <f>IF(F113&lt;&gt;"", TEXT(F113, "yyyy-mm"), "")</f>
        <v/>
      </c>
    </row>
    <row r="114">
      <c r="A114" t="inlineStr">
        <is>
          <t>RP0000113</t>
        </is>
      </c>
      <c r="B114" t="inlineStr">
        <is>
          <t>LN200019</t>
        </is>
      </c>
      <c r="C114" t="n">
        <v>2</v>
      </c>
      <c r="D114" s="8" t="n">
        <v>45992</v>
      </c>
      <c r="E114" s="9" t="n">
        <v>19141.83</v>
      </c>
      <c r="F114" s="8" t="n">
        <v>45989</v>
      </c>
      <c r="G114" s="9" t="n">
        <v>19141.83</v>
      </c>
      <c r="H114" t="inlineStr">
        <is>
          <t>PAID_ON_TIME</t>
        </is>
      </c>
      <c r="I114">
        <f>IF(H114="UNPAID", AsOfDate-D114, 0)</f>
        <v/>
      </c>
      <c r="J114">
        <f>IF(F114&lt;&gt;"", TEXT(F114, "yyyy-mm"), "")</f>
        <v/>
      </c>
    </row>
    <row r="115">
      <c r="A115" t="inlineStr">
        <is>
          <t>RP0000114</t>
        </is>
      </c>
      <c r="B115" t="inlineStr">
        <is>
          <t>LN200019</t>
        </is>
      </c>
      <c r="C115" t="n">
        <v>3</v>
      </c>
      <c r="D115" s="8" t="n">
        <v>46023</v>
      </c>
      <c r="E115" s="9" t="n">
        <v>19141.83</v>
      </c>
      <c r="F115" s="8" t="n">
        <v>46024</v>
      </c>
      <c r="G115" s="9" t="n">
        <v>19141.83</v>
      </c>
      <c r="H115" t="inlineStr">
        <is>
          <t>PAID_ON_TIME</t>
        </is>
      </c>
      <c r="I115">
        <f>IF(H115="UNPAID", AsOfDate-D115, 0)</f>
        <v/>
      </c>
      <c r="J115">
        <f>IF(F115&lt;&gt;"", TEXT(F115, "yyyy-mm"), "")</f>
        <v/>
      </c>
    </row>
    <row r="116">
      <c r="A116" t="inlineStr">
        <is>
          <t>RP0000115</t>
        </is>
      </c>
      <c r="B116" t="inlineStr">
        <is>
          <t>LN200019</t>
        </is>
      </c>
      <c r="C116" t="n">
        <v>4</v>
      </c>
      <c r="D116" s="8" t="n">
        <v>46054</v>
      </c>
      <c r="E116" s="9" t="n">
        <v>19141.83</v>
      </c>
      <c r="F116" s="8" t="n">
        <v>46051</v>
      </c>
      <c r="G116" s="9" t="n">
        <v>19141.83</v>
      </c>
      <c r="H116" t="inlineStr">
        <is>
          <t>PAID_ON_TIME</t>
        </is>
      </c>
      <c r="I116">
        <f>IF(H116="UNPAID", AsOfDate-D116, 0)</f>
        <v/>
      </c>
      <c r="J116">
        <f>IF(F116&lt;&gt;"", TEXT(F116, "yyyy-mm"), "")</f>
        <v/>
      </c>
    </row>
    <row r="117">
      <c r="A117" t="inlineStr">
        <is>
          <t>RP0000116</t>
        </is>
      </c>
      <c r="B117" t="inlineStr">
        <is>
          <t>LN200019</t>
        </is>
      </c>
      <c r="C117" t="n">
        <v>5</v>
      </c>
      <c r="D117" s="8" t="n">
        <v>46082</v>
      </c>
      <c r="E117" s="9" t="n">
        <v>19141.83</v>
      </c>
      <c r="F117" s="8" t="n">
        <v>46122</v>
      </c>
      <c r="G117" s="9" t="n">
        <v>19141.83</v>
      </c>
      <c r="H117" t="inlineStr">
        <is>
          <t>PAID_LATE</t>
        </is>
      </c>
      <c r="I117">
        <f>IF(H117="UNPAID", AsOfDate-D117, 0)</f>
        <v/>
      </c>
      <c r="J117">
        <f>IF(F117&lt;&gt;"", TEXT(F117, "yyyy-mm"), "")</f>
        <v/>
      </c>
    </row>
    <row r="118">
      <c r="A118" t="inlineStr">
        <is>
          <t>RP0000117</t>
        </is>
      </c>
      <c r="B118" t="inlineStr">
        <is>
          <t>LN200019</t>
        </is>
      </c>
      <c r="C118" t="n">
        <v>6</v>
      </c>
      <c r="D118" s="8" t="n">
        <v>46113</v>
      </c>
      <c r="E118" s="9" t="n">
        <v>19141.83</v>
      </c>
      <c r="F118" s="8" t="n">
        <v>46113</v>
      </c>
      <c r="G118" s="9" t="n">
        <v>19141.83</v>
      </c>
      <c r="H118" t="inlineStr">
        <is>
          <t>PAID_ON_TIME</t>
        </is>
      </c>
      <c r="I118">
        <f>IF(H118="UNPAID", AsOfDate-D118, 0)</f>
        <v/>
      </c>
      <c r="J118">
        <f>IF(F118&lt;&gt;"", TEXT(F118, "yyyy-mm"), "")</f>
        <v/>
      </c>
    </row>
    <row r="119">
      <c r="A119" t="inlineStr">
        <is>
          <t>RP0000118</t>
        </is>
      </c>
      <c r="B119" t="inlineStr">
        <is>
          <t>LN200019</t>
        </is>
      </c>
      <c r="C119" t="n">
        <v>7</v>
      </c>
      <c r="D119" s="8" t="n">
        <v>46143</v>
      </c>
      <c r="E119" s="9" t="n">
        <v>19141.83</v>
      </c>
      <c r="F119" s="8" t="n">
        <v>46144</v>
      </c>
      <c r="G119" s="9" t="n">
        <v>19141.83</v>
      </c>
      <c r="H119" t="inlineStr">
        <is>
          <t>PAID_ON_TIME</t>
        </is>
      </c>
      <c r="I119">
        <f>IF(H119="UNPAID", AsOfDate-D119, 0)</f>
        <v/>
      </c>
      <c r="J119">
        <f>IF(F119&lt;&gt;"", TEXT(F119, "yyyy-mm"), "")</f>
        <v/>
      </c>
    </row>
    <row r="120">
      <c r="A120" t="inlineStr">
        <is>
          <t>RP0000119</t>
        </is>
      </c>
      <c r="B120" t="inlineStr">
        <is>
          <t>LN200019</t>
        </is>
      </c>
      <c r="C120" t="n">
        <v>8</v>
      </c>
      <c r="D120" s="8" t="n">
        <v>46174</v>
      </c>
      <c r="E120" s="9" t="n">
        <v>19141.83</v>
      </c>
      <c r="F120" s="8" t="n">
        <v>46178</v>
      </c>
      <c r="G120" s="9" t="n">
        <v>19141.83</v>
      </c>
      <c r="H120" t="inlineStr">
        <is>
          <t>PAID_ON_TIME</t>
        </is>
      </c>
      <c r="I120">
        <f>IF(H120="UNPAID", AsOfDate-D120, 0)</f>
        <v/>
      </c>
      <c r="J120">
        <f>IF(F120&lt;&gt;"", TEXT(F120, "yyyy-mm"), "")</f>
        <v/>
      </c>
    </row>
    <row r="121">
      <c r="A121" t="inlineStr">
        <is>
          <t>RP0000120</t>
        </is>
      </c>
      <c r="B121" t="inlineStr">
        <is>
          <t>LN200019</t>
        </is>
      </c>
      <c r="C121" t="n">
        <v>9</v>
      </c>
      <c r="D121" s="8" t="n">
        <v>46204</v>
      </c>
      <c r="E121" s="9" t="n">
        <v>19141.83</v>
      </c>
      <c r="F121" s="8" t="n">
        <v>46207</v>
      </c>
      <c r="G121" s="9" t="n">
        <v>19141.83</v>
      </c>
      <c r="H121" t="inlineStr">
        <is>
          <t>PAID_ON_TIME</t>
        </is>
      </c>
      <c r="I121">
        <f>IF(H121="UNPAID", AsOfDate-D121, 0)</f>
        <v/>
      </c>
      <c r="J121">
        <f>IF(F121&lt;&gt;"", TEXT(F121, "yyyy-mm"), "")</f>
        <v/>
      </c>
    </row>
    <row r="122">
      <c r="A122" t="inlineStr">
        <is>
          <t>RP0000121</t>
        </is>
      </c>
      <c r="B122" t="inlineStr">
        <is>
          <t>LN200019</t>
        </is>
      </c>
      <c r="C122" t="n">
        <v>10</v>
      </c>
      <c r="D122" s="8" t="n">
        <v>46235</v>
      </c>
      <c r="E122" s="9" t="n">
        <v>19141.83</v>
      </c>
      <c r="F122" s="8" t="n">
        <v>46238</v>
      </c>
      <c r="G122" s="9" t="n">
        <v>19141.83</v>
      </c>
      <c r="H122" t="inlineStr">
        <is>
          <t>PAID_ON_TIME</t>
        </is>
      </c>
      <c r="I122">
        <f>IF(H122="UNPAID", AsOfDate-D122, 0)</f>
        <v/>
      </c>
      <c r="J122">
        <f>IF(F122&lt;&gt;"", TEXT(F122, "yyyy-mm"), "")</f>
        <v/>
      </c>
    </row>
    <row r="123">
      <c r="A123" t="inlineStr">
        <is>
          <t>RP0000122</t>
        </is>
      </c>
      <c r="B123" t="inlineStr">
        <is>
          <t>LN200019</t>
        </is>
      </c>
      <c r="C123" t="n">
        <v>11</v>
      </c>
      <c r="D123" s="8" t="n">
        <v>46266</v>
      </c>
      <c r="E123" s="9" t="n">
        <v>19141.83</v>
      </c>
      <c r="F123" s="8" t="n">
        <v>46268</v>
      </c>
      <c r="G123" s="9" t="n">
        <v>19141.83</v>
      </c>
      <c r="H123" t="inlineStr">
        <is>
          <t>PAID_ON_TIME</t>
        </is>
      </c>
      <c r="I123">
        <f>IF(H123="UNPAID", AsOfDate-D123, 0)</f>
        <v/>
      </c>
      <c r="J123">
        <f>IF(F123&lt;&gt;"", TEXT(F123, "yyyy-mm"), "")</f>
        <v/>
      </c>
    </row>
    <row r="124">
      <c r="A124" t="inlineStr">
        <is>
          <t>RP0000123</t>
        </is>
      </c>
      <c r="B124" t="inlineStr">
        <is>
          <t>LN200019</t>
        </is>
      </c>
      <c r="C124" t="n">
        <v>12</v>
      </c>
      <c r="D124" s="8" t="n">
        <v>46296</v>
      </c>
      <c r="E124" s="9" t="n">
        <v>19141.83</v>
      </c>
      <c r="F124" s="8" t="n"/>
      <c r="G124" s="9" t="n">
        <v>0</v>
      </c>
      <c r="H124" t="inlineStr">
        <is>
          <t>NOT_DUE</t>
        </is>
      </c>
      <c r="I124">
        <f>IF(H124="UNPAID", AsOfDate-D124, 0)</f>
        <v/>
      </c>
      <c r="J124">
        <f>IF(F124&lt;&gt;"", TEXT(F124, "yyyy-mm"), "")</f>
        <v/>
      </c>
    </row>
    <row r="125">
      <c r="A125" t="inlineStr">
        <is>
          <t>RP0000124</t>
        </is>
      </c>
      <c r="B125" t="inlineStr">
        <is>
          <t>LN200020</t>
        </is>
      </c>
      <c r="C125" t="n">
        <v>1</v>
      </c>
      <c r="D125" s="8" t="n">
        <v>46224</v>
      </c>
      <c r="E125" s="9" t="n">
        <v>16506.78</v>
      </c>
      <c r="F125" s="8" t="n">
        <v>46225</v>
      </c>
      <c r="G125" s="9" t="n">
        <v>16506.78</v>
      </c>
      <c r="H125" t="inlineStr">
        <is>
          <t>PAID_ON_TIME</t>
        </is>
      </c>
      <c r="I125">
        <f>IF(H125="UNPAID", AsOfDate-D125, 0)</f>
        <v/>
      </c>
      <c r="J125">
        <f>IF(F125&lt;&gt;"", TEXT(F125, "yyyy-mm"), "")</f>
        <v/>
      </c>
    </row>
    <row r="126">
      <c r="A126" t="inlineStr">
        <is>
          <t>RP0000125</t>
        </is>
      </c>
      <c r="B126" t="inlineStr">
        <is>
          <t>LN200020</t>
        </is>
      </c>
      <c r="C126" t="n">
        <v>2</v>
      </c>
      <c r="D126" s="8" t="n">
        <v>46255</v>
      </c>
      <c r="E126" s="9" t="n">
        <v>16506.78</v>
      </c>
      <c r="F126" s="8" t="n">
        <v>46257</v>
      </c>
      <c r="G126" s="9" t="n">
        <v>16506.78</v>
      </c>
      <c r="H126" t="inlineStr">
        <is>
          <t>PAID_ON_TIME</t>
        </is>
      </c>
      <c r="I126">
        <f>IF(H126="UNPAID", AsOfDate-D126, 0)</f>
        <v/>
      </c>
      <c r="J126">
        <f>IF(F126&lt;&gt;"", TEXT(F126, "yyyy-mm"), "")</f>
        <v/>
      </c>
    </row>
    <row r="127">
      <c r="A127" t="inlineStr">
        <is>
          <t>RP0000126</t>
        </is>
      </c>
      <c r="B127" t="inlineStr">
        <is>
          <t>LN200020</t>
        </is>
      </c>
      <c r="C127" t="n">
        <v>3</v>
      </c>
      <c r="D127" s="8" t="n">
        <v>46286</v>
      </c>
      <c r="E127" s="9" t="n">
        <v>16506.78</v>
      </c>
      <c r="F127" s="8" t="n"/>
      <c r="G127" s="9" t="n">
        <v>0</v>
      </c>
      <c r="H127" t="inlineStr">
        <is>
          <t>NOT_DUE</t>
        </is>
      </c>
      <c r="I127">
        <f>IF(H127="UNPAID", AsOfDate-D127, 0)</f>
        <v/>
      </c>
      <c r="J127">
        <f>IF(F127&lt;&gt;"", TEXT(F127, "yyyy-mm"), "")</f>
        <v/>
      </c>
    </row>
    <row r="128">
      <c r="A128" t="inlineStr">
        <is>
          <t>RP0000127</t>
        </is>
      </c>
      <c r="B128" t="inlineStr">
        <is>
          <t>LN200020</t>
        </is>
      </c>
      <c r="C128" t="n">
        <v>4</v>
      </c>
      <c r="D128" s="8" t="n">
        <v>46316</v>
      </c>
      <c r="E128" s="9" t="n">
        <v>16506.78</v>
      </c>
      <c r="F128" s="8" t="n"/>
      <c r="G128" s="9" t="n">
        <v>0</v>
      </c>
      <c r="H128" t="inlineStr">
        <is>
          <t>NOT_DUE</t>
        </is>
      </c>
      <c r="I128">
        <f>IF(H128="UNPAID", AsOfDate-D128, 0)</f>
        <v/>
      </c>
      <c r="J128">
        <f>IF(F128&lt;&gt;"", TEXT(F128, "yyyy-mm"), "")</f>
        <v/>
      </c>
    </row>
    <row r="129">
      <c r="A129" t="inlineStr">
        <is>
          <t>RP0000128</t>
        </is>
      </c>
      <c r="B129" t="inlineStr">
        <is>
          <t>LN200020</t>
        </is>
      </c>
      <c r="C129" t="n">
        <v>5</v>
      </c>
      <c r="D129" s="8" t="n">
        <v>46347</v>
      </c>
      <c r="E129" s="9" t="n">
        <v>16506.78</v>
      </c>
      <c r="F129" s="8" t="n"/>
      <c r="G129" s="9" t="n">
        <v>0</v>
      </c>
      <c r="H129" t="inlineStr">
        <is>
          <t>NOT_DUE</t>
        </is>
      </c>
      <c r="I129">
        <f>IF(H129="UNPAID", AsOfDate-D129, 0)</f>
        <v/>
      </c>
      <c r="J129">
        <f>IF(F129&lt;&gt;"", TEXT(F129, "yyyy-mm"), "")</f>
        <v/>
      </c>
    </row>
    <row r="130">
      <c r="A130" t="inlineStr">
        <is>
          <t>RP0000129</t>
        </is>
      </c>
      <c r="B130" t="inlineStr">
        <is>
          <t>LN200020</t>
        </is>
      </c>
      <c r="C130" t="n">
        <v>6</v>
      </c>
      <c r="D130" s="8" t="n">
        <v>46377</v>
      </c>
      <c r="E130" s="9" t="n">
        <v>16506.78</v>
      </c>
      <c r="F130" s="8" t="n"/>
      <c r="G130" s="9" t="n">
        <v>0</v>
      </c>
      <c r="H130" t="inlineStr">
        <is>
          <t>NOT_DUE</t>
        </is>
      </c>
      <c r="I130">
        <f>IF(H130="UNPAID", AsOfDate-D130, 0)</f>
        <v/>
      </c>
      <c r="J130">
        <f>IF(F130&lt;&gt;"", TEXT(F130, "yyyy-mm"), "")</f>
        <v/>
      </c>
    </row>
    <row r="131">
      <c r="A131" t="inlineStr">
        <is>
          <t>RP0000130</t>
        </is>
      </c>
      <c r="B131" t="inlineStr">
        <is>
          <t>LN200020</t>
        </is>
      </c>
      <c r="C131" t="n">
        <v>7</v>
      </c>
      <c r="D131" s="8" t="n">
        <v>46408</v>
      </c>
      <c r="E131" s="9" t="n">
        <v>16506.78</v>
      </c>
      <c r="F131" s="8" t="n"/>
      <c r="G131" s="9" t="n">
        <v>0</v>
      </c>
      <c r="H131" t="inlineStr">
        <is>
          <t>NOT_DUE</t>
        </is>
      </c>
      <c r="I131">
        <f>IF(H131="UNPAID", AsOfDate-D131, 0)</f>
        <v/>
      </c>
      <c r="J131">
        <f>IF(F131&lt;&gt;"", TEXT(F131, "yyyy-mm"), "")</f>
        <v/>
      </c>
    </row>
    <row r="132">
      <c r="A132" t="inlineStr">
        <is>
          <t>RP0000131</t>
        </is>
      </c>
      <c r="B132" t="inlineStr">
        <is>
          <t>LN200020</t>
        </is>
      </c>
      <c r="C132" t="n">
        <v>8</v>
      </c>
      <c r="D132" s="8" t="n">
        <v>46439</v>
      </c>
      <c r="E132" s="9" t="n">
        <v>16506.78</v>
      </c>
      <c r="F132" s="8" t="n"/>
      <c r="G132" s="9" t="n">
        <v>0</v>
      </c>
      <c r="H132" t="inlineStr">
        <is>
          <t>NOT_DUE</t>
        </is>
      </c>
      <c r="I132">
        <f>IF(H132="UNPAID", AsOfDate-D132, 0)</f>
        <v/>
      </c>
      <c r="J132">
        <f>IF(F132&lt;&gt;"", TEXT(F132, "yyyy-mm"), "")</f>
        <v/>
      </c>
    </row>
    <row r="133">
      <c r="A133" t="inlineStr">
        <is>
          <t>RP0000132</t>
        </is>
      </c>
      <c r="B133" t="inlineStr">
        <is>
          <t>LN200020</t>
        </is>
      </c>
      <c r="C133" t="n">
        <v>9</v>
      </c>
      <c r="D133" s="8" t="n">
        <v>46467</v>
      </c>
      <c r="E133" s="9" t="n">
        <v>16506.78</v>
      </c>
      <c r="F133" s="8" t="n"/>
      <c r="G133" s="9" t="n">
        <v>0</v>
      </c>
      <c r="H133" t="inlineStr">
        <is>
          <t>NOT_DUE</t>
        </is>
      </c>
      <c r="I133">
        <f>IF(H133="UNPAID", AsOfDate-D133, 0)</f>
        <v/>
      </c>
      <c r="J133">
        <f>IF(F133&lt;&gt;"", TEXT(F133, "yyyy-mm"), "")</f>
        <v/>
      </c>
    </row>
    <row r="134">
      <c r="A134" t="inlineStr">
        <is>
          <t>RP0000133</t>
        </is>
      </c>
      <c r="B134" t="inlineStr">
        <is>
          <t>LN200021</t>
        </is>
      </c>
      <c r="C134" t="n">
        <v>1</v>
      </c>
      <c r="D134" s="8" t="n">
        <v>46236</v>
      </c>
      <c r="E134" s="9" t="n">
        <v>3278.17</v>
      </c>
      <c r="F134" s="8" t="n">
        <v>46234</v>
      </c>
      <c r="G134" s="9" t="n">
        <v>3278.17</v>
      </c>
      <c r="H134" t="inlineStr">
        <is>
          <t>PAID_ON_TIME</t>
        </is>
      </c>
      <c r="I134">
        <f>IF(H134="UNPAID", AsOfDate-D134, 0)</f>
        <v/>
      </c>
      <c r="J134">
        <f>IF(F134&lt;&gt;"", TEXT(F134, "yyyy-mm"), "")</f>
        <v/>
      </c>
    </row>
    <row r="135">
      <c r="A135" t="inlineStr">
        <is>
          <t>RP0000134</t>
        </is>
      </c>
      <c r="B135" t="inlineStr">
        <is>
          <t>LN200021</t>
        </is>
      </c>
      <c r="C135" t="n">
        <v>2</v>
      </c>
      <c r="D135" s="8" t="n">
        <v>46267</v>
      </c>
      <c r="E135" s="9" t="n">
        <v>3278.17</v>
      </c>
      <c r="F135" s="8" t="n"/>
      <c r="G135" s="9" t="n">
        <v>0</v>
      </c>
      <c r="H135" t="inlineStr">
        <is>
          <t>NOT_DUE</t>
        </is>
      </c>
      <c r="I135">
        <f>IF(H135="UNPAID", AsOfDate-D135, 0)</f>
        <v/>
      </c>
      <c r="J135">
        <f>IF(F135&lt;&gt;"", TEXT(F135, "yyyy-mm"), "")</f>
        <v/>
      </c>
    </row>
    <row r="136">
      <c r="A136" t="inlineStr">
        <is>
          <t>RP0000135</t>
        </is>
      </c>
      <c r="B136" t="inlineStr">
        <is>
          <t>LN200021</t>
        </is>
      </c>
      <c r="C136" t="n">
        <v>3</v>
      </c>
      <c r="D136" s="8" t="n">
        <v>46297</v>
      </c>
      <c r="E136" s="9" t="n">
        <v>3278.17</v>
      </c>
      <c r="F136" s="8" t="n"/>
      <c r="G136" s="9" t="n">
        <v>0</v>
      </c>
      <c r="H136" t="inlineStr">
        <is>
          <t>NOT_DUE</t>
        </is>
      </c>
      <c r="I136">
        <f>IF(H136="UNPAID", AsOfDate-D136, 0)</f>
        <v/>
      </c>
      <c r="J136">
        <f>IF(F136&lt;&gt;"", TEXT(F136, "yyyy-mm"), "")</f>
        <v/>
      </c>
    </row>
    <row r="137">
      <c r="A137" t="inlineStr">
        <is>
          <t>RP0000136</t>
        </is>
      </c>
      <c r="B137" t="inlineStr">
        <is>
          <t>LN200021</t>
        </is>
      </c>
      <c r="C137" t="n">
        <v>4</v>
      </c>
      <c r="D137" s="8" t="n">
        <v>46328</v>
      </c>
      <c r="E137" s="9" t="n">
        <v>3278.17</v>
      </c>
      <c r="F137" s="8" t="n"/>
      <c r="G137" s="9" t="n">
        <v>0</v>
      </c>
      <c r="H137" t="inlineStr">
        <is>
          <t>NOT_DUE</t>
        </is>
      </c>
      <c r="I137">
        <f>IF(H137="UNPAID", AsOfDate-D137, 0)</f>
        <v/>
      </c>
      <c r="J137">
        <f>IF(F137&lt;&gt;"", TEXT(F137, "yyyy-mm"), "")</f>
        <v/>
      </c>
    </row>
    <row r="138">
      <c r="A138" t="inlineStr">
        <is>
          <t>RP0000137</t>
        </is>
      </c>
      <c r="B138" t="inlineStr">
        <is>
          <t>LN200021</t>
        </is>
      </c>
      <c r="C138" t="n">
        <v>5</v>
      </c>
      <c r="D138" s="8" t="n">
        <v>46358</v>
      </c>
      <c r="E138" s="9" t="n">
        <v>3278.17</v>
      </c>
      <c r="F138" s="8" t="n"/>
      <c r="G138" s="9" t="n">
        <v>0</v>
      </c>
      <c r="H138" t="inlineStr">
        <is>
          <t>NOT_DUE</t>
        </is>
      </c>
      <c r="I138">
        <f>IF(H138="UNPAID", AsOfDate-D138, 0)</f>
        <v/>
      </c>
      <c r="J138">
        <f>IF(F138&lt;&gt;"", TEXT(F138, "yyyy-mm"), "")</f>
        <v/>
      </c>
    </row>
    <row r="139">
      <c r="A139" t="inlineStr">
        <is>
          <t>RP0000138</t>
        </is>
      </c>
      <c r="B139" t="inlineStr">
        <is>
          <t>LN200021</t>
        </is>
      </c>
      <c r="C139" t="n">
        <v>6</v>
      </c>
      <c r="D139" s="8" t="n">
        <v>46389</v>
      </c>
      <c r="E139" s="9" t="n">
        <v>3278.17</v>
      </c>
      <c r="F139" s="8" t="n"/>
      <c r="G139" s="9" t="n">
        <v>0</v>
      </c>
      <c r="H139" t="inlineStr">
        <is>
          <t>NOT_DUE</t>
        </is>
      </c>
      <c r="I139">
        <f>IF(H139="UNPAID", AsOfDate-D139, 0)</f>
        <v/>
      </c>
      <c r="J139">
        <f>IF(F139&lt;&gt;"", TEXT(F139, "yyyy-mm"), "")</f>
        <v/>
      </c>
    </row>
    <row r="140">
      <c r="A140" t="inlineStr">
        <is>
          <t>RP0000139</t>
        </is>
      </c>
      <c r="B140" t="inlineStr">
        <is>
          <t>LN200021</t>
        </is>
      </c>
      <c r="C140" t="n">
        <v>7</v>
      </c>
      <c r="D140" s="8" t="n">
        <v>46420</v>
      </c>
      <c r="E140" s="9" t="n">
        <v>3278.17</v>
      </c>
      <c r="F140" s="8" t="n"/>
      <c r="G140" s="9" t="n">
        <v>0</v>
      </c>
      <c r="H140" t="inlineStr">
        <is>
          <t>NOT_DUE</t>
        </is>
      </c>
      <c r="I140">
        <f>IF(H140="UNPAID", AsOfDate-D140, 0)</f>
        <v/>
      </c>
      <c r="J140">
        <f>IF(F140&lt;&gt;"", TEXT(F140, "yyyy-mm"), "")</f>
        <v/>
      </c>
    </row>
    <row r="141">
      <c r="A141" t="inlineStr">
        <is>
          <t>RP0000140</t>
        </is>
      </c>
      <c r="B141" t="inlineStr">
        <is>
          <t>LN200021</t>
        </is>
      </c>
      <c r="C141" t="n">
        <v>8</v>
      </c>
      <c r="D141" s="8" t="n">
        <v>46448</v>
      </c>
      <c r="E141" s="9" t="n">
        <v>3278.17</v>
      </c>
      <c r="F141" s="8" t="n"/>
      <c r="G141" s="9" t="n">
        <v>0</v>
      </c>
      <c r="H141" t="inlineStr">
        <is>
          <t>NOT_DUE</t>
        </is>
      </c>
      <c r="I141">
        <f>IF(H141="UNPAID", AsOfDate-D141, 0)</f>
        <v/>
      </c>
      <c r="J141">
        <f>IF(F141&lt;&gt;"", TEXT(F141, "yyyy-mm"), "")</f>
        <v/>
      </c>
    </row>
    <row r="142">
      <c r="A142" t="inlineStr">
        <is>
          <t>RP0000141</t>
        </is>
      </c>
      <c r="B142" t="inlineStr">
        <is>
          <t>LN200021</t>
        </is>
      </c>
      <c r="C142" t="n">
        <v>9</v>
      </c>
      <c r="D142" s="8" t="n">
        <v>46479</v>
      </c>
      <c r="E142" s="9" t="n">
        <v>3278.17</v>
      </c>
      <c r="F142" s="8" t="n"/>
      <c r="G142" s="9" t="n">
        <v>0</v>
      </c>
      <c r="H142" t="inlineStr">
        <is>
          <t>NOT_DUE</t>
        </is>
      </c>
      <c r="I142">
        <f>IF(H142="UNPAID", AsOfDate-D142, 0)</f>
        <v/>
      </c>
      <c r="J142">
        <f>IF(F142&lt;&gt;"", TEXT(F142, "yyyy-mm"), "")</f>
        <v/>
      </c>
    </row>
    <row r="143">
      <c r="A143" t="inlineStr">
        <is>
          <t>RP0000142</t>
        </is>
      </c>
      <c r="B143" t="inlineStr">
        <is>
          <t>LN200021</t>
        </is>
      </c>
      <c r="C143" t="n">
        <v>10</v>
      </c>
      <c r="D143" s="8" t="n">
        <v>46509</v>
      </c>
      <c r="E143" s="9" t="n">
        <v>3278.17</v>
      </c>
      <c r="F143" s="8" t="n"/>
      <c r="G143" s="9" t="n">
        <v>0</v>
      </c>
      <c r="H143" t="inlineStr">
        <is>
          <t>NOT_DUE</t>
        </is>
      </c>
      <c r="I143">
        <f>IF(H143="UNPAID", AsOfDate-D143, 0)</f>
        <v/>
      </c>
      <c r="J143">
        <f>IF(F143&lt;&gt;"", TEXT(F143, "yyyy-mm"), "")</f>
        <v/>
      </c>
    </row>
    <row r="144">
      <c r="A144" t="inlineStr">
        <is>
          <t>RP0000143</t>
        </is>
      </c>
      <c r="B144" t="inlineStr">
        <is>
          <t>LN200021</t>
        </is>
      </c>
      <c r="C144" t="n">
        <v>11</v>
      </c>
      <c r="D144" s="8" t="n">
        <v>46540</v>
      </c>
      <c r="E144" s="9" t="n">
        <v>3278.17</v>
      </c>
      <c r="F144" s="8" t="n"/>
      <c r="G144" s="9" t="n">
        <v>0</v>
      </c>
      <c r="H144" t="inlineStr">
        <is>
          <t>NOT_DUE</t>
        </is>
      </c>
      <c r="I144">
        <f>IF(H144="UNPAID", AsOfDate-D144, 0)</f>
        <v/>
      </c>
      <c r="J144">
        <f>IF(F144&lt;&gt;"", TEXT(F144, "yyyy-mm"), "")</f>
        <v/>
      </c>
    </row>
    <row r="145">
      <c r="A145" t="inlineStr">
        <is>
          <t>RP0000144</t>
        </is>
      </c>
      <c r="B145" t="inlineStr">
        <is>
          <t>LN200021</t>
        </is>
      </c>
      <c r="C145" t="n">
        <v>12</v>
      </c>
      <c r="D145" s="8" t="n">
        <v>46570</v>
      </c>
      <c r="E145" s="9" t="n">
        <v>3278.17</v>
      </c>
      <c r="F145" s="8" t="n"/>
      <c r="G145" s="9" t="n">
        <v>0</v>
      </c>
      <c r="H145" t="inlineStr">
        <is>
          <t>NOT_DUE</t>
        </is>
      </c>
      <c r="I145">
        <f>IF(H145="UNPAID", AsOfDate-D145, 0)</f>
        <v/>
      </c>
      <c r="J145">
        <f>IF(F145&lt;&gt;"", TEXT(F145, "yyyy-mm"), "")</f>
        <v/>
      </c>
    </row>
    <row r="146">
      <c r="A146" t="inlineStr">
        <is>
          <t>RP0000145</t>
        </is>
      </c>
      <c r="B146" t="inlineStr">
        <is>
          <t>LN200022</t>
        </is>
      </c>
      <c r="C146" t="n">
        <v>1</v>
      </c>
      <c r="D146" s="8" t="n">
        <v>46055</v>
      </c>
      <c r="E146" s="9" t="n">
        <v>33259.44</v>
      </c>
      <c r="F146" s="8" t="n">
        <v>46059</v>
      </c>
      <c r="G146" s="9" t="n">
        <v>33259.44</v>
      </c>
      <c r="H146" t="inlineStr">
        <is>
          <t>PAID_ON_TIME</t>
        </is>
      </c>
      <c r="I146">
        <f>IF(H146="UNPAID", AsOfDate-D146, 0)</f>
        <v/>
      </c>
      <c r="J146">
        <f>IF(F146&lt;&gt;"", TEXT(F146, "yyyy-mm"), "")</f>
        <v/>
      </c>
    </row>
    <row r="147">
      <c r="A147" t="inlineStr">
        <is>
          <t>RP0000146</t>
        </is>
      </c>
      <c r="B147" t="inlineStr">
        <is>
          <t>LN200022</t>
        </is>
      </c>
      <c r="C147" t="n">
        <v>2</v>
      </c>
      <c r="D147" s="8" t="n">
        <v>46083</v>
      </c>
      <c r="E147" s="9" t="n">
        <v>33259.44</v>
      </c>
      <c r="F147" s="8" t="n">
        <v>46084</v>
      </c>
      <c r="G147" s="9" t="n">
        <v>33259.44</v>
      </c>
      <c r="H147" t="inlineStr">
        <is>
          <t>PAID_ON_TIME</t>
        </is>
      </c>
      <c r="I147">
        <f>IF(H147="UNPAID", AsOfDate-D147, 0)</f>
        <v/>
      </c>
      <c r="J147">
        <f>IF(F147&lt;&gt;"", TEXT(F147, "yyyy-mm"), "")</f>
        <v/>
      </c>
    </row>
    <row r="148">
      <c r="A148" t="inlineStr">
        <is>
          <t>RP0000147</t>
        </is>
      </c>
      <c r="B148" t="inlineStr">
        <is>
          <t>LN200022</t>
        </is>
      </c>
      <c r="C148" t="n">
        <v>3</v>
      </c>
      <c r="D148" s="8" t="n">
        <v>46114</v>
      </c>
      <c r="E148" s="9" t="n">
        <v>33259.44</v>
      </c>
      <c r="F148" s="8" t="n">
        <v>46116</v>
      </c>
      <c r="G148" s="9" t="n">
        <v>33259.44</v>
      </c>
      <c r="H148" t="inlineStr">
        <is>
          <t>PAID_ON_TIME</t>
        </is>
      </c>
      <c r="I148">
        <f>IF(H148="UNPAID", AsOfDate-D148, 0)</f>
        <v/>
      </c>
      <c r="J148">
        <f>IF(F148&lt;&gt;"", TEXT(F148, "yyyy-mm"), "")</f>
        <v/>
      </c>
    </row>
    <row r="149">
      <c r="A149" t="inlineStr">
        <is>
          <t>RP0000148</t>
        </is>
      </c>
      <c r="B149" t="inlineStr">
        <is>
          <t>LN200022</t>
        </is>
      </c>
      <c r="C149" t="n">
        <v>4</v>
      </c>
      <c r="D149" s="8" t="n">
        <v>46144</v>
      </c>
      <c r="E149" s="9" t="n">
        <v>33259.44</v>
      </c>
      <c r="F149" s="8" t="n">
        <v>46142</v>
      </c>
      <c r="G149" s="9" t="n">
        <v>33259.44</v>
      </c>
      <c r="H149" t="inlineStr">
        <is>
          <t>PAID_ON_TIME</t>
        </is>
      </c>
      <c r="I149">
        <f>IF(H149="UNPAID", AsOfDate-D149, 0)</f>
        <v/>
      </c>
      <c r="J149">
        <f>IF(F149&lt;&gt;"", TEXT(F149, "yyyy-mm"), "")</f>
        <v/>
      </c>
    </row>
    <row r="150">
      <c r="A150" t="inlineStr">
        <is>
          <t>RP0000149</t>
        </is>
      </c>
      <c r="B150" t="inlineStr">
        <is>
          <t>LN200022</t>
        </is>
      </c>
      <c r="C150" t="n">
        <v>5</v>
      </c>
      <c r="D150" s="8" t="n">
        <v>46175</v>
      </c>
      <c r="E150" s="9" t="n">
        <v>33259.44</v>
      </c>
      <c r="F150" s="8" t="n">
        <v>46178</v>
      </c>
      <c r="G150" s="9" t="n">
        <v>33259.44</v>
      </c>
      <c r="H150" t="inlineStr">
        <is>
          <t>PAID_ON_TIME</t>
        </is>
      </c>
      <c r="I150">
        <f>IF(H150="UNPAID", AsOfDate-D150, 0)</f>
        <v/>
      </c>
      <c r="J150">
        <f>IF(F150&lt;&gt;"", TEXT(F150, "yyyy-mm"), "")</f>
        <v/>
      </c>
    </row>
    <row r="151">
      <c r="A151" t="inlineStr">
        <is>
          <t>RP0000150</t>
        </is>
      </c>
      <c r="B151" t="inlineStr">
        <is>
          <t>LN200022</t>
        </is>
      </c>
      <c r="C151" t="n">
        <v>6</v>
      </c>
      <c r="D151" s="8" t="n">
        <v>46205</v>
      </c>
      <c r="E151" s="9" t="n">
        <v>33259.44</v>
      </c>
      <c r="F151" s="8" t="n">
        <v>46209</v>
      </c>
      <c r="G151" s="9" t="n">
        <v>33259.44</v>
      </c>
      <c r="H151" t="inlineStr">
        <is>
          <t>PAID_ON_TIME</t>
        </is>
      </c>
      <c r="I151">
        <f>IF(H151="UNPAID", AsOfDate-D151, 0)</f>
        <v/>
      </c>
      <c r="J151">
        <f>IF(F151&lt;&gt;"", TEXT(F151, "yyyy-mm"), "")</f>
        <v/>
      </c>
    </row>
    <row r="152">
      <c r="A152" t="inlineStr">
        <is>
          <t>RP0000151</t>
        </is>
      </c>
      <c r="B152" t="inlineStr">
        <is>
          <t>LN200022</t>
        </is>
      </c>
      <c r="C152" t="n">
        <v>7</v>
      </c>
      <c r="D152" s="8" t="n">
        <v>46236</v>
      </c>
      <c r="E152" s="9" t="n">
        <v>33259.44</v>
      </c>
      <c r="F152" s="8" t="n">
        <v>46234</v>
      </c>
      <c r="G152" s="9" t="n">
        <v>33259.44</v>
      </c>
      <c r="H152" t="inlineStr">
        <is>
          <t>PAID_ON_TIME</t>
        </is>
      </c>
      <c r="I152">
        <f>IF(H152="UNPAID", AsOfDate-D152, 0)</f>
        <v/>
      </c>
      <c r="J152">
        <f>IF(F152&lt;&gt;"", TEXT(F152, "yyyy-mm"), "")</f>
        <v/>
      </c>
    </row>
    <row r="153">
      <c r="A153" t="inlineStr">
        <is>
          <t>RP0000152</t>
        </is>
      </c>
      <c r="B153" t="inlineStr">
        <is>
          <t>LN200022</t>
        </is>
      </c>
      <c r="C153" t="n">
        <v>8</v>
      </c>
      <c r="D153" s="8" t="n">
        <v>46267</v>
      </c>
      <c r="E153" s="9" t="n">
        <v>33259.44</v>
      </c>
      <c r="F153" s="8" t="n"/>
      <c r="G153" s="9" t="n">
        <v>0</v>
      </c>
      <c r="H153" t="inlineStr">
        <is>
          <t>NOT_DUE</t>
        </is>
      </c>
      <c r="I153">
        <f>IF(H153="UNPAID", AsOfDate-D153, 0)</f>
        <v/>
      </c>
      <c r="J153">
        <f>IF(F153&lt;&gt;"", TEXT(F153, "yyyy-mm"), "")</f>
        <v/>
      </c>
    </row>
    <row r="154">
      <c r="A154" t="inlineStr">
        <is>
          <t>RP0000153</t>
        </is>
      </c>
      <c r="B154" t="inlineStr">
        <is>
          <t>LN200022</t>
        </is>
      </c>
      <c r="C154" t="n">
        <v>9</v>
      </c>
      <c r="D154" s="8" t="n">
        <v>46297</v>
      </c>
      <c r="E154" s="9" t="n">
        <v>33259.44</v>
      </c>
      <c r="F154" s="8" t="n"/>
      <c r="G154" s="9" t="n">
        <v>0</v>
      </c>
      <c r="H154" t="inlineStr">
        <is>
          <t>NOT_DUE</t>
        </is>
      </c>
      <c r="I154">
        <f>IF(H154="UNPAID", AsOfDate-D154, 0)</f>
        <v/>
      </c>
      <c r="J154">
        <f>IF(F154&lt;&gt;"", TEXT(F154, "yyyy-mm"), "")</f>
        <v/>
      </c>
    </row>
    <row r="155">
      <c r="A155" t="inlineStr">
        <is>
          <t>RP0000154</t>
        </is>
      </c>
      <c r="B155" t="inlineStr">
        <is>
          <t>LN200023</t>
        </is>
      </c>
      <c r="C155" t="n">
        <v>1</v>
      </c>
      <c r="D155" s="8" t="n">
        <v>45872</v>
      </c>
      <c r="E155" s="9" t="n">
        <v>18740.72</v>
      </c>
      <c r="F155" s="8" t="n">
        <v>45869</v>
      </c>
      <c r="G155" s="9" t="n">
        <v>18740.72</v>
      </c>
      <c r="H155" t="inlineStr">
        <is>
          <t>PAID_ON_TIME</t>
        </is>
      </c>
      <c r="I155">
        <f>IF(H155="UNPAID", AsOfDate-D155, 0)</f>
        <v/>
      </c>
      <c r="J155">
        <f>IF(F155&lt;&gt;"", TEXT(F155, "yyyy-mm"), "")</f>
        <v/>
      </c>
    </row>
    <row r="156">
      <c r="A156" t="inlineStr">
        <is>
          <t>RP0000155</t>
        </is>
      </c>
      <c r="B156" t="inlineStr">
        <is>
          <t>LN200023</t>
        </is>
      </c>
      <c r="C156" t="n">
        <v>2</v>
      </c>
      <c r="D156" s="8" t="n">
        <v>45903</v>
      </c>
      <c r="E156" s="9" t="n">
        <v>18740.72</v>
      </c>
      <c r="F156" s="8" t="n">
        <v>45904</v>
      </c>
      <c r="G156" s="9" t="n">
        <v>18740.72</v>
      </c>
      <c r="H156" t="inlineStr">
        <is>
          <t>PAID_ON_TIME</t>
        </is>
      </c>
      <c r="I156">
        <f>IF(H156="UNPAID", AsOfDate-D156, 0)</f>
        <v/>
      </c>
      <c r="J156">
        <f>IF(F156&lt;&gt;"", TEXT(F156, "yyyy-mm"), "")</f>
        <v/>
      </c>
    </row>
    <row r="157">
      <c r="A157" t="inlineStr">
        <is>
          <t>RP0000156</t>
        </is>
      </c>
      <c r="B157" t="inlineStr">
        <is>
          <t>LN200023</t>
        </is>
      </c>
      <c r="C157" t="n">
        <v>3</v>
      </c>
      <c r="D157" s="8" t="n">
        <v>45933</v>
      </c>
      <c r="E157" s="9" t="n">
        <v>18740.72</v>
      </c>
      <c r="F157" s="8" t="n">
        <v>45934</v>
      </c>
      <c r="G157" s="9" t="n">
        <v>18740.72</v>
      </c>
      <c r="H157" t="inlineStr">
        <is>
          <t>PAID_ON_TIME</t>
        </is>
      </c>
      <c r="I157">
        <f>IF(H157="UNPAID", AsOfDate-D157, 0)</f>
        <v/>
      </c>
      <c r="J157">
        <f>IF(F157&lt;&gt;"", TEXT(F157, "yyyy-mm"), "")</f>
        <v/>
      </c>
    </row>
    <row r="158">
      <c r="A158" t="inlineStr">
        <is>
          <t>RP0000157</t>
        </is>
      </c>
      <c r="B158" t="inlineStr">
        <is>
          <t>LN200023</t>
        </is>
      </c>
      <c r="C158" t="n">
        <v>4</v>
      </c>
      <c r="D158" s="8" t="n">
        <v>45964</v>
      </c>
      <c r="E158" s="9" t="n">
        <v>18740.72</v>
      </c>
      <c r="F158" s="8" t="n">
        <v>45968</v>
      </c>
      <c r="G158" s="9" t="n">
        <v>18740.72</v>
      </c>
      <c r="H158" t="inlineStr">
        <is>
          <t>PAID_ON_TIME</t>
        </is>
      </c>
      <c r="I158">
        <f>IF(H158="UNPAID", AsOfDate-D158, 0)</f>
        <v/>
      </c>
      <c r="J158">
        <f>IF(F158&lt;&gt;"", TEXT(F158, "yyyy-mm"), "")</f>
        <v/>
      </c>
    </row>
    <row r="159">
      <c r="A159" t="inlineStr">
        <is>
          <t>RP0000158</t>
        </is>
      </c>
      <c r="B159" t="inlineStr">
        <is>
          <t>LN200023</t>
        </is>
      </c>
      <c r="C159" t="n">
        <v>5</v>
      </c>
      <c r="D159" s="8" t="n">
        <v>45994</v>
      </c>
      <c r="E159" s="9" t="n">
        <v>18740.72</v>
      </c>
      <c r="F159" s="8" t="n">
        <v>45994</v>
      </c>
      <c r="G159" s="9" t="n">
        <v>18740.72</v>
      </c>
      <c r="H159" t="inlineStr">
        <is>
          <t>PAID_ON_TIME</t>
        </is>
      </c>
      <c r="I159">
        <f>IF(H159="UNPAID", AsOfDate-D159, 0)</f>
        <v/>
      </c>
      <c r="J159">
        <f>IF(F159&lt;&gt;"", TEXT(F159, "yyyy-mm"), "")</f>
        <v/>
      </c>
    </row>
    <row r="160">
      <c r="A160" t="inlineStr">
        <is>
          <t>RP0000159</t>
        </is>
      </c>
      <c r="B160" t="inlineStr">
        <is>
          <t>LN200023</t>
        </is>
      </c>
      <c r="C160" t="n">
        <v>6</v>
      </c>
      <c r="D160" s="8" t="n">
        <v>46025</v>
      </c>
      <c r="E160" s="9" t="n">
        <v>18740.72</v>
      </c>
      <c r="F160" s="8" t="n">
        <v>46028</v>
      </c>
      <c r="G160" s="9" t="n">
        <v>18740.72</v>
      </c>
      <c r="H160" t="inlineStr">
        <is>
          <t>PAID_ON_TIME</t>
        </is>
      </c>
      <c r="I160">
        <f>IF(H160="UNPAID", AsOfDate-D160, 0)</f>
        <v/>
      </c>
      <c r="J160">
        <f>IF(F160&lt;&gt;"", TEXT(F160, "yyyy-mm"), "")</f>
        <v/>
      </c>
    </row>
    <row r="161">
      <c r="A161" t="inlineStr">
        <is>
          <t>RP0000160</t>
        </is>
      </c>
      <c r="B161" t="inlineStr">
        <is>
          <t>LN200023</t>
        </is>
      </c>
      <c r="C161" t="n">
        <v>7</v>
      </c>
      <c r="D161" s="8" t="n">
        <v>46056</v>
      </c>
      <c r="E161" s="9" t="n">
        <v>18740.72</v>
      </c>
      <c r="F161" s="8" t="n">
        <v>46058</v>
      </c>
      <c r="G161" s="9" t="n">
        <v>18740.72</v>
      </c>
      <c r="H161" t="inlineStr">
        <is>
          <t>PAID_ON_TIME</t>
        </is>
      </c>
      <c r="I161">
        <f>IF(H161="UNPAID", AsOfDate-D161, 0)</f>
        <v/>
      </c>
      <c r="J161">
        <f>IF(F161&lt;&gt;"", TEXT(F161, "yyyy-mm"), "")</f>
        <v/>
      </c>
    </row>
    <row r="162">
      <c r="A162" t="inlineStr">
        <is>
          <t>RP0000161</t>
        </is>
      </c>
      <c r="B162" t="inlineStr">
        <is>
          <t>LN200023</t>
        </is>
      </c>
      <c r="C162" t="n">
        <v>8</v>
      </c>
      <c r="D162" s="8" t="n">
        <v>46084</v>
      </c>
      <c r="E162" s="9" t="n">
        <v>18740.72</v>
      </c>
      <c r="F162" s="8" t="n">
        <v>46085</v>
      </c>
      <c r="G162" s="9" t="n">
        <v>18740.72</v>
      </c>
      <c r="H162" t="inlineStr">
        <is>
          <t>PAID_ON_TIME</t>
        </is>
      </c>
      <c r="I162">
        <f>IF(H162="UNPAID", AsOfDate-D162, 0)</f>
        <v/>
      </c>
      <c r="J162">
        <f>IF(F162&lt;&gt;"", TEXT(F162, "yyyy-mm"), "")</f>
        <v/>
      </c>
    </row>
    <row r="163">
      <c r="A163" t="inlineStr">
        <is>
          <t>RP0000162</t>
        </is>
      </c>
      <c r="B163" t="inlineStr">
        <is>
          <t>LN200023</t>
        </is>
      </c>
      <c r="C163" t="n">
        <v>9</v>
      </c>
      <c r="D163" s="8" t="n">
        <v>46115</v>
      </c>
      <c r="E163" s="9" t="n">
        <v>18740.72</v>
      </c>
      <c r="F163" s="8" t="n">
        <v>46118</v>
      </c>
      <c r="G163" s="9" t="n">
        <v>18740.72</v>
      </c>
      <c r="H163" t="inlineStr">
        <is>
          <t>PAID_ON_TIME</t>
        </is>
      </c>
      <c r="I163">
        <f>IF(H163="UNPAID", AsOfDate-D163, 0)</f>
        <v/>
      </c>
      <c r="J163">
        <f>IF(F163&lt;&gt;"", TEXT(F163, "yyyy-mm"), "")</f>
        <v/>
      </c>
    </row>
    <row r="164">
      <c r="A164" t="inlineStr">
        <is>
          <t>RP0000163</t>
        </is>
      </c>
      <c r="B164" t="inlineStr">
        <is>
          <t>LN200024</t>
        </is>
      </c>
      <c r="C164" t="n">
        <v>1</v>
      </c>
      <c r="D164" s="8" t="n">
        <v>45896</v>
      </c>
      <c r="E164" s="9" t="n">
        <v>6462</v>
      </c>
      <c r="F164" s="8" t="n">
        <v>45895</v>
      </c>
      <c r="G164" s="9" t="n">
        <v>6462</v>
      </c>
      <c r="H164" t="inlineStr">
        <is>
          <t>PAID_ON_TIME</t>
        </is>
      </c>
      <c r="I164">
        <f>IF(H164="UNPAID", AsOfDate-D164, 0)</f>
        <v/>
      </c>
      <c r="J164">
        <f>IF(F164&lt;&gt;"", TEXT(F164, "yyyy-mm"), "")</f>
        <v/>
      </c>
    </row>
    <row r="165">
      <c r="A165" t="inlineStr">
        <is>
          <t>RP0000164</t>
        </is>
      </c>
      <c r="B165" t="inlineStr">
        <is>
          <t>LN200024</t>
        </is>
      </c>
      <c r="C165" t="n">
        <v>2</v>
      </c>
      <c r="D165" s="8" t="n">
        <v>45927</v>
      </c>
      <c r="E165" s="9" t="n">
        <v>6462</v>
      </c>
      <c r="F165" s="8" t="n">
        <v>45930</v>
      </c>
      <c r="G165" s="9" t="n">
        <v>6462</v>
      </c>
      <c r="H165" t="inlineStr">
        <is>
          <t>PAID_ON_TIME</t>
        </is>
      </c>
      <c r="I165">
        <f>IF(H165="UNPAID", AsOfDate-D165, 0)</f>
        <v/>
      </c>
      <c r="J165">
        <f>IF(F165&lt;&gt;"", TEXT(F165, "yyyy-mm"), "")</f>
        <v/>
      </c>
    </row>
    <row r="166">
      <c r="A166" t="inlineStr">
        <is>
          <t>RP0000165</t>
        </is>
      </c>
      <c r="B166" t="inlineStr">
        <is>
          <t>LN200024</t>
        </is>
      </c>
      <c r="C166" t="n">
        <v>3</v>
      </c>
      <c r="D166" s="8" t="n">
        <v>45957</v>
      </c>
      <c r="E166" s="9" t="n">
        <v>6462</v>
      </c>
      <c r="F166" s="8" t="n">
        <v>45961</v>
      </c>
      <c r="G166" s="9" t="n">
        <v>6462</v>
      </c>
      <c r="H166" t="inlineStr">
        <is>
          <t>PAID_ON_TIME</t>
        </is>
      </c>
      <c r="I166">
        <f>IF(H166="UNPAID", AsOfDate-D166, 0)</f>
        <v/>
      </c>
      <c r="J166">
        <f>IF(F166&lt;&gt;"", TEXT(F166, "yyyy-mm"), "")</f>
        <v/>
      </c>
    </row>
    <row r="167">
      <c r="A167" t="inlineStr">
        <is>
          <t>RP0000166</t>
        </is>
      </c>
      <c r="B167" t="inlineStr">
        <is>
          <t>LN200024</t>
        </is>
      </c>
      <c r="C167" t="n">
        <v>4</v>
      </c>
      <c r="D167" s="8" t="n">
        <v>45988</v>
      </c>
      <c r="E167" s="9" t="n">
        <v>6462</v>
      </c>
      <c r="F167" s="8" t="n">
        <v>45989</v>
      </c>
      <c r="G167" s="9" t="n">
        <v>6462</v>
      </c>
      <c r="H167" t="inlineStr">
        <is>
          <t>PAID_ON_TIME</t>
        </is>
      </c>
      <c r="I167">
        <f>IF(H167="UNPAID", AsOfDate-D167, 0)</f>
        <v/>
      </c>
      <c r="J167">
        <f>IF(F167&lt;&gt;"", TEXT(F167, "yyyy-mm"), "")</f>
        <v/>
      </c>
    </row>
    <row r="168">
      <c r="A168" t="inlineStr">
        <is>
          <t>RP0000167</t>
        </is>
      </c>
      <c r="B168" t="inlineStr">
        <is>
          <t>LN200024</t>
        </is>
      </c>
      <c r="C168" t="n">
        <v>5</v>
      </c>
      <c r="D168" s="8" t="n">
        <v>46018</v>
      </c>
      <c r="E168" s="9" t="n">
        <v>6462</v>
      </c>
      <c r="F168" s="8" t="n">
        <v>46098</v>
      </c>
      <c r="G168" s="9" t="n">
        <v>6462</v>
      </c>
      <c r="H168" t="inlineStr">
        <is>
          <t>PAID_LATE</t>
        </is>
      </c>
      <c r="I168">
        <f>IF(H168="UNPAID", AsOfDate-D168, 0)</f>
        <v/>
      </c>
      <c r="J168">
        <f>IF(F168&lt;&gt;"", TEXT(F168, "yyyy-mm"), "")</f>
        <v/>
      </c>
    </row>
    <row r="169">
      <c r="A169" t="inlineStr">
        <is>
          <t>RP0000168</t>
        </is>
      </c>
      <c r="B169" t="inlineStr">
        <is>
          <t>LN200024</t>
        </is>
      </c>
      <c r="C169" t="n">
        <v>6</v>
      </c>
      <c r="D169" s="8" t="n">
        <v>46049</v>
      </c>
      <c r="E169" s="9" t="n">
        <v>6462</v>
      </c>
      <c r="F169" s="8" t="n">
        <v>46051</v>
      </c>
      <c r="G169" s="9" t="n">
        <v>6462</v>
      </c>
      <c r="H169" t="inlineStr">
        <is>
          <t>PAID_ON_TIME</t>
        </is>
      </c>
      <c r="I169">
        <f>IF(H169="UNPAID", AsOfDate-D169, 0)</f>
        <v/>
      </c>
      <c r="J169">
        <f>IF(F169&lt;&gt;"", TEXT(F169, "yyyy-mm"), "")</f>
        <v/>
      </c>
    </row>
    <row r="170">
      <c r="A170" t="inlineStr">
        <is>
          <t>RP0000169</t>
        </is>
      </c>
      <c r="B170" t="inlineStr">
        <is>
          <t>LN200025</t>
        </is>
      </c>
      <c r="C170" t="n">
        <v>1</v>
      </c>
      <c r="D170" s="8" t="n">
        <v>46251</v>
      </c>
      <c r="E170" s="9" t="n">
        <v>12572.92</v>
      </c>
      <c r="F170" s="8" t="n">
        <v>46252</v>
      </c>
      <c r="G170" s="9" t="n">
        <v>12572.92</v>
      </c>
      <c r="H170" t="inlineStr">
        <is>
          <t>PAID_ON_TIME</t>
        </is>
      </c>
      <c r="I170">
        <f>IF(H170="UNPAID", AsOfDate-D170, 0)</f>
        <v/>
      </c>
      <c r="J170">
        <f>IF(F170&lt;&gt;"", TEXT(F170, "yyyy-mm"), "")</f>
        <v/>
      </c>
    </row>
    <row r="171">
      <c r="A171" t="inlineStr">
        <is>
          <t>RP0000170</t>
        </is>
      </c>
      <c r="B171" t="inlineStr">
        <is>
          <t>LN200025</t>
        </is>
      </c>
      <c r="C171" t="n">
        <v>2</v>
      </c>
      <c r="D171" s="8" t="n">
        <v>46282</v>
      </c>
      <c r="E171" s="9" t="n">
        <v>12572.92</v>
      </c>
      <c r="F171" s="8" t="n"/>
      <c r="G171" s="9" t="n">
        <v>0</v>
      </c>
      <c r="H171" t="inlineStr">
        <is>
          <t>NOT_DUE</t>
        </is>
      </c>
      <c r="I171">
        <f>IF(H171="UNPAID", AsOfDate-D171, 0)</f>
        <v/>
      </c>
      <c r="J171">
        <f>IF(F171&lt;&gt;"", TEXT(F171, "yyyy-mm"), "")</f>
        <v/>
      </c>
    </row>
    <row r="172">
      <c r="A172" t="inlineStr">
        <is>
          <t>RP0000171</t>
        </is>
      </c>
      <c r="B172" t="inlineStr">
        <is>
          <t>LN200025</t>
        </is>
      </c>
      <c r="C172" t="n">
        <v>3</v>
      </c>
      <c r="D172" s="8" t="n">
        <v>46312</v>
      </c>
      <c r="E172" s="9" t="n">
        <v>12572.92</v>
      </c>
      <c r="F172" s="8" t="n"/>
      <c r="G172" s="9" t="n">
        <v>0</v>
      </c>
      <c r="H172" t="inlineStr">
        <is>
          <t>NOT_DUE</t>
        </is>
      </c>
      <c r="I172">
        <f>IF(H172="UNPAID", AsOfDate-D172, 0)</f>
        <v/>
      </c>
      <c r="J172">
        <f>IF(F172&lt;&gt;"", TEXT(F172, "yyyy-mm"), "")</f>
        <v/>
      </c>
    </row>
    <row r="173">
      <c r="A173" t="inlineStr">
        <is>
          <t>RP0000172</t>
        </is>
      </c>
      <c r="B173" t="inlineStr">
        <is>
          <t>LN200025</t>
        </is>
      </c>
      <c r="C173" t="n">
        <v>4</v>
      </c>
      <c r="D173" s="8" t="n">
        <v>46343</v>
      </c>
      <c r="E173" s="9" t="n">
        <v>12572.92</v>
      </c>
      <c r="F173" s="8" t="n"/>
      <c r="G173" s="9" t="n">
        <v>0</v>
      </c>
      <c r="H173" t="inlineStr">
        <is>
          <t>NOT_DUE</t>
        </is>
      </c>
      <c r="I173">
        <f>IF(H173="UNPAID", AsOfDate-D173, 0)</f>
        <v/>
      </c>
      <c r="J173">
        <f>IF(F173&lt;&gt;"", TEXT(F173, "yyyy-mm"), "")</f>
        <v/>
      </c>
    </row>
    <row r="174">
      <c r="A174" t="inlineStr">
        <is>
          <t>RP0000173</t>
        </is>
      </c>
      <c r="B174" t="inlineStr">
        <is>
          <t>LN200025</t>
        </is>
      </c>
      <c r="C174" t="n">
        <v>5</v>
      </c>
      <c r="D174" s="8" t="n">
        <v>46373</v>
      </c>
      <c r="E174" s="9" t="n">
        <v>12572.92</v>
      </c>
      <c r="F174" s="8" t="n"/>
      <c r="G174" s="9" t="n">
        <v>0</v>
      </c>
      <c r="H174" t="inlineStr">
        <is>
          <t>NOT_DUE</t>
        </is>
      </c>
      <c r="I174">
        <f>IF(H174="UNPAID", AsOfDate-D174, 0)</f>
        <v/>
      </c>
      <c r="J174">
        <f>IF(F174&lt;&gt;"", TEXT(F174, "yyyy-mm"), "")</f>
        <v/>
      </c>
    </row>
    <row r="175">
      <c r="A175" t="inlineStr">
        <is>
          <t>RP0000174</t>
        </is>
      </c>
      <c r="B175" t="inlineStr">
        <is>
          <t>LN200025</t>
        </is>
      </c>
      <c r="C175" t="n">
        <v>6</v>
      </c>
      <c r="D175" s="8" t="n">
        <v>46404</v>
      </c>
      <c r="E175" s="9" t="n">
        <v>12572.92</v>
      </c>
      <c r="F175" s="8" t="n"/>
      <c r="G175" s="9" t="n">
        <v>0</v>
      </c>
      <c r="H175" t="inlineStr">
        <is>
          <t>NOT_DUE</t>
        </is>
      </c>
      <c r="I175">
        <f>IF(H175="UNPAID", AsOfDate-D175, 0)</f>
        <v/>
      </c>
      <c r="J175">
        <f>IF(F175&lt;&gt;"", TEXT(F175, "yyyy-mm"), "")</f>
        <v/>
      </c>
    </row>
    <row r="176">
      <c r="A176" t="inlineStr">
        <is>
          <t>RP0000175</t>
        </is>
      </c>
      <c r="B176" t="inlineStr">
        <is>
          <t>LN200026</t>
        </is>
      </c>
      <c r="C176" t="n">
        <v>1</v>
      </c>
      <c r="D176" s="8" t="n">
        <v>46130</v>
      </c>
      <c r="E176" s="9" t="n">
        <v>6076.39</v>
      </c>
      <c r="F176" s="8" t="n">
        <v>46131</v>
      </c>
      <c r="G176" s="9" t="n">
        <v>6076.39</v>
      </c>
      <c r="H176" t="inlineStr">
        <is>
          <t>PAID_ON_TIME</t>
        </is>
      </c>
      <c r="I176">
        <f>IF(H176="UNPAID", AsOfDate-D176, 0)</f>
        <v/>
      </c>
      <c r="J176">
        <f>IF(F176&lt;&gt;"", TEXT(F176, "yyyy-mm"), "")</f>
        <v/>
      </c>
    </row>
    <row r="177">
      <c r="A177" t="inlineStr">
        <is>
          <t>RP0000176</t>
        </is>
      </c>
      <c r="B177" t="inlineStr">
        <is>
          <t>LN200026</t>
        </is>
      </c>
      <c r="C177" t="n">
        <v>2</v>
      </c>
      <c r="D177" s="8" t="n">
        <v>46160</v>
      </c>
      <c r="E177" s="9" t="n">
        <v>6076.39</v>
      </c>
      <c r="F177" s="8" t="n">
        <v>46159</v>
      </c>
      <c r="G177" s="9" t="n">
        <v>6076.39</v>
      </c>
      <c r="H177" t="inlineStr">
        <is>
          <t>PAID_ON_TIME</t>
        </is>
      </c>
      <c r="I177">
        <f>IF(H177="UNPAID", AsOfDate-D177, 0)</f>
        <v/>
      </c>
      <c r="J177">
        <f>IF(F177&lt;&gt;"", TEXT(F177, "yyyy-mm"), "")</f>
        <v/>
      </c>
    </row>
    <row r="178">
      <c r="A178" t="inlineStr">
        <is>
          <t>RP0000177</t>
        </is>
      </c>
      <c r="B178" t="inlineStr">
        <is>
          <t>LN200026</t>
        </is>
      </c>
      <c r="C178" t="n">
        <v>3</v>
      </c>
      <c r="D178" s="8" t="n">
        <v>46191</v>
      </c>
      <c r="E178" s="9" t="n">
        <v>6076.39</v>
      </c>
      <c r="F178" s="8" t="n">
        <v>46193</v>
      </c>
      <c r="G178" s="9" t="n">
        <v>6076.39</v>
      </c>
      <c r="H178" t="inlineStr">
        <is>
          <t>PAID_ON_TIME</t>
        </is>
      </c>
      <c r="I178">
        <f>IF(H178="UNPAID", AsOfDate-D178, 0)</f>
        <v/>
      </c>
      <c r="J178">
        <f>IF(F178&lt;&gt;"", TEXT(F178, "yyyy-mm"), "")</f>
        <v/>
      </c>
    </row>
    <row r="179">
      <c r="A179" t="inlineStr">
        <is>
          <t>RP0000178</t>
        </is>
      </c>
      <c r="B179" t="inlineStr">
        <is>
          <t>LN200026</t>
        </is>
      </c>
      <c r="C179" t="n">
        <v>4</v>
      </c>
      <c r="D179" s="8" t="n">
        <v>46221</v>
      </c>
      <c r="E179" s="9" t="n">
        <v>6076.39</v>
      </c>
      <c r="F179" s="8" t="n">
        <v>46219</v>
      </c>
      <c r="G179" s="9" t="n">
        <v>6076.39</v>
      </c>
      <c r="H179" t="inlineStr">
        <is>
          <t>PAID_ON_TIME</t>
        </is>
      </c>
      <c r="I179">
        <f>IF(H179="UNPAID", AsOfDate-D179, 0)</f>
        <v/>
      </c>
      <c r="J179">
        <f>IF(F179&lt;&gt;"", TEXT(F179, "yyyy-mm"), "")</f>
        <v/>
      </c>
    </row>
    <row r="180">
      <c r="A180" t="inlineStr">
        <is>
          <t>RP0000179</t>
        </is>
      </c>
      <c r="B180" t="inlineStr">
        <is>
          <t>LN200026</t>
        </is>
      </c>
      <c r="C180" t="n">
        <v>5</v>
      </c>
      <c r="D180" s="8" t="n">
        <v>46252</v>
      </c>
      <c r="E180" s="9" t="n">
        <v>6076.39</v>
      </c>
      <c r="F180" s="8" t="n">
        <v>46256</v>
      </c>
      <c r="G180" s="9" t="n">
        <v>6076.39</v>
      </c>
      <c r="H180" t="inlineStr">
        <is>
          <t>PAID_ON_TIME</t>
        </is>
      </c>
      <c r="I180">
        <f>IF(H180="UNPAID", AsOfDate-D180, 0)</f>
        <v/>
      </c>
      <c r="J180">
        <f>IF(F180&lt;&gt;"", TEXT(F180, "yyyy-mm"), "")</f>
        <v/>
      </c>
    </row>
    <row r="181">
      <c r="A181" t="inlineStr">
        <is>
          <t>RP0000180</t>
        </is>
      </c>
      <c r="B181" t="inlineStr">
        <is>
          <t>LN200026</t>
        </is>
      </c>
      <c r="C181" t="n">
        <v>6</v>
      </c>
      <c r="D181" s="8" t="n">
        <v>46283</v>
      </c>
      <c r="E181" s="9" t="n">
        <v>6076.39</v>
      </c>
      <c r="F181" s="8" t="n"/>
      <c r="G181" s="9" t="n">
        <v>0</v>
      </c>
      <c r="H181" t="inlineStr">
        <is>
          <t>NOT_DUE</t>
        </is>
      </c>
      <c r="I181">
        <f>IF(H181="UNPAID", AsOfDate-D181, 0)</f>
        <v/>
      </c>
      <c r="J181">
        <f>IF(F181&lt;&gt;"", TEXT(F181, "yyyy-mm"), "")</f>
        <v/>
      </c>
    </row>
    <row r="182">
      <c r="A182" t="inlineStr">
        <is>
          <t>RP0000181</t>
        </is>
      </c>
      <c r="B182" t="inlineStr">
        <is>
          <t>LN200026</t>
        </is>
      </c>
      <c r="C182" t="n">
        <v>7</v>
      </c>
      <c r="D182" s="8" t="n">
        <v>46313</v>
      </c>
      <c r="E182" s="9" t="n">
        <v>6076.39</v>
      </c>
      <c r="F182" s="8" t="n"/>
      <c r="G182" s="9" t="n">
        <v>0</v>
      </c>
      <c r="H182" t="inlineStr">
        <is>
          <t>NOT_DUE</t>
        </is>
      </c>
      <c r="I182">
        <f>IF(H182="UNPAID", AsOfDate-D182, 0)</f>
        <v/>
      </c>
      <c r="J182">
        <f>IF(F182&lt;&gt;"", TEXT(F182, "yyyy-mm"), "")</f>
        <v/>
      </c>
    </row>
    <row r="183">
      <c r="A183" t="inlineStr">
        <is>
          <t>RP0000182</t>
        </is>
      </c>
      <c r="B183" t="inlineStr">
        <is>
          <t>LN200026</t>
        </is>
      </c>
      <c r="C183" t="n">
        <v>8</v>
      </c>
      <c r="D183" s="8" t="n">
        <v>46344</v>
      </c>
      <c r="E183" s="9" t="n">
        <v>6076.39</v>
      </c>
      <c r="F183" s="8" t="n"/>
      <c r="G183" s="9" t="n">
        <v>0</v>
      </c>
      <c r="H183" t="inlineStr">
        <is>
          <t>NOT_DUE</t>
        </is>
      </c>
      <c r="I183">
        <f>IF(H183="UNPAID", AsOfDate-D183, 0)</f>
        <v/>
      </c>
      <c r="J183">
        <f>IF(F183&lt;&gt;"", TEXT(F183, "yyyy-mm"), "")</f>
        <v/>
      </c>
    </row>
    <row r="184">
      <c r="A184" t="inlineStr">
        <is>
          <t>RP0000183</t>
        </is>
      </c>
      <c r="B184" t="inlineStr">
        <is>
          <t>LN200026</t>
        </is>
      </c>
      <c r="C184" t="n">
        <v>9</v>
      </c>
      <c r="D184" s="8" t="n">
        <v>46374</v>
      </c>
      <c r="E184" s="9" t="n">
        <v>6076.39</v>
      </c>
      <c r="F184" s="8" t="n"/>
      <c r="G184" s="9" t="n">
        <v>0</v>
      </c>
      <c r="H184" t="inlineStr">
        <is>
          <t>NOT_DUE</t>
        </is>
      </c>
      <c r="I184">
        <f>IF(H184="UNPAID", AsOfDate-D184, 0)</f>
        <v/>
      </c>
      <c r="J184">
        <f>IF(F184&lt;&gt;"", TEXT(F184, "yyyy-mm"), "")</f>
        <v/>
      </c>
    </row>
    <row r="185">
      <c r="A185" t="inlineStr">
        <is>
          <t>RP0000184</t>
        </is>
      </c>
      <c r="B185" t="inlineStr">
        <is>
          <t>LN200027</t>
        </is>
      </c>
      <c r="C185" t="n">
        <v>1</v>
      </c>
      <c r="D185" s="8" t="n">
        <v>46220</v>
      </c>
      <c r="E185" s="9" t="n">
        <v>7189</v>
      </c>
      <c r="F185" s="8" t="n">
        <v>46220</v>
      </c>
      <c r="G185" s="9" t="n">
        <v>7189</v>
      </c>
      <c r="H185" t="inlineStr">
        <is>
          <t>PAID_ON_TIME</t>
        </is>
      </c>
      <c r="I185">
        <f>IF(H185="UNPAID", AsOfDate-D185, 0)</f>
        <v/>
      </c>
      <c r="J185">
        <f>IF(F185&lt;&gt;"", TEXT(F185, "yyyy-mm"), "")</f>
        <v/>
      </c>
    </row>
    <row r="186">
      <c r="A186" t="inlineStr">
        <is>
          <t>RP0000185</t>
        </is>
      </c>
      <c r="B186" t="inlineStr">
        <is>
          <t>LN200027</t>
        </is>
      </c>
      <c r="C186" t="n">
        <v>2</v>
      </c>
      <c r="D186" s="8" t="n">
        <v>46251</v>
      </c>
      <c r="E186" s="9" t="n">
        <v>7189</v>
      </c>
      <c r="F186" s="8" t="n"/>
      <c r="G186" s="9" t="n">
        <v>0</v>
      </c>
      <c r="H186" t="inlineStr">
        <is>
          <t>UNPAID</t>
        </is>
      </c>
      <c r="I186">
        <f>IF(H186="UNPAID", AsOfDate-D186, 0)</f>
        <v/>
      </c>
      <c r="J186">
        <f>IF(F186&lt;&gt;"", TEXT(F186, "yyyy-mm"), "")</f>
        <v/>
      </c>
    </row>
    <row r="187">
      <c r="A187" t="inlineStr">
        <is>
          <t>RP0000186</t>
        </is>
      </c>
      <c r="B187" t="inlineStr">
        <is>
          <t>LN200027</t>
        </is>
      </c>
      <c r="C187" t="n">
        <v>3</v>
      </c>
      <c r="D187" s="8" t="n">
        <v>46282</v>
      </c>
      <c r="E187" s="9" t="n">
        <v>7189</v>
      </c>
      <c r="F187" s="8" t="n"/>
      <c r="G187" s="9" t="n">
        <v>0</v>
      </c>
      <c r="H187" t="inlineStr">
        <is>
          <t>NOT_DUE</t>
        </is>
      </c>
      <c r="I187">
        <f>IF(H187="UNPAID", AsOfDate-D187, 0)</f>
        <v/>
      </c>
      <c r="J187">
        <f>IF(F187&lt;&gt;"", TEXT(F187, "yyyy-mm"), "")</f>
        <v/>
      </c>
    </row>
    <row r="188">
      <c r="A188" t="inlineStr">
        <is>
          <t>RP0000187</t>
        </is>
      </c>
      <c r="B188" t="inlineStr">
        <is>
          <t>LN200027</t>
        </is>
      </c>
      <c r="C188" t="n">
        <v>4</v>
      </c>
      <c r="D188" s="8" t="n">
        <v>46312</v>
      </c>
      <c r="E188" s="9" t="n">
        <v>7189</v>
      </c>
      <c r="F188" s="8" t="n"/>
      <c r="G188" s="9" t="n">
        <v>0</v>
      </c>
      <c r="H188" t="inlineStr">
        <is>
          <t>NOT_DUE</t>
        </is>
      </c>
      <c r="I188">
        <f>IF(H188="UNPAID", AsOfDate-D188, 0)</f>
        <v/>
      </c>
      <c r="J188">
        <f>IF(F188&lt;&gt;"", TEXT(F188, "yyyy-mm"), "")</f>
        <v/>
      </c>
    </row>
    <row r="189">
      <c r="A189" t="inlineStr">
        <is>
          <t>RP0000188</t>
        </is>
      </c>
      <c r="B189" t="inlineStr">
        <is>
          <t>LN200027</t>
        </is>
      </c>
      <c r="C189" t="n">
        <v>5</v>
      </c>
      <c r="D189" s="8" t="n">
        <v>46343</v>
      </c>
      <c r="E189" s="9" t="n">
        <v>7189</v>
      </c>
      <c r="F189" s="8" t="n"/>
      <c r="G189" s="9" t="n">
        <v>0</v>
      </c>
      <c r="H189" t="inlineStr">
        <is>
          <t>NOT_DUE</t>
        </is>
      </c>
      <c r="I189">
        <f>IF(H189="UNPAID", AsOfDate-D189, 0)</f>
        <v/>
      </c>
      <c r="J189">
        <f>IF(F189&lt;&gt;"", TEXT(F189, "yyyy-mm"), "")</f>
        <v/>
      </c>
    </row>
    <row r="190">
      <c r="A190" t="inlineStr">
        <is>
          <t>RP0000189</t>
        </is>
      </c>
      <c r="B190" t="inlineStr">
        <is>
          <t>LN200027</t>
        </is>
      </c>
      <c r="C190" t="n">
        <v>6</v>
      </c>
      <c r="D190" s="8" t="n">
        <v>46373</v>
      </c>
      <c r="E190" s="9" t="n">
        <v>7189</v>
      </c>
      <c r="F190" s="8" t="n"/>
      <c r="G190" s="9" t="n">
        <v>0</v>
      </c>
      <c r="H190" t="inlineStr">
        <is>
          <t>NOT_DUE</t>
        </is>
      </c>
      <c r="I190">
        <f>IF(H190="UNPAID", AsOfDate-D190, 0)</f>
        <v/>
      </c>
      <c r="J190">
        <f>IF(F190&lt;&gt;"", TEXT(F190, "yyyy-mm"), "")</f>
        <v/>
      </c>
    </row>
    <row r="191">
      <c r="A191" t="inlineStr">
        <is>
          <t>RP0000190</t>
        </is>
      </c>
      <c r="B191" t="inlineStr">
        <is>
          <t>LN200028</t>
        </is>
      </c>
      <c r="C191" t="n">
        <v>1</v>
      </c>
      <c r="D191" s="8" t="n">
        <v>45946</v>
      </c>
      <c r="E191" s="9" t="n">
        <v>8400</v>
      </c>
      <c r="F191" s="8" t="n">
        <v>45948</v>
      </c>
      <c r="G191" s="9" t="n">
        <v>8400</v>
      </c>
      <c r="H191" t="inlineStr">
        <is>
          <t>PAID_ON_TIME</t>
        </is>
      </c>
      <c r="I191">
        <f>IF(H191="UNPAID", AsOfDate-D191, 0)</f>
        <v/>
      </c>
      <c r="J191">
        <f>IF(F191&lt;&gt;"", TEXT(F191, "yyyy-mm"), "")</f>
        <v/>
      </c>
    </row>
    <row r="192">
      <c r="A192" t="inlineStr">
        <is>
          <t>RP0000191</t>
        </is>
      </c>
      <c r="B192" t="inlineStr">
        <is>
          <t>LN200028</t>
        </is>
      </c>
      <c r="C192" t="n">
        <v>2</v>
      </c>
      <c r="D192" s="8" t="n">
        <v>45977</v>
      </c>
      <c r="E192" s="9" t="n">
        <v>8400</v>
      </c>
      <c r="F192" s="8" t="n">
        <v>45991</v>
      </c>
      <c r="G192" s="9" t="n">
        <v>8400</v>
      </c>
      <c r="H192" t="inlineStr">
        <is>
          <t>PAID_LATE</t>
        </is>
      </c>
      <c r="I192">
        <f>IF(H192="UNPAID", AsOfDate-D192, 0)</f>
        <v/>
      </c>
      <c r="J192">
        <f>IF(F192&lt;&gt;"", TEXT(F192, "yyyy-mm"), "")</f>
        <v/>
      </c>
    </row>
    <row r="193">
      <c r="A193" t="inlineStr">
        <is>
          <t>RP0000192</t>
        </is>
      </c>
      <c r="B193" t="inlineStr">
        <is>
          <t>LN200028</t>
        </is>
      </c>
      <c r="C193" t="n">
        <v>3</v>
      </c>
      <c r="D193" s="8" t="n">
        <v>46007</v>
      </c>
      <c r="E193" s="9" t="n">
        <v>8400</v>
      </c>
      <c r="F193" s="8" t="n">
        <v>46009</v>
      </c>
      <c r="G193" s="9" t="n">
        <v>8400</v>
      </c>
      <c r="H193" t="inlineStr">
        <is>
          <t>PAID_ON_TIME</t>
        </is>
      </c>
      <c r="I193">
        <f>IF(H193="UNPAID", AsOfDate-D193, 0)</f>
        <v/>
      </c>
      <c r="J193">
        <f>IF(F193&lt;&gt;"", TEXT(F193, "yyyy-mm"), "")</f>
        <v/>
      </c>
    </row>
    <row r="194">
      <c r="A194" t="inlineStr">
        <is>
          <t>RP0000193</t>
        </is>
      </c>
      <c r="B194" t="inlineStr">
        <is>
          <t>LN200028</t>
        </is>
      </c>
      <c r="C194" t="n">
        <v>4</v>
      </c>
      <c r="D194" s="8" t="n">
        <v>46038</v>
      </c>
      <c r="E194" s="9" t="n">
        <v>8400</v>
      </c>
      <c r="F194" s="8" t="n">
        <v>46063</v>
      </c>
      <c r="G194" s="9" t="n">
        <v>8400</v>
      </c>
      <c r="H194" t="inlineStr">
        <is>
          <t>PAID_LATE</t>
        </is>
      </c>
      <c r="I194">
        <f>IF(H194="UNPAID", AsOfDate-D194, 0)</f>
        <v/>
      </c>
      <c r="J194">
        <f>IF(F194&lt;&gt;"", TEXT(F194, "yyyy-mm"), "")</f>
        <v/>
      </c>
    </row>
    <row r="195">
      <c r="A195" t="inlineStr">
        <is>
          <t>RP0000194</t>
        </is>
      </c>
      <c r="B195" t="inlineStr">
        <is>
          <t>LN200028</t>
        </is>
      </c>
      <c r="C195" t="n">
        <v>5</v>
      </c>
      <c r="D195" s="8" t="n">
        <v>46069</v>
      </c>
      <c r="E195" s="9" t="n">
        <v>8400</v>
      </c>
      <c r="F195" s="8" t="n">
        <v>46073</v>
      </c>
      <c r="G195" s="9" t="n">
        <v>8400</v>
      </c>
      <c r="H195" t="inlineStr">
        <is>
          <t>PAID_ON_TIME</t>
        </is>
      </c>
      <c r="I195">
        <f>IF(H195="UNPAID", AsOfDate-D195, 0)</f>
        <v/>
      </c>
      <c r="J195">
        <f>IF(F195&lt;&gt;"", TEXT(F195, "yyyy-mm"), "")</f>
        <v/>
      </c>
    </row>
    <row r="196">
      <c r="A196" t="inlineStr">
        <is>
          <t>RP0000195</t>
        </is>
      </c>
      <c r="B196" t="inlineStr">
        <is>
          <t>LN200028</t>
        </is>
      </c>
      <c r="C196" t="n">
        <v>6</v>
      </c>
      <c r="D196" s="8" t="n">
        <v>46097</v>
      </c>
      <c r="E196" s="9" t="n">
        <v>8400</v>
      </c>
      <c r="F196" s="8" t="n">
        <v>46094</v>
      </c>
      <c r="G196" s="9" t="n">
        <v>8400</v>
      </c>
      <c r="H196" t="inlineStr">
        <is>
          <t>PAID_ON_TIME</t>
        </is>
      </c>
      <c r="I196">
        <f>IF(H196="UNPAID", AsOfDate-D196, 0)</f>
        <v/>
      </c>
      <c r="J196">
        <f>IF(F196&lt;&gt;"", TEXT(F196, "yyyy-mm"), "")</f>
        <v/>
      </c>
    </row>
    <row r="197">
      <c r="A197" t="inlineStr">
        <is>
          <t>RP0000196</t>
        </is>
      </c>
      <c r="B197" t="inlineStr">
        <is>
          <t>LN200028</t>
        </is>
      </c>
      <c r="C197" t="n">
        <v>7</v>
      </c>
      <c r="D197" s="8" t="n">
        <v>46128</v>
      </c>
      <c r="E197" s="9" t="n">
        <v>8400</v>
      </c>
      <c r="F197" s="8" t="n">
        <v>46212</v>
      </c>
      <c r="G197" s="9" t="n">
        <v>8400</v>
      </c>
      <c r="H197" t="inlineStr">
        <is>
          <t>PAID_LATE</t>
        </is>
      </c>
      <c r="I197">
        <f>IF(H197="UNPAID", AsOfDate-D197, 0)</f>
        <v/>
      </c>
      <c r="J197">
        <f>IF(F197&lt;&gt;"", TEXT(F197, "yyyy-mm"), "")</f>
        <v/>
      </c>
    </row>
    <row r="198">
      <c r="A198" t="inlineStr">
        <is>
          <t>RP0000197</t>
        </is>
      </c>
      <c r="B198" t="inlineStr">
        <is>
          <t>LN200028</t>
        </is>
      </c>
      <c r="C198" t="n">
        <v>8</v>
      </c>
      <c r="D198" s="8" t="n">
        <v>46158</v>
      </c>
      <c r="E198" s="9" t="n">
        <v>8400</v>
      </c>
      <c r="F198" s="8" t="n">
        <v>46156</v>
      </c>
      <c r="G198" s="9" t="n">
        <v>8400</v>
      </c>
      <c r="H198" t="inlineStr">
        <is>
          <t>PAID_ON_TIME</t>
        </is>
      </c>
      <c r="I198">
        <f>IF(H198="UNPAID", AsOfDate-D198, 0)</f>
        <v/>
      </c>
      <c r="J198">
        <f>IF(F198&lt;&gt;"", TEXT(F198, "yyyy-mm"), "")</f>
        <v/>
      </c>
    </row>
    <row r="199">
      <c r="A199" t="inlineStr">
        <is>
          <t>RP0000198</t>
        </is>
      </c>
      <c r="B199" t="inlineStr">
        <is>
          <t>LN200028</t>
        </is>
      </c>
      <c r="C199" t="n">
        <v>9</v>
      </c>
      <c r="D199" s="8" t="n">
        <v>46189</v>
      </c>
      <c r="E199" s="9" t="n">
        <v>8400</v>
      </c>
      <c r="F199" s="8" t="n">
        <v>46186</v>
      </c>
      <c r="G199" s="9" t="n">
        <v>8400</v>
      </c>
      <c r="H199" t="inlineStr">
        <is>
          <t>PAID_ON_TIME</t>
        </is>
      </c>
      <c r="I199">
        <f>IF(H199="UNPAID", AsOfDate-D199, 0)</f>
        <v/>
      </c>
      <c r="J199">
        <f>IF(F199&lt;&gt;"", TEXT(F199, "yyyy-mm"), "")</f>
        <v/>
      </c>
    </row>
    <row r="200">
      <c r="A200" t="inlineStr">
        <is>
          <t>RP0000199</t>
        </is>
      </c>
      <c r="B200" t="inlineStr">
        <is>
          <t>LN200028</t>
        </is>
      </c>
      <c r="C200" t="n">
        <v>10</v>
      </c>
      <c r="D200" s="8" t="n">
        <v>46219</v>
      </c>
      <c r="E200" s="9" t="n">
        <v>8400</v>
      </c>
      <c r="F200" s="8" t="n">
        <v>46218</v>
      </c>
      <c r="G200" s="9" t="n">
        <v>8400</v>
      </c>
      <c r="H200" t="inlineStr">
        <is>
          <t>PAID_ON_TIME</t>
        </is>
      </c>
      <c r="I200">
        <f>IF(H200="UNPAID", AsOfDate-D200, 0)</f>
        <v/>
      </c>
      <c r="J200">
        <f>IF(F200&lt;&gt;"", TEXT(F200, "yyyy-mm"), "")</f>
        <v/>
      </c>
    </row>
    <row r="201">
      <c r="A201" t="inlineStr">
        <is>
          <t>RP0000200</t>
        </is>
      </c>
      <c r="B201" t="inlineStr">
        <is>
          <t>LN200028</t>
        </is>
      </c>
      <c r="C201" t="n">
        <v>11</v>
      </c>
      <c r="D201" s="8" t="n">
        <v>46250</v>
      </c>
      <c r="E201" s="9" t="n">
        <v>8400</v>
      </c>
      <c r="F201" s="8" t="n">
        <v>46254</v>
      </c>
      <c r="G201" s="9" t="n">
        <v>8400</v>
      </c>
      <c r="H201" t="inlineStr">
        <is>
          <t>PAID_ON_TIME</t>
        </is>
      </c>
      <c r="I201">
        <f>IF(H201="UNPAID", AsOfDate-D201, 0)</f>
        <v/>
      </c>
      <c r="J201">
        <f>IF(F201&lt;&gt;"", TEXT(F201, "yyyy-mm"), "")</f>
        <v/>
      </c>
    </row>
    <row r="202">
      <c r="A202" t="inlineStr">
        <is>
          <t>RP0000201</t>
        </is>
      </c>
      <c r="B202" t="inlineStr">
        <is>
          <t>LN200028</t>
        </is>
      </c>
      <c r="C202" t="n">
        <v>12</v>
      </c>
      <c r="D202" s="8" t="n">
        <v>46281</v>
      </c>
      <c r="E202" s="9" t="n">
        <v>8400</v>
      </c>
      <c r="F202" s="8" t="n"/>
      <c r="G202" s="9" t="n">
        <v>0</v>
      </c>
      <c r="H202" t="inlineStr">
        <is>
          <t>NOT_DUE</t>
        </is>
      </c>
      <c r="I202">
        <f>IF(H202="UNPAID", AsOfDate-D202, 0)</f>
        <v/>
      </c>
      <c r="J202">
        <f>IF(F202&lt;&gt;"", TEXT(F202, "yyyy-mm"), "")</f>
        <v/>
      </c>
    </row>
    <row r="203">
      <c r="A203" t="inlineStr">
        <is>
          <t>RP0000202</t>
        </is>
      </c>
      <c r="B203" t="inlineStr">
        <is>
          <t>LN200029</t>
        </is>
      </c>
      <c r="C203" t="n">
        <v>1</v>
      </c>
      <c r="D203" s="8" t="n">
        <v>46194</v>
      </c>
      <c r="E203" s="9" t="n">
        <v>24757.67</v>
      </c>
      <c r="F203" s="8" t="n">
        <v>46193</v>
      </c>
      <c r="G203" s="9" t="n">
        <v>24757.67</v>
      </c>
      <c r="H203" t="inlineStr">
        <is>
          <t>PAID_ON_TIME</t>
        </is>
      </c>
      <c r="I203">
        <f>IF(H203="UNPAID", AsOfDate-D203, 0)</f>
        <v/>
      </c>
      <c r="J203">
        <f>IF(F203&lt;&gt;"", TEXT(F203, "yyyy-mm"), "")</f>
        <v/>
      </c>
    </row>
    <row r="204">
      <c r="A204" t="inlineStr">
        <is>
          <t>RP0000203</t>
        </is>
      </c>
      <c r="B204" t="inlineStr">
        <is>
          <t>LN200029</t>
        </is>
      </c>
      <c r="C204" t="n">
        <v>2</v>
      </c>
      <c r="D204" s="8" t="n">
        <v>46224</v>
      </c>
      <c r="E204" s="9" t="n">
        <v>24757.67</v>
      </c>
      <c r="F204" s="8" t="n">
        <v>46225</v>
      </c>
      <c r="G204" s="9" t="n">
        <v>24757.67</v>
      </c>
      <c r="H204" t="inlineStr">
        <is>
          <t>PAID_ON_TIME</t>
        </is>
      </c>
      <c r="I204">
        <f>IF(H204="UNPAID", AsOfDate-D204, 0)</f>
        <v/>
      </c>
      <c r="J204">
        <f>IF(F204&lt;&gt;"", TEXT(F204, "yyyy-mm"), "")</f>
        <v/>
      </c>
    </row>
    <row r="205">
      <c r="A205" t="inlineStr">
        <is>
          <t>RP0000204</t>
        </is>
      </c>
      <c r="B205" t="inlineStr">
        <is>
          <t>LN200029</t>
        </is>
      </c>
      <c r="C205" t="n">
        <v>3</v>
      </c>
      <c r="D205" s="8" t="n">
        <v>46255</v>
      </c>
      <c r="E205" s="9" t="n">
        <v>24757.67</v>
      </c>
      <c r="F205" s="8" t="n">
        <v>46255</v>
      </c>
      <c r="G205" s="9" t="n">
        <v>24757.67</v>
      </c>
      <c r="H205" t="inlineStr">
        <is>
          <t>PAID_ON_TIME</t>
        </is>
      </c>
      <c r="I205">
        <f>IF(H205="UNPAID", AsOfDate-D205, 0)</f>
        <v/>
      </c>
      <c r="J205">
        <f>IF(F205&lt;&gt;"", TEXT(F205, "yyyy-mm"), "")</f>
        <v/>
      </c>
    </row>
    <row r="206">
      <c r="A206" t="inlineStr">
        <is>
          <t>RP0000205</t>
        </is>
      </c>
      <c r="B206" t="inlineStr">
        <is>
          <t>LN200029</t>
        </is>
      </c>
      <c r="C206" t="n">
        <v>4</v>
      </c>
      <c r="D206" s="8" t="n">
        <v>46286</v>
      </c>
      <c r="E206" s="9" t="n">
        <v>24757.67</v>
      </c>
      <c r="F206" s="8" t="n"/>
      <c r="G206" s="9" t="n">
        <v>0</v>
      </c>
      <c r="H206" t="inlineStr">
        <is>
          <t>NOT_DUE</t>
        </is>
      </c>
      <c r="I206">
        <f>IF(H206="UNPAID", AsOfDate-D206, 0)</f>
        <v/>
      </c>
      <c r="J206">
        <f>IF(F206&lt;&gt;"", TEXT(F206, "yyyy-mm"), "")</f>
        <v/>
      </c>
    </row>
    <row r="207">
      <c r="A207" t="inlineStr">
        <is>
          <t>RP0000206</t>
        </is>
      </c>
      <c r="B207" t="inlineStr">
        <is>
          <t>LN200029</t>
        </is>
      </c>
      <c r="C207" t="n">
        <v>5</v>
      </c>
      <c r="D207" s="8" t="n">
        <v>46316</v>
      </c>
      <c r="E207" s="9" t="n">
        <v>24757.67</v>
      </c>
      <c r="F207" s="8" t="n"/>
      <c r="G207" s="9" t="n">
        <v>0</v>
      </c>
      <c r="H207" t="inlineStr">
        <is>
          <t>NOT_DUE</t>
        </is>
      </c>
      <c r="I207">
        <f>IF(H207="UNPAID", AsOfDate-D207, 0)</f>
        <v/>
      </c>
      <c r="J207">
        <f>IF(F207&lt;&gt;"", TEXT(F207, "yyyy-mm"), "")</f>
        <v/>
      </c>
    </row>
    <row r="208">
      <c r="A208" t="inlineStr">
        <is>
          <t>RP0000207</t>
        </is>
      </c>
      <c r="B208" t="inlineStr">
        <is>
          <t>LN200029</t>
        </is>
      </c>
      <c r="C208" t="n">
        <v>6</v>
      </c>
      <c r="D208" s="8" t="n">
        <v>46347</v>
      </c>
      <c r="E208" s="9" t="n">
        <v>24757.67</v>
      </c>
      <c r="F208" s="8" t="n"/>
      <c r="G208" s="9" t="n">
        <v>0</v>
      </c>
      <c r="H208" t="inlineStr">
        <is>
          <t>NOT_DUE</t>
        </is>
      </c>
      <c r="I208">
        <f>IF(H208="UNPAID", AsOfDate-D208, 0)</f>
        <v/>
      </c>
      <c r="J208">
        <f>IF(F208&lt;&gt;"", TEXT(F208, "yyyy-mm"), "")</f>
        <v/>
      </c>
    </row>
    <row r="209">
      <c r="A209" t="inlineStr">
        <is>
          <t>RP0000208</t>
        </is>
      </c>
      <c r="B209" t="inlineStr">
        <is>
          <t>LN200029</t>
        </is>
      </c>
      <c r="C209" t="n">
        <v>7</v>
      </c>
      <c r="D209" s="8" t="n">
        <v>46377</v>
      </c>
      <c r="E209" s="9" t="n">
        <v>24757.67</v>
      </c>
      <c r="F209" s="8" t="n"/>
      <c r="G209" s="9" t="n">
        <v>0</v>
      </c>
      <c r="H209" t="inlineStr">
        <is>
          <t>NOT_DUE</t>
        </is>
      </c>
      <c r="I209">
        <f>IF(H209="UNPAID", AsOfDate-D209, 0)</f>
        <v/>
      </c>
      <c r="J209">
        <f>IF(F209&lt;&gt;"", TEXT(F209, "yyyy-mm"), "")</f>
        <v/>
      </c>
    </row>
    <row r="210">
      <c r="A210" t="inlineStr">
        <is>
          <t>RP0000209</t>
        </is>
      </c>
      <c r="B210" t="inlineStr">
        <is>
          <t>LN200029</t>
        </is>
      </c>
      <c r="C210" t="n">
        <v>8</v>
      </c>
      <c r="D210" s="8" t="n">
        <v>46408</v>
      </c>
      <c r="E210" s="9" t="n">
        <v>24757.67</v>
      </c>
      <c r="F210" s="8" t="n"/>
      <c r="G210" s="9" t="n">
        <v>0</v>
      </c>
      <c r="H210" t="inlineStr">
        <is>
          <t>NOT_DUE</t>
        </is>
      </c>
      <c r="I210">
        <f>IF(H210="UNPAID", AsOfDate-D210, 0)</f>
        <v/>
      </c>
      <c r="J210">
        <f>IF(F210&lt;&gt;"", TEXT(F210, "yyyy-mm"), "")</f>
        <v/>
      </c>
    </row>
    <row r="211">
      <c r="A211" t="inlineStr">
        <is>
          <t>RP0000210</t>
        </is>
      </c>
      <c r="B211" t="inlineStr">
        <is>
          <t>LN200029</t>
        </is>
      </c>
      <c r="C211" t="n">
        <v>9</v>
      </c>
      <c r="D211" s="8" t="n">
        <v>46439</v>
      </c>
      <c r="E211" s="9" t="n">
        <v>24757.67</v>
      </c>
      <c r="F211" s="8" t="n"/>
      <c r="G211" s="9" t="n">
        <v>0</v>
      </c>
      <c r="H211" t="inlineStr">
        <is>
          <t>NOT_DUE</t>
        </is>
      </c>
      <c r="I211">
        <f>IF(H211="UNPAID", AsOfDate-D211, 0)</f>
        <v/>
      </c>
      <c r="J211">
        <f>IF(F211&lt;&gt;"", TEXT(F211, "yyyy-mm"), "")</f>
        <v/>
      </c>
    </row>
    <row r="212">
      <c r="A212" t="inlineStr">
        <is>
          <t>RP0000211</t>
        </is>
      </c>
      <c r="B212" t="inlineStr">
        <is>
          <t>LN200029</t>
        </is>
      </c>
      <c r="C212" t="n">
        <v>10</v>
      </c>
      <c r="D212" s="8" t="n">
        <v>46467</v>
      </c>
      <c r="E212" s="9" t="n">
        <v>24757.67</v>
      </c>
      <c r="F212" s="8" t="n"/>
      <c r="G212" s="9" t="n">
        <v>0</v>
      </c>
      <c r="H212" t="inlineStr">
        <is>
          <t>NOT_DUE</t>
        </is>
      </c>
      <c r="I212">
        <f>IF(H212="UNPAID", AsOfDate-D212, 0)</f>
        <v/>
      </c>
      <c r="J212">
        <f>IF(F212&lt;&gt;"", TEXT(F212, "yyyy-mm"), "")</f>
        <v/>
      </c>
    </row>
    <row r="213">
      <c r="A213" t="inlineStr">
        <is>
          <t>RP0000212</t>
        </is>
      </c>
      <c r="B213" t="inlineStr">
        <is>
          <t>LN200029</t>
        </is>
      </c>
      <c r="C213" t="n">
        <v>11</v>
      </c>
      <c r="D213" s="8" t="n">
        <v>46498</v>
      </c>
      <c r="E213" s="9" t="n">
        <v>24757.67</v>
      </c>
      <c r="F213" s="8" t="n"/>
      <c r="G213" s="9" t="n">
        <v>0</v>
      </c>
      <c r="H213" t="inlineStr">
        <is>
          <t>NOT_DUE</t>
        </is>
      </c>
      <c r="I213">
        <f>IF(H213="UNPAID", AsOfDate-D213, 0)</f>
        <v/>
      </c>
      <c r="J213">
        <f>IF(F213&lt;&gt;"", TEXT(F213, "yyyy-mm"), "")</f>
        <v/>
      </c>
    </row>
    <row r="214">
      <c r="A214" t="inlineStr">
        <is>
          <t>RP0000213</t>
        </is>
      </c>
      <c r="B214" t="inlineStr">
        <is>
          <t>LN200029</t>
        </is>
      </c>
      <c r="C214" t="n">
        <v>12</v>
      </c>
      <c r="D214" s="8" t="n">
        <v>46528</v>
      </c>
      <c r="E214" s="9" t="n">
        <v>24757.67</v>
      </c>
      <c r="F214" s="8" t="n"/>
      <c r="G214" s="9" t="n">
        <v>0</v>
      </c>
      <c r="H214" t="inlineStr">
        <is>
          <t>NOT_DUE</t>
        </is>
      </c>
      <c r="I214">
        <f>IF(H214="UNPAID", AsOfDate-D214, 0)</f>
        <v/>
      </c>
      <c r="J214">
        <f>IF(F214&lt;&gt;"", TEXT(F214, "yyyy-mm"), "")</f>
        <v/>
      </c>
    </row>
    <row r="215">
      <c r="A215" t="inlineStr">
        <is>
          <t>RP0000214</t>
        </is>
      </c>
      <c r="B215" t="inlineStr">
        <is>
          <t>LN200030</t>
        </is>
      </c>
      <c r="C215" t="n">
        <v>1</v>
      </c>
      <c r="D215" s="8" t="n">
        <v>46123</v>
      </c>
      <c r="E215" s="9" t="n">
        <v>33680</v>
      </c>
      <c r="F215" s="8" t="n">
        <v>46120</v>
      </c>
      <c r="G215" s="9" t="n">
        <v>33680</v>
      </c>
      <c r="H215" t="inlineStr">
        <is>
          <t>PAID_ON_TIME</t>
        </is>
      </c>
      <c r="I215">
        <f>IF(H215="UNPAID", AsOfDate-D215, 0)</f>
        <v/>
      </c>
      <c r="J215">
        <f>IF(F215&lt;&gt;"", TEXT(F215, "yyyy-mm"), "")</f>
        <v/>
      </c>
    </row>
    <row r="216">
      <c r="A216" t="inlineStr">
        <is>
          <t>RP0000215</t>
        </is>
      </c>
      <c r="B216" t="inlineStr">
        <is>
          <t>LN200030</t>
        </is>
      </c>
      <c r="C216" t="n">
        <v>2</v>
      </c>
      <c r="D216" s="8" t="n">
        <v>46153</v>
      </c>
      <c r="E216" s="9" t="n">
        <v>33680</v>
      </c>
      <c r="F216" s="8" t="n">
        <v>46155</v>
      </c>
      <c r="G216" s="9" t="n">
        <v>33680</v>
      </c>
      <c r="H216" t="inlineStr">
        <is>
          <t>PAID_ON_TIME</t>
        </is>
      </c>
      <c r="I216">
        <f>IF(H216="UNPAID", AsOfDate-D216, 0)</f>
        <v/>
      </c>
      <c r="J216">
        <f>IF(F216&lt;&gt;"", TEXT(F216, "yyyy-mm"), "")</f>
        <v/>
      </c>
    </row>
    <row r="217">
      <c r="A217" t="inlineStr">
        <is>
          <t>RP0000216</t>
        </is>
      </c>
      <c r="B217" t="inlineStr">
        <is>
          <t>LN200030</t>
        </is>
      </c>
      <c r="C217" t="n">
        <v>3</v>
      </c>
      <c r="D217" s="8" t="n">
        <v>46184</v>
      </c>
      <c r="E217" s="9" t="n">
        <v>33680</v>
      </c>
      <c r="F217" s="8" t="n">
        <v>46188</v>
      </c>
      <c r="G217" s="9" t="n">
        <v>33680</v>
      </c>
      <c r="H217" t="inlineStr">
        <is>
          <t>PAID_ON_TIME</t>
        </is>
      </c>
      <c r="I217">
        <f>IF(H217="UNPAID", AsOfDate-D217, 0)</f>
        <v/>
      </c>
      <c r="J217">
        <f>IF(F217&lt;&gt;"", TEXT(F217, "yyyy-mm"), "")</f>
        <v/>
      </c>
    </row>
    <row r="218">
      <c r="A218" t="inlineStr">
        <is>
          <t>RP0000217</t>
        </is>
      </c>
      <c r="B218" t="inlineStr">
        <is>
          <t>LN200032</t>
        </is>
      </c>
      <c r="C218" t="n">
        <v>1</v>
      </c>
      <c r="D218" s="8" t="n">
        <v>46065</v>
      </c>
      <c r="E218" s="9" t="n">
        <v>17219.33</v>
      </c>
      <c r="F218" s="8" t="n">
        <v>46079</v>
      </c>
      <c r="G218" s="9" t="n">
        <v>17219.33</v>
      </c>
      <c r="H218" t="inlineStr">
        <is>
          <t>PAID_LATE</t>
        </is>
      </c>
      <c r="I218">
        <f>IF(H218="UNPAID", AsOfDate-D218, 0)</f>
        <v/>
      </c>
      <c r="J218">
        <f>IF(F218&lt;&gt;"", TEXT(F218, "yyyy-mm"), "")</f>
        <v/>
      </c>
    </row>
    <row r="219">
      <c r="A219" t="inlineStr">
        <is>
          <t>RP0000218</t>
        </is>
      </c>
      <c r="B219" t="inlineStr">
        <is>
          <t>LN200032</t>
        </is>
      </c>
      <c r="C219" t="n">
        <v>2</v>
      </c>
      <c r="D219" s="8" t="n">
        <v>46093</v>
      </c>
      <c r="E219" s="9" t="n">
        <v>17219.33</v>
      </c>
      <c r="F219" s="8" t="n">
        <v>46090</v>
      </c>
      <c r="G219" s="9" t="n">
        <v>17219.33</v>
      </c>
      <c r="H219" t="inlineStr">
        <is>
          <t>PAID_ON_TIME</t>
        </is>
      </c>
      <c r="I219">
        <f>IF(H219="UNPAID", AsOfDate-D219, 0)</f>
        <v/>
      </c>
      <c r="J219">
        <f>IF(F219&lt;&gt;"", TEXT(F219, "yyyy-mm"), "")</f>
        <v/>
      </c>
    </row>
    <row r="220">
      <c r="A220" t="inlineStr">
        <is>
          <t>RP0000219</t>
        </is>
      </c>
      <c r="B220" t="inlineStr">
        <is>
          <t>LN200032</t>
        </is>
      </c>
      <c r="C220" t="n">
        <v>3</v>
      </c>
      <c r="D220" s="8" t="n">
        <v>46124</v>
      </c>
      <c r="E220" s="9" t="n">
        <v>17219.33</v>
      </c>
      <c r="F220" s="8" t="n">
        <v>46121</v>
      </c>
      <c r="G220" s="9" t="n">
        <v>17219.33</v>
      </c>
      <c r="H220" t="inlineStr">
        <is>
          <t>PAID_ON_TIME</t>
        </is>
      </c>
      <c r="I220">
        <f>IF(H220="UNPAID", AsOfDate-D220, 0)</f>
        <v/>
      </c>
      <c r="J220">
        <f>IF(F220&lt;&gt;"", TEXT(F220, "yyyy-mm"), "")</f>
        <v/>
      </c>
    </row>
    <row r="221">
      <c r="A221" t="inlineStr">
        <is>
          <t>RP0000220</t>
        </is>
      </c>
      <c r="B221" t="inlineStr">
        <is>
          <t>LN200032</t>
        </is>
      </c>
      <c r="C221" t="n">
        <v>4</v>
      </c>
      <c r="D221" s="8" t="n">
        <v>46154</v>
      </c>
      <c r="E221" s="9" t="n">
        <v>17219.33</v>
      </c>
      <c r="F221" s="8" t="n">
        <v>46190</v>
      </c>
      <c r="G221" s="9" t="n">
        <v>17219.33</v>
      </c>
      <c r="H221" t="inlineStr">
        <is>
          <t>PAID_LATE</t>
        </is>
      </c>
      <c r="I221">
        <f>IF(H221="UNPAID", AsOfDate-D221, 0)</f>
        <v/>
      </c>
      <c r="J221">
        <f>IF(F221&lt;&gt;"", TEXT(F221, "yyyy-mm"), "")</f>
        <v/>
      </c>
    </row>
    <row r="222">
      <c r="A222" t="inlineStr">
        <is>
          <t>RP0000221</t>
        </is>
      </c>
      <c r="B222" t="inlineStr">
        <is>
          <t>LN200032</t>
        </is>
      </c>
      <c r="C222" t="n">
        <v>5</v>
      </c>
      <c r="D222" s="8" t="n">
        <v>46185</v>
      </c>
      <c r="E222" s="9" t="n">
        <v>17219.33</v>
      </c>
      <c r="F222" s="8" t="n">
        <v>46183</v>
      </c>
      <c r="G222" s="9" t="n">
        <v>17219.33</v>
      </c>
      <c r="H222" t="inlineStr">
        <is>
          <t>PAID_ON_TIME</t>
        </is>
      </c>
      <c r="I222">
        <f>IF(H222="UNPAID", AsOfDate-D222, 0)</f>
        <v/>
      </c>
      <c r="J222">
        <f>IF(F222&lt;&gt;"", TEXT(F222, "yyyy-mm"), "")</f>
        <v/>
      </c>
    </row>
    <row r="223">
      <c r="A223" t="inlineStr">
        <is>
          <t>RP0000222</t>
        </is>
      </c>
      <c r="B223" t="inlineStr">
        <is>
          <t>LN200032</t>
        </is>
      </c>
      <c r="C223" t="n">
        <v>6</v>
      </c>
      <c r="D223" s="8" t="n">
        <v>46215</v>
      </c>
      <c r="E223" s="9" t="n">
        <v>17219.33</v>
      </c>
      <c r="F223" s="8" t="n">
        <v>46214</v>
      </c>
      <c r="G223" s="9" t="n">
        <v>17219.33</v>
      </c>
      <c r="H223" t="inlineStr">
        <is>
          <t>PAID_ON_TIME</t>
        </is>
      </c>
      <c r="I223">
        <f>IF(H223="UNPAID", AsOfDate-D223, 0)</f>
        <v/>
      </c>
      <c r="J223">
        <f>IF(F223&lt;&gt;"", TEXT(F223, "yyyy-mm"), "")</f>
        <v/>
      </c>
    </row>
    <row r="224">
      <c r="A224" t="inlineStr">
        <is>
          <t>RP0000223</t>
        </is>
      </c>
      <c r="B224" t="inlineStr">
        <is>
          <t>LN200032</t>
        </is>
      </c>
      <c r="C224" t="n">
        <v>7</v>
      </c>
      <c r="D224" s="8" t="n">
        <v>46246</v>
      </c>
      <c r="E224" s="9" t="n">
        <v>17219.33</v>
      </c>
      <c r="F224" s="8" t="n">
        <v>46244</v>
      </c>
      <c r="G224" s="9" t="n">
        <v>17219.33</v>
      </c>
      <c r="H224" t="inlineStr">
        <is>
          <t>PAID_ON_TIME</t>
        </is>
      </c>
      <c r="I224">
        <f>IF(H224="UNPAID", AsOfDate-D224, 0)</f>
        <v/>
      </c>
      <c r="J224">
        <f>IF(F224&lt;&gt;"", TEXT(F224, "yyyy-mm"), "")</f>
        <v/>
      </c>
    </row>
    <row r="225">
      <c r="A225" t="inlineStr">
        <is>
          <t>RP0000224</t>
        </is>
      </c>
      <c r="B225" t="inlineStr">
        <is>
          <t>LN200032</t>
        </is>
      </c>
      <c r="C225" t="n">
        <v>8</v>
      </c>
      <c r="D225" s="8" t="n">
        <v>46277</v>
      </c>
      <c r="E225" s="9" t="n">
        <v>17219.33</v>
      </c>
      <c r="F225" s="8" t="n"/>
      <c r="G225" s="9" t="n">
        <v>0</v>
      </c>
      <c r="H225" t="inlineStr">
        <is>
          <t>NOT_DUE</t>
        </is>
      </c>
      <c r="I225">
        <f>IF(H225="UNPAID", AsOfDate-D225, 0)</f>
        <v/>
      </c>
      <c r="J225">
        <f>IF(F225&lt;&gt;"", TEXT(F225, "yyyy-mm"), "")</f>
        <v/>
      </c>
    </row>
    <row r="226">
      <c r="A226" t="inlineStr">
        <is>
          <t>RP0000225</t>
        </is>
      </c>
      <c r="B226" t="inlineStr">
        <is>
          <t>LN200032</t>
        </is>
      </c>
      <c r="C226" t="n">
        <v>9</v>
      </c>
      <c r="D226" s="8" t="n">
        <v>46307</v>
      </c>
      <c r="E226" s="9" t="n">
        <v>17219.33</v>
      </c>
      <c r="F226" s="8" t="n"/>
      <c r="G226" s="9" t="n">
        <v>0</v>
      </c>
      <c r="H226" t="inlineStr">
        <is>
          <t>NOT_DUE</t>
        </is>
      </c>
      <c r="I226">
        <f>IF(H226="UNPAID", AsOfDate-D226, 0)</f>
        <v/>
      </c>
      <c r="J226">
        <f>IF(F226&lt;&gt;"", TEXT(F226, "yyyy-mm"), "")</f>
        <v/>
      </c>
    </row>
    <row r="227">
      <c r="A227" t="inlineStr">
        <is>
          <t>RP0000226</t>
        </is>
      </c>
      <c r="B227" t="inlineStr">
        <is>
          <t>LN200034</t>
        </is>
      </c>
      <c r="C227" t="n">
        <v>1</v>
      </c>
      <c r="D227" s="8" t="n">
        <v>46179</v>
      </c>
      <c r="E227" s="9" t="n">
        <v>10343.83</v>
      </c>
      <c r="F227" s="8" t="n">
        <v>46178</v>
      </c>
      <c r="G227" s="9" t="n">
        <v>10343.83</v>
      </c>
      <c r="H227" t="inlineStr">
        <is>
          <t>PAID_ON_TIME</t>
        </is>
      </c>
      <c r="I227">
        <f>IF(H227="UNPAID", AsOfDate-D227, 0)</f>
        <v/>
      </c>
      <c r="J227">
        <f>IF(F227&lt;&gt;"", TEXT(F227, "yyyy-mm"), "")</f>
        <v/>
      </c>
    </row>
    <row r="228">
      <c r="A228" t="inlineStr">
        <is>
          <t>RP0000227</t>
        </is>
      </c>
      <c r="B228" t="inlineStr">
        <is>
          <t>LN200034</t>
        </is>
      </c>
      <c r="C228" t="n">
        <v>2</v>
      </c>
      <c r="D228" s="8" t="n">
        <v>46209</v>
      </c>
      <c r="E228" s="9" t="n">
        <v>10343.83</v>
      </c>
      <c r="F228" s="8" t="n">
        <v>46208</v>
      </c>
      <c r="G228" s="9" t="n">
        <v>10343.83</v>
      </c>
      <c r="H228" t="inlineStr">
        <is>
          <t>PAID_ON_TIME</t>
        </is>
      </c>
      <c r="I228">
        <f>IF(H228="UNPAID", AsOfDate-D228, 0)</f>
        <v/>
      </c>
      <c r="J228">
        <f>IF(F228&lt;&gt;"", TEXT(F228, "yyyy-mm"), "")</f>
        <v/>
      </c>
    </row>
    <row r="229">
      <c r="A229" t="inlineStr">
        <is>
          <t>RP0000228</t>
        </is>
      </c>
      <c r="B229" t="inlineStr">
        <is>
          <t>LN200034</t>
        </is>
      </c>
      <c r="C229" t="n">
        <v>3</v>
      </c>
      <c r="D229" s="8" t="n">
        <v>46240</v>
      </c>
      <c r="E229" s="9" t="n">
        <v>10343.83</v>
      </c>
      <c r="F229" s="8" t="n">
        <v>46243</v>
      </c>
      <c r="G229" s="9" t="n">
        <v>10343.83</v>
      </c>
      <c r="H229" t="inlineStr">
        <is>
          <t>PAID_ON_TIME</t>
        </is>
      </c>
      <c r="I229">
        <f>IF(H229="UNPAID", AsOfDate-D229, 0)</f>
        <v/>
      </c>
      <c r="J229">
        <f>IF(F229&lt;&gt;"", TEXT(F229, "yyyy-mm"), "")</f>
        <v/>
      </c>
    </row>
    <row r="230">
      <c r="A230" t="inlineStr">
        <is>
          <t>RP0000229</t>
        </is>
      </c>
      <c r="B230" t="inlineStr">
        <is>
          <t>LN200034</t>
        </is>
      </c>
      <c r="C230" t="n">
        <v>4</v>
      </c>
      <c r="D230" s="8" t="n">
        <v>46271</v>
      </c>
      <c r="E230" s="9" t="n">
        <v>10343.83</v>
      </c>
      <c r="F230" s="8" t="n"/>
      <c r="G230" s="9" t="n">
        <v>0</v>
      </c>
      <c r="H230" t="inlineStr">
        <is>
          <t>NOT_DUE</t>
        </is>
      </c>
      <c r="I230">
        <f>IF(H230="UNPAID", AsOfDate-D230, 0)</f>
        <v/>
      </c>
      <c r="J230">
        <f>IF(F230&lt;&gt;"", TEXT(F230, "yyyy-mm"), "")</f>
        <v/>
      </c>
    </row>
    <row r="231">
      <c r="A231" t="inlineStr">
        <is>
          <t>RP0000230</t>
        </is>
      </c>
      <c r="B231" t="inlineStr">
        <is>
          <t>LN200034</t>
        </is>
      </c>
      <c r="C231" t="n">
        <v>5</v>
      </c>
      <c r="D231" s="8" t="n">
        <v>46301</v>
      </c>
      <c r="E231" s="9" t="n">
        <v>10343.83</v>
      </c>
      <c r="F231" s="8" t="n"/>
      <c r="G231" s="9" t="n">
        <v>0</v>
      </c>
      <c r="H231" t="inlineStr">
        <is>
          <t>NOT_DUE</t>
        </is>
      </c>
      <c r="I231">
        <f>IF(H231="UNPAID", AsOfDate-D231, 0)</f>
        <v/>
      </c>
      <c r="J231">
        <f>IF(F231&lt;&gt;"", TEXT(F231, "yyyy-mm"), "")</f>
        <v/>
      </c>
    </row>
    <row r="232">
      <c r="A232" t="inlineStr">
        <is>
          <t>RP0000231</t>
        </is>
      </c>
      <c r="B232" t="inlineStr">
        <is>
          <t>LN200034</t>
        </is>
      </c>
      <c r="C232" t="n">
        <v>6</v>
      </c>
      <c r="D232" s="8" t="n">
        <v>46332</v>
      </c>
      <c r="E232" s="9" t="n">
        <v>10343.83</v>
      </c>
      <c r="F232" s="8" t="n"/>
      <c r="G232" s="9" t="n">
        <v>0</v>
      </c>
      <c r="H232" t="inlineStr">
        <is>
          <t>NOT_DUE</t>
        </is>
      </c>
      <c r="I232">
        <f>IF(H232="UNPAID", AsOfDate-D232, 0)</f>
        <v/>
      </c>
      <c r="J232">
        <f>IF(F232&lt;&gt;"", TEXT(F232, "yyyy-mm"), "")</f>
        <v/>
      </c>
    </row>
    <row r="233">
      <c r="A233" t="inlineStr">
        <is>
          <t>RP0000232</t>
        </is>
      </c>
      <c r="B233" t="inlineStr">
        <is>
          <t>LN200034</t>
        </is>
      </c>
      <c r="C233" t="n">
        <v>7</v>
      </c>
      <c r="D233" s="8" t="n">
        <v>46362</v>
      </c>
      <c r="E233" s="9" t="n">
        <v>10343.83</v>
      </c>
      <c r="F233" s="8" t="n"/>
      <c r="G233" s="9" t="n">
        <v>0</v>
      </c>
      <c r="H233" t="inlineStr">
        <is>
          <t>NOT_DUE</t>
        </is>
      </c>
      <c r="I233">
        <f>IF(H233="UNPAID", AsOfDate-D233, 0)</f>
        <v/>
      </c>
      <c r="J233">
        <f>IF(F233&lt;&gt;"", TEXT(F233, "yyyy-mm"), "")</f>
        <v/>
      </c>
    </row>
    <row r="234">
      <c r="A234" t="inlineStr">
        <is>
          <t>RP0000233</t>
        </is>
      </c>
      <c r="B234" t="inlineStr">
        <is>
          <t>LN200034</t>
        </is>
      </c>
      <c r="C234" t="n">
        <v>8</v>
      </c>
      <c r="D234" s="8" t="n">
        <v>46393</v>
      </c>
      <c r="E234" s="9" t="n">
        <v>10343.83</v>
      </c>
      <c r="F234" s="8" t="n"/>
      <c r="G234" s="9" t="n">
        <v>0</v>
      </c>
      <c r="H234" t="inlineStr">
        <is>
          <t>NOT_DUE</t>
        </is>
      </c>
      <c r="I234">
        <f>IF(H234="UNPAID", AsOfDate-D234, 0)</f>
        <v/>
      </c>
      <c r="J234">
        <f>IF(F234&lt;&gt;"", TEXT(F234, "yyyy-mm"), "")</f>
        <v/>
      </c>
    </row>
    <row r="235">
      <c r="A235" t="inlineStr">
        <is>
          <t>RP0000234</t>
        </is>
      </c>
      <c r="B235" t="inlineStr">
        <is>
          <t>LN200034</t>
        </is>
      </c>
      <c r="C235" t="n">
        <v>9</v>
      </c>
      <c r="D235" s="8" t="n">
        <v>46424</v>
      </c>
      <c r="E235" s="9" t="n">
        <v>10343.83</v>
      </c>
      <c r="F235" s="8" t="n"/>
      <c r="G235" s="9" t="n">
        <v>0</v>
      </c>
      <c r="H235" t="inlineStr">
        <is>
          <t>NOT_DUE</t>
        </is>
      </c>
      <c r="I235">
        <f>IF(H235="UNPAID", AsOfDate-D235, 0)</f>
        <v/>
      </c>
      <c r="J235">
        <f>IF(F235&lt;&gt;"", TEXT(F235, "yyyy-mm"), "")</f>
        <v/>
      </c>
    </row>
    <row r="236">
      <c r="A236" t="inlineStr">
        <is>
          <t>RP0000235</t>
        </is>
      </c>
      <c r="B236" t="inlineStr">
        <is>
          <t>LN200034</t>
        </is>
      </c>
      <c r="C236" t="n">
        <v>10</v>
      </c>
      <c r="D236" s="8" t="n">
        <v>46452</v>
      </c>
      <c r="E236" s="9" t="n">
        <v>10343.83</v>
      </c>
      <c r="F236" s="8" t="n"/>
      <c r="G236" s="9" t="n">
        <v>0</v>
      </c>
      <c r="H236" t="inlineStr">
        <is>
          <t>NOT_DUE</t>
        </is>
      </c>
      <c r="I236">
        <f>IF(H236="UNPAID", AsOfDate-D236, 0)</f>
        <v/>
      </c>
      <c r="J236">
        <f>IF(F236&lt;&gt;"", TEXT(F236, "yyyy-mm"), "")</f>
        <v/>
      </c>
    </row>
    <row r="237">
      <c r="A237" t="inlineStr">
        <is>
          <t>RP0000236</t>
        </is>
      </c>
      <c r="B237" t="inlineStr">
        <is>
          <t>LN200034</t>
        </is>
      </c>
      <c r="C237" t="n">
        <v>11</v>
      </c>
      <c r="D237" s="8" t="n">
        <v>46483</v>
      </c>
      <c r="E237" s="9" t="n">
        <v>10343.83</v>
      </c>
      <c r="F237" s="8" t="n"/>
      <c r="G237" s="9" t="n">
        <v>0</v>
      </c>
      <c r="H237" t="inlineStr">
        <is>
          <t>NOT_DUE</t>
        </is>
      </c>
      <c r="I237">
        <f>IF(H237="UNPAID", AsOfDate-D237, 0)</f>
        <v/>
      </c>
      <c r="J237">
        <f>IF(F237&lt;&gt;"", TEXT(F237, "yyyy-mm"), "")</f>
        <v/>
      </c>
    </row>
    <row r="238">
      <c r="A238" t="inlineStr">
        <is>
          <t>RP0000237</t>
        </is>
      </c>
      <c r="B238" t="inlineStr">
        <is>
          <t>LN200034</t>
        </is>
      </c>
      <c r="C238" t="n">
        <v>12</v>
      </c>
      <c r="D238" s="8" t="n">
        <v>46513</v>
      </c>
      <c r="E238" s="9" t="n">
        <v>10343.83</v>
      </c>
      <c r="F238" s="8" t="n"/>
      <c r="G238" s="9" t="n">
        <v>0</v>
      </c>
      <c r="H238" t="inlineStr">
        <is>
          <t>NOT_DUE</t>
        </is>
      </c>
      <c r="I238">
        <f>IF(H238="UNPAID", AsOfDate-D238, 0)</f>
        <v/>
      </c>
      <c r="J238">
        <f>IF(F238&lt;&gt;"", TEXT(F238, "yyyy-mm"), "")</f>
        <v/>
      </c>
    </row>
    <row r="239">
      <c r="A239" t="inlineStr">
        <is>
          <t>RP0000238</t>
        </is>
      </c>
      <c r="B239" t="inlineStr">
        <is>
          <t>LN200035</t>
        </is>
      </c>
      <c r="C239" t="n">
        <v>1</v>
      </c>
      <c r="D239" s="8" t="n">
        <v>45702</v>
      </c>
      <c r="E239" s="9" t="n">
        <v>3434.67</v>
      </c>
      <c r="F239" s="8" t="n">
        <v>45702</v>
      </c>
      <c r="G239" s="9" t="n">
        <v>3434.67</v>
      </c>
      <c r="H239" t="inlineStr">
        <is>
          <t>PAID_ON_TIME</t>
        </is>
      </c>
      <c r="I239">
        <f>IF(H239="UNPAID", AsOfDate-D239, 0)</f>
        <v/>
      </c>
      <c r="J239">
        <f>IF(F239&lt;&gt;"", TEXT(F239, "yyyy-mm"), "")</f>
        <v/>
      </c>
    </row>
    <row r="240">
      <c r="A240" t="inlineStr">
        <is>
          <t>RP0000239</t>
        </is>
      </c>
      <c r="B240" t="inlineStr">
        <is>
          <t>LN200035</t>
        </is>
      </c>
      <c r="C240" t="n">
        <v>2</v>
      </c>
      <c r="D240" s="8" t="n">
        <v>45730</v>
      </c>
      <c r="E240" s="9" t="n">
        <v>3434.67</v>
      </c>
      <c r="F240" s="8" t="n">
        <v>45732</v>
      </c>
      <c r="G240" s="9" t="n">
        <v>3434.67</v>
      </c>
      <c r="H240" t="inlineStr">
        <is>
          <t>PAID_ON_TIME</t>
        </is>
      </c>
      <c r="I240">
        <f>IF(H240="UNPAID", AsOfDate-D240, 0)</f>
        <v/>
      </c>
      <c r="J240">
        <f>IF(F240&lt;&gt;"", TEXT(F240, "yyyy-mm"), "")</f>
        <v/>
      </c>
    </row>
    <row r="241">
      <c r="A241" t="inlineStr">
        <is>
          <t>RP0000240</t>
        </is>
      </c>
      <c r="B241" t="inlineStr">
        <is>
          <t>LN200035</t>
        </is>
      </c>
      <c r="C241" t="n">
        <v>3</v>
      </c>
      <c r="D241" s="8" t="n">
        <v>45761</v>
      </c>
      <c r="E241" s="9" t="n">
        <v>3434.67</v>
      </c>
      <c r="F241" s="8" t="n">
        <v>45761</v>
      </c>
      <c r="G241" s="9" t="n">
        <v>3434.67</v>
      </c>
      <c r="H241" t="inlineStr">
        <is>
          <t>PAID_ON_TIME</t>
        </is>
      </c>
      <c r="I241">
        <f>IF(H241="UNPAID", AsOfDate-D241, 0)</f>
        <v/>
      </c>
      <c r="J241">
        <f>IF(F241&lt;&gt;"", TEXT(F241, "yyyy-mm"), "")</f>
        <v/>
      </c>
    </row>
    <row r="242">
      <c r="A242" t="inlineStr">
        <is>
          <t>RP0000241</t>
        </is>
      </c>
      <c r="B242" t="inlineStr">
        <is>
          <t>LN200035</t>
        </is>
      </c>
      <c r="C242" t="n">
        <v>4</v>
      </c>
      <c r="D242" s="8" t="n">
        <v>45791</v>
      </c>
      <c r="E242" s="9" t="n">
        <v>3434.67</v>
      </c>
      <c r="F242" s="8" t="n">
        <v>45791</v>
      </c>
      <c r="G242" s="9" t="n">
        <v>3434.67</v>
      </c>
      <c r="H242" t="inlineStr">
        <is>
          <t>PAID_ON_TIME</t>
        </is>
      </c>
      <c r="I242">
        <f>IF(H242="UNPAID", AsOfDate-D242, 0)</f>
        <v/>
      </c>
      <c r="J242">
        <f>IF(F242&lt;&gt;"", TEXT(F242, "yyyy-mm"), "")</f>
        <v/>
      </c>
    </row>
    <row r="243">
      <c r="A243" t="inlineStr">
        <is>
          <t>RP0000242</t>
        </is>
      </c>
      <c r="B243" t="inlineStr">
        <is>
          <t>LN200035</t>
        </is>
      </c>
      <c r="C243" t="n">
        <v>5</v>
      </c>
      <c r="D243" s="8" t="n">
        <v>45822</v>
      </c>
      <c r="E243" s="9" t="n">
        <v>3434.67</v>
      </c>
      <c r="F243" s="8" t="n">
        <v>45822</v>
      </c>
      <c r="G243" s="9" t="n">
        <v>3434.67</v>
      </c>
      <c r="H243" t="inlineStr">
        <is>
          <t>PAID_ON_TIME</t>
        </is>
      </c>
      <c r="I243">
        <f>IF(H243="UNPAID", AsOfDate-D243, 0)</f>
        <v/>
      </c>
      <c r="J243">
        <f>IF(F243&lt;&gt;"", TEXT(F243, "yyyy-mm"), "")</f>
        <v/>
      </c>
    </row>
    <row r="244">
      <c r="A244" t="inlineStr">
        <is>
          <t>RP0000243</t>
        </is>
      </c>
      <c r="B244" t="inlineStr">
        <is>
          <t>LN200035</t>
        </is>
      </c>
      <c r="C244" t="n">
        <v>6</v>
      </c>
      <c r="D244" s="8" t="n">
        <v>45852</v>
      </c>
      <c r="E244" s="9" t="n">
        <v>3434.67</v>
      </c>
      <c r="F244" s="8" t="n">
        <v>45850</v>
      </c>
      <c r="G244" s="9" t="n">
        <v>3434.67</v>
      </c>
      <c r="H244" t="inlineStr">
        <is>
          <t>PAID_ON_TIME</t>
        </is>
      </c>
      <c r="I244">
        <f>IF(H244="UNPAID", AsOfDate-D244, 0)</f>
        <v/>
      </c>
      <c r="J244">
        <f>IF(F244&lt;&gt;"", TEXT(F244, "yyyy-mm"), "")</f>
        <v/>
      </c>
    </row>
    <row r="245">
      <c r="A245" t="inlineStr">
        <is>
          <t>RP0000244</t>
        </is>
      </c>
      <c r="B245" t="inlineStr">
        <is>
          <t>LN200035</t>
        </is>
      </c>
      <c r="C245" t="n">
        <v>7</v>
      </c>
      <c r="D245" s="8" t="n">
        <v>45883</v>
      </c>
      <c r="E245" s="9" t="n">
        <v>3434.67</v>
      </c>
      <c r="F245" s="8" t="n">
        <v>45881</v>
      </c>
      <c r="G245" s="9" t="n">
        <v>3434.67</v>
      </c>
      <c r="H245" t="inlineStr">
        <is>
          <t>PAID_ON_TIME</t>
        </is>
      </c>
      <c r="I245">
        <f>IF(H245="UNPAID", AsOfDate-D245, 0)</f>
        <v/>
      </c>
      <c r="J245">
        <f>IF(F245&lt;&gt;"", TEXT(F245, "yyyy-mm"), "")</f>
        <v/>
      </c>
    </row>
    <row r="246">
      <c r="A246" t="inlineStr">
        <is>
          <t>RP0000245</t>
        </is>
      </c>
      <c r="B246" t="inlineStr">
        <is>
          <t>LN200035</t>
        </is>
      </c>
      <c r="C246" t="n">
        <v>8</v>
      </c>
      <c r="D246" s="8" t="n">
        <v>45914</v>
      </c>
      <c r="E246" s="9" t="n">
        <v>3434.67</v>
      </c>
      <c r="F246" s="8" t="n">
        <v>45916</v>
      </c>
      <c r="G246" s="9" t="n">
        <v>3434.67</v>
      </c>
      <c r="H246" t="inlineStr">
        <is>
          <t>PAID_ON_TIME</t>
        </is>
      </c>
      <c r="I246">
        <f>IF(H246="UNPAID", AsOfDate-D246, 0)</f>
        <v/>
      </c>
      <c r="J246">
        <f>IF(F246&lt;&gt;"", TEXT(F246, "yyyy-mm"), "")</f>
        <v/>
      </c>
    </row>
    <row r="247">
      <c r="A247" t="inlineStr">
        <is>
          <t>RP0000246</t>
        </is>
      </c>
      <c r="B247" t="inlineStr">
        <is>
          <t>LN200035</t>
        </is>
      </c>
      <c r="C247" t="n">
        <v>9</v>
      </c>
      <c r="D247" s="8" t="n">
        <v>45944</v>
      </c>
      <c r="E247" s="9" t="n">
        <v>3434.67</v>
      </c>
      <c r="F247" s="8" t="n">
        <v>45944</v>
      </c>
      <c r="G247" s="9" t="n">
        <v>3434.67</v>
      </c>
      <c r="H247" t="inlineStr">
        <is>
          <t>PAID_ON_TIME</t>
        </is>
      </c>
      <c r="I247">
        <f>IF(H247="UNPAID", AsOfDate-D247, 0)</f>
        <v/>
      </c>
      <c r="J247">
        <f>IF(F247&lt;&gt;"", TEXT(F247, "yyyy-mm"), "")</f>
        <v/>
      </c>
    </row>
    <row r="248">
      <c r="A248" t="inlineStr">
        <is>
          <t>RP0000247</t>
        </is>
      </c>
      <c r="B248" t="inlineStr">
        <is>
          <t>LN200035</t>
        </is>
      </c>
      <c r="C248" t="n">
        <v>10</v>
      </c>
      <c r="D248" s="8" t="n">
        <v>45975</v>
      </c>
      <c r="E248" s="9" t="n">
        <v>3434.67</v>
      </c>
      <c r="F248" s="8" t="n">
        <v>46037</v>
      </c>
      <c r="G248" s="9" t="n">
        <v>3434.67</v>
      </c>
      <c r="H248" t="inlineStr">
        <is>
          <t>PAID_LATE</t>
        </is>
      </c>
      <c r="I248">
        <f>IF(H248="UNPAID", AsOfDate-D248, 0)</f>
        <v/>
      </c>
      <c r="J248">
        <f>IF(F248&lt;&gt;"", TEXT(F248, "yyyy-mm"), "")</f>
        <v/>
      </c>
    </row>
    <row r="249">
      <c r="A249" t="inlineStr">
        <is>
          <t>RP0000248</t>
        </is>
      </c>
      <c r="B249" t="inlineStr">
        <is>
          <t>LN200035</t>
        </is>
      </c>
      <c r="C249" t="n">
        <v>11</v>
      </c>
      <c r="D249" s="8" t="n">
        <v>46005</v>
      </c>
      <c r="E249" s="9" t="n">
        <v>3434.67</v>
      </c>
      <c r="F249" s="8" t="n">
        <v>46002</v>
      </c>
      <c r="G249" s="9" t="n">
        <v>3434.67</v>
      </c>
      <c r="H249" t="inlineStr">
        <is>
          <t>PAID_ON_TIME</t>
        </is>
      </c>
      <c r="I249">
        <f>IF(H249="UNPAID", AsOfDate-D249, 0)</f>
        <v/>
      </c>
      <c r="J249">
        <f>IF(F249&lt;&gt;"", TEXT(F249, "yyyy-mm"), "")</f>
        <v/>
      </c>
    </row>
    <row r="250">
      <c r="A250" t="inlineStr">
        <is>
          <t>RP0000249</t>
        </is>
      </c>
      <c r="B250" t="inlineStr">
        <is>
          <t>LN200035</t>
        </is>
      </c>
      <c r="C250" t="n">
        <v>12</v>
      </c>
      <c r="D250" s="8" t="n">
        <v>46036</v>
      </c>
      <c r="E250" s="9" t="n">
        <v>3434.67</v>
      </c>
      <c r="F250" s="8" t="n">
        <v>46037</v>
      </c>
      <c r="G250" s="9" t="n">
        <v>3434.67</v>
      </c>
      <c r="H250" t="inlineStr">
        <is>
          <t>PAID_ON_TIME</t>
        </is>
      </c>
      <c r="I250">
        <f>IF(H250="UNPAID", AsOfDate-D250, 0)</f>
        <v/>
      </c>
      <c r="J250">
        <f>IF(F250&lt;&gt;"", TEXT(F250, "yyyy-mm"), "")</f>
        <v/>
      </c>
    </row>
    <row r="251">
      <c r="A251" t="inlineStr">
        <is>
          <t>RP0000250</t>
        </is>
      </c>
      <c r="B251" t="inlineStr">
        <is>
          <t>LN200035</t>
        </is>
      </c>
      <c r="C251" t="n">
        <v>13</v>
      </c>
      <c r="D251" s="8" t="n">
        <v>46067</v>
      </c>
      <c r="E251" s="9" t="n">
        <v>3434.67</v>
      </c>
      <c r="F251" s="8" t="n">
        <v>46068</v>
      </c>
      <c r="G251" s="9" t="n">
        <v>3434.67</v>
      </c>
      <c r="H251" t="inlineStr">
        <is>
          <t>PAID_ON_TIME</t>
        </is>
      </c>
      <c r="I251">
        <f>IF(H251="UNPAID", AsOfDate-D251, 0)</f>
        <v/>
      </c>
      <c r="J251">
        <f>IF(F251&lt;&gt;"", TEXT(F251, "yyyy-mm"), "")</f>
        <v/>
      </c>
    </row>
    <row r="252">
      <c r="A252" t="inlineStr">
        <is>
          <t>RP0000251</t>
        </is>
      </c>
      <c r="B252" t="inlineStr">
        <is>
          <t>LN200035</t>
        </is>
      </c>
      <c r="C252" t="n">
        <v>14</v>
      </c>
      <c r="D252" s="8" t="n">
        <v>46095</v>
      </c>
      <c r="E252" s="9" t="n">
        <v>3434.67</v>
      </c>
      <c r="F252" s="8" t="n">
        <v>46093</v>
      </c>
      <c r="G252" s="9" t="n">
        <v>3434.67</v>
      </c>
      <c r="H252" t="inlineStr">
        <is>
          <t>PAID_ON_TIME</t>
        </is>
      </c>
      <c r="I252">
        <f>IF(H252="UNPAID", AsOfDate-D252, 0)</f>
        <v/>
      </c>
      <c r="J252">
        <f>IF(F252&lt;&gt;"", TEXT(F252, "yyyy-mm"), "")</f>
        <v/>
      </c>
    </row>
    <row r="253">
      <c r="A253" t="inlineStr">
        <is>
          <t>RP0000252</t>
        </is>
      </c>
      <c r="B253" t="inlineStr">
        <is>
          <t>LN200035</t>
        </is>
      </c>
      <c r="C253" t="n">
        <v>15</v>
      </c>
      <c r="D253" s="8" t="n">
        <v>46126</v>
      </c>
      <c r="E253" s="9" t="n">
        <v>3434.67</v>
      </c>
      <c r="F253" s="8" t="n">
        <v>46209</v>
      </c>
      <c r="G253" s="9" t="n">
        <v>3434.67</v>
      </c>
      <c r="H253" t="inlineStr">
        <is>
          <t>PAID_LATE</t>
        </is>
      </c>
      <c r="I253">
        <f>IF(H253="UNPAID", AsOfDate-D253, 0)</f>
        <v/>
      </c>
      <c r="J253">
        <f>IF(F253&lt;&gt;"", TEXT(F253, "yyyy-mm"), "")</f>
        <v/>
      </c>
    </row>
    <row r="254">
      <c r="A254" t="inlineStr">
        <is>
          <t>RP0000253</t>
        </is>
      </c>
      <c r="B254" t="inlineStr">
        <is>
          <t>LN200035</t>
        </is>
      </c>
      <c r="C254" t="n">
        <v>16</v>
      </c>
      <c r="D254" s="8" t="n">
        <v>46156</v>
      </c>
      <c r="E254" s="9" t="n">
        <v>3434.67</v>
      </c>
      <c r="F254" s="8" t="n">
        <v>46153</v>
      </c>
      <c r="G254" s="9" t="n">
        <v>3434.67</v>
      </c>
      <c r="H254" t="inlineStr">
        <is>
          <t>PAID_ON_TIME</t>
        </is>
      </c>
      <c r="I254">
        <f>IF(H254="UNPAID", AsOfDate-D254, 0)</f>
        <v/>
      </c>
      <c r="J254">
        <f>IF(F254&lt;&gt;"", TEXT(F254, "yyyy-mm"), "")</f>
        <v/>
      </c>
    </row>
    <row r="255">
      <c r="A255" t="inlineStr">
        <is>
          <t>RP0000254</t>
        </is>
      </c>
      <c r="B255" t="inlineStr">
        <is>
          <t>LN200035</t>
        </is>
      </c>
      <c r="C255" t="n">
        <v>17</v>
      </c>
      <c r="D255" s="8" t="n">
        <v>46187</v>
      </c>
      <c r="E255" s="9" t="n">
        <v>3434.67</v>
      </c>
      <c r="F255" s="8" t="n"/>
      <c r="G255" s="9" t="n">
        <v>0</v>
      </c>
      <c r="H255" t="inlineStr">
        <is>
          <t>UNPAID</t>
        </is>
      </c>
      <c r="I255">
        <f>IF(H255="UNPAID", AsOfDate-D255, 0)</f>
        <v/>
      </c>
      <c r="J255">
        <f>IF(F255&lt;&gt;"", TEXT(F255, "yyyy-mm"), "")</f>
        <v/>
      </c>
    </row>
    <row r="256">
      <c r="A256" t="inlineStr">
        <is>
          <t>RP0000255</t>
        </is>
      </c>
      <c r="B256" t="inlineStr">
        <is>
          <t>LN200035</t>
        </is>
      </c>
      <c r="C256" t="n">
        <v>18</v>
      </c>
      <c r="D256" s="8" t="n">
        <v>46217</v>
      </c>
      <c r="E256" s="9" t="n">
        <v>3434.67</v>
      </c>
      <c r="F256" s="8" t="n">
        <v>46214</v>
      </c>
      <c r="G256" s="9" t="n">
        <v>3434.67</v>
      </c>
      <c r="H256" t="inlineStr">
        <is>
          <t>PAID_ON_TIME</t>
        </is>
      </c>
      <c r="I256">
        <f>IF(H256="UNPAID", AsOfDate-D256, 0)</f>
        <v/>
      </c>
      <c r="J256">
        <f>IF(F256&lt;&gt;"", TEXT(F256, "yyyy-mm"), "")</f>
        <v/>
      </c>
    </row>
    <row r="257">
      <c r="A257" t="inlineStr">
        <is>
          <t>RP0000256</t>
        </is>
      </c>
      <c r="B257" t="inlineStr">
        <is>
          <t>LN200036</t>
        </is>
      </c>
      <c r="C257" t="n">
        <v>1</v>
      </c>
      <c r="D257" s="8" t="n">
        <v>46135</v>
      </c>
      <c r="E257" s="9" t="n">
        <v>9831.440000000001</v>
      </c>
      <c r="F257" s="8" t="n">
        <v>46139</v>
      </c>
      <c r="G257" s="9" t="n">
        <v>9831.440000000001</v>
      </c>
      <c r="H257" t="inlineStr">
        <is>
          <t>PAID_ON_TIME</t>
        </is>
      </c>
      <c r="I257">
        <f>IF(H257="UNPAID", AsOfDate-D257, 0)</f>
        <v/>
      </c>
      <c r="J257">
        <f>IF(F257&lt;&gt;"", TEXT(F257, "yyyy-mm"), "")</f>
        <v/>
      </c>
    </row>
    <row r="258">
      <c r="A258" t="inlineStr">
        <is>
          <t>RP0000257</t>
        </is>
      </c>
      <c r="B258" t="inlineStr">
        <is>
          <t>LN200036</t>
        </is>
      </c>
      <c r="C258" t="n">
        <v>2</v>
      </c>
      <c r="D258" s="8" t="n">
        <v>46165</v>
      </c>
      <c r="E258" s="9" t="n">
        <v>9831.440000000001</v>
      </c>
      <c r="F258" s="8" t="n">
        <v>46167</v>
      </c>
      <c r="G258" s="9" t="n">
        <v>9831.440000000001</v>
      </c>
      <c r="H258" t="inlineStr">
        <is>
          <t>PAID_ON_TIME</t>
        </is>
      </c>
      <c r="I258">
        <f>IF(H258="UNPAID", AsOfDate-D258, 0)</f>
        <v/>
      </c>
      <c r="J258">
        <f>IF(F258&lt;&gt;"", TEXT(F258, "yyyy-mm"), "")</f>
        <v/>
      </c>
    </row>
    <row r="259">
      <c r="A259" t="inlineStr">
        <is>
          <t>RP0000258</t>
        </is>
      </c>
      <c r="B259" t="inlineStr">
        <is>
          <t>LN200036</t>
        </is>
      </c>
      <c r="C259" t="n">
        <v>3</v>
      </c>
      <c r="D259" s="8" t="n">
        <v>46196</v>
      </c>
      <c r="E259" s="9" t="n">
        <v>9831.440000000001</v>
      </c>
      <c r="F259" s="8" t="n">
        <v>46243</v>
      </c>
      <c r="G259" s="9" t="n">
        <v>9831.440000000001</v>
      </c>
      <c r="H259" t="inlineStr">
        <is>
          <t>PAID_LATE</t>
        </is>
      </c>
      <c r="I259">
        <f>IF(H259="UNPAID", AsOfDate-D259, 0)</f>
        <v/>
      </c>
      <c r="J259">
        <f>IF(F259&lt;&gt;"", TEXT(F259, "yyyy-mm"), "")</f>
        <v/>
      </c>
    </row>
    <row r="260">
      <c r="A260" t="inlineStr">
        <is>
          <t>RP0000259</t>
        </is>
      </c>
      <c r="B260" t="inlineStr">
        <is>
          <t>LN200036</t>
        </is>
      </c>
      <c r="C260" t="n">
        <v>4</v>
      </c>
      <c r="D260" s="8" t="n">
        <v>46226</v>
      </c>
      <c r="E260" s="9" t="n">
        <v>9831.440000000001</v>
      </c>
      <c r="F260" s="8" t="n">
        <v>46224</v>
      </c>
      <c r="G260" s="9" t="n">
        <v>9831.440000000001</v>
      </c>
      <c r="H260" t="inlineStr">
        <is>
          <t>PAID_ON_TIME</t>
        </is>
      </c>
      <c r="I260">
        <f>IF(H260="UNPAID", AsOfDate-D260, 0)</f>
        <v/>
      </c>
      <c r="J260">
        <f>IF(F260&lt;&gt;"", TEXT(F260, "yyyy-mm"), "")</f>
        <v/>
      </c>
    </row>
    <row r="261">
      <c r="A261" t="inlineStr">
        <is>
          <t>RP0000260</t>
        </is>
      </c>
      <c r="B261" t="inlineStr">
        <is>
          <t>LN200036</t>
        </is>
      </c>
      <c r="C261" t="n">
        <v>5</v>
      </c>
      <c r="D261" s="8" t="n">
        <v>46257</v>
      </c>
      <c r="E261" s="9" t="n">
        <v>9831.440000000001</v>
      </c>
      <c r="F261" s="8" t="n">
        <v>46261</v>
      </c>
      <c r="G261" s="9" t="n">
        <v>9831.440000000001</v>
      </c>
      <c r="H261" t="inlineStr">
        <is>
          <t>PAID_ON_TIME</t>
        </is>
      </c>
      <c r="I261">
        <f>IF(H261="UNPAID", AsOfDate-D261, 0)</f>
        <v/>
      </c>
      <c r="J261">
        <f>IF(F261&lt;&gt;"", TEXT(F261, "yyyy-mm"), "")</f>
        <v/>
      </c>
    </row>
    <row r="262">
      <c r="A262" t="inlineStr">
        <is>
          <t>RP0000261</t>
        </is>
      </c>
      <c r="B262" t="inlineStr">
        <is>
          <t>LN200036</t>
        </is>
      </c>
      <c r="C262" t="n">
        <v>6</v>
      </c>
      <c r="D262" s="8" t="n">
        <v>46288</v>
      </c>
      <c r="E262" s="9" t="n">
        <v>9831.440000000001</v>
      </c>
      <c r="F262" s="8" t="n"/>
      <c r="G262" s="9" t="n">
        <v>0</v>
      </c>
      <c r="H262" t="inlineStr">
        <is>
          <t>NOT_DUE</t>
        </is>
      </c>
      <c r="I262">
        <f>IF(H262="UNPAID", AsOfDate-D262, 0)</f>
        <v/>
      </c>
      <c r="J262">
        <f>IF(F262&lt;&gt;"", TEXT(F262, "yyyy-mm"), "")</f>
        <v/>
      </c>
    </row>
    <row r="263">
      <c r="A263" t="inlineStr">
        <is>
          <t>RP0000262</t>
        </is>
      </c>
      <c r="B263" t="inlineStr">
        <is>
          <t>LN200036</t>
        </is>
      </c>
      <c r="C263" t="n">
        <v>7</v>
      </c>
      <c r="D263" s="8" t="n">
        <v>46318</v>
      </c>
      <c r="E263" s="9" t="n">
        <v>9831.440000000001</v>
      </c>
      <c r="F263" s="8" t="n"/>
      <c r="G263" s="9" t="n">
        <v>0</v>
      </c>
      <c r="H263" t="inlineStr">
        <is>
          <t>NOT_DUE</t>
        </is>
      </c>
      <c r="I263">
        <f>IF(H263="UNPAID", AsOfDate-D263, 0)</f>
        <v/>
      </c>
      <c r="J263">
        <f>IF(F263&lt;&gt;"", TEXT(F263, "yyyy-mm"), "")</f>
        <v/>
      </c>
    </row>
    <row r="264">
      <c r="A264" t="inlineStr">
        <is>
          <t>RP0000263</t>
        </is>
      </c>
      <c r="B264" t="inlineStr">
        <is>
          <t>LN200036</t>
        </is>
      </c>
      <c r="C264" t="n">
        <v>8</v>
      </c>
      <c r="D264" s="8" t="n">
        <v>46349</v>
      </c>
      <c r="E264" s="9" t="n">
        <v>9831.440000000001</v>
      </c>
      <c r="F264" s="8" t="n"/>
      <c r="G264" s="9" t="n">
        <v>0</v>
      </c>
      <c r="H264" t="inlineStr">
        <is>
          <t>NOT_DUE</t>
        </is>
      </c>
      <c r="I264">
        <f>IF(H264="UNPAID", AsOfDate-D264, 0)</f>
        <v/>
      </c>
      <c r="J264">
        <f>IF(F264&lt;&gt;"", TEXT(F264, "yyyy-mm"), "")</f>
        <v/>
      </c>
    </row>
    <row r="265">
      <c r="A265" t="inlineStr">
        <is>
          <t>RP0000264</t>
        </is>
      </c>
      <c r="B265" t="inlineStr">
        <is>
          <t>LN200036</t>
        </is>
      </c>
      <c r="C265" t="n">
        <v>9</v>
      </c>
      <c r="D265" s="8" t="n">
        <v>46379</v>
      </c>
      <c r="E265" s="9" t="n">
        <v>9831.440000000001</v>
      </c>
      <c r="F265" s="8" t="n"/>
      <c r="G265" s="9" t="n">
        <v>0</v>
      </c>
      <c r="H265" t="inlineStr">
        <is>
          <t>NOT_DUE</t>
        </is>
      </c>
      <c r="I265">
        <f>IF(H265="UNPAID", AsOfDate-D265, 0)</f>
        <v/>
      </c>
      <c r="J265">
        <f>IF(F265&lt;&gt;"", TEXT(F265, "yyyy-mm"), "")</f>
        <v/>
      </c>
    </row>
    <row r="266">
      <c r="A266" t="inlineStr">
        <is>
          <t>RP0000265</t>
        </is>
      </c>
      <c r="B266" t="inlineStr">
        <is>
          <t>LN200037</t>
        </is>
      </c>
      <c r="C266" t="n">
        <v>1</v>
      </c>
      <c r="D266" s="8" t="n">
        <v>45815</v>
      </c>
      <c r="E266" s="9" t="n">
        <v>41644.17</v>
      </c>
      <c r="F266" s="8" t="n">
        <v>45819</v>
      </c>
      <c r="G266" s="9" t="n">
        <v>41644.17</v>
      </c>
      <c r="H266" t="inlineStr">
        <is>
          <t>PAID_ON_TIME</t>
        </is>
      </c>
      <c r="I266">
        <f>IF(H266="UNPAID", AsOfDate-D266, 0)</f>
        <v/>
      </c>
      <c r="J266">
        <f>IF(F266&lt;&gt;"", TEXT(F266, "yyyy-mm"), "")</f>
        <v/>
      </c>
    </row>
    <row r="267">
      <c r="A267" t="inlineStr">
        <is>
          <t>RP0000266</t>
        </is>
      </c>
      <c r="B267" t="inlineStr">
        <is>
          <t>LN200037</t>
        </is>
      </c>
      <c r="C267" t="n">
        <v>2</v>
      </c>
      <c r="D267" s="8" t="n">
        <v>45845</v>
      </c>
      <c r="E267" s="9" t="n">
        <v>41644.17</v>
      </c>
      <c r="F267" s="8" t="n">
        <v>45847</v>
      </c>
      <c r="G267" s="9" t="n">
        <v>41644.17</v>
      </c>
      <c r="H267" t="inlineStr">
        <is>
          <t>PAID_ON_TIME</t>
        </is>
      </c>
      <c r="I267">
        <f>IF(H267="UNPAID", AsOfDate-D267, 0)</f>
        <v/>
      </c>
      <c r="J267">
        <f>IF(F267&lt;&gt;"", TEXT(F267, "yyyy-mm"), "")</f>
        <v/>
      </c>
    </row>
    <row r="268">
      <c r="A268" t="inlineStr">
        <is>
          <t>RP0000267</t>
        </is>
      </c>
      <c r="B268" t="inlineStr">
        <is>
          <t>LN200037</t>
        </is>
      </c>
      <c r="C268" t="n">
        <v>3</v>
      </c>
      <c r="D268" s="8" t="n">
        <v>45876</v>
      </c>
      <c r="E268" s="9" t="n">
        <v>41644.17</v>
      </c>
      <c r="F268" s="8" t="n">
        <v>45878</v>
      </c>
      <c r="G268" s="9" t="n">
        <v>41644.17</v>
      </c>
      <c r="H268" t="inlineStr">
        <is>
          <t>PAID_ON_TIME</t>
        </is>
      </c>
      <c r="I268">
        <f>IF(H268="UNPAID", AsOfDate-D268, 0)</f>
        <v/>
      </c>
      <c r="J268">
        <f>IF(F268&lt;&gt;"", TEXT(F268, "yyyy-mm"), "")</f>
        <v/>
      </c>
    </row>
    <row r="269">
      <c r="A269" t="inlineStr">
        <is>
          <t>RP0000268</t>
        </is>
      </c>
      <c r="B269" t="inlineStr">
        <is>
          <t>LN200038</t>
        </is>
      </c>
      <c r="C269" t="n">
        <v>1</v>
      </c>
      <c r="D269" s="8" t="n">
        <v>46011</v>
      </c>
      <c r="E269" s="9" t="n">
        <v>25930.67</v>
      </c>
      <c r="F269" s="8" t="n">
        <v>46013</v>
      </c>
      <c r="G269" s="9" t="n">
        <v>25930.67</v>
      </c>
      <c r="H269" t="inlineStr">
        <is>
          <t>PAID_ON_TIME</t>
        </is>
      </c>
      <c r="I269">
        <f>IF(H269="UNPAID", AsOfDate-D269, 0)</f>
        <v/>
      </c>
      <c r="J269">
        <f>IF(F269&lt;&gt;"", TEXT(F269, "yyyy-mm"), "")</f>
        <v/>
      </c>
    </row>
    <row r="270">
      <c r="A270" t="inlineStr">
        <is>
          <t>RP0000269</t>
        </is>
      </c>
      <c r="B270" t="inlineStr">
        <is>
          <t>LN200038</t>
        </is>
      </c>
      <c r="C270" t="n">
        <v>2</v>
      </c>
      <c r="D270" s="8" t="n">
        <v>46042</v>
      </c>
      <c r="E270" s="9" t="n">
        <v>25930.67</v>
      </c>
      <c r="F270" s="8" t="n">
        <v>46043</v>
      </c>
      <c r="G270" s="9" t="n">
        <v>25930.67</v>
      </c>
      <c r="H270" t="inlineStr">
        <is>
          <t>PAID_ON_TIME</t>
        </is>
      </c>
      <c r="I270">
        <f>IF(H270="UNPAID", AsOfDate-D270, 0)</f>
        <v/>
      </c>
      <c r="J270">
        <f>IF(F270&lt;&gt;"", TEXT(F270, "yyyy-mm"), "")</f>
        <v/>
      </c>
    </row>
    <row r="271">
      <c r="A271" t="inlineStr">
        <is>
          <t>RP0000270</t>
        </is>
      </c>
      <c r="B271" t="inlineStr">
        <is>
          <t>LN200038</t>
        </is>
      </c>
      <c r="C271" t="n">
        <v>3</v>
      </c>
      <c r="D271" s="8" t="n">
        <v>46073</v>
      </c>
      <c r="E271" s="9" t="n">
        <v>25930.67</v>
      </c>
      <c r="F271" s="8" t="n">
        <v>46156</v>
      </c>
      <c r="G271" s="9" t="n">
        <v>25930.67</v>
      </c>
      <c r="H271" t="inlineStr">
        <is>
          <t>PAID_LATE</t>
        </is>
      </c>
      <c r="I271">
        <f>IF(H271="UNPAID", AsOfDate-D271, 0)</f>
        <v/>
      </c>
      <c r="J271">
        <f>IF(F271&lt;&gt;"", TEXT(F271, "yyyy-mm"), "")</f>
        <v/>
      </c>
    </row>
    <row r="272">
      <c r="A272" t="inlineStr">
        <is>
          <t>RP0000271</t>
        </is>
      </c>
      <c r="B272" t="inlineStr">
        <is>
          <t>LN200038</t>
        </is>
      </c>
      <c r="C272" t="n">
        <v>4</v>
      </c>
      <c r="D272" s="8" t="n">
        <v>46101</v>
      </c>
      <c r="E272" s="9" t="n">
        <v>25930.67</v>
      </c>
      <c r="F272" s="8" t="n">
        <v>46104</v>
      </c>
      <c r="G272" s="9" t="n">
        <v>25930.67</v>
      </c>
      <c r="H272" t="inlineStr">
        <is>
          <t>PAID_ON_TIME</t>
        </is>
      </c>
      <c r="I272">
        <f>IF(H272="UNPAID", AsOfDate-D272, 0)</f>
        <v/>
      </c>
      <c r="J272">
        <f>IF(F272&lt;&gt;"", TEXT(F272, "yyyy-mm"), "")</f>
        <v/>
      </c>
    </row>
    <row r="273">
      <c r="A273" t="inlineStr">
        <is>
          <t>RP0000272</t>
        </is>
      </c>
      <c r="B273" t="inlineStr">
        <is>
          <t>LN200038</t>
        </is>
      </c>
      <c r="C273" t="n">
        <v>5</v>
      </c>
      <c r="D273" s="8" t="n">
        <v>46132</v>
      </c>
      <c r="E273" s="9" t="n">
        <v>25930.67</v>
      </c>
      <c r="F273" s="8" t="n">
        <v>46130</v>
      </c>
      <c r="G273" s="9" t="n">
        <v>25930.67</v>
      </c>
      <c r="H273" t="inlineStr">
        <is>
          <t>PAID_ON_TIME</t>
        </is>
      </c>
      <c r="I273">
        <f>IF(H273="UNPAID", AsOfDate-D273, 0)</f>
        <v/>
      </c>
      <c r="J273">
        <f>IF(F273&lt;&gt;"", TEXT(F273, "yyyy-mm"), "")</f>
        <v/>
      </c>
    </row>
    <row r="274">
      <c r="A274" t="inlineStr">
        <is>
          <t>RP0000273</t>
        </is>
      </c>
      <c r="B274" t="inlineStr">
        <is>
          <t>LN200038</t>
        </is>
      </c>
      <c r="C274" t="n">
        <v>6</v>
      </c>
      <c r="D274" s="8" t="n">
        <v>46162</v>
      </c>
      <c r="E274" s="9" t="n">
        <v>25930.67</v>
      </c>
      <c r="F274" s="8" t="n">
        <v>46161</v>
      </c>
      <c r="G274" s="9" t="n">
        <v>25930.67</v>
      </c>
      <c r="H274" t="inlineStr">
        <is>
          <t>PAID_ON_TIME</t>
        </is>
      </c>
      <c r="I274">
        <f>IF(H274="UNPAID", AsOfDate-D274, 0)</f>
        <v/>
      </c>
      <c r="J274">
        <f>IF(F274&lt;&gt;"", TEXT(F274, "yyyy-mm"), "")</f>
        <v/>
      </c>
    </row>
    <row r="275">
      <c r="A275" t="inlineStr">
        <is>
          <t>RP0000274</t>
        </is>
      </c>
      <c r="B275" t="inlineStr">
        <is>
          <t>LN200039</t>
        </is>
      </c>
      <c r="C275" t="n">
        <v>1</v>
      </c>
      <c r="D275" s="8" t="n">
        <v>45866</v>
      </c>
      <c r="E275" s="9" t="n">
        <v>9851.719999999999</v>
      </c>
      <c r="F275" s="8" t="n">
        <v>45867</v>
      </c>
      <c r="G275" s="9" t="n">
        <v>9851.719999999999</v>
      </c>
      <c r="H275" t="inlineStr">
        <is>
          <t>PAID_ON_TIME</t>
        </is>
      </c>
      <c r="I275">
        <f>IF(H275="UNPAID", AsOfDate-D275, 0)</f>
        <v/>
      </c>
      <c r="J275">
        <f>IF(F275&lt;&gt;"", TEXT(F275, "yyyy-mm"), "")</f>
        <v/>
      </c>
    </row>
    <row r="276">
      <c r="A276" t="inlineStr">
        <is>
          <t>RP0000275</t>
        </is>
      </c>
      <c r="B276" t="inlineStr">
        <is>
          <t>LN200039</t>
        </is>
      </c>
      <c r="C276" t="n">
        <v>2</v>
      </c>
      <c r="D276" s="8" t="n">
        <v>45897</v>
      </c>
      <c r="E276" s="9" t="n">
        <v>9851.719999999999</v>
      </c>
      <c r="F276" s="8" t="n">
        <v>45895</v>
      </c>
      <c r="G276" s="9" t="n">
        <v>9851.719999999999</v>
      </c>
      <c r="H276" t="inlineStr">
        <is>
          <t>PAID_ON_TIME</t>
        </is>
      </c>
      <c r="I276">
        <f>IF(H276="UNPAID", AsOfDate-D276, 0)</f>
        <v/>
      </c>
      <c r="J276">
        <f>IF(F276&lt;&gt;"", TEXT(F276, "yyyy-mm"), "")</f>
        <v/>
      </c>
    </row>
    <row r="277">
      <c r="A277" t="inlineStr">
        <is>
          <t>RP0000276</t>
        </is>
      </c>
      <c r="B277" t="inlineStr">
        <is>
          <t>LN200039</t>
        </is>
      </c>
      <c r="C277" t="n">
        <v>3</v>
      </c>
      <c r="D277" s="8" t="n">
        <v>45928</v>
      </c>
      <c r="E277" s="9" t="n">
        <v>9851.719999999999</v>
      </c>
      <c r="F277" s="8" t="n">
        <v>45926</v>
      </c>
      <c r="G277" s="9" t="n">
        <v>9851.719999999999</v>
      </c>
      <c r="H277" t="inlineStr">
        <is>
          <t>PAID_ON_TIME</t>
        </is>
      </c>
      <c r="I277">
        <f>IF(H277="UNPAID", AsOfDate-D277, 0)</f>
        <v/>
      </c>
      <c r="J277">
        <f>IF(F277&lt;&gt;"", TEXT(F277, "yyyy-mm"), "")</f>
        <v/>
      </c>
    </row>
    <row r="278">
      <c r="A278" t="inlineStr">
        <is>
          <t>RP0000277</t>
        </is>
      </c>
      <c r="B278" t="inlineStr">
        <is>
          <t>LN200039</t>
        </is>
      </c>
      <c r="C278" t="n">
        <v>4</v>
      </c>
      <c r="D278" s="8" t="n">
        <v>45958</v>
      </c>
      <c r="E278" s="9" t="n">
        <v>9851.719999999999</v>
      </c>
      <c r="F278" s="8" t="n">
        <v>45956</v>
      </c>
      <c r="G278" s="9" t="n">
        <v>9851.719999999999</v>
      </c>
      <c r="H278" t="inlineStr">
        <is>
          <t>PAID_ON_TIME</t>
        </is>
      </c>
      <c r="I278">
        <f>IF(H278="UNPAID", AsOfDate-D278, 0)</f>
        <v/>
      </c>
      <c r="J278">
        <f>IF(F278&lt;&gt;"", TEXT(F278, "yyyy-mm"), "")</f>
        <v/>
      </c>
    </row>
    <row r="279">
      <c r="A279" t="inlineStr">
        <is>
          <t>RP0000278</t>
        </is>
      </c>
      <c r="B279" t="inlineStr">
        <is>
          <t>LN200039</t>
        </is>
      </c>
      <c r="C279" t="n">
        <v>5</v>
      </c>
      <c r="D279" s="8" t="n">
        <v>45989</v>
      </c>
      <c r="E279" s="9" t="n">
        <v>9851.719999999999</v>
      </c>
      <c r="F279" s="8" t="n">
        <v>45990</v>
      </c>
      <c r="G279" s="9" t="n">
        <v>9851.719999999999</v>
      </c>
      <c r="H279" t="inlineStr">
        <is>
          <t>PAID_ON_TIME</t>
        </is>
      </c>
      <c r="I279">
        <f>IF(H279="UNPAID", AsOfDate-D279, 0)</f>
        <v/>
      </c>
      <c r="J279">
        <f>IF(F279&lt;&gt;"", TEXT(F279, "yyyy-mm"), "")</f>
        <v/>
      </c>
    </row>
    <row r="280">
      <c r="A280" t="inlineStr">
        <is>
          <t>RP0000279</t>
        </is>
      </c>
      <c r="B280" t="inlineStr">
        <is>
          <t>LN200039</t>
        </is>
      </c>
      <c r="C280" t="n">
        <v>6</v>
      </c>
      <c r="D280" s="8" t="n">
        <v>46019</v>
      </c>
      <c r="E280" s="9" t="n">
        <v>9851.719999999999</v>
      </c>
      <c r="F280" s="8" t="n">
        <v>46019</v>
      </c>
      <c r="G280" s="9" t="n">
        <v>9851.719999999999</v>
      </c>
      <c r="H280" t="inlineStr">
        <is>
          <t>PAID_ON_TIME</t>
        </is>
      </c>
      <c r="I280">
        <f>IF(H280="UNPAID", AsOfDate-D280, 0)</f>
        <v/>
      </c>
      <c r="J280">
        <f>IF(F280&lt;&gt;"", TEXT(F280, "yyyy-mm"), "")</f>
        <v/>
      </c>
    </row>
    <row r="281">
      <c r="A281" t="inlineStr">
        <is>
          <t>RP0000280</t>
        </is>
      </c>
      <c r="B281" t="inlineStr">
        <is>
          <t>LN200039</t>
        </is>
      </c>
      <c r="C281" t="n">
        <v>7</v>
      </c>
      <c r="D281" s="8" t="n">
        <v>46050</v>
      </c>
      <c r="E281" s="9" t="n">
        <v>9851.719999999999</v>
      </c>
      <c r="F281" s="8" t="n">
        <v>46053</v>
      </c>
      <c r="G281" s="9" t="n">
        <v>9851.719999999999</v>
      </c>
      <c r="H281" t="inlineStr">
        <is>
          <t>PAID_ON_TIME</t>
        </is>
      </c>
      <c r="I281">
        <f>IF(H281="UNPAID", AsOfDate-D281, 0)</f>
        <v/>
      </c>
      <c r="J281">
        <f>IF(F281&lt;&gt;"", TEXT(F281, "yyyy-mm"), "")</f>
        <v/>
      </c>
    </row>
    <row r="282">
      <c r="A282" t="inlineStr">
        <is>
          <t>RP0000281</t>
        </is>
      </c>
      <c r="B282" t="inlineStr">
        <is>
          <t>LN200039</t>
        </is>
      </c>
      <c r="C282" t="n">
        <v>8</v>
      </c>
      <c r="D282" s="8" t="n">
        <v>46081</v>
      </c>
      <c r="E282" s="9" t="n">
        <v>9851.719999999999</v>
      </c>
      <c r="F282" s="8" t="n">
        <v>46081</v>
      </c>
      <c r="G282" s="9" t="n">
        <v>9851.719999999999</v>
      </c>
      <c r="H282" t="inlineStr">
        <is>
          <t>PAID_ON_TIME</t>
        </is>
      </c>
      <c r="I282">
        <f>IF(H282="UNPAID", AsOfDate-D282, 0)</f>
        <v/>
      </c>
      <c r="J282">
        <f>IF(F282&lt;&gt;"", TEXT(F282, "yyyy-mm"), "")</f>
        <v/>
      </c>
    </row>
    <row r="283">
      <c r="A283" t="inlineStr">
        <is>
          <t>RP0000282</t>
        </is>
      </c>
      <c r="B283" t="inlineStr">
        <is>
          <t>LN200039</t>
        </is>
      </c>
      <c r="C283" t="n">
        <v>9</v>
      </c>
      <c r="D283" s="8" t="n">
        <v>46109</v>
      </c>
      <c r="E283" s="9" t="n">
        <v>9851.719999999999</v>
      </c>
      <c r="F283" s="8" t="n">
        <v>46110</v>
      </c>
      <c r="G283" s="9" t="n">
        <v>9851.719999999999</v>
      </c>
      <c r="H283" t="inlineStr">
        <is>
          <t>PAID_ON_TIME</t>
        </is>
      </c>
      <c r="I283">
        <f>IF(H283="UNPAID", AsOfDate-D283, 0)</f>
        <v/>
      </c>
      <c r="J283">
        <f>IF(F283&lt;&gt;"", TEXT(F283, "yyyy-mm"), "")</f>
        <v/>
      </c>
    </row>
    <row r="284">
      <c r="A284" t="inlineStr">
        <is>
          <t>RP0000283</t>
        </is>
      </c>
      <c r="B284" t="inlineStr">
        <is>
          <t>LN200040</t>
        </is>
      </c>
      <c r="C284" t="n">
        <v>1</v>
      </c>
      <c r="D284" s="8" t="n">
        <v>46114</v>
      </c>
      <c r="E284" s="9" t="n">
        <v>6752.78</v>
      </c>
      <c r="F284" s="8" t="n">
        <v>46112</v>
      </c>
      <c r="G284" s="9" t="n">
        <v>6752.78</v>
      </c>
      <c r="H284" t="inlineStr">
        <is>
          <t>PAID_ON_TIME</t>
        </is>
      </c>
      <c r="I284">
        <f>IF(H284="UNPAID", AsOfDate-D284, 0)</f>
        <v/>
      </c>
      <c r="J284">
        <f>IF(F284&lt;&gt;"", TEXT(F284, "yyyy-mm"), "")</f>
        <v/>
      </c>
    </row>
    <row r="285">
      <c r="A285" t="inlineStr">
        <is>
          <t>RP0000284</t>
        </is>
      </c>
      <c r="B285" t="inlineStr">
        <is>
          <t>LN200040</t>
        </is>
      </c>
      <c r="C285" t="n">
        <v>2</v>
      </c>
      <c r="D285" s="8" t="n">
        <v>46144</v>
      </c>
      <c r="E285" s="9" t="n">
        <v>6752.78</v>
      </c>
      <c r="F285" s="8" t="n">
        <v>46144</v>
      </c>
      <c r="G285" s="9" t="n">
        <v>6752.78</v>
      </c>
      <c r="H285" t="inlineStr">
        <is>
          <t>PAID_ON_TIME</t>
        </is>
      </c>
      <c r="I285">
        <f>IF(H285="UNPAID", AsOfDate-D285, 0)</f>
        <v/>
      </c>
      <c r="J285">
        <f>IF(F285&lt;&gt;"", TEXT(F285, "yyyy-mm"), "")</f>
        <v/>
      </c>
    </row>
    <row r="286">
      <c r="A286" t="inlineStr">
        <is>
          <t>RP0000285</t>
        </is>
      </c>
      <c r="B286" t="inlineStr">
        <is>
          <t>LN200040</t>
        </is>
      </c>
      <c r="C286" t="n">
        <v>3</v>
      </c>
      <c r="D286" s="8" t="n">
        <v>46175</v>
      </c>
      <c r="E286" s="9" t="n">
        <v>6752.78</v>
      </c>
      <c r="F286" s="8" t="n">
        <v>46173</v>
      </c>
      <c r="G286" s="9" t="n">
        <v>6752.78</v>
      </c>
      <c r="H286" t="inlineStr">
        <is>
          <t>PAID_ON_TIME</t>
        </is>
      </c>
      <c r="I286">
        <f>IF(H286="UNPAID", AsOfDate-D286, 0)</f>
        <v/>
      </c>
      <c r="J286">
        <f>IF(F286&lt;&gt;"", TEXT(F286, "yyyy-mm"), "")</f>
        <v/>
      </c>
    </row>
    <row r="287">
      <c r="A287" t="inlineStr">
        <is>
          <t>RP0000286</t>
        </is>
      </c>
      <c r="B287" t="inlineStr">
        <is>
          <t>LN200040</t>
        </is>
      </c>
      <c r="C287" t="n">
        <v>4</v>
      </c>
      <c r="D287" s="8" t="n">
        <v>46205</v>
      </c>
      <c r="E287" s="9" t="n">
        <v>6752.78</v>
      </c>
      <c r="F287" s="8" t="n">
        <v>46203</v>
      </c>
      <c r="G287" s="9" t="n">
        <v>6752.78</v>
      </c>
      <c r="H287" t="inlineStr">
        <is>
          <t>PAID_ON_TIME</t>
        </is>
      </c>
      <c r="I287">
        <f>IF(H287="UNPAID", AsOfDate-D287, 0)</f>
        <v/>
      </c>
      <c r="J287">
        <f>IF(F287&lt;&gt;"", TEXT(F287, "yyyy-mm"), "")</f>
        <v/>
      </c>
    </row>
    <row r="288">
      <c r="A288" t="inlineStr">
        <is>
          <t>RP0000287</t>
        </is>
      </c>
      <c r="B288" t="inlineStr">
        <is>
          <t>LN200040</t>
        </is>
      </c>
      <c r="C288" t="n">
        <v>5</v>
      </c>
      <c r="D288" s="8" t="n">
        <v>46236</v>
      </c>
      <c r="E288" s="9" t="n">
        <v>6752.78</v>
      </c>
      <c r="F288" s="8" t="n"/>
      <c r="G288" s="9" t="n">
        <v>0</v>
      </c>
      <c r="H288" t="inlineStr">
        <is>
          <t>UNPAID</t>
        </is>
      </c>
      <c r="I288">
        <f>IF(H288="UNPAID", AsOfDate-D288, 0)</f>
        <v/>
      </c>
      <c r="J288">
        <f>IF(F288&lt;&gt;"", TEXT(F288, "yyyy-mm"), "")</f>
        <v/>
      </c>
    </row>
    <row r="289">
      <c r="A289" t="inlineStr">
        <is>
          <t>RP0000288</t>
        </is>
      </c>
      <c r="B289" t="inlineStr">
        <is>
          <t>LN200040</t>
        </is>
      </c>
      <c r="C289" t="n">
        <v>6</v>
      </c>
      <c r="D289" s="8" t="n">
        <v>46267</v>
      </c>
      <c r="E289" s="9" t="n">
        <v>6752.78</v>
      </c>
      <c r="F289" s="8" t="n"/>
      <c r="G289" s="9" t="n">
        <v>0</v>
      </c>
      <c r="H289" t="inlineStr">
        <is>
          <t>NOT_DUE</t>
        </is>
      </c>
      <c r="I289">
        <f>IF(H289="UNPAID", AsOfDate-D289, 0)</f>
        <v/>
      </c>
      <c r="J289">
        <f>IF(F289&lt;&gt;"", TEXT(F289, "yyyy-mm"), "")</f>
        <v/>
      </c>
    </row>
    <row r="290">
      <c r="A290" t="inlineStr">
        <is>
          <t>RP0000289</t>
        </is>
      </c>
      <c r="B290" t="inlineStr">
        <is>
          <t>LN200040</t>
        </is>
      </c>
      <c r="C290" t="n">
        <v>7</v>
      </c>
      <c r="D290" s="8" t="n">
        <v>46297</v>
      </c>
      <c r="E290" s="9" t="n">
        <v>6752.78</v>
      </c>
      <c r="F290" s="8" t="n"/>
      <c r="G290" s="9" t="n">
        <v>0</v>
      </c>
      <c r="H290" t="inlineStr">
        <is>
          <t>NOT_DUE</t>
        </is>
      </c>
      <c r="I290">
        <f>IF(H290="UNPAID", AsOfDate-D290, 0)</f>
        <v/>
      </c>
      <c r="J290">
        <f>IF(F290&lt;&gt;"", TEXT(F290, "yyyy-mm"), "")</f>
        <v/>
      </c>
    </row>
    <row r="291">
      <c r="A291" t="inlineStr">
        <is>
          <t>RP0000290</t>
        </is>
      </c>
      <c r="B291" t="inlineStr">
        <is>
          <t>LN200040</t>
        </is>
      </c>
      <c r="C291" t="n">
        <v>8</v>
      </c>
      <c r="D291" s="8" t="n">
        <v>46328</v>
      </c>
      <c r="E291" s="9" t="n">
        <v>6752.78</v>
      </c>
      <c r="F291" s="8" t="n"/>
      <c r="G291" s="9" t="n">
        <v>0</v>
      </c>
      <c r="H291" t="inlineStr">
        <is>
          <t>NOT_DUE</t>
        </is>
      </c>
      <c r="I291">
        <f>IF(H291="UNPAID", AsOfDate-D291, 0)</f>
        <v/>
      </c>
      <c r="J291">
        <f>IF(F291&lt;&gt;"", TEXT(F291, "yyyy-mm"), "")</f>
        <v/>
      </c>
    </row>
    <row r="292">
      <c r="A292" t="inlineStr">
        <is>
          <t>RP0000291</t>
        </is>
      </c>
      <c r="B292" t="inlineStr">
        <is>
          <t>LN200040</t>
        </is>
      </c>
      <c r="C292" t="n">
        <v>9</v>
      </c>
      <c r="D292" s="8" t="n">
        <v>46358</v>
      </c>
      <c r="E292" s="9" t="n">
        <v>6752.78</v>
      </c>
      <c r="F292" s="8" t="n"/>
      <c r="G292" s="9" t="n">
        <v>0</v>
      </c>
      <c r="H292" t="inlineStr">
        <is>
          <t>NOT_DUE</t>
        </is>
      </c>
      <c r="I292">
        <f>IF(H292="UNPAID", AsOfDate-D292, 0)</f>
        <v/>
      </c>
      <c r="J292">
        <f>IF(F292&lt;&gt;"", TEXT(F292, "yyyy-mm"), "")</f>
        <v/>
      </c>
    </row>
    <row r="293">
      <c r="A293" t="inlineStr">
        <is>
          <t>RP0000292</t>
        </is>
      </c>
      <c r="B293" t="inlineStr">
        <is>
          <t>LN200041</t>
        </is>
      </c>
      <c r="C293" t="n">
        <v>1</v>
      </c>
      <c r="D293" s="8" t="n">
        <v>46206</v>
      </c>
      <c r="E293" s="9" t="n">
        <v>3678.33</v>
      </c>
      <c r="F293" s="8" t="n"/>
      <c r="G293" s="9" t="n">
        <v>0</v>
      </c>
      <c r="H293" t="inlineStr">
        <is>
          <t>UNPAID</t>
        </is>
      </c>
      <c r="I293">
        <f>IF(H293="UNPAID", AsOfDate-D293, 0)</f>
        <v/>
      </c>
      <c r="J293">
        <f>IF(F293&lt;&gt;"", TEXT(F293, "yyyy-mm"), "")</f>
        <v/>
      </c>
    </row>
    <row r="294">
      <c r="A294" t="inlineStr">
        <is>
          <t>RP0000293</t>
        </is>
      </c>
      <c r="B294" t="inlineStr">
        <is>
          <t>LN200041</t>
        </is>
      </c>
      <c r="C294" t="n">
        <v>2</v>
      </c>
      <c r="D294" s="8" t="n">
        <v>46237</v>
      </c>
      <c r="E294" s="9" t="n">
        <v>3678.33</v>
      </c>
      <c r="F294" s="8" t="n">
        <v>46236</v>
      </c>
      <c r="G294" s="9" t="n">
        <v>3678.33</v>
      </c>
      <c r="H294" t="inlineStr">
        <is>
          <t>PAID_ON_TIME</t>
        </is>
      </c>
      <c r="I294">
        <f>IF(H294="UNPAID", AsOfDate-D294, 0)</f>
        <v/>
      </c>
      <c r="J294">
        <f>IF(F294&lt;&gt;"", TEXT(F294, "yyyy-mm"), "")</f>
        <v/>
      </c>
    </row>
    <row r="295">
      <c r="A295" t="inlineStr">
        <is>
          <t>RP0000294</t>
        </is>
      </c>
      <c r="B295" t="inlineStr">
        <is>
          <t>LN200041</t>
        </is>
      </c>
      <c r="C295" t="n">
        <v>3</v>
      </c>
      <c r="D295" s="8" t="n">
        <v>46268</v>
      </c>
      <c r="E295" s="9" t="n">
        <v>3678.33</v>
      </c>
      <c r="F295" s="8" t="n"/>
      <c r="G295" s="9" t="n">
        <v>0</v>
      </c>
      <c r="H295" t="inlineStr">
        <is>
          <t>NOT_DUE</t>
        </is>
      </c>
      <c r="I295">
        <f>IF(H295="UNPAID", AsOfDate-D295, 0)</f>
        <v/>
      </c>
      <c r="J295">
        <f>IF(F295&lt;&gt;"", TEXT(F295, "yyyy-mm"), "")</f>
        <v/>
      </c>
    </row>
    <row r="296">
      <c r="A296" t="inlineStr">
        <is>
          <t>RP0000295</t>
        </is>
      </c>
      <c r="B296" t="inlineStr">
        <is>
          <t>LN200041</t>
        </is>
      </c>
      <c r="C296" t="n">
        <v>4</v>
      </c>
      <c r="D296" s="8" t="n">
        <v>46298</v>
      </c>
      <c r="E296" s="9" t="n">
        <v>3678.33</v>
      </c>
      <c r="F296" s="8" t="n"/>
      <c r="G296" s="9" t="n">
        <v>0</v>
      </c>
      <c r="H296" t="inlineStr">
        <is>
          <t>NOT_DUE</t>
        </is>
      </c>
      <c r="I296">
        <f>IF(H296="UNPAID", AsOfDate-D296, 0)</f>
        <v/>
      </c>
      <c r="J296">
        <f>IF(F296&lt;&gt;"", TEXT(F296, "yyyy-mm"), "")</f>
        <v/>
      </c>
    </row>
    <row r="297">
      <c r="A297" t="inlineStr">
        <is>
          <t>RP0000296</t>
        </is>
      </c>
      <c r="B297" t="inlineStr">
        <is>
          <t>LN200041</t>
        </is>
      </c>
      <c r="C297" t="n">
        <v>5</v>
      </c>
      <c r="D297" s="8" t="n">
        <v>46329</v>
      </c>
      <c r="E297" s="9" t="n">
        <v>3678.33</v>
      </c>
      <c r="F297" s="8" t="n"/>
      <c r="G297" s="9" t="n">
        <v>0</v>
      </c>
      <c r="H297" t="inlineStr">
        <is>
          <t>NOT_DUE</t>
        </is>
      </c>
      <c r="I297">
        <f>IF(H297="UNPAID", AsOfDate-D297, 0)</f>
        <v/>
      </c>
      <c r="J297">
        <f>IF(F297&lt;&gt;"", TEXT(F297, "yyyy-mm"), "")</f>
        <v/>
      </c>
    </row>
    <row r="298">
      <c r="A298" t="inlineStr">
        <is>
          <t>RP0000297</t>
        </is>
      </c>
      <c r="B298" t="inlineStr">
        <is>
          <t>LN200041</t>
        </is>
      </c>
      <c r="C298" t="n">
        <v>6</v>
      </c>
      <c r="D298" s="8" t="n">
        <v>46359</v>
      </c>
      <c r="E298" s="9" t="n">
        <v>3678.33</v>
      </c>
      <c r="F298" s="8" t="n"/>
      <c r="G298" s="9" t="n">
        <v>0</v>
      </c>
      <c r="H298" t="inlineStr">
        <is>
          <t>NOT_DUE</t>
        </is>
      </c>
      <c r="I298">
        <f>IF(H298="UNPAID", AsOfDate-D298, 0)</f>
        <v/>
      </c>
      <c r="J298">
        <f>IF(F298&lt;&gt;"", TEXT(F298, "yyyy-mm"), "")</f>
        <v/>
      </c>
    </row>
    <row r="299">
      <c r="A299" t="inlineStr">
        <is>
          <t>RP0000298</t>
        </is>
      </c>
      <c r="B299" t="inlineStr">
        <is>
          <t>LN200043</t>
        </is>
      </c>
      <c r="C299" t="n">
        <v>1</v>
      </c>
      <c r="D299" s="8" t="n">
        <v>45707</v>
      </c>
      <c r="E299" s="9" t="n">
        <v>5810.67</v>
      </c>
      <c r="F299" s="8" t="n">
        <v>45704</v>
      </c>
      <c r="G299" s="9" t="n">
        <v>5810.67</v>
      </c>
      <c r="H299" t="inlineStr">
        <is>
          <t>PAID_ON_TIME</t>
        </is>
      </c>
      <c r="I299">
        <f>IF(H299="UNPAID", AsOfDate-D299, 0)</f>
        <v/>
      </c>
      <c r="J299">
        <f>IF(F299&lt;&gt;"", TEXT(F299, "yyyy-mm"), "")</f>
        <v/>
      </c>
    </row>
    <row r="300">
      <c r="A300" t="inlineStr">
        <is>
          <t>RP0000299</t>
        </is>
      </c>
      <c r="B300" t="inlineStr">
        <is>
          <t>LN200043</t>
        </is>
      </c>
      <c r="C300" t="n">
        <v>2</v>
      </c>
      <c r="D300" s="8" t="n">
        <v>45735</v>
      </c>
      <c r="E300" s="9" t="n">
        <v>5810.67</v>
      </c>
      <c r="F300" s="8" t="n">
        <v>45782</v>
      </c>
      <c r="G300" s="9" t="n">
        <v>5810.67</v>
      </c>
      <c r="H300" t="inlineStr">
        <is>
          <t>PAID_LATE</t>
        </is>
      </c>
      <c r="I300">
        <f>IF(H300="UNPAID", AsOfDate-D300, 0)</f>
        <v/>
      </c>
      <c r="J300">
        <f>IF(F300&lt;&gt;"", TEXT(F300, "yyyy-mm"), "")</f>
        <v/>
      </c>
    </row>
    <row r="301">
      <c r="A301" t="inlineStr">
        <is>
          <t>RP0000300</t>
        </is>
      </c>
      <c r="B301" t="inlineStr">
        <is>
          <t>LN200043</t>
        </is>
      </c>
      <c r="C301" t="n">
        <v>3</v>
      </c>
      <c r="D301" s="8" t="n">
        <v>45766</v>
      </c>
      <c r="E301" s="9" t="n">
        <v>5810.67</v>
      </c>
      <c r="F301" s="8" t="n">
        <v>45768</v>
      </c>
      <c r="G301" s="9" t="n">
        <v>5810.67</v>
      </c>
      <c r="H301" t="inlineStr">
        <is>
          <t>PAID_ON_TIME</t>
        </is>
      </c>
      <c r="I301">
        <f>IF(H301="UNPAID", AsOfDate-D301, 0)</f>
        <v/>
      </c>
      <c r="J301">
        <f>IF(F301&lt;&gt;"", TEXT(F301, "yyyy-mm"), "")</f>
        <v/>
      </c>
    </row>
    <row r="302">
      <c r="A302" t="inlineStr">
        <is>
          <t>RP0000301</t>
        </is>
      </c>
      <c r="B302" t="inlineStr">
        <is>
          <t>LN200043</t>
        </is>
      </c>
      <c r="C302" t="n">
        <v>4</v>
      </c>
      <c r="D302" s="8" t="n">
        <v>45796</v>
      </c>
      <c r="E302" s="9" t="n">
        <v>5810.67</v>
      </c>
      <c r="F302" s="8" t="n">
        <v>45800</v>
      </c>
      <c r="G302" s="9" t="n">
        <v>5810.67</v>
      </c>
      <c r="H302" t="inlineStr">
        <is>
          <t>PAID_ON_TIME</t>
        </is>
      </c>
      <c r="I302">
        <f>IF(H302="UNPAID", AsOfDate-D302, 0)</f>
        <v/>
      </c>
      <c r="J302">
        <f>IF(F302&lt;&gt;"", TEXT(F302, "yyyy-mm"), "")</f>
        <v/>
      </c>
    </row>
    <row r="303">
      <c r="A303" t="inlineStr">
        <is>
          <t>RP0000302</t>
        </is>
      </c>
      <c r="B303" t="inlineStr">
        <is>
          <t>LN200043</t>
        </is>
      </c>
      <c r="C303" t="n">
        <v>5</v>
      </c>
      <c r="D303" s="8" t="n">
        <v>45827</v>
      </c>
      <c r="E303" s="9" t="n">
        <v>5810.67</v>
      </c>
      <c r="F303" s="8" t="n">
        <v>45828</v>
      </c>
      <c r="G303" s="9" t="n">
        <v>5810.67</v>
      </c>
      <c r="H303" t="inlineStr">
        <is>
          <t>PAID_ON_TIME</t>
        </is>
      </c>
      <c r="I303">
        <f>IF(H303="UNPAID", AsOfDate-D303, 0)</f>
        <v/>
      </c>
      <c r="J303">
        <f>IF(F303&lt;&gt;"", TEXT(F303, "yyyy-mm"), "")</f>
        <v/>
      </c>
    </row>
    <row r="304">
      <c r="A304" t="inlineStr">
        <is>
          <t>RP0000303</t>
        </is>
      </c>
      <c r="B304" t="inlineStr">
        <is>
          <t>LN200043</t>
        </is>
      </c>
      <c r="C304" t="n">
        <v>6</v>
      </c>
      <c r="D304" s="8" t="n">
        <v>45857</v>
      </c>
      <c r="E304" s="9" t="n">
        <v>5810.67</v>
      </c>
      <c r="F304" s="8" t="n">
        <v>45860</v>
      </c>
      <c r="G304" s="9" t="n">
        <v>5810.67</v>
      </c>
      <c r="H304" t="inlineStr">
        <is>
          <t>PAID_ON_TIME</t>
        </is>
      </c>
      <c r="I304">
        <f>IF(H304="UNPAID", AsOfDate-D304, 0)</f>
        <v/>
      </c>
      <c r="J304">
        <f>IF(F304&lt;&gt;"", TEXT(F304, "yyyy-mm"), "")</f>
        <v/>
      </c>
    </row>
    <row r="305">
      <c r="A305" t="inlineStr">
        <is>
          <t>RP0000304</t>
        </is>
      </c>
      <c r="B305" t="inlineStr">
        <is>
          <t>LN200044</t>
        </is>
      </c>
      <c r="C305" t="n">
        <v>1</v>
      </c>
      <c r="D305" s="8" t="n">
        <v>46239</v>
      </c>
      <c r="E305" s="9" t="n">
        <v>3964.69</v>
      </c>
      <c r="F305" s="8" t="n">
        <v>46242</v>
      </c>
      <c r="G305" s="9" t="n">
        <v>3964.69</v>
      </c>
      <c r="H305" t="inlineStr">
        <is>
          <t>PAID_ON_TIME</t>
        </is>
      </c>
      <c r="I305">
        <f>IF(H305="UNPAID", AsOfDate-D305, 0)</f>
        <v/>
      </c>
      <c r="J305">
        <f>IF(F305&lt;&gt;"", TEXT(F305, "yyyy-mm"), "")</f>
        <v/>
      </c>
    </row>
    <row r="306">
      <c r="A306" t="inlineStr">
        <is>
          <t>RP0000305</t>
        </is>
      </c>
      <c r="B306" t="inlineStr">
        <is>
          <t>LN200044</t>
        </is>
      </c>
      <c r="C306" t="n">
        <v>2</v>
      </c>
      <c r="D306" s="8" t="n">
        <v>46270</v>
      </c>
      <c r="E306" s="9" t="n">
        <v>3964.69</v>
      </c>
      <c r="F306" s="8" t="n"/>
      <c r="G306" s="9" t="n">
        <v>0</v>
      </c>
      <c r="H306" t="inlineStr">
        <is>
          <t>NOT_DUE</t>
        </is>
      </c>
      <c r="I306">
        <f>IF(H306="UNPAID", AsOfDate-D306, 0)</f>
        <v/>
      </c>
      <c r="J306">
        <f>IF(F306&lt;&gt;"", TEXT(F306, "yyyy-mm"), "")</f>
        <v/>
      </c>
    </row>
    <row r="307">
      <c r="A307" t="inlineStr">
        <is>
          <t>RP0000306</t>
        </is>
      </c>
      <c r="B307" t="inlineStr">
        <is>
          <t>LN200044</t>
        </is>
      </c>
      <c r="C307" t="n">
        <v>3</v>
      </c>
      <c r="D307" s="8" t="n">
        <v>46300</v>
      </c>
      <c r="E307" s="9" t="n">
        <v>3964.69</v>
      </c>
      <c r="F307" s="8" t="n"/>
      <c r="G307" s="9" t="n">
        <v>0</v>
      </c>
      <c r="H307" t="inlineStr">
        <is>
          <t>NOT_DUE</t>
        </is>
      </c>
      <c r="I307">
        <f>IF(H307="UNPAID", AsOfDate-D307, 0)</f>
        <v/>
      </c>
      <c r="J307">
        <f>IF(F307&lt;&gt;"", TEXT(F307, "yyyy-mm"), "")</f>
        <v/>
      </c>
    </row>
    <row r="308">
      <c r="A308" t="inlineStr">
        <is>
          <t>RP0000307</t>
        </is>
      </c>
      <c r="B308" t="inlineStr">
        <is>
          <t>LN200044</t>
        </is>
      </c>
      <c r="C308" t="n">
        <v>4</v>
      </c>
      <c r="D308" s="8" t="n">
        <v>46331</v>
      </c>
      <c r="E308" s="9" t="n">
        <v>3964.69</v>
      </c>
      <c r="F308" s="8" t="n"/>
      <c r="G308" s="9" t="n">
        <v>0</v>
      </c>
      <c r="H308" t="inlineStr">
        <is>
          <t>NOT_DUE</t>
        </is>
      </c>
      <c r="I308">
        <f>IF(H308="UNPAID", AsOfDate-D308, 0)</f>
        <v/>
      </c>
      <c r="J308">
        <f>IF(F308&lt;&gt;"", TEXT(F308, "yyyy-mm"), "")</f>
        <v/>
      </c>
    </row>
    <row r="309">
      <c r="A309" t="inlineStr">
        <is>
          <t>RP0000308</t>
        </is>
      </c>
      <c r="B309" t="inlineStr">
        <is>
          <t>LN200044</t>
        </is>
      </c>
      <c r="C309" t="n">
        <v>5</v>
      </c>
      <c r="D309" s="8" t="n">
        <v>46361</v>
      </c>
      <c r="E309" s="9" t="n">
        <v>3964.69</v>
      </c>
      <c r="F309" s="8" t="n"/>
      <c r="G309" s="9" t="n">
        <v>0</v>
      </c>
      <c r="H309" t="inlineStr">
        <is>
          <t>NOT_DUE</t>
        </is>
      </c>
      <c r="I309">
        <f>IF(H309="UNPAID", AsOfDate-D309, 0)</f>
        <v/>
      </c>
      <c r="J309">
        <f>IF(F309&lt;&gt;"", TEXT(F309, "yyyy-mm"), "")</f>
        <v/>
      </c>
    </row>
    <row r="310">
      <c r="A310" t="inlineStr">
        <is>
          <t>RP0000309</t>
        </is>
      </c>
      <c r="B310" t="inlineStr">
        <is>
          <t>LN200044</t>
        </is>
      </c>
      <c r="C310" t="n">
        <v>6</v>
      </c>
      <c r="D310" s="8" t="n">
        <v>46392</v>
      </c>
      <c r="E310" s="9" t="n">
        <v>3964.69</v>
      </c>
      <c r="F310" s="8" t="n"/>
      <c r="G310" s="9" t="n">
        <v>0</v>
      </c>
      <c r="H310" t="inlineStr">
        <is>
          <t>NOT_DUE</t>
        </is>
      </c>
      <c r="I310">
        <f>IF(H310="UNPAID", AsOfDate-D310, 0)</f>
        <v/>
      </c>
      <c r="J310">
        <f>IF(F310&lt;&gt;"", TEXT(F310, "yyyy-mm"), "")</f>
        <v/>
      </c>
    </row>
    <row r="311">
      <c r="A311" t="inlineStr">
        <is>
          <t>RP0000310</t>
        </is>
      </c>
      <c r="B311" t="inlineStr">
        <is>
          <t>LN200044</t>
        </is>
      </c>
      <c r="C311" t="n">
        <v>7</v>
      </c>
      <c r="D311" s="8" t="n">
        <v>46423</v>
      </c>
      <c r="E311" s="9" t="n">
        <v>3964.69</v>
      </c>
      <c r="F311" s="8" t="n"/>
      <c r="G311" s="9" t="n">
        <v>0</v>
      </c>
      <c r="H311" t="inlineStr">
        <is>
          <t>NOT_DUE</t>
        </is>
      </c>
      <c r="I311">
        <f>IF(H311="UNPAID", AsOfDate-D311, 0)</f>
        <v/>
      </c>
      <c r="J311">
        <f>IF(F311&lt;&gt;"", TEXT(F311, "yyyy-mm"), "")</f>
        <v/>
      </c>
    </row>
    <row r="312">
      <c r="A312" t="inlineStr">
        <is>
          <t>RP0000311</t>
        </is>
      </c>
      <c r="B312" t="inlineStr">
        <is>
          <t>LN200044</t>
        </is>
      </c>
      <c r="C312" t="n">
        <v>8</v>
      </c>
      <c r="D312" s="8" t="n">
        <v>46451</v>
      </c>
      <c r="E312" s="9" t="n">
        <v>3964.69</v>
      </c>
      <c r="F312" s="8" t="n"/>
      <c r="G312" s="9" t="n">
        <v>0</v>
      </c>
      <c r="H312" t="inlineStr">
        <is>
          <t>NOT_DUE</t>
        </is>
      </c>
      <c r="I312">
        <f>IF(H312="UNPAID", AsOfDate-D312, 0)</f>
        <v/>
      </c>
      <c r="J312">
        <f>IF(F312&lt;&gt;"", TEXT(F312, "yyyy-mm"), "")</f>
        <v/>
      </c>
    </row>
    <row r="313">
      <c r="A313" t="inlineStr">
        <is>
          <t>RP0000312</t>
        </is>
      </c>
      <c r="B313" t="inlineStr">
        <is>
          <t>LN200044</t>
        </is>
      </c>
      <c r="C313" t="n">
        <v>9</v>
      </c>
      <c r="D313" s="8" t="n">
        <v>46482</v>
      </c>
      <c r="E313" s="9" t="n">
        <v>3964.69</v>
      </c>
      <c r="F313" s="8" t="n"/>
      <c r="G313" s="9" t="n">
        <v>0</v>
      </c>
      <c r="H313" t="inlineStr">
        <is>
          <t>NOT_DUE</t>
        </is>
      </c>
      <c r="I313">
        <f>IF(H313="UNPAID", AsOfDate-D313, 0)</f>
        <v/>
      </c>
      <c r="J313">
        <f>IF(F313&lt;&gt;"", TEXT(F313, "yyyy-mm"), "")</f>
        <v/>
      </c>
    </row>
    <row r="314">
      <c r="A314" t="inlineStr">
        <is>
          <t>RP0000313</t>
        </is>
      </c>
      <c r="B314" t="inlineStr">
        <is>
          <t>LN200044</t>
        </is>
      </c>
      <c r="C314" t="n">
        <v>10</v>
      </c>
      <c r="D314" s="8" t="n">
        <v>46512</v>
      </c>
      <c r="E314" s="9" t="n">
        <v>3964.69</v>
      </c>
      <c r="F314" s="8" t="n"/>
      <c r="G314" s="9" t="n">
        <v>0</v>
      </c>
      <c r="H314" t="inlineStr">
        <is>
          <t>NOT_DUE</t>
        </is>
      </c>
      <c r="I314">
        <f>IF(H314="UNPAID", AsOfDate-D314, 0)</f>
        <v/>
      </c>
      <c r="J314">
        <f>IF(F314&lt;&gt;"", TEXT(F314, "yyyy-mm"), "")</f>
        <v/>
      </c>
    </row>
    <row r="315">
      <c r="A315" t="inlineStr">
        <is>
          <t>RP0000314</t>
        </is>
      </c>
      <c r="B315" t="inlineStr">
        <is>
          <t>LN200044</t>
        </is>
      </c>
      <c r="C315" t="n">
        <v>11</v>
      </c>
      <c r="D315" s="8" t="n">
        <v>46543</v>
      </c>
      <c r="E315" s="9" t="n">
        <v>3964.69</v>
      </c>
      <c r="F315" s="8" t="n"/>
      <c r="G315" s="9" t="n">
        <v>0</v>
      </c>
      <c r="H315" t="inlineStr">
        <is>
          <t>NOT_DUE</t>
        </is>
      </c>
      <c r="I315">
        <f>IF(H315="UNPAID", AsOfDate-D315, 0)</f>
        <v/>
      </c>
      <c r="J315">
        <f>IF(F315&lt;&gt;"", TEXT(F315, "yyyy-mm"), "")</f>
        <v/>
      </c>
    </row>
    <row r="316">
      <c r="A316" t="inlineStr">
        <is>
          <t>RP0000315</t>
        </is>
      </c>
      <c r="B316" t="inlineStr">
        <is>
          <t>LN200044</t>
        </is>
      </c>
      <c r="C316" t="n">
        <v>12</v>
      </c>
      <c r="D316" s="8" t="n">
        <v>46573</v>
      </c>
      <c r="E316" s="9" t="n">
        <v>3964.69</v>
      </c>
      <c r="F316" s="8" t="n"/>
      <c r="G316" s="9" t="n">
        <v>0</v>
      </c>
      <c r="H316" t="inlineStr">
        <is>
          <t>NOT_DUE</t>
        </is>
      </c>
      <c r="I316">
        <f>IF(H316="UNPAID", AsOfDate-D316, 0)</f>
        <v/>
      </c>
      <c r="J316">
        <f>IF(F316&lt;&gt;"", TEXT(F316, "yyyy-mm"), "")</f>
        <v/>
      </c>
    </row>
    <row r="317">
      <c r="A317" t="inlineStr">
        <is>
          <t>RP0000316</t>
        </is>
      </c>
      <c r="B317" t="inlineStr">
        <is>
          <t>LN200044</t>
        </is>
      </c>
      <c r="C317" t="n">
        <v>13</v>
      </c>
      <c r="D317" s="8" t="n">
        <v>46604</v>
      </c>
      <c r="E317" s="9" t="n">
        <v>3964.69</v>
      </c>
      <c r="F317" s="8" t="n"/>
      <c r="G317" s="9" t="n">
        <v>0</v>
      </c>
      <c r="H317" t="inlineStr">
        <is>
          <t>NOT_DUE</t>
        </is>
      </c>
      <c r="I317">
        <f>IF(H317="UNPAID", AsOfDate-D317, 0)</f>
        <v/>
      </c>
      <c r="J317">
        <f>IF(F317&lt;&gt;"", TEXT(F317, "yyyy-mm"), "")</f>
        <v/>
      </c>
    </row>
    <row r="318">
      <c r="A318" t="inlineStr">
        <is>
          <t>RP0000317</t>
        </is>
      </c>
      <c r="B318" t="inlineStr">
        <is>
          <t>LN200044</t>
        </is>
      </c>
      <c r="C318" t="n">
        <v>14</v>
      </c>
      <c r="D318" s="8" t="n">
        <v>46635</v>
      </c>
      <c r="E318" s="9" t="n">
        <v>3964.69</v>
      </c>
      <c r="F318" s="8" t="n"/>
      <c r="G318" s="9" t="n">
        <v>0</v>
      </c>
      <c r="H318" t="inlineStr">
        <is>
          <t>NOT_DUE</t>
        </is>
      </c>
      <c r="I318">
        <f>IF(H318="UNPAID", AsOfDate-D318, 0)</f>
        <v/>
      </c>
      <c r="J318">
        <f>IF(F318&lt;&gt;"", TEXT(F318, "yyyy-mm"), "")</f>
        <v/>
      </c>
    </row>
    <row r="319">
      <c r="A319" t="inlineStr">
        <is>
          <t>RP0000318</t>
        </is>
      </c>
      <c r="B319" t="inlineStr">
        <is>
          <t>LN200044</t>
        </is>
      </c>
      <c r="C319" t="n">
        <v>15</v>
      </c>
      <c r="D319" s="8" t="n">
        <v>46665</v>
      </c>
      <c r="E319" s="9" t="n">
        <v>3964.69</v>
      </c>
      <c r="F319" s="8" t="n"/>
      <c r="G319" s="9" t="n">
        <v>0</v>
      </c>
      <c r="H319" t="inlineStr">
        <is>
          <t>NOT_DUE</t>
        </is>
      </c>
      <c r="I319">
        <f>IF(H319="UNPAID", AsOfDate-D319, 0)</f>
        <v/>
      </c>
      <c r="J319">
        <f>IF(F319&lt;&gt;"", TEXT(F319, "yyyy-mm"), "")</f>
        <v/>
      </c>
    </row>
    <row r="320">
      <c r="A320" t="inlineStr">
        <is>
          <t>RP0000319</t>
        </is>
      </c>
      <c r="B320" t="inlineStr">
        <is>
          <t>LN200044</t>
        </is>
      </c>
      <c r="C320" t="n">
        <v>16</v>
      </c>
      <c r="D320" s="8" t="n">
        <v>46696</v>
      </c>
      <c r="E320" s="9" t="n">
        <v>3964.69</v>
      </c>
      <c r="F320" s="8" t="n"/>
      <c r="G320" s="9" t="n">
        <v>0</v>
      </c>
      <c r="H320" t="inlineStr">
        <is>
          <t>NOT_DUE</t>
        </is>
      </c>
      <c r="I320">
        <f>IF(H320="UNPAID", AsOfDate-D320, 0)</f>
        <v/>
      </c>
      <c r="J320">
        <f>IF(F320&lt;&gt;"", TEXT(F320, "yyyy-mm"), "")</f>
        <v/>
      </c>
    </row>
    <row r="321">
      <c r="A321" t="inlineStr">
        <is>
          <t>RP0000320</t>
        </is>
      </c>
      <c r="B321" t="inlineStr">
        <is>
          <t>LN200044</t>
        </is>
      </c>
      <c r="C321" t="n">
        <v>17</v>
      </c>
      <c r="D321" s="8" t="n">
        <v>46726</v>
      </c>
      <c r="E321" s="9" t="n">
        <v>3964.69</v>
      </c>
      <c r="F321" s="8" t="n"/>
      <c r="G321" s="9" t="n">
        <v>0</v>
      </c>
      <c r="H321" t="inlineStr">
        <is>
          <t>NOT_DUE</t>
        </is>
      </c>
      <c r="I321">
        <f>IF(H321="UNPAID", AsOfDate-D321, 0)</f>
        <v/>
      </c>
      <c r="J321">
        <f>IF(F321&lt;&gt;"", TEXT(F321, "yyyy-mm"), "")</f>
        <v/>
      </c>
    </row>
    <row r="322">
      <c r="A322" t="inlineStr">
        <is>
          <t>RP0000321</t>
        </is>
      </c>
      <c r="B322" t="inlineStr">
        <is>
          <t>LN200044</t>
        </is>
      </c>
      <c r="C322" t="n">
        <v>18</v>
      </c>
      <c r="D322" s="8" t="n">
        <v>46757</v>
      </c>
      <c r="E322" s="9" t="n">
        <v>3964.69</v>
      </c>
      <c r="F322" s="8" t="n"/>
      <c r="G322" s="9" t="n">
        <v>0</v>
      </c>
      <c r="H322" t="inlineStr">
        <is>
          <t>NOT_DUE</t>
        </is>
      </c>
      <c r="I322">
        <f>IF(H322="UNPAID", AsOfDate-D322, 0)</f>
        <v/>
      </c>
      <c r="J322">
        <f>IF(F322&lt;&gt;"", TEXT(F322, "yyyy-mm"), "")</f>
        <v/>
      </c>
    </row>
    <row r="323">
      <c r="A323" t="inlineStr">
        <is>
          <t>RP0000322</t>
        </is>
      </c>
      <c r="B323" t="inlineStr">
        <is>
          <t>LN200046</t>
        </is>
      </c>
      <c r="C323" t="n">
        <v>1</v>
      </c>
      <c r="D323" s="8" t="n">
        <v>45895</v>
      </c>
      <c r="E323" s="9" t="n">
        <v>15627.33</v>
      </c>
      <c r="F323" s="8" t="n">
        <v>45918</v>
      </c>
      <c r="G323" s="9" t="n">
        <v>15627.33</v>
      </c>
      <c r="H323" t="inlineStr">
        <is>
          <t>PAID_LATE</t>
        </is>
      </c>
      <c r="I323">
        <f>IF(H323="UNPAID", AsOfDate-D323, 0)</f>
        <v/>
      </c>
      <c r="J323">
        <f>IF(F323&lt;&gt;"", TEXT(F323, "yyyy-mm"), "")</f>
        <v/>
      </c>
    </row>
    <row r="324">
      <c r="A324" t="inlineStr">
        <is>
          <t>RP0000323</t>
        </is>
      </c>
      <c r="B324" t="inlineStr">
        <is>
          <t>LN200046</t>
        </is>
      </c>
      <c r="C324" t="n">
        <v>2</v>
      </c>
      <c r="D324" s="8" t="n">
        <v>45926</v>
      </c>
      <c r="E324" s="9" t="n">
        <v>15627.33</v>
      </c>
      <c r="F324" s="8" t="n"/>
      <c r="G324" s="9" t="n">
        <v>0</v>
      </c>
      <c r="H324" t="inlineStr">
        <is>
          <t>UNPAID</t>
        </is>
      </c>
      <c r="I324">
        <f>IF(H324="UNPAID", AsOfDate-D324, 0)</f>
        <v/>
      </c>
      <c r="J324">
        <f>IF(F324&lt;&gt;"", TEXT(F324, "yyyy-mm"), "")</f>
        <v/>
      </c>
    </row>
    <row r="325">
      <c r="A325" t="inlineStr">
        <is>
          <t>RP0000324</t>
        </is>
      </c>
      <c r="B325" t="inlineStr">
        <is>
          <t>LN200046</t>
        </is>
      </c>
      <c r="C325" t="n">
        <v>3</v>
      </c>
      <c r="D325" s="8" t="n">
        <v>45956</v>
      </c>
      <c r="E325" s="9" t="n">
        <v>15627.33</v>
      </c>
      <c r="F325" s="8" t="n">
        <v>45956</v>
      </c>
      <c r="G325" s="9" t="n">
        <v>15627.33</v>
      </c>
      <c r="H325" t="inlineStr">
        <is>
          <t>PAID_ON_TIME</t>
        </is>
      </c>
      <c r="I325">
        <f>IF(H325="UNPAID", AsOfDate-D325, 0)</f>
        <v/>
      </c>
      <c r="J325">
        <f>IF(F325&lt;&gt;"", TEXT(F325, "yyyy-mm"), "")</f>
        <v/>
      </c>
    </row>
    <row r="326">
      <c r="A326" t="inlineStr">
        <is>
          <t>RP0000325</t>
        </is>
      </c>
      <c r="B326" t="inlineStr">
        <is>
          <t>LN200046</t>
        </is>
      </c>
      <c r="C326" t="n">
        <v>4</v>
      </c>
      <c r="D326" s="8" t="n">
        <v>45987</v>
      </c>
      <c r="E326" s="9" t="n">
        <v>15627.33</v>
      </c>
      <c r="F326" s="8" t="n">
        <v>45989</v>
      </c>
      <c r="G326" s="9" t="n">
        <v>15627.33</v>
      </c>
      <c r="H326" t="inlineStr">
        <is>
          <t>PAID_ON_TIME</t>
        </is>
      </c>
      <c r="I326">
        <f>IF(H326="UNPAID", AsOfDate-D326, 0)</f>
        <v/>
      </c>
      <c r="J326">
        <f>IF(F326&lt;&gt;"", TEXT(F326, "yyyy-mm"), "")</f>
        <v/>
      </c>
    </row>
    <row r="327">
      <c r="A327" t="inlineStr">
        <is>
          <t>RP0000326</t>
        </is>
      </c>
      <c r="B327" t="inlineStr">
        <is>
          <t>LN200046</t>
        </is>
      </c>
      <c r="C327" t="n">
        <v>5</v>
      </c>
      <c r="D327" s="8" t="n">
        <v>46017</v>
      </c>
      <c r="E327" s="9" t="n">
        <v>15627.33</v>
      </c>
      <c r="F327" s="8" t="n">
        <v>46122</v>
      </c>
      <c r="G327" s="9" t="n">
        <v>15627.33</v>
      </c>
      <c r="H327" t="inlineStr">
        <is>
          <t>PAID_LATE</t>
        </is>
      </c>
      <c r="I327">
        <f>IF(H327="UNPAID", AsOfDate-D327, 0)</f>
        <v/>
      </c>
      <c r="J327">
        <f>IF(F327&lt;&gt;"", TEXT(F327, "yyyy-mm"), "")</f>
        <v/>
      </c>
    </row>
    <row r="328">
      <c r="A328" t="inlineStr">
        <is>
          <t>RP0000327</t>
        </is>
      </c>
      <c r="B328" t="inlineStr">
        <is>
          <t>LN200046</t>
        </is>
      </c>
      <c r="C328" t="n">
        <v>6</v>
      </c>
      <c r="D328" s="8" t="n">
        <v>46048</v>
      </c>
      <c r="E328" s="9" t="n">
        <v>15627.33</v>
      </c>
      <c r="F328" s="8" t="n">
        <v>46047</v>
      </c>
      <c r="G328" s="9" t="n">
        <v>15627.33</v>
      </c>
      <c r="H328" t="inlineStr">
        <is>
          <t>PAID_ON_TIME</t>
        </is>
      </c>
      <c r="I328">
        <f>IF(H328="UNPAID", AsOfDate-D328, 0)</f>
        <v/>
      </c>
      <c r="J328">
        <f>IF(F328&lt;&gt;"", TEXT(F328, "yyyy-mm"), "")</f>
        <v/>
      </c>
    </row>
    <row r="329">
      <c r="A329" t="inlineStr">
        <is>
          <t>RP0000328</t>
        </is>
      </c>
      <c r="B329" t="inlineStr">
        <is>
          <t>LN200047</t>
        </is>
      </c>
      <c r="C329" t="n">
        <v>1</v>
      </c>
      <c r="D329" s="8" t="n">
        <v>46167</v>
      </c>
      <c r="E329" s="9" t="n">
        <v>20035.5</v>
      </c>
      <c r="F329" s="8" t="n">
        <v>46169</v>
      </c>
      <c r="G329" s="9" t="n">
        <v>20035.5</v>
      </c>
      <c r="H329" t="inlineStr">
        <is>
          <t>PAID_ON_TIME</t>
        </is>
      </c>
      <c r="I329">
        <f>IF(H329="UNPAID", AsOfDate-D329, 0)</f>
        <v/>
      </c>
      <c r="J329">
        <f>IF(F329&lt;&gt;"", TEXT(F329, "yyyy-mm"), "")</f>
        <v/>
      </c>
    </row>
    <row r="330">
      <c r="A330" t="inlineStr">
        <is>
          <t>RP0000329</t>
        </is>
      </c>
      <c r="B330" t="inlineStr">
        <is>
          <t>LN200047</t>
        </is>
      </c>
      <c r="C330" t="n">
        <v>2</v>
      </c>
      <c r="D330" s="8" t="n">
        <v>46198</v>
      </c>
      <c r="E330" s="9" t="n">
        <v>20035.5</v>
      </c>
      <c r="F330" s="8" t="n">
        <v>46199</v>
      </c>
      <c r="G330" s="9" t="n">
        <v>20035.5</v>
      </c>
      <c r="H330" t="inlineStr">
        <is>
          <t>PAID_ON_TIME</t>
        </is>
      </c>
      <c r="I330">
        <f>IF(H330="UNPAID", AsOfDate-D330, 0)</f>
        <v/>
      </c>
      <c r="J330">
        <f>IF(F330&lt;&gt;"", TEXT(F330, "yyyy-mm"), "")</f>
        <v/>
      </c>
    </row>
    <row r="331">
      <c r="A331" t="inlineStr">
        <is>
          <t>RP0000330</t>
        </is>
      </c>
      <c r="B331" t="inlineStr">
        <is>
          <t>LN200047</t>
        </is>
      </c>
      <c r="C331" t="n">
        <v>3</v>
      </c>
      <c r="D331" s="8" t="n">
        <v>46228</v>
      </c>
      <c r="E331" s="9" t="n">
        <v>20035.5</v>
      </c>
      <c r="F331" s="8" t="n">
        <v>46226</v>
      </c>
      <c r="G331" s="9" t="n">
        <v>20035.5</v>
      </c>
      <c r="H331" t="inlineStr">
        <is>
          <t>PAID_ON_TIME</t>
        </is>
      </c>
      <c r="I331">
        <f>IF(H331="UNPAID", AsOfDate-D331, 0)</f>
        <v/>
      </c>
      <c r="J331">
        <f>IF(F331&lt;&gt;"", TEXT(F331, "yyyy-mm"), "")</f>
        <v/>
      </c>
    </row>
    <row r="332">
      <c r="A332" t="inlineStr">
        <is>
          <t>RP0000331</t>
        </is>
      </c>
      <c r="B332" t="inlineStr">
        <is>
          <t>LN200049</t>
        </is>
      </c>
      <c r="C332" t="n">
        <v>1</v>
      </c>
      <c r="D332" s="8" t="n">
        <v>45829</v>
      </c>
      <c r="E332" s="9" t="n">
        <v>21740.25</v>
      </c>
      <c r="F332" s="8" t="n">
        <v>45827</v>
      </c>
      <c r="G332" s="9" t="n">
        <v>21740.25</v>
      </c>
      <c r="H332" t="inlineStr">
        <is>
          <t>PAID_ON_TIME</t>
        </is>
      </c>
      <c r="I332">
        <f>IF(H332="UNPAID", AsOfDate-D332, 0)</f>
        <v/>
      </c>
      <c r="J332">
        <f>IF(F332&lt;&gt;"", TEXT(F332, "yyyy-mm"), "")</f>
        <v/>
      </c>
    </row>
    <row r="333">
      <c r="A333" t="inlineStr">
        <is>
          <t>RP0000332</t>
        </is>
      </c>
      <c r="B333" t="inlineStr">
        <is>
          <t>LN200049</t>
        </is>
      </c>
      <c r="C333" t="n">
        <v>2</v>
      </c>
      <c r="D333" s="8" t="n">
        <v>45859</v>
      </c>
      <c r="E333" s="9" t="n">
        <v>21740.25</v>
      </c>
      <c r="F333" s="8" t="n">
        <v>45863</v>
      </c>
      <c r="G333" s="9" t="n">
        <v>21740.25</v>
      </c>
      <c r="H333" t="inlineStr">
        <is>
          <t>PAID_ON_TIME</t>
        </is>
      </c>
      <c r="I333">
        <f>IF(H333="UNPAID", AsOfDate-D333, 0)</f>
        <v/>
      </c>
      <c r="J333">
        <f>IF(F333&lt;&gt;"", TEXT(F333, "yyyy-mm"), "")</f>
        <v/>
      </c>
    </row>
    <row r="334">
      <c r="A334" t="inlineStr">
        <is>
          <t>RP0000333</t>
        </is>
      </c>
      <c r="B334" t="inlineStr">
        <is>
          <t>LN200049</t>
        </is>
      </c>
      <c r="C334" t="n">
        <v>3</v>
      </c>
      <c r="D334" s="8" t="n">
        <v>45890</v>
      </c>
      <c r="E334" s="9" t="n">
        <v>21740.25</v>
      </c>
      <c r="F334" s="8" t="n">
        <v>45891</v>
      </c>
      <c r="G334" s="9" t="n">
        <v>21740.25</v>
      </c>
      <c r="H334" t="inlineStr">
        <is>
          <t>PAID_ON_TIME</t>
        </is>
      </c>
      <c r="I334">
        <f>IF(H334="UNPAID", AsOfDate-D334, 0)</f>
        <v/>
      </c>
      <c r="J334">
        <f>IF(F334&lt;&gt;"", TEXT(F334, "yyyy-mm"), "")</f>
        <v/>
      </c>
    </row>
    <row r="335">
      <c r="A335" t="inlineStr">
        <is>
          <t>RP0000334</t>
        </is>
      </c>
      <c r="B335" t="inlineStr">
        <is>
          <t>LN200049</t>
        </is>
      </c>
      <c r="C335" t="n">
        <v>4</v>
      </c>
      <c r="D335" s="8" t="n">
        <v>45921</v>
      </c>
      <c r="E335" s="9" t="n">
        <v>21740.25</v>
      </c>
      <c r="F335" s="8" t="n">
        <v>45923</v>
      </c>
      <c r="G335" s="9" t="n">
        <v>21740.25</v>
      </c>
      <c r="H335" t="inlineStr">
        <is>
          <t>PAID_ON_TIME</t>
        </is>
      </c>
      <c r="I335">
        <f>IF(H335="UNPAID", AsOfDate-D335, 0)</f>
        <v/>
      </c>
      <c r="J335">
        <f>IF(F335&lt;&gt;"", TEXT(F335, "yyyy-mm"), "")</f>
        <v/>
      </c>
    </row>
    <row r="336">
      <c r="A336" t="inlineStr">
        <is>
          <t>RP0000335</t>
        </is>
      </c>
      <c r="B336" t="inlineStr">
        <is>
          <t>LN200049</t>
        </is>
      </c>
      <c r="C336" t="n">
        <v>5</v>
      </c>
      <c r="D336" s="8" t="n">
        <v>45951</v>
      </c>
      <c r="E336" s="9" t="n">
        <v>21740.25</v>
      </c>
      <c r="F336" s="8" t="n">
        <v>46055</v>
      </c>
      <c r="G336" s="9" t="n">
        <v>21740.25</v>
      </c>
      <c r="H336" t="inlineStr">
        <is>
          <t>PAID_LATE</t>
        </is>
      </c>
      <c r="I336">
        <f>IF(H336="UNPAID", AsOfDate-D336, 0)</f>
        <v/>
      </c>
      <c r="J336">
        <f>IF(F336&lt;&gt;"", TEXT(F336, "yyyy-mm"), "")</f>
        <v/>
      </c>
    </row>
    <row r="337">
      <c r="A337" t="inlineStr">
        <is>
          <t>RP0000336</t>
        </is>
      </c>
      <c r="B337" t="inlineStr">
        <is>
          <t>LN200049</t>
        </is>
      </c>
      <c r="C337" t="n">
        <v>6</v>
      </c>
      <c r="D337" s="8" t="n">
        <v>45982</v>
      </c>
      <c r="E337" s="9" t="n">
        <v>21740.25</v>
      </c>
      <c r="F337" s="8" t="n">
        <v>45981</v>
      </c>
      <c r="G337" s="9" t="n">
        <v>21740.25</v>
      </c>
      <c r="H337" t="inlineStr">
        <is>
          <t>PAID_ON_TIME</t>
        </is>
      </c>
      <c r="I337">
        <f>IF(H337="UNPAID", AsOfDate-D337, 0)</f>
        <v/>
      </c>
      <c r="J337">
        <f>IF(F337&lt;&gt;"", TEXT(F337, "yyyy-mm"), "")</f>
        <v/>
      </c>
    </row>
    <row r="338">
      <c r="A338" t="inlineStr">
        <is>
          <t>RP0000337</t>
        </is>
      </c>
      <c r="B338" t="inlineStr">
        <is>
          <t>LN200050</t>
        </is>
      </c>
      <c r="C338" t="n">
        <v>1</v>
      </c>
      <c r="D338" s="8" t="n">
        <v>46205</v>
      </c>
      <c r="E338" s="9" t="n">
        <v>7693</v>
      </c>
      <c r="F338" s="8" t="n">
        <v>46208</v>
      </c>
      <c r="G338" s="9" t="n">
        <v>7693</v>
      </c>
      <c r="H338" t="inlineStr">
        <is>
          <t>PAID_ON_TIME</t>
        </is>
      </c>
      <c r="I338">
        <f>IF(H338="UNPAID", AsOfDate-D338, 0)</f>
        <v/>
      </c>
      <c r="J338">
        <f>IF(F338&lt;&gt;"", TEXT(F338, "yyyy-mm"), "")</f>
        <v/>
      </c>
    </row>
    <row r="339">
      <c r="A339" t="inlineStr">
        <is>
          <t>RP0000338</t>
        </is>
      </c>
      <c r="B339" t="inlineStr">
        <is>
          <t>LN200050</t>
        </is>
      </c>
      <c r="C339" t="n">
        <v>2</v>
      </c>
      <c r="D339" s="8" t="n">
        <v>46236</v>
      </c>
      <c r="E339" s="9" t="n">
        <v>7693</v>
      </c>
      <c r="F339" s="8" t="n">
        <v>46239</v>
      </c>
      <c r="G339" s="9" t="n">
        <v>7693</v>
      </c>
      <c r="H339" t="inlineStr">
        <is>
          <t>PAID_ON_TIME</t>
        </is>
      </c>
      <c r="I339">
        <f>IF(H339="UNPAID", AsOfDate-D339, 0)</f>
        <v/>
      </c>
      <c r="J339">
        <f>IF(F339&lt;&gt;"", TEXT(F339, "yyyy-mm"), "")</f>
        <v/>
      </c>
    </row>
    <row r="340">
      <c r="A340" t="inlineStr">
        <is>
          <t>RP0000339</t>
        </is>
      </c>
      <c r="B340" t="inlineStr">
        <is>
          <t>LN200050</t>
        </is>
      </c>
      <c r="C340" t="n">
        <v>3</v>
      </c>
      <c r="D340" s="8" t="n">
        <v>46267</v>
      </c>
      <c r="E340" s="9" t="n">
        <v>7693</v>
      </c>
      <c r="F340" s="8" t="n"/>
      <c r="G340" s="9" t="n">
        <v>0</v>
      </c>
      <c r="H340" t="inlineStr">
        <is>
          <t>NOT_DUE</t>
        </is>
      </c>
      <c r="I340">
        <f>IF(H340="UNPAID", AsOfDate-D340, 0)</f>
        <v/>
      </c>
      <c r="J340">
        <f>IF(F340&lt;&gt;"", TEXT(F340, "yyyy-mm"), "")</f>
        <v/>
      </c>
    </row>
    <row r="341">
      <c r="A341" t="inlineStr">
        <is>
          <t>RP0000340</t>
        </is>
      </c>
      <c r="B341" t="inlineStr">
        <is>
          <t>LN200050</t>
        </is>
      </c>
      <c r="C341" t="n">
        <v>4</v>
      </c>
      <c r="D341" s="8" t="n">
        <v>46297</v>
      </c>
      <c r="E341" s="9" t="n">
        <v>7693</v>
      </c>
      <c r="F341" s="8" t="n"/>
      <c r="G341" s="9" t="n">
        <v>0</v>
      </c>
      <c r="H341" t="inlineStr">
        <is>
          <t>NOT_DUE</t>
        </is>
      </c>
      <c r="I341">
        <f>IF(H341="UNPAID", AsOfDate-D341, 0)</f>
        <v/>
      </c>
      <c r="J341">
        <f>IF(F341&lt;&gt;"", TEXT(F341, "yyyy-mm"), "")</f>
        <v/>
      </c>
    </row>
    <row r="342">
      <c r="A342" t="inlineStr">
        <is>
          <t>RP0000341</t>
        </is>
      </c>
      <c r="B342" t="inlineStr">
        <is>
          <t>LN200050</t>
        </is>
      </c>
      <c r="C342" t="n">
        <v>5</v>
      </c>
      <c r="D342" s="8" t="n">
        <v>46328</v>
      </c>
      <c r="E342" s="9" t="n">
        <v>7693</v>
      </c>
      <c r="F342" s="8" t="n"/>
      <c r="G342" s="9" t="n">
        <v>0</v>
      </c>
      <c r="H342" t="inlineStr">
        <is>
          <t>NOT_DUE</t>
        </is>
      </c>
      <c r="I342">
        <f>IF(H342="UNPAID", AsOfDate-D342, 0)</f>
        <v/>
      </c>
      <c r="J342">
        <f>IF(F342&lt;&gt;"", TEXT(F342, "yyyy-mm"), "")</f>
        <v/>
      </c>
    </row>
    <row r="343">
      <c r="A343" t="inlineStr">
        <is>
          <t>RP0000342</t>
        </is>
      </c>
      <c r="B343" t="inlineStr">
        <is>
          <t>LN200050</t>
        </is>
      </c>
      <c r="C343" t="n">
        <v>6</v>
      </c>
      <c r="D343" s="8" t="n">
        <v>46358</v>
      </c>
      <c r="E343" s="9" t="n">
        <v>7693</v>
      </c>
      <c r="F343" s="8" t="n"/>
      <c r="G343" s="9" t="n">
        <v>0</v>
      </c>
      <c r="H343" t="inlineStr">
        <is>
          <t>NOT_DUE</t>
        </is>
      </c>
      <c r="I343">
        <f>IF(H343="UNPAID", AsOfDate-D343, 0)</f>
        <v/>
      </c>
      <c r="J343">
        <f>IF(F343&lt;&gt;"", TEXT(F343, "yyyy-mm"), "")</f>
        <v/>
      </c>
    </row>
    <row r="344">
      <c r="A344" t="inlineStr">
        <is>
          <t>RP0000343</t>
        </is>
      </c>
      <c r="B344" t="inlineStr">
        <is>
          <t>LN200052</t>
        </is>
      </c>
      <c r="C344" t="n">
        <v>1</v>
      </c>
      <c r="D344" s="8" t="n">
        <v>45722</v>
      </c>
      <c r="E344" s="9" t="n">
        <v>233175.5</v>
      </c>
      <c r="F344" s="8" t="n">
        <v>45724</v>
      </c>
      <c r="G344" s="9" t="n">
        <v>233175.5</v>
      </c>
      <c r="H344" t="inlineStr">
        <is>
          <t>PAID_ON_TIME</t>
        </is>
      </c>
      <c r="I344">
        <f>IF(H344="UNPAID", AsOfDate-D344, 0)</f>
        <v/>
      </c>
      <c r="J344">
        <f>IF(F344&lt;&gt;"", TEXT(F344, "yyyy-mm"), "")</f>
        <v/>
      </c>
    </row>
    <row r="345">
      <c r="A345" t="inlineStr">
        <is>
          <t>RP0000344</t>
        </is>
      </c>
      <c r="B345" t="inlineStr">
        <is>
          <t>LN200052</t>
        </is>
      </c>
      <c r="C345" t="n">
        <v>2</v>
      </c>
      <c r="D345" s="8" t="n">
        <v>45753</v>
      </c>
      <c r="E345" s="9" t="n">
        <v>233175.5</v>
      </c>
      <c r="F345" s="8" t="n">
        <v>45752</v>
      </c>
      <c r="G345" s="9" t="n">
        <v>233175.5</v>
      </c>
      <c r="H345" t="inlineStr">
        <is>
          <t>PAID_ON_TIME</t>
        </is>
      </c>
      <c r="I345">
        <f>IF(H345="UNPAID", AsOfDate-D345, 0)</f>
        <v/>
      </c>
      <c r="J345">
        <f>IF(F345&lt;&gt;"", TEXT(F345, "yyyy-mm"), "")</f>
        <v/>
      </c>
    </row>
    <row r="346">
      <c r="A346" t="inlineStr">
        <is>
          <t>RP0000345</t>
        </is>
      </c>
      <c r="B346" t="inlineStr">
        <is>
          <t>LN200052</t>
        </is>
      </c>
      <c r="C346" t="n">
        <v>3</v>
      </c>
      <c r="D346" s="8" t="n">
        <v>45783</v>
      </c>
      <c r="E346" s="9" t="n">
        <v>233175.5</v>
      </c>
      <c r="F346" s="8" t="n">
        <v>45784</v>
      </c>
      <c r="G346" s="9" t="n">
        <v>233175.5</v>
      </c>
      <c r="H346" t="inlineStr">
        <is>
          <t>PAID_ON_TIME</t>
        </is>
      </c>
      <c r="I346">
        <f>IF(H346="UNPAID", AsOfDate-D346, 0)</f>
        <v/>
      </c>
      <c r="J346">
        <f>IF(F346&lt;&gt;"", TEXT(F346, "yyyy-mm"), "")</f>
        <v/>
      </c>
    </row>
    <row r="347">
      <c r="A347" t="inlineStr">
        <is>
          <t>RP0000346</t>
        </is>
      </c>
      <c r="B347" t="inlineStr">
        <is>
          <t>LN200053</t>
        </is>
      </c>
      <c r="C347" t="n">
        <v>1</v>
      </c>
      <c r="D347" s="8" t="n">
        <v>46156</v>
      </c>
      <c r="E347" s="9" t="n">
        <v>11696</v>
      </c>
      <c r="F347" s="8" t="n">
        <v>46158</v>
      </c>
      <c r="G347" s="9" t="n">
        <v>11696</v>
      </c>
      <c r="H347" t="inlineStr">
        <is>
          <t>PAID_ON_TIME</t>
        </is>
      </c>
      <c r="I347">
        <f>IF(H347="UNPAID", AsOfDate-D347, 0)</f>
        <v/>
      </c>
      <c r="J347">
        <f>IF(F347&lt;&gt;"", TEXT(F347, "yyyy-mm"), "")</f>
        <v/>
      </c>
    </row>
    <row r="348">
      <c r="A348" t="inlineStr">
        <is>
          <t>RP0000347</t>
        </is>
      </c>
      <c r="B348" t="inlineStr">
        <is>
          <t>LN200053</t>
        </is>
      </c>
      <c r="C348" t="n">
        <v>2</v>
      </c>
      <c r="D348" s="8" t="n">
        <v>46187</v>
      </c>
      <c r="E348" s="9" t="n">
        <v>11696</v>
      </c>
      <c r="F348" s="8" t="n">
        <v>46230</v>
      </c>
      <c r="G348" s="9" t="n">
        <v>11696</v>
      </c>
      <c r="H348" t="inlineStr">
        <is>
          <t>PAID_LATE</t>
        </is>
      </c>
      <c r="I348">
        <f>IF(H348="UNPAID", AsOfDate-D348, 0)</f>
        <v/>
      </c>
      <c r="J348">
        <f>IF(F348&lt;&gt;"", TEXT(F348, "yyyy-mm"), "")</f>
        <v/>
      </c>
    </row>
    <row r="349">
      <c r="A349" t="inlineStr">
        <is>
          <t>RP0000348</t>
        </is>
      </c>
      <c r="B349" t="inlineStr">
        <is>
          <t>LN200053</t>
        </is>
      </c>
      <c r="C349" t="n">
        <v>3</v>
      </c>
      <c r="D349" s="8" t="n">
        <v>46217</v>
      </c>
      <c r="E349" s="9" t="n">
        <v>11696</v>
      </c>
      <c r="F349" s="8" t="n"/>
      <c r="G349" s="9" t="n">
        <v>0</v>
      </c>
      <c r="H349" t="inlineStr">
        <is>
          <t>UNPAID</t>
        </is>
      </c>
      <c r="I349">
        <f>IF(H349="UNPAID", AsOfDate-D349, 0)</f>
        <v/>
      </c>
      <c r="J349">
        <f>IF(F349&lt;&gt;"", TEXT(F349, "yyyy-mm"), "")</f>
        <v/>
      </c>
    </row>
    <row r="350">
      <c r="A350" t="inlineStr">
        <is>
          <t>RP0000349</t>
        </is>
      </c>
      <c r="B350" t="inlineStr">
        <is>
          <t>LN200054</t>
        </is>
      </c>
      <c r="C350" t="n">
        <v>1</v>
      </c>
      <c r="D350" s="8" t="n">
        <v>46233</v>
      </c>
      <c r="E350" s="9" t="n">
        <v>37351.92</v>
      </c>
      <c r="F350" s="8" t="n">
        <v>46231</v>
      </c>
      <c r="G350" s="9" t="n">
        <v>37351.92</v>
      </c>
      <c r="H350" t="inlineStr">
        <is>
          <t>PAID_ON_TIME</t>
        </is>
      </c>
      <c r="I350">
        <f>IF(H350="UNPAID", AsOfDate-D350, 0)</f>
        <v/>
      </c>
      <c r="J350">
        <f>IF(F350&lt;&gt;"", TEXT(F350, "yyyy-mm"), "")</f>
        <v/>
      </c>
    </row>
    <row r="351">
      <c r="A351" t="inlineStr">
        <is>
          <t>RP0000350</t>
        </is>
      </c>
      <c r="B351" t="inlineStr">
        <is>
          <t>LN200054</t>
        </is>
      </c>
      <c r="C351" t="n">
        <v>2</v>
      </c>
      <c r="D351" s="8" t="n">
        <v>46264</v>
      </c>
      <c r="E351" s="9" t="n">
        <v>37351.92</v>
      </c>
      <c r="F351" s="8" t="n">
        <v>46261</v>
      </c>
      <c r="G351" s="9" t="n">
        <v>37351.92</v>
      </c>
      <c r="H351" t="inlineStr">
        <is>
          <t>PAID_ON_TIME</t>
        </is>
      </c>
      <c r="I351">
        <f>IF(H351="UNPAID", AsOfDate-D351, 0)</f>
        <v/>
      </c>
      <c r="J351">
        <f>IF(F351&lt;&gt;"", TEXT(F351, "yyyy-mm"), "")</f>
        <v/>
      </c>
    </row>
    <row r="352">
      <c r="A352" t="inlineStr">
        <is>
          <t>RP0000351</t>
        </is>
      </c>
      <c r="B352" t="inlineStr">
        <is>
          <t>LN200054</t>
        </is>
      </c>
      <c r="C352" t="n">
        <v>3</v>
      </c>
      <c r="D352" s="8" t="n">
        <v>46295</v>
      </c>
      <c r="E352" s="9" t="n">
        <v>37351.92</v>
      </c>
      <c r="F352" s="8" t="n"/>
      <c r="G352" s="9" t="n">
        <v>0</v>
      </c>
      <c r="H352" t="inlineStr">
        <is>
          <t>NOT_DUE</t>
        </is>
      </c>
      <c r="I352">
        <f>IF(H352="UNPAID", AsOfDate-D352, 0)</f>
        <v/>
      </c>
      <c r="J352">
        <f>IF(F352&lt;&gt;"", TEXT(F352, "yyyy-mm"), "")</f>
        <v/>
      </c>
    </row>
    <row r="353">
      <c r="A353" t="inlineStr">
        <is>
          <t>RP0000352</t>
        </is>
      </c>
      <c r="B353" t="inlineStr">
        <is>
          <t>LN200055</t>
        </is>
      </c>
      <c r="C353" t="n">
        <v>1</v>
      </c>
      <c r="D353" s="8" t="n">
        <v>46266</v>
      </c>
      <c r="E353" s="9" t="n">
        <v>12265</v>
      </c>
      <c r="F353" s="8" t="n"/>
      <c r="G353" s="9" t="n">
        <v>0</v>
      </c>
      <c r="H353" t="inlineStr">
        <is>
          <t>UNPAID</t>
        </is>
      </c>
      <c r="I353">
        <f>IF(H353="UNPAID", AsOfDate-D353, 0)</f>
        <v/>
      </c>
      <c r="J353">
        <f>IF(F353&lt;&gt;"", TEXT(F353, "yyyy-mm"), "")</f>
        <v/>
      </c>
    </row>
    <row r="354">
      <c r="A354" t="inlineStr">
        <is>
          <t>RP0000353</t>
        </is>
      </c>
      <c r="B354" t="inlineStr">
        <is>
          <t>LN200055</t>
        </is>
      </c>
      <c r="C354" t="n">
        <v>2</v>
      </c>
      <c r="D354" s="8" t="n">
        <v>46296</v>
      </c>
      <c r="E354" s="9" t="n">
        <v>12265</v>
      </c>
      <c r="F354" s="8" t="n"/>
      <c r="G354" s="9" t="n">
        <v>0</v>
      </c>
      <c r="H354" t="inlineStr">
        <is>
          <t>NOT_DUE</t>
        </is>
      </c>
      <c r="I354">
        <f>IF(H354="UNPAID", AsOfDate-D354, 0)</f>
        <v/>
      </c>
      <c r="J354">
        <f>IF(F354&lt;&gt;"", TEXT(F354, "yyyy-mm"), "")</f>
        <v/>
      </c>
    </row>
    <row r="355">
      <c r="A355" t="inlineStr">
        <is>
          <t>RP0000354</t>
        </is>
      </c>
      <c r="B355" t="inlineStr">
        <is>
          <t>LN200055</t>
        </is>
      </c>
      <c r="C355" t="n">
        <v>3</v>
      </c>
      <c r="D355" s="8" t="n">
        <v>46327</v>
      </c>
      <c r="E355" s="9" t="n">
        <v>12265</v>
      </c>
      <c r="F355" s="8" t="n"/>
      <c r="G355" s="9" t="n">
        <v>0</v>
      </c>
      <c r="H355" t="inlineStr">
        <is>
          <t>NOT_DUE</t>
        </is>
      </c>
      <c r="I355">
        <f>IF(H355="UNPAID", AsOfDate-D355, 0)</f>
        <v/>
      </c>
      <c r="J355">
        <f>IF(F355&lt;&gt;"", TEXT(F355, "yyyy-mm"), "")</f>
        <v/>
      </c>
    </row>
    <row r="356">
      <c r="A356" t="inlineStr">
        <is>
          <t>RP0000355</t>
        </is>
      </c>
      <c r="B356" t="inlineStr">
        <is>
          <t>LN200055</t>
        </is>
      </c>
      <c r="C356" t="n">
        <v>4</v>
      </c>
      <c r="D356" s="8" t="n">
        <v>46357</v>
      </c>
      <c r="E356" s="9" t="n">
        <v>12265</v>
      </c>
      <c r="F356" s="8" t="n"/>
      <c r="G356" s="9" t="n">
        <v>0</v>
      </c>
      <c r="H356" t="inlineStr">
        <is>
          <t>NOT_DUE</t>
        </is>
      </c>
      <c r="I356">
        <f>IF(H356="UNPAID", AsOfDate-D356, 0)</f>
        <v/>
      </c>
      <c r="J356">
        <f>IF(F356&lt;&gt;"", TEXT(F356, "yyyy-mm"), "")</f>
        <v/>
      </c>
    </row>
    <row r="357">
      <c r="A357" t="inlineStr">
        <is>
          <t>RP0000356</t>
        </is>
      </c>
      <c r="B357" t="inlineStr">
        <is>
          <t>LN200055</t>
        </is>
      </c>
      <c r="C357" t="n">
        <v>5</v>
      </c>
      <c r="D357" s="8" t="n">
        <v>46388</v>
      </c>
      <c r="E357" s="9" t="n">
        <v>12265</v>
      </c>
      <c r="F357" s="8" t="n"/>
      <c r="G357" s="9" t="n">
        <v>0</v>
      </c>
      <c r="H357" t="inlineStr">
        <is>
          <t>NOT_DUE</t>
        </is>
      </c>
      <c r="I357">
        <f>IF(H357="UNPAID", AsOfDate-D357, 0)</f>
        <v/>
      </c>
      <c r="J357">
        <f>IF(F357&lt;&gt;"", TEXT(F357, "yyyy-mm"), "")</f>
        <v/>
      </c>
    </row>
    <row r="358">
      <c r="A358" t="inlineStr">
        <is>
          <t>RP0000357</t>
        </is>
      </c>
      <c r="B358" t="inlineStr">
        <is>
          <t>LN200055</t>
        </is>
      </c>
      <c r="C358" t="n">
        <v>6</v>
      </c>
      <c r="D358" s="8" t="n">
        <v>46419</v>
      </c>
      <c r="E358" s="9" t="n">
        <v>12265</v>
      </c>
      <c r="F358" s="8" t="n"/>
      <c r="G358" s="9" t="n">
        <v>0</v>
      </c>
      <c r="H358" t="inlineStr">
        <is>
          <t>NOT_DUE</t>
        </is>
      </c>
      <c r="I358">
        <f>IF(H358="UNPAID", AsOfDate-D358, 0)</f>
        <v/>
      </c>
      <c r="J358">
        <f>IF(F358&lt;&gt;"", TEXT(F358, "yyyy-mm"), "")</f>
        <v/>
      </c>
    </row>
    <row r="359">
      <c r="A359" t="inlineStr">
        <is>
          <t>RP0000358</t>
        </is>
      </c>
      <c r="B359" t="inlineStr">
        <is>
          <t>LN200056</t>
        </is>
      </c>
      <c r="C359" t="n">
        <v>1</v>
      </c>
      <c r="D359" s="8" t="n">
        <v>46197</v>
      </c>
      <c r="E359" s="9" t="n">
        <v>15036</v>
      </c>
      <c r="F359" s="8" t="n">
        <v>46201</v>
      </c>
      <c r="G359" s="9" t="n">
        <v>15036</v>
      </c>
      <c r="H359" t="inlineStr">
        <is>
          <t>PAID_ON_TIME</t>
        </is>
      </c>
      <c r="I359">
        <f>IF(H359="UNPAID", AsOfDate-D359, 0)</f>
        <v/>
      </c>
      <c r="J359">
        <f>IF(F359&lt;&gt;"", TEXT(F359, "yyyy-mm"), "")</f>
        <v/>
      </c>
    </row>
    <row r="360">
      <c r="A360" t="inlineStr">
        <is>
          <t>RP0000359</t>
        </is>
      </c>
      <c r="B360" t="inlineStr">
        <is>
          <t>LN200056</t>
        </is>
      </c>
      <c r="C360" t="n">
        <v>2</v>
      </c>
      <c r="D360" s="8" t="n">
        <v>46227</v>
      </c>
      <c r="E360" s="9" t="n">
        <v>15036</v>
      </c>
      <c r="F360" s="8" t="n">
        <v>46231</v>
      </c>
      <c r="G360" s="9" t="n">
        <v>15036</v>
      </c>
      <c r="H360" t="inlineStr">
        <is>
          <t>PAID_ON_TIME</t>
        </is>
      </c>
      <c r="I360">
        <f>IF(H360="UNPAID", AsOfDate-D360, 0)</f>
        <v/>
      </c>
      <c r="J360">
        <f>IF(F360&lt;&gt;"", TEXT(F360, "yyyy-mm"), "")</f>
        <v/>
      </c>
    </row>
    <row r="361">
      <c r="A361" t="inlineStr">
        <is>
          <t>RP0000360</t>
        </is>
      </c>
      <c r="B361" t="inlineStr">
        <is>
          <t>LN200056</t>
        </is>
      </c>
      <c r="C361" t="n">
        <v>3</v>
      </c>
      <c r="D361" s="8" t="n">
        <v>46258</v>
      </c>
      <c r="E361" s="9" t="n">
        <v>15036</v>
      </c>
      <c r="F361" s="8" t="n">
        <v>46259</v>
      </c>
      <c r="G361" s="9" t="n">
        <v>15036</v>
      </c>
      <c r="H361" t="inlineStr">
        <is>
          <t>PAID_ON_TIME</t>
        </is>
      </c>
      <c r="I361">
        <f>IF(H361="UNPAID", AsOfDate-D361, 0)</f>
        <v/>
      </c>
      <c r="J361">
        <f>IF(F361&lt;&gt;"", TEXT(F361, "yyyy-mm"), "")</f>
        <v/>
      </c>
    </row>
    <row r="362">
      <c r="A362" t="inlineStr">
        <is>
          <t>RP0000361</t>
        </is>
      </c>
      <c r="B362" t="inlineStr">
        <is>
          <t>LN200056</t>
        </is>
      </c>
      <c r="C362" t="n">
        <v>4</v>
      </c>
      <c r="D362" s="8" t="n">
        <v>46289</v>
      </c>
      <c r="E362" s="9" t="n">
        <v>15036</v>
      </c>
      <c r="F362" s="8" t="n"/>
      <c r="G362" s="9" t="n">
        <v>0</v>
      </c>
      <c r="H362" t="inlineStr">
        <is>
          <t>NOT_DUE</t>
        </is>
      </c>
      <c r="I362">
        <f>IF(H362="UNPAID", AsOfDate-D362, 0)</f>
        <v/>
      </c>
      <c r="J362">
        <f>IF(F362&lt;&gt;"", TEXT(F362, "yyyy-mm"), "")</f>
        <v/>
      </c>
    </row>
    <row r="363">
      <c r="A363" t="inlineStr">
        <is>
          <t>RP0000362</t>
        </is>
      </c>
      <c r="B363" t="inlineStr">
        <is>
          <t>LN200056</t>
        </is>
      </c>
      <c r="C363" t="n">
        <v>5</v>
      </c>
      <c r="D363" s="8" t="n">
        <v>46319</v>
      </c>
      <c r="E363" s="9" t="n">
        <v>15036</v>
      </c>
      <c r="F363" s="8" t="n"/>
      <c r="G363" s="9" t="n">
        <v>0</v>
      </c>
      <c r="H363" t="inlineStr">
        <is>
          <t>NOT_DUE</t>
        </is>
      </c>
      <c r="I363">
        <f>IF(H363="UNPAID", AsOfDate-D363, 0)</f>
        <v/>
      </c>
      <c r="J363">
        <f>IF(F363&lt;&gt;"", TEXT(F363, "yyyy-mm"), "")</f>
        <v/>
      </c>
    </row>
    <row r="364">
      <c r="A364" t="inlineStr">
        <is>
          <t>RP0000363</t>
        </is>
      </c>
      <c r="B364" t="inlineStr">
        <is>
          <t>LN200056</t>
        </is>
      </c>
      <c r="C364" t="n">
        <v>6</v>
      </c>
      <c r="D364" s="8" t="n">
        <v>46350</v>
      </c>
      <c r="E364" s="9" t="n">
        <v>15036</v>
      </c>
      <c r="F364" s="8" t="n"/>
      <c r="G364" s="9" t="n">
        <v>0</v>
      </c>
      <c r="H364" t="inlineStr">
        <is>
          <t>NOT_DUE</t>
        </is>
      </c>
      <c r="I364">
        <f>IF(H364="UNPAID", AsOfDate-D364, 0)</f>
        <v/>
      </c>
      <c r="J364">
        <f>IF(F364&lt;&gt;"", TEXT(F364, "yyyy-mm"), "")</f>
        <v/>
      </c>
    </row>
    <row r="365">
      <c r="A365" t="inlineStr">
        <is>
          <t>RP0000364</t>
        </is>
      </c>
      <c r="B365" t="inlineStr">
        <is>
          <t>LN200057</t>
        </is>
      </c>
      <c r="C365" t="n">
        <v>1</v>
      </c>
      <c r="D365" s="8" t="n">
        <v>45875</v>
      </c>
      <c r="E365" s="9" t="n">
        <v>7887</v>
      </c>
      <c r="F365" s="8" t="n">
        <v>45936</v>
      </c>
      <c r="G365" s="9" t="n">
        <v>7887</v>
      </c>
      <c r="H365" t="inlineStr">
        <is>
          <t>PAID_LATE</t>
        </is>
      </c>
      <c r="I365">
        <f>IF(H365="UNPAID", AsOfDate-D365, 0)</f>
        <v/>
      </c>
      <c r="J365">
        <f>IF(F365&lt;&gt;"", TEXT(F365, "yyyy-mm"), "")</f>
        <v/>
      </c>
    </row>
    <row r="366">
      <c r="A366" t="inlineStr">
        <is>
          <t>RP0000365</t>
        </is>
      </c>
      <c r="B366" t="inlineStr">
        <is>
          <t>LN200057</t>
        </is>
      </c>
      <c r="C366" t="n">
        <v>2</v>
      </c>
      <c r="D366" s="8" t="n">
        <v>45906</v>
      </c>
      <c r="E366" s="9" t="n">
        <v>7887</v>
      </c>
      <c r="F366" s="8" t="n">
        <v>45904</v>
      </c>
      <c r="G366" s="9" t="n">
        <v>7887</v>
      </c>
      <c r="H366" t="inlineStr">
        <is>
          <t>PAID_ON_TIME</t>
        </is>
      </c>
      <c r="I366">
        <f>IF(H366="UNPAID", AsOfDate-D366, 0)</f>
        <v/>
      </c>
      <c r="J366">
        <f>IF(F366&lt;&gt;"", TEXT(F366, "yyyy-mm"), "")</f>
        <v/>
      </c>
    </row>
    <row r="367">
      <c r="A367" t="inlineStr">
        <is>
          <t>RP0000366</t>
        </is>
      </c>
      <c r="B367" t="inlineStr">
        <is>
          <t>LN200057</t>
        </is>
      </c>
      <c r="C367" t="n">
        <v>3</v>
      </c>
      <c r="D367" s="8" t="n">
        <v>45936</v>
      </c>
      <c r="E367" s="9" t="n">
        <v>7887</v>
      </c>
      <c r="F367" s="8" t="n">
        <v>45936</v>
      </c>
      <c r="G367" s="9" t="n">
        <v>7887</v>
      </c>
      <c r="H367" t="inlineStr">
        <is>
          <t>PAID_ON_TIME</t>
        </is>
      </c>
      <c r="I367">
        <f>IF(H367="UNPAID", AsOfDate-D367, 0)</f>
        <v/>
      </c>
      <c r="J367">
        <f>IF(F367&lt;&gt;"", TEXT(F367, "yyyy-mm"), "")</f>
        <v/>
      </c>
    </row>
    <row r="368">
      <c r="A368" t="inlineStr">
        <is>
          <t>RP0000367</t>
        </is>
      </c>
      <c r="B368" t="inlineStr">
        <is>
          <t>LN200057</t>
        </is>
      </c>
      <c r="C368" t="n">
        <v>4</v>
      </c>
      <c r="D368" s="8" t="n">
        <v>45967</v>
      </c>
      <c r="E368" s="9" t="n">
        <v>7887</v>
      </c>
      <c r="F368" s="8" t="n"/>
      <c r="G368" s="9" t="n">
        <v>0</v>
      </c>
      <c r="H368" t="inlineStr">
        <is>
          <t>UNPAID</t>
        </is>
      </c>
      <c r="I368">
        <f>IF(H368="UNPAID", AsOfDate-D368, 0)</f>
        <v/>
      </c>
      <c r="J368">
        <f>IF(F368&lt;&gt;"", TEXT(F368, "yyyy-mm"), "")</f>
        <v/>
      </c>
    </row>
    <row r="369">
      <c r="A369" t="inlineStr">
        <is>
          <t>RP0000368</t>
        </is>
      </c>
      <c r="B369" t="inlineStr">
        <is>
          <t>LN200057</t>
        </is>
      </c>
      <c r="C369" t="n">
        <v>5</v>
      </c>
      <c r="D369" s="8" t="n">
        <v>45997</v>
      </c>
      <c r="E369" s="9" t="n">
        <v>7887</v>
      </c>
      <c r="F369" s="8" t="n">
        <v>46000</v>
      </c>
      <c r="G369" s="9" t="n">
        <v>7887</v>
      </c>
      <c r="H369" t="inlineStr">
        <is>
          <t>PAID_ON_TIME</t>
        </is>
      </c>
      <c r="I369">
        <f>IF(H369="UNPAID", AsOfDate-D369, 0)</f>
        <v/>
      </c>
      <c r="J369">
        <f>IF(F369&lt;&gt;"", TEXT(F369, "yyyy-mm"), "")</f>
        <v/>
      </c>
    </row>
    <row r="370">
      <c r="A370" t="inlineStr">
        <is>
          <t>RP0000369</t>
        </is>
      </c>
      <c r="B370" t="inlineStr">
        <is>
          <t>LN200057</t>
        </is>
      </c>
      <c r="C370" t="n">
        <v>6</v>
      </c>
      <c r="D370" s="8" t="n">
        <v>46028</v>
      </c>
      <c r="E370" s="9" t="n">
        <v>7887</v>
      </c>
      <c r="F370" s="8" t="n">
        <v>46026</v>
      </c>
      <c r="G370" s="9" t="n">
        <v>7887</v>
      </c>
      <c r="H370" t="inlineStr">
        <is>
          <t>PAID_ON_TIME</t>
        </is>
      </c>
      <c r="I370">
        <f>IF(H370="UNPAID", AsOfDate-D370, 0)</f>
        <v/>
      </c>
      <c r="J370">
        <f>IF(F370&lt;&gt;"", TEXT(F370, "yyyy-mm"), "")</f>
        <v/>
      </c>
    </row>
    <row r="371">
      <c r="A371" t="inlineStr">
        <is>
          <t>RP0000370</t>
        </is>
      </c>
      <c r="B371" t="inlineStr">
        <is>
          <t>LN200058</t>
        </is>
      </c>
      <c r="C371" t="n">
        <v>1</v>
      </c>
      <c r="D371" s="8" t="n">
        <v>45786</v>
      </c>
      <c r="E371" s="9" t="n">
        <v>1900</v>
      </c>
      <c r="F371" s="8" t="n">
        <v>45902</v>
      </c>
      <c r="G371" s="9" t="n">
        <v>1900</v>
      </c>
      <c r="H371" t="inlineStr">
        <is>
          <t>PAID_LATE</t>
        </is>
      </c>
      <c r="I371">
        <f>IF(H371="UNPAID", AsOfDate-D371, 0)</f>
        <v/>
      </c>
      <c r="J371">
        <f>IF(F371&lt;&gt;"", TEXT(F371, "yyyy-mm"), "")</f>
        <v/>
      </c>
    </row>
    <row r="372">
      <c r="A372" t="inlineStr">
        <is>
          <t>RP0000371</t>
        </is>
      </c>
      <c r="B372" t="inlineStr">
        <is>
          <t>LN200058</t>
        </is>
      </c>
      <c r="C372" t="n">
        <v>2</v>
      </c>
      <c r="D372" s="8" t="n">
        <v>45817</v>
      </c>
      <c r="E372" s="9" t="n">
        <v>1900</v>
      </c>
      <c r="F372" s="8" t="n">
        <v>45816</v>
      </c>
      <c r="G372" s="9" t="n">
        <v>1900</v>
      </c>
      <c r="H372" t="inlineStr">
        <is>
          <t>PAID_ON_TIME</t>
        </is>
      </c>
      <c r="I372">
        <f>IF(H372="UNPAID", AsOfDate-D372, 0)</f>
        <v/>
      </c>
      <c r="J372">
        <f>IF(F372&lt;&gt;"", TEXT(F372, "yyyy-mm"), "")</f>
        <v/>
      </c>
    </row>
    <row r="373">
      <c r="A373" t="inlineStr">
        <is>
          <t>RP0000372</t>
        </is>
      </c>
      <c r="B373" t="inlineStr">
        <is>
          <t>LN200058</t>
        </is>
      </c>
      <c r="C373" t="n">
        <v>3</v>
      </c>
      <c r="D373" s="8" t="n">
        <v>45847</v>
      </c>
      <c r="E373" s="9" t="n">
        <v>1900</v>
      </c>
      <c r="F373" s="8" t="n"/>
      <c r="G373" s="9" t="n">
        <v>0</v>
      </c>
      <c r="H373" t="inlineStr">
        <is>
          <t>UNPAID</t>
        </is>
      </c>
      <c r="I373">
        <f>IF(H373="UNPAID", AsOfDate-D373, 0)</f>
        <v/>
      </c>
      <c r="J373">
        <f>IF(F373&lt;&gt;"", TEXT(F373, "yyyy-mm"), "")</f>
        <v/>
      </c>
    </row>
    <row r="374">
      <c r="A374" t="inlineStr">
        <is>
          <t>RP0000373</t>
        </is>
      </c>
      <c r="B374" t="inlineStr">
        <is>
          <t>LN200058</t>
        </is>
      </c>
      <c r="C374" t="n">
        <v>4</v>
      </c>
      <c r="D374" s="8" t="n">
        <v>45878</v>
      </c>
      <c r="E374" s="9" t="n">
        <v>1900</v>
      </c>
      <c r="F374" s="8" t="n">
        <v>45954</v>
      </c>
      <c r="G374" s="9" t="n">
        <v>1900</v>
      </c>
      <c r="H374" t="inlineStr">
        <is>
          <t>PAID_LATE</t>
        </is>
      </c>
      <c r="I374">
        <f>IF(H374="UNPAID", AsOfDate-D374, 0)</f>
        <v/>
      </c>
      <c r="J374">
        <f>IF(F374&lt;&gt;"", TEXT(F374, "yyyy-mm"), "")</f>
        <v/>
      </c>
    </row>
    <row r="375">
      <c r="A375" t="inlineStr">
        <is>
          <t>RP0000374</t>
        </is>
      </c>
      <c r="B375" t="inlineStr">
        <is>
          <t>LN200058</t>
        </is>
      </c>
      <c r="C375" t="n">
        <v>5</v>
      </c>
      <c r="D375" s="8" t="n">
        <v>45909</v>
      </c>
      <c r="E375" s="9" t="n">
        <v>1900</v>
      </c>
      <c r="F375" s="8" t="n">
        <v>45907</v>
      </c>
      <c r="G375" s="9" t="n">
        <v>1900</v>
      </c>
      <c r="H375" t="inlineStr">
        <is>
          <t>PAID_ON_TIME</t>
        </is>
      </c>
      <c r="I375">
        <f>IF(H375="UNPAID", AsOfDate-D375, 0)</f>
        <v/>
      </c>
      <c r="J375">
        <f>IF(F375&lt;&gt;"", TEXT(F375, "yyyy-mm"), "")</f>
        <v/>
      </c>
    </row>
    <row r="376">
      <c r="A376" t="inlineStr">
        <is>
          <t>RP0000375</t>
        </is>
      </c>
      <c r="B376" t="inlineStr">
        <is>
          <t>LN200058</t>
        </is>
      </c>
      <c r="C376" t="n">
        <v>6</v>
      </c>
      <c r="D376" s="8" t="n">
        <v>45939</v>
      </c>
      <c r="E376" s="9" t="n">
        <v>1900</v>
      </c>
      <c r="F376" s="8" t="n">
        <v>45940</v>
      </c>
      <c r="G376" s="9" t="n">
        <v>1900</v>
      </c>
      <c r="H376" t="inlineStr">
        <is>
          <t>PAID_ON_TIME</t>
        </is>
      </c>
      <c r="I376">
        <f>IF(H376="UNPAID", AsOfDate-D376, 0)</f>
        <v/>
      </c>
      <c r="J376">
        <f>IF(F376&lt;&gt;"", TEXT(F376, "yyyy-mm"), "")</f>
        <v/>
      </c>
    </row>
    <row r="377">
      <c r="A377" t="inlineStr">
        <is>
          <t>RP0000376</t>
        </is>
      </c>
      <c r="B377" t="inlineStr">
        <is>
          <t>LN200058</t>
        </is>
      </c>
      <c r="C377" t="n">
        <v>7</v>
      </c>
      <c r="D377" s="8" t="n">
        <v>45970</v>
      </c>
      <c r="E377" s="9" t="n">
        <v>1900</v>
      </c>
      <c r="F377" s="8" t="n">
        <v>45973</v>
      </c>
      <c r="G377" s="9" t="n">
        <v>1900</v>
      </c>
      <c r="H377" t="inlineStr">
        <is>
          <t>PAID_ON_TIME</t>
        </is>
      </c>
      <c r="I377">
        <f>IF(H377="UNPAID", AsOfDate-D377, 0)</f>
        <v/>
      </c>
      <c r="J377">
        <f>IF(F377&lt;&gt;"", TEXT(F377, "yyyy-mm"), "")</f>
        <v/>
      </c>
    </row>
    <row r="378">
      <c r="A378" t="inlineStr">
        <is>
          <t>RP0000377</t>
        </is>
      </c>
      <c r="B378" t="inlineStr">
        <is>
          <t>LN200058</t>
        </is>
      </c>
      <c r="C378" t="n">
        <v>8</v>
      </c>
      <c r="D378" s="8" t="n">
        <v>46000</v>
      </c>
      <c r="E378" s="9" t="n">
        <v>1900</v>
      </c>
      <c r="F378" s="8" t="n">
        <v>46029</v>
      </c>
      <c r="G378" s="9" t="n">
        <v>1900</v>
      </c>
      <c r="H378" t="inlineStr">
        <is>
          <t>PAID_LATE</t>
        </is>
      </c>
      <c r="I378">
        <f>IF(H378="UNPAID", AsOfDate-D378, 0)</f>
        <v/>
      </c>
      <c r="J378">
        <f>IF(F378&lt;&gt;"", TEXT(F378, "yyyy-mm"), "")</f>
        <v/>
      </c>
    </row>
    <row r="379">
      <c r="A379" t="inlineStr">
        <is>
          <t>RP0000378</t>
        </is>
      </c>
      <c r="B379" t="inlineStr">
        <is>
          <t>LN200058</t>
        </is>
      </c>
      <c r="C379" t="n">
        <v>9</v>
      </c>
      <c r="D379" s="8" t="n">
        <v>46031</v>
      </c>
      <c r="E379" s="9" t="n">
        <v>1900</v>
      </c>
      <c r="F379" s="8" t="n">
        <v>46033</v>
      </c>
      <c r="G379" s="9" t="n">
        <v>1900</v>
      </c>
      <c r="H379" t="inlineStr">
        <is>
          <t>PAID_ON_TIME</t>
        </is>
      </c>
      <c r="I379">
        <f>IF(H379="UNPAID", AsOfDate-D379, 0)</f>
        <v/>
      </c>
      <c r="J379">
        <f>IF(F379&lt;&gt;"", TEXT(F379, "yyyy-mm"), "")</f>
        <v/>
      </c>
    </row>
    <row r="380">
      <c r="A380" t="inlineStr">
        <is>
          <t>RP0000379</t>
        </is>
      </c>
      <c r="B380" t="inlineStr">
        <is>
          <t>LN200058</t>
        </is>
      </c>
      <c r="C380" t="n">
        <v>10</v>
      </c>
      <c r="D380" s="8" t="n">
        <v>46062</v>
      </c>
      <c r="E380" s="9" t="n">
        <v>1900</v>
      </c>
      <c r="F380" s="8" t="n">
        <v>46168</v>
      </c>
      <c r="G380" s="9" t="n">
        <v>1900</v>
      </c>
      <c r="H380" t="inlineStr">
        <is>
          <t>PAID_LATE</t>
        </is>
      </c>
      <c r="I380">
        <f>IF(H380="UNPAID", AsOfDate-D380, 0)</f>
        <v/>
      </c>
      <c r="J380">
        <f>IF(F380&lt;&gt;"", TEXT(F380, "yyyy-mm"), "")</f>
        <v/>
      </c>
    </row>
    <row r="381">
      <c r="A381" t="inlineStr">
        <is>
          <t>RP0000380</t>
        </is>
      </c>
      <c r="B381" t="inlineStr">
        <is>
          <t>LN200058</t>
        </is>
      </c>
      <c r="C381" t="n">
        <v>11</v>
      </c>
      <c r="D381" s="8" t="n">
        <v>46090</v>
      </c>
      <c r="E381" s="9" t="n">
        <v>1900</v>
      </c>
      <c r="F381" s="8" t="n">
        <v>46090</v>
      </c>
      <c r="G381" s="9" t="n">
        <v>1900</v>
      </c>
      <c r="H381" t="inlineStr">
        <is>
          <t>PAID_ON_TIME</t>
        </is>
      </c>
      <c r="I381">
        <f>IF(H381="UNPAID", AsOfDate-D381, 0)</f>
        <v/>
      </c>
      <c r="J381">
        <f>IF(F381&lt;&gt;"", TEXT(F381, "yyyy-mm"), "")</f>
        <v/>
      </c>
    </row>
    <row r="382">
      <c r="A382" t="inlineStr">
        <is>
          <t>RP0000381</t>
        </is>
      </c>
      <c r="B382" t="inlineStr">
        <is>
          <t>LN200058</t>
        </is>
      </c>
      <c r="C382" t="n">
        <v>12</v>
      </c>
      <c r="D382" s="8" t="n">
        <v>46121</v>
      </c>
      <c r="E382" s="9" t="n">
        <v>1900</v>
      </c>
      <c r="F382" s="8" t="n">
        <v>46140</v>
      </c>
      <c r="G382" s="9" t="n">
        <v>1900</v>
      </c>
      <c r="H382" t="inlineStr">
        <is>
          <t>PAID_LATE</t>
        </is>
      </c>
      <c r="I382">
        <f>IF(H382="UNPAID", AsOfDate-D382, 0)</f>
        <v/>
      </c>
      <c r="J382">
        <f>IF(F382&lt;&gt;"", TEXT(F382, "yyyy-mm"), "")</f>
        <v/>
      </c>
    </row>
    <row r="383">
      <c r="A383" t="inlineStr">
        <is>
          <t>RP0000382</t>
        </is>
      </c>
      <c r="B383" t="inlineStr">
        <is>
          <t>LN200059</t>
        </is>
      </c>
      <c r="C383" t="n">
        <v>1</v>
      </c>
      <c r="D383" s="8" t="n">
        <v>45920</v>
      </c>
      <c r="E383" s="9" t="n">
        <v>20150.67</v>
      </c>
      <c r="F383" s="8" t="n">
        <v>46008</v>
      </c>
      <c r="G383" s="9" t="n">
        <v>20150.67</v>
      </c>
      <c r="H383" t="inlineStr">
        <is>
          <t>PAID_LATE</t>
        </is>
      </c>
      <c r="I383">
        <f>IF(H383="UNPAID", AsOfDate-D383, 0)</f>
        <v/>
      </c>
      <c r="J383">
        <f>IF(F383&lt;&gt;"", TEXT(F383, "yyyy-mm"), "")</f>
        <v/>
      </c>
    </row>
    <row r="384">
      <c r="A384" t="inlineStr">
        <is>
          <t>RP0000383</t>
        </is>
      </c>
      <c r="B384" t="inlineStr">
        <is>
          <t>LN200059</t>
        </is>
      </c>
      <c r="C384" t="n">
        <v>2</v>
      </c>
      <c r="D384" s="8" t="n">
        <v>45950</v>
      </c>
      <c r="E384" s="9" t="n">
        <v>20150.67</v>
      </c>
      <c r="F384" s="8" t="n">
        <v>45947</v>
      </c>
      <c r="G384" s="9" t="n">
        <v>20150.67</v>
      </c>
      <c r="H384" t="inlineStr">
        <is>
          <t>PAID_ON_TIME</t>
        </is>
      </c>
      <c r="I384">
        <f>IF(H384="UNPAID", AsOfDate-D384, 0)</f>
        <v/>
      </c>
      <c r="J384">
        <f>IF(F384&lt;&gt;"", TEXT(F384, "yyyy-mm"), "")</f>
        <v/>
      </c>
    </row>
    <row r="385">
      <c r="A385" t="inlineStr">
        <is>
          <t>RP0000384</t>
        </is>
      </c>
      <c r="B385" t="inlineStr">
        <is>
          <t>LN200059</t>
        </is>
      </c>
      <c r="C385" t="n">
        <v>3</v>
      </c>
      <c r="D385" s="8" t="n">
        <v>45981</v>
      </c>
      <c r="E385" s="9" t="n">
        <v>20150.67</v>
      </c>
      <c r="F385" s="8" t="n">
        <v>45981</v>
      </c>
      <c r="G385" s="9" t="n">
        <v>20150.67</v>
      </c>
      <c r="H385" t="inlineStr">
        <is>
          <t>PAID_ON_TIME</t>
        </is>
      </c>
      <c r="I385">
        <f>IF(H385="UNPAID", AsOfDate-D385, 0)</f>
        <v/>
      </c>
      <c r="J385">
        <f>IF(F385&lt;&gt;"", TEXT(F385, "yyyy-mm"), "")</f>
        <v/>
      </c>
    </row>
    <row r="386">
      <c r="A386" t="inlineStr">
        <is>
          <t>RP0000385</t>
        </is>
      </c>
      <c r="B386" t="inlineStr">
        <is>
          <t>LN200059</t>
        </is>
      </c>
      <c r="C386" t="n">
        <v>4</v>
      </c>
      <c r="D386" s="8" t="n">
        <v>46011</v>
      </c>
      <c r="E386" s="9" t="n">
        <v>20150.67</v>
      </c>
      <c r="F386" s="8" t="n">
        <v>46011</v>
      </c>
      <c r="G386" s="9" t="n">
        <v>20150.67</v>
      </c>
      <c r="H386" t="inlineStr">
        <is>
          <t>PAID_ON_TIME</t>
        </is>
      </c>
      <c r="I386">
        <f>IF(H386="UNPAID", AsOfDate-D386, 0)</f>
        <v/>
      </c>
      <c r="J386">
        <f>IF(F386&lt;&gt;"", TEXT(F386, "yyyy-mm"), "")</f>
        <v/>
      </c>
    </row>
    <row r="387">
      <c r="A387" t="inlineStr">
        <is>
          <t>RP0000386</t>
        </is>
      </c>
      <c r="B387" t="inlineStr">
        <is>
          <t>LN200059</t>
        </is>
      </c>
      <c r="C387" t="n">
        <v>5</v>
      </c>
      <c r="D387" s="8" t="n">
        <v>46042</v>
      </c>
      <c r="E387" s="9" t="n">
        <v>20150.67</v>
      </c>
      <c r="F387" s="8" t="n">
        <v>46043</v>
      </c>
      <c r="G387" s="9" t="n">
        <v>20150.67</v>
      </c>
      <c r="H387" t="inlineStr">
        <is>
          <t>PAID_ON_TIME</t>
        </is>
      </c>
      <c r="I387">
        <f>IF(H387="UNPAID", AsOfDate-D387, 0)</f>
        <v/>
      </c>
      <c r="J387">
        <f>IF(F387&lt;&gt;"", TEXT(F387, "yyyy-mm"), "")</f>
        <v/>
      </c>
    </row>
    <row r="388">
      <c r="A388" t="inlineStr">
        <is>
          <t>RP0000387</t>
        </is>
      </c>
      <c r="B388" t="inlineStr">
        <is>
          <t>LN200059</t>
        </is>
      </c>
      <c r="C388" t="n">
        <v>6</v>
      </c>
      <c r="D388" s="8" t="n">
        <v>46073</v>
      </c>
      <c r="E388" s="9" t="n">
        <v>20150.67</v>
      </c>
      <c r="F388" s="8" t="n">
        <v>46075</v>
      </c>
      <c r="G388" s="9" t="n">
        <v>20150.67</v>
      </c>
      <c r="H388" t="inlineStr">
        <is>
          <t>PAID_ON_TIME</t>
        </is>
      </c>
      <c r="I388">
        <f>IF(H388="UNPAID", AsOfDate-D388, 0)</f>
        <v/>
      </c>
      <c r="J388">
        <f>IF(F388&lt;&gt;"", TEXT(F388, "yyyy-mm"), "")</f>
        <v/>
      </c>
    </row>
    <row r="389">
      <c r="A389" t="inlineStr">
        <is>
          <t>RP0000388</t>
        </is>
      </c>
      <c r="B389" t="inlineStr">
        <is>
          <t>LN200060</t>
        </is>
      </c>
      <c r="C389" t="n">
        <v>1</v>
      </c>
      <c r="D389" s="8" t="n">
        <v>45752</v>
      </c>
      <c r="E389" s="9" t="n">
        <v>141534.25</v>
      </c>
      <c r="F389" s="8" t="n">
        <v>45751</v>
      </c>
      <c r="G389" s="9" t="n">
        <v>141534.25</v>
      </c>
      <c r="H389" t="inlineStr">
        <is>
          <t>PAID_ON_TIME</t>
        </is>
      </c>
      <c r="I389">
        <f>IF(H389="UNPAID", AsOfDate-D389, 0)</f>
        <v/>
      </c>
      <c r="J389">
        <f>IF(F389&lt;&gt;"", TEXT(F389, "yyyy-mm"), "")</f>
        <v/>
      </c>
    </row>
    <row r="390">
      <c r="A390" t="inlineStr">
        <is>
          <t>RP0000389</t>
        </is>
      </c>
      <c r="B390" t="inlineStr">
        <is>
          <t>LN200060</t>
        </is>
      </c>
      <c r="C390" t="n">
        <v>2</v>
      </c>
      <c r="D390" s="8" t="n">
        <v>45782</v>
      </c>
      <c r="E390" s="9" t="n">
        <v>141534.25</v>
      </c>
      <c r="F390" s="8" t="n">
        <v>45781</v>
      </c>
      <c r="G390" s="9" t="n">
        <v>141534.25</v>
      </c>
      <c r="H390" t="inlineStr">
        <is>
          <t>PAID_ON_TIME</t>
        </is>
      </c>
      <c r="I390">
        <f>IF(H390="UNPAID", AsOfDate-D390, 0)</f>
        <v/>
      </c>
      <c r="J390">
        <f>IF(F390&lt;&gt;"", TEXT(F390, "yyyy-mm"), "")</f>
        <v/>
      </c>
    </row>
    <row r="391">
      <c r="A391" t="inlineStr">
        <is>
          <t>RP0000390</t>
        </is>
      </c>
      <c r="B391" t="inlineStr">
        <is>
          <t>LN200060</t>
        </is>
      </c>
      <c r="C391" t="n">
        <v>3</v>
      </c>
      <c r="D391" s="8" t="n">
        <v>45813</v>
      </c>
      <c r="E391" s="9" t="n">
        <v>141534.25</v>
      </c>
      <c r="F391" s="8" t="n">
        <v>45810</v>
      </c>
      <c r="G391" s="9" t="n">
        <v>141534.25</v>
      </c>
      <c r="H391" t="inlineStr">
        <is>
          <t>PAID_ON_TIME</t>
        </is>
      </c>
      <c r="I391">
        <f>IF(H391="UNPAID", AsOfDate-D391, 0)</f>
        <v/>
      </c>
      <c r="J391">
        <f>IF(F391&lt;&gt;"", TEXT(F391, "yyyy-mm"), "")</f>
        <v/>
      </c>
    </row>
    <row r="392">
      <c r="A392" t="inlineStr">
        <is>
          <t>RP0000391</t>
        </is>
      </c>
      <c r="B392" t="inlineStr">
        <is>
          <t>LN200061</t>
        </is>
      </c>
      <c r="C392" t="n">
        <v>1</v>
      </c>
      <c r="D392" s="8" t="n">
        <v>45833</v>
      </c>
      <c r="E392" s="9" t="n">
        <v>5148</v>
      </c>
      <c r="F392" s="8" t="n">
        <v>45836</v>
      </c>
      <c r="G392" s="9" t="n">
        <v>5148</v>
      </c>
      <c r="H392" t="inlineStr">
        <is>
          <t>PAID_ON_TIME</t>
        </is>
      </c>
      <c r="I392">
        <f>IF(H392="UNPAID", AsOfDate-D392, 0)</f>
        <v/>
      </c>
      <c r="J392">
        <f>IF(F392&lt;&gt;"", TEXT(F392, "yyyy-mm"), "")</f>
        <v/>
      </c>
    </row>
    <row r="393">
      <c r="A393" t="inlineStr">
        <is>
          <t>RP0000392</t>
        </is>
      </c>
      <c r="B393" t="inlineStr">
        <is>
          <t>LN200061</t>
        </is>
      </c>
      <c r="C393" t="n">
        <v>2</v>
      </c>
      <c r="D393" s="8" t="n">
        <v>45863</v>
      </c>
      <c r="E393" s="9" t="n">
        <v>5148</v>
      </c>
      <c r="F393" s="8" t="n">
        <v>45864</v>
      </c>
      <c r="G393" s="9" t="n">
        <v>5148</v>
      </c>
      <c r="H393" t="inlineStr">
        <is>
          <t>PAID_ON_TIME</t>
        </is>
      </c>
      <c r="I393">
        <f>IF(H393="UNPAID", AsOfDate-D393, 0)</f>
        <v/>
      </c>
      <c r="J393">
        <f>IF(F393&lt;&gt;"", TEXT(F393, "yyyy-mm"), "")</f>
        <v/>
      </c>
    </row>
    <row r="394">
      <c r="A394" t="inlineStr">
        <is>
          <t>RP0000393</t>
        </is>
      </c>
      <c r="B394" t="inlineStr">
        <is>
          <t>LN200061</t>
        </is>
      </c>
      <c r="C394" t="n">
        <v>3</v>
      </c>
      <c r="D394" s="8" t="n">
        <v>45894</v>
      </c>
      <c r="E394" s="9" t="n">
        <v>5148</v>
      </c>
      <c r="F394" s="8" t="n">
        <v>45894</v>
      </c>
      <c r="G394" s="9" t="n">
        <v>5148</v>
      </c>
      <c r="H394" t="inlineStr">
        <is>
          <t>PAID_ON_TIME</t>
        </is>
      </c>
      <c r="I394">
        <f>IF(H394="UNPAID", AsOfDate-D394, 0)</f>
        <v/>
      </c>
      <c r="J394">
        <f>IF(F394&lt;&gt;"", TEXT(F394, "yyyy-mm"), "")</f>
        <v/>
      </c>
    </row>
    <row r="395">
      <c r="A395" t="inlineStr">
        <is>
          <t>RP0000394</t>
        </is>
      </c>
      <c r="B395" t="inlineStr">
        <is>
          <t>LN200061</t>
        </is>
      </c>
      <c r="C395" t="n">
        <v>4</v>
      </c>
      <c r="D395" s="8" t="n">
        <v>45925</v>
      </c>
      <c r="E395" s="9" t="n">
        <v>5148</v>
      </c>
      <c r="F395" s="8" t="n">
        <v>45923</v>
      </c>
      <c r="G395" s="9" t="n">
        <v>5148</v>
      </c>
      <c r="H395" t="inlineStr">
        <is>
          <t>PAID_ON_TIME</t>
        </is>
      </c>
      <c r="I395">
        <f>IF(H395="UNPAID", AsOfDate-D395, 0)</f>
        <v/>
      </c>
      <c r="J395">
        <f>IF(F395&lt;&gt;"", TEXT(F395, "yyyy-mm"), "")</f>
        <v/>
      </c>
    </row>
    <row r="396">
      <c r="A396" t="inlineStr">
        <is>
          <t>RP0000395</t>
        </is>
      </c>
      <c r="B396" t="inlineStr">
        <is>
          <t>LN200061</t>
        </is>
      </c>
      <c r="C396" t="n">
        <v>5</v>
      </c>
      <c r="D396" s="8" t="n">
        <v>45955</v>
      </c>
      <c r="E396" s="9" t="n">
        <v>5148</v>
      </c>
      <c r="F396" s="8" t="n">
        <v>45989</v>
      </c>
      <c r="G396" s="9" t="n">
        <v>5148</v>
      </c>
      <c r="H396" t="inlineStr">
        <is>
          <t>PAID_LATE</t>
        </is>
      </c>
      <c r="I396">
        <f>IF(H396="UNPAID", AsOfDate-D396, 0)</f>
        <v/>
      </c>
      <c r="J396">
        <f>IF(F396&lt;&gt;"", TEXT(F396, "yyyy-mm"), "")</f>
        <v/>
      </c>
    </row>
    <row r="397">
      <c r="A397" t="inlineStr">
        <is>
          <t>RP0000396</t>
        </is>
      </c>
      <c r="B397" t="inlineStr">
        <is>
          <t>LN200061</t>
        </is>
      </c>
      <c r="C397" t="n">
        <v>6</v>
      </c>
      <c r="D397" s="8" t="n">
        <v>45986</v>
      </c>
      <c r="E397" s="9" t="n">
        <v>5148</v>
      </c>
      <c r="F397" s="8" t="n">
        <v>45989</v>
      </c>
      <c r="G397" s="9" t="n">
        <v>5148</v>
      </c>
      <c r="H397" t="inlineStr">
        <is>
          <t>PAID_ON_TIME</t>
        </is>
      </c>
      <c r="I397">
        <f>IF(H397="UNPAID", AsOfDate-D397, 0)</f>
        <v/>
      </c>
      <c r="J397">
        <f>IF(F397&lt;&gt;"", TEXT(F397, "yyyy-mm"), "")</f>
        <v/>
      </c>
    </row>
    <row r="398">
      <c r="A398" t="inlineStr">
        <is>
          <t>RP0000397</t>
        </is>
      </c>
      <c r="B398" t="inlineStr">
        <is>
          <t>LN200061</t>
        </is>
      </c>
      <c r="C398" t="n">
        <v>7</v>
      </c>
      <c r="D398" s="8" t="n">
        <v>46016</v>
      </c>
      <c r="E398" s="9" t="n">
        <v>5148</v>
      </c>
      <c r="F398" s="8" t="n">
        <v>46017</v>
      </c>
      <c r="G398" s="9" t="n">
        <v>5148</v>
      </c>
      <c r="H398" t="inlineStr">
        <is>
          <t>PAID_ON_TIME</t>
        </is>
      </c>
      <c r="I398">
        <f>IF(H398="UNPAID", AsOfDate-D398, 0)</f>
        <v/>
      </c>
      <c r="J398">
        <f>IF(F398&lt;&gt;"", TEXT(F398, "yyyy-mm"), "")</f>
        <v/>
      </c>
    </row>
    <row r="399">
      <c r="A399" t="inlineStr">
        <is>
          <t>RP0000398</t>
        </is>
      </c>
      <c r="B399" t="inlineStr">
        <is>
          <t>LN200061</t>
        </is>
      </c>
      <c r="C399" t="n">
        <v>8</v>
      </c>
      <c r="D399" s="8" t="n">
        <v>46047</v>
      </c>
      <c r="E399" s="9" t="n">
        <v>5148</v>
      </c>
      <c r="F399" s="8" t="n">
        <v>46045</v>
      </c>
      <c r="G399" s="9" t="n">
        <v>5148</v>
      </c>
      <c r="H399" t="inlineStr">
        <is>
          <t>PAID_ON_TIME</t>
        </is>
      </c>
      <c r="I399">
        <f>IF(H399="UNPAID", AsOfDate-D399, 0)</f>
        <v/>
      </c>
      <c r="J399">
        <f>IF(F399&lt;&gt;"", TEXT(F399, "yyyy-mm"), "")</f>
        <v/>
      </c>
    </row>
    <row r="400">
      <c r="A400" t="inlineStr">
        <is>
          <t>RP0000399</t>
        </is>
      </c>
      <c r="B400" t="inlineStr">
        <is>
          <t>LN200061</t>
        </is>
      </c>
      <c r="C400" t="n">
        <v>9</v>
      </c>
      <c r="D400" s="8" t="n">
        <v>46078</v>
      </c>
      <c r="E400" s="9" t="n">
        <v>5148</v>
      </c>
      <c r="F400" s="8" t="n">
        <v>46081</v>
      </c>
      <c r="G400" s="9" t="n">
        <v>5148</v>
      </c>
      <c r="H400" t="inlineStr">
        <is>
          <t>PAID_ON_TIME</t>
        </is>
      </c>
      <c r="I400">
        <f>IF(H400="UNPAID", AsOfDate-D400, 0)</f>
        <v/>
      </c>
      <c r="J400">
        <f>IF(F400&lt;&gt;"", TEXT(F400, "yyyy-mm"), "")</f>
        <v/>
      </c>
    </row>
    <row r="401">
      <c r="A401" t="inlineStr">
        <is>
          <t>RP0000400</t>
        </is>
      </c>
      <c r="B401" t="inlineStr">
        <is>
          <t>LN200061</t>
        </is>
      </c>
      <c r="C401" t="n">
        <v>10</v>
      </c>
      <c r="D401" s="8" t="n">
        <v>46106</v>
      </c>
      <c r="E401" s="9" t="n">
        <v>5148</v>
      </c>
      <c r="F401" s="8" t="n">
        <v>46103</v>
      </c>
      <c r="G401" s="9" t="n">
        <v>5148</v>
      </c>
      <c r="H401" t="inlineStr">
        <is>
          <t>PAID_ON_TIME</t>
        </is>
      </c>
      <c r="I401">
        <f>IF(H401="UNPAID", AsOfDate-D401, 0)</f>
        <v/>
      </c>
      <c r="J401">
        <f>IF(F401&lt;&gt;"", TEXT(F401, "yyyy-mm"), "")</f>
        <v/>
      </c>
    </row>
    <row r="402">
      <c r="A402" t="inlineStr">
        <is>
          <t>RP0000401</t>
        </is>
      </c>
      <c r="B402" t="inlineStr">
        <is>
          <t>LN200061</t>
        </is>
      </c>
      <c r="C402" t="n">
        <v>11</v>
      </c>
      <c r="D402" s="8" t="n">
        <v>46137</v>
      </c>
      <c r="E402" s="9" t="n">
        <v>5148</v>
      </c>
      <c r="F402" s="8" t="n">
        <v>46139</v>
      </c>
      <c r="G402" s="9" t="n">
        <v>5148</v>
      </c>
      <c r="H402" t="inlineStr">
        <is>
          <t>PAID_ON_TIME</t>
        </is>
      </c>
      <c r="I402">
        <f>IF(H402="UNPAID", AsOfDate-D402, 0)</f>
        <v/>
      </c>
      <c r="J402">
        <f>IF(F402&lt;&gt;"", TEXT(F402, "yyyy-mm"), "")</f>
        <v/>
      </c>
    </row>
    <row r="403">
      <c r="A403" t="inlineStr">
        <is>
          <t>RP0000402</t>
        </is>
      </c>
      <c r="B403" t="inlineStr">
        <is>
          <t>LN200061</t>
        </is>
      </c>
      <c r="C403" t="n">
        <v>12</v>
      </c>
      <c r="D403" s="8" t="n">
        <v>46167</v>
      </c>
      <c r="E403" s="9" t="n">
        <v>5148</v>
      </c>
      <c r="F403" s="8" t="n">
        <v>46170</v>
      </c>
      <c r="G403" s="9" t="n">
        <v>5148</v>
      </c>
      <c r="H403" t="inlineStr">
        <is>
          <t>PAID_ON_TIME</t>
        </is>
      </c>
      <c r="I403">
        <f>IF(H403="UNPAID", AsOfDate-D403, 0)</f>
        <v/>
      </c>
      <c r="J403">
        <f>IF(F403&lt;&gt;"", TEXT(F403, "yyyy-mm"), "")</f>
        <v/>
      </c>
    </row>
    <row r="404">
      <c r="A404" t="inlineStr">
        <is>
          <t>RP0000403</t>
        </is>
      </c>
      <c r="B404" t="inlineStr">
        <is>
          <t>LN200062</t>
        </is>
      </c>
      <c r="C404" t="n">
        <v>1</v>
      </c>
      <c r="D404" s="8" t="n">
        <v>46240</v>
      </c>
      <c r="E404" s="9" t="n">
        <v>17768</v>
      </c>
      <c r="F404" s="8" t="n">
        <v>46238</v>
      </c>
      <c r="G404" s="9" t="n">
        <v>17768</v>
      </c>
      <c r="H404" t="inlineStr">
        <is>
          <t>PAID_ON_TIME</t>
        </is>
      </c>
      <c r="I404">
        <f>IF(H404="UNPAID", AsOfDate-D404, 0)</f>
        <v/>
      </c>
      <c r="J404">
        <f>IF(F404&lt;&gt;"", TEXT(F404, "yyyy-mm"), "")</f>
        <v/>
      </c>
    </row>
    <row r="405">
      <c r="A405" t="inlineStr">
        <is>
          <t>RP0000404</t>
        </is>
      </c>
      <c r="B405" t="inlineStr">
        <is>
          <t>LN200062</t>
        </is>
      </c>
      <c r="C405" t="n">
        <v>2</v>
      </c>
      <c r="D405" s="8" t="n">
        <v>46271</v>
      </c>
      <c r="E405" s="9" t="n">
        <v>17768</v>
      </c>
      <c r="F405" s="8" t="n"/>
      <c r="G405" s="9" t="n">
        <v>0</v>
      </c>
      <c r="H405" t="inlineStr">
        <is>
          <t>NOT_DUE</t>
        </is>
      </c>
      <c r="I405">
        <f>IF(H405="UNPAID", AsOfDate-D405, 0)</f>
        <v/>
      </c>
      <c r="J405">
        <f>IF(F405&lt;&gt;"", TEXT(F405, "yyyy-mm"), "")</f>
        <v/>
      </c>
    </row>
    <row r="406">
      <c r="A406" t="inlineStr">
        <is>
          <t>RP0000405</t>
        </is>
      </c>
      <c r="B406" t="inlineStr">
        <is>
          <t>LN200062</t>
        </is>
      </c>
      <c r="C406" t="n">
        <v>3</v>
      </c>
      <c r="D406" s="8" t="n">
        <v>46301</v>
      </c>
      <c r="E406" s="9" t="n">
        <v>17768</v>
      </c>
      <c r="F406" s="8" t="n"/>
      <c r="G406" s="9" t="n">
        <v>0</v>
      </c>
      <c r="H406" t="inlineStr">
        <is>
          <t>NOT_DUE</t>
        </is>
      </c>
      <c r="I406">
        <f>IF(H406="UNPAID", AsOfDate-D406, 0)</f>
        <v/>
      </c>
      <c r="J406">
        <f>IF(F406&lt;&gt;"", TEXT(F406, "yyyy-mm"), "")</f>
        <v/>
      </c>
    </row>
    <row r="407">
      <c r="A407" t="inlineStr">
        <is>
          <t>RP0000406</t>
        </is>
      </c>
      <c r="B407" t="inlineStr">
        <is>
          <t>LN200062</t>
        </is>
      </c>
      <c r="C407" t="n">
        <v>4</v>
      </c>
      <c r="D407" s="8" t="n">
        <v>46332</v>
      </c>
      <c r="E407" s="9" t="n">
        <v>17768</v>
      </c>
      <c r="F407" s="8" t="n"/>
      <c r="G407" s="9" t="n">
        <v>0</v>
      </c>
      <c r="H407" t="inlineStr">
        <is>
          <t>NOT_DUE</t>
        </is>
      </c>
      <c r="I407">
        <f>IF(H407="UNPAID", AsOfDate-D407, 0)</f>
        <v/>
      </c>
      <c r="J407">
        <f>IF(F407&lt;&gt;"", TEXT(F407, "yyyy-mm"), "")</f>
        <v/>
      </c>
    </row>
    <row r="408">
      <c r="A408" t="inlineStr">
        <is>
          <t>RP0000407</t>
        </is>
      </c>
      <c r="B408" t="inlineStr">
        <is>
          <t>LN200062</t>
        </is>
      </c>
      <c r="C408" t="n">
        <v>5</v>
      </c>
      <c r="D408" s="8" t="n">
        <v>46362</v>
      </c>
      <c r="E408" s="9" t="n">
        <v>17768</v>
      </c>
      <c r="F408" s="8" t="n"/>
      <c r="G408" s="9" t="n">
        <v>0</v>
      </c>
      <c r="H408" t="inlineStr">
        <is>
          <t>NOT_DUE</t>
        </is>
      </c>
      <c r="I408">
        <f>IF(H408="UNPAID", AsOfDate-D408, 0)</f>
        <v/>
      </c>
      <c r="J408">
        <f>IF(F408&lt;&gt;"", TEXT(F408, "yyyy-mm"), "")</f>
        <v/>
      </c>
    </row>
    <row r="409">
      <c r="A409" t="inlineStr">
        <is>
          <t>RP0000408</t>
        </is>
      </c>
      <c r="B409" t="inlineStr">
        <is>
          <t>LN200062</t>
        </is>
      </c>
      <c r="C409" t="n">
        <v>6</v>
      </c>
      <c r="D409" s="8" t="n">
        <v>46393</v>
      </c>
      <c r="E409" s="9" t="n">
        <v>17768</v>
      </c>
      <c r="F409" s="8" t="n"/>
      <c r="G409" s="9" t="n">
        <v>0</v>
      </c>
      <c r="H409" t="inlineStr">
        <is>
          <t>NOT_DUE</t>
        </is>
      </c>
      <c r="I409">
        <f>IF(H409="UNPAID", AsOfDate-D409, 0)</f>
        <v/>
      </c>
      <c r="J409">
        <f>IF(F409&lt;&gt;"", TEXT(F409, "yyyy-mm"), "")</f>
        <v/>
      </c>
    </row>
    <row r="410">
      <c r="A410" t="inlineStr">
        <is>
          <t>RP0000409</t>
        </is>
      </c>
      <c r="B410" t="inlineStr">
        <is>
          <t>LN200063</t>
        </is>
      </c>
      <c r="C410" t="n">
        <v>1</v>
      </c>
      <c r="D410" s="8" t="n">
        <v>46123</v>
      </c>
      <c r="E410" s="9" t="n">
        <v>111626.67</v>
      </c>
      <c r="F410" s="8" t="n">
        <v>46124</v>
      </c>
      <c r="G410" s="9" t="n">
        <v>111626.67</v>
      </c>
      <c r="H410" t="inlineStr">
        <is>
          <t>PAID_ON_TIME</t>
        </is>
      </c>
      <c r="I410">
        <f>IF(H410="UNPAID", AsOfDate-D410, 0)</f>
        <v/>
      </c>
      <c r="J410">
        <f>IF(F410&lt;&gt;"", TEXT(F410, "yyyy-mm"), "")</f>
        <v/>
      </c>
    </row>
    <row r="411">
      <c r="A411" t="inlineStr">
        <is>
          <t>RP0000410</t>
        </is>
      </c>
      <c r="B411" t="inlineStr">
        <is>
          <t>LN200063</t>
        </is>
      </c>
      <c r="C411" t="n">
        <v>2</v>
      </c>
      <c r="D411" s="8" t="n">
        <v>46153</v>
      </c>
      <c r="E411" s="9" t="n">
        <v>111626.67</v>
      </c>
      <c r="F411" s="8" t="n">
        <v>46150</v>
      </c>
      <c r="G411" s="9" t="n">
        <v>111626.67</v>
      </c>
      <c r="H411" t="inlineStr">
        <is>
          <t>PAID_ON_TIME</t>
        </is>
      </c>
      <c r="I411">
        <f>IF(H411="UNPAID", AsOfDate-D411, 0)</f>
        <v/>
      </c>
      <c r="J411">
        <f>IF(F411&lt;&gt;"", TEXT(F411, "yyyy-mm"), "")</f>
        <v/>
      </c>
    </row>
    <row r="412">
      <c r="A412" t="inlineStr">
        <is>
          <t>RP0000411</t>
        </is>
      </c>
      <c r="B412" t="inlineStr">
        <is>
          <t>LN200063</t>
        </is>
      </c>
      <c r="C412" t="n">
        <v>3</v>
      </c>
      <c r="D412" s="8" t="n">
        <v>46184</v>
      </c>
      <c r="E412" s="9" t="n">
        <v>111626.67</v>
      </c>
      <c r="F412" s="8" t="n">
        <v>46188</v>
      </c>
      <c r="G412" s="9" t="n">
        <v>111626.67</v>
      </c>
      <c r="H412" t="inlineStr">
        <is>
          <t>PAID_ON_TIME</t>
        </is>
      </c>
      <c r="I412">
        <f>IF(H412="UNPAID", AsOfDate-D412, 0)</f>
        <v/>
      </c>
      <c r="J412">
        <f>IF(F412&lt;&gt;"", TEXT(F412, "yyyy-mm"), "")</f>
        <v/>
      </c>
    </row>
    <row r="413">
      <c r="A413" t="inlineStr">
        <is>
          <t>RP0000412</t>
        </is>
      </c>
      <c r="B413" t="inlineStr">
        <is>
          <t>LN200064</t>
        </is>
      </c>
      <c r="C413" t="n">
        <v>1</v>
      </c>
      <c r="D413" s="8" t="n">
        <v>46034</v>
      </c>
      <c r="E413" s="9" t="n">
        <v>7375.17</v>
      </c>
      <c r="F413" s="8" t="n">
        <v>46033</v>
      </c>
      <c r="G413" s="9" t="n">
        <v>7375.17</v>
      </c>
      <c r="H413" t="inlineStr">
        <is>
          <t>PAID_ON_TIME</t>
        </is>
      </c>
      <c r="I413">
        <f>IF(H413="UNPAID", AsOfDate-D413, 0)</f>
        <v/>
      </c>
      <c r="J413">
        <f>IF(F413&lt;&gt;"", TEXT(F413, "yyyy-mm"), "")</f>
        <v/>
      </c>
    </row>
    <row r="414">
      <c r="A414" t="inlineStr">
        <is>
          <t>RP0000413</t>
        </is>
      </c>
      <c r="B414" t="inlineStr">
        <is>
          <t>LN200064</t>
        </is>
      </c>
      <c r="C414" t="n">
        <v>2</v>
      </c>
      <c r="D414" s="8" t="n">
        <v>46065</v>
      </c>
      <c r="E414" s="9" t="n">
        <v>7375.17</v>
      </c>
      <c r="F414" s="8" t="n">
        <v>46066</v>
      </c>
      <c r="G414" s="9" t="n">
        <v>7375.17</v>
      </c>
      <c r="H414" t="inlineStr">
        <is>
          <t>PAID_ON_TIME</t>
        </is>
      </c>
      <c r="I414">
        <f>IF(H414="UNPAID", AsOfDate-D414, 0)</f>
        <v/>
      </c>
      <c r="J414">
        <f>IF(F414&lt;&gt;"", TEXT(F414, "yyyy-mm"), "")</f>
        <v/>
      </c>
    </row>
    <row r="415">
      <c r="A415" t="inlineStr">
        <is>
          <t>RP0000414</t>
        </is>
      </c>
      <c r="B415" t="inlineStr">
        <is>
          <t>LN200064</t>
        </is>
      </c>
      <c r="C415" t="n">
        <v>3</v>
      </c>
      <c r="D415" s="8" t="n">
        <v>46093</v>
      </c>
      <c r="E415" s="9" t="n">
        <v>7375.17</v>
      </c>
      <c r="F415" s="8" t="n">
        <v>46096</v>
      </c>
      <c r="G415" s="9" t="n">
        <v>7375.17</v>
      </c>
      <c r="H415" t="inlineStr">
        <is>
          <t>PAID_ON_TIME</t>
        </is>
      </c>
      <c r="I415">
        <f>IF(H415="UNPAID", AsOfDate-D415, 0)</f>
        <v/>
      </c>
      <c r="J415">
        <f>IF(F415&lt;&gt;"", TEXT(F415, "yyyy-mm"), "")</f>
        <v/>
      </c>
    </row>
    <row r="416">
      <c r="A416" t="inlineStr">
        <is>
          <t>RP0000415</t>
        </is>
      </c>
      <c r="B416" t="inlineStr">
        <is>
          <t>LN200064</t>
        </is>
      </c>
      <c r="C416" t="n">
        <v>4</v>
      </c>
      <c r="D416" s="8" t="n">
        <v>46124</v>
      </c>
      <c r="E416" s="9" t="n">
        <v>7375.17</v>
      </c>
      <c r="F416" s="8" t="n">
        <v>46128</v>
      </c>
      <c r="G416" s="9" t="n">
        <v>7375.17</v>
      </c>
      <c r="H416" t="inlineStr">
        <is>
          <t>PAID_ON_TIME</t>
        </is>
      </c>
      <c r="I416">
        <f>IF(H416="UNPAID", AsOfDate-D416, 0)</f>
        <v/>
      </c>
      <c r="J416">
        <f>IF(F416&lt;&gt;"", TEXT(F416, "yyyy-mm"), "")</f>
        <v/>
      </c>
    </row>
    <row r="417">
      <c r="A417" t="inlineStr">
        <is>
          <t>RP0000416</t>
        </is>
      </c>
      <c r="B417" t="inlineStr">
        <is>
          <t>LN200064</t>
        </is>
      </c>
      <c r="C417" t="n">
        <v>5</v>
      </c>
      <c r="D417" s="8" t="n">
        <v>46154</v>
      </c>
      <c r="E417" s="9" t="n">
        <v>7375.17</v>
      </c>
      <c r="F417" s="8" t="n">
        <v>46155</v>
      </c>
      <c r="G417" s="9" t="n">
        <v>7375.17</v>
      </c>
      <c r="H417" t="inlineStr">
        <is>
          <t>PAID_ON_TIME</t>
        </is>
      </c>
      <c r="I417">
        <f>IF(H417="UNPAID", AsOfDate-D417, 0)</f>
        <v/>
      </c>
      <c r="J417">
        <f>IF(F417&lt;&gt;"", TEXT(F417, "yyyy-mm"), "")</f>
        <v/>
      </c>
    </row>
    <row r="418">
      <c r="A418" t="inlineStr">
        <is>
          <t>RP0000417</t>
        </is>
      </c>
      <c r="B418" t="inlineStr">
        <is>
          <t>LN200064</t>
        </is>
      </c>
      <c r="C418" t="n">
        <v>6</v>
      </c>
      <c r="D418" s="8" t="n">
        <v>46185</v>
      </c>
      <c r="E418" s="9" t="n">
        <v>7375.17</v>
      </c>
      <c r="F418" s="8" t="n">
        <v>46183</v>
      </c>
      <c r="G418" s="9" t="n">
        <v>7375.17</v>
      </c>
      <c r="H418" t="inlineStr">
        <is>
          <t>PAID_ON_TIME</t>
        </is>
      </c>
      <c r="I418">
        <f>IF(H418="UNPAID", AsOfDate-D418, 0)</f>
        <v/>
      </c>
      <c r="J418">
        <f>IF(F418&lt;&gt;"", TEXT(F418, "yyyy-mm"), "")</f>
        <v/>
      </c>
    </row>
    <row r="419">
      <c r="A419" t="inlineStr">
        <is>
          <t>RP0000418</t>
        </is>
      </c>
      <c r="B419" t="inlineStr">
        <is>
          <t>LN200064</t>
        </is>
      </c>
      <c r="C419" t="n">
        <v>7</v>
      </c>
      <c r="D419" s="8" t="n">
        <v>46215</v>
      </c>
      <c r="E419" s="9" t="n">
        <v>7375.17</v>
      </c>
      <c r="F419" s="8" t="n">
        <v>46213</v>
      </c>
      <c r="G419" s="9" t="n">
        <v>7375.17</v>
      </c>
      <c r="H419" t="inlineStr">
        <is>
          <t>PAID_ON_TIME</t>
        </is>
      </c>
      <c r="I419">
        <f>IF(H419="UNPAID", AsOfDate-D419, 0)</f>
        <v/>
      </c>
      <c r="J419">
        <f>IF(F419&lt;&gt;"", TEXT(F419, "yyyy-mm"), "")</f>
        <v/>
      </c>
    </row>
    <row r="420">
      <c r="A420" t="inlineStr">
        <is>
          <t>RP0000419</t>
        </is>
      </c>
      <c r="B420" t="inlineStr">
        <is>
          <t>LN200064</t>
        </is>
      </c>
      <c r="C420" t="n">
        <v>8</v>
      </c>
      <c r="D420" s="8" t="n">
        <v>46246</v>
      </c>
      <c r="E420" s="9" t="n">
        <v>7375.17</v>
      </c>
      <c r="F420" s="8" t="n"/>
      <c r="G420" s="9" t="n">
        <v>0</v>
      </c>
      <c r="H420" t="inlineStr">
        <is>
          <t>UNPAID</t>
        </is>
      </c>
      <c r="I420">
        <f>IF(H420="UNPAID", AsOfDate-D420, 0)</f>
        <v/>
      </c>
      <c r="J420">
        <f>IF(F420&lt;&gt;"", TEXT(F420, "yyyy-mm"), "")</f>
        <v/>
      </c>
    </row>
    <row r="421">
      <c r="A421" t="inlineStr">
        <is>
          <t>RP0000420</t>
        </is>
      </c>
      <c r="B421" t="inlineStr">
        <is>
          <t>LN200064</t>
        </is>
      </c>
      <c r="C421" t="n">
        <v>9</v>
      </c>
      <c r="D421" s="8" t="n">
        <v>46277</v>
      </c>
      <c r="E421" s="9" t="n">
        <v>7375.17</v>
      </c>
      <c r="F421" s="8" t="n"/>
      <c r="G421" s="9" t="n">
        <v>0</v>
      </c>
      <c r="H421" t="inlineStr">
        <is>
          <t>NOT_DUE</t>
        </is>
      </c>
      <c r="I421">
        <f>IF(H421="UNPAID", AsOfDate-D421, 0)</f>
        <v/>
      </c>
      <c r="J421">
        <f>IF(F421&lt;&gt;"", TEXT(F421, "yyyy-mm"), "")</f>
        <v/>
      </c>
    </row>
    <row r="422">
      <c r="A422" t="inlineStr">
        <is>
          <t>RP0000421</t>
        </is>
      </c>
      <c r="B422" t="inlineStr">
        <is>
          <t>LN200064</t>
        </is>
      </c>
      <c r="C422" t="n">
        <v>10</v>
      </c>
      <c r="D422" s="8" t="n">
        <v>46307</v>
      </c>
      <c r="E422" s="9" t="n">
        <v>7375.17</v>
      </c>
      <c r="F422" s="8" t="n"/>
      <c r="G422" s="9" t="n">
        <v>0</v>
      </c>
      <c r="H422" t="inlineStr">
        <is>
          <t>NOT_DUE</t>
        </is>
      </c>
      <c r="I422">
        <f>IF(H422="UNPAID", AsOfDate-D422, 0)</f>
        <v/>
      </c>
      <c r="J422">
        <f>IF(F422&lt;&gt;"", TEXT(F422, "yyyy-mm"), "")</f>
        <v/>
      </c>
    </row>
    <row r="423">
      <c r="A423" t="inlineStr">
        <is>
          <t>RP0000422</t>
        </is>
      </c>
      <c r="B423" t="inlineStr">
        <is>
          <t>LN200064</t>
        </is>
      </c>
      <c r="C423" t="n">
        <v>11</v>
      </c>
      <c r="D423" s="8" t="n">
        <v>46338</v>
      </c>
      <c r="E423" s="9" t="n">
        <v>7375.17</v>
      </c>
      <c r="F423" s="8" t="n"/>
      <c r="G423" s="9" t="n">
        <v>0</v>
      </c>
      <c r="H423" t="inlineStr">
        <is>
          <t>NOT_DUE</t>
        </is>
      </c>
      <c r="I423">
        <f>IF(H423="UNPAID", AsOfDate-D423, 0)</f>
        <v/>
      </c>
      <c r="J423">
        <f>IF(F423&lt;&gt;"", TEXT(F423, "yyyy-mm"), "")</f>
        <v/>
      </c>
    </row>
    <row r="424">
      <c r="A424" t="inlineStr">
        <is>
          <t>RP0000423</t>
        </is>
      </c>
      <c r="B424" t="inlineStr">
        <is>
          <t>LN200064</t>
        </is>
      </c>
      <c r="C424" t="n">
        <v>12</v>
      </c>
      <c r="D424" s="8" t="n">
        <v>46368</v>
      </c>
      <c r="E424" s="9" t="n">
        <v>7375.17</v>
      </c>
      <c r="F424" s="8" t="n"/>
      <c r="G424" s="9" t="n">
        <v>0</v>
      </c>
      <c r="H424" t="inlineStr">
        <is>
          <t>NOT_DUE</t>
        </is>
      </c>
      <c r="I424">
        <f>IF(H424="UNPAID", AsOfDate-D424, 0)</f>
        <v/>
      </c>
      <c r="J424">
        <f>IF(F424&lt;&gt;"", TEXT(F424, "yyyy-mm"), "")</f>
        <v/>
      </c>
    </row>
    <row r="425">
      <c r="A425" t="inlineStr">
        <is>
          <t>RP0000424</t>
        </is>
      </c>
      <c r="B425" t="inlineStr">
        <is>
          <t>LN200064</t>
        </is>
      </c>
      <c r="C425" t="n">
        <v>13</v>
      </c>
      <c r="D425" s="8" t="n">
        <v>46399</v>
      </c>
      <c r="E425" s="9" t="n">
        <v>7375.17</v>
      </c>
      <c r="F425" s="8" t="n"/>
      <c r="G425" s="9" t="n">
        <v>0</v>
      </c>
      <c r="H425" t="inlineStr">
        <is>
          <t>NOT_DUE</t>
        </is>
      </c>
      <c r="I425">
        <f>IF(H425="UNPAID", AsOfDate-D425, 0)</f>
        <v/>
      </c>
      <c r="J425">
        <f>IF(F425&lt;&gt;"", TEXT(F425, "yyyy-mm"), "")</f>
        <v/>
      </c>
    </row>
    <row r="426">
      <c r="A426" t="inlineStr">
        <is>
          <t>RP0000425</t>
        </is>
      </c>
      <c r="B426" t="inlineStr">
        <is>
          <t>LN200064</t>
        </is>
      </c>
      <c r="C426" t="n">
        <v>14</v>
      </c>
      <c r="D426" s="8" t="n">
        <v>46430</v>
      </c>
      <c r="E426" s="9" t="n">
        <v>7375.17</v>
      </c>
      <c r="F426" s="8" t="n"/>
      <c r="G426" s="9" t="n">
        <v>0</v>
      </c>
      <c r="H426" t="inlineStr">
        <is>
          <t>NOT_DUE</t>
        </is>
      </c>
      <c r="I426">
        <f>IF(H426="UNPAID", AsOfDate-D426, 0)</f>
        <v/>
      </c>
      <c r="J426">
        <f>IF(F426&lt;&gt;"", TEXT(F426, "yyyy-mm"), "")</f>
        <v/>
      </c>
    </row>
    <row r="427">
      <c r="A427" t="inlineStr">
        <is>
          <t>RP0000426</t>
        </is>
      </c>
      <c r="B427" t="inlineStr">
        <is>
          <t>LN200064</t>
        </is>
      </c>
      <c r="C427" t="n">
        <v>15</v>
      </c>
      <c r="D427" s="8" t="n">
        <v>46458</v>
      </c>
      <c r="E427" s="9" t="n">
        <v>7375.17</v>
      </c>
      <c r="F427" s="8" t="n"/>
      <c r="G427" s="9" t="n">
        <v>0</v>
      </c>
      <c r="H427" t="inlineStr">
        <is>
          <t>NOT_DUE</t>
        </is>
      </c>
      <c r="I427">
        <f>IF(H427="UNPAID", AsOfDate-D427, 0)</f>
        <v/>
      </c>
      <c r="J427">
        <f>IF(F427&lt;&gt;"", TEXT(F427, "yyyy-mm"), "")</f>
        <v/>
      </c>
    </row>
    <row r="428">
      <c r="A428" t="inlineStr">
        <is>
          <t>RP0000427</t>
        </is>
      </c>
      <c r="B428" t="inlineStr">
        <is>
          <t>LN200064</t>
        </is>
      </c>
      <c r="C428" t="n">
        <v>16</v>
      </c>
      <c r="D428" s="8" t="n">
        <v>46489</v>
      </c>
      <c r="E428" s="9" t="n">
        <v>7375.17</v>
      </c>
      <c r="F428" s="8" t="n"/>
      <c r="G428" s="9" t="n">
        <v>0</v>
      </c>
      <c r="H428" t="inlineStr">
        <is>
          <t>NOT_DUE</t>
        </is>
      </c>
      <c r="I428">
        <f>IF(H428="UNPAID", AsOfDate-D428, 0)</f>
        <v/>
      </c>
      <c r="J428">
        <f>IF(F428&lt;&gt;"", TEXT(F428, "yyyy-mm"), "")</f>
        <v/>
      </c>
    </row>
    <row r="429">
      <c r="A429" t="inlineStr">
        <is>
          <t>RP0000428</t>
        </is>
      </c>
      <c r="B429" t="inlineStr">
        <is>
          <t>LN200064</t>
        </is>
      </c>
      <c r="C429" t="n">
        <v>17</v>
      </c>
      <c r="D429" s="8" t="n">
        <v>46519</v>
      </c>
      <c r="E429" s="9" t="n">
        <v>7375.17</v>
      </c>
      <c r="F429" s="8" t="n"/>
      <c r="G429" s="9" t="n">
        <v>0</v>
      </c>
      <c r="H429" t="inlineStr">
        <is>
          <t>NOT_DUE</t>
        </is>
      </c>
      <c r="I429">
        <f>IF(H429="UNPAID", AsOfDate-D429, 0)</f>
        <v/>
      </c>
      <c r="J429">
        <f>IF(F429&lt;&gt;"", TEXT(F429, "yyyy-mm"), "")</f>
        <v/>
      </c>
    </row>
    <row r="430">
      <c r="A430" t="inlineStr">
        <is>
          <t>RP0000429</t>
        </is>
      </c>
      <c r="B430" t="inlineStr">
        <is>
          <t>LN200064</t>
        </is>
      </c>
      <c r="C430" t="n">
        <v>18</v>
      </c>
      <c r="D430" s="8" t="n">
        <v>46550</v>
      </c>
      <c r="E430" s="9" t="n">
        <v>7375.17</v>
      </c>
      <c r="F430" s="8" t="n"/>
      <c r="G430" s="9" t="n">
        <v>0</v>
      </c>
      <c r="H430" t="inlineStr">
        <is>
          <t>NOT_DUE</t>
        </is>
      </c>
      <c r="I430">
        <f>IF(H430="UNPAID", AsOfDate-D430, 0)</f>
        <v/>
      </c>
      <c r="J430">
        <f>IF(F430&lt;&gt;"", TEXT(F430, "yyyy-mm"), "")</f>
        <v/>
      </c>
    </row>
    <row r="431">
      <c r="A431" t="inlineStr">
        <is>
          <t>RP0000430</t>
        </is>
      </c>
      <c r="B431" t="inlineStr">
        <is>
          <t>LN200065</t>
        </is>
      </c>
      <c r="C431" t="n">
        <v>1</v>
      </c>
      <c r="D431" s="8" t="n">
        <v>45950</v>
      </c>
      <c r="E431" s="9" t="n">
        <v>27814.58</v>
      </c>
      <c r="F431" s="8" t="n">
        <v>46026</v>
      </c>
      <c r="G431" s="9" t="n">
        <v>27814.58</v>
      </c>
      <c r="H431" t="inlineStr">
        <is>
          <t>PAID_LATE</t>
        </is>
      </c>
      <c r="I431">
        <f>IF(H431="UNPAID", AsOfDate-D431, 0)</f>
        <v/>
      </c>
      <c r="J431">
        <f>IF(F431&lt;&gt;"", TEXT(F431, "yyyy-mm"), "")</f>
        <v/>
      </c>
    </row>
    <row r="432">
      <c r="A432" t="inlineStr">
        <is>
          <t>RP0000431</t>
        </is>
      </c>
      <c r="B432" t="inlineStr">
        <is>
          <t>LN200065</t>
        </is>
      </c>
      <c r="C432" t="n">
        <v>2</v>
      </c>
      <c r="D432" s="8" t="n">
        <v>45981</v>
      </c>
      <c r="E432" s="9" t="n">
        <v>27814.58</v>
      </c>
      <c r="F432" s="8" t="n">
        <v>45982</v>
      </c>
      <c r="G432" s="9" t="n">
        <v>27814.58</v>
      </c>
      <c r="H432" t="inlineStr">
        <is>
          <t>PAID_ON_TIME</t>
        </is>
      </c>
      <c r="I432">
        <f>IF(H432="UNPAID", AsOfDate-D432, 0)</f>
        <v/>
      </c>
      <c r="J432">
        <f>IF(F432&lt;&gt;"", TEXT(F432, "yyyy-mm"), "")</f>
        <v/>
      </c>
    </row>
    <row r="433">
      <c r="A433" t="inlineStr">
        <is>
          <t>RP0000432</t>
        </is>
      </c>
      <c r="B433" t="inlineStr">
        <is>
          <t>LN200065</t>
        </is>
      </c>
      <c r="C433" t="n">
        <v>3</v>
      </c>
      <c r="D433" s="8" t="n">
        <v>46011</v>
      </c>
      <c r="E433" s="9" t="n">
        <v>27814.58</v>
      </c>
      <c r="F433" s="8" t="n">
        <v>46012</v>
      </c>
      <c r="G433" s="9" t="n">
        <v>27814.58</v>
      </c>
      <c r="H433" t="inlineStr">
        <is>
          <t>PAID_ON_TIME</t>
        </is>
      </c>
      <c r="I433">
        <f>IF(H433="UNPAID", AsOfDate-D433, 0)</f>
        <v/>
      </c>
      <c r="J433">
        <f>IF(F433&lt;&gt;"", TEXT(F433, "yyyy-mm"), "")</f>
        <v/>
      </c>
    </row>
    <row r="434">
      <c r="A434" t="inlineStr">
        <is>
          <t>RP0000433</t>
        </is>
      </c>
      <c r="B434" t="inlineStr">
        <is>
          <t>LN200066</t>
        </is>
      </c>
      <c r="C434" t="n">
        <v>1</v>
      </c>
      <c r="D434" s="8" t="n">
        <v>45862</v>
      </c>
      <c r="E434" s="9" t="n">
        <v>1331.11</v>
      </c>
      <c r="F434" s="8" t="n">
        <v>45860</v>
      </c>
      <c r="G434" s="9" t="n">
        <v>1331.11</v>
      </c>
      <c r="H434" t="inlineStr">
        <is>
          <t>PAID_ON_TIME</t>
        </is>
      </c>
      <c r="I434">
        <f>IF(H434="UNPAID", AsOfDate-D434, 0)</f>
        <v/>
      </c>
      <c r="J434">
        <f>IF(F434&lt;&gt;"", TEXT(F434, "yyyy-mm"), "")</f>
        <v/>
      </c>
    </row>
    <row r="435">
      <c r="A435" t="inlineStr">
        <is>
          <t>RP0000434</t>
        </is>
      </c>
      <c r="B435" t="inlineStr">
        <is>
          <t>LN200066</t>
        </is>
      </c>
      <c r="C435" t="n">
        <v>2</v>
      </c>
      <c r="D435" s="8" t="n">
        <v>45893</v>
      </c>
      <c r="E435" s="9" t="n">
        <v>1331.11</v>
      </c>
      <c r="F435" s="8" t="n">
        <v>45897</v>
      </c>
      <c r="G435" s="9" t="n">
        <v>1331.11</v>
      </c>
      <c r="H435" t="inlineStr">
        <is>
          <t>PAID_ON_TIME</t>
        </is>
      </c>
      <c r="I435">
        <f>IF(H435="UNPAID", AsOfDate-D435, 0)</f>
        <v/>
      </c>
      <c r="J435">
        <f>IF(F435&lt;&gt;"", TEXT(F435, "yyyy-mm"), "")</f>
        <v/>
      </c>
    </row>
    <row r="436">
      <c r="A436" t="inlineStr">
        <is>
          <t>RP0000435</t>
        </is>
      </c>
      <c r="B436" t="inlineStr">
        <is>
          <t>LN200066</t>
        </is>
      </c>
      <c r="C436" t="n">
        <v>3</v>
      </c>
      <c r="D436" s="8" t="n">
        <v>45924</v>
      </c>
      <c r="E436" s="9" t="n">
        <v>1331.11</v>
      </c>
      <c r="F436" s="8" t="n">
        <v>45923</v>
      </c>
      <c r="G436" s="9" t="n">
        <v>1331.11</v>
      </c>
      <c r="H436" t="inlineStr">
        <is>
          <t>PAID_ON_TIME</t>
        </is>
      </c>
      <c r="I436">
        <f>IF(H436="UNPAID", AsOfDate-D436, 0)</f>
        <v/>
      </c>
      <c r="J436">
        <f>IF(F436&lt;&gt;"", TEXT(F436, "yyyy-mm"), "")</f>
        <v/>
      </c>
    </row>
    <row r="437">
      <c r="A437" t="inlineStr">
        <is>
          <t>RP0000436</t>
        </is>
      </c>
      <c r="B437" t="inlineStr">
        <is>
          <t>LN200066</t>
        </is>
      </c>
      <c r="C437" t="n">
        <v>4</v>
      </c>
      <c r="D437" s="8" t="n">
        <v>45954</v>
      </c>
      <c r="E437" s="9" t="n">
        <v>1331.11</v>
      </c>
      <c r="F437" s="8" t="n">
        <v>45953</v>
      </c>
      <c r="G437" s="9" t="n">
        <v>1331.11</v>
      </c>
      <c r="H437" t="inlineStr">
        <is>
          <t>PAID_ON_TIME</t>
        </is>
      </c>
      <c r="I437">
        <f>IF(H437="UNPAID", AsOfDate-D437, 0)</f>
        <v/>
      </c>
      <c r="J437">
        <f>IF(F437&lt;&gt;"", TEXT(F437, "yyyy-mm"), "")</f>
        <v/>
      </c>
    </row>
    <row r="438">
      <c r="A438" t="inlineStr">
        <is>
          <t>RP0000437</t>
        </is>
      </c>
      <c r="B438" t="inlineStr">
        <is>
          <t>LN200066</t>
        </is>
      </c>
      <c r="C438" t="n">
        <v>5</v>
      </c>
      <c r="D438" s="8" t="n">
        <v>45985</v>
      </c>
      <c r="E438" s="9" t="n">
        <v>1331.11</v>
      </c>
      <c r="F438" s="8" t="n">
        <v>45984</v>
      </c>
      <c r="G438" s="9" t="n">
        <v>1331.11</v>
      </c>
      <c r="H438" t="inlineStr">
        <is>
          <t>PAID_ON_TIME</t>
        </is>
      </c>
      <c r="I438">
        <f>IF(H438="UNPAID", AsOfDate-D438, 0)</f>
        <v/>
      </c>
      <c r="J438">
        <f>IF(F438&lt;&gt;"", TEXT(F438, "yyyy-mm"), "")</f>
        <v/>
      </c>
    </row>
    <row r="439">
      <c r="A439" t="inlineStr">
        <is>
          <t>RP0000438</t>
        </is>
      </c>
      <c r="B439" t="inlineStr">
        <is>
          <t>LN200066</t>
        </is>
      </c>
      <c r="C439" t="n">
        <v>6</v>
      </c>
      <c r="D439" s="8" t="n">
        <v>46015</v>
      </c>
      <c r="E439" s="9" t="n">
        <v>1331.11</v>
      </c>
      <c r="F439" s="8" t="n">
        <v>46017</v>
      </c>
      <c r="G439" s="9" t="n">
        <v>1331.11</v>
      </c>
      <c r="H439" t="inlineStr">
        <is>
          <t>PAID_ON_TIME</t>
        </is>
      </c>
      <c r="I439">
        <f>IF(H439="UNPAID", AsOfDate-D439, 0)</f>
        <v/>
      </c>
      <c r="J439">
        <f>IF(F439&lt;&gt;"", TEXT(F439, "yyyy-mm"), "")</f>
        <v/>
      </c>
    </row>
    <row r="440">
      <c r="A440" t="inlineStr">
        <is>
          <t>RP0000439</t>
        </is>
      </c>
      <c r="B440" t="inlineStr">
        <is>
          <t>LN200066</t>
        </is>
      </c>
      <c r="C440" t="n">
        <v>7</v>
      </c>
      <c r="D440" s="8" t="n">
        <v>46046</v>
      </c>
      <c r="E440" s="9" t="n">
        <v>1331.11</v>
      </c>
      <c r="F440" s="8" t="n">
        <v>46043</v>
      </c>
      <c r="G440" s="9" t="n">
        <v>1331.11</v>
      </c>
      <c r="H440" t="inlineStr">
        <is>
          <t>PAID_ON_TIME</t>
        </is>
      </c>
      <c r="I440">
        <f>IF(H440="UNPAID", AsOfDate-D440, 0)</f>
        <v/>
      </c>
      <c r="J440">
        <f>IF(F440&lt;&gt;"", TEXT(F440, "yyyy-mm"), "")</f>
        <v/>
      </c>
    </row>
    <row r="441">
      <c r="A441" t="inlineStr">
        <is>
          <t>RP0000440</t>
        </is>
      </c>
      <c r="B441" t="inlineStr">
        <is>
          <t>LN200066</t>
        </is>
      </c>
      <c r="C441" t="n">
        <v>8</v>
      </c>
      <c r="D441" s="8" t="n">
        <v>46077</v>
      </c>
      <c r="E441" s="9" t="n">
        <v>1331.11</v>
      </c>
      <c r="F441" s="8" t="n">
        <v>46080</v>
      </c>
      <c r="G441" s="9" t="n">
        <v>1331.11</v>
      </c>
      <c r="H441" t="inlineStr">
        <is>
          <t>PAID_ON_TIME</t>
        </is>
      </c>
      <c r="I441">
        <f>IF(H441="UNPAID", AsOfDate-D441, 0)</f>
        <v/>
      </c>
      <c r="J441">
        <f>IF(F441&lt;&gt;"", TEXT(F441, "yyyy-mm"), "")</f>
        <v/>
      </c>
    </row>
    <row r="442">
      <c r="A442" t="inlineStr">
        <is>
          <t>RP0000441</t>
        </is>
      </c>
      <c r="B442" t="inlineStr">
        <is>
          <t>LN200066</t>
        </is>
      </c>
      <c r="C442" t="n">
        <v>9</v>
      </c>
      <c r="D442" s="8" t="n">
        <v>46105</v>
      </c>
      <c r="E442" s="9" t="n">
        <v>1331.11</v>
      </c>
      <c r="F442" s="8" t="n">
        <v>46105</v>
      </c>
      <c r="G442" s="9" t="n">
        <v>1331.11</v>
      </c>
      <c r="H442" t="inlineStr">
        <is>
          <t>PAID_ON_TIME</t>
        </is>
      </c>
      <c r="I442">
        <f>IF(H442="UNPAID", AsOfDate-D442, 0)</f>
        <v/>
      </c>
      <c r="J442">
        <f>IF(F442&lt;&gt;"", TEXT(F442, "yyyy-mm"), "")</f>
        <v/>
      </c>
    </row>
    <row r="443">
      <c r="A443" t="inlineStr">
        <is>
          <t>RP0000442</t>
        </is>
      </c>
      <c r="B443" t="inlineStr">
        <is>
          <t>LN200066</t>
        </is>
      </c>
      <c r="C443" t="n">
        <v>10</v>
      </c>
      <c r="D443" s="8" t="n">
        <v>46136</v>
      </c>
      <c r="E443" s="9" t="n">
        <v>1331.11</v>
      </c>
      <c r="F443" s="8" t="n">
        <v>46135</v>
      </c>
      <c r="G443" s="9" t="n">
        <v>1331.11</v>
      </c>
      <c r="H443" t="inlineStr">
        <is>
          <t>PAID_ON_TIME</t>
        </is>
      </c>
      <c r="I443">
        <f>IF(H443="UNPAID", AsOfDate-D443, 0)</f>
        <v/>
      </c>
      <c r="J443">
        <f>IF(F443&lt;&gt;"", TEXT(F443, "yyyy-mm"), "")</f>
        <v/>
      </c>
    </row>
    <row r="444">
      <c r="A444" t="inlineStr">
        <is>
          <t>RP0000443</t>
        </is>
      </c>
      <c r="B444" t="inlineStr">
        <is>
          <t>LN200066</t>
        </is>
      </c>
      <c r="C444" t="n">
        <v>11</v>
      </c>
      <c r="D444" s="8" t="n">
        <v>46166</v>
      </c>
      <c r="E444" s="9" t="n">
        <v>1331.11</v>
      </c>
      <c r="F444" s="8" t="n">
        <v>46166</v>
      </c>
      <c r="G444" s="9" t="n">
        <v>1331.11</v>
      </c>
      <c r="H444" t="inlineStr">
        <is>
          <t>PAID_ON_TIME</t>
        </is>
      </c>
      <c r="I444">
        <f>IF(H444="UNPAID", AsOfDate-D444, 0)</f>
        <v/>
      </c>
      <c r="J444">
        <f>IF(F444&lt;&gt;"", TEXT(F444, "yyyy-mm"), "")</f>
        <v/>
      </c>
    </row>
    <row r="445">
      <c r="A445" t="inlineStr">
        <is>
          <t>RP0000444</t>
        </is>
      </c>
      <c r="B445" t="inlineStr">
        <is>
          <t>LN200066</t>
        </is>
      </c>
      <c r="C445" t="n">
        <v>12</v>
      </c>
      <c r="D445" s="8" t="n">
        <v>46197</v>
      </c>
      <c r="E445" s="9" t="n">
        <v>1331.11</v>
      </c>
      <c r="F445" s="8" t="n">
        <v>46200</v>
      </c>
      <c r="G445" s="9" t="n">
        <v>1331.11</v>
      </c>
      <c r="H445" t="inlineStr">
        <is>
          <t>PAID_ON_TIME</t>
        </is>
      </c>
      <c r="I445">
        <f>IF(H445="UNPAID", AsOfDate-D445, 0)</f>
        <v/>
      </c>
      <c r="J445">
        <f>IF(F445&lt;&gt;"", TEXT(F445, "yyyy-mm"), "")</f>
        <v/>
      </c>
    </row>
    <row r="446">
      <c r="A446" t="inlineStr">
        <is>
          <t>RP0000445</t>
        </is>
      </c>
      <c r="B446" t="inlineStr">
        <is>
          <t>LN200066</t>
        </is>
      </c>
      <c r="C446" t="n">
        <v>13</v>
      </c>
      <c r="D446" s="8" t="n">
        <v>46227</v>
      </c>
      <c r="E446" s="9" t="n">
        <v>1331.11</v>
      </c>
      <c r="F446" s="8" t="n"/>
      <c r="G446" s="9" t="n">
        <v>0</v>
      </c>
      <c r="H446" t="inlineStr">
        <is>
          <t>UNPAID</t>
        </is>
      </c>
      <c r="I446">
        <f>IF(H446="UNPAID", AsOfDate-D446, 0)</f>
        <v/>
      </c>
      <c r="J446">
        <f>IF(F446&lt;&gt;"", TEXT(F446, "yyyy-mm"), "")</f>
        <v/>
      </c>
    </row>
    <row r="447">
      <c r="A447" t="inlineStr">
        <is>
          <t>RP0000446</t>
        </is>
      </c>
      <c r="B447" t="inlineStr">
        <is>
          <t>LN200066</t>
        </is>
      </c>
      <c r="C447" t="n">
        <v>14</v>
      </c>
      <c r="D447" s="8" t="n">
        <v>46258</v>
      </c>
      <c r="E447" s="9" t="n">
        <v>1331.11</v>
      </c>
      <c r="F447" s="8" t="n">
        <v>46256</v>
      </c>
      <c r="G447" s="9" t="n">
        <v>1331.11</v>
      </c>
      <c r="H447" t="inlineStr">
        <is>
          <t>PAID_ON_TIME</t>
        </is>
      </c>
      <c r="I447">
        <f>IF(H447="UNPAID", AsOfDate-D447, 0)</f>
        <v/>
      </c>
      <c r="J447">
        <f>IF(F447&lt;&gt;"", TEXT(F447, "yyyy-mm"), "")</f>
        <v/>
      </c>
    </row>
    <row r="448">
      <c r="A448" t="inlineStr">
        <is>
          <t>RP0000447</t>
        </is>
      </c>
      <c r="B448" t="inlineStr">
        <is>
          <t>LN200066</t>
        </is>
      </c>
      <c r="C448" t="n">
        <v>15</v>
      </c>
      <c r="D448" s="8" t="n">
        <v>46289</v>
      </c>
      <c r="E448" s="9" t="n">
        <v>1331.11</v>
      </c>
      <c r="F448" s="8" t="n"/>
      <c r="G448" s="9" t="n">
        <v>0</v>
      </c>
      <c r="H448" t="inlineStr">
        <is>
          <t>NOT_DUE</t>
        </is>
      </c>
      <c r="I448">
        <f>IF(H448="UNPAID", AsOfDate-D448, 0)</f>
        <v/>
      </c>
      <c r="J448">
        <f>IF(F448&lt;&gt;"", TEXT(F448, "yyyy-mm"), "")</f>
        <v/>
      </c>
    </row>
    <row r="449">
      <c r="A449" t="inlineStr">
        <is>
          <t>RP0000448</t>
        </is>
      </c>
      <c r="B449" t="inlineStr">
        <is>
          <t>LN200066</t>
        </is>
      </c>
      <c r="C449" t="n">
        <v>16</v>
      </c>
      <c r="D449" s="8" t="n">
        <v>46319</v>
      </c>
      <c r="E449" s="9" t="n">
        <v>1331.11</v>
      </c>
      <c r="F449" s="8" t="n"/>
      <c r="G449" s="9" t="n">
        <v>0</v>
      </c>
      <c r="H449" t="inlineStr">
        <is>
          <t>NOT_DUE</t>
        </is>
      </c>
      <c r="I449">
        <f>IF(H449="UNPAID", AsOfDate-D449, 0)</f>
        <v/>
      </c>
      <c r="J449">
        <f>IF(F449&lt;&gt;"", TEXT(F449, "yyyy-mm"), "")</f>
        <v/>
      </c>
    </row>
    <row r="450">
      <c r="A450" t="inlineStr">
        <is>
          <t>RP0000449</t>
        </is>
      </c>
      <c r="B450" t="inlineStr">
        <is>
          <t>LN200066</t>
        </is>
      </c>
      <c r="C450" t="n">
        <v>17</v>
      </c>
      <c r="D450" s="8" t="n">
        <v>46350</v>
      </c>
      <c r="E450" s="9" t="n">
        <v>1331.11</v>
      </c>
      <c r="F450" s="8" t="n"/>
      <c r="G450" s="9" t="n">
        <v>0</v>
      </c>
      <c r="H450" t="inlineStr">
        <is>
          <t>NOT_DUE</t>
        </is>
      </c>
      <c r="I450">
        <f>IF(H450="UNPAID", AsOfDate-D450, 0)</f>
        <v/>
      </c>
      <c r="J450">
        <f>IF(F450&lt;&gt;"", TEXT(F450, "yyyy-mm"), "")</f>
        <v/>
      </c>
    </row>
    <row r="451">
      <c r="A451" t="inlineStr">
        <is>
          <t>RP0000450</t>
        </is>
      </c>
      <c r="B451" t="inlineStr">
        <is>
          <t>LN200066</t>
        </is>
      </c>
      <c r="C451" t="n">
        <v>18</v>
      </c>
      <c r="D451" s="8" t="n">
        <v>46380</v>
      </c>
      <c r="E451" s="9" t="n">
        <v>1331.11</v>
      </c>
      <c r="F451" s="8" t="n"/>
      <c r="G451" s="9" t="n">
        <v>0</v>
      </c>
      <c r="H451" t="inlineStr">
        <is>
          <t>NOT_DUE</t>
        </is>
      </c>
      <c r="I451">
        <f>IF(H451="UNPAID", AsOfDate-D451, 0)</f>
        <v/>
      </c>
      <c r="J451">
        <f>IF(F451&lt;&gt;"", TEXT(F451, "yyyy-mm"), "")</f>
        <v/>
      </c>
    </row>
    <row r="452">
      <c r="A452" t="inlineStr">
        <is>
          <t>RP0000451</t>
        </is>
      </c>
      <c r="B452" t="inlineStr">
        <is>
          <t>LN200067</t>
        </is>
      </c>
      <c r="C452" t="n">
        <v>1</v>
      </c>
      <c r="D452" s="8" t="n">
        <v>45788</v>
      </c>
      <c r="E452" s="9" t="n">
        <v>33455.83</v>
      </c>
      <c r="F452" s="8" t="n">
        <v>45785</v>
      </c>
      <c r="G452" s="9" t="n">
        <v>33455.83</v>
      </c>
      <c r="H452" t="inlineStr">
        <is>
          <t>PAID_ON_TIME</t>
        </is>
      </c>
      <c r="I452">
        <f>IF(H452="UNPAID", AsOfDate-D452, 0)</f>
        <v/>
      </c>
      <c r="J452">
        <f>IF(F452&lt;&gt;"", TEXT(F452, "yyyy-mm"), "")</f>
        <v/>
      </c>
    </row>
    <row r="453">
      <c r="A453" t="inlineStr">
        <is>
          <t>RP0000452</t>
        </is>
      </c>
      <c r="B453" t="inlineStr">
        <is>
          <t>LN200067</t>
        </is>
      </c>
      <c r="C453" t="n">
        <v>2</v>
      </c>
      <c r="D453" s="8" t="n">
        <v>45819</v>
      </c>
      <c r="E453" s="9" t="n">
        <v>33455.83</v>
      </c>
      <c r="F453" s="8" t="n">
        <v>45818</v>
      </c>
      <c r="G453" s="9" t="n">
        <v>33455.83</v>
      </c>
      <c r="H453" t="inlineStr">
        <is>
          <t>PAID_ON_TIME</t>
        </is>
      </c>
      <c r="I453">
        <f>IF(H453="UNPAID", AsOfDate-D453, 0)</f>
        <v/>
      </c>
      <c r="J453">
        <f>IF(F453&lt;&gt;"", TEXT(F453, "yyyy-mm"), "")</f>
        <v/>
      </c>
    </row>
    <row r="454">
      <c r="A454" t="inlineStr">
        <is>
          <t>RP0000453</t>
        </is>
      </c>
      <c r="B454" t="inlineStr">
        <is>
          <t>LN200067</t>
        </is>
      </c>
      <c r="C454" t="n">
        <v>3</v>
      </c>
      <c r="D454" s="8" t="n">
        <v>45849</v>
      </c>
      <c r="E454" s="9" t="n">
        <v>33455.83</v>
      </c>
      <c r="F454" s="8" t="n">
        <v>45851</v>
      </c>
      <c r="G454" s="9" t="n">
        <v>33455.83</v>
      </c>
      <c r="H454" t="inlineStr">
        <is>
          <t>PAID_ON_TIME</t>
        </is>
      </c>
      <c r="I454">
        <f>IF(H454="UNPAID", AsOfDate-D454, 0)</f>
        <v/>
      </c>
      <c r="J454">
        <f>IF(F454&lt;&gt;"", TEXT(F454, "yyyy-mm"), "")</f>
        <v/>
      </c>
    </row>
    <row r="455">
      <c r="A455" t="inlineStr">
        <is>
          <t>RP0000454</t>
        </is>
      </c>
      <c r="B455" t="inlineStr">
        <is>
          <t>LN200068</t>
        </is>
      </c>
      <c r="C455" t="n">
        <v>1</v>
      </c>
      <c r="D455" s="8" t="n">
        <v>45774</v>
      </c>
      <c r="E455" s="9" t="n">
        <v>9138.5</v>
      </c>
      <c r="F455" s="8" t="n">
        <v>45777</v>
      </c>
      <c r="G455" s="9" t="n">
        <v>9138.5</v>
      </c>
      <c r="H455" t="inlineStr">
        <is>
          <t>PAID_ON_TIME</t>
        </is>
      </c>
      <c r="I455">
        <f>IF(H455="UNPAID", AsOfDate-D455, 0)</f>
        <v/>
      </c>
      <c r="J455">
        <f>IF(F455&lt;&gt;"", TEXT(F455, "yyyy-mm"), "")</f>
        <v/>
      </c>
    </row>
    <row r="456">
      <c r="A456" t="inlineStr">
        <is>
          <t>RP0000455</t>
        </is>
      </c>
      <c r="B456" t="inlineStr">
        <is>
          <t>LN200068</t>
        </is>
      </c>
      <c r="C456" t="n">
        <v>2</v>
      </c>
      <c r="D456" s="8" t="n">
        <v>45804</v>
      </c>
      <c r="E456" s="9" t="n">
        <v>9138.5</v>
      </c>
      <c r="F456" s="8" t="n">
        <v>45802</v>
      </c>
      <c r="G456" s="9" t="n">
        <v>9138.5</v>
      </c>
      <c r="H456" t="inlineStr">
        <is>
          <t>PAID_ON_TIME</t>
        </is>
      </c>
      <c r="I456">
        <f>IF(H456="UNPAID", AsOfDate-D456, 0)</f>
        <v/>
      </c>
      <c r="J456">
        <f>IF(F456&lt;&gt;"", TEXT(F456, "yyyy-mm"), "")</f>
        <v/>
      </c>
    </row>
    <row r="457">
      <c r="A457" t="inlineStr">
        <is>
          <t>RP0000456</t>
        </is>
      </c>
      <c r="B457" t="inlineStr">
        <is>
          <t>LN200068</t>
        </is>
      </c>
      <c r="C457" t="n">
        <v>3</v>
      </c>
      <c r="D457" s="8" t="n">
        <v>45835</v>
      </c>
      <c r="E457" s="9" t="n">
        <v>9138.5</v>
      </c>
      <c r="F457" s="8" t="n">
        <v>45838</v>
      </c>
      <c r="G457" s="9" t="n">
        <v>9138.5</v>
      </c>
      <c r="H457" t="inlineStr">
        <is>
          <t>PAID_ON_TIME</t>
        </is>
      </c>
      <c r="I457">
        <f>IF(H457="UNPAID", AsOfDate-D457, 0)</f>
        <v/>
      </c>
      <c r="J457">
        <f>IF(F457&lt;&gt;"", TEXT(F457, "yyyy-mm"), "")</f>
        <v/>
      </c>
    </row>
    <row r="458">
      <c r="A458" t="inlineStr">
        <is>
          <t>RP0000457</t>
        </is>
      </c>
      <c r="B458" t="inlineStr">
        <is>
          <t>LN200068</t>
        </is>
      </c>
      <c r="C458" t="n">
        <v>4</v>
      </c>
      <c r="D458" s="8" t="n">
        <v>45865</v>
      </c>
      <c r="E458" s="9" t="n">
        <v>9138.5</v>
      </c>
      <c r="F458" s="8" t="n">
        <v>45869</v>
      </c>
      <c r="G458" s="9" t="n">
        <v>9138.5</v>
      </c>
      <c r="H458" t="inlineStr">
        <is>
          <t>PAID_ON_TIME</t>
        </is>
      </c>
      <c r="I458">
        <f>IF(H458="UNPAID", AsOfDate-D458, 0)</f>
        <v/>
      </c>
      <c r="J458">
        <f>IF(F458&lt;&gt;"", TEXT(F458, "yyyy-mm"), "")</f>
        <v/>
      </c>
    </row>
    <row r="459">
      <c r="A459" t="inlineStr">
        <is>
          <t>RP0000458</t>
        </is>
      </c>
      <c r="B459" t="inlineStr">
        <is>
          <t>LN200068</t>
        </is>
      </c>
      <c r="C459" t="n">
        <v>5</v>
      </c>
      <c r="D459" s="8" t="n">
        <v>45896</v>
      </c>
      <c r="E459" s="9" t="n">
        <v>9138.5</v>
      </c>
      <c r="F459" s="8" t="n">
        <v>45897</v>
      </c>
      <c r="G459" s="9" t="n">
        <v>9138.5</v>
      </c>
      <c r="H459" t="inlineStr">
        <is>
          <t>PAID_ON_TIME</t>
        </is>
      </c>
      <c r="I459">
        <f>IF(H459="UNPAID", AsOfDate-D459, 0)</f>
        <v/>
      </c>
      <c r="J459">
        <f>IF(F459&lt;&gt;"", TEXT(F459, "yyyy-mm"), "")</f>
        <v/>
      </c>
    </row>
    <row r="460">
      <c r="A460" t="inlineStr">
        <is>
          <t>RP0000459</t>
        </is>
      </c>
      <c r="B460" t="inlineStr">
        <is>
          <t>LN200068</t>
        </is>
      </c>
      <c r="C460" t="n">
        <v>6</v>
      </c>
      <c r="D460" s="8" t="n">
        <v>45927</v>
      </c>
      <c r="E460" s="9" t="n">
        <v>9138.5</v>
      </c>
      <c r="F460" s="8" t="n">
        <v>46011</v>
      </c>
      <c r="G460" s="9" t="n">
        <v>9138.5</v>
      </c>
      <c r="H460" t="inlineStr">
        <is>
          <t>PAID_LATE</t>
        </is>
      </c>
      <c r="I460">
        <f>IF(H460="UNPAID", AsOfDate-D460, 0)</f>
        <v/>
      </c>
      <c r="J460">
        <f>IF(F460&lt;&gt;"", TEXT(F460, "yyyy-mm"), "")</f>
        <v/>
      </c>
    </row>
    <row r="461">
      <c r="A461" t="inlineStr">
        <is>
          <t>RP0000460</t>
        </is>
      </c>
      <c r="B461" t="inlineStr">
        <is>
          <t>LN200069</t>
        </is>
      </c>
      <c r="C461" t="n">
        <v>1</v>
      </c>
      <c r="D461" s="8" t="n">
        <v>46080</v>
      </c>
      <c r="E461" s="9" t="n">
        <v>6985.67</v>
      </c>
      <c r="F461" s="8" t="n">
        <v>46079</v>
      </c>
      <c r="G461" s="9" t="n">
        <v>6985.67</v>
      </c>
      <c r="H461" t="inlineStr">
        <is>
          <t>PAID_ON_TIME</t>
        </is>
      </c>
      <c r="I461">
        <f>IF(H461="UNPAID", AsOfDate-D461, 0)</f>
        <v/>
      </c>
      <c r="J461">
        <f>IF(F461&lt;&gt;"", TEXT(F461, "yyyy-mm"), "")</f>
        <v/>
      </c>
    </row>
    <row r="462">
      <c r="A462" t="inlineStr">
        <is>
          <t>RP0000461</t>
        </is>
      </c>
      <c r="B462" t="inlineStr">
        <is>
          <t>LN200069</t>
        </is>
      </c>
      <c r="C462" t="n">
        <v>2</v>
      </c>
      <c r="D462" s="8" t="n">
        <v>46108</v>
      </c>
      <c r="E462" s="9" t="n">
        <v>6985.67</v>
      </c>
      <c r="F462" s="8" t="n">
        <v>46109</v>
      </c>
      <c r="G462" s="9" t="n">
        <v>6985.67</v>
      </c>
      <c r="H462" t="inlineStr">
        <is>
          <t>PAID_ON_TIME</t>
        </is>
      </c>
      <c r="I462">
        <f>IF(H462="UNPAID", AsOfDate-D462, 0)</f>
        <v/>
      </c>
      <c r="J462">
        <f>IF(F462&lt;&gt;"", TEXT(F462, "yyyy-mm"), "")</f>
        <v/>
      </c>
    </row>
    <row r="463">
      <c r="A463" t="inlineStr">
        <is>
          <t>RP0000462</t>
        </is>
      </c>
      <c r="B463" t="inlineStr">
        <is>
          <t>LN200069</t>
        </is>
      </c>
      <c r="C463" t="n">
        <v>3</v>
      </c>
      <c r="D463" s="8" t="n">
        <v>46139</v>
      </c>
      <c r="E463" s="9" t="n">
        <v>6985.67</v>
      </c>
      <c r="F463" s="8" t="n">
        <v>46240</v>
      </c>
      <c r="G463" s="9" t="n">
        <v>6985.67</v>
      </c>
      <c r="H463" t="inlineStr">
        <is>
          <t>PAID_LATE</t>
        </is>
      </c>
      <c r="I463">
        <f>IF(H463="UNPAID", AsOfDate-D463, 0)</f>
        <v/>
      </c>
      <c r="J463">
        <f>IF(F463&lt;&gt;"", TEXT(F463, "yyyy-mm"), "")</f>
        <v/>
      </c>
    </row>
    <row r="464">
      <c r="A464" t="inlineStr">
        <is>
          <t>RP0000463</t>
        </is>
      </c>
      <c r="B464" t="inlineStr">
        <is>
          <t>LN200069</t>
        </is>
      </c>
      <c r="C464" t="n">
        <v>4</v>
      </c>
      <c r="D464" s="8" t="n">
        <v>46169</v>
      </c>
      <c r="E464" s="9" t="n">
        <v>6985.67</v>
      </c>
      <c r="F464" s="8" t="n"/>
      <c r="G464" s="9" t="n">
        <v>0</v>
      </c>
      <c r="H464" t="inlineStr">
        <is>
          <t>UNPAID</t>
        </is>
      </c>
      <c r="I464">
        <f>IF(H464="UNPAID", AsOfDate-D464, 0)</f>
        <v/>
      </c>
      <c r="J464">
        <f>IF(F464&lt;&gt;"", TEXT(F464, "yyyy-mm"), "")</f>
        <v/>
      </c>
    </row>
    <row r="465">
      <c r="A465" t="inlineStr">
        <is>
          <t>RP0000464</t>
        </is>
      </c>
      <c r="B465" t="inlineStr">
        <is>
          <t>LN200069</t>
        </is>
      </c>
      <c r="C465" t="n">
        <v>5</v>
      </c>
      <c r="D465" s="8" t="n">
        <v>46200</v>
      </c>
      <c r="E465" s="9" t="n">
        <v>6985.67</v>
      </c>
      <c r="F465" s="8" t="n">
        <v>46202</v>
      </c>
      <c r="G465" s="9" t="n">
        <v>6985.67</v>
      </c>
      <c r="H465" t="inlineStr">
        <is>
          <t>PAID_ON_TIME</t>
        </is>
      </c>
      <c r="I465">
        <f>IF(H465="UNPAID", AsOfDate-D465, 0)</f>
        <v/>
      </c>
      <c r="J465">
        <f>IF(F465&lt;&gt;"", TEXT(F465, "yyyy-mm"), "")</f>
        <v/>
      </c>
    </row>
    <row r="466">
      <c r="A466" t="inlineStr">
        <is>
          <t>RP0000465</t>
        </is>
      </c>
      <c r="B466" t="inlineStr">
        <is>
          <t>LN200069</t>
        </is>
      </c>
      <c r="C466" t="n">
        <v>6</v>
      </c>
      <c r="D466" s="8" t="n">
        <v>46230</v>
      </c>
      <c r="E466" s="9" t="n">
        <v>6985.67</v>
      </c>
      <c r="F466" s="8" t="n">
        <v>46227</v>
      </c>
      <c r="G466" s="9" t="n">
        <v>6985.67</v>
      </c>
      <c r="H466" t="inlineStr">
        <is>
          <t>PAID_ON_TIME</t>
        </is>
      </c>
      <c r="I466">
        <f>IF(H466="UNPAID", AsOfDate-D466, 0)</f>
        <v/>
      </c>
      <c r="J466">
        <f>IF(F466&lt;&gt;"", TEXT(F466, "yyyy-mm"), "")</f>
        <v/>
      </c>
    </row>
    <row r="467">
      <c r="A467" t="inlineStr">
        <is>
          <t>RP0000466</t>
        </is>
      </c>
      <c r="B467" t="inlineStr">
        <is>
          <t>LN200071</t>
        </is>
      </c>
      <c r="C467" t="n">
        <v>1</v>
      </c>
      <c r="D467" s="8" t="n">
        <v>45726</v>
      </c>
      <c r="E467" s="9" t="n">
        <v>12644.72</v>
      </c>
      <c r="F467" s="8" t="n">
        <v>45729</v>
      </c>
      <c r="G467" s="9" t="n">
        <v>12644.72</v>
      </c>
      <c r="H467" t="inlineStr">
        <is>
          <t>PAID_ON_TIME</t>
        </is>
      </c>
      <c r="I467">
        <f>IF(H467="UNPAID", AsOfDate-D467, 0)</f>
        <v/>
      </c>
      <c r="J467">
        <f>IF(F467&lt;&gt;"", TEXT(F467, "yyyy-mm"), "")</f>
        <v/>
      </c>
    </row>
    <row r="468">
      <c r="A468" t="inlineStr">
        <is>
          <t>RP0000467</t>
        </is>
      </c>
      <c r="B468" t="inlineStr">
        <is>
          <t>LN200071</t>
        </is>
      </c>
      <c r="C468" t="n">
        <v>2</v>
      </c>
      <c r="D468" s="8" t="n">
        <v>45757</v>
      </c>
      <c r="E468" s="9" t="n">
        <v>12644.72</v>
      </c>
      <c r="F468" s="8" t="n">
        <v>45761</v>
      </c>
      <c r="G468" s="9" t="n">
        <v>12644.72</v>
      </c>
      <c r="H468" t="inlineStr">
        <is>
          <t>PAID_ON_TIME</t>
        </is>
      </c>
      <c r="I468">
        <f>IF(H468="UNPAID", AsOfDate-D468, 0)</f>
        <v/>
      </c>
      <c r="J468">
        <f>IF(F468&lt;&gt;"", TEXT(F468, "yyyy-mm"), "")</f>
        <v/>
      </c>
    </row>
    <row r="469">
      <c r="A469" t="inlineStr">
        <is>
          <t>RP0000468</t>
        </is>
      </c>
      <c r="B469" t="inlineStr">
        <is>
          <t>LN200071</t>
        </is>
      </c>
      <c r="C469" t="n">
        <v>3</v>
      </c>
      <c r="D469" s="8" t="n">
        <v>45787</v>
      </c>
      <c r="E469" s="9" t="n">
        <v>12644.72</v>
      </c>
      <c r="F469" s="8" t="n">
        <v>45788</v>
      </c>
      <c r="G469" s="9" t="n">
        <v>12644.72</v>
      </c>
      <c r="H469" t="inlineStr">
        <is>
          <t>PAID_ON_TIME</t>
        </is>
      </c>
      <c r="I469">
        <f>IF(H469="UNPAID", AsOfDate-D469, 0)</f>
        <v/>
      </c>
      <c r="J469">
        <f>IF(F469&lt;&gt;"", TEXT(F469, "yyyy-mm"), "")</f>
        <v/>
      </c>
    </row>
    <row r="470">
      <c r="A470" t="inlineStr">
        <is>
          <t>RP0000469</t>
        </is>
      </c>
      <c r="B470" t="inlineStr">
        <is>
          <t>LN200071</t>
        </is>
      </c>
      <c r="C470" t="n">
        <v>4</v>
      </c>
      <c r="D470" s="8" t="n">
        <v>45818</v>
      </c>
      <c r="E470" s="9" t="n">
        <v>12644.72</v>
      </c>
      <c r="F470" s="8" t="n">
        <v>45816</v>
      </c>
      <c r="G470" s="9" t="n">
        <v>12644.72</v>
      </c>
      <c r="H470" t="inlineStr">
        <is>
          <t>PAID_ON_TIME</t>
        </is>
      </c>
      <c r="I470">
        <f>IF(H470="UNPAID", AsOfDate-D470, 0)</f>
        <v/>
      </c>
      <c r="J470">
        <f>IF(F470&lt;&gt;"", TEXT(F470, "yyyy-mm"), "")</f>
        <v/>
      </c>
    </row>
    <row r="471">
      <c r="A471" t="inlineStr">
        <is>
          <t>RP0000470</t>
        </is>
      </c>
      <c r="B471" t="inlineStr">
        <is>
          <t>LN200071</t>
        </is>
      </c>
      <c r="C471" t="n">
        <v>5</v>
      </c>
      <c r="D471" s="8" t="n">
        <v>45848</v>
      </c>
      <c r="E471" s="9" t="n">
        <v>12644.72</v>
      </c>
      <c r="F471" s="8" t="n">
        <v>45957</v>
      </c>
      <c r="G471" s="9" t="n">
        <v>12644.72</v>
      </c>
      <c r="H471" t="inlineStr">
        <is>
          <t>PAID_LATE</t>
        </is>
      </c>
      <c r="I471">
        <f>IF(H471="UNPAID", AsOfDate-D471, 0)</f>
        <v/>
      </c>
      <c r="J471">
        <f>IF(F471&lt;&gt;"", TEXT(F471, "yyyy-mm"), "")</f>
        <v/>
      </c>
    </row>
    <row r="472">
      <c r="A472" t="inlineStr">
        <is>
          <t>RP0000471</t>
        </is>
      </c>
      <c r="B472" t="inlineStr">
        <is>
          <t>LN200071</t>
        </is>
      </c>
      <c r="C472" t="n">
        <v>6</v>
      </c>
      <c r="D472" s="8" t="n">
        <v>45879</v>
      </c>
      <c r="E472" s="9" t="n">
        <v>12644.72</v>
      </c>
      <c r="F472" s="8" t="n">
        <v>45881</v>
      </c>
      <c r="G472" s="9" t="n">
        <v>12644.72</v>
      </c>
      <c r="H472" t="inlineStr">
        <is>
          <t>PAID_ON_TIME</t>
        </is>
      </c>
      <c r="I472">
        <f>IF(H472="UNPAID", AsOfDate-D472, 0)</f>
        <v/>
      </c>
      <c r="J472">
        <f>IF(F472&lt;&gt;"", TEXT(F472, "yyyy-mm"), "")</f>
        <v/>
      </c>
    </row>
    <row r="473">
      <c r="A473" t="inlineStr">
        <is>
          <t>RP0000472</t>
        </is>
      </c>
      <c r="B473" t="inlineStr">
        <is>
          <t>LN200071</t>
        </is>
      </c>
      <c r="C473" t="n">
        <v>7</v>
      </c>
      <c r="D473" s="8" t="n">
        <v>45910</v>
      </c>
      <c r="E473" s="9" t="n">
        <v>12644.72</v>
      </c>
      <c r="F473" s="8" t="n">
        <v>45908</v>
      </c>
      <c r="G473" s="9" t="n">
        <v>12644.72</v>
      </c>
      <c r="H473" t="inlineStr">
        <is>
          <t>PAID_ON_TIME</t>
        </is>
      </c>
      <c r="I473">
        <f>IF(H473="UNPAID", AsOfDate-D473, 0)</f>
        <v/>
      </c>
      <c r="J473">
        <f>IF(F473&lt;&gt;"", TEXT(F473, "yyyy-mm"), "")</f>
        <v/>
      </c>
    </row>
    <row r="474">
      <c r="A474" t="inlineStr">
        <is>
          <t>RP0000473</t>
        </is>
      </c>
      <c r="B474" t="inlineStr">
        <is>
          <t>LN200071</t>
        </is>
      </c>
      <c r="C474" t="n">
        <v>8</v>
      </c>
      <c r="D474" s="8" t="n">
        <v>45940</v>
      </c>
      <c r="E474" s="9" t="n">
        <v>12644.72</v>
      </c>
      <c r="F474" s="8" t="n">
        <v>45940</v>
      </c>
      <c r="G474" s="9" t="n">
        <v>12644.72</v>
      </c>
      <c r="H474" t="inlineStr">
        <is>
          <t>PAID_ON_TIME</t>
        </is>
      </c>
      <c r="I474">
        <f>IF(H474="UNPAID", AsOfDate-D474, 0)</f>
        <v/>
      </c>
      <c r="J474">
        <f>IF(F474&lt;&gt;"", TEXT(F474, "yyyy-mm"), "")</f>
        <v/>
      </c>
    </row>
    <row r="475">
      <c r="A475" t="inlineStr">
        <is>
          <t>RP0000474</t>
        </is>
      </c>
      <c r="B475" t="inlineStr">
        <is>
          <t>LN200071</t>
        </is>
      </c>
      <c r="C475" t="n">
        <v>9</v>
      </c>
      <c r="D475" s="8" t="n">
        <v>45971</v>
      </c>
      <c r="E475" s="9" t="n">
        <v>12644.72</v>
      </c>
      <c r="F475" s="8" t="n">
        <v>45971</v>
      </c>
      <c r="G475" s="9" t="n">
        <v>12644.72</v>
      </c>
      <c r="H475" t="inlineStr">
        <is>
          <t>PAID_ON_TIME</t>
        </is>
      </c>
      <c r="I475">
        <f>IF(H475="UNPAID", AsOfDate-D475, 0)</f>
        <v/>
      </c>
      <c r="J475">
        <f>IF(F475&lt;&gt;"", TEXT(F475, "yyyy-mm"), "")</f>
        <v/>
      </c>
    </row>
    <row r="476">
      <c r="A476" t="inlineStr">
        <is>
          <t>RP0000475</t>
        </is>
      </c>
      <c r="B476" t="inlineStr">
        <is>
          <t>LN200072</t>
        </is>
      </c>
      <c r="C476" t="n">
        <v>1</v>
      </c>
      <c r="D476" s="8" t="n">
        <v>46215</v>
      </c>
      <c r="E476" s="9" t="n">
        <v>5746.83</v>
      </c>
      <c r="F476" s="8" t="n">
        <v>46218</v>
      </c>
      <c r="G476" s="9" t="n">
        <v>5746.83</v>
      </c>
      <c r="H476" t="inlineStr">
        <is>
          <t>PAID_ON_TIME</t>
        </is>
      </c>
      <c r="I476">
        <f>IF(H476="UNPAID", AsOfDate-D476, 0)</f>
        <v/>
      </c>
      <c r="J476">
        <f>IF(F476&lt;&gt;"", TEXT(F476, "yyyy-mm"), "")</f>
        <v/>
      </c>
    </row>
    <row r="477">
      <c r="A477" t="inlineStr">
        <is>
          <t>RP0000476</t>
        </is>
      </c>
      <c r="B477" t="inlineStr">
        <is>
          <t>LN200072</t>
        </is>
      </c>
      <c r="C477" t="n">
        <v>2</v>
      </c>
      <c r="D477" s="8" t="n">
        <v>46246</v>
      </c>
      <c r="E477" s="9" t="n">
        <v>5746.83</v>
      </c>
      <c r="F477" s="8" t="n">
        <v>46250</v>
      </c>
      <c r="G477" s="9" t="n">
        <v>5746.83</v>
      </c>
      <c r="H477" t="inlineStr">
        <is>
          <t>PAID_ON_TIME</t>
        </is>
      </c>
      <c r="I477">
        <f>IF(H477="UNPAID", AsOfDate-D477, 0)</f>
        <v/>
      </c>
      <c r="J477">
        <f>IF(F477&lt;&gt;"", TEXT(F477, "yyyy-mm"), "")</f>
        <v/>
      </c>
    </row>
    <row r="478">
      <c r="A478" t="inlineStr">
        <is>
          <t>RP0000477</t>
        </is>
      </c>
      <c r="B478" t="inlineStr">
        <is>
          <t>LN200072</t>
        </is>
      </c>
      <c r="C478" t="n">
        <v>3</v>
      </c>
      <c r="D478" s="8" t="n">
        <v>46277</v>
      </c>
      <c r="E478" s="9" t="n">
        <v>5746.83</v>
      </c>
      <c r="F478" s="8" t="n"/>
      <c r="G478" s="9" t="n">
        <v>0</v>
      </c>
      <c r="H478" t="inlineStr">
        <is>
          <t>NOT_DUE</t>
        </is>
      </c>
      <c r="I478">
        <f>IF(H478="UNPAID", AsOfDate-D478, 0)</f>
        <v/>
      </c>
      <c r="J478">
        <f>IF(F478&lt;&gt;"", TEXT(F478, "yyyy-mm"), "")</f>
        <v/>
      </c>
    </row>
    <row r="479">
      <c r="A479" t="inlineStr">
        <is>
          <t>RP0000478</t>
        </is>
      </c>
      <c r="B479" t="inlineStr">
        <is>
          <t>LN200072</t>
        </is>
      </c>
      <c r="C479" t="n">
        <v>4</v>
      </c>
      <c r="D479" s="8" t="n">
        <v>46307</v>
      </c>
      <c r="E479" s="9" t="n">
        <v>5746.83</v>
      </c>
      <c r="F479" s="8" t="n"/>
      <c r="G479" s="9" t="n">
        <v>0</v>
      </c>
      <c r="H479" t="inlineStr">
        <is>
          <t>NOT_DUE</t>
        </is>
      </c>
      <c r="I479">
        <f>IF(H479="UNPAID", AsOfDate-D479, 0)</f>
        <v/>
      </c>
      <c r="J479">
        <f>IF(F479&lt;&gt;"", TEXT(F479, "yyyy-mm"), "")</f>
        <v/>
      </c>
    </row>
    <row r="480">
      <c r="A480" t="inlineStr">
        <is>
          <t>RP0000479</t>
        </is>
      </c>
      <c r="B480" t="inlineStr">
        <is>
          <t>LN200072</t>
        </is>
      </c>
      <c r="C480" t="n">
        <v>5</v>
      </c>
      <c r="D480" s="8" t="n">
        <v>46338</v>
      </c>
      <c r="E480" s="9" t="n">
        <v>5746.83</v>
      </c>
      <c r="F480" s="8" t="n"/>
      <c r="G480" s="9" t="n">
        <v>0</v>
      </c>
      <c r="H480" t="inlineStr">
        <is>
          <t>NOT_DUE</t>
        </is>
      </c>
      <c r="I480">
        <f>IF(H480="UNPAID", AsOfDate-D480, 0)</f>
        <v/>
      </c>
      <c r="J480">
        <f>IF(F480&lt;&gt;"", TEXT(F480, "yyyy-mm"), "")</f>
        <v/>
      </c>
    </row>
    <row r="481">
      <c r="A481" t="inlineStr">
        <is>
          <t>RP0000480</t>
        </is>
      </c>
      <c r="B481" t="inlineStr">
        <is>
          <t>LN200072</t>
        </is>
      </c>
      <c r="C481" t="n">
        <v>6</v>
      </c>
      <c r="D481" s="8" t="n">
        <v>46368</v>
      </c>
      <c r="E481" s="9" t="n">
        <v>5746.83</v>
      </c>
      <c r="F481" s="8" t="n"/>
      <c r="G481" s="9" t="n">
        <v>0</v>
      </c>
      <c r="H481" t="inlineStr">
        <is>
          <t>NOT_DUE</t>
        </is>
      </c>
      <c r="I481">
        <f>IF(H481="UNPAID", AsOfDate-D481, 0)</f>
        <v/>
      </c>
      <c r="J481">
        <f>IF(F481&lt;&gt;"", TEXT(F481, "yyyy-mm"), "")</f>
        <v/>
      </c>
    </row>
    <row r="482">
      <c r="A482" t="inlineStr">
        <is>
          <t>RP0000481</t>
        </is>
      </c>
      <c r="B482" t="inlineStr">
        <is>
          <t>LN200072</t>
        </is>
      </c>
      <c r="C482" t="n">
        <v>7</v>
      </c>
      <c r="D482" s="8" t="n">
        <v>46399</v>
      </c>
      <c r="E482" s="9" t="n">
        <v>5746.83</v>
      </c>
      <c r="F482" s="8" t="n"/>
      <c r="G482" s="9" t="n">
        <v>0</v>
      </c>
      <c r="H482" t="inlineStr">
        <is>
          <t>NOT_DUE</t>
        </is>
      </c>
      <c r="I482">
        <f>IF(H482="UNPAID", AsOfDate-D482, 0)</f>
        <v/>
      </c>
      <c r="J482">
        <f>IF(F482&lt;&gt;"", TEXT(F482, "yyyy-mm"), "")</f>
        <v/>
      </c>
    </row>
    <row r="483">
      <c r="A483" t="inlineStr">
        <is>
          <t>RP0000482</t>
        </is>
      </c>
      <c r="B483" t="inlineStr">
        <is>
          <t>LN200072</t>
        </is>
      </c>
      <c r="C483" t="n">
        <v>8</v>
      </c>
      <c r="D483" s="8" t="n">
        <v>46430</v>
      </c>
      <c r="E483" s="9" t="n">
        <v>5746.83</v>
      </c>
      <c r="F483" s="8" t="n"/>
      <c r="G483" s="9" t="n">
        <v>0</v>
      </c>
      <c r="H483" t="inlineStr">
        <is>
          <t>NOT_DUE</t>
        </is>
      </c>
      <c r="I483">
        <f>IF(H483="UNPAID", AsOfDate-D483, 0)</f>
        <v/>
      </c>
      <c r="J483">
        <f>IF(F483&lt;&gt;"", TEXT(F483, "yyyy-mm"), "")</f>
        <v/>
      </c>
    </row>
    <row r="484">
      <c r="A484" t="inlineStr">
        <is>
          <t>RP0000483</t>
        </is>
      </c>
      <c r="B484" t="inlineStr">
        <is>
          <t>LN200072</t>
        </is>
      </c>
      <c r="C484" t="n">
        <v>9</v>
      </c>
      <c r="D484" s="8" t="n">
        <v>46458</v>
      </c>
      <c r="E484" s="9" t="n">
        <v>5746.83</v>
      </c>
      <c r="F484" s="8" t="n"/>
      <c r="G484" s="9" t="n">
        <v>0</v>
      </c>
      <c r="H484" t="inlineStr">
        <is>
          <t>NOT_DUE</t>
        </is>
      </c>
      <c r="I484">
        <f>IF(H484="UNPAID", AsOfDate-D484, 0)</f>
        <v/>
      </c>
      <c r="J484">
        <f>IF(F484&lt;&gt;"", TEXT(F484, "yyyy-mm"), "")</f>
        <v/>
      </c>
    </row>
    <row r="485">
      <c r="A485" t="inlineStr">
        <is>
          <t>RP0000484</t>
        </is>
      </c>
      <c r="B485" t="inlineStr">
        <is>
          <t>LN200072</t>
        </is>
      </c>
      <c r="C485" t="n">
        <v>10</v>
      </c>
      <c r="D485" s="8" t="n">
        <v>46489</v>
      </c>
      <c r="E485" s="9" t="n">
        <v>5746.83</v>
      </c>
      <c r="F485" s="8" t="n"/>
      <c r="G485" s="9" t="n">
        <v>0</v>
      </c>
      <c r="H485" t="inlineStr">
        <is>
          <t>NOT_DUE</t>
        </is>
      </c>
      <c r="I485">
        <f>IF(H485="UNPAID", AsOfDate-D485, 0)</f>
        <v/>
      </c>
      <c r="J485">
        <f>IF(F485&lt;&gt;"", TEXT(F485, "yyyy-mm"), "")</f>
        <v/>
      </c>
    </row>
    <row r="486">
      <c r="A486" t="inlineStr">
        <is>
          <t>RP0000485</t>
        </is>
      </c>
      <c r="B486" t="inlineStr">
        <is>
          <t>LN200072</t>
        </is>
      </c>
      <c r="C486" t="n">
        <v>11</v>
      </c>
      <c r="D486" s="8" t="n">
        <v>46519</v>
      </c>
      <c r="E486" s="9" t="n">
        <v>5746.83</v>
      </c>
      <c r="F486" s="8" t="n"/>
      <c r="G486" s="9" t="n">
        <v>0</v>
      </c>
      <c r="H486" t="inlineStr">
        <is>
          <t>NOT_DUE</t>
        </is>
      </c>
      <c r="I486">
        <f>IF(H486="UNPAID", AsOfDate-D486, 0)</f>
        <v/>
      </c>
      <c r="J486">
        <f>IF(F486&lt;&gt;"", TEXT(F486, "yyyy-mm"), "")</f>
        <v/>
      </c>
    </row>
    <row r="487">
      <c r="A487" t="inlineStr">
        <is>
          <t>RP0000486</t>
        </is>
      </c>
      <c r="B487" t="inlineStr">
        <is>
          <t>LN200072</t>
        </is>
      </c>
      <c r="C487" t="n">
        <v>12</v>
      </c>
      <c r="D487" s="8" t="n">
        <v>46550</v>
      </c>
      <c r="E487" s="9" t="n">
        <v>5746.83</v>
      </c>
      <c r="F487" s="8" t="n"/>
      <c r="G487" s="9" t="n">
        <v>0</v>
      </c>
      <c r="H487" t="inlineStr">
        <is>
          <t>NOT_DUE</t>
        </is>
      </c>
      <c r="I487">
        <f>IF(H487="UNPAID", AsOfDate-D487, 0)</f>
        <v/>
      </c>
      <c r="J487">
        <f>IF(F487&lt;&gt;"", TEXT(F487, "yyyy-mm"), "")</f>
        <v/>
      </c>
    </row>
    <row r="488">
      <c r="A488" t="inlineStr">
        <is>
          <t>RP0000487</t>
        </is>
      </c>
      <c r="B488" t="inlineStr">
        <is>
          <t>LN200073</t>
        </is>
      </c>
      <c r="C488" t="n">
        <v>1</v>
      </c>
      <c r="D488" s="8" t="n">
        <v>45926</v>
      </c>
      <c r="E488" s="9" t="n">
        <v>7122</v>
      </c>
      <c r="F488" s="8" t="n">
        <v>45924</v>
      </c>
      <c r="G488" s="9" t="n">
        <v>7122</v>
      </c>
      <c r="H488" t="inlineStr">
        <is>
          <t>PAID_ON_TIME</t>
        </is>
      </c>
      <c r="I488">
        <f>IF(H488="UNPAID", AsOfDate-D488, 0)</f>
        <v/>
      </c>
      <c r="J488">
        <f>IF(F488&lt;&gt;"", TEXT(F488, "yyyy-mm"), "")</f>
        <v/>
      </c>
    </row>
    <row r="489">
      <c r="A489" t="inlineStr">
        <is>
          <t>RP0000488</t>
        </is>
      </c>
      <c r="B489" t="inlineStr">
        <is>
          <t>LN200073</t>
        </is>
      </c>
      <c r="C489" t="n">
        <v>2</v>
      </c>
      <c r="D489" s="8" t="n">
        <v>45956</v>
      </c>
      <c r="E489" s="9" t="n">
        <v>7122</v>
      </c>
      <c r="F489" s="8" t="n">
        <v>45956</v>
      </c>
      <c r="G489" s="9" t="n">
        <v>7122</v>
      </c>
      <c r="H489" t="inlineStr">
        <is>
          <t>PAID_ON_TIME</t>
        </is>
      </c>
      <c r="I489">
        <f>IF(H489="UNPAID", AsOfDate-D489, 0)</f>
        <v/>
      </c>
      <c r="J489">
        <f>IF(F489&lt;&gt;"", TEXT(F489, "yyyy-mm"), "")</f>
        <v/>
      </c>
    </row>
    <row r="490">
      <c r="A490" t="inlineStr">
        <is>
          <t>RP0000489</t>
        </is>
      </c>
      <c r="B490" t="inlineStr">
        <is>
          <t>LN200073</t>
        </is>
      </c>
      <c r="C490" t="n">
        <v>3</v>
      </c>
      <c r="D490" s="8" t="n">
        <v>45987</v>
      </c>
      <c r="E490" s="9" t="n">
        <v>7122</v>
      </c>
      <c r="F490" s="8" t="n">
        <v>45986</v>
      </c>
      <c r="G490" s="9" t="n">
        <v>7122</v>
      </c>
      <c r="H490" t="inlineStr">
        <is>
          <t>PAID_ON_TIME</t>
        </is>
      </c>
      <c r="I490">
        <f>IF(H490="UNPAID", AsOfDate-D490, 0)</f>
        <v/>
      </c>
      <c r="J490">
        <f>IF(F490&lt;&gt;"", TEXT(F490, "yyyy-mm"), "")</f>
        <v/>
      </c>
    </row>
    <row r="491">
      <c r="A491" t="inlineStr">
        <is>
          <t>RP0000490</t>
        </is>
      </c>
      <c r="B491" t="inlineStr">
        <is>
          <t>LN200073</t>
        </is>
      </c>
      <c r="C491" t="n">
        <v>4</v>
      </c>
      <c r="D491" s="8" t="n">
        <v>46017</v>
      </c>
      <c r="E491" s="9" t="n">
        <v>7122</v>
      </c>
      <c r="F491" s="8" t="n">
        <v>46017</v>
      </c>
      <c r="G491" s="9" t="n">
        <v>7122</v>
      </c>
      <c r="H491" t="inlineStr">
        <is>
          <t>PAID_ON_TIME</t>
        </is>
      </c>
      <c r="I491">
        <f>IF(H491="UNPAID", AsOfDate-D491, 0)</f>
        <v/>
      </c>
      <c r="J491">
        <f>IF(F491&lt;&gt;"", TEXT(F491, "yyyy-mm"), "")</f>
        <v/>
      </c>
    </row>
    <row r="492">
      <c r="A492" t="inlineStr">
        <is>
          <t>RP0000491</t>
        </is>
      </c>
      <c r="B492" t="inlineStr">
        <is>
          <t>LN200073</t>
        </is>
      </c>
      <c r="C492" t="n">
        <v>5</v>
      </c>
      <c r="D492" s="8" t="n">
        <v>46048</v>
      </c>
      <c r="E492" s="9" t="n">
        <v>7122</v>
      </c>
      <c r="F492" s="8" t="n">
        <v>46048</v>
      </c>
      <c r="G492" s="9" t="n">
        <v>7122</v>
      </c>
      <c r="H492" t="inlineStr">
        <is>
          <t>PAID_ON_TIME</t>
        </is>
      </c>
      <c r="I492">
        <f>IF(H492="UNPAID", AsOfDate-D492, 0)</f>
        <v/>
      </c>
      <c r="J492">
        <f>IF(F492&lt;&gt;"", TEXT(F492, "yyyy-mm"), "")</f>
        <v/>
      </c>
    </row>
    <row r="493">
      <c r="A493" t="inlineStr">
        <is>
          <t>RP0000492</t>
        </is>
      </c>
      <c r="B493" t="inlineStr">
        <is>
          <t>LN200073</t>
        </is>
      </c>
      <c r="C493" t="n">
        <v>6</v>
      </c>
      <c r="D493" s="8" t="n">
        <v>46079</v>
      </c>
      <c r="E493" s="9" t="n">
        <v>7122</v>
      </c>
      <c r="F493" s="8" t="n">
        <v>46080</v>
      </c>
      <c r="G493" s="9" t="n">
        <v>7122</v>
      </c>
      <c r="H493" t="inlineStr">
        <is>
          <t>PAID_ON_TIME</t>
        </is>
      </c>
      <c r="I493">
        <f>IF(H493="UNPAID", AsOfDate-D493, 0)</f>
        <v/>
      </c>
      <c r="J493">
        <f>IF(F493&lt;&gt;"", TEXT(F493, "yyyy-mm"), "")</f>
        <v/>
      </c>
    </row>
    <row r="494">
      <c r="A494" t="inlineStr">
        <is>
          <t>RP0000493</t>
        </is>
      </c>
      <c r="B494" t="inlineStr">
        <is>
          <t>LN200073</t>
        </is>
      </c>
      <c r="C494" t="n">
        <v>7</v>
      </c>
      <c r="D494" s="8" t="n">
        <v>46107</v>
      </c>
      <c r="E494" s="9" t="n">
        <v>7122</v>
      </c>
      <c r="F494" s="8" t="n">
        <v>46108</v>
      </c>
      <c r="G494" s="9" t="n">
        <v>7122</v>
      </c>
      <c r="H494" t="inlineStr">
        <is>
          <t>PAID_ON_TIME</t>
        </is>
      </c>
      <c r="I494">
        <f>IF(H494="UNPAID", AsOfDate-D494, 0)</f>
        <v/>
      </c>
      <c r="J494">
        <f>IF(F494&lt;&gt;"", TEXT(F494, "yyyy-mm"), "")</f>
        <v/>
      </c>
    </row>
    <row r="495">
      <c r="A495" t="inlineStr">
        <is>
          <t>RP0000494</t>
        </is>
      </c>
      <c r="B495" t="inlineStr">
        <is>
          <t>LN200073</t>
        </is>
      </c>
      <c r="C495" t="n">
        <v>8</v>
      </c>
      <c r="D495" s="8" t="n">
        <v>46138</v>
      </c>
      <c r="E495" s="9" t="n">
        <v>7122</v>
      </c>
      <c r="F495" s="8" t="n">
        <v>46138</v>
      </c>
      <c r="G495" s="9" t="n">
        <v>7122</v>
      </c>
      <c r="H495" t="inlineStr">
        <is>
          <t>PAID_ON_TIME</t>
        </is>
      </c>
      <c r="I495">
        <f>IF(H495="UNPAID", AsOfDate-D495, 0)</f>
        <v/>
      </c>
      <c r="J495">
        <f>IF(F495&lt;&gt;"", TEXT(F495, "yyyy-mm"), "")</f>
        <v/>
      </c>
    </row>
    <row r="496">
      <c r="A496" t="inlineStr">
        <is>
          <t>RP0000495</t>
        </is>
      </c>
      <c r="B496" t="inlineStr">
        <is>
          <t>LN200073</t>
        </is>
      </c>
      <c r="C496" t="n">
        <v>9</v>
      </c>
      <c r="D496" s="8" t="n">
        <v>46168</v>
      </c>
      <c r="E496" s="9" t="n">
        <v>7122</v>
      </c>
      <c r="F496" s="8" t="n">
        <v>46172</v>
      </c>
      <c r="G496" s="9" t="n">
        <v>7122</v>
      </c>
      <c r="H496" t="inlineStr">
        <is>
          <t>PAID_ON_TIME</t>
        </is>
      </c>
      <c r="I496">
        <f>IF(H496="UNPAID", AsOfDate-D496, 0)</f>
        <v/>
      </c>
      <c r="J496">
        <f>IF(F496&lt;&gt;"", TEXT(F496, "yyyy-mm"), "")</f>
        <v/>
      </c>
    </row>
    <row r="497">
      <c r="A497" t="inlineStr">
        <is>
          <t>RP0000496</t>
        </is>
      </c>
      <c r="B497" t="inlineStr">
        <is>
          <t>LN200073</t>
        </is>
      </c>
      <c r="C497" t="n">
        <v>10</v>
      </c>
      <c r="D497" s="8" t="n">
        <v>46199</v>
      </c>
      <c r="E497" s="9" t="n">
        <v>7122</v>
      </c>
      <c r="F497" s="8" t="n">
        <v>46203</v>
      </c>
      <c r="G497" s="9" t="n">
        <v>7122</v>
      </c>
      <c r="H497" t="inlineStr">
        <is>
          <t>PAID_ON_TIME</t>
        </is>
      </c>
      <c r="I497">
        <f>IF(H497="UNPAID", AsOfDate-D497, 0)</f>
        <v/>
      </c>
      <c r="J497">
        <f>IF(F497&lt;&gt;"", TEXT(F497, "yyyy-mm"), "")</f>
        <v/>
      </c>
    </row>
    <row r="498">
      <c r="A498" t="inlineStr">
        <is>
          <t>RP0000497</t>
        </is>
      </c>
      <c r="B498" t="inlineStr">
        <is>
          <t>LN200073</t>
        </is>
      </c>
      <c r="C498" t="n">
        <v>11</v>
      </c>
      <c r="D498" s="8" t="n">
        <v>46229</v>
      </c>
      <c r="E498" s="9" t="n">
        <v>7122</v>
      </c>
      <c r="F498" s="8" t="n">
        <v>46232</v>
      </c>
      <c r="G498" s="9" t="n">
        <v>7122</v>
      </c>
      <c r="H498" t="inlineStr">
        <is>
          <t>PAID_ON_TIME</t>
        </is>
      </c>
      <c r="I498">
        <f>IF(H498="UNPAID", AsOfDate-D498, 0)</f>
        <v/>
      </c>
      <c r="J498">
        <f>IF(F498&lt;&gt;"", TEXT(F498, "yyyy-mm"), "")</f>
        <v/>
      </c>
    </row>
    <row r="499">
      <c r="A499" t="inlineStr">
        <is>
          <t>RP0000498</t>
        </is>
      </c>
      <c r="B499" t="inlineStr">
        <is>
          <t>LN200073</t>
        </is>
      </c>
      <c r="C499" t="n">
        <v>12</v>
      </c>
      <c r="D499" s="8" t="n">
        <v>46260</v>
      </c>
      <c r="E499" s="9" t="n">
        <v>7122</v>
      </c>
      <c r="F499" s="8" t="n">
        <v>46258</v>
      </c>
      <c r="G499" s="9" t="n">
        <v>7122</v>
      </c>
      <c r="H499" t="inlineStr">
        <is>
          <t>PAID_ON_TIME</t>
        </is>
      </c>
      <c r="I499">
        <f>IF(H499="UNPAID", AsOfDate-D499, 0)</f>
        <v/>
      </c>
      <c r="J499">
        <f>IF(F499&lt;&gt;"", TEXT(F499, "yyyy-mm"), "")</f>
        <v/>
      </c>
    </row>
    <row r="500">
      <c r="A500" t="inlineStr">
        <is>
          <t>RP0000499</t>
        </is>
      </c>
      <c r="B500" t="inlineStr">
        <is>
          <t>LN200074</t>
        </is>
      </c>
      <c r="C500" t="n">
        <v>1</v>
      </c>
      <c r="D500" s="8" t="n">
        <v>46006</v>
      </c>
      <c r="E500" s="9" t="n">
        <v>66117.83</v>
      </c>
      <c r="F500" s="8" t="n">
        <v>46006</v>
      </c>
      <c r="G500" s="9" t="n">
        <v>66117.83</v>
      </c>
      <c r="H500" t="inlineStr">
        <is>
          <t>PAID_ON_TIME</t>
        </is>
      </c>
      <c r="I500">
        <f>IF(H500="UNPAID", AsOfDate-D500, 0)</f>
        <v/>
      </c>
      <c r="J500">
        <f>IF(F500&lt;&gt;"", TEXT(F500, "yyyy-mm"), "")</f>
        <v/>
      </c>
    </row>
    <row r="501">
      <c r="A501" t="inlineStr">
        <is>
          <t>RP0000500</t>
        </is>
      </c>
      <c r="B501" t="inlineStr">
        <is>
          <t>LN200074</t>
        </is>
      </c>
      <c r="C501" t="n">
        <v>2</v>
      </c>
      <c r="D501" s="8" t="n">
        <v>46037</v>
      </c>
      <c r="E501" s="9" t="n">
        <v>66117.83</v>
      </c>
      <c r="F501" s="8" t="n">
        <v>46035</v>
      </c>
      <c r="G501" s="9" t="n">
        <v>66117.83</v>
      </c>
      <c r="H501" t="inlineStr">
        <is>
          <t>PAID_ON_TIME</t>
        </is>
      </c>
      <c r="I501">
        <f>IF(H501="UNPAID", AsOfDate-D501, 0)</f>
        <v/>
      </c>
      <c r="J501">
        <f>IF(F501&lt;&gt;"", TEXT(F501, "yyyy-mm"), "")</f>
        <v/>
      </c>
    </row>
    <row r="502">
      <c r="A502" t="inlineStr">
        <is>
          <t>RP0000501</t>
        </is>
      </c>
      <c r="B502" t="inlineStr">
        <is>
          <t>LN200074</t>
        </is>
      </c>
      <c r="C502" t="n">
        <v>3</v>
      </c>
      <c r="D502" s="8" t="n">
        <v>46068</v>
      </c>
      <c r="E502" s="9" t="n">
        <v>66117.83</v>
      </c>
      <c r="F502" s="8" t="n">
        <v>46071</v>
      </c>
      <c r="G502" s="9" t="n">
        <v>66117.83</v>
      </c>
      <c r="H502" t="inlineStr">
        <is>
          <t>PAID_ON_TIME</t>
        </is>
      </c>
      <c r="I502">
        <f>IF(H502="UNPAID", AsOfDate-D502, 0)</f>
        <v/>
      </c>
      <c r="J502">
        <f>IF(F502&lt;&gt;"", TEXT(F502, "yyyy-mm"), "")</f>
        <v/>
      </c>
    </row>
    <row r="503">
      <c r="A503" t="inlineStr">
        <is>
          <t>RP0000502</t>
        </is>
      </c>
      <c r="B503" t="inlineStr">
        <is>
          <t>LN200075</t>
        </is>
      </c>
      <c r="C503" t="n">
        <v>1</v>
      </c>
      <c r="D503" s="8" t="n">
        <v>46192</v>
      </c>
      <c r="E503" s="9" t="n">
        <v>4136</v>
      </c>
      <c r="F503" s="8" t="n">
        <v>46265</v>
      </c>
      <c r="G503" s="9" t="n">
        <v>4136</v>
      </c>
      <c r="H503" t="inlineStr">
        <is>
          <t>PAID_LATE</t>
        </is>
      </c>
      <c r="I503">
        <f>IF(H503="UNPAID", AsOfDate-D503, 0)</f>
        <v/>
      </c>
      <c r="J503">
        <f>IF(F503&lt;&gt;"", TEXT(F503, "yyyy-mm"), "")</f>
        <v/>
      </c>
    </row>
    <row r="504">
      <c r="A504" t="inlineStr">
        <is>
          <t>RP0000503</t>
        </is>
      </c>
      <c r="B504" t="inlineStr">
        <is>
          <t>LN200075</t>
        </is>
      </c>
      <c r="C504" t="n">
        <v>2</v>
      </c>
      <c r="D504" s="8" t="n">
        <v>46222</v>
      </c>
      <c r="E504" s="9" t="n">
        <v>4136</v>
      </c>
      <c r="F504" s="8" t="n"/>
      <c r="G504" s="9" t="n">
        <v>0</v>
      </c>
      <c r="H504" t="inlineStr">
        <is>
          <t>UNPAID</t>
        </is>
      </c>
      <c r="I504">
        <f>IF(H504="UNPAID", AsOfDate-D504, 0)</f>
        <v/>
      </c>
      <c r="J504">
        <f>IF(F504&lt;&gt;"", TEXT(F504, "yyyy-mm"), "")</f>
        <v/>
      </c>
    </row>
    <row r="505">
      <c r="A505" t="inlineStr">
        <is>
          <t>RP0000504</t>
        </is>
      </c>
      <c r="B505" t="inlineStr">
        <is>
          <t>LN200075</t>
        </is>
      </c>
      <c r="C505" t="n">
        <v>3</v>
      </c>
      <c r="D505" s="8" t="n">
        <v>46253</v>
      </c>
      <c r="E505" s="9" t="n">
        <v>4136</v>
      </c>
      <c r="F505" s="8" t="n">
        <v>46252</v>
      </c>
      <c r="G505" s="9" t="n">
        <v>4136</v>
      </c>
      <c r="H505" t="inlineStr">
        <is>
          <t>PAID_ON_TIME</t>
        </is>
      </c>
      <c r="I505">
        <f>IF(H505="UNPAID", AsOfDate-D505, 0)</f>
        <v/>
      </c>
      <c r="J505">
        <f>IF(F505&lt;&gt;"", TEXT(F505, "yyyy-mm"), "")</f>
        <v/>
      </c>
    </row>
    <row r="506">
      <c r="A506" t="inlineStr">
        <is>
          <t>RP0000505</t>
        </is>
      </c>
      <c r="B506" t="inlineStr">
        <is>
          <t>LN200075</t>
        </is>
      </c>
      <c r="C506" t="n">
        <v>4</v>
      </c>
      <c r="D506" s="8" t="n">
        <v>46284</v>
      </c>
      <c r="E506" s="9" t="n">
        <v>4136</v>
      </c>
      <c r="F506" s="8" t="n"/>
      <c r="G506" s="9" t="n">
        <v>0</v>
      </c>
      <c r="H506" t="inlineStr">
        <is>
          <t>NOT_DUE</t>
        </is>
      </c>
      <c r="I506">
        <f>IF(H506="UNPAID", AsOfDate-D506, 0)</f>
        <v/>
      </c>
      <c r="J506">
        <f>IF(F506&lt;&gt;"", TEXT(F506, "yyyy-mm"), "")</f>
        <v/>
      </c>
    </row>
    <row r="507">
      <c r="A507" t="inlineStr">
        <is>
          <t>RP0000506</t>
        </is>
      </c>
      <c r="B507" t="inlineStr">
        <is>
          <t>LN200075</t>
        </is>
      </c>
      <c r="C507" t="n">
        <v>5</v>
      </c>
      <c r="D507" s="8" t="n">
        <v>46314</v>
      </c>
      <c r="E507" s="9" t="n">
        <v>4136</v>
      </c>
      <c r="F507" s="8" t="n"/>
      <c r="G507" s="9" t="n">
        <v>0</v>
      </c>
      <c r="H507" t="inlineStr">
        <is>
          <t>NOT_DUE</t>
        </is>
      </c>
      <c r="I507">
        <f>IF(H507="UNPAID", AsOfDate-D507, 0)</f>
        <v/>
      </c>
      <c r="J507">
        <f>IF(F507&lt;&gt;"", TEXT(F507, "yyyy-mm"), "")</f>
        <v/>
      </c>
    </row>
    <row r="508">
      <c r="A508" t="inlineStr">
        <is>
          <t>RP0000507</t>
        </is>
      </c>
      <c r="B508" t="inlineStr">
        <is>
          <t>LN200075</t>
        </is>
      </c>
      <c r="C508" t="n">
        <v>6</v>
      </c>
      <c r="D508" s="8" t="n">
        <v>46345</v>
      </c>
      <c r="E508" s="9" t="n">
        <v>4136</v>
      </c>
      <c r="F508" s="8" t="n"/>
      <c r="G508" s="9" t="n">
        <v>0</v>
      </c>
      <c r="H508" t="inlineStr">
        <is>
          <t>NOT_DUE</t>
        </is>
      </c>
      <c r="I508">
        <f>IF(H508="UNPAID", AsOfDate-D508, 0)</f>
        <v/>
      </c>
      <c r="J508">
        <f>IF(F508&lt;&gt;"", TEXT(F508, "yyyy-mm"), "")</f>
        <v/>
      </c>
    </row>
    <row r="509">
      <c r="A509" t="inlineStr">
        <is>
          <t>RP0000508</t>
        </is>
      </c>
      <c r="B509" t="inlineStr">
        <is>
          <t>LN200075</t>
        </is>
      </c>
      <c r="C509" t="n">
        <v>7</v>
      </c>
      <c r="D509" s="8" t="n">
        <v>46375</v>
      </c>
      <c r="E509" s="9" t="n">
        <v>4136</v>
      </c>
      <c r="F509" s="8" t="n"/>
      <c r="G509" s="9" t="n">
        <v>0</v>
      </c>
      <c r="H509" t="inlineStr">
        <is>
          <t>NOT_DUE</t>
        </is>
      </c>
      <c r="I509">
        <f>IF(H509="UNPAID", AsOfDate-D509, 0)</f>
        <v/>
      </c>
      <c r="J509">
        <f>IF(F509&lt;&gt;"", TEXT(F509, "yyyy-mm"), "")</f>
        <v/>
      </c>
    </row>
    <row r="510">
      <c r="A510" t="inlineStr">
        <is>
          <t>RP0000509</t>
        </is>
      </c>
      <c r="B510" t="inlineStr">
        <is>
          <t>LN200075</t>
        </is>
      </c>
      <c r="C510" t="n">
        <v>8</v>
      </c>
      <c r="D510" s="8" t="n">
        <v>46406</v>
      </c>
      <c r="E510" s="9" t="n">
        <v>4136</v>
      </c>
      <c r="F510" s="8" t="n"/>
      <c r="G510" s="9" t="n">
        <v>0</v>
      </c>
      <c r="H510" t="inlineStr">
        <is>
          <t>NOT_DUE</t>
        </is>
      </c>
      <c r="I510">
        <f>IF(H510="UNPAID", AsOfDate-D510, 0)</f>
        <v/>
      </c>
      <c r="J510">
        <f>IF(F510&lt;&gt;"", TEXT(F510, "yyyy-mm"), "")</f>
        <v/>
      </c>
    </row>
    <row r="511">
      <c r="A511" t="inlineStr">
        <is>
          <t>RP0000510</t>
        </is>
      </c>
      <c r="B511" t="inlineStr">
        <is>
          <t>LN200075</t>
        </is>
      </c>
      <c r="C511" t="n">
        <v>9</v>
      </c>
      <c r="D511" s="8" t="n">
        <v>46437</v>
      </c>
      <c r="E511" s="9" t="n">
        <v>4136</v>
      </c>
      <c r="F511" s="8" t="n"/>
      <c r="G511" s="9" t="n">
        <v>0</v>
      </c>
      <c r="H511" t="inlineStr">
        <is>
          <t>NOT_DUE</t>
        </is>
      </c>
      <c r="I511">
        <f>IF(H511="UNPAID", AsOfDate-D511, 0)</f>
        <v/>
      </c>
      <c r="J511">
        <f>IF(F511&lt;&gt;"", TEXT(F511, "yyyy-mm"), "")</f>
        <v/>
      </c>
    </row>
    <row r="512">
      <c r="A512" t="inlineStr">
        <is>
          <t>RP0000511</t>
        </is>
      </c>
      <c r="B512" t="inlineStr">
        <is>
          <t>LN200075</t>
        </is>
      </c>
      <c r="C512" t="n">
        <v>10</v>
      </c>
      <c r="D512" s="8" t="n">
        <v>46465</v>
      </c>
      <c r="E512" s="9" t="n">
        <v>4136</v>
      </c>
      <c r="F512" s="8" t="n"/>
      <c r="G512" s="9" t="n">
        <v>0</v>
      </c>
      <c r="H512" t="inlineStr">
        <is>
          <t>NOT_DUE</t>
        </is>
      </c>
      <c r="I512">
        <f>IF(H512="UNPAID", AsOfDate-D512, 0)</f>
        <v/>
      </c>
      <c r="J512">
        <f>IF(F512&lt;&gt;"", TEXT(F512, "yyyy-mm"), "")</f>
        <v/>
      </c>
    </row>
    <row r="513">
      <c r="A513" t="inlineStr">
        <is>
          <t>RP0000512</t>
        </is>
      </c>
      <c r="B513" t="inlineStr">
        <is>
          <t>LN200075</t>
        </is>
      </c>
      <c r="C513" t="n">
        <v>11</v>
      </c>
      <c r="D513" s="8" t="n">
        <v>46496</v>
      </c>
      <c r="E513" s="9" t="n">
        <v>4136</v>
      </c>
      <c r="F513" s="8" t="n"/>
      <c r="G513" s="9" t="n">
        <v>0</v>
      </c>
      <c r="H513" t="inlineStr">
        <is>
          <t>NOT_DUE</t>
        </is>
      </c>
      <c r="I513">
        <f>IF(H513="UNPAID", AsOfDate-D513, 0)</f>
        <v/>
      </c>
      <c r="J513">
        <f>IF(F513&lt;&gt;"", TEXT(F513, "yyyy-mm"), "")</f>
        <v/>
      </c>
    </row>
    <row r="514">
      <c r="A514" t="inlineStr">
        <is>
          <t>RP0000513</t>
        </is>
      </c>
      <c r="B514" t="inlineStr">
        <is>
          <t>LN200075</t>
        </is>
      </c>
      <c r="C514" t="n">
        <v>12</v>
      </c>
      <c r="D514" s="8" t="n">
        <v>46526</v>
      </c>
      <c r="E514" s="9" t="n">
        <v>4136</v>
      </c>
      <c r="F514" s="8" t="n"/>
      <c r="G514" s="9" t="n">
        <v>0</v>
      </c>
      <c r="H514" t="inlineStr">
        <is>
          <t>NOT_DUE</t>
        </is>
      </c>
      <c r="I514">
        <f>IF(H514="UNPAID", AsOfDate-D514, 0)</f>
        <v/>
      </c>
      <c r="J514">
        <f>IF(F514&lt;&gt;"", TEXT(F514, "yyyy-mm"), "")</f>
        <v/>
      </c>
    </row>
    <row r="515">
      <c r="A515" t="inlineStr">
        <is>
          <t>RP0000514</t>
        </is>
      </c>
      <c r="B515" t="inlineStr">
        <is>
          <t>LN200076</t>
        </is>
      </c>
      <c r="C515" t="n">
        <v>1</v>
      </c>
      <c r="D515" s="8" t="n">
        <v>46003</v>
      </c>
      <c r="E515" s="9" t="n">
        <v>81705.33</v>
      </c>
      <c r="F515" s="8" t="n">
        <v>46003</v>
      </c>
      <c r="G515" s="9" t="n">
        <v>81705.33</v>
      </c>
      <c r="H515" t="inlineStr">
        <is>
          <t>PAID_ON_TIME</t>
        </is>
      </c>
      <c r="I515">
        <f>IF(H515="UNPAID", AsOfDate-D515, 0)</f>
        <v/>
      </c>
      <c r="J515">
        <f>IF(F515&lt;&gt;"", TEXT(F515, "yyyy-mm"), "")</f>
        <v/>
      </c>
    </row>
    <row r="516">
      <c r="A516" t="inlineStr">
        <is>
          <t>RP0000515</t>
        </is>
      </c>
      <c r="B516" t="inlineStr">
        <is>
          <t>LN200076</t>
        </is>
      </c>
      <c r="C516" t="n">
        <v>2</v>
      </c>
      <c r="D516" s="8" t="n">
        <v>46034</v>
      </c>
      <c r="E516" s="9" t="n">
        <v>81705.33</v>
      </c>
      <c r="F516" s="8" t="n">
        <v>46031</v>
      </c>
      <c r="G516" s="9" t="n">
        <v>81705.33</v>
      </c>
      <c r="H516" t="inlineStr">
        <is>
          <t>PAID_ON_TIME</t>
        </is>
      </c>
      <c r="I516">
        <f>IF(H516="UNPAID", AsOfDate-D516, 0)</f>
        <v/>
      </c>
      <c r="J516">
        <f>IF(F516&lt;&gt;"", TEXT(F516, "yyyy-mm"), "")</f>
        <v/>
      </c>
    </row>
    <row r="517">
      <c r="A517" t="inlineStr">
        <is>
          <t>RP0000516</t>
        </is>
      </c>
      <c r="B517" t="inlineStr">
        <is>
          <t>LN200076</t>
        </is>
      </c>
      <c r="C517" t="n">
        <v>3</v>
      </c>
      <c r="D517" s="8" t="n">
        <v>46065</v>
      </c>
      <c r="E517" s="9" t="n">
        <v>81705.33</v>
      </c>
      <c r="F517" s="8" t="n">
        <v>46069</v>
      </c>
      <c r="G517" s="9" t="n">
        <v>81705.33</v>
      </c>
      <c r="H517" t="inlineStr">
        <is>
          <t>PAID_ON_TIME</t>
        </is>
      </c>
      <c r="I517">
        <f>IF(H517="UNPAID", AsOfDate-D517, 0)</f>
        <v/>
      </c>
      <c r="J517">
        <f>IF(F517&lt;&gt;"", TEXT(F517, "yyyy-mm"), "")</f>
        <v/>
      </c>
    </row>
    <row r="518">
      <c r="A518" t="inlineStr">
        <is>
          <t>RP0000517</t>
        </is>
      </c>
      <c r="B518" t="inlineStr">
        <is>
          <t>LN200077</t>
        </is>
      </c>
      <c r="C518" t="n">
        <v>1</v>
      </c>
      <c r="D518" s="8" t="n">
        <v>46060</v>
      </c>
      <c r="E518" s="9" t="n">
        <v>11354.75</v>
      </c>
      <c r="F518" s="8" t="n">
        <v>46058</v>
      </c>
      <c r="G518" s="9" t="n">
        <v>11354.75</v>
      </c>
      <c r="H518" t="inlineStr">
        <is>
          <t>PAID_ON_TIME</t>
        </is>
      </c>
      <c r="I518">
        <f>IF(H518="UNPAID", AsOfDate-D518, 0)</f>
        <v/>
      </c>
      <c r="J518">
        <f>IF(F518&lt;&gt;"", TEXT(F518, "yyyy-mm"), "")</f>
        <v/>
      </c>
    </row>
    <row r="519">
      <c r="A519" t="inlineStr">
        <is>
          <t>RP0000518</t>
        </is>
      </c>
      <c r="B519" t="inlineStr">
        <is>
          <t>LN200077</t>
        </is>
      </c>
      <c r="C519" t="n">
        <v>2</v>
      </c>
      <c r="D519" s="8" t="n">
        <v>46088</v>
      </c>
      <c r="E519" s="9" t="n">
        <v>11354.75</v>
      </c>
      <c r="F519" s="8" t="n">
        <v>46091</v>
      </c>
      <c r="G519" s="9" t="n">
        <v>11354.75</v>
      </c>
      <c r="H519" t="inlineStr">
        <is>
          <t>PAID_ON_TIME</t>
        </is>
      </c>
      <c r="I519">
        <f>IF(H519="UNPAID", AsOfDate-D519, 0)</f>
        <v/>
      </c>
      <c r="J519">
        <f>IF(F519&lt;&gt;"", TEXT(F519, "yyyy-mm"), "")</f>
        <v/>
      </c>
    </row>
    <row r="520">
      <c r="A520" t="inlineStr">
        <is>
          <t>RP0000519</t>
        </is>
      </c>
      <c r="B520" t="inlineStr">
        <is>
          <t>LN200077</t>
        </is>
      </c>
      <c r="C520" t="n">
        <v>3</v>
      </c>
      <c r="D520" s="8" t="n">
        <v>46119</v>
      </c>
      <c r="E520" s="9" t="n">
        <v>11354.75</v>
      </c>
      <c r="F520" s="8" t="n">
        <v>46193</v>
      </c>
      <c r="G520" s="9" t="n">
        <v>11354.75</v>
      </c>
      <c r="H520" t="inlineStr">
        <is>
          <t>PAID_LATE</t>
        </is>
      </c>
      <c r="I520">
        <f>IF(H520="UNPAID", AsOfDate-D520, 0)</f>
        <v/>
      </c>
      <c r="J520">
        <f>IF(F520&lt;&gt;"", TEXT(F520, "yyyy-mm"), "")</f>
        <v/>
      </c>
    </row>
    <row r="521">
      <c r="A521" t="inlineStr">
        <is>
          <t>RP0000520</t>
        </is>
      </c>
      <c r="B521" t="inlineStr">
        <is>
          <t>LN200078</t>
        </is>
      </c>
      <c r="C521" t="n">
        <v>1</v>
      </c>
      <c r="D521" s="8" t="n">
        <v>45985</v>
      </c>
      <c r="E521" s="9" t="n">
        <v>23265.75</v>
      </c>
      <c r="F521" s="8" t="n">
        <v>45986</v>
      </c>
      <c r="G521" s="9" t="n">
        <v>23265.75</v>
      </c>
      <c r="H521" t="inlineStr">
        <is>
          <t>PAID_ON_TIME</t>
        </is>
      </c>
      <c r="I521">
        <f>IF(H521="UNPAID", AsOfDate-D521, 0)</f>
        <v/>
      </c>
      <c r="J521">
        <f>IF(F521&lt;&gt;"", TEXT(F521, "yyyy-mm"), "")</f>
        <v/>
      </c>
    </row>
    <row r="522">
      <c r="A522" t="inlineStr">
        <is>
          <t>RP0000521</t>
        </is>
      </c>
      <c r="B522" t="inlineStr">
        <is>
          <t>LN200078</t>
        </is>
      </c>
      <c r="C522" t="n">
        <v>2</v>
      </c>
      <c r="D522" s="8" t="n">
        <v>46015</v>
      </c>
      <c r="E522" s="9" t="n">
        <v>23265.75</v>
      </c>
      <c r="F522" s="8" t="n">
        <v>46071</v>
      </c>
      <c r="G522" s="9" t="n">
        <v>23265.75</v>
      </c>
      <c r="H522" t="inlineStr">
        <is>
          <t>PAID_LATE</t>
        </is>
      </c>
      <c r="I522">
        <f>IF(H522="UNPAID", AsOfDate-D522, 0)</f>
        <v/>
      </c>
      <c r="J522">
        <f>IF(F522&lt;&gt;"", TEXT(F522, "yyyy-mm"), "")</f>
        <v/>
      </c>
    </row>
    <row r="523">
      <c r="A523" t="inlineStr">
        <is>
          <t>RP0000522</t>
        </is>
      </c>
      <c r="B523" t="inlineStr">
        <is>
          <t>LN200078</t>
        </is>
      </c>
      <c r="C523" t="n">
        <v>3</v>
      </c>
      <c r="D523" s="8" t="n">
        <v>46046</v>
      </c>
      <c r="E523" s="9" t="n">
        <v>23265.75</v>
      </c>
      <c r="F523" s="8" t="n">
        <v>46046</v>
      </c>
      <c r="G523" s="9" t="n">
        <v>23265.75</v>
      </c>
      <c r="H523" t="inlineStr">
        <is>
          <t>PAID_ON_TIME</t>
        </is>
      </c>
      <c r="I523">
        <f>IF(H523="UNPAID", AsOfDate-D523, 0)</f>
        <v/>
      </c>
      <c r="J523">
        <f>IF(F523&lt;&gt;"", TEXT(F523, "yyyy-mm"), "")</f>
        <v/>
      </c>
    </row>
    <row r="524">
      <c r="A524" t="inlineStr">
        <is>
          <t>RP0000523</t>
        </is>
      </c>
      <c r="B524" t="inlineStr">
        <is>
          <t>LN200079</t>
        </is>
      </c>
      <c r="C524" t="n">
        <v>1</v>
      </c>
      <c r="D524" s="8" t="n">
        <v>45716</v>
      </c>
      <c r="E524" s="9" t="n">
        <v>143861.67</v>
      </c>
      <c r="F524" s="8" t="n">
        <v>45720</v>
      </c>
      <c r="G524" s="9" t="n">
        <v>143861.67</v>
      </c>
      <c r="H524" t="inlineStr">
        <is>
          <t>PAID_ON_TIME</t>
        </is>
      </c>
      <c r="I524">
        <f>IF(H524="UNPAID", AsOfDate-D524, 0)</f>
        <v/>
      </c>
      <c r="J524">
        <f>IF(F524&lt;&gt;"", TEXT(F524, "yyyy-mm"), "")</f>
        <v/>
      </c>
    </row>
    <row r="525">
      <c r="A525" t="inlineStr">
        <is>
          <t>RP0000524</t>
        </is>
      </c>
      <c r="B525" t="inlineStr">
        <is>
          <t>LN200079</t>
        </is>
      </c>
      <c r="C525" t="n">
        <v>2</v>
      </c>
      <c r="D525" s="8" t="n">
        <v>45747</v>
      </c>
      <c r="E525" s="9" t="n">
        <v>143861.67</v>
      </c>
      <c r="F525" s="8" t="n">
        <v>45749</v>
      </c>
      <c r="G525" s="9" t="n">
        <v>143861.67</v>
      </c>
      <c r="H525" t="inlineStr">
        <is>
          <t>PAID_ON_TIME</t>
        </is>
      </c>
      <c r="I525">
        <f>IF(H525="UNPAID", AsOfDate-D525, 0)</f>
        <v/>
      </c>
      <c r="J525">
        <f>IF(F525&lt;&gt;"", TEXT(F525, "yyyy-mm"), "")</f>
        <v/>
      </c>
    </row>
    <row r="526">
      <c r="A526" t="inlineStr">
        <is>
          <t>RP0000525</t>
        </is>
      </c>
      <c r="B526" t="inlineStr">
        <is>
          <t>LN200079</t>
        </is>
      </c>
      <c r="C526" t="n">
        <v>3</v>
      </c>
      <c r="D526" s="8" t="n">
        <v>45777</v>
      </c>
      <c r="E526" s="9" t="n">
        <v>143861.67</v>
      </c>
      <c r="F526" s="8" t="n">
        <v>45894</v>
      </c>
      <c r="G526" s="9" t="n">
        <v>143861.67</v>
      </c>
      <c r="H526" t="inlineStr">
        <is>
          <t>PAID_LATE</t>
        </is>
      </c>
      <c r="I526">
        <f>IF(H526="UNPAID", AsOfDate-D526, 0)</f>
        <v/>
      </c>
      <c r="J526">
        <f>IF(F526&lt;&gt;"", TEXT(F526, "yyyy-mm"), "")</f>
        <v/>
      </c>
    </row>
    <row r="527">
      <c r="A527" t="inlineStr">
        <is>
          <t>RP0000526</t>
        </is>
      </c>
      <c r="B527" t="inlineStr">
        <is>
          <t>LN200080</t>
        </is>
      </c>
      <c r="C527" t="n">
        <v>1</v>
      </c>
      <c r="D527" s="8" t="n">
        <v>45909</v>
      </c>
      <c r="E527" s="9" t="n">
        <v>76245.75</v>
      </c>
      <c r="F527" s="8" t="n">
        <v>45907</v>
      </c>
      <c r="G527" s="9" t="n">
        <v>76245.75</v>
      </c>
      <c r="H527" t="inlineStr">
        <is>
          <t>PAID_ON_TIME</t>
        </is>
      </c>
      <c r="I527">
        <f>IF(H527="UNPAID", AsOfDate-D527, 0)</f>
        <v/>
      </c>
      <c r="J527">
        <f>IF(F527&lt;&gt;"", TEXT(F527, "yyyy-mm"), "")</f>
        <v/>
      </c>
    </row>
    <row r="528">
      <c r="A528" t="inlineStr">
        <is>
          <t>RP0000527</t>
        </is>
      </c>
      <c r="B528" t="inlineStr">
        <is>
          <t>LN200080</t>
        </is>
      </c>
      <c r="C528" t="n">
        <v>2</v>
      </c>
      <c r="D528" s="8" t="n">
        <v>45939</v>
      </c>
      <c r="E528" s="9" t="n">
        <v>76245.75</v>
      </c>
      <c r="F528" s="8" t="n">
        <v>45937</v>
      </c>
      <c r="G528" s="9" t="n">
        <v>76245.75</v>
      </c>
      <c r="H528" t="inlineStr">
        <is>
          <t>PAID_ON_TIME</t>
        </is>
      </c>
      <c r="I528">
        <f>IF(H528="UNPAID", AsOfDate-D528, 0)</f>
        <v/>
      </c>
      <c r="J528">
        <f>IF(F528&lt;&gt;"", TEXT(F528, "yyyy-mm"), "")</f>
        <v/>
      </c>
    </row>
    <row r="529">
      <c r="A529" t="inlineStr">
        <is>
          <t>RP0000528</t>
        </is>
      </c>
      <c r="B529" t="inlineStr">
        <is>
          <t>LN200080</t>
        </is>
      </c>
      <c r="C529" t="n">
        <v>3</v>
      </c>
      <c r="D529" s="8" t="n">
        <v>45970</v>
      </c>
      <c r="E529" s="9" t="n">
        <v>76245.75</v>
      </c>
      <c r="F529" s="8" t="n">
        <v>45970</v>
      </c>
      <c r="G529" s="9" t="n">
        <v>76245.75</v>
      </c>
      <c r="H529" t="inlineStr">
        <is>
          <t>PAID_ON_TIME</t>
        </is>
      </c>
      <c r="I529">
        <f>IF(H529="UNPAID", AsOfDate-D529, 0)</f>
        <v/>
      </c>
      <c r="J529">
        <f>IF(F529&lt;&gt;"", TEXT(F529, "yyyy-mm"), "")</f>
        <v/>
      </c>
    </row>
    <row r="530">
      <c r="A530" t="inlineStr">
        <is>
          <t>RP0000529</t>
        </is>
      </c>
      <c r="B530" t="inlineStr">
        <is>
          <t>LN200080</t>
        </is>
      </c>
      <c r="C530" t="n">
        <v>4</v>
      </c>
      <c r="D530" s="8" t="n">
        <v>46000</v>
      </c>
      <c r="E530" s="9" t="n">
        <v>76245.75</v>
      </c>
      <c r="F530" s="8" t="n"/>
      <c r="G530" s="9" t="n">
        <v>0</v>
      </c>
      <c r="H530" t="inlineStr">
        <is>
          <t>UNPAID</t>
        </is>
      </c>
      <c r="I530">
        <f>IF(H530="UNPAID", AsOfDate-D530, 0)</f>
        <v/>
      </c>
      <c r="J530">
        <f>IF(F530&lt;&gt;"", TEXT(F530, "yyyy-mm"), "")</f>
        <v/>
      </c>
    </row>
    <row r="531">
      <c r="A531" t="inlineStr">
        <is>
          <t>RP0000530</t>
        </is>
      </c>
      <c r="B531" t="inlineStr">
        <is>
          <t>LN200080</t>
        </is>
      </c>
      <c r="C531" t="n">
        <v>5</v>
      </c>
      <c r="D531" s="8" t="n">
        <v>46031</v>
      </c>
      <c r="E531" s="9" t="n">
        <v>76245.75</v>
      </c>
      <c r="F531" s="8" t="n">
        <v>46029</v>
      </c>
      <c r="G531" s="9" t="n">
        <v>76245.75</v>
      </c>
      <c r="H531" t="inlineStr">
        <is>
          <t>PAID_ON_TIME</t>
        </is>
      </c>
      <c r="I531">
        <f>IF(H531="UNPAID", AsOfDate-D531, 0)</f>
        <v/>
      </c>
      <c r="J531">
        <f>IF(F531&lt;&gt;"", TEXT(F531, "yyyy-mm"), "")</f>
        <v/>
      </c>
    </row>
    <row r="532">
      <c r="A532" t="inlineStr">
        <is>
          <t>RP0000531</t>
        </is>
      </c>
      <c r="B532" t="inlineStr">
        <is>
          <t>LN200080</t>
        </is>
      </c>
      <c r="C532" t="n">
        <v>6</v>
      </c>
      <c r="D532" s="8" t="n">
        <v>46062</v>
      </c>
      <c r="E532" s="9" t="n">
        <v>76245.75</v>
      </c>
      <c r="F532" s="8" t="n">
        <v>46059</v>
      </c>
      <c r="G532" s="9" t="n">
        <v>76245.75</v>
      </c>
      <c r="H532" t="inlineStr">
        <is>
          <t>PAID_ON_TIME</t>
        </is>
      </c>
      <c r="I532">
        <f>IF(H532="UNPAID", AsOfDate-D532, 0)</f>
        <v/>
      </c>
      <c r="J532">
        <f>IF(F532&lt;&gt;"", TEXT(F532, "yyyy-mm"), "")</f>
        <v/>
      </c>
    </row>
    <row r="533">
      <c r="A533" t="inlineStr">
        <is>
          <t>RP0000532</t>
        </is>
      </c>
      <c r="B533" t="inlineStr">
        <is>
          <t>LN200081</t>
        </is>
      </c>
      <c r="C533" t="n">
        <v>1</v>
      </c>
      <c r="D533" s="8" t="n">
        <v>45854</v>
      </c>
      <c r="E533" s="9" t="n">
        <v>99037.5</v>
      </c>
      <c r="F533" s="8" t="n">
        <v>45855</v>
      </c>
      <c r="G533" s="9" t="n">
        <v>99037.5</v>
      </c>
      <c r="H533" t="inlineStr">
        <is>
          <t>PAID_ON_TIME</t>
        </is>
      </c>
      <c r="I533">
        <f>IF(H533="UNPAID", AsOfDate-D533, 0)</f>
        <v/>
      </c>
      <c r="J533">
        <f>IF(F533&lt;&gt;"", TEXT(F533, "yyyy-mm"), "")</f>
        <v/>
      </c>
    </row>
    <row r="534">
      <c r="A534" t="inlineStr">
        <is>
          <t>RP0000533</t>
        </is>
      </c>
      <c r="B534" t="inlineStr">
        <is>
          <t>LN200081</t>
        </is>
      </c>
      <c r="C534" t="n">
        <v>2</v>
      </c>
      <c r="D534" s="8" t="n">
        <v>45885</v>
      </c>
      <c r="E534" s="9" t="n">
        <v>99037.5</v>
      </c>
      <c r="F534" s="8" t="n">
        <v>45886</v>
      </c>
      <c r="G534" s="9" t="n">
        <v>99037.5</v>
      </c>
      <c r="H534" t="inlineStr">
        <is>
          <t>PAID_ON_TIME</t>
        </is>
      </c>
      <c r="I534">
        <f>IF(H534="UNPAID", AsOfDate-D534, 0)</f>
        <v/>
      </c>
      <c r="J534">
        <f>IF(F534&lt;&gt;"", TEXT(F534, "yyyy-mm"), "")</f>
        <v/>
      </c>
    </row>
    <row r="535">
      <c r="A535" t="inlineStr">
        <is>
          <t>RP0000534</t>
        </is>
      </c>
      <c r="B535" t="inlineStr">
        <is>
          <t>LN200081</t>
        </is>
      </c>
      <c r="C535" t="n">
        <v>3</v>
      </c>
      <c r="D535" s="8" t="n">
        <v>45916</v>
      </c>
      <c r="E535" s="9" t="n">
        <v>99037.5</v>
      </c>
      <c r="F535" s="8" t="n">
        <v>45920</v>
      </c>
      <c r="G535" s="9" t="n">
        <v>99037.5</v>
      </c>
      <c r="H535" t="inlineStr">
        <is>
          <t>PAID_ON_TIME</t>
        </is>
      </c>
      <c r="I535">
        <f>IF(H535="UNPAID", AsOfDate-D535, 0)</f>
        <v/>
      </c>
      <c r="J535">
        <f>IF(F535&lt;&gt;"", TEXT(F535, "yyyy-mm"), "")</f>
        <v/>
      </c>
    </row>
    <row r="536">
      <c r="A536" t="inlineStr">
        <is>
          <t>RP0000535</t>
        </is>
      </c>
      <c r="B536" t="inlineStr">
        <is>
          <t>LN200082</t>
        </is>
      </c>
      <c r="C536" t="n">
        <v>1</v>
      </c>
      <c r="D536" s="8" t="n">
        <v>45960</v>
      </c>
      <c r="E536" s="9" t="n">
        <v>19634.19</v>
      </c>
      <c r="F536" s="8" t="n">
        <v>45962</v>
      </c>
      <c r="G536" s="9" t="n">
        <v>19634.19</v>
      </c>
      <c r="H536" t="inlineStr">
        <is>
          <t>PAID_ON_TIME</t>
        </is>
      </c>
      <c r="I536">
        <f>IF(H536="UNPAID", AsOfDate-D536, 0)</f>
        <v/>
      </c>
      <c r="J536">
        <f>IF(F536&lt;&gt;"", TEXT(F536, "yyyy-mm"), "")</f>
        <v/>
      </c>
    </row>
    <row r="537">
      <c r="A537" t="inlineStr">
        <is>
          <t>RP0000536</t>
        </is>
      </c>
      <c r="B537" t="inlineStr">
        <is>
          <t>LN200082</t>
        </is>
      </c>
      <c r="C537" t="n">
        <v>2</v>
      </c>
      <c r="D537" s="8" t="n">
        <v>45991</v>
      </c>
      <c r="E537" s="9" t="n">
        <v>19634.19</v>
      </c>
      <c r="F537" s="8" t="n">
        <v>45994</v>
      </c>
      <c r="G537" s="9" t="n">
        <v>19634.19</v>
      </c>
      <c r="H537" t="inlineStr">
        <is>
          <t>PAID_ON_TIME</t>
        </is>
      </c>
      <c r="I537">
        <f>IF(H537="UNPAID", AsOfDate-D537, 0)</f>
        <v/>
      </c>
      <c r="J537">
        <f>IF(F537&lt;&gt;"", TEXT(F537, "yyyy-mm"), "")</f>
        <v/>
      </c>
    </row>
    <row r="538">
      <c r="A538" t="inlineStr">
        <is>
          <t>RP0000537</t>
        </is>
      </c>
      <c r="B538" t="inlineStr">
        <is>
          <t>LN200082</t>
        </is>
      </c>
      <c r="C538" t="n">
        <v>3</v>
      </c>
      <c r="D538" s="8" t="n">
        <v>46021</v>
      </c>
      <c r="E538" s="9" t="n">
        <v>19634.19</v>
      </c>
      <c r="F538" s="8" t="n">
        <v>46018</v>
      </c>
      <c r="G538" s="9" t="n">
        <v>19634.19</v>
      </c>
      <c r="H538" t="inlineStr">
        <is>
          <t>PAID_ON_TIME</t>
        </is>
      </c>
      <c r="I538">
        <f>IF(H538="UNPAID", AsOfDate-D538, 0)</f>
        <v/>
      </c>
      <c r="J538">
        <f>IF(F538&lt;&gt;"", TEXT(F538, "yyyy-mm"), "")</f>
        <v/>
      </c>
    </row>
    <row r="539">
      <c r="A539" t="inlineStr">
        <is>
          <t>RP0000538</t>
        </is>
      </c>
      <c r="B539" t="inlineStr">
        <is>
          <t>LN200082</t>
        </is>
      </c>
      <c r="C539" t="n">
        <v>4</v>
      </c>
      <c r="D539" s="8" t="n">
        <v>46052</v>
      </c>
      <c r="E539" s="9" t="n">
        <v>19634.19</v>
      </c>
      <c r="F539" s="8" t="n">
        <v>46054</v>
      </c>
      <c r="G539" s="9" t="n">
        <v>19634.19</v>
      </c>
      <c r="H539" t="inlineStr">
        <is>
          <t>PAID_ON_TIME</t>
        </is>
      </c>
      <c r="I539">
        <f>IF(H539="UNPAID", AsOfDate-D539, 0)</f>
        <v/>
      </c>
      <c r="J539">
        <f>IF(F539&lt;&gt;"", TEXT(F539, "yyyy-mm"), "")</f>
        <v/>
      </c>
    </row>
    <row r="540">
      <c r="A540" t="inlineStr">
        <is>
          <t>RP0000539</t>
        </is>
      </c>
      <c r="B540" t="inlineStr">
        <is>
          <t>LN200082</t>
        </is>
      </c>
      <c r="C540" t="n">
        <v>5</v>
      </c>
      <c r="D540" s="8" t="n">
        <v>46081</v>
      </c>
      <c r="E540" s="9" t="n">
        <v>19634.19</v>
      </c>
      <c r="F540" s="8" t="n">
        <v>46085</v>
      </c>
      <c r="G540" s="9" t="n">
        <v>19634.19</v>
      </c>
      <c r="H540" t="inlineStr">
        <is>
          <t>PAID_ON_TIME</t>
        </is>
      </c>
      <c r="I540">
        <f>IF(H540="UNPAID", AsOfDate-D540, 0)</f>
        <v/>
      </c>
      <c r="J540">
        <f>IF(F540&lt;&gt;"", TEXT(F540, "yyyy-mm"), "")</f>
        <v/>
      </c>
    </row>
    <row r="541">
      <c r="A541" t="inlineStr">
        <is>
          <t>RP0000540</t>
        </is>
      </c>
      <c r="B541" t="inlineStr">
        <is>
          <t>LN200082</t>
        </is>
      </c>
      <c r="C541" t="n">
        <v>6</v>
      </c>
      <c r="D541" s="8" t="n">
        <v>46111</v>
      </c>
      <c r="E541" s="9" t="n">
        <v>19634.19</v>
      </c>
      <c r="F541" s="8" t="n">
        <v>46140</v>
      </c>
      <c r="G541" s="9" t="n">
        <v>19634.19</v>
      </c>
      <c r="H541" t="inlineStr">
        <is>
          <t>PAID_LATE</t>
        </is>
      </c>
      <c r="I541">
        <f>IF(H541="UNPAID", AsOfDate-D541, 0)</f>
        <v/>
      </c>
      <c r="J541">
        <f>IF(F541&lt;&gt;"", TEXT(F541, "yyyy-mm"), "")</f>
        <v/>
      </c>
    </row>
    <row r="542">
      <c r="A542" t="inlineStr">
        <is>
          <t>RP0000541</t>
        </is>
      </c>
      <c r="B542" t="inlineStr">
        <is>
          <t>LN200082</t>
        </is>
      </c>
      <c r="C542" t="n">
        <v>7</v>
      </c>
      <c r="D542" s="8" t="n">
        <v>46142</v>
      </c>
      <c r="E542" s="9" t="n">
        <v>19634.19</v>
      </c>
      <c r="F542" s="8" t="n">
        <v>46139</v>
      </c>
      <c r="G542" s="9" t="n">
        <v>19634.19</v>
      </c>
      <c r="H542" t="inlineStr">
        <is>
          <t>PAID_ON_TIME</t>
        </is>
      </c>
      <c r="I542">
        <f>IF(H542="UNPAID", AsOfDate-D542, 0)</f>
        <v/>
      </c>
      <c r="J542">
        <f>IF(F542&lt;&gt;"", TEXT(F542, "yyyy-mm"), "")</f>
        <v/>
      </c>
    </row>
    <row r="543">
      <c r="A543" t="inlineStr">
        <is>
          <t>RP0000542</t>
        </is>
      </c>
      <c r="B543" t="inlineStr">
        <is>
          <t>LN200082</t>
        </is>
      </c>
      <c r="C543" t="n">
        <v>8</v>
      </c>
      <c r="D543" s="8" t="n">
        <v>46172</v>
      </c>
      <c r="E543" s="9" t="n">
        <v>19634.19</v>
      </c>
      <c r="F543" s="8" t="n">
        <v>46172</v>
      </c>
      <c r="G543" s="9" t="n">
        <v>19634.19</v>
      </c>
      <c r="H543" t="inlineStr">
        <is>
          <t>PAID_ON_TIME</t>
        </is>
      </c>
      <c r="I543">
        <f>IF(H543="UNPAID", AsOfDate-D543, 0)</f>
        <v/>
      </c>
      <c r="J543">
        <f>IF(F543&lt;&gt;"", TEXT(F543, "yyyy-mm"), "")</f>
        <v/>
      </c>
    </row>
    <row r="544">
      <c r="A544" t="inlineStr">
        <is>
          <t>RP0000543</t>
        </is>
      </c>
      <c r="B544" t="inlineStr">
        <is>
          <t>LN200082</t>
        </is>
      </c>
      <c r="C544" t="n">
        <v>9</v>
      </c>
      <c r="D544" s="8" t="n">
        <v>46203</v>
      </c>
      <c r="E544" s="9" t="n">
        <v>19634.19</v>
      </c>
      <c r="F544" s="8" t="n">
        <v>46207</v>
      </c>
      <c r="G544" s="9" t="n">
        <v>19634.19</v>
      </c>
      <c r="H544" t="inlineStr">
        <is>
          <t>PAID_ON_TIME</t>
        </is>
      </c>
      <c r="I544">
        <f>IF(H544="UNPAID", AsOfDate-D544, 0)</f>
        <v/>
      </c>
      <c r="J544">
        <f>IF(F544&lt;&gt;"", TEXT(F544, "yyyy-mm"), "")</f>
        <v/>
      </c>
    </row>
    <row r="545">
      <c r="A545" t="inlineStr">
        <is>
          <t>RP0000544</t>
        </is>
      </c>
      <c r="B545" t="inlineStr">
        <is>
          <t>LN200083</t>
        </is>
      </c>
      <c r="C545" t="n">
        <v>1</v>
      </c>
      <c r="D545" s="8" t="n">
        <v>46249</v>
      </c>
      <c r="E545" s="9" t="n">
        <v>20365.33</v>
      </c>
      <c r="F545" s="8" t="n">
        <v>46253</v>
      </c>
      <c r="G545" s="9" t="n">
        <v>20365.33</v>
      </c>
      <c r="H545" t="inlineStr">
        <is>
          <t>PAID_ON_TIME</t>
        </is>
      </c>
      <c r="I545">
        <f>IF(H545="UNPAID", AsOfDate-D545, 0)</f>
        <v/>
      </c>
      <c r="J545">
        <f>IF(F545&lt;&gt;"", TEXT(F545, "yyyy-mm"), "")</f>
        <v/>
      </c>
    </row>
    <row r="546">
      <c r="A546" t="inlineStr">
        <is>
          <t>RP0000545</t>
        </is>
      </c>
      <c r="B546" t="inlineStr">
        <is>
          <t>LN200083</t>
        </is>
      </c>
      <c r="C546" t="n">
        <v>2</v>
      </c>
      <c r="D546" s="8" t="n">
        <v>46280</v>
      </c>
      <c r="E546" s="9" t="n">
        <v>20365.33</v>
      </c>
      <c r="F546" s="8" t="n"/>
      <c r="G546" s="9" t="n">
        <v>0</v>
      </c>
      <c r="H546" t="inlineStr">
        <is>
          <t>NOT_DUE</t>
        </is>
      </c>
      <c r="I546">
        <f>IF(H546="UNPAID", AsOfDate-D546, 0)</f>
        <v/>
      </c>
      <c r="J546">
        <f>IF(F546&lt;&gt;"", TEXT(F546, "yyyy-mm"), "")</f>
        <v/>
      </c>
    </row>
    <row r="547">
      <c r="A547" t="inlineStr">
        <is>
          <t>RP0000546</t>
        </is>
      </c>
      <c r="B547" t="inlineStr">
        <is>
          <t>LN200083</t>
        </is>
      </c>
      <c r="C547" t="n">
        <v>3</v>
      </c>
      <c r="D547" s="8" t="n">
        <v>46310</v>
      </c>
      <c r="E547" s="9" t="n">
        <v>20365.33</v>
      </c>
      <c r="F547" s="8" t="n"/>
      <c r="G547" s="9" t="n">
        <v>0</v>
      </c>
      <c r="H547" t="inlineStr">
        <is>
          <t>NOT_DUE</t>
        </is>
      </c>
      <c r="I547">
        <f>IF(H547="UNPAID", AsOfDate-D547, 0)</f>
        <v/>
      </c>
      <c r="J547">
        <f>IF(F547&lt;&gt;"", TEXT(F547, "yyyy-mm"), "")</f>
        <v/>
      </c>
    </row>
    <row r="548">
      <c r="A548" t="inlineStr">
        <is>
          <t>RP0000547</t>
        </is>
      </c>
      <c r="B548" t="inlineStr">
        <is>
          <t>LN200083</t>
        </is>
      </c>
      <c r="C548" t="n">
        <v>4</v>
      </c>
      <c r="D548" s="8" t="n">
        <v>46341</v>
      </c>
      <c r="E548" s="9" t="n">
        <v>20365.33</v>
      </c>
      <c r="F548" s="8" t="n"/>
      <c r="G548" s="9" t="n">
        <v>0</v>
      </c>
      <c r="H548" t="inlineStr">
        <is>
          <t>NOT_DUE</t>
        </is>
      </c>
      <c r="I548">
        <f>IF(H548="UNPAID", AsOfDate-D548, 0)</f>
        <v/>
      </c>
      <c r="J548">
        <f>IF(F548&lt;&gt;"", TEXT(F548, "yyyy-mm"), "")</f>
        <v/>
      </c>
    </row>
    <row r="549">
      <c r="A549" t="inlineStr">
        <is>
          <t>RP0000548</t>
        </is>
      </c>
      <c r="B549" t="inlineStr">
        <is>
          <t>LN200083</t>
        </is>
      </c>
      <c r="C549" t="n">
        <v>5</v>
      </c>
      <c r="D549" s="8" t="n">
        <v>46371</v>
      </c>
      <c r="E549" s="9" t="n">
        <v>20365.33</v>
      </c>
      <c r="F549" s="8" t="n"/>
      <c r="G549" s="9" t="n">
        <v>0</v>
      </c>
      <c r="H549" t="inlineStr">
        <is>
          <t>NOT_DUE</t>
        </is>
      </c>
      <c r="I549">
        <f>IF(H549="UNPAID", AsOfDate-D549, 0)</f>
        <v/>
      </c>
      <c r="J549">
        <f>IF(F549&lt;&gt;"", TEXT(F549, "yyyy-mm"), "")</f>
        <v/>
      </c>
    </row>
    <row r="550">
      <c r="A550" t="inlineStr">
        <is>
          <t>RP0000549</t>
        </is>
      </c>
      <c r="B550" t="inlineStr">
        <is>
          <t>LN200083</t>
        </is>
      </c>
      <c r="C550" t="n">
        <v>6</v>
      </c>
      <c r="D550" s="8" t="n">
        <v>46402</v>
      </c>
      <c r="E550" s="9" t="n">
        <v>20365.33</v>
      </c>
      <c r="F550" s="8" t="n"/>
      <c r="G550" s="9" t="n">
        <v>0</v>
      </c>
      <c r="H550" t="inlineStr">
        <is>
          <t>NOT_DUE</t>
        </is>
      </c>
      <c r="I550">
        <f>IF(H550="UNPAID", AsOfDate-D550, 0)</f>
        <v/>
      </c>
      <c r="J550">
        <f>IF(F550&lt;&gt;"", TEXT(F550, "yyyy-mm"), "")</f>
        <v/>
      </c>
    </row>
    <row r="551">
      <c r="A551" t="inlineStr">
        <is>
          <t>RP0000550</t>
        </is>
      </c>
      <c r="B551" t="inlineStr">
        <is>
          <t>LN200085</t>
        </is>
      </c>
      <c r="C551" t="n">
        <v>1</v>
      </c>
      <c r="D551" s="8" t="n">
        <v>45783</v>
      </c>
      <c r="E551" s="9" t="n">
        <v>13531.25</v>
      </c>
      <c r="F551" s="8" t="n">
        <v>45780</v>
      </c>
      <c r="G551" s="9" t="n">
        <v>13531.25</v>
      </c>
      <c r="H551" t="inlineStr">
        <is>
          <t>PAID_ON_TIME</t>
        </is>
      </c>
      <c r="I551">
        <f>IF(H551="UNPAID", AsOfDate-D551, 0)</f>
        <v/>
      </c>
      <c r="J551">
        <f>IF(F551&lt;&gt;"", TEXT(F551, "yyyy-mm"), "")</f>
        <v/>
      </c>
    </row>
    <row r="552">
      <c r="A552" t="inlineStr">
        <is>
          <t>RP0000551</t>
        </is>
      </c>
      <c r="B552" t="inlineStr">
        <is>
          <t>LN200085</t>
        </is>
      </c>
      <c r="C552" t="n">
        <v>2</v>
      </c>
      <c r="D552" s="8" t="n">
        <v>45814</v>
      </c>
      <c r="E552" s="9" t="n">
        <v>13531.25</v>
      </c>
      <c r="F552" s="8" t="n">
        <v>45814</v>
      </c>
      <c r="G552" s="9" t="n">
        <v>13531.25</v>
      </c>
      <c r="H552" t="inlineStr">
        <is>
          <t>PAID_ON_TIME</t>
        </is>
      </c>
      <c r="I552">
        <f>IF(H552="UNPAID", AsOfDate-D552, 0)</f>
        <v/>
      </c>
      <c r="J552">
        <f>IF(F552&lt;&gt;"", TEXT(F552, "yyyy-mm"), "")</f>
        <v/>
      </c>
    </row>
    <row r="553">
      <c r="A553" t="inlineStr">
        <is>
          <t>RP0000552</t>
        </is>
      </c>
      <c r="B553" t="inlineStr">
        <is>
          <t>LN200085</t>
        </is>
      </c>
      <c r="C553" t="n">
        <v>3</v>
      </c>
      <c r="D553" s="8" t="n">
        <v>45844</v>
      </c>
      <c r="E553" s="9" t="n">
        <v>13531.25</v>
      </c>
      <c r="F553" s="8" t="n">
        <v>45841</v>
      </c>
      <c r="G553" s="9" t="n">
        <v>13531.25</v>
      </c>
      <c r="H553" t="inlineStr">
        <is>
          <t>PAID_ON_TIME</t>
        </is>
      </c>
      <c r="I553">
        <f>IF(H553="UNPAID", AsOfDate-D553, 0)</f>
        <v/>
      </c>
      <c r="J553">
        <f>IF(F553&lt;&gt;"", TEXT(F553, "yyyy-mm"), "")</f>
        <v/>
      </c>
    </row>
    <row r="554">
      <c r="A554" t="inlineStr">
        <is>
          <t>RP0000553</t>
        </is>
      </c>
      <c r="B554" t="inlineStr">
        <is>
          <t>LN200085</t>
        </is>
      </c>
      <c r="C554" t="n">
        <v>4</v>
      </c>
      <c r="D554" s="8" t="n">
        <v>45875</v>
      </c>
      <c r="E554" s="9" t="n">
        <v>13531.25</v>
      </c>
      <c r="F554" s="8" t="n">
        <v>45873</v>
      </c>
      <c r="G554" s="9" t="n">
        <v>13531.25</v>
      </c>
      <c r="H554" t="inlineStr">
        <is>
          <t>PAID_ON_TIME</t>
        </is>
      </c>
      <c r="I554">
        <f>IF(H554="UNPAID", AsOfDate-D554, 0)</f>
        <v/>
      </c>
      <c r="J554">
        <f>IF(F554&lt;&gt;"", TEXT(F554, "yyyy-mm"), "")</f>
        <v/>
      </c>
    </row>
    <row r="555">
      <c r="A555" t="inlineStr">
        <is>
          <t>RP0000554</t>
        </is>
      </c>
      <c r="B555" t="inlineStr">
        <is>
          <t>LN200085</t>
        </is>
      </c>
      <c r="C555" t="n">
        <v>5</v>
      </c>
      <c r="D555" s="8" t="n">
        <v>45906</v>
      </c>
      <c r="E555" s="9" t="n">
        <v>13531.25</v>
      </c>
      <c r="F555" s="8" t="n">
        <v>45907</v>
      </c>
      <c r="G555" s="9" t="n">
        <v>13531.25</v>
      </c>
      <c r="H555" t="inlineStr">
        <is>
          <t>PAID_ON_TIME</t>
        </is>
      </c>
      <c r="I555">
        <f>IF(H555="UNPAID", AsOfDate-D555, 0)</f>
        <v/>
      </c>
      <c r="J555">
        <f>IF(F555&lt;&gt;"", TEXT(F555, "yyyy-mm"), "")</f>
        <v/>
      </c>
    </row>
    <row r="556">
      <c r="A556" t="inlineStr">
        <is>
          <t>RP0000555</t>
        </is>
      </c>
      <c r="B556" t="inlineStr">
        <is>
          <t>LN200085</t>
        </is>
      </c>
      <c r="C556" t="n">
        <v>6</v>
      </c>
      <c r="D556" s="8" t="n">
        <v>45936</v>
      </c>
      <c r="E556" s="9" t="n">
        <v>13531.25</v>
      </c>
      <c r="F556" s="8" t="n">
        <v>45935</v>
      </c>
      <c r="G556" s="9" t="n">
        <v>13531.25</v>
      </c>
      <c r="H556" t="inlineStr">
        <is>
          <t>PAID_ON_TIME</t>
        </is>
      </c>
      <c r="I556">
        <f>IF(H556="UNPAID", AsOfDate-D556, 0)</f>
        <v/>
      </c>
      <c r="J556">
        <f>IF(F556&lt;&gt;"", TEXT(F556, "yyyy-mm"), "")</f>
        <v/>
      </c>
    </row>
    <row r="557">
      <c r="A557" t="inlineStr">
        <is>
          <t>RP0000556</t>
        </is>
      </c>
      <c r="B557" t="inlineStr">
        <is>
          <t>LN200086</t>
        </is>
      </c>
      <c r="C557" t="n">
        <v>1</v>
      </c>
      <c r="D557" s="8" t="n">
        <v>45788</v>
      </c>
      <c r="E557" s="9" t="n">
        <v>14742</v>
      </c>
      <c r="F557" s="8" t="n">
        <v>45789</v>
      </c>
      <c r="G557" s="9" t="n">
        <v>14742</v>
      </c>
      <c r="H557" t="inlineStr">
        <is>
          <t>PAID_ON_TIME</t>
        </is>
      </c>
      <c r="I557">
        <f>IF(H557="UNPAID", AsOfDate-D557, 0)</f>
        <v/>
      </c>
      <c r="J557">
        <f>IF(F557&lt;&gt;"", TEXT(F557, "yyyy-mm"), "")</f>
        <v/>
      </c>
    </row>
    <row r="558">
      <c r="A558" t="inlineStr">
        <is>
          <t>RP0000557</t>
        </is>
      </c>
      <c r="B558" t="inlineStr">
        <is>
          <t>LN200086</t>
        </is>
      </c>
      <c r="C558" t="n">
        <v>2</v>
      </c>
      <c r="D558" s="8" t="n">
        <v>45819</v>
      </c>
      <c r="E558" s="9" t="n">
        <v>14742</v>
      </c>
      <c r="F558" s="8" t="n">
        <v>45819</v>
      </c>
      <c r="G558" s="9" t="n">
        <v>14742</v>
      </c>
      <c r="H558" t="inlineStr">
        <is>
          <t>PAID_ON_TIME</t>
        </is>
      </c>
      <c r="I558">
        <f>IF(H558="UNPAID", AsOfDate-D558, 0)</f>
        <v/>
      </c>
      <c r="J558">
        <f>IF(F558&lt;&gt;"", TEXT(F558, "yyyy-mm"), "")</f>
        <v/>
      </c>
    </row>
    <row r="559">
      <c r="A559" t="inlineStr">
        <is>
          <t>RP0000558</t>
        </is>
      </c>
      <c r="B559" t="inlineStr">
        <is>
          <t>LN200086</t>
        </is>
      </c>
      <c r="C559" t="n">
        <v>3</v>
      </c>
      <c r="D559" s="8" t="n">
        <v>45849</v>
      </c>
      <c r="E559" s="9" t="n">
        <v>14742</v>
      </c>
      <c r="F559" s="8" t="n">
        <v>45851</v>
      </c>
      <c r="G559" s="9" t="n">
        <v>14742</v>
      </c>
      <c r="H559" t="inlineStr">
        <is>
          <t>PAID_ON_TIME</t>
        </is>
      </c>
      <c r="I559">
        <f>IF(H559="UNPAID", AsOfDate-D559, 0)</f>
        <v/>
      </c>
      <c r="J559">
        <f>IF(F559&lt;&gt;"", TEXT(F559, "yyyy-mm"), "")</f>
        <v/>
      </c>
    </row>
    <row r="560">
      <c r="A560" t="inlineStr">
        <is>
          <t>RP0000559</t>
        </is>
      </c>
      <c r="B560" t="inlineStr">
        <is>
          <t>LN200087</t>
        </is>
      </c>
      <c r="C560" t="n">
        <v>1</v>
      </c>
      <c r="D560" s="8" t="n">
        <v>46203</v>
      </c>
      <c r="E560" s="9" t="n">
        <v>13186.25</v>
      </c>
      <c r="F560" s="8" t="n">
        <v>46201</v>
      </c>
      <c r="G560" s="9" t="n">
        <v>13186.25</v>
      </c>
      <c r="H560" t="inlineStr">
        <is>
          <t>PAID_ON_TIME</t>
        </is>
      </c>
      <c r="I560">
        <f>IF(H560="UNPAID", AsOfDate-D560, 0)</f>
        <v/>
      </c>
      <c r="J560">
        <f>IF(F560&lt;&gt;"", TEXT(F560, "yyyy-mm"), "")</f>
        <v/>
      </c>
    </row>
    <row r="561">
      <c r="A561" t="inlineStr">
        <is>
          <t>RP0000560</t>
        </is>
      </c>
      <c r="B561" t="inlineStr">
        <is>
          <t>LN200087</t>
        </is>
      </c>
      <c r="C561" t="n">
        <v>2</v>
      </c>
      <c r="D561" s="8" t="n">
        <v>46234</v>
      </c>
      <c r="E561" s="9" t="n">
        <v>13186.25</v>
      </c>
      <c r="F561" s="8" t="n"/>
      <c r="G561" s="9" t="n">
        <v>0</v>
      </c>
      <c r="H561" t="inlineStr">
        <is>
          <t>UNPAID</t>
        </is>
      </c>
      <c r="I561">
        <f>IF(H561="UNPAID", AsOfDate-D561, 0)</f>
        <v/>
      </c>
      <c r="J561">
        <f>IF(F561&lt;&gt;"", TEXT(F561, "yyyy-mm"), "")</f>
        <v/>
      </c>
    </row>
    <row r="562">
      <c r="A562" t="inlineStr">
        <is>
          <t>RP0000561</t>
        </is>
      </c>
      <c r="B562" t="inlineStr">
        <is>
          <t>LN200087</t>
        </is>
      </c>
      <c r="C562" t="n">
        <v>3</v>
      </c>
      <c r="D562" s="8" t="n">
        <v>46265</v>
      </c>
      <c r="E562" s="9" t="n">
        <v>13186.25</v>
      </c>
      <c r="F562" s="8" t="n">
        <v>46263</v>
      </c>
      <c r="G562" s="9" t="n">
        <v>13186.25</v>
      </c>
      <c r="H562" t="inlineStr">
        <is>
          <t>PAID_ON_TIME</t>
        </is>
      </c>
      <c r="I562">
        <f>IF(H562="UNPAID", AsOfDate-D562, 0)</f>
        <v/>
      </c>
      <c r="J562">
        <f>IF(F562&lt;&gt;"", TEXT(F562, "yyyy-mm"), "")</f>
        <v/>
      </c>
    </row>
    <row r="563">
      <c r="A563" t="inlineStr">
        <is>
          <t>RP0000562</t>
        </is>
      </c>
      <c r="B563" t="inlineStr">
        <is>
          <t>LN200087</t>
        </is>
      </c>
      <c r="C563" t="n">
        <v>4</v>
      </c>
      <c r="D563" s="8" t="n">
        <v>46295</v>
      </c>
      <c r="E563" s="9" t="n">
        <v>13186.25</v>
      </c>
      <c r="F563" s="8" t="n"/>
      <c r="G563" s="9" t="n">
        <v>0</v>
      </c>
      <c r="H563" t="inlineStr">
        <is>
          <t>NOT_DUE</t>
        </is>
      </c>
      <c r="I563">
        <f>IF(H563="UNPAID", AsOfDate-D563, 0)</f>
        <v/>
      </c>
      <c r="J563">
        <f>IF(F563&lt;&gt;"", TEXT(F563, "yyyy-mm"), "")</f>
        <v/>
      </c>
    </row>
    <row r="564">
      <c r="A564" t="inlineStr">
        <is>
          <t>RP0000563</t>
        </is>
      </c>
      <c r="B564" t="inlineStr">
        <is>
          <t>LN200087</t>
        </is>
      </c>
      <c r="C564" t="n">
        <v>5</v>
      </c>
      <c r="D564" s="8" t="n">
        <v>46326</v>
      </c>
      <c r="E564" s="9" t="n">
        <v>13186.25</v>
      </c>
      <c r="F564" s="8" t="n"/>
      <c r="G564" s="9" t="n">
        <v>0</v>
      </c>
      <c r="H564" t="inlineStr">
        <is>
          <t>NOT_DUE</t>
        </is>
      </c>
      <c r="I564">
        <f>IF(H564="UNPAID", AsOfDate-D564, 0)</f>
        <v/>
      </c>
      <c r="J564">
        <f>IF(F564&lt;&gt;"", TEXT(F564, "yyyy-mm"), "")</f>
        <v/>
      </c>
    </row>
    <row r="565">
      <c r="A565" t="inlineStr">
        <is>
          <t>RP0000564</t>
        </is>
      </c>
      <c r="B565" t="inlineStr">
        <is>
          <t>LN200087</t>
        </is>
      </c>
      <c r="C565" t="n">
        <v>6</v>
      </c>
      <c r="D565" s="8" t="n">
        <v>46356</v>
      </c>
      <c r="E565" s="9" t="n">
        <v>13186.25</v>
      </c>
      <c r="F565" s="8" t="n"/>
      <c r="G565" s="9" t="n">
        <v>0</v>
      </c>
      <c r="H565" t="inlineStr">
        <is>
          <t>NOT_DUE</t>
        </is>
      </c>
      <c r="I565">
        <f>IF(H565="UNPAID", AsOfDate-D565, 0)</f>
        <v/>
      </c>
      <c r="J565">
        <f>IF(F565&lt;&gt;"", TEXT(F565, "yyyy-mm"), "")</f>
        <v/>
      </c>
    </row>
    <row r="566">
      <c r="A566" t="inlineStr">
        <is>
          <t>RP0000565</t>
        </is>
      </c>
      <c r="B566" t="inlineStr">
        <is>
          <t>LN200087</t>
        </is>
      </c>
      <c r="C566" t="n">
        <v>7</v>
      </c>
      <c r="D566" s="8" t="n">
        <v>46387</v>
      </c>
      <c r="E566" s="9" t="n">
        <v>13186.25</v>
      </c>
      <c r="F566" s="8" t="n"/>
      <c r="G566" s="9" t="n">
        <v>0</v>
      </c>
      <c r="H566" t="inlineStr">
        <is>
          <t>NOT_DUE</t>
        </is>
      </c>
      <c r="I566">
        <f>IF(H566="UNPAID", AsOfDate-D566, 0)</f>
        <v/>
      </c>
      <c r="J566">
        <f>IF(F566&lt;&gt;"", TEXT(F566, "yyyy-mm"), "")</f>
        <v/>
      </c>
    </row>
    <row r="567">
      <c r="A567" t="inlineStr">
        <is>
          <t>RP0000566</t>
        </is>
      </c>
      <c r="B567" t="inlineStr">
        <is>
          <t>LN200087</t>
        </is>
      </c>
      <c r="C567" t="n">
        <v>8</v>
      </c>
      <c r="D567" s="8" t="n">
        <v>46418</v>
      </c>
      <c r="E567" s="9" t="n">
        <v>13186.25</v>
      </c>
      <c r="F567" s="8" t="n"/>
      <c r="G567" s="9" t="n">
        <v>0</v>
      </c>
      <c r="H567" t="inlineStr">
        <is>
          <t>NOT_DUE</t>
        </is>
      </c>
      <c r="I567">
        <f>IF(H567="UNPAID", AsOfDate-D567, 0)</f>
        <v/>
      </c>
      <c r="J567">
        <f>IF(F567&lt;&gt;"", TEXT(F567, "yyyy-mm"), "")</f>
        <v/>
      </c>
    </row>
    <row r="568">
      <c r="A568" t="inlineStr">
        <is>
          <t>RP0000567</t>
        </is>
      </c>
      <c r="B568" t="inlineStr">
        <is>
          <t>LN200087</t>
        </is>
      </c>
      <c r="C568" t="n">
        <v>9</v>
      </c>
      <c r="D568" s="8" t="n">
        <v>46446</v>
      </c>
      <c r="E568" s="9" t="n">
        <v>13186.25</v>
      </c>
      <c r="F568" s="8" t="n"/>
      <c r="G568" s="9" t="n">
        <v>0</v>
      </c>
      <c r="H568" t="inlineStr">
        <is>
          <t>NOT_DUE</t>
        </is>
      </c>
      <c r="I568">
        <f>IF(H568="UNPAID", AsOfDate-D568, 0)</f>
        <v/>
      </c>
      <c r="J568">
        <f>IF(F568&lt;&gt;"", TEXT(F568, "yyyy-mm"), "")</f>
        <v/>
      </c>
    </row>
    <row r="569">
      <c r="A569" t="inlineStr">
        <is>
          <t>RP0000568</t>
        </is>
      </c>
      <c r="B569" t="inlineStr">
        <is>
          <t>LN200087</t>
        </is>
      </c>
      <c r="C569" t="n">
        <v>10</v>
      </c>
      <c r="D569" s="8" t="n">
        <v>46477</v>
      </c>
      <c r="E569" s="9" t="n">
        <v>13186.25</v>
      </c>
      <c r="F569" s="8" t="n"/>
      <c r="G569" s="9" t="n">
        <v>0</v>
      </c>
      <c r="H569" t="inlineStr">
        <is>
          <t>NOT_DUE</t>
        </is>
      </c>
      <c r="I569">
        <f>IF(H569="UNPAID", AsOfDate-D569, 0)</f>
        <v/>
      </c>
      <c r="J569">
        <f>IF(F569&lt;&gt;"", TEXT(F569, "yyyy-mm"), "")</f>
        <v/>
      </c>
    </row>
    <row r="570">
      <c r="A570" t="inlineStr">
        <is>
          <t>RP0000569</t>
        </is>
      </c>
      <c r="B570" t="inlineStr">
        <is>
          <t>LN200087</t>
        </is>
      </c>
      <c r="C570" t="n">
        <v>11</v>
      </c>
      <c r="D570" s="8" t="n">
        <v>46507</v>
      </c>
      <c r="E570" s="9" t="n">
        <v>13186.25</v>
      </c>
      <c r="F570" s="8" t="n"/>
      <c r="G570" s="9" t="n">
        <v>0</v>
      </c>
      <c r="H570" t="inlineStr">
        <is>
          <t>NOT_DUE</t>
        </is>
      </c>
      <c r="I570">
        <f>IF(H570="UNPAID", AsOfDate-D570, 0)</f>
        <v/>
      </c>
      <c r="J570">
        <f>IF(F570&lt;&gt;"", TEXT(F570, "yyyy-mm"), "")</f>
        <v/>
      </c>
    </row>
    <row r="571">
      <c r="A571" t="inlineStr">
        <is>
          <t>RP0000570</t>
        </is>
      </c>
      <c r="B571" t="inlineStr">
        <is>
          <t>LN200087</t>
        </is>
      </c>
      <c r="C571" t="n">
        <v>12</v>
      </c>
      <c r="D571" s="8" t="n">
        <v>46538</v>
      </c>
      <c r="E571" s="9" t="n">
        <v>13186.25</v>
      </c>
      <c r="F571" s="8" t="n"/>
      <c r="G571" s="9" t="n">
        <v>0</v>
      </c>
      <c r="H571" t="inlineStr">
        <is>
          <t>NOT_DUE</t>
        </is>
      </c>
      <c r="I571">
        <f>IF(H571="UNPAID", AsOfDate-D571, 0)</f>
        <v/>
      </c>
      <c r="J571">
        <f>IF(F571&lt;&gt;"", TEXT(F571, "yyyy-mm"), "")</f>
        <v/>
      </c>
    </row>
    <row r="572">
      <c r="A572" t="inlineStr">
        <is>
          <t>RP0000571</t>
        </is>
      </c>
      <c r="B572" t="inlineStr">
        <is>
          <t>LN200088</t>
        </is>
      </c>
      <c r="C572" t="n">
        <v>1</v>
      </c>
      <c r="D572" s="8" t="n">
        <v>45760</v>
      </c>
      <c r="E572" s="9" t="n">
        <v>4700</v>
      </c>
      <c r="F572" s="8" t="n">
        <v>45761</v>
      </c>
      <c r="G572" s="9" t="n">
        <v>4700</v>
      </c>
      <c r="H572" t="inlineStr">
        <is>
          <t>PAID_ON_TIME</t>
        </is>
      </c>
      <c r="I572">
        <f>IF(H572="UNPAID", AsOfDate-D572, 0)</f>
        <v/>
      </c>
      <c r="J572">
        <f>IF(F572&lt;&gt;"", TEXT(F572, "yyyy-mm"), "")</f>
        <v/>
      </c>
    </row>
    <row r="573">
      <c r="A573" t="inlineStr">
        <is>
          <t>RP0000572</t>
        </is>
      </c>
      <c r="B573" t="inlineStr">
        <is>
          <t>LN200088</t>
        </is>
      </c>
      <c r="C573" t="n">
        <v>2</v>
      </c>
      <c r="D573" s="8" t="n">
        <v>45790</v>
      </c>
      <c r="E573" s="9" t="n">
        <v>4700</v>
      </c>
      <c r="F573" s="8" t="n">
        <v>45792</v>
      </c>
      <c r="G573" s="9" t="n">
        <v>4700</v>
      </c>
      <c r="H573" t="inlineStr">
        <is>
          <t>PAID_ON_TIME</t>
        </is>
      </c>
      <c r="I573">
        <f>IF(H573="UNPAID", AsOfDate-D573, 0)</f>
        <v/>
      </c>
      <c r="J573">
        <f>IF(F573&lt;&gt;"", TEXT(F573, "yyyy-mm"), "")</f>
        <v/>
      </c>
    </row>
    <row r="574">
      <c r="A574" t="inlineStr">
        <is>
          <t>RP0000573</t>
        </is>
      </c>
      <c r="B574" t="inlineStr">
        <is>
          <t>LN200088</t>
        </is>
      </c>
      <c r="C574" t="n">
        <v>3</v>
      </c>
      <c r="D574" s="8" t="n">
        <v>45821</v>
      </c>
      <c r="E574" s="9" t="n">
        <v>4700</v>
      </c>
      <c r="F574" s="8" t="n">
        <v>45820</v>
      </c>
      <c r="G574" s="9" t="n">
        <v>4700</v>
      </c>
      <c r="H574" t="inlineStr">
        <is>
          <t>PAID_ON_TIME</t>
        </is>
      </c>
      <c r="I574">
        <f>IF(H574="UNPAID", AsOfDate-D574, 0)</f>
        <v/>
      </c>
      <c r="J574">
        <f>IF(F574&lt;&gt;"", TEXT(F574, "yyyy-mm"), "")</f>
        <v/>
      </c>
    </row>
    <row r="575">
      <c r="A575" t="inlineStr">
        <is>
          <t>RP0000574</t>
        </is>
      </c>
      <c r="B575" t="inlineStr">
        <is>
          <t>LN200088</t>
        </is>
      </c>
      <c r="C575" t="n">
        <v>4</v>
      </c>
      <c r="D575" s="8" t="n">
        <v>45851</v>
      </c>
      <c r="E575" s="9" t="n">
        <v>4700</v>
      </c>
      <c r="F575" s="8" t="n">
        <v>45947</v>
      </c>
      <c r="G575" s="9" t="n">
        <v>4700</v>
      </c>
      <c r="H575" t="inlineStr">
        <is>
          <t>PAID_LATE</t>
        </is>
      </c>
      <c r="I575">
        <f>IF(H575="UNPAID", AsOfDate-D575, 0)</f>
        <v/>
      </c>
      <c r="J575">
        <f>IF(F575&lt;&gt;"", TEXT(F575, "yyyy-mm"), "")</f>
        <v/>
      </c>
    </row>
    <row r="576">
      <c r="A576" t="inlineStr">
        <is>
          <t>RP0000575</t>
        </is>
      </c>
      <c r="B576" t="inlineStr">
        <is>
          <t>LN200088</t>
        </is>
      </c>
      <c r="C576" t="n">
        <v>5</v>
      </c>
      <c r="D576" s="8" t="n">
        <v>45882</v>
      </c>
      <c r="E576" s="9" t="n">
        <v>4700</v>
      </c>
      <c r="F576" s="8" t="n">
        <v>45881</v>
      </c>
      <c r="G576" s="9" t="n">
        <v>4700</v>
      </c>
      <c r="H576" t="inlineStr">
        <is>
          <t>PAID_ON_TIME</t>
        </is>
      </c>
      <c r="I576">
        <f>IF(H576="UNPAID", AsOfDate-D576, 0)</f>
        <v/>
      </c>
      <c r="J576">
        <f>IF(F576&lt;&gt;"", TEXT(F576, "yyyy-mm"), "")</f>
        <v/>
      </c>
    </row>
    <row r="577">
      <c r="A577" t="inlineStr">
        <is>
          <t>RP0000576</t>
        </is>
      </c>
      <c r="B577" t="inlineStr">
        <is>
          <t>LN200088</t>
        </is>
      </c>
      <c r="C577" t="n">
        <v>6</v>
      </c>
      <c r="D577" s="8" t="n">
        <v>45913</v>
      </c>
      <c r="E577" s="9" t="n">
        <v>4700</v>
      </c>
      <c r="F577" s="8" t="n">
        <v>45925</v>
      </c>
      <c r="G577" s="9" t="n">
        <v>4700</v>
      </c>
      <c r="H577" t="inlineStr">
        <is>
          <t>PAID_LATE</t>
        </is>
      </c>
      <c r="I577">
        <f>IF(H577="UNPAID", AsOfDate-D577, 0)</f>
        <v/>
      </c>
      <c r="J577">
        <f>IF(F577&lt;&gt;"", TEXT(F577, "yyyy-mm"), "")</f>
        <v/>
      </c>
    </row>
    <row r="578">
      <c r="A578" t="inlineStr">
        <is>
          <t>RP0000577</t>
        </is>
      </c>
      <c r="B578" t="inlineStr">
        <is>
          <t>LN200088</t>
        </is>
      </c>
      <c r="C578" t="n">
        <v>7</v>
      </c>
      <c r="D578" s="8" t="n">
        <v>45943</v>
      </c>
      <c r="E578" s="9" t="n">
        <v>4700</v>
      </c>
      <c r="F578" s="8" t="n">
        <v>46004</v>
      </c>
      <c r="G578" s="9" t="n">
        <v>4700</v>
      </c>
      <c r="H578" t="inlineStr">
        <is>
          <t>PAID_LATE</t>
        </is>
      </c>
      <c r="I578">
        <f>IF(H578="UNPAID", AsOfDate-D578, 0)</f>
        <v/>
      </c>
      <c r="J578">
        <f>IF(F578&lt;&gt;"", TEXT(F578, "yyyy-mm"), "")</f>
        <v/>
      </c>
    </row>
    <row r="579">
      <c r="A579" t="inlineStr">
        <is>
          <t>RP0000578</t>
        </is>
      </c>
      <c r="B579" t="inlineStr">
        <is>
          <t>LN200088</t>
        </is>
      </c>
      <c r="C579" t="n">
        <v>8</v>
      </c>
      <c r="D579" s="8" t="n">
        <v>45974</v>
      </c>
      <c r="E579" s="9" t="n">
        <v>4700</v>
      </c>
      <c r="F579" s="8" t="n">
        <v>45971</v>
      </c>
      <c r="G579" s="9" t="n">
        <v>4700</v>
      </c>
      <c r="H579" t="inlineStr">
        <is>
          <t>PAID_ON_TIME</t>
        </is>
      </c>
      <c r="I579">
        <f>IF(H579="UNPAID", AsOfDate-D579, 0)</f>
        <v/>
      </c>
      <c r="J579">
        <f>IF(F579&lt;&gt;"", TEXT(F579, "yyyy-mm"), "")</f>
        <v/>
      </c>
    </row>
    <row r="580">
      <c r="A580" t="inlineStr">
        <is>
          <t>RP0000579</t>
        </is>
      </c>
      <c r="B580" t="inlineStr">
        <is>
          <t>LN200088</t>
        </is>
      </c>
      <c r="C580" t="n">
        <v>9</v>
      </c>
      <c r="D580" s="8" t="n">
        <v>46004</v>
      </c>
      <c r="E580" s="9" t="n">
        <v>4700</v>
      </c>
      <c r="F580" s="8" t="n">
        <v>46001</v>
      </c>
      <c r="G580" s="9" t="n">
        <v>4700</v>
      </c>
      <c r="H580" t="inlineStr">
        <is>
          <t>PAID_ON_TIME</t>
        </is>
      </c>
      <c r="I580">
        <f>IF(H580="UNPAID", AsOfDate-D580, 0)</f>
        <v/>
      </c>
      <c r="J580">
        <f>IF(F580&lt;&gt;"", TEXT(F580, "yyyy-mm"), "")</f>
        <v/>
      </c>
    </row>
    <row r="581">
      <c r="A581" t="inlineStr">
        <is>
          <t>RP0000580</t>
        </is>
      </c>
      <c r="B581" t="inlineStr">
        <is>
          <t>LN200088</t>
        </is>
      </c>
      <c r="C581" t="n">
        <v>10</v>
      </c>
      <c r="D581" s="8" t="n">
        <v>46035</v>
      </c>
      <c r="E581" s="9" t="n">
        <v>4700</v>
      </c>
      <c r="F581" s="8" t="n">
        <v>46039</v>
      </c>
      <c r="G581" s="9" t="n">
        <v>4700</v>
      </c>
      <c r="H581" t="inlineStr">
        <is>
          <t>PAID_ON_TIME</t>
        </is>
      </c>
      <c r="I581">
        <f>IF(H581="UNPAID", AsOfDate-D581, 0)</f>
        <v/>
      </c>
      <c r="J581">
        <f>IF(F581&lt;&gt;"", TEXT(F581, "yyyy-mm"), "")</f>
        <v/>
      </c>
    </row>
    <row r="582">
      <c r="A582" t="inlineStr">
        <is>
          <t>RP0000581</t>
        </is>
      </c>
      <c r="B582" t="inlineStr">
        <is>
          <t>LN200088</t>
        </is>
      </c>
      <c r="C582" t="n">
        <v>11</v>
      </c>
      <c r="D582" s="8" t="n">
        <v>46066</v>
      </c>
      <c r="E582" s="9" t="n">
        <v>4700</v>
      </c>
      <c r="F582" s="8" t="n">
        <v>46068</v>
      </c>
      <c r="G582" s="9" t="n">
        <v>4700</v>
      </c>
      <c r="H582" t="inlineStr">
        <is>
          <t>PAID_ON_TIME</t>
        </is>
      </c>
      <c r="I582">
        <f>IF(H582="UNPAID", AsOfDate-D582, 0)</f>
        <v/>
      </c>
      <c r="J582">
        <f>IF(F582&lt;&gt;"", TEXT(F582, "yyyy-mm"), "")</f>
        <v/>
      </c>
    </row>
    <row r="583">
      <c r="A583" t="inlineStr">
        <is>
          <t>RP0000582</t>
        </is>
      </c>
      <c r="B583" t="inlineStr">
        <is>
          <t>LN200088</t>
        </is>
      </c>
      <c r="C583" t="n">
        <v>12</v>
      </c>
      <c r="D583" s="8" t="n">
        <v>46094</v>
      </c>
      <c r="E583" s="9" t="n">
        <v>4700</v>
      </c>
      <c r="F583" s="8" t="n">
        <v>46092</v>
      </c>
      <c r="G583" s="9" t="n">
        <v>4700</v>
      </c>
      <c r="H583" t="inlineStr">
        <is>
          <t>PAID_ON_TIME</t>
        </is>
      </c>
      <c r="I583">
        <f>IF(H583="UNPAID", AsOfDate-D583, 0)</f>
        <v/>
      </c>
      <c r="J583">
        <f>IF(F583&lt;&gt;"", TEXT(F583, "yyyy-mm"), "")</f>
        <v/>
      </c>
    </row>
    <row r="584">
      <c r="A584" t="inlineStr">
        <is>
          <t>RP0000583</t>
        </is>
      </c>
      <c r="B584" t="inlineStr">
        <is>
          <t>LN200089</t>
        </is>
      </c>
      <c r="C584" t="n">
        <v>1</v>
      </c>
      <c r="D584" s="8" t="n">
        <v>45983</v>
      </c>
      <c r="E584" s="9" t="n">
        <v>4477.5</v>
      </c>
      <c r="F584" s="8" t="n">
        <v>45986</v>
      </c>
      <c r="G584" s="9" t="n">
        <v>4477.5</v>
      </c>
      <c r="H584" t="inlineStr">
        <is>
          <t>PAID_ON_TIME</t>
        </is>
      </c>
      <c r="I584">
        <f>IF(H584="UNPAID", AsOfDate-D584, 0)</f>
        <v/>
      </c>
      <c r="J584">
        <f>IF(F584&lt;&gt;"", TEXT(F584, "yyyy-mm"), "")</f>
        <v/>
      </c>
    </row>
    <row r="585">
      <c r="A585" t="inlineStr">
        <is>
          <t>RP0000584</t>
        </is>
      </c>
      <c r="B585" t="inlineStr">
        <is>
          <t>LN200089</t>
        </is>
      </c>
      <c r="C585" t="n">
        <v>2</v>
      </c>
      <c r="D585" s="8" t="n">
        <v>46013</v>
      </c>
      <c r="E585" s="9" t="n">
        <v>4477.5</v>
      </c>
      <c r="F585" s="8" t="n">
        <v>46017</v>
      </c>
      <c r="G585" s="9" t="n">
        <v>4477.5</v>
      </c>
      <c r="H585" t="inlineStr">
        <is>
          <t>PAID_ON_TIME</t>
        </is>
      </c>
      <c r="I585">
        <f>IF(H585="UNPAID", AsOfDate-D585, 0)</f>
        <v/>
      </c>
      <c r="J585">
        <f>IF(F585&lt;&gt;"", TEXT(F585, "yyyy-mm"), "")</f>
        <v/>
      </c>
    </row>
    <row r="586">
      <c r="A586" t="inlineStr">
        <is>
          <t>RP0000585</t>
        </is>
      </c>
      <c r="B586" t="inlineStr">
        <is>
          <t>LN200089</t>
        </is>
      </c>
      <c r="C586" t="n">
        <v>3</v>
      </c>
      <c r="D586" s="8" t="n">
        <v>46044</v>
      </c>
      <c r="E586" s="9" t="n">
        <v>4477.5</v>
      </c>
      <c r="F586" s="8" t="n">
        <v>46047</v>
      </c>
      <c r="G586" s="9" t="n">
        <v>4477.5</v>
      </c>
      <c r="H586" t="inlineStr">
        <is>
          <t>PAID_ON_TIME</t>
        </is>
      </c>
      <c r="I586">
        <f>IF(H586="UNPAID", AsOfDate-D586, 0)</f>
        <v/>
      </c>
      <c r="J586">
        <f>IF(F586&lt;&gt;"", TEXT(F586, "yyyy-mm"), "")</f>
        <v/>
      </c>
    </row>
    <row r="587">
      <c r="A587" t="inlineStr">
        <is>
          <t>RP0000586</t>
        </is>
      </c>
      <c r="B587" t="inlineStr">
        <is>
          <t>LN200089</t>
        </is>
      </c>
      <c r="C587" t="n">
        <v>4</v>
      </c>
      <c r="D587" s="8" t="n">
        <v>46075</v>
      </c>
      <c r="E587" s="9" t="n">
        <v>4477.5</v>
      </c>
      <c r="F587" s="8" t="n">
        <v>46077</v>
      </c>
      <c r="G587" s="9" t="n">
        <v>4477.5</v>
      </c>
      <c r="H587" t="inlineStr">
        <is>
          <t>PAID_ON_TIME</t>
        </is>
      </c>
      <c r="I587">
        <f>IF(H587="UNPAID", AsOfDate-D587, 0)</f>
        <v/>
      </c>
      <c r="J587">
        <f>IF(F587&lt;&gt;"", TEXT(F587, "yyyy-mm"), "")</f>
        <v/>
      </c>
    </row>
    <row r="588">
      <c r="A588" t="inlineStr">
        <is>
          <t>RP0000587</t>
        </is>
      </c>
      <c r="B588" t="inlineStr">
        <is>
          <t>LN200089</t>
        </is>
      </c>
      <c r="C588" t="n">
        <v>5</v>
      </c>
      <c r="D588" s="8" t="n">
        <v>46103</v>
      </c>
      <c r="E588" s="9" t="n">
        <v>4477.5</v>
      </c>
      <c r="F588" s="8" t="n">
        <v>46164</v>
      </c>
      <c r="G588" s="9" t="n">
        <v>4477.5</v>
      </c>
      <c r="H588" t="inlineStr">
        <is>
          <t>PAID_LATE</t>
        </is>
      </c>
      <c r="I588">
        <f>IF(H588="UNPAID", AsOfDate-D588, 0)</f>
        <v/>
      </c>
      <c r="J588">
        <f>IF(F588&lt;&gt;"", TEXT(F588, "yyyy-mm"), "")</f>
        <v/>
      </c>
    </row>
    <row r="589">
      <c r="A589" t="inlineStr">
        <is>
          <t>RP0000588</t>
        </is>
      </c>
      <c r="B589" t="inlineStr">
        <is>
          <t>LN200089</t>
        </is>
      </c>
      <c r="C589" t="n">
        <v>6</v>
      </c>
      <c r="D589" s="8" t="n">
        <v>46134</v>
      </c>
      <c r="E589" s="9" t="n">
        <v>4477.5</v>
      </c>
      <c r="F589" s="8" t="n">
        <v>46136</v>
      </c>
      <c r="G589" s="9" t="n">
        <v>4477.5</v>
      </c>
      <c r="H589" t="inlineStr">
        <is>
          <t>PAID_ON_TIME</t>
        </is>
      </c>
      <c r="I589">
        <f>IF(H589="UNPAID", AsOfDate-D589, 0)</f>
        <v/>
      </c>
      <c r="J589">
        <f>IF(F589&lt;&gt;"", TEXT(F589, "yyyy-mm"), "")</f>
        <v/>
      </c>
    </row>
    <row r="590">
      <c r="A590" t="inlineStr">
        <is>
          <t>RP0000589</t>
        </is>
      </c>
      <c r="B590" t="inlineStr">
        <is>
          <t>LN200089</t>
        </is>
      </c>
      <c r="C590" t="n">
        <v>7</v>
      </c>
      <c r="D590" s="8" t="n">
        <v>46164</v>
      </c>
      <c r="E590" s="9" t="n">
        <v>4477.5</v>
      </c>
      <c r="F590" s="8" t="n">
        <v>46168</v>
      </c>
      <c r="G590" s="9" t="n">
        <v>4477.5</v>
      </c>
      <c r="H590" t="inlineStr">
        <is>
          <t>PAID_ON_TIME</t>
        </is>
      </c>
      <c r="I590">
        <f>IF(H590="UNPAID", AsOfDate-D590, 0)</f>
        <v/>
      </c>
      <c r="J590">
        <f>IF(F590&lt;&gt;"", TEXT(F590, "yyyy-mm"), "")</f>
        <v/>
      </c>
    </row>
    <row r="591">
      <c r="A591" t="inlineStr">
        <is>
          <t>RP0000590</t>
        </is>
      </c>
      <c r="B591" t="inlineStr">
        <is>
          <t>LN200089</t>
        </is>
      </c>
      <c r="C591" t="n">
        <v>8</v>
      </c>
      <c r="D591" s="8" t="n">
        <v>46195</v>
      </c>
      <c r="E591" s="9" t="n">
        <v>4477.5</v>
      </c>
      <c r="F591" s="8" t="n">
        <v>46257</v>
      </c>
      <c r="G591" s="9" t="n">
        <v>4477.5</v>
      </c>
      <c r="H591" t="inlineStr">
        <is>
          <t>PAID_LATE</t>
        </is>
      </c>
      <c r="I591">
        <f>IF(H591="UNPAID", AsOfDate-D591, 0)</f>
        <v/>
      </c>
      <c r="J591">
        <f>IF(F591&lt;&gt;"", TEXT(F591, "yyyy-mm"), "")</f>
        <v/>
      </c>
    </row>
    <row r="592">
      <c r="A592" t="inlineStr">
        <is>
          <t>RP0000591</t>
        </is>
      </c>
      <c r="B592" t="inlineStr">
        <is>
          <t>LN200089</t>
        </is>
      </c>
      <c r="C592" t="n">
        <v>9</v>
      </c>
      <c r="D592" s="8" t="n">
        <v>46225</v>
      </c>
      <c r="E592" s="9" t="n">
        <v>4477.5</v>
      </c>
      <c r="F592" s="8" t="n">
        <v>46222</v>
      </c>
      <c r="G592" s="9" t="n">
        <v>4477.5</v>
      </c>
      <c r="H592" t="inlineStr">
        <is>
          <t>PAID_ON_TIME</t>
        </is>
      </c>
      <c r="I592">
        <f>IF(H592="UNPAID", AsOfDate-D592, 0)</f>
        <v/>
      </c>
      <c r="J592">
        <f>IF(F592&lt;&gt;"", TEXT(F592, "yyyy-mm"), "")</f>
        <v/>
      </c>
    </row>
    <row r="593">
      <c r="A593" t="inlineStr">
        <is>
          <t>RP0000592</t>
        </is>
      </c>
      <c r="B593" t="inlineStr">
        <is>
          <t>LN200089</t>
        </is>
      </c>
      <c r="C593" t="n">
        <v>10</v>
      </c>
      <c r="D593" s="8" t="n">
        <v>46256</v>
      </c>
      <c r="E593" s="9" t="n">
        <v>4477.5</v>
      </c>
      <c r="F593" s="8" t="n">
        <v>46253</v>
      </c>
      <c r="G593" s="9" t="n">
        <v>4477.5</v>
      </c>
      <c r="H593" t="inlineStr">
        <is>
          <t>PAID_ON_TIME</t>
        </is>
      </c>
      <c r="I593">
        <f>IF(H593="UNPAID", AsOfDate-D593, 0)</f>
        <v/>
      </c>
      <c r="J593">
        <f>IF(F593&lt;&gt;"", TEXT(F593, "yyyy-mm"), "")</f>
        <v/>
      </c>
    </row>
    <row r="594">
      <c r="A594" t="inlineStr">
        <is>
          <t>RP0000593</t>
        </is>
      </c>
      <c r="B594" t="inlineStr">
        <is>
          <t>LN200089</t>
        </is>
      </c>
      <c r="C594" t="n">
        <v>11</v>
      </c>
      <c r="D594" s="8" t="n">
        <v>46287</v>
      </c>
      <c r="E594" s="9" t="n">
        <v>4477.5</v>
      </c>
      <c r="F594" s="8" t="n"/>
      <c r="G594" s="9" t="n">
        <v>0</v>
      </c>
      <c r="H594" t="inlineStr">
        <is>
          <t>NOT_DUE</t>
        </is>
      </c>
      <c r="I594">
        <f>IF(H594="UNPAID", AsOfDate-D594, 0)</f>
        <v/>
      </c>
      <c r="J594">
        <f>IF(F594&lt;&gt;"", TEXT(F594, "yyyy-mm"), "")</f>
        <v/>
      </c>
    </row>
    <row r="595">
      <c r="A595" t="inlineStr">
        <is>
          <t>RP0000594</t>
        </is>
      </c>
      <c r="B595" t="inlineStr">
        <is>
          <t>LN200089</t>
        </is>
      </c>
      <c r="C595" t="n">
        <v>12</v>
      </c>
      <c r="D595" s="8" t="n">
        <v>46317</v>
      </c>
      <c r="E595" s="9" t="n">
        <v>4477.5</v>
      </c>
      <c r="F595" s="8" t="n"/>
      <c r="G595" s="9" t="n">
        <v>0</v>
      </c>
      <c r="H595" t="inlineStr">
        <is>
          <t>NOT_DUE</t>
        </is>
      </c>
      <c r="I595">
        <f>IF(H595="UNPAID", AsOfDate-D595, 0)</f>
        <v/>
      </c>
      <c r="J595">
        <f>IF(F595&lt;&gt;"", TEXT(F595, "yyyy-mm"), "")</f>
        <v/>
      </c>
    </row>
    <row r="596">
      <c r="A596" t="inlineStr">
        <is>
          <t>RP0000595</t>
        </is>
      </c>
      <c r="B596" t="inlineStr">
        <is>
          <t>LN200090</t>
        </is>
      </c>
      <c r="C596" t="n">
        <v>1</v>
      </c>
      <c r="D596" s="8" t="n">
        <v>45874</v>
      </c>
      <c r="E596" s="9" t="n">
        <v>20040.25</v>
      </c>
      <c r="F596" s="8" t="n">
        <v>45873</v>
      </c>
      <c r="G596" s="9" t="n">
        <v>20040.25</v>
      </c>
      <c r="H596" t="inlineStr">
        <is>
          <t>PAID_ON_TIME</t>
        </is>
      </c>
      <c r="I596">
        <f>IF(H596="UNPAID", AsOfDate-D596, 0)</f>
        <v/>
      </c>
      <c r="J596">
        <f>IF(F596&lt;&gt;"", TEXT(F596, "yyyy-mm"), "")</f>
        <v/>
      </c>
    </row>
    <row r="597">
      <c r="A597" t="inlineStr">
        <is>
          <t>RP0000596</t>
        </is>
      </c>
      <c r="B597" t="inlineStr">
        <is>
          <t>LN200090</t>
        </is>
      </c>
      <c r="C597" t="n">
        <v>2</v>
      </c>
      <c r="D597" s="8" t="n">
        <v>45905</v>
      </c>
      <c r="E597" s="9" t="n">
        <v>20040.25</v>
      </c>
      <c r="F597" s="8" t="n"/>
      <c r="G597" s="9" t="n">
        <v>0</v>
      </c>
      <c r="H597" t="inlineStr">
        <is>
          <t>UNPAID</t>
        </is>
      </c>
      <c r="I597">
        <f>IF(H597="UNPAID", AsOfDate-D597, 0)</f>
        <v/>
      </c>
      <c r="J597">
        <f>IF(F597&lt;&gt;"", TEXT(F597, "yyyy-mm"), "")</f>
        <v/>
      </c>
    </row>
    <row r="598">
      <c r="A598" t="inlineStr">
        <is>
          <t>RP0000597</t>
        </is>
      </c>
      <c r="B598" t="inlineStr">
        <is>
          <t>LN200090</t>
        </is>
      </c>
      <c r="C598" t="n">
        <v>3</v>
      </c>
      <c r="D598" s="8" t="n">
        <v>45935</v>
      </c>
      <c r="E598" s="9" t="n">
        <v>20040.25</v>
      </c>
      <c r="F598" s="8" t="n">
        <v>46019</v>
      </c>
      <c r="G598" s="9" t="n">
        <v>20040.25</v>
      </c>
      <c r="H598" t="inlineStr">
        <is>
          <t>PAID_LATE</t>
        </is>
      </c>
      <c r="I598">
        <f>IF(H598="UNPAID", AsOfDate-D598, 0)</f>
        <v/>
      </c>
      <c r="J598">
        <f>IF(F598&lt;&gt;"", TEXT(F598, "yyyy-mm"), "")</f>
        <v/>
      </c>
    </row>
    <row r="599">
      <c r="A599" t="inlineStr">
        <is>
          <t>RP0000598</t>
        </is>
      </c>
      <c r="B599" t="inlineStr">
        <is>
          <t>LN200091</t>
        </is>
      </c>
      <c r="C599" t="n">
        <v>1</v>
      </c>
      <c r="D599" s="8" t="n">
        <v>46252</v>
      </c>
      <c r="E599" s="9" t="n">
        <v>15499</v>
      </c>
      <c r="F599" s="8" t="n">
        <v>46254</v>
      </c>
      <c r="G599" s="9" t="n">
        <v>15499</v>
      </c>
      <c r="H599" t="inlineStr">
        <is>
          <t>PAID_ON_TIME</t>
        </is>
      </c>
      <c r="I599">
        <f>IF(H599="UNPAID", AsOfDate-D599, 0)</f>
        <v/>
      </c>
      <c r="J599">
        <f>IF(F599&lt;&gt;"", TEXT(F599, "yyyy-mm"), "")</f>
        <v/>
      </c>
    </row>
    <row r="600">
      <c r="A600" t="inlineStr">
        <is>
          <t>RP0000599</t>
        </is>
      </c>
      <c r="B600" t="inlineStr">
        <is>
          <t>LN200091</t>
        </is>
      </c>
      <c r="C600" t="n">
        <v>2</v>
      </c>
      <c r="D600" s="8" t="n">
        <v>46283</v>
      </c>
      <c r="E600" s="9" t="n">
        <v>15499</v>
      </c>
      <c r="F600" s="8" t="n"/>
      <c r="G600" s="9" t="n">
        <v>0</v>
      </c>
      <c r="H600" t="inlineStr">
        <is>
          <t>NOT_DUE</t>
        </is>
      </c>
      <c r="I600">
        <f>IF(H600="UNPAID", AsOfDate-D600, 0)</f>
        <v/>
      </c>
      <c r="J600">
        <f>IF(F600&lt;&gt;"", TEXT(F600, "yyyy-mm"), "")</f>
        <v/>
      </c>
    </row>
    <row r="601">
      <c r="A601" t="inlineStr">
        <is>
          <t>RP0000600</t>
        </is>
      </c>
      <c r="B601" t="inlineStr">
        <is>
          <t>LN200091</t>
        </is>
      </c>
      <c r="C601" t="n">
        <v>3</v>
      </c>
      <c r="D601" s="8" t="n">
        <v>46313</v>
      </c>
      <c r="E601" s="9" t="n">
        <v>15499</v>
      </c>
      <c r="F601" s="8" t="n"/>
      <c r="G601" s="9" t="n">
        <v>0</v>
      </c>
      <c r="H601" t="inlineStr">
        <is>
          <t>NOT_DUE</t>
        </is>
      </c>
      <c r="I601">
        <f>IF(H601="UNPAID", AsOfDate-D601, 0)</f>
        <v/>
      </c>
      <c r="J601">
        <f>IF(F601&lt;&gt;"", TEXT(F601, "yyyy-mm"), "")</f>
        <v/>
      </c>
    </row>
    <row r="602">
      <c r="A602" t="inlineStr">
        <is>
          <t>RP0000601</t>
        </is>
      </c>
      <c r="B602" t="inlineStr">
        <is>
          <t>LN200092</t>
        </is>
      </c>
      <c r="C602" t="n">
        <v>1</v>
      </c>
      <c r="D602" s="8" t="n">
        <v>46133</v>
      </c>
      <c r="E602" s="9" t="n">
        <v>6053.25</v>
      </c>
      <c r="F602" s="8" t="n">
        <v>46130</v>
      </c>
      <c r="G602" s="9" t="n">
        <v>6053.25</v>
      </c>
      <c r="H602" t="inlineStr">
        <is>
          <t>PAID_ON_TIME</t>
        </is>
      </c>
      <c r="I602">
        <f>IF(H602="UNPAID", AsOfDate-D602, 0)</f>
        <v/>
      </c>
      <c r="J602">
        <f>IF(F602&lt;&gt;"", TEXT(F602, "yyyy-mm"), "")</f>
        <v/>
      </c>
    </row>
    <row r="603">
      <c r="A603" t="inlineStr">
        <is>
          <t>RP0000602</t>
        </is>
      </c>
      <c r="B603" t="inlineStr">
        <is>
          <t>LN200092</t>
        </is>
      </c>
      <c r="C603" t="n">
        <v>2</v>
      </c>
      <c r="D603" s="8" t="n">
        <v>46163</v>
      </c>
      <c r="E603" s="9" t="n">
        <v>6053.25</v>
      </c>
      <c r="F603" s="8" t="n">
        <v>46163</v>
      </c>
      <c r="G603" s="9" t="n">
        <v>6053.25</v>
      </c>
      <c r="H603" t="inlineStr">
        <is>
          <t>PAID_ON_TIME</t>
        </is>
      </c>
      <c r="I603">
        <f>IF(H603="UNPAID", AsOfDate-D603, 0)</f>
        <v/>
      </c>
      <c r="J603">
        <f>IF(F603&lt;&gt;"", TEXT(F603, "yyyy-mm"), "")</f>
        <v/>
      </c>
    </row>
    <row r="604">
      <c r="A604" t="inlineStr">
        <is>
          <t>RP0000603</t>
        </is>
      </c>
      <c r="B604" t="inlineStr">
        <is>
          <t>LN200092</t>
        </is>
      </c>
      <c r="C604" t="n">
        <v>3</v>
      </c>
      <c r="D604" s="8" t="n">
        <v>46194</v>
      </c>
      <c r="E604" s="9" t="n">
        <v>6053.25</v>
      </c>
      <c r="F604" s="8" t="n">
        <v>46192</v>
      </c>
      <c r="G604" s="9" t="n">
        <v>6053.25</v>
      </c>
      <c r="H604" t="inlineStr">
        <is>
          <t>PAID_ON_TIME</t>
        </is>
      </c>
      <c r="I604">
        <f>IF(H604="UNPAID", AsOfDate-D604, 0)</f>
        <v/>
      </c>
      <c r="J604">
        <f>IF(F604&lt;&gt;"", TEXT(F604, "yyyy-mm"), "")</f>
        <v/>
      </c>
    </row>
    <row r="605">
      <c r="A605" t="inlineStr">
        <is>
          <t>RP0000604</t>
        </is>
      </c>
      <c r="B605" t="inlineStr">
        <is>
          <t>LN200092</t>
        </is>
      </c>
      <c r="C605" t="n">
        <v>4</v>
      </c>
      <c r="D605" s="8" t="n">
        <v>46224</v>
      </c>
      <c r="E605" s="9" t="n">
        <v>6053.25</v>
      </c>
      <c r="F605" s="8" t="n">
        <v>46224</v>
      </c>
      <c r="G605" s="9" t="n">
        <v>6053.25</v>
      </c>
      <c r="H605" t="inlineStr">
        <is>
          <t>PAID_ON_TIME</t>
        </is>
      </c>
      <c r="I605">
        <f>IF(H605="UNPAID", AsOfDate-D605, 0)</f>
        <v/>
      </c>
      <c r="J605">
        <f>IF(F605&lt;&gt;"", TEXT(F605, "yyyy-mm"), "")</f>
        <v/>
      </c>
    </row>
    <row r="606">
      <c r="A606" t="inlineStr">
        <is>
          <t>RP0000605</t>
        </is>
      </c>
      <c r="B606" t="inlineStr">
        <is>
          <t>LN200092</t>
        </is>
      </c>
      <c r="C606" t="n">
        <v>5</v>
      </c>
      <c r="D606" s="8" t="n">
        <v>46255</v>
      </c>
      <c r="E606" s="9" t="n">
        <v>6053.25</v>
      </c>
      <c r="F606" s="8" t="n">
        <v>46255</v>
      </c>
      <c r="G606" s="9" t="n">
        <v>6053.25</v>
      </c>
      <c r="H606" t="inlineStr">
        <is>
          <t>PAID_ON_TIME</t>
        </is>
      </c>
      <c r="I606">
        <f>IF(H606="UNPAID", AsOfDate-D606, 0)</f>
        <v/>
      </c>
      <c r="J606">
        <f>IF(F606&lt;&gt;"", TEXT(F606, "yyyy-mm"), "")</f>
        <v/>
      </c>
    </row>
    <row r="607">
      <c r="A607" t="inlineStr">
        <is>
          <t>RP0000606</t>
        </is>
      </c>
      <c r="B607" t="inlineStr">
        <is>
          <t>LN200092</t>
        </is>
      </c>
      <c r="C607" t="n">
        <v>6</v>
      </c>
      <c r="D607" s="8" t="n">
        <v>46286</v>
      </c>
      <c r="E607" s="9" t="n">
        <v>6053.25</v>
      </c>
      <c r="F607" s="8" t="n"/>
      <c r="G607" s="9" t="n">
        <v>0</v>
      </c>
      <c r="H607" t="inlineStr">
        <is>
          <t>NOT_DUE</t>
        </is>
      </c>
      <c r="I607">
        <f>IF(H607="UNPAID", AsOfDate-D607, 0)</f>
        <v/>
      </c>
      <c r="J607">
        <f>IF(F607&lt;&gt;"", TEXT(F607, "yyyy-mm"), "")</f>
        <v/>
      </c>
    </row>
    <row r="608">
      <c r="A608" t="inlineStr">
        <is>
          <t>RP0000607</t>
        </is>
      </c>
      <c r="B608" t="inlineStr">
        <is>
          <t>LN200092</t>
        </is>
      </c>
      <c r="C608" t="n">
        <v>7</v>
      </c>
      <c r="D608" s="8" t="n">
        <v>46316</v>
      </c>
      <c r="E608" s="9" t="n">
        <v>6053.25</v>
      </c>
      <c r="F608" s="8" t="n"/>
      <c r="G608" s="9" t="n">
        <v>0</v>
      </c>
      <c r="H608" t="inlineStr">
        <is>
          <t>NOT_DUE</t>
        </is>
      </c>
      <c r="I608">
        <f>IF(H608="UNPAID", AsOfDate-D608, 0)</f>
        <v/>
      </c>
      <c r="J608">
        <f>IF(F608&lt;&gt;"", TEXT(F608, "yyyy-mm"), "")</f>
        <v/>
      </c>
    </row>
    <row r="609">
      <c r="A609" t="inlineStr">
        <is>
          <t>RP0000608</t>
        </is>
      </c>
      <c r="B609" t="inlineStr">
        <is>
          <t>LN200092</t>
        </is>
      </c>
      <c r="C609" t="n">
        <v>8</v>
      </c>
      <c r="D609" s="8" t="n">
        <v>46347</v>
      </c>
      <c r="E609" s="9" t="n">
        <v>6053.25</v>
      </c>
      <c r="F609" s="8" t="n"/>
      <c r="G609" s="9" t="n">
        <v>0</v>
      </c>
      <c r="H609" t="inlineStr">
        <is>
          <t>NOT_DUE</t>
        </is>
      </c>
      <c r="I609">
        <f>IF(H609="UNPAID", AsOfDate-D609, 0)</f>
        <v/>
      </c>
      <c r="J609">
        <f>IF(F609&lt;&gt;"", TEXT(F609, "yyyy-mm"), "")</f>
        <v/>
      </c>
    </row>
    <row r="610">
      <c r="A610" t="inlineStr">
        <is>
          <t>RP0000609</t>
        </is>
      </c>
      <c r="B610" t="inlineStr">
        <is>
          <t>LN200092</t>
        </is>
      </c>
      <c r="C610" t="n">
        <v>9</v>
      </c>
      <c r="D610" s="8" t="n">
        <v>46377</v>
      </c>
      <c r="E610" s="9" t="n">
        <v>6053.25</v>
      </c>
      <c r="F610" s="8" t="n"/>
      <c r="G610" s="9" t="n">
        <v>0</v>
      </c>
      <c r="H610" t="inlineStr">
        <is>
          <t>NOT_DUE</t>
        </is>
      </c>
      <c r="I610">
        <f>IF(H610="UNPAID", AsOfDate-D610, 0)</f>
        <v/>
      </c>
      <c r="J610">
        <f>IF(F610&lt;&gt;"", TEXT(F610, "yyyy-mm"), "")</f>
        <v/>
      </c>
    </row>
    <row r="611">
      <c r="A611" t="inlineStr">
        <is>
          <t>RP0000610</t>
        </is>
      </c>
      <c r="B611" t="inlineStr">
        <is>
          <t>LN200092</t>
        </is>
      </c>
      <c r="C611" t="n">
        <v>10</v>
      </c>
      <c r="D611" s="8" t="n">
        <v>46408</v>
      </c>
      <c r="E611" s="9" t="n">
        <v>6053.25</v>
      </c>
      <c r="F611" s="8" t="n"/>
      <c r="G611" s="9" t="n">
        <v>0</v>
      </c>
      <c r="H611" t="inlineStr">
        <is>
          <t>NOT_DUE</t>
        </is>
      </c>
      <c r="I611">
        <f>IF(H611="UNPAID", AsOfDate-D611, 0)</f>
        <v/>
      </c>
      <c r="J611">
        <f>IF(F611&lt;&gt;"", TEXT(F611, "yyyy-mm"), "")</f>
        <v/>
      </c>
    </row>
    <row r="612">
      <c r="A612" t="inlineStr">
        <is>
          <t>RP0000611</t>
        </is>
      </c>
      <c r="B612" t="inlineStr">
        <is>
          <t>LN200092</t>
        </is>
      </c>
      <c r="C612" t="n">
        <v>11</v>
      </c>
      <c r="D612" s="8" t="n">
        <v>46439</v>
      </c>
      <c r="E612" s="9" t="n">
        <v>6053.25</v>
      </c>
      <c r="F612" s="8" t="n"/>
      <c r="G612" s="9" t="n">
        <v>0</v>
      </c>
      <c r="H612" t="inlineStr">
        <is>
          <t>NOT_DUE</t>
        </is>
      </c>
      <c r="I612">
        <f>IF(H612="UNPAID", AsOfDate-D612, 0)</f>
        <v/>
      </c>
      <c r="J612">
        <f>IF(F612&lt;&gt;"", TEXT(F612, "yyyy-mm"), "")</f>
        <v/>
      </c>
    </row>
    <row r="613">
      <c r="A613" t="inlineStr">
        <is>
          <t>RP0000612</t>
        </is>
      </c>
      <c r="B613" t="inlineStr">
        <is>
          <t>LN200092</t>
        </is>
      </c>
      <c r="C613" t="n">
        <v>12</v>
      </c>
      <c r="D613" s="8" t="n">
        <v>46467</v>
      </c>
      <c r="E613" s="9" t="n">
        <v>6053.25</v>
      </c>
      <c r="F613" s="8" t="n"/>
      <c r="G613" s="9" t="n">
        <v>0</v>
      </c>
      <c r="H613" t="inlineStr">
        <is>
          <t>NOT_DUE</t>
        </is>
      </c>
      <c r="I613">
        <f>IF(H613="UNPAID", AsOfDate-D613, 0)</f>
        <v/>
      </c>
      <c r="J613">
        <f>IF(F613&lt;&gt;"", TEXT(F613, "yyyy-mm"), "")</f>
        <v/>
      </c>
    </row>
    <row r="614">
      <c r="A614" t="inlineStr">
        <is>
          <t>RP0000613</t>
        </is>
      </c>
      <c r="B614" t="inlineStr">
        <is>
          <t>LN200093</t>
        </is>
      </c>
      <c r="C614" t="n">
        <v>1</v>
      </c>
      <c r="D614" s="8" t="n">
        <v>46251</v>
      </c>
      <c r="E614" s="9" t="n">
        <v>46483.5</v>
      </c>
      <c r="F614" s="8" t="n">
        <v>46251</v>
      </c>
      <c r="G614" s="9" t="n">
        <v>46483.5</v>
      </c>
      <c r="H614" t="inlineStr">
        <is>
          <t>PAID_ON_TIME</t>
        </is>
      </c>
      <c r="I614">
        <f>IF(H614="UNPAID", AsOfDate-D614, 0)</f>
        <v/>
      </c>
      <c r="J614">
        <f>IF(F614&lt;&gt;"", TEXT(F614, "yyyy-mm"), "")</f>
        <v/>
      </c>
    </row>
    <row r="615">
      <c r="A615" t="inlineStr">
        <is>
          <t>RP0000614</t>
        </is>
      </c>
      <c r="B615" t="inlineStr">
        <is>
          <t>LN200093</t>
        </is>
      </c>
      <c r="C615" t="n">
        <v>2</v>
      </c>
      <c r="D615" s="8" t="n">
        <v>46282</v>
      </c>
      <c r="E615" s="9" t="n">
        <v>46483.5</v>
      </c>
      <c r="F615" s="8" t="n"/>
      <c r="G615" s="9" t="n">
        <v>0</v>
      </c>
      <c r="H615" t="inlineStr">
        <is>
          <t>NOT_DUE</t>
        </is>
      </c>
      <c r="I615">
        <f>IF(H615="UNPAID", AsOfDate-D615, 0)</f>
        <v/>
      </c>
      <c r="J615">
        <f>IF(F615&lt;&gt;"", TEXT(F615, "yyyy-mm"), "")</f>
        <v/>
      </c>
    </row>
    <row r="616">
      <c r="A616" t="inlineStr">
        <is>
          <t>RP0000615</t>
        </is>
      </c>
      <c r="B616" t="inlineStr">
        <is>
          <t>LN200093</t>
        </is>
      </c>
      <c r="C616" t="n">
        <v>3</v>
      </c>
      <c r="D616" s="8" t="n">
        <v>46312</v>
      </c>
      <c r="E616" s="9" t="n">
        <v>46483.5</v>
      </c>
      <c r="F616" s="8" t="n"/>
      <c r="G616" s="9" t="n">
        <v>0</v>
      </c>
      <c r="H616" t="inlineStr">
        <is>
          <t>NOT_DUE</t>
        </is>
      </c>
      <c r="I616">
        <f>IF(H616="UNPAID", AsOfDate-D616, 0)</f>
        <v/>
      </c>
      <c r="J616">
        <f>IF(F616&lt;&gt;"", TEXT(F616, "yyyy-mm"), "")</f>
        <v/>
      </c>
    </row>
    <row r="617">
      <c r="A617" t="inlineStr">
        <is>
          <t>RP0000616</t>
        </is>
      </c>
      <c r="B617" t="inlineStr">
        <is>
          <t>LN200094</t>
        </is>
      </c>
      <c r="C617" t="n">
        <v>1</v>
      </c>
      <c r="D617" s="8" t="n">
        <v>46075</v>
      </c>
      <c r="E617" s="9" t="n">
        <v>6375.44</v>
      </c>
      <c r="F617" s="8" t="n">
        <v>46075</v>
      </c>
      <c r="G617" s="9" t="n">
        <v>6375.44</v>
      </c>
      <c r="H617" t="inlineStr">
        <is>
          <t>PAID_ON_TIME</t>
        </is>
      </c>
      <c r="I617">
        <f>IF(H617="UNPAID", AsOfDate-D617, 0)</f>
        <v/>
      </c>
      <c r="J617">
        <f>IF(F617&lt;&gt;"", TEXT(F617, "yyyy-mm"), "")</f>
        <v/>
      </c>
    </row>
    <row r="618">
      <c r="A618" t="inlineStr">
        <is>
          <t>RP0000617</t>
        </is>
      </c>
      <c r="B618" t="inlineStr">
        <is>
          <t>LN200094</t>
        </is>
      </c>
      <c r="C618" t="n">
        <v>2</v>
      </c>
      <c r="D618" s="8" t="n">
        <v>46103</v>
      </c>
      <c r="E618" s="9" t="n">
        <v>6375.44</v>
      </c>
      <c r="F618" s="8" t="n">
        <v>46110</v>
      </c>
      <c r="G618" s="9" t="n">
        <v>6375.44</v>
      </c>
      <c r="H618" t="inlineStr">
        <is>
          <t>PAID_LATE</t>
        </is>
      </c>
      <c r="I618">
        <f>IF(H618="UNPAID", AsOfDate-D618, 0)</f>
        <v/>
      </c>
      <c r="J618">
        <f>IF(F618&lt;&gt;"", TEXT(F618, "yyyy-mm"), "")</f>
        <v/>
      </c>
    </row>
    <row r="619">
      <c r="A619" t="inlineStr">
        <is>
          <t>RP0000618</t>
        </is>
      </c>
      <c r="B619" t="inlineStr">
        <is>
          <t>LN200094</t>
        </is>
      </c>
      <c r="C619" t="n">
        <v>3</v>
      </c>
      <c r="D619" s="8" t="n">
        <v>46134</v>
      </c>
      <c r="E619" s="9" t="n">
        <v>6375.44</v>
      </c>
      <c r="F619" s="8" t="n">
        <v>46131</v>
      </c>
      <c r="G619" s="9" t="n">
        <v>6375.44</v>
      </c>
      <c r="H619" t="inlineStr">
        <is>
          <t>PAID_ON_TIME</t>
        </is>
      </c>
      <c r="I619">
        <f>IF(H619="UNPAID", AsOfDate-D619, 0)</f>
        <v/>
      </c>
      <c r="J619">
        <f>IF(F619&lt;&gt;"", TEXT(F619, "yyyy-mm"), "")</f>
        <v/>
      </c>
    </row>
    <row r="620">
      <c r="A620" t="inlineStr">
        <is>
          <t>RP0000619</t>
        </is>
      </c>
      <c r="B620" t="inlineStr">
        <is>
          <t>LN200094</t>
        </is>
      </c>
      <c r="C620" t="n">
        <v>4</v>
      </c>
      <c r="D620" s="8" t="n">
        <v>46164</v>
      </c>
      <c r="E620" s="9" t="n">
        <v>6375.44</v>
      </c>
      <c r="F620" s="8" t="n">
        <v>46162</v>
      </c>
      <c r="G620" s="9" t="n">
        <v>6375.44</v>
      </c>
      <c r="H620" t="inlineStr">
        <is>
          <t>PAID_ON_TIME</t>
        </is>
      </c>
      <c r="I620">
        <f>IF(H620="UNPAID", AsOfDate-D620, 0)</f>
        <v/>
      </c>
      <c r="J620">
        <f>IF(F620&lt;&gt;"", TEXT(F620, "yyyy-mm"), "")</f>
        <v/>
      </c>
    </row>
    <row r="621">
      <c r="A621" t="inlineStr">
        <is>
          <t>RP0000620</t>
        </is>
      </c>
      <c r="B621" t="inlineStr">
        <is>
          <t>LN200094</t>
        </is>
      </c>
      <c r="C621" t="n">
        <v>5</v>
      </c>
      <c r="D621" s="8" t="n">
        <v>46195</v>
      </c>
      <c r="E621" s="9" t="n">
        <v>6375.44</v>
      </c>
      <c r="F621" s="8" t="n">
        <v>46193</v>
      </c>
      <c r="G621" s="9" t="n">
        <v>6375.44</v>
      </c>
      <c r="H621" t="inlineStr">
        <is>
          <t>PAID_ON_TIME</t>
        </is>
      </c>
      <c r="I621">
        <f>IF(H621="UNPAID", AsOfDate-D621, 0)</f>
        <v/>
      </c>
      <c r="J621">
        <f>IF(F621&lt;&gt;"", TEXT(F621, "yyyy-mm"), "")</f>
        <v/>
      </c>
    </row>
    <row r="622">
      <c r="A622" t="inlineStr">
        <is>
          <t>RP0000621</t>
        </is>
      </c>
      <c r="B622" t="inlineStr">
        <is>
          <t>LN200094</t>
        </is>
      </c>
      <c r="C622" t="n">
        <v>6</v>
      </c>
      <c r="D622" s="8" t="n">
        <v>46225</v>
      </c>
      <c r="E622" s="9" t="n">
        <v>6375.44</v>
      </c>
      <c r="F622" s="8" t="n">
        <v>46227</v>
      </c>
      <c r="G622" s="9" t="n">
        <v>6375.44</v>
      </c>
      <c r="H622" t="inlineStr">
        <is>
          <t>PAID_ON_TIME</t>
        </is>
      </c>
      <c r="I622">
        <f>IF(H622="UNPAID", AsOfDate-D622, 0)</f>
        <v/>
      </c>
      <c r="J622">
        <f>IF(F622&lt;&gt;"", TEXT(F622, "yyyy-mm"), "")</f>
        <v/>
      </c>
    </row>
    <row r="623">
      <c r="A623" t="inlineStr">
        <is>
          <t>RP0000622</t>
        </is>
      </c>
      <c r="B623" t="inlineStr">
        <is>
          <t>LN200094</t>
        </is>
      </c>
      <c r="C623" t="n">
        <v>7</v>
      </c>
      <c r="D623" s="8" t="n">
        <v>46256</v>
      </c>
      <c r="E623" s="9" t="n">
        <v>6375.44</v>
      </c>
      <c r="F623" s="8" t="n">
        <v>46254</v>
      </c>
      <c r="G623" s="9" t="n">
        <v>6375.44</v>
      </c>
      <c r="H623" t="inlineStr">
        <is>
          <t>PAID_ON_TIME</t>
        </is>
      </c>
      <c r="I623">
        <f>IF(H623="UNPAID", AsOfDate-D623, 0)</f>
        <v/>
      </c>
      <c r="J623">
        <f>IF(F623&lt;&gt;"", TEXT(F623, "yyyy-mm"), "")</f>
        <v/>
      </c>
    </row>
    <row r="624">
      <c r="A624" t="inlineStr">
        <is>
          <t>RP0000623</t>
        </is>
      </c>
      <c r="B624" t="inlineStr">
        <is>
          <t>LN200094</t>
        </is>
      </c>
      <c r="C624" t="n">
        <v>8</v>
      </c>
      <c r="D624" s="8" t="n">
        <v>46287</v>
      </c>
      <c r="E624" s="9" t="n">
        <v>6375.44</v>
      </c>
      <c r="F624" s="8" t="n"/>
      <c r="G624" s="9" t="n">
        <v>0</v>
      </c>
      <c r="H624" t="inlineStr">
        <is>
          <t>NOT_DUE</t>
        </is>
      </c>
      <c r="I624">
        <f>IF(H624="UNPAID", AsOfDate-D624, 0)</f>
        <v/>
      </c>
      <c r="J624">
        <f>IF(F624&lt;&gt;"", TEXT(F624, "yyyy-mm"), "")</f>
        <v/>
      </c>
    </row>
    <row r="625">
      <c r="A625" t="inlineStr">
        <is>
          <t>RP0000624</t>
        </is>
      </c>
      <c r="B625" t="inlineStr">
        <is>
          <t>LN200094</t>
        </is>
      </c>
      <c r="C625" t="n">
        <v>9</v>
      </c>
      <c r="D625" s="8" t="n">
        <v>46317</v>
      </c>
      <c r="E625" s="9" t="n">
        <v>6375.44</v>
      </c>
      <c r="F625" s="8" t="n"/>
      <c r="G625" s="9" t="n">
        <v>0</v>
      </c>
      <c r="H625" t="inlineStr">
        <is>
          <t>NOT_DUE</t>
        </is>
      </c>
      <c r="I625">
        <f>IF(H625="UNPAID", AsOfDate-D625, 0)</f>
        <v/>
      </c>
      <c r="J625">
        <f>IF(F625&lt;&gt;"", TEXT(F625, "yyyy-mm"), "")</f>
        <v/>
      </c>
    </row>
    <row r="626">
      <c r="A626" t="inlineStr">
        <is>
          <t>RP0000625</t>
        </is>
      </c>
      <c r="B626" t="inlineStr">
        <is>
          <t>LN200095</t>
        </is>
      </c>
      <c r="C626" t="n">
        <v>1</v>
      </c>
      <c r="D626" s="8" t="n">
        <v>46081</v>
      </c>
      <c r="E626" s="9" t="n">
        <v>7181.89</v>
      </c>
      <c r="F626" s="8" t="n">
        <v>46084</v>
      </c>
      <c r="G626" s="9" t="n">
        <v>7181.89</v>
      </c>
      <c r="H626" t="inlineStr">
        <is>
          <t>PAID_ON_TIME</t>
        </is>
      </c>
      <c r="I626">
        <f>IF(H626="UNPAID", AsOfDate-D626, 0)</f>
        <v/>
      </c>
      <c r="J626">
        <f>IF(F626&lt;&gt;"", TEXT(F626, "yyyy-mm"), "")</f>
        <v/>
      </c>
    </row>
    <row r="627">
      <c r="A627" t="inlineStr">
        <is>
          <t>RP0000626</t>
        </is>
      </c>
      <c r="B627" t="inlineStr">
        <is>
          <t>LN200095</t>
        </is>
      </c>
      <c r="C627" t="n">
        <v>2</v>
      </c>
      <c r="D627" s="8" t="n">
        <v>46110</v>
      </c>
      <c r="E627" s="9" t="n">
        <v>7181.89</v>
      </c>
      <c r="F627" s="8" t="n">
        <v>46229</v>
      </c>
      <c r="G627" s="9" t="n">
        <v>7181.89</v>
      </c>
      <c r="H627" t="inlineStr">
        <is>
          <t>PAID_LATE</t>
        </is>
      </c>
      <c r="I627">
        <f>IF(H627="UNPAID", AsOfDate-D627, 0)</f>
        <v/>
      </c>
      <c r="J627">
        <f>IF(F627&lt;&gt;"", TEXT(F627, "yyyy-mm"), "")</f>
        <v/>
      </c>
    </row>
    <row r="628">
      <c r="A628" t="inlineStr">
        <is>
          <t>RP0000627</t>
        </is>
      </c>
      <c r="B628" t="inlineStr">
        <is>
          <t>LN200095</t>
        </is>
      </c>
      <c r="C628" t="n">
        <v>3</v>
      </c>
      <c r="D628" s="8" t="n">
        <v>46141</v>
      </c>
      <c r="E628" s="9" t="n">
        <v>7181.89</v>
      </c>
      <c r="F628" s="8" t="n">
        <v>46139</v>
      </c>
      <c r="G628" s="9" t="n">
        <v>7181.89</v>
      </c>
      <c r="H628" t="inlineStr">
        <is>
          <t>PAID_ON_TIME</t>
        </is>
      </c>
      <c r="I628">
        <f>IF(H628="UNPAID", AsOfDate-D628, 0)</f>
        <v/>
      </c>
      <c r="J628">
        <f>IF(F628&lt;&gt;"", TEXT(F628, "yyyy-mm"), "")</f>
        <v/>
      </c>
    </row>
    <row r="629">
      <c r="A629" t="inlineStr">
        <is>
          <t>RP0000628</t>
        </is>
      </c>
      <c r="B629" t="inlineStr">
        <is>
          <t>LN200095</t>
        </is>
      </c>
      <c r="C629" t="n">
        <v>4</v>
      </c>
      <c r="D629" s="8" t="n">
        <v>46171</v>
      </c>
      <c r="E629" s="9" t="n">
        <v>7181.89</v>
      </c>
      <c r="F629" s="8" t="n">
        <v>46227</v>
      </c>
      <c r="G629" s="9" t="n">
        <v>7181.89</v>
      </c>
      <c r="H629" t="inlineStr">
        <is>
          <t>PAID_LATE</t>
        </is>
      </c>
      <c r="I629">
        <f>IF(H629="UNPAID", AsOfDate-D629, 0)</f>
        <v/>
      </c>
      <c r="J629">
        <f>IF(F629&lt;&gt;"", TEXT(F629, "yyyy-mm"), "")</f>
        <v/>
      </c>
    </row>
    <row r="630">
      <c r="A630" t="inlineStr">
        <is>
          <t>RP0000629</t>
        </is>
      </c>
      <c r="B630" t="inlineStr">
        <is>
          <t>LN200095</t>
        </is>
      </c>
      <c r="C630" t="n">
        <v>5</v>
      </c>
      <c r="D630" s="8" t="n">
        <v>46202</v>
      </c>
      <c r="E630" s="9" t="n">
        <v>7181.89</v>
      </c>
      <c r="F630" s="8" t="n">
        <v>46209</v>
      </c>
      <c r="G630" s="9" t="n">
        <v>7181.89</v>
      </c>
      <c r="H630" t="inlineStr">
        <is>
          <t>PAID_LATE</t>
        </is>
      </c>
      <c r="I630">
        <f>IF(H630="UNPAID", AsOfDate-D630, 0)</f>
        <v/>
      </c>
      <c r="J630">
        <f>IF(F630&lt;&gt;"", TEXT(F630, "yyyy-mm"), "")</f>
        <v/>
      </c>
    </row>
    <row r="631">
      <c r="A631" t="inlineStr">
        <is>
          <t>RP0000630</t>
        </is>
      </c>
      <c r="B631" t="inlineStr">
        <is>
          <t>LN200095</t>
        </is>
      </c>
      <c r="C631" t="n">
        <v>6</v>
      </c>
      <c r="D631" s="8" t="n">
        <v>46232</v>
      </c>
      <c r="E631" s="9" t="n">
        <v>7181.89</v>
      </c>
      <c r="F631" s="8" t="n">
        <v>46233</v>
      </c>
      <c r="G631" s="9" t="n">
        <v>7181.89</v>
      </c>
      <c r="H631" t="inlineStr">
        <is>
          <t>PAID_ON_TIME</t>
        </is>
      </c>
      <c r="I631">
        <f>IF(H631="UNPAID", AsOfDate-D631, 0)</f>
        <v/>
      </c>
      <c r="J631">
        <f>IF(F631&lt;&gt;"", TEXT(F631, "yyyy-mm"), "")</f>
        <v/>
      </c>
    </row>
    <row r="632">
      <c r="A632" t="inlineStr">
        <is>
          <t>RP0000631</t>
        </is>
      </c>
      <c r="B632" t="inlineStr">
        <is>
          <t>LN200095</t>
        </is>
      </c>
      <c r="C632" t="n">
        <v>7</v>
      </c>
      <c r="D632" s="8" t="n">
        <v>46263</v>
      </c>
      <c r="E632" s="9" t="n">
        <v>7181.89</v>
      </c>
      <c r="F632" s="8" t="n">
        <v>46267</v>
      </c>
      <c r="G632" s="9" t="n">
        <v>7181.89</v>
      </c>
      <c r="H632" t="inlineStr">
        <is>
          <t>PAID_ON_TIME</t>
        </is>
      </c>
      <c r="I632">
        <f>IF(H632="UNPAID", AsOfDate-D632, 0)</f>
        <v/>
      </c>
      <c r="J632">
        <f>IF(F632&lt;&gt;"", TEXT(F632, "yyyy-mm"), "")</f>
        <v/>
      </c>
    </row>
    <row r="633">
      <c r="A633" t="inlineStr">
        <is>
          <t>RP0000632</t>
        </is>
      </c>
      <c r="B633" t="inlineStr">
        <is>
          <t>LN200095</t>
        </is>
      </c>
      <c r="C633" t="n">
        <v>8</v>
      </c>
      <c r="D633" s="8" t="n">
        <v>46294</v>
      </c>
      <c r="E633" s="9" t="n">
        <v>7181.89</v>
      </c>
      <c r="F633" s="8" t="n"/>
      <c r="G633" s="9" t="n">
        <v>0</v>
      </c>
      <c r="H633" t="inlineStr">
        <is>
          <t>NOT_DUE</t>
        </is>
      </c>
      <c r="I633">
        <f>IF(H633="UNPAID", AsOfDate-D633, 0)</f>
        <v/>
      </c>
      <c r="J633">
        <f>IF(F633&lt;&gt;"", TEXT(F633, "yyyy-mm"), "")</f>
        <v/>
      </c>
    </row>
    <row r="634">
      <c r="A634" t="inlineStr">
        <is>
          <t>RP0000633</t>
        </is>
      </c>
      <c r="B634" t="inlineStr">
        <is>
          <t>LN200095</t>
        </is>
      </c>
      <c r="C634" t="n">
        <v>9</v>
      </c>
      <c r="D634" s="8" t="n">
        <v>46324</v>
      </c>
      <c r="E634" s="9" t="n">
        <v>7181.89</v>
      </c>
      <c r="F634" s="8" t="n"/>
      <c r="G634" s="9" t="n">
        <v>0</v>
      </c>
      <c r="H634" t="inlineStr">
        <is>
          <t>NOT_DUE</t>
        </is>
      </c>
      <c r="I634">
        <f>IF(H634="UNPAID", AsOfDate-D634, 0)</f>
        <v/>
      </c>
      <c r="J634">
        <f>IF(F634&lt;&gt;"", TEXT(F634, "yyyy-mm"), "")</f>
        <v/>
      </c>
    </row>
    <row r="635">
      <c r="A635" t="inlineStr">
        <is>
          <t>RP0000634</t>
        </is>
      </c>
      <c r="B635" t="inlineStr">
        <is>
          <t>LN200095</t>
        </is>
      </c>
      <c r="C635" t="n">
        <v>10</v>
      </c>
      <c r="D635" s="8" t="n">
        <v>46355</v>
      </c>
      <c r="E635" s="9" t="n">
        <v>7181.89</v>
      </c>
      <c r="F635" s="8" t="n"/>
      <c r="G635" s="9" t="n">
        <v>0</v>
      </c>
      <c r="H635" t="inlineStr">
        <is>
          <t>NOT_DUE</t>
        </is>
      </c>
      <c r="I635">
        <f>IF(H635="UNPAID", AsOfDate-D635, 0)</f>
        <v/>
      </c>
      <c r="J635">
        <f>IF(F635&lt;&gt;"", TEXT(F635, "yyyy-mm"), "")</f>
        <v/>
      </c>
    </row>
    <row r="636">
      <c r="A636" t="inlineStr">
        <is>
          <t>RP0000635</t>
        </is>
      </c>
      <c r="B636" t="inlineStr">
        <is>
          <t>LN200095</t>
        </is>
      </c>
      <c r="C636" t="n">
        <v>11</v>
      </c>
      <c r="D636" s="8" t="n">
        <v>46385</v>
      </c>
      <c r="E636" s="9" t="n">
        <v>7181.89</v>
      </c>
      <c r="F636" s="8" t="n"/>
      <c r="G636" s="9" t="n">
        <v>0</v>
      </c>
      <c r="H636" t="inlineStr">
        <is>
          <t>NOT_DUE</t>
        </is>
      </c>
      <c r="I636">
        <f>IF(H636="UNPAID", AsOfDate-D636, 0)</f>
        <v/>
      </c>
      <c r="J636">
        <f>IF(F636&lt;&gt;"", TEXT(F636, "yyyy-mm"), "")</f>
        <v/>
      </c>
    </row>
    <row r="637">
      <c r="A637" t="inlineStr">
        <is>
          <t>RP0000636</t>
        </is>
      </c>
      <c r="B637" t="inlineStr">
        <is>
          <t>LN200095</t>
        </is>
      </c>
      <c r="C637" t="n">
        <v>12</v>
      </c>
      <c r="D637" s="8" t="n">
        <v>46416</v>
      </c>
      <c r="E637" s="9" t="n">
        <v>7181.89</v>
      </c>
      <c r="F637" s="8" t="n"/>
      <c r="G637" s="9" t="n">
        <v>0</v>
      </c>
      <c r="H637" t="inlineStr">
        <is>
          <t>NOT_DUE</t>
        </is>
      </c>
      <c r="I637">
        <f>IF(H637="UNPAID", AsOfDate-D637, 0)</f>
        <v/>
      </c>
      <c r="J637">
        <f>IF(F637&lt;&gt;"", TEXT(F637, "yyyy-mm"), "")</f>
        <v/>
      </c>
    </row>
    <row r="638">
      <c r="A638" t="inlineStr">
        <is>
          <t>RP0000637</t>
        </is>
      </c>
      <c r="B638" t="inlineStr">
        <is>
          <t>LN200095</t>
        </is>
      </c>
      <c r="C638" t="n">
        <v>13</v>
      </c>
      <c r="D638" s="8" t="n">
        <v>46446</v>
      </c>
      <c r="E638" s="9" t="n">
        <v>7181.89</v>
      </c>
      <c r="F638" s="8" t="n"/>
      <c r="G638" s="9" t="n">
        <v>0</v>
      </c>
      <c r="H638" t="inlineStr">
        <is>
          <t>NOT_DUE</t>
        </is>
      </c>
      <c r="I638">
        <f>IF(H638="UNPAID", AsOfDate-D638, 0)</f>
        <v/>
      </c>
      <c r="J638">
        <f>IF(F638&lt;&gt;"", TEXT(F638, "yyyy-mm"), "")</f>
        <v/>
      </c>
    </row>
    <row r="639">
      <c r="A639" t="inlineStr">
        <is>
          <t>RP0000638</t>
        </is>
      </c>
      <c r="B639" t="inlineStr">
        <is>
          <t>LN200095</t>
        </is>
      </c>
      <c r="C639" t="n">
        <v>14</v>
      </c>
      <c r="D639" s="8" t="n">
        <v>46475</v>
      </c>
      <c r="E639" s="9" t="n">
        <v>7181.89</v>
      </c>
      <c r="F639" s="8" t="n"/>
      <c r="G639" s="9" t="n">
        <v>0</v>
      </c>
      <c r="H639" t="inlineStr">
        <is>
          <t>NOT_DUE</t>
        </is>
      </c>
      <c r="I639">
        <f>IF(H639="UNPAID", AsOfDate-D639, 0)</f>
        <v/>
      </c>
      <c r="J639">
        <f>IF(F639&lt;&gt;"", TEXT(F639, "yyyy-mm"), "")</f>
        <v/>
      </c>
    </row>
    <row r="640">
      <c r="A640" t="inlineStr">
        <is>
          <t>RP0000639</t>
        </is>
      </c>
      <c r="B640" t="inlineStr">
        <is>
          <t>LN200095</t>
        </is>
      </c>
      <c r="C640" t="n">
        <v>15</v>
      </c>
      <c r="D640" s="8" t="n">
        <v>46506</v>
      </c>
      <c r="E640" s="9" t="n">
        <v>7181.89</v>
      </c>
      <c r="F640" s="8" t="n"/>
      <c r="G640" s="9" t="n">
        <v>0</v>
      </c>
      <c r="H640" t="inlineStr">
        <is>
          <t>NOT_DUE</t>
        </is>
      </c>
      <c r="I640">
        <f>IF(H640="UNPAID", AsOfDate-D640, 0)</f>
        <v/>
      </c>
      <c r="J640">
        <f>IF(F640&lt;&gt;"", TEXT(F640, "yyyy-mm"), "")</f>
        <v/>
      </c>
    </row>
    <row r="641">
      <c r="A641" t="inlineStr">
        <is>
          <t>RP0000640</t>
        </is>
      </c>
      <c r="B641" t="inlineStr">
        <is>
          <t>LN200095</t>
        </is>
      </c>
      <c r="C641" t="n">
        <v>16</v>
      </c>
      <c r="D641" s="8" t="n">
        <v>46536</v>
      </c>
      <c r="E641" s="9" t="n">
        <v>7181.89</v>
      </c>
      <c r="F641" s="8" t="n"/>
      <c r="G641" s="9" t="n">
        <v>0</v>
      </c>
      <c r="H641" t="inlineStr">
        <is>
          <t>NOT_DUE</t>
        </is>
      </c>
      <c r="I641">
        <f>IF(H641="UNPAID", AsOfDate-D641, 0)</f>
        <v/>
      </c>
      <c r="J641">
        <f>IF(F641&lt;&gt;"", TEXT(F641, "yyyy-mm"), "")</f>
        <v/>
      </c>
    </row>
    <row r="642">
      <c r="A642" t="inlineStr">
        <is>
          <t>RP0000641</t>
        </is>
      </c>
      <c r="B642" t="inlineStr">
        <is>
          <t>LN200095</t>
        </is>
      </c>
      <c r="C642" t="n">
        <v>17</v>
      </c>
      <c r="D642" s="8" t="n">
        <v>46567</v>
      </c>
      <c r="E642" s="9" t="n">
        <v>7181.89</v>
      </c>
      <c r="F642" s="8" t="n"/>
      <c r="G642" s="9" t="n">
        <v>0</v>
      </c>
      <c r="H642" t="inlineStr">
        <is>
          <t>NOT_DUE</t>
        </is>
      </c>
      <c r="I642">
        <f>IF(H642="UNPAID", AsOfDate-D642, 0)</f>
        <v/>
      </c>
      <c r="J642">
        <f>IF(F642&lt;&gt;"", TEXT(F642, "yyyy-mm"), "")</f>
        <v/>
      </c>
    </row>
    <row r="643">
      <c r="A643" t="inlineStr">
        <is>
          <t>RP0000642</t>
        </is>
      </c>
      <c r="B643" t="inlineStr">
        <is>
          <t>LN200095</t>
        </is>
      </c>
      <c r="C643" t="n">
        <v>18</v>
      </c>
      <c r="D643" s="8" t="n">
        <v>46597</v>
      </c>
      <c r="E643" s="9" t="n">
        <v>7181.89</v>
      </c>
      <c r="F643" s="8" t="n"/>
      <c r="G643" s="9" t="n">
        <v>0</v>
      </c>
      <c r="H643" t="inlineStr">
        <is>
          <t>NOT_DUE</t>
        </is>
      </c>
      <c r="I643">
        <f>IF(H643="UNPAID", AsOfDate-D643, 0)</f>
        <v/>
      </c>
      <c r="J643">
        <f>IF(F643&lt;&gt;"", TEXT(F643, "yyyy-mm"), "")</f>
        <v/>
      </c>
    </row>
    <row r="644">
      <c r="A644" t="inlineStr">
        <is>
          <t>RP0000643</t>
        </is>
      </c>
      <c r="B644" t="inlineStr">
        <is>
          <t>LN200096</t>
        </is>
      </c>
      <c r="C644" t="n">
        <v>1</v>
      </c>
      <c r="D644" s="8" t="n">
        <v>45910</v>
      </c>
      <c r="E644" s="9" t="n">
        <v>12980.86</v>
      </c>
      <c r="F644" s="8" t="n">
        <v>45914</v>
      </c>
      <c r="G644" s="9" t="n">
        <v>12980.86</v>
      </c>
      <c r="H644" t="inlineStr">
        <is>
          <t>PAID_ON_TIME</t>
        </is>
      </c>
      <c r="I644">
        <f>IF(H644="UNPAID", AsOfDate-D644, 0)</f>
        <v/>
      </c>
      <c r="J644">
        <f>IF(F644&lt;&gt;"", TEXT(F644, "yyyy-mm"), "")</f>
        <v/>
      </c>
    </row>
    <row r="645">
      <c r="A645" t="inlineStr">
        <is>
          <t>RP0000644</t>
        </is>
      </c>
      <c r="B645" t="inlineStr">
        <is>
          <t>LN200096</t>
        </is>
      </c>
      <c r="C645" t="n">
        <v>2</v>
      </c>
      <c r="D645" s="8" t="n">
        <v>45940</v>
      </c>
      <c r="E645" s="9" t="n">
        <v>12980.86</v>
      </c>
      <c r="F645" s="8" t="n">
        <v>46021</v>
      </c>
      <c r="G645" s="9" t="n">
        <v>12980.86</v>
      </c>
      <c r="H645" t="inlineStr">
        <is>
          <t>PAID_LATE</t>
        </is>
      </c>
      <c r="I645">
        <f>IF(H645="UNPAID", AsOfDate-D645, 0)</f>
        <v/>
      </c>
      <c r="J645">
        <f>IF(F645&lt;&gt;"", TEXT(F645, "yyyy-mm"), "")</f>
        <v/>
      </c>
    </row>
    <row r="646">
      <c r="A646" t="inlineStr">
        <is>
          <t>RP0000645</t>
        </is>
      </c>
      <c r="B646" t="inlineStr">
        <is>
          <t>LN200096</t>
        </is>
      </c>
      <c r="C646" t="n">
        <v>3</v>
      </c>
      <c r="D646" s="8" t="n">
        <v>45971</v>
      </c>
      <c r="E646" s="9" t="n">
        <v>12980.86</v>
      </c>
      <c r="F646" s="8" t="n">
        <v>45969</v>
      </c>
      <c r="G646" s="9" t="n">
        <v>12980.86</v>
      </c>
      <c r="H646" t="inlineStr">
        <is>
          <t>PAID_ON_TIME</t>
        </is>
      </c>
      <c r="I646">
        <f>IF(H646="UNPAID", AsOfDate-D646, 0)</f>
        <v/>
      </c>
      <c r="J646">
        <f>IF(F646&lt;&gt;"", TEXT(F646, "yyyy-mm"), "")</f>
        <v/>
      </c>
    </row>
    <row r="647">
      <c r="A647" t="inlineStr">
        <is>
          <t>RP0000646</t>
        </is>
      </c>
      <c r="B647" t="inlineStr">
        <is>
          <t>LN200096</t>
        </is>
      </c>
      <c r="C647" t="n">
        <v>4</v>
      </c>
      <c r="D647" s="8" t="n">
        <v>46001</v>
      </c>
      <c r="E647" s="9" t="n">
        <v>12980.86</v>
      </c>
      <c r="F647" s="8" t="n">
        <v>46003</v>
      </c>
      <c r="G647" s="9" t="n">
        <v>12980.86</v>
      </c>
      <c r="H647" t="inlineStr">
        <is>
          <t>PAID_ON_TIME</t>
        </is>
      </c>
      <c r="I647">
        <f>IF(H647="UNPAID", AsOfDate-D647, 0)</f>
        <v/>
      </c>
      <c r="J647">
        <f>IF(F647&lt;&gt;"", TEXT(F647, "yyyy-mm"), "")</f>
        <v/>
      </c>
    </row>
    <row r="648">
      <c r="A648" t="inlineStr">
        <is>
          <t>RP0000647</t>
        </is>
      </c>
      <c r="B648" t="inlineStr">
        <is>
          <t>LN200096</t>
        </is>
      </c>
      <c r="C648" t="n">
        <v>5</v>
      </c>
      <c r="D648" s="8" t="n">
        <v>46032</v>
      </c>
      <c r="E648" s="9" t="n">
        <v>12980.86</v>
      </c>
      <c r="F648" s="8" t="n">
        <v>46055</v>
      </c>
      <c r="G648" s="9" t="n">
        <v>12980.86</v>
      </c>
      <c r="H648" t="inlineStr">
        <is>
          <t>PAID_LATE</t>
        </is>
      </c>
      <c r="I648">
        <f>IF(H648="UNPAID", AsOfDate-D648, 0)</f>
        <v/>
      </c>
      <c r="J648">
        <f>IF(F648&lt;&gt;"", TEXT(F648, "yyyy-mm"), "")</f>
        <v/>
      </c>
    </row>
    <row r="649">
      <c r="A649" t="inlineStr">
        <is>
          <t>RP0000648</t>
        </is>
      </c>
      <c r="B649" t="inlineStr">
        <is>
          <t>LN200096</t>
        </is>
      </c>
      <c r="C649" t="n">
        <v>6</v>
      </c>
      <c r="D649" s="8" t="n">
        <v>46063</v>
      </c>
      <c r="E649" s="9" t="n">
        <v>12980.86</v>
      </c>
      <c r="F649" s="8" t="n">
        <v>46151</v>
      </c>
      <c r="G649" s="9" t="n">
        <v>12980.86</v>
      </c>
      <c r="H649" t="inlineStr">
        <is>
          <t>PAID_LATE</t>
        </is>
      </c>
      <c r="I649">
        <f>IF(H649="UNPAID", AsOfDate-D649, 0)</f>
        <v/>
      </c>
      <c r="J649">
        <f>IF(F649&lt;&gt;"", TEXT(F649, "yyyy-mm"), "")</f>
        <v/>
      </c>
    </row>
    <row r="650">
      <c r="A650" t="inlineStr">
        <is>
          <t>RP0000649</t>
        </is>
      </c>
      <c r="B650" t="inlineStr">
        <is>
          <t>LN200096</t>
        </is>
      </c>
      <c r="C650" t="n">
        <v>7</v>
      </c>
      <c r="D650" s="8" t="n">
        <v>46091</v>
      </c>
      <c r="E650" s="9" t="n">
        <v>12980.86</v>
      </c>
      <c r="F650" s="8" t="n">
        <v>46094</v>
      </c>
      <c r="G650" s="9" t="n">
        <v>12980.86</v>
      </c>
      <c r="H650" t="inlineStr">
        <is>
          <t>PAID_ON_TIME</t>
        </is>
      </c>
      <c r="I650">
        <f>IF(H650="UNPAID", AsOfDate-D650, 0)</f>
        <v/>
      </c>
      <c r="J650">
        <f>IF(F650&lt;&gt;"", TEXT(F650, "yyyy-mm"), "")</f>
        <v/>
      </c>
    </row>
    <row r="651">
      <c r="A651" t="inlineStr">
        <is>
          <t>RP0000650</t>
        </is>
      </c>
      <c r="B651" t="inlineStr">
        <is>
          <t>LN200096</t>
        </is>
      </c>
      <c r="C651" t="n">
        <v>8</v>
      </c>
      <c r="D651" s="8" t="n">
        <v>46122</v>
      </c>
      <c r="E651" s="9" t="n">
        <v>12980.86</v>
      </c>
      <c r="F651" s="8" t="n">
        <v>46124</v>
      </c>
      <c r="G651" s="9" t="n">
        <v>12980.86</v>
      </c>
      <c r="H651" t="inlineStr">
        <is>
          <t>PAID_ON_TIME</t>
        </is>
      </c>
      <c r="I651">
        <f>IF(H651="UNPAID", AsOfDate-D651, 0)</f>
        <v/>
      </c>
      <c r="J651">
        <f>IF(F651&lt;&gt;"", TEXT(F651, "yyyy-mm"), "")</f>
        <v/>
      </c>
    </row>
    <row r="652">
      <c r="A652" t="inlineStr">
        <is>
          <t>RP0000651</t>
        </is>
      </c>
      <c r="B652" t="inlineStr">
        <is>
          <t>LN200096</t>
        </is>
      </c>
      <c r="C652" t="n">
        <v>9</v>
      </c>
      <c r="D652" s="8" t="n">
        <v>46152</v>
      </c>
      <c r="E652" s="9" t="n">
        <v>12980.86</v>
      </c>
      <c r="F652" s="8" t="n">
        <v>46150</v>
      </c>
      <c r="G652" s="9" t="n">
        <v>12980.86</v>
      </c>
      <c r="H652" t="inlineStr">
        <is>
          <t>PAID_ON_TIME</t>
        </is>
      </c>
      <c r="I652">
        <f>IF(H652="UNPAID", AsOfDate-D652, 0)</f>
        <v/>
      </c>
      <c r="J652">
        <f>IF(F652&lt;&gt;"", TEXT(F652, "yyyy-mm"), "")</f>
        <v/>
      </c>
    </row>
    <row r="653">
      <c r="A653" t="inlineStr">
        <is>
          <t>RP0000652</t>
        </is>
      </c>
      <c r="B653" t="inlineStr">
        <is>
          <t>LN200097</t>
        </is>
      </c>
      <c r="C653" t="n">
        <v>1</v>
      </c>
      <c r="D653" s="8" t="n">
        <v>46186</v>
      </c>
      <c r="E653" s="9" t="n">
        <v>36349.78</v>
      </c>
      <c r="F653" s="8" t="n">
        <v>46186</v>
      </c>
      <c r="G653" s="9" t="n">
        <v>36349.78</v>
      </c>
      <c r="H653" t="inlineStr">
        <is>
          <t>PAID_ON_TIME</t>
        </is>
      </c>
      <c r="I653">
        <f>IF(H653="UNPAID", AsOfDate-D653, 0)</f>
        <v/>
      </c>
      <c r="J653">
        <f>IF(F653&lt;&gt;"", TEXT(F653, "yyyy-mm"), "")</f>
        <v/>
      </c>
    </row>
    <row r="654">
      <c r="A654" t="inlineStr">
        <is>
          <t>RP0000653</t>
        </is>
      </c>
      <c r="B654" t="inlineStr">
        <is>
          <t>LN200097</t>
        </is>
      </c>
      <c r="C654" t="n">
        <v>2</v>
      </c>
      <c r="D654" s="8" t="n">
        <v>46216</v>
      </c>
      <c r="E654" s="9" t="n">
        <v>36349.78</v>
      </c>
      <c r="F654" s="8" t="n">
        <v>46213</v>
      </c>
      <c r="G654" s="9" t="n">
        <v>36349.78</v>
      </c>
      <c r="H654" t="inlineStr">
        <is>
          <t>PAID_ON_TIME</t>
        </is>
      </c>
      <c r="I654">
        <f>IF(H654="UNPAID", AsOfDate-D654, 0)</f>
        <v/>
      </c>
      <c r="J654">
        <f>IF(F654&lt;&gt;"", TEXT(F654, "yyyy-mm"), "")</f>
        <v/>
      </c>
    </row>
    <row r="655">
      <c r="A655" t="inlineStr">
        <is>
          <t>RP0000654</t>
        </is>
      </c>
      <c r="B655" t="inlineStr">
        <is>
          <t>LN200097</t>
        </is>
      </c>
      <c r="C655" t="n">
        <v>3</v>
      </c>
      <c r="D655" s="8" t="n">
        <v>46247</v>
      </c>
      <c r="E655" s="9" t="n">
        <v>36349.78</v>
      </c>
      <c r="F655" s="8" t="n">
        <v>46245</v>
      </c>
      <c r="G655" s="9" t="n">
        <v>36349.78</v>
      </c>
      <c r="H655" t="inlineStr">
        <is>
          <t>PAID_ON_TIME</t>
        </is>
      </c>
      <c r="I655">
        <f>IF(H655="UNPAID", AsOfDate-D655, 0)</f>
        <v/>
      </c>
      <c r="J655">
        <f>IF(F655&lt;&gt;"", TEXT(F655, "yyyy-mm"), "")</f>
        <v/>
      </c>
    </row>
    <row r="656">
      <c r="A656" t="inlineStr">
        <is>
          <t>RP0000655</t>
        </is>
      </c>
      <c r="B656" t="inlineStr">
        <is>
          <t>LN200097</t>
        </is>
      </c>
      <c r="C656" t="n">
        <v>4</v>
      </c>
      <c r="D656" s="8" t="n">
        <v>46278</v>
      </c>
      <c r="E656" s="9" t="n">
        <v>36349.78</v>
      </c>
      <c r="F656" s="8" t="n"/>
      <c r="G656" s="9" t="n">
        <v>0</v>
      </c>
      <c r="H656" t="inlineStr">
        <is>
          <t>NOT_DUE</t>
        </is>
      </c>
      <c r="I656">
        <f>IF(H656="UNPAID", AsOfDate-D656, 0)</f>
        <v/>
      </c>
      <c r="J656">
        <f>IF(F656&lt;&gt;"", TEXT(F656, "yyyy-mm"), "")</f>
        <v/>
      </c>
    </row>
    <row r="657">
      <c r="A657" t="inlineStr">
        <is>
          <t>RP0000656</t>
        </is>
      </c>
      <c r="B657" t="inlineStr">
        <is>
          <t>LN200097</t>
        </is>
      </c>
      <c r="C657" t="n">
        <v>5</v>
      </c>
      <c r="D657" s="8" t="n">
        <v>46308</v>
      </c>
      <c r="E657" s="9" t="n">
        <v>36349.78</v>
      </c>
      <c r="F657" s="8" t="n"/>
      <c r="G657" s="9" t="n">
        <v>0</v>
      </c>
      <c r="H657" t="inlineStr">
        <is>
          <t>NOT_DUE</t>
        </is>
      </c>
      <c r="I657">
        <f>IF(H657="UNPAID", AsOfDate-D657, 0)</f>
        <v/>
      </c>
      <c r="J657">
        <f>IF(F657&lt;&gt;"", TEXT(F657, "yyyy-mm"), "")</f>
        <v/>
      </c>
    </row>
    <row r="658">
      <c r="A658" t="inlineStr">
        <is>
          <t>RP0000657</t>
        </is>
      </c>
      <c r="B658" t="inlineStr">
        <is>
          <t>LN200097</t>
        </is>
      </c>
      <c r="C658" t="n">
        <v>6</v>
      </c>
      <c r="D658" s="8" t="n">
        <v>46339</v>
      </c>
      <c r="E658" s="9" t="n">
        <v>36349.78</v>
      </c>
      <c r="F658" s="8" t="n"/>
      <c r="G658" s="9" t="n">
        <v>0</v>
      </c>
      <c r="H658" t="inlineStr">
        <is>
          <t>NOT_DUE</t>
        </is>
      </c>
      <c r="I658">
        <f>IF(H658="UNPAID", AsOfDate-D658, 0)</f>
        <v/>
      </c>
      <c r="J658">
        <f>IF(F658&lt;&gt;"", TEXT(F658, "yyyy-mm"), "")</f>
        <v/>
      </c>
    </row>
    <row r="659">
      <c r="A659" t="inlineStr">
        <is>
          <t>RP0000658</t>
        </is>
      </c>
      <c r="B659" t="inlineStr">
        <is>
          <t>LN200097</t>
        </is>
      </c>
      <c r="C659" t="n">
        <v>7</v>
      </c>
      <c r="D659" s="8" t="n">
        <v>46369</v>
      </c>
      <c r="E659" s="9" t="n">
        <v>36349.78</v>
      </c>
      <c r="F659" s="8" t="n"/>
      <c r="G659" s="9" t="n">
        <v>0</v>
      </c>
      <c r="H659" t="inlineStr">
        <is>
          <t>NOT_DUE</t>
        </is>
      </c>
      <c r="I659">
        <f>IF(H659="UNPAID", AsOfDate-D659, 0)</f>
        <v/>
      </c>
      <c r="J659">
        <f>IF(F659&lt;&gt;"", TEXT(F659, "yyyy-mm"), "")</f>
        <v/>
      </c>
    </row>
    <row r="660">
      <c r="A660" t="inlineStr">
        <is>
          <t>RP0000659</t>
        </is>
      </c>
      <c r="B660" t="inlineStr">
        <is>
          <t>LN200097</t>
        </is>
      </c>
      <c r="C660" t="n">
        <v>8</v>
      </c>
      <c r="D660" s="8" t="n">
        <v>46400</v>
      </c>
      <c r="E660" s="9" t="n">
        <v>36349.78</v>
      </c>
      <c r="F660" s="8" t="n"/>
      <c r="G660" s="9" t="n">
        <v>0</v>
      </c>
      <c r="H660" t="inlineStr">
        <is>
          <t>NOT_DUE</t>
        </is>
      </c>
      <c r="I660">
        <f>IF(H660="UNPAID", AsOfDate-D660, 0)</f>
        <v/>
      </c>
      <c r="J660">
        <f>IF(F660&lt;&gt;"", TEXT(F660, "yyyy-mm"), "")</f>
        <v/>
      </c>
    </row>
    <row r="661">
      <c r="A661" t="inlineStr">
        <is>
          <t>RP0000660</t>
        </is>
      </c>
      <c r="B661" t="inlineStr">
        <is>
          <t>LN200097</t>
        </is>
      </c>
      <c r="C661" t="n">
        <v>9</v>
      </c>
      <c r="D661" s="8" t="n">
        <v>46431</v>
      </c>
      <c r="E661" s="9" t="n">
        <v>36349.78</v>
      </c>
      <c r="F661" s="8" t="n"/>
      <c r="G661" s="9" t="n">
        <v>0</v>
      </c>
      <c r="H661" t="inlineStr">
        <is>
          <t>NOT_DUE</t>
        </is>
      </c>
      <c r="I661">
        <f>IF(H661="UNPAID", AsOfDate-D661, 0)</f>
        <v/>
      </c>
      <c r="J661">
        <f>IF(F661&lt;&gt;"", TEXT(F661, "yyyy-mm"), "")</f>
        <v/>
      </c>
    </row>
    <row r="662">
      <c r="A662" t="inlineStr">
        <is>
          <t>RP0000661</t>
        </is>
      </c>
      <c r="B662" t="inlineStr">
        <is>
          <t>LN200098</t>
        </is>
      </c>
      <c r="C662" t="n">
        <v>1</v>
      </c>
      <c r="D662" s="8" t="n">
        <v>46171</v>
      </c>
      <c r="E662" s="9" t="n">
        <v>6752.78</v>
      </c>
      <c r="F662" s="8" t="n">
        <v>46172</v>
      </c>
      <c r="G662" s="9" t="n">
        <v>6752.78</v>
      </c>
      <c r="H662" t="inlineStr">
        <is>
          <t>PAID_LATE</t>
        </is>
      </c>
      <c r="I662">
        <f>IF(H662="UNPAID", AsOfDate-D662, 0)</f>
        <v/>
      </c>
      <c r="J662">
        <f>IF(F662&lt;&gt;"", TEXT(F662, "yyyy-mm"), "")</f>
        <v/>
      </c>
    </row>
    <row r="663">
      <c r="A663" t="inlineStr">
        <is>
          <t>RP0000662</t>
        </is>
      </c>
      <c r="B663" t="inlineStr">
        <is>
          <t>LN200098</t>
        </is>
      </c>
      <c r="C663" t="n">
        <v>2</v>
      </c>
      <c r="D663" s="8" t="n">
        <v>46202</v>
      </c>
      <c r="E663" s="9" t="n">
        <v>6752.78</v>
      </c>
      <c r="F663" s="8" t="n">
        <v>46201</v>
      </c>
      <c r="G663" s="9" t="n">
        <v>6752.78</v>
      </c>
      <c r="H663" t="inlineStr">
        <is>
          <t>PAID_ON_TIME</t>
        </is>
      </c>
      <c r="I663">
        <f>IF(H663="UNPAID", AsOfDate-D663, 0)</f>
        <v/>
      </c>
      <c r="J663">
        <f>IF(F663&lt;&gt;"", TEXT(F663, "yyyy-mm"), "")</f>
        <v/>
      </c>
    </row>
    <row r="664">
      <c r="A664" t="inlineStr">
        <is>
          <t>RP0000663</t>
        </is>
      </c>
      <c r="B664" t="inlineStr">
        <is>
          <t>LN200098</t>
        </is>
      </c>
      <c r="C664" t="n">
        <v>3</v>
      </c>
      <c r="D664" s="8" t="n">
        <v>46232</v>
      </c>
      <c r="E664" s="9" t="n">
        <v>6752.78</v>
      </c>
      <c r="F664" s="8" t="n">
        <v>46232</v>
      </c>
      <c r="G664" s="9" t="n">
        <v>6752.78</v>
      </c>
      <c r="H664" t="inlineStr">
        <is>
          <t>PAID_ON_TIME</t>
        </is>
      </c>
      <c r="I664">
        <f>IF(H664="UNPAID", AsOfDate-D664, 0)</f>
        <v/>
      </c>
      <c r="J664">
        <f>IF(F664&lt;&gt;"", TEXT(F664, "yyyy-mm"), "")</f>
        <v/>
      </c>
    </row>
    <row r="665">
      <c r="A665" t="inlineStr">
        <is>
          <t>RP0000664</t>
        </is>
      </c>
      <c r="B665" t="inlineStr">
        <is>
          <t>LN200098</t>
        </is>
      </c>
      <c r="C665" t="n">
        <v>4</v>
      </c>
      <c r="D665" s="8" t="n">
        <v>46263</v>
      </c>
      <c r="E665" s="9" t="n">
        <v>6752.78</v>
      </c>
      <c r="F665" s="8" t="n">
        <v>46260</v>
      </c>
      <c r="G665" s="9" t="n">
        <v>6752.78</v>
      </c>
      <c r="H665" t="inlineStr">
        <is>
          <t>PAID_ON_TIME</t>
        </is>
      </c>
      <c r="I665">
        <f>IF(H665="UNPAID", AsOfDate-D665, 0)</f>
        <v/>
      </c>
      <c r="J665">
        <f>IF(F665&lt;&gt;"", TEXT(F665, "yyyy-mm"), "")</f>
        <v/>
      </c>
    </row>
    <row r="666">
      <c r="A666" t="inlineStr">
        <is>
          <t>RP0000665</t>
        </is>
      </c>
      <c r="B666" t="inlineStr">
        <is>
          <t>LN200098</t>
        </is>
      </c>
      <c r="C666" t="n">
        <v>5</v>
      </c>
      <c r="D666" s="8" t="n">
        <v>46294</v>
      </c>
      <c r="E666" s="9" t="n">
        <v>6752.78</v>
      </c>
      <c r="F666" s="8" t="n"/>
      <c r="G666" s="9" t="n">
        <v>0</v>
      </c>
      <c r="H666" t="inlineStr">
        <is>
          <t>NOT_DUE</t>
        </is>
      </c>
      <c r="I666">
        <f>IF(H666="UNPAID", AsOfDate-D666, 0)</f>
        <v/>
      </c>
      <c r="J666">
        <f>IF(F666&lt;&gt;"", TEXT(F666, "yyyy-mm"), "")</f>
        <v/>
      </c>
    </row>
    <row r="667">
      <c r="A667" t="inlineStr">
        <is>
          <t>RP0000666</t>
        </is>
      </c>
      <c r="B667" t="inlineStr">
        <is>
          <t>LN200098</t>
        </is>
      </c>
      <c r="C667" t="n">
        <v>6</v>
      </c>
      <c r="D667" s="8" t="n">
        <v>46324</v>
      </c>
      <c r="E667" s="9" t="n">
        <v>6752.78</v>
      </c>
      <c r="F667" s="8" t="n"/>
      <c r="G667" s="9" t="n">
        <v>0</v>
      </c>
      <c r="H667" t="inlineStr">
        <is>
          <t>NOT_DUE</t>
        </is>
      </c>
      <c r="I667">
        <f>IF(H667="UNPAID", AsOfDate-D667, 0)</f>
        <v/>
      </c>
      <c r="J667">
        <f>IF(F667&lt;&gt;"", TEXT(F667, "yyyy-mm"), "")</f>
        <v/>
      </c>
    </row>
    <row r="668">
      <c r="A668" t="inlineStr">
        <is>
          <t>RP0000667</t>
        </is>
      </c>
      <c r="B668" t="inlineStr">
        <is>
          <t>LN200098</t>
        </is>
      </c>
      <c r="C668" t="n">
        <v>7</v>
      </c>
      <c r="D668" s="8" t="n">
        <v>46355</v>
      </c>
      <c r="E668" s="9" t="n">
        <v>6752.78</v>
      </c>
      <c r="F668" s="8" t="n"/>
      <c r="G668" s="9" t="n">
        <v>0</v>
      </c>
      <c r="H668" t="inlineStr">
        <is>
          <t>NOT_DUE</t>
        </is>
      </c>
      <c r="I668">
        <f>IF(H668="UNPAID", AsOfDate-D668, 0)</f>
        <v/>
      </c>
      <c r="J668">
        <f>IF(F668&lt;&gt;"", TEXT(F668, "yyyy-mm"), "")</f>
        <v/>
      </c>
    </row>
    <row r="669">
      <c r="A669" t="inlineStr">
        <is>
          <t>RP0000668</t>
        </is>
      </c>
      <c r="B669" t="inlineStr">
        <is>
          <t>LN200098</t>
        </is>
      </c>
      <c r="C669" t="n">
        <v>8</v>
      </c>
      <c r="D669" s="8" t="n">
        <v>46385</v>
      </c>
      <c r="E669" s="9" t="n">
        <v>6752.78</v>
      </c>
      <c r="F669" s="8" t="n"/>
      <c r="G669" s="9" t="n">
        <v>0</v>
      </c>
      <c r="H669" t="inlineStr">
        <is>
          <t>NOT_DUE</t>
        </is>
      </c>
      <c r="I669">
        <f>IF(H669="UNPAID", AsOfDate-D669, 0)</f>
        <v/>
      </c>
      <c r="J669">
        <f>IF(F669&lt;&gt;"", TEXT(F669, "yyyy-mm"), "")</f>
        <v/>
      </c>
    </row>
    <row r="670">
      <c r="A670" t="inlineStr">
        <is>
          <t>RP0000669</t>
        </is>
      </c>
      <c r="B670" t="inlineStr">
        <is>
          <t>LN200098</t>
        </is>
      </c>
      <c r="C670" t="n">
        <v>9</v>
      </c>
      <c r="D670" s="8" t="n">
        <v>46416</v>
      </c>
      <c r="E670" s="9" t="n">
        <v>6752.78</v>
      </c>
      <c r="F670" s="8" t="n"/>
      <c r="G670" s="9" t="n">
        <v>0</v>
      </c>
      <c r="H670" t="inlineStr">
        <is>
          <t>NOT_DUE</t>
        </is>
      </c>
      <c r="I670">
        <f>IF(H670="UNPAID", AsOfDate-D670, 0)</f>
        <v/>
      </c>
      <c r="J670">
        <f>IF(F670&lt;&gt;"", TEXT(F670, "yyyy-mm"), "")</f>
        <v/>
      </c>
    </row>
    <row r="671">
      <c r="A671" t="inlineStr">
        <is>
          <t>RP0000670</t>
        </is>
      </c>
      <c r="B671" t="inlineStr">
        <is>
          <t>LN200099</t>
        </is>
      </c>
      <c r="C671" t="n">
        <v>1</v>
      </c>
      <c r="D671" s="8" t="n">
        <v>45875</v>
      </c>
      <c r="E671" s="9" t="n">
        <v>11809.22</v>
      </c>
      <c r="F671" s="8" t="n">
        <v>45876</v>
      </c>
      <c r="G671" s="9" t="n">
        <v>11809.22</v>
      </c>
      <c r="H671" t="inlineStr">
        <is>
          <t>PAID_ON_TIME</t>
        </is>
      </c>
      <c r="I671">
        <f>IF(H671="UNPAID", AsOfDate-D671, 0)</f>
        <v/>
      </c>
      <c r="J671">
        <f>IF(F671&lt;&gt;"", TEXT(F671, "yyyy-mm"), "")</f>
        <v/>
      </c>
    </row>
    <row r="672">
      <c r="A672" t="inlineStr">
        <is>
          <t>RP0000671</t>
        </is>
      </c>
      <c r="B672" t="inlineStr">
        <is>
          <t>LN200099</t>
        </is>
      </c>
      <c r="C672" t="n">
        <v>2</v>
      </c>
      <c r="D672" s="8" t="n">
        <v>45906</v>
      </c>
      <c r="E672" s="9" t="n">
        <v>11809.22</v>
      </c>
      <c r="F672" s="8" t="n">
        <v>45908</v>
      </c>
      <c r="G672" s="9" t="n">
        <v>11809.22</v>
      </c>
      <c r="H672" t="inlineStr">
        <is>
          <t>PAID_ON_TIME</t>
        </is>
      </c>
      <c r="I672">
        <f>IF(H672="UNPAID", AsOfDate-D672, 0)</f>
        <v/>
      </c>
      <c r="J672">
        <f>IF(F672&lt;&gt;"", TEXT(F672, "yyyy-mm"), "")</f>
        <v/>
      </c>
    </row>
    <row r="673">
      <c r="A673" t="inlineStr">
        <is>
          <t>RP0000672</t>
        </is>
      </c>
      <c r="B673" t="inlineStr">
        <is>
          <t>LN200099</t>
        </is>
      </c>
      <c r="C673" t="n">
        <v>3</v>
      </c>
      <c r="D673" s="8" t="n">
        <v>45936</v>
      </c>
      <c r="E673" s="9" t="n">
        <v>11809.22</v>
      </c>
      <c r="F673" s="8" t="n">
        <v>45936</v>
      </c>
      <c r="G673" s="9" t="n">
        <v>11809.22</v>
      </c>
      <c r="H673" t="inlineStr">
        <is>
          <t>PAID_ON_TIME</t>
        </is>
      </c>
      <c r="I673">
        <f>IF(H673="UNPAID", AsOfDate-D673, 0)</f>
        <v/>
      </c>
      <c r="J673">
        <f>IF(F673&lt;&gt;"", TEXT(F673, "yyyy-mm"), "")</f>
        <v/>
      </c>
    </row>
    <row r="674">
      <c r="A674" t="inlineStr">
        <is>
          <t>RP0000673</t>
        </is>
      </c>
      <c r="B674" t="inlineStr">
        <is>
          <t>LN200099</t>
        </is>
      </c>
      <c r="C674" t="n">
        <v>4</v>
      </c>
      <c r="D674" s="8" t="n">
        <v>45967</v>
      </c>
      <c r="E674" s="9" t="n">
        <v>11809.22</v>
      </c>
      <c r="F674" s="8" t="n">
        <v>45965</v>
      </c>
      <c r="G674" s="9" t="n">
        <v>11809.22</v>
      </c>
      <c r="H674" t="inlineStr">
        <is>
          <t>PAID_ON_TIME</t>
        </is>
      </c>
      <c r="I674">
        <f>IF(H674="UNPAID", AsOfDate-D674, 0)</f>
        <v/>
      </c>
      <c r="J674">
        <f>IF(F674&lt;&gt;"", TEXT(F674, "yyyy-mm"), "")</f>
        <v/>
      </c>
    </row>
    <row r="675">
      <c r="A675" t="inlineStr">
        <is>
          <t>RP0000674</t>
        </is>
      </c>
      <c r="B675" t="inlineStr">
        <is>
          <t>LN200099</t>
        </is>
      </c>
      <c r="C675" t="n">
        <v>5</v>
      </c>
      <c r="D675" s="8" t="n">
        <v>45997</v>
      </c>
      <c r="E675" s="9" t="n">
        <v>11809.22</v>
      </c>
      <c r="F675" s="8" t="n">
        <v>45995</v>
      </c>
      <c r="G675" s="9" t="n">
        <v>11809.22</v>
      </c>
      <c r="H675" t="inlineStr">
        <is>
          <t>PAID_ON_TIME</t>
        </is>
      </c>
      <c r="I675">
        <f>IF(H675="UNPAID", AsOfDate-D675, 0)</f>
        <v/>
      </c>
      <c r="J675">
        <f>IF(F675&lt;&gt;"", TEXT(F675, "yyyy-mm"), "")</f>
        <v/>
      </c>
    </row>
    <row r="676">
      <c r="A676" t="inlineStr">
        <is>
          <t>RP0000675</t>
        </is>
      </c>
      <c r="B676" t="inlineStr">
        <is>
          <t>LN200099</t>
        </is>
      </c>
      <c r="C676" t="n">
        <v>6</v>
      </c>
      <c r="D676" s="8" t="n">
        <v>46028</v>
      </c>
      <c r="E676" s="9" t="n">
        <v>11809.22</v>
      </c>
      <c r="F676" s="8" t="n">
        <v>46027</v>
      </c>
      <c r="G676" s="9" t="n">
        <v>11809.22</v>
      </c>
      <c r="H676" t="inlineStr">
        <is>
          <t>PAID_ON_TIME</t>
        </is>
      </c>
      <c r="I676">
        <f>IF(H676="UNPAID", AsOfDate-D676, 0)</f>
        <v/>
      </c>
      <c r="J676">
        <f>IF(F676&lt;&gt;"", TEXT(F676, "yyyy-mm"), "")</f>
        <v/>
      </c>
    </row>
    <row r="677">
      <c r="A677" t="inlineStr">
        <is>
          <t>RP0000676</t>
        </is>
      </c>
      <c r="B677" t="inlineStr">
        <is>
          <t>LN200099</t>
        </is>
      </c>
      <c r="C677" t="n">
        <v>7</v>
      </c>
      <c r="D677" s="8" t="n">
        <v>46059</v>
      </c>
      <c r="E677" s="9" t="n">
        <v>11809.22</v>
      </c>
      <c r="F677" s="8" t="n">
        <v>46060</v>
      </c>
      <c r="G677" s="9" t="n">
        <v>11809.22</v>
      </c>
      <c r="H677" t="inlineStr">
        <is>
          <t>PAID_ON_TIME</t>
        </is>
      </c>
      <c r="I677">
        <f>IF(H677="UNPAID", AsOfDate-D677, 0)</f>
        <v/>
      </c>
      <c r="J677">
        <f>IF(F677&lt;&gt;"", TEXT(F677, "yyyy-mm"), "")</f>
        <v/>
      </c>
    </row>
    <row r="678">
      <c r="A678" t="inlineStr">
        <is>
          <t>RP0000677</t>
        </is>
      </c>
      <c r="B678" t="inlineStr">
        <is>
          <t>LN200099</t>
        </is>
      </c>
      <c r="C678" t="n">
        <v>8</v>
      </c>
      <c r="D678" s="8" t="n">
        <v>46087</v>
      </c>
      <c r="E678" s="9" t="n">
        <v>11809.22</v>
      </c>
      <c r="F678" s="8" t="n">
        <v>46091</v>
      </c>
      <c r="G678" s="9" t="n">
        <v>11809.22</v>
      </c>
      <c r="H678" t="inlineStr">
        <is>
          <t>PAID_ON_TIME</t>
        </is>
      </c>
      <c r="I678">
        <f>IF(H678="UNPAID", AsOfDate-D678, 0)</f>
        <v/>
      </c>
      <c r="J678">
        <f>IF(F678&lt;&gt;"", TEXT(F678, "yyyy-mm"), "")</f>
        <v/>
      </c>
    </row>
    <row r="679">
      <c r="A679" t="inlineStr">
        <is>
          <t>RP0000678</t>
        </is>
      </c>
      <c r="B679" t="inlineStr">
        <is>
          <t>LN200099</t>
        </is>
      </c>
      <c r="C679" t="n">
        <v>9</v>
      </c>
      <c r="D679" s="8" t="n">
        <v>46118</v>
      </c>
      <c r="E679" s="9" t="n">
        <v>11809.22</v>
      </c>
      <c r="F679" s="8" t="n">
        <v>46120</v>
      </c>
      <c r="G679" s="9" t="n">
        <v>11809.22</v>
      </c>
      <c r="H679" t="inlineStr">
        <is>
          <t>PAID_ON_TIME</t>
        </is>
      </c>
      <c r="I679">
        <f>IF(H679="UNPAID", AsOfDate-D679, 0)</f>
        <v/>
      </c>
      <c r="J679">
        <f>IF(F679&lt;&gt;"", TEXT(F679, "yyyy-mm"), "")</f>
        <v/>
      </c>
    </row>
    <row r="680">
      <c r="A680" t="inlineStr">
        <is>
          <t>RP0000679</t>
        </is>
      </c>
      <c r="B680" t="inlineStr">
        <is>
          <t>LN200100</t>
        </is>
      </c>
      <c r="C680" t="n">
        <v>1</v>
      </c>
      <c r="D680" s="8" t="n">
        <v>46187</v>
      </c>
      <c r="E680" s="9" t="n">
        <v>3828.5</v>
      </c>
      <c r="F680" s="8" t="n">
        <v>46184</v>
      </c>
      <c r="G680" s="9" t="n">
        <v>3828.5</v>
      </c>
      <c r="H680" t="inlineStr">
        <is>
          <t>PAID_ON_TIME</t>
        </is>
      </c>
      <c r="I680">
        <f>IF(H680="UNPAID", AsOfDate-D680, 0)</f>
        <v/>
      </c>
      <c r="J680">
        <f>IF(F680&lt;&gt;"", TEXT(F680, "yyyy-mm"), "")</f>
        <v/>
      </c>
    </row>
    <row r="681">
      <c r="A681" t="inlineStr">
        <is>
          <t>RP0000680</t>
        </is>
      </c>
      <c r="B681" t="inlineStr">
        <is>
          <t>LN200100</t>
        </is>
      </c>
      <c r="C681" t="n">
        <v>2</v>
      </c>
      <c r="D681" s="8" t="n">
        <v>46217</v>
      </c>
      <c r="E681" s="9" t="n">
        <v>3828.5</v>
      </c>
      <c r="F681" s="8" t="n">
        <v>46216</v>
      </c>
      <c r="G681" s="9" t="n">
        <v>3828.5</v>
      </c>
      <c r="H681" t="inlineStr">
        <is>
          <t>PAID_ON_TIME</t>
        </is>
      </c>
      <c r="I681">
        <f>IF(H681="UNPAID", AsOfDate-D681, 0)</f>
        <v/>
      </c>
      <c r="J681">
        <f>IF(F681&lt;&gt;"", TEXT(F681, "yyyy-mm"), "")</f>
        <v/>
      </c>
    </row>
    <row r="682">
      <c r="A682" t="inlineStr">
        <is>
          <t>RP0000681</t>
        </is>
      </c>
      <c r="B682" t="inlineStr">
        <is>
          <t>LN200100</t>
        </is>
      </c>
      <c r="C682" t="n">
        <v>3</v>
      </c>
      <c r="D682" s="8" t="n">
        <v>46248</v>
      </c>
      <c r="E682" s="9" t="n">
        <v>3828.5</v>
      </c>
      <c r="F682" s="8" t="n">
        <v>46245</v>
      </c>
      <c r="G682" s="9" t="n">
        <v>3828.5</v>
      </c>
      <c r="H682" t="inlineStr">
        <is>
          <t>PAID_ON_TIME</t>
        </is>
      </c>
      <c r="I682">
        <f>IF(H682="UNPAID", AsOfDate-D682, 0)</f>
        <v/>
      </c>
      <c r="J682">
        <f>IF(F682&lt;&gt;"", TEXT(F682, "yyyy-mm"), "")</f>
        <v/>
      </c>
    </row>
    <row r="683">
      <c r="A683" t="inlineStr">
        <is>
          <t>RP0000682</t>
        </is>
      </c>
      <c r="B683" t="inlineStr">
        <is>
          <t>LN200100</t>
        </is>
      </c>
      <c r="C683" t="n">
        <v>4</v>
      </c>
      <c r="D683" s="8" t="n">
        <v>46279</v>
      </c>
      <c r="E683" s="9" t="n">
        <v>3828.5</v>
      </c>
      <c r="F683" s="8" t="n"/>
      <c r="G683" s="9" t="n">
        <v>0</v>
      </c>
      <c r="H683" t="inlineStr">
        <is>
          <t>NOT_DUE</t>
        </is>
      </c>
      <c r="I683">
        <f>IF(H683="UNPAID", AsOfDate-D683, 0)</f>
        <v/>
      </c>
      <c r="J683">
        <f>IF(F683&lt;&gt;"", TEXT(F683, "yyyy-mm"), "")</f>
        <v/>
      </c>
    </row>
    <row r="684">
      <c r="A684" t="inlineStr">
        <is>
          <t>RP0000683</t>
        </is>
      </c>
      <c r="B684" t="inlineStr">
        <is>
          <t>LN200100</t>
        </is>
      </c>
      <c r="C684" t="n">
        <v>5</v>
      </c>
      <c r="D684" s="8" t="n">
        <v>46309</v>
      </c>
      <c r="E684" s="9" t="n">
        <v>3828.5</v>
      </c>
      <c r="F684" s="8" t="n"/>
      <c r="G684" s="9" t="n">
        <v>0</v>
      </c>
      <c r="H684" t="inlineStr">
        <is>
          <t>NOT_DUE</t>
        </is>
      </c>
      <c r="I684">
        <f>IF(H684="UNPAID", AsOfDate-D684, 0)</f>
        <v/>
      </c>
      <c r="J684">
        <f>IF(F684&lt;&gt;"", TEXT(F684, "yyyy-mm"), "")</f>
        <v/>
      </c>
    </row>
    <row r="685">
      <c r="A685" t="inlineStr">
        <is>
          <t>RP0000684</t>
        </is>
      </c>
      <c r="B685" t="inlineStr">
        <is>
          <t>LN200100</t>
        </is>
      </c>
      <c r="C685" t="n">
        <v>6</v>
      </c>
      <c r="D685" s="8" t="n">
        <v>46340</v>
      </c>
      <c r="E685" s="9" t="n">
        <v>3828.5</v>
      </c>
      <c r="F685" s="8" t="n"/>
      <c r="G685" s="9" t="n">
        <v>0</v>
      </c>
      <c r="H685" t="inlineStr">
        <is>
          <t>NOT_DUE</t>
        </is>
      </c>
      <c r="I685">
        <f>IF(H685="UNPAID", AsOfDate-D685, 0)</f>
        <v/>
      </c>
      <c r="J685">
        <f>IF(F685&lt;&gt;"", TEXT(F685, "yyyy-mm"), "")</f>
        <v/>
      </c>
    </row>
    <row r="686">
      <c r="A686" t="inlineStr">
        <is>
          <t>RP0000685</t>
        </is>
      </c>
      <c r="B686" t="inlineStr">
        <is>
          <t>LN200100</t>
        </is>
      </c>
      <c r="C686" t="n">
        <v>7</v>
      </c>
      <c r="D686" s="8" t="n">
        <v>46370</v>
      </c>
      <c r="E686" s="9" t="n">
        <v>3828.5</v>
      </c>
      <c r="F686" s="8" t="n"/>
      <c r="G686" s="9" t="n">
        <v>0</v>
      </c>
      <c r="H686" t="inlineStr">
        <is>
          <t>NOT_DUE</t>
        </is>
      </c>
      <c r="I686">
        <f>IF(H686="UNPAID", AsOfDate-D686, 0)</f>
        <v/>
      </c>
      <c r="J686">
        <f>IF(F686&lt;&gt;"", TEXT(F686, "yyyy-mm"), "")</f>
        <v/>
      </c>
    </row>
    <row r="687">
      <c r="A687" t="inlineStr">
        <is>
          <t>RP0000686</t>
        </is>
      </c>
      <c r="B687" t="inlineStr">
        <is>
          <t>LN200100</t>
        </is>
      </c>
      <c r="C687" t="n">
        <v>8</v>
      </c>
      <c r="D687" s="8" t="n">
        <v>46401</v>
      </c>
      <c r="E687" s="9" t="n">
        <v>3828.5</v>
      </c>
      <c r="F687" s="8" t="n"/>
      <c r="G687" s="9" t="n">
        <v>0</v>
      </c>
      <c r="H687" t="inlineStr">
        <is>
          <t>NOT_DUE</t>
        </is>
      </c>
      <c r="I687">
        <f>IF(H687="UNPAID", AsOfDate-D687, 0)</f>
        <v/>
      </c>
      <c r="J687">
        <f>IF(F687&lt;&gt;"", TEXT(F687, "yyyy-mm"), "")</f>
        <v/>
      </c>
    </row>
    <row r="688">
      <c r="A688" t="inlineStr">
        <is>
          <t>RP0000687</t>
        </is>
      </c>
      <c r="B688" t="inlineStr">
        <is>
          <t>LN200100</t>
        </is>
      </c>
      <c r="C688" t="n">
        <v>9</v>
      </c>
      <c r="D688" s="8" t="n">
        <v>46432</v>
      </c>
      <c r="E688" s="9" t="n">
        <v>3828.5</v>
      </c>
      <c r="F688" s="8" t="n"/>
      <c r="G688" s="9" t="n">
        <v>0</v>
      </c>
      <c r="H688" t="inlineStr">
        <is>
          <t>NOT_DUE</t>
        </is>
      </c>
      <c r="I688">
        <f>IF(H688="UNPAID", AsOfDate-D688, 0)</f>
        <v/>
      </c>
      <c r="J688">
        <f>IF(F688&lt;&gt;"", TEXT(F688, "yyyy-mm"), "")</f>
        <v/>
      </c>
    </row>
    <row r="689">
      <c r="A689" t="inlineStr">
        <is>
          <t>RP0000688</t>
        </is>
      </c>
      <c r="B689" t="inlineStr">
        <is>
          <t>LN200100</t>
        </is>
      </c>
      <c r="C689" t="n">
        <v>10</v>
      </c>
      <c r="D689" s="8" t="n">
        <v>46460</v>
      </c>
      <c r="E689" s="9" t="n">
        <v>3828.5</v>
      </c>
      <c r="F689" s="8" t="n"/>
      <c r="G689" s="9" t="n">
        <v>0</v>
      </c>
      <c r="H689" t="inlineStr">
        <is>
          <t>NOT_DUE</t>
        </is>
      </c>
      <c r="I689">
        <f>IF(H689="UNPAID", AsOfDate-D689, 0)</f>
        <v/>
      </c>
      <c r="J689">
        <f>IF(F689&lt;&gt;"", TEXT(F689, "yyyy-mm"), "")</f>
        <v/>
      </c>
    </row>
    <row r="690">
      <c r="A690" t="inlineStr">
        <is>
          <t>RP0000689</t>
        </is>
      </c>
      <c r="B690" t="inlineStr">
        <is>
          <t>LN200100</t>
        </is>
      </c>
      <c r="C690" t="n">
        <v>11</v>
      </c>
      <c r="D690" s="8" t="n">
        <v>46491</v>
      </c>
      <c r="E690" s="9" t="n">
        <v>3828.5</v>
      </c>
      <c r="F690" s="8" t="n"/>
      <c r="G690" s="9" t="n">
        <v>0</v>
      </c>
      <c r="H690" t="inlineStr">
        <is>
          <t>NOT_DUE</t>
        </is>
      </c>
      <c r="I690">
        <f>IF(H690="UNPAID", AsOfDate-D690, 0)</f>
        <v/>
      </c>
      <c r="J690">
        <f>IF(F690&lt;&gt;"", TEXT(F690, "yyyy-mm"), "")</f>
        <v/>
      </c>
    </row>
    <row r="691">
      <c r="A691" t="inlineStr">
        <is>
          <t>RP0000690</t>
        </is>
      </c>
      <c r="B691" t="inlineStr">
        <is>
          <t>LN200100</t>
        </is>
      </c>
      <c r="C691" t="n">
        <v>12</v>
      </c>
      <c r="D691" s="8" t="n">
        <v>46521</v>
      </c>
      <c r="E691" s="9" t="n">
        <v>3828.5</v>
      </c>
      <c r="F691" s="8" t="n"/>
      <c r="G691" s="9" t="n">
        <v>0</v>
      </c>
      <c r="H691" t="inlineStr">
        <is>
          <t>NOT_DUE</t>
        </is>
      </c>
      <c r="I691">
        <f>IF(H691="UNPAID", AsOfDate-D691, 0)</f>
        <v/>
      </c>
      <c r="J691">
        <f>IF(F691&lt;&gt;"", TEXT(F691, "yyyy-mm"), "")</f>
        <v/>
      </c>
    </row>
    <row r="692">
      <c r="A692" t="inlineStr">
        <is>
          <t>RP0000691</t>
        </is>
      </c>
      <c r="B692" t="inlineStr">
        <is>
          <t>LN200102</t>
        </is>
      </c>
      <c r="C692" t="n">
        <v>1</v>
      </c>
      <c r="D692" s="8" t="n">
        <v>46158</v>
      </c>
      <c r="E692" s="9" t="n">
        <v>12496</v>
      </c>
      <c r="F692" s="8" t="n">
        <v>46156</v>
      </c>
      <c r="G692" s="9" t="n">
        <v>12496</v>
      </c>
      <c r="H692" t="inlineStr">
        <is>
          <t>PAID_ON_TIME</t>
        </is>
      </c>
      <c r="I692">
        <f>IF(H692="UNPAID", AsOfDate-D692, 0)</f>
        <v/>
      </c>
      <c r="J692">
        <f>IF(F692&lt;&gt;"", TEXT(F692, "yyyy-mm"), "")</f>
        <v/>
      </c>
    </row>
    <row r="693">
      <c r="A693" t="inlineStr">
        <is>
          <t>RP0000692</t>
        </is>
      </c>
      <c r="B693" t="inlineStr">
        <is>
          <t>LN200102</t>
        </is>
      </c>
      <c r="C693" t="n">
        <v>2</v>
      </c>
      <c r="D693" s="8" t="n">
        <v>46189</v>
      </c>
      <c r="E693" s="9" t="n">
        <v>12496</v>
      </c>
      <c r="F693" s="8" t="n">
        <v>46191</v>
      </c>
      <c r="G693" s="9" t="n">
        <v>12496</v>
      </c>
      <c r="H693" t="inlineStr">
        <is>
          <t>PAID_ON_TIME</t>
        </is>
      </c>
      <c r="I693">
        <f>IF(H693="UNPAID", AsOfDate-D693, 0)</f>
        <v/>
      </c>
      <c r="J693">
        <f>IF(F693&lt;&gt;"", TEXT(F693, "yyyy-mm"), "")</f>
        <v/>
      </c>
    </row>
    <row r="694">
      <c r="A694" t="inlineStr">
        <is>
          <t>RP0000693</t>
        </is>
      </c>
      <c r="B694" t="inlineStr">
        <is>
          <t>LN200102</t>
        </is>
      </c>
      <c r="C694" t="n">
        <v>3</v>
      </c>
      <c r="D694" s="8" t="n">
        <v>46219</v>
      </c>
      <c r="E694" s="9" t="n">
        <v>12496</v>
      </c>
      <c r="F694" s="8" t="n">
        <v>46221</v>
      </c>
      <c r="G694" s="9" t="n">
        <v>12496</v>
      </c>
      <c r="H694" t="inlineStr">
        <is>
          <t>PAID_ON_TIME</t>
        </is>
      </c>
      <c r="I694">
        <f>IF(H694="UNPAID", AsOfDate-D694, 0)</f>
        <v/>
      </c>
      <c r="J694">
        <f>IF(F694&lt;&gt;"", TEXT(F694, "yyyy-mm"), "")</f>
        <v/>
      </c>
    </row>
    <row r="695">
      <c r="A695" t="inlineStr">
        <is>
          <t>RP0000694</t>
        </is>
      </c>
      <c r="B695" t="inlineStr">
        <is>
          <t>LN200102</t>
        </is>
      </c>
      <c r="C695" t="n">
        <v>4</v>
      </c>
      <c r="D695" s="8" t="n">
        <v>46250</v>
      </c>
      <c r="E695" s="9" t="n">
        <v>12496</v>
      </c>
      <c r="F695" s="8" t="n">
        <v>46254</v>
      </c>
      <c r="G695" s="9" t="n">
        <v>12496</v>
      </c>
      <c r="H695" t="inlineStr">
        <is>
          <t>PAID_ON_TIME</t>
        </is>
      </c>
      <c r="I695">
        <f>IF(H695="UNPAID", AsOfDate-D695, 0)</f>
        <v/>
      </c>
      <c r="J695">
        <f>IF(F695&lt;&gt;"", TEXT(F695, "yyyy-mm"), "")</f>
        <v/>
      </c>
    </row>
    <row r="696">
      <c r="A696" t="inlineStr">
        <is>
          <t>RP0000695</t>
        </is>
      </c>
      <c r="B696" t="inlineStr">
        <is>
          <t>LN200102</t>
        </is>
      </c>
      <c r="C696" t="n">
        <v>5</v>
      </c>
      <c r="D696" s="8" t="n">
        <v>46281</v>
      </c>
      <c r="E696" s="9" t="n">
        <v>12496</v>
      </c>
      <c r="F696" s="8" t="n"/>
      <c r="G696" s="9" t="n">
        <v>0</v>
      </c>
      <c r="H696" t="inlineStr">
        <is>
          <t>NOT_DUE</t>
        </is>
      </c>
      <c r="I696">
        <f>IF(H696="UNPAID", AsOfDate-D696, 0)</f>
        <v/>
      </c>
      <c r="J696">
        <f>IF(F696&lt;&gt;"", TEXT(F696, "yyyy-mm"), "")</f>
        <v/>
      </c>
    </row>
    <row r="697">
      <c r="A697" t="inlineStr">
        <is>
          <t>RP0000696</t>
        </is>
      </c>
      <c r="B697" t="inlineStr">
        <is>
          <t>LN200102</t>
        </is>
      </c>
      <c r="C697" t="n">
        <v>6</v>
      </c>
      <c r="D697" s="8" t="n">
        <v>46311</v>
      </c>
      <c r="E697" s="9" t="n">
        <v>12496</v>
      </c>
      <c r="F697" s="8" t="n"/>
      <c r="G697" s="9" t="n">
        <v>0</v>
      </c>
      <c r="H697" t="inlineStr">
        <is>
          <t>NOT_DUE</t>
        </is>
      </c>
      <c r="I697">
        <f>IF(H697="UNPAID", AsOfDate-D697, 0)</f>
        <v/>
      </c>
      <c r="J697">
        <f>IF(F697&lt;&gt;"", TEXT(F697, "yyyy-mm"), "")</f>
        <v/>
      </c>
    </row>
    <row r="698">
      <c r="A698" t="inlineStr">
        <is>
          <t>RP0000697</t>
        </is>
      </c>
      <c r="B698" t="inlineStr">
        <is>
          <t>LN200102</t>
        </is>
      </c>
      <c r="C698" t="n">
        <v>7</v>
      </c>
      <c r="D698" s="8" t="n">
        <v>46342</v>
      </c>
      <c r="E698" s="9" t="n">
        <v>12496</v>
      </c>
      <c r="F698" s="8" t="n"/>
      <c r="G698" s="9" t="n">
        <v>0</v>
      </c>
      <c r="H698" t="inlineStr">
        <is>
          <t>NOT_DUE</t>
        </is>
      </c>
      <c r="I698">
        <f>IF(H698="UNPAID", AsOfDate-D698, 0)</f>
        <v/>
      </c>
      <c r="J698">
        <f>IF(F698&lt;&gt;"", TEXT(F698, "yyyy-mm"), "")</f>
        <v/>
      </c>
    </row>
    <row r="699">
      <c r="A699" t="inlineStr">
        <is>
          <t>RP0000698</t>
        </is>
      </c>
      <c r="B699" t="inlineStr">
        <is>
          <t>LN200102</t>
        </is>
      </c>
      <c r="C699" t="n">
        <v>8</v>
      </c>
      <c r="D699" s="8" t="n">
        <v>46372</v>
      </c>
      <c r="E699" s="9" t="n">
        <v>12496</v>
      </c>
      <c r="F699" s="8" t="n"/>
      <c r="G699" s="9" t="n">
        <v>0</v>
      </c>
      <c r="H699" t="inlineStr">
        <is>
          <t>NOT_DUE</t>
        </is>
      </c>
      <c r="I699">
        <f>IF(H699="UNPAID", AsOfDate-D699, 0)</f>
        <v/>
      </c>
      <c r="J699">
        <f>IF(F699&lt;&gt;"", TEXT(F699, "yyyy-mm"), "")</f>
        <v/>
      </c>
    </row>
    <row r="700">
      <c r="A700" t="inlineStr">
        <is>
          <t>RP0000699</t>
        </is>
      </c>
      <c r="B700" t="inlineStr">
        <is>
          <t>LN200102</t>
        </is>
      </c>
      <c r="C700" t="n">
        <v>9</v>
      </c>
      <c r="D700" s="8" t="n">
        <v>46403</v>
      </c>
      <c r="E700" s="9" t="n">
        <v>12496</v>
      </c>
      <c r="F700" s="8" t="n"/>
      <c r="G700" s="9" t="n">
        <v>0</v>
      </c>
      <c r="H700" t="inlineStr">
        <is>
          <t>NOT_DUE</t>
        </is>
      </c>
      <c r="I700">
        <f>IF(H700="UNPAID", AsOfDate-D700, 0)</f>
        <v/>
      </c>
      <c r="J700">
        <f>IF(F700&lt;&gt;"", TEXT(F700, "yyyy-mm"), "")</f>
        <v/>
      </c>
    </row>
    <row r="701">
      <c r="A701" t="inlineStr">
        <is>
          <t>RP0000700</t>
        </is>
      </c>
      <c r="B701" t="inlineStr">
        <is>
          <t>LN200102</t>
        </is>
      </c>
      <c r="C701" t="n">
        <v>10</v>
      </c>
      <c r="D701" s="8" t="n">
        <v>46434</v>
      </c>
      <c r="E701" s="9" t="n">
        <v>12496</v>
      </c>
      <c r="F701" s="8" t="n"/>
      <c r="G701" s="9" t="n">
        <v>0</v>
      </c>
      <c r="H701" t="inlineStr">
        <is>
          <t>NOT_DUE</t>
        </is>
      </c>
      <c r="I701">
        <f>IF(H701="UNPAID", AsOfDate-D701, 0)</f>
        <v/>
      </c>
      <c r="J701">
        <f>IF(F701&lt;&gt;"", TEXT(F701, "yyyy-mm"), "")</f>
        <v/>
      </c>
    </row>
    <row r="702">
      <c r="A702" t="inlineStr">
        <is>
          <t>RP0000701</t>
        </is>
      </c>
      <c r="B702" t="inlineStr">
        <is>
          <t>LN200102</t>
        </is>
      </c>
      <c r="C702" t="n">
        <v>11</v>
      </c>
      <c r="D702" s="8" t="n">
        <v>46462</v>
      </c>
      <c r="E702" s="9" t="n">
        <v>12496</v>
      </c>
      <c r="F702" s="8" t="n"/>
      <c r="G702" s="9" t="n">
        <v>0</v>
      </c>
      <c r="H702" t="inlineStr">
        <is>
          <t>NOT_DUE</t>
        </is>
      </c>
      <c r="I702">
        <f>IF(H702="UNPAID", AsOfDate-D702, 0)</f>
        <v/>
      </c>
      <c r="J702">
        <f>IF(F702&lt;&gt;"", TEXT(F702, "yyyy-mm"), "")</f>
        <v/>
      </c>
    </row>
    <row r="703">
      <c r="A703" t="inlineStr">
        <is>
          <t>RP0000702</t>
        </is>
      </c>
      <c r="B703" t="inlineStr">
        <is>
          <t>LN200102</t>
        </is>
      </c>
      <c r="C703" t="n">
        <v>12</v>
      </c>
      <c r="D703" s="8" t="n">
        <v>46493</v>
      </c>
      <c r="E703" s="9" t="n">
        <v>12496</v>
      </c>
      <c r="F703" s="8" t="n"/>
      <c r="G703" s="9" t="n">
        <v>0</v>
      </c>
      <c r="H703" t="inlineStr">
        <is>
          <t>NOT_DUE</t>
        </is>
      </c>
      <c r="I703">
        <f>IF(H703="UNPAID", AsOfDate-D703, 0)</f>
        <v/>
      </c>
      <c r="J703">
        <f>IF(F703&lt;&gt;"", TEXT(F703, "yyyy-mm"), "")</f>
        <v/>
      </c>
    </row>
    <row r="704">
      <c r="A704" t="inlineStr">
        <is>
          <t>RP0000703</t>
        </is>
      </c>
      <c r="B704" t="inlineStr">
        <is>
          <t>LN200103</t>
        </is>
      </c>
      <c r="C704" t="n">
        <v>1</v>
      </c>
      <c r="D704" s="8" t="n">
        <v>46241</v>
      </c>
      <c r="E704" s="9" t="n">
        <v>12458.67</v>
      </c>
      <c r="F704" s="8" t="n">
        <v>46239</v>
      </c>
      <c r="G704" s="9" t="n">
        <v>12458.67</v>
      </c>
      <c r="H704" t="inlineStr">
        <is>
          <t>PAID_ON_TIME</t>
        </is>
      </c>
      <c r="I704">
        <f>IF(H704="UNPAID", AsOfDate-D704, 0)</f>
        <v/>
      </c>
      <c r="J704">
        <f>IF(F704&lt;&gt;"", TEXT(F704, "yyyy-mm"), "")</f>
        <v/>
      </c>
    </row>
    <row r="705">
      <c r="A705" t="inlineStr">
        <is>
          <t>RP0000704</t>
        </is>
      </c>
      <c r="B705" t="inlineStr">
        <is>
          <t>LN200103</t>
        </is>
      </c>
      <c r="C705" t="n">
        <v>2</v>
      </c>
      <c r="D705" s="8" t="n">
        <v>46272</v>
      </c>
      <c r="E705" s="9" t="n">
        <v>12458.67</v>
      </c>
      <c r="F705" s="8" t="n"/>
      <c r="G705" s="9" t="n">
        <v>0</v>
      </c>
      <c r="H705" t="inlineStr">
        <is>
          <t>NOT_DUE</t>
        </is>
      </c>
      <c r="I705">
        <f>IF(H705="UNPAID", AsOfDate-D705, 0)</f>
        <v/>
      </c>
      <c r="J705">
        <f>IF(F705&lt;&gt;"", TEXT(F705, "yyyy-mm"), "")</f>
        <v/>
      </c>
    </row>
    <row r="706">
      <c r="A706" t="inlineStr">
        <is>
          <t>RP0000705</t>
        </is>
      </c>
      <c r="B706" t="inlineStr">
        <is>
          <t>LN200103</t>
        </is>
      </c>
      <c r="C706" t="n">
        <v>3</v>
      </c>
      <c r="D706" s="8" t="n">
        <v>46302</v>
      </c>
      <c r="E706" s="9" t="n">
        <v>12458.67</v>
      </c>
      <c r="F706" s="8" t="n"/>
      <c r="G706" s="9" t="n">
        <v>0</v>
      </c>
      <c r="H706" t="inlineStr">
        <is>
          <t>NOT_DUE</t>
        </is>
      </c>
      <c r="I706">
        <f>IF(H706="UNPAID", AsOfDate-D706, 0)</f>
        <v/>
      </c>
      <c r="J706">
        <f>IF(F706&lt;&gt;"", TEXT(F706, "yyyy-mm"), "")</f>
        <v/>
      </c>
    </row>
    <row r="707">
      <c r="A707" t="inlineStr">
        <is>
          <t>RP0000706</t>
        </is>
      </c>
      <c r="B707" t="inlineStr">
        <is>
          <t>LN200103</t>
        </is>
      </c>
      <c r="C707" t="n">
        <v>4</v>
      </c>
      <c r="D707" s="8" t="n">
        <v>46333</v>
      </c>
      <c r="E707" s="9" t="n">
        <v>12458.67</v>
      </c>
      <c r="F707" s="8" t="n"/>
      <c r="G707" s="9" t="n">
        <v>0</v>
      </c>
      <c r="H707" t="inlineStr">
        <is>
          <t>NOT_DUE</t>
        </is>
      </c>
      <c r="I707">
        <f>IF(H707="UNPAID", AsOfDate-D707, 0)</f>
        <v/>
      </c>
      <c r="J707">
        <f>IF(F707&lt;&gt;"", TEXT(F707, "yyyy-mm"), "")</f>
        <v/>
      </c>
    </row>
    <row r="708">
      <c r="A708" t="inlineStr">
        <is>
          <t>RP0000707</t>
        </is>
      </c>
      <c r="B708" t="inlineStr">
        <is>
          <t>LN200103</t>
        </is>
      </c>
      <c r="C708" t="n">
        <v>5</v>
      </c>
      <c r="D708" s="8" t="n">
        <v>46363</v>
      </c>
      <c r="E708" s="9" t="n">
        <v>12458.67</v>
      </c>
      <c r="F708" s="8" t="n"/>
      <c r="G708" s="9" t="n">
        <v>0</v>
      </c>
      <c r="H708" t="inlineStr">
        <is>
          <t>NOT_DUE</t>
        </is>
      </c>
      <c r="I708">
        <f>IF(H708="UNPAID", AsOfDate-D708, 0)</f>
        <v/>
      </c>
      <c r="J708">
        <f>IF(F708&lt;&gt;"", TEXT(F708, "yyyy-mm"), "")</f>
        <v/>
      </c>
    </row>
    <row r="709">
      <c r="A709" t="inlineStr">
        <is>
          <t>RP0000708</t>
        </is>
      </c>
      <c r="B709" t="inlineStr">
        <is>
          <t>LN200103</t>
        </is>
      </c>
      <c r="C709" t="n">
        <v>6</v>
      </c>
      <c r="D709" s="8" t="n">
        <v>46394</v>
      </c>
      <c r="E709" s="9" t="n">
        <v>12458.67</v>
      </c>
      <c r="F709" s="8" t="n"/>
      <c r="G709" s="9" t="n">
        <v>0</v>
      </c>
      <c r="H709" t="inlineStr">
        <is>
          <t>NOT_DUE</t>
        </is>
      </c>
      <c r="I709">
        <f>IF(H709="UNPAID", AsOfDate-D709, 0)</f>
        <v/>
      </c>
      <c r="J709">
        <f>IF(F709&lt;&gt;"", TEXT(F709, "yyyy-mm"), "")</f>
        <v/>
      </c>
    </row>
    <row r="710">
      <c r="A710" t="inlineStr">
        <is>
          <t>RP0000709</t>
        </is>
      </c>
      <c r="B710" t="inlineStr">
        <is>
          <t>LN200103</t>
        </is>
      </c>
      <c r="C710" t="n">
        <v>7</v>
      </c>
      <c r="D710" s="8" t="n">
        <v>46425</v>
      </c>
      <c r="E710" s="9" t="n">
        <v>12458.67</v>
      </c>
      <c r="F710" s="8" t="n"/>
      <c r="G710" s="9" t="n">
        <v>0</v>
      </c>
      <c r="H710" t="inlineStr">
        <is>
          <t>NOT_DUE</t>
        </is>
      </c>
      <c r="I710">
        <f>IF(H710="UNPAID", AsOfDate-D710, 0)</f>
        <v/>
      </c>
      <c r="J710">
        <f>IF(F710&lt;&gt;"", TEXT(F710, "yyyy-mm"), "")</f>
        <v/>
      </c>
    </row>
    <row r="711">
      <c r="A711" t="inlineStr">
        <is>
          <t>RP0000710</t>
        </is>
      </c>
      <c r="B711" t="inlineStr">
        <is>
          <t>LN200103</t>
        </is>
      </c>
      <c r="C711" t="n">
        <v>8</v>
      </c>
      <c r="D711" s="8" t="n">
        <v>46453</v>
      </c>
      <c r="E711" s="9" t="n">
        <v>12458.67</v>
      </c>
      <c r="F711" s="8" t="n"/>
      <c r="G711" s="9" t="n">
        <v>0</v>
      </c>
      <c r="H711" t="inlineStr">
        <is>
          <t>NOT_DUE</t>
        </is>
      </c>
      <c r="I711">
        <f>IF(H711="UNPAID", AsOfDate-D711, 0)</f>
        <v/>
      </c>
      <c r="J711">
        <f>IF(F711&lt;&gt;"", TEXT(F711, "yyyy-mm"), "")</f>
        <v/>
      </c>
    </row>
    <row r="712">
      <c r="A712" t="inlineStr">
        <is>
          <t>RP0000711</t>
        </is>
      </c>
      <c r="B712" t="inlineStr">
        <is>
          <t>LN200103</t>
        </is>
      </c>
      <c r="C712" t="n">
        <v>9</v>
      </c>
      <c r="D712" s="8" t="n">
        <v>46484</v>
      </c>
      <c r="E712" s="9" t="n">
        <v>12458.67</v>
      </c>
      <c r="F712" s="8" t="n"/>
      <c r="G712" s="9" t="n">
        <v>0</v>
      </c>
      <c r="H712" t="inlineStr">
        <is>
          <t>NOT_DUE</t>
        </is>
      </c>
      <c r="I712">
        <f>IF(H712="UNPAID", AsOfDate-D712, 0)</f>
        <v/>
      </c>
      <c r="J712">
        <f>IF(F712&lt;&gt;"", TEXT(F712, "yyyy-mm"), "")</f>
        <v/>
      </c>
    </row>
    <row r="713">
      <c r="A713" t="inlineStr">
        <is>
          <t>RP0000712</t>
        </is>
      </c>
      <c r="B713" t="inlineStr">
        <is>
          <t>LN200103</t>
        </is>
      </c>
      <c r="C713" t="n">
        <v>10</v>
      </c>
      <c r="D713" s="8" t="n">
        <v>46514</v>
      </c>
      <c r="E713" s="9" t="n">
        <v>12458.67</v>
      </c>
      <c r="F713" s="8" t="n"/>
      <c r="G713" s="9" t="n">
        <v>0</v>
      </c>
      <c r="H713" t="inlineStr">
        <is>
          <t>NOT_DUE</t>
        </is>
      </c>
      <c r="I713">
        <f>IF(H713="UNPAID", AsOfDate-D713, 0)</f>
        <v/>
      </c>
      <c r="J713">
        <f>IF(F713&lt;&gt;"", TEXT(F713, "yyyy-mm"), "")</f>
        <v/>
      </c>
    </row>
    <row r="714">
      <c r="A714" t="inlineStr">
        <is>
          <t>RP0000713</t>
        </is>
      </c>
      <c r="B714" t="inlineStr">
        <is>
          <t>LN200103</t>
        </is>
      </c>
      <c r="C714" t="n">
        <v>11</v>
      </c>
      <c r="D714" s="8" t="n">
        <v>46545</v>
      </c>
      <c r="E714" s="9" t="n">
        <v>12458.67</v>
      </c>
      <c r="F714" s="8" t="n"/>
      <c r="G714" s="9" t="n">
        <v>0</v>
      </c>
      <c r="H714" t="inlineStr">
        <is>
          <t>NOT_DUE</t>
        </is>
      </c>
      <c r="I714">
        <f>IF(H714="UNPAID", AsOfDate-D714, 0)</f>
        <v/>
      </c>
      <c r="J714">
        <f>IF(F714&lt;&gt;"", TEXT(F714, "yyyy-mm"), "")</f>
        <v/>
      </c>
    </row>
    <row r="715">
      <c r="A715" t="inlineStr">
        <is>
          <t>RP0000714</t>
        </is>
      </c>
      <c r="B715" t="inlineStr">
        <is>
          <t>LN200103</t>
        </is>
      </c>
      <c r="C715" t="n">
        <v>12</v>
      </c>
      <c r="D715" s="8" t="n">
        <v>46575</v>
      </c>
      <c r="E715" s="9" t="n">
        <v>12458.67</v>
      </c>
      <c r="F715" s="8" t="n"/>
      <c r="G715" s="9" t="n">
        <v>0</v>
      </c>
      <c r="H715" t="inlineStr">
        <is>
          <t>NOT_DUE</t>
        </is>
      </c>
      <c r="I715">
        <f>IF(H715="UNPAID", AsOfDate-D715, 0)</f>
        <v/>
      </c>
      <c r="J715">
        <f>IF(F715&lt;&gt;"", TEXT(F715, "yyyy-mm"), "")</f>
        <v/>
      </c>
    </row>
    <row r="716">
      <c r="A716" t="inlineStr">
        <is>
          <t>RP0000715</t>
        </is>
      </c>
      <c r="B716" t="inlineStr">
        <is>
          <t>LN200104</t>
        </is>
      </c>
      <c r="C716" t="n">
        <v>1</v>
      </c>
      <c r="D716" s="8" t="n">
        <v>46081</v>
      </c>
      <c r="E716" s="9" t="n">
        <v>17823.75</v>
      </c>
      <c r="F716" s="8" t="n">
        <v>46083</v>
      </c>
      <c r="G716" s="9" t="n">
        <v>17823.75</v>
      </c>
      <c r="H716" t="inlineStr">
        <is>
          <t>PAID_ON_TIME</t>
        </is>
      </c>
      <c r="I716">
        <f>IF(H716="UNPAID", AsOfDate-D716, 0)</f>
        <v/>
      </c>
      <c r="J716">
        <f>IF(F716&lt;&gt;"", TEXT(F716, "yyyy-mm"), "")</f>
        <v/>
      </c>
    </row>
    <row r="717">
      <c r="A717" t="inlineStr">
        <is>
          <t>RP0000716</t>
        </is>
      </c>
      <c r="B717" t="inlineStr">
        <is>
          <t>LN200104</t>
        </is>
      </c>
      <c r="C717" t="n">
        <v>2</v>
      </c>
      <c r="D717" s="8" t="n">
        <v>46112</v>
      </c>
      <c r="E717" s="9" t="n">
        <v>17823.75</v>
      </c>
      <c r="F717" s="8" t="n">
        <v>46110</v>
      </c>
      <c r="G717" s="9" t="n">
        <v>17823.75</v>
      </c>
      <c r="H717" t="inlineStr">
        <is>
          <t>PAID_ON_TIME</t>
        </is>
      </c>
      <c r="I717">
        <f>IF(H717="UNPAID", AsOfDate-D717, 0)</f>
        <v/>
      </c>
      <c r="J717">
        <f>IF(F717&lt;&gt;"", TEXT(F717, "yyyy-mm"), "")</f>
        <v/>
      </c>
    </row>
    <row r="718">
      <c r="A718" t="inlineStr">
        <is>
          <t>RP0000717</t>
        </is>
      </c>
      <c r="B718" t="inlineStr">
        <is>
          <t>LN200104</t>
        </is>
      </c>
      <c r="C718" t="n">
        <v>3</v>
      </c>
      <c r="D718" s="8" t="n">
        <v>46142</v>
      </c>
      <c r="E718" s="9" t="n">
        <v>17823.75</v>
      </c>
      <c r="F718" s="8" t="n">
        <v>46139</v>
      </c>
      <c r="G718" s="9" t="n">
        <v>17823.75</v>
      </c>
      <c r="H718" t="inlineStr">
        <is>
          <t>PAID_ON_TIME</t>
        </is>
      </c>
      <c r="I718">
        <f>IF(H718="UNPAID", AsOfDate-D718, 0)</f>
        <v/>
      </c>
      <c r="J718">
        <f>IF(F718&lt;&gt;"", TEXT(F718, "yyyy-mm"), "")</f>
        <v/>
      </c>
    </row>
    <row r="719">
      <c r="A719" t="inlineStr">
        <is>
          <t>RP0000718</t>
        </is>
      </c>
      <c r="B719" t="inlineStr">
        <is>
          <t>LN200104</t>
        </is>
      </c>
      <c r="C719" t="n">
        <v>4</v>
      </c>
      <c r="D719" s="8" t="n">
        <v>46173</v>
      </c>
      <c r="E719" s="9" t="n">
        <v>17823.75</v>
      </c>
      <c r="F719" s="8" t="n">
        <v>46171</v>
      </c>
      <c r="G719" s="9" t="n">
        <v>17823.75</v>
      </c>
      <c r="H719" t="inlineStr">
        <is>
          <t>PAID_ON_TIME</t>
        </is>
      </c>
      <c r="I719">
        <f>IF(H719="UNPAID", AsOfDate-D719, 0)</f>
        <v/>
      </c>
      <c r="J719">
        <f>IF(F719&lt;&gt;"", TEXT(F719, "yyyy-mm"), "")</f>
        <v/>
      </c>
    </row>
    <row r="720">
      <c r="A720" t="inlineStr">
        <is>
          <t>RP0000719</t>
        </is>
      </c>
      <c r="B720" t="inlineStr">
        <is>
          <t>LN200104</t>
        </is>
      </c>
      <c r="C720" t="n">
        <v>5</v>
      </c>
      <c r="D720" s="8" t="n">
        <v>46203</v>
      </c>
      <c r="E720" s="9" t="n">
        <v>17823.75</v>
      </c>
      <c r="F720" s="8" t="n">
        <v>46201</v>
      </c>
      <c r="G720" s="9" t="n">
        <v>17823.75</v>
      </c>
      <c r="H720" t="inlineStr">
        <is>
          <t>PAID_ON_TIME</t>
        </is>
      </c>
      <c r="I720">
        <f>IF(H720="UNPAID", AsOfDate-D720, 0)</f>
        <v/>
      </c>
      <c r="J720">
        <f>IF(F720&lt;&gt;"", TEXT(F720, "yyyy-mm"), "")</f>
        <v/>
      </c>
    </row>
    <row r="721">
      <c r="A721" t="inlineStr">
        <is>
          <t>RP0000720</t>
        </is>
      </c>
      <c r="B721" t="inlineStr">
        <is>
          <t>LN200104</t>
        </is>
      </c>
      <c r="C721" t="n">
        <v>6</v>
      </c>
      <c r="D721" s="8" t="n">
        <v>46234</v>
      </c>
      <c r="E721" s="9" t="n">
        <v>17823.75</v>
      </c>
      <c r="F721" s="8" t="n">
        <v>46238</v>
      </c>
      <c r="G721" s="9" t="n">
        <v>17823.75</v>
      </c>
      <c r="H721" t="inlineStr">
        <is>
          <t>PAID_ON_TIME</t>
        </is>
      </c>
      <c r="I721">
        <f>IF(H721="UNPAID", AsOfDate-D721, 0)</f>
        <v/>
      </c>
      <c r="J721">
        <f>IF(F721&lt;&gt;"", TEXT(F721, "yyyy-mm"), "")</f>
        <v/>
      </c>
    </row>
    <row r="722">
      <c r="A722" t="inlineStr">
        <is>
          <t>RP0000721</t>
        </is>
      </c>
      <c r="B722" t="inlineStr">
        <is>
          <t>LN200105</t>
        </is>
      </c>
      <c r="C722" t="n">
        <v>1</v>
      </c>
      <c r="D722" s="8" t="n">
        <v>45884</v>
      </c>
      <c r="E722" s="9" t="n">
        <v>119170</v>
      </c>
      <c r="F722" s="8" t="n">
        <v>45882</v>
      </c>
      <c r="G722" s="9" t="n">
        <v>119170</v>
      </c>
      <c r="H722" t="inlineStr">
        <is>
          <t>PAID_ON_TIME</t>
        </is>
      </c>
      <c r="I722">
        <f>IF(H722="UNPAID", AsOfDate-D722, 0)</f>
        <v/>
      </c>
      <c r="J722">
        <f>IF(F722&lt;&gt;"", TEXT(F722, "yyyy-mm"), "")</f>
        <v/>
      </c>
    </row>
    <row r="723">
      <c r="A723" t="inlineStr">
        <is>
          <t>RP0000722</t>
        </is>
      </c>
      <c r="B723" t="inlineStr">
        <is>
          <t>LN200105</t>
        </is>
      </c>
      <c r="C723" t="n">
        <v>2</v>
      </c>
      <c r="D723" s="8" t="n">
        <v>45915</v>
      </c>
      <c r="E723" s="9" t="n">
        <v>119170</v>
      </c>
      <c r="F723" s="8" t="n">
        <v>46006</v>
      </c>
      <c r="G723" s="9" t="n">
        <v>119170</v>
      </c>
      <c r="H723" t="inlineStr">
        <is>
          <t>PAID_LATE</t>
        </is>
      </c>
      <c r="I723">
        <f>IF(H723="UNPAID", AsOfDate-D723, 0)</f>
        <v/>
      </c>
      <c r="J723">
        <f>IF(F723&lt;&gt;"", TEXT(F723, "yyyy-mm"), "")</f>
        <v/>
      </c>
    </row>
    <row r="724">
      <c r="A724" t="inlineStr">
        <is>
          <t>RP0000723</t>
        </is>
      </c>
      <c r="B724" t="inlineStr">
        <is>
          <t>LN200105</t>
        </is>
      </c>
      <c r="C724" t="n">
        <v>3</v>
      </c>
      <c r="D724" s="8" t="n">
        <v>45945</v>
      </c>
      <c r="E724" s="9" t="n">
        <v>119170</v>
      </c>
      <c r="F724" s="8" t="n">
        <v>45942</v>
      </c>
      <c r="G724" s="9" t="n">
        <v>119170</v>
      </c>
      <c r="H724" t="inlineStr">
        <is>
          <t>PAID_ON_TIME</t>
        </is>
      </c>
      <c r="I724">
        <f>IF(H724="UNPAID", AsOfDate-D724, 0)</f>
        <v/>
      </c>
      <c r="J724">
        <f>IF(F724&lt;&gt;"", TEXT(F724, "yyyy-mm"), "")</f>
        <v/>
      </c>
    </row>
    <row r="725">
      <c r="A725" t="inlineStr">
        <is>
          <t>RP0000724</t>
        </is>
      </c>
      <c r="B725" t="inlineStr">
        <is>
          <t>LN200106</t>
        </is>
      </c>
      <c r="C725" t="n">
        <v>1</v>
      </c>
      <c r="D725" s="8" t="n">
        <v>45832</v>
      </c>
      <c r="E725" s="9" t="n">
        <v>22958.33</v>
      </c>
      <c r="F725" s="8" t="n">
        <v>45862</v>
      </c>
      <c r="G725" s="9" t="n">
        <v>22958.33</v>
      </c>
      <c r="H725" t="inlineStr">
        <is>
          <t>PAID_LATE</t>
        </is>
      </c>
      <c r="I725">
        <f>IF(H725="UNPAID", AsOfDate-D725, 0)</f>
        <v/>
      </c>
      <c r="J725">
        <f>IF(F725&lt;&gt;"", TEXT(F725, "yyyy-mm"), "")</f>
        <v/>
      </c>
    </row>
    <row r="726">
      <c r="A726" t="inlineStr">
        <is>
          <t>RP0000725</t>
        </is>
      </c>
      <c r="B726" t="inlineStr">
        <is>
          <t>LN200106</t>
        </is>
      </c>
      <c r="C726" t="n">
        <v>2</v>
      </c>
      <c r="D726" s="8" t="n">
        <v>45862</v>
      </c>
      <c r="E726" s="9" t="n">
        <v>22958.33</v>
      </c>
      <c r="F726" s="8" t="n">
        <v>45862</v>
      </c>
      <c r="G726" s="9" t="n">
        <v>22958.33</v>
      </c>
      <c r="H726" t="inlineStr">
        <is>
          <t>PAID_ON_TIME</t>
        </is>
      </c>
      <c r="I726">
        <f>IF(H726="UNPAID", AsOfDate-D726, 0)</f>
        <v/>
      </c>
      <c r="J726">
        <f>IF(F726&lt;&gt;"", TEXT(F726, "yyyy-mm"), "")</f>
        <v/>
      </c>
    </row>
    <row r="727">
      <c r="A727" t="inlineStr">
        <is>
          <t>RP0000726</t>
        </is>
      </c>
      <c r="B727" t="inlineStr">
        <is>
          <t>LN200106</t>
        </is>
      </c>
      <c r="C727" t="n">
        <v>3</v>
      </c>
      <c r="D727" s="8" t="n">
        <v>45893</v>
      </c>
      <c r="E727" s="9" t="n">
        <v>22958.33</v>
      </c>
      <c r="F727" s="8" t="n">
        <v>45976</v>
      </c>
      <c r="G727" s="9" t="n">
        <v>22958.33</v>
      </c>
      <c r="H727" t="inlineStr">
        <is>
          <t>PAID_LATE</t>
        </is>
      </c>
      <c r="I727">
        <f>IF(H727="UNPAID", AsOfDate-D727, 0)</f>
        <v/>
      </c>
      <c r="J727">
        <f>IF(F727&lt;&gt;"", TEXT(F727, "yyyy-mm"), "")</f>
        <v/>
      </c>
    </row>
    <row r="728">
      <c r="A728" t="inlineStr">
        <is>
          <t>RP0000727</t>
        </is>
      </c>
      <c r="B728" t="inlineStr">
        <is>
          <t>LN200106</t>
        </is>
      </c>
      <c r="C728" t="n">
        <v>4</v>
      </c>
      <c r="D728" s="8" t="n">
        <v>45924</v>
      </c>
      <c r="E728" s="9" t="n">
        <v>22958.33</v>
      </c>
      <c r="F728" s="8" t="n">
        <v>45922</v>
      </c>
      <c r="G728" s="9" t="n">
        <v>22958.33</v>
      </c>
      <c r="H728" t="inlineStr">
        <is>
          <t>PAID_ON_TIME</t>
        </is>
      </c>
      <c r="I728">
        <f>IF(H728="UNPAID", AsOfDate-D728, 0)</f>
        <v/>
      </c>
      <c r="J728">
        <f>IF(F728&lt;&gt;"", TEXT(F728, "yyyy-mm"), "")</f>
        <v/>
      </c>
    </row>
    <row r="729">
      <c r="A729" t="inlineStr">
        <is>
          <t>RP0000728</t>
        </is>
      </c>
      <c r="B729" t="inlineStr">
        <is>
          <t>LN200106</t>
        </is>
      </c>
      <c r="C729" t="n">
        <v>5</v>
      </c>
      <c r="D729" s="8" t="n">
        <v>45954</v>
      </c>
      <c r="E729" s="9" t="n">
        <v>22958.33</v>
      </c>
      <c r="F729" s="8" t="n">
        <v>45953</v>
      </c>
      <c r="G729" s="9" t="n">
        <v>22958.33</v>
      </c>
      <c r="H729" t="inlineStr">
        <is>
          <t>PAID_ON_TIME</t>
        </is>
      </c>
      <c r="I729">
        <f>IF(H729="UNPAID", AsOfDate-D729, 0)</f>
        <v/>
      </c>
      <c r="J729">
        <f>IF(F729&lt;&gt;"", TEXT(F729, "yyyy-mm"), "")</f>
        <v/>
      </c>
    </row>
    <row r="730">
      <c r="A730" t="inlineStr">
        <is>
          <t>RP0000729</t>
        </is>
      </c>
      <c r="B730" t="inlineStr">
        <is>
          <t>LN200106</t>
        </is>
      </c>
      <c r="C730" t="n">
        <v>6</v>
      </c>
      <c r="D730" s="8" t="n">
        <v>45985</v>
      </c>
      <c r="E730" s="9" t="n">
        <v>22958.33</v>
      </c>
      <c r="F730" s="8" t="n">
        <v>45986</v>
      </c>
      <c r="G730" s="9" t="n">
        <v>22958.33</v>
      </c>
      <c r="H730" t="inlineStr">
        <is>
          <t>PAID_ON_TIME</t>
        </is>
      </c>
      <c r="I730">
        <f>IF(H730="UNPAID", AsOfDate-D730, 0)</f>
        <v/>
      </c>
      <c r="J730">
        <f>IF(F730&lt;&gt;"", TEXT(F730, "yyyy-mm"), "")</f>
        <v/>
      </c>
    </row>
    <row r="731">
      <c r="A731" t="inlineStr">
        <is>
          <t>RP0000730</t>
        </is>
      </c>
      <c r="B731" t="inlineStr">
        <is>
          <t>LN200107</t>
        </is>
      </c>
      <c r="C731" t="n">
        <v>1</v>
      </c>
      <c r="D731" s="8" t="n">
        <v>46186</v>
      </c>
      <c r="E731" s="9" t="n">
        <v>14680</v>
      </c>
      <c r="F731" s="8" t="n">
        <v>46185</v>
      </c>
      <c r="G731" s="9" t="n">
        <v>14680</v>
      </c>
      <c r="H731" t="inlineStr">
        <is>
          <t>PAID_ON_TIME</t>
        </is>
      </c>
      <c r="I731">
        <f>IF(H731="UNPAID", AsOfDate-D731, 0)</f>
        <v/>
      </c>
      <c r="J731">
        <f>IF(F731&lt;&gt;"", TEXT(F731, "yyyy-mm"), "")</f>
        <v/>
      </c>
    </row>
    <row r="732">
      <c r="A732" t="inlineStr">
        <is>
          <t>RP0000731</t>
        </is>
      </c>
      <c r="B732" t="inlineStr">
        <is>
          <t>LN200107</t>
        </is>
      </c>
      <c r="C732" t="n">
        <v>2</v>
      </c>
      <c r="D732" s="8" t="n">
        <v>46216</v>
      </c>
      <c r="E732" s="9" t="n">
        <v>14680</v>
      </c>
      <c r="F732" s="8" t="n">
        <v>46219</v>
      </c>
      <c r="G732" s="9" t="n">
        <v>14680</v>
      </c>
      <c r="H732" t="inlineStr">
        <is>
          <t>PAID_ON_TIME</t>
        </is>
      </c>
      <c r="I732">
        <f>IF(H732="UNPAID", AsOfDate-D732, 0)</f>
        <v/>
      </c>
      <c r="J732">
        <f>IF(F732&lt;&gt;"", TEXT(F732, "yyyy-mm"), "")</f>
        <v/>
      </c>
    </row>
    <row r="733">
      <c r="A733" t="inlineStr">
        <is>
          <t>RP0000732</t>
        </is>
      </c>
      <c r="B733" t="inlineStr">
        <is>
          <t>LN200107</t>
        </is>
      </c>
      <c r="C733" t="n">
        <v>3</v>
      </c>
      <c r="D733" s="8" t="n">
        <v>46247</v>
      </c>
      <c r="E733" s="9" t="n">
        <v>14680</v>
      </c>
      <c r="F733" s="8" t="n">
        <v>46247</v>
      </c>
      <c r="G733" s="9" t="n">
        <v>14680</v>
      </c>
      <c r="H733" t="inlineStr">
        <is>
          <t>PAID_ON_TIME</t>
        </is>
      </c>
      <c r="I733">
        <f>IF(H733="UNPAID", AsOfDate-D733, 0)</f>
        <v/>
      </c>
      <c r="J733">
        <f>IF(F733&lt;&gt;"", TEXT(F733, "yyyy-mm"), "")</f>
        <v/>
      </c>
    </row>
    <row r="734">
      <c r="A734" t="inlineStr">
        <is>
          <t>RP0000733</t>
        </is>
      </c>
      <c r="B734" t="inlineStr">
        <is>
          <t>LN200107</t>
        </is>
      </c>
      <c r="C734" t="n">
        <v>4</v>
      </c>
      <c r="D734" s="8" t="n">
        <v>46278</v>
      </c>
      <c r="E734" s="9" t="n">
        <v>14680</v>
      </c>
      <c r="F734" s="8" t="n"/>
      <c r="G734" s="9" t="n">
        <v>0</v>
      </c>
      <c r="H734" t="inlineStr">
        <is>
          <t>NOT_DUE</t>
        </is>
      </c>
      <c r="I734">
        <f>IF(H734="UNPAID", AsOfDate-D734, 0)</f>
        <v/>
      </c>
      <c r="J734">
        <f>IF(F734&lt;&gt;"", TEXT(F734, "yyyy-mm"), "")</f>
        <v/>
      </c>
    </row>
    <row r="735">
      <c r="A735" t="inlineStr">
        <is>
          <t>RP0000734</t>
        </is>
      </c>
      <c r="B735" t="inlineStr">
        <is>
          <t>LN200107</t>
        </is>
      </c>
      <c r="C735" t="n">
        <v>5</v>
      </c>
      <c r="D735" s="8" t="n">
        <v>46308</v>
      </c>
      <c r="E735" s="9" t="n">
        <v>14680</v>
      </c>
      <c r="F735" s="8" t="n"/>
      <c r="G735" s="9" t="n">
        <v>0</v>
      </c>
      <c r="H735" t="inlineStr">
        <is>
          <t>NOT_DUE</t>
        </is>
      </c>
      <c r="I735">
        <f>IF(H735="UNPAID", AsOfDate-D735, 0)</f>
        <v/>
      </c>
      <c r="J735">
        <f>IF(F735&lt;&gt;"", TEXT(F735, "yyyy-mm"), "")</f>
        <v/>
      </c>
    </row>
    <row r="736">
      <c r="A736" t="inlineStr">
        <is>
          <t>RP0000735</t>
        </is>
      </c>
      <c r="B736" t="inlineStr">
        <is>
          <t>LN200107</t>
        </is>
      </c>
      <c r="C736" t="n">
        <v>6</v>
      </c>
      <c r="D736" s="8" t="n">
        <v>46339</v>
      </c>
      <c r="E736" s="9" t="n">
        <v>14680</v>
      </c>
      <c r="F736" s="8" t="n"/>
      <c r="G736" s="9" t="n">
        <v>0</v>
      </c>
      <c r="H736" t="inlineStr">
        <is>
          <t>NOT_DUE</t>
        </is>
      </c>
      <c r="I736">
        <f>IF(H736="UNPAID", AsOfDate-D736, 0)</f>
        <v/>
      </c>
      <c r="J736">
        <f>IF(F736&lt;&gt;"", TEXT(F736, "yyyy-mm"), "")</f>
        <v/>
      </c>
    </row>
    <row r="737">
      <c r="A737" t="inlineStr">
        <is>
          <t>RP0000736</t>
        </is>
      </c>
      <c r="B737" t="inlineStr">
        <is>
          <t>LN200108</t>
        </is>
      </c>
      <c r="C737" t="n">
        <v>1</v>
      </c>
      <c r="D737" s="8" t="n">
        <v>45832</v>
      </c>
      <c r="E737" s="9" t="n">
        <v>5678.17</v>
      </c>
      <c r="F737" s="8" t="n">
        <v>45833</v>
      </c>
      <c r="G737" s="9" t="n">
        <v>5678.17</v>
      </c>
      <c r="H737" t="inlineStr">
        <is>
          <t>PAID_ON_TIME</t>
        </is>
      </c>
      <c r="I737">
        <f>IF(H737="UNPAID", AsOfDate-D737, 0)</f>
        <v/>
      </c>
      <c r="J737">
        <f>IF(F737&lt;&gt;"", TEXT(F737, "yyyy-mm"), "")</f>
        <v/>
      </c>
    </row>
    <row r="738">
      <c r="A738" t="inlineStr">
        <is>
          <t>RP0000737</t>
        </is>
      </c>
      <c r="B738" t="inlineStr">
        <is>
          <t>LN200108</t>
        </is>
      </c>
      <c r="C738" t="n">
        <v>2</v>
      </c>
      <c r="D738" s="8" t="n">
        <v>45862</v>
      </c>
      <c r="E738" s="9" t="n">
        <v>5678.17</v>
      </c>
      <c r="F738" s="8" t="n">
        <v>45863</v>
      </c>
      <c r="G738" s="9" t="n">
        <v>5678.17</v>
      </c>
      <c r="H738" t="inlineStr">
        <is>
          <t>PAID_ON_TIME</t>
        </is>
      </c>
      <c r="I738">
        <f>IF(H738="UNPAID", AsOfDate-D738, 0)</f>
        <v/>
      </c>
      <c r="J738">
        <f>IF(F738&lt;&gt;"", TEXT(F738, "yyyy-mm"), "")</f>
        <v/>
      </c>
    </row>
    <row r="739">
      <c r="A739" t="inlineStr">
        <is>
          <t>RP0000738</t>
        </is>
      </c>
      <c r="B739" t="inlineStr">
        <is>
          <t>LN200108</t>
        </is>
      </c>
      <c r="C739" t="n">
        <v>3</v>
      </c>
      <c r="D739" s="8" t="n">
        <v>45893</v>
      </c>
      <c r="E739" s="9" t="n">
        <v>5678.17</v>
      </c>
      <c r="F739" s="8" t="n">
        <v>45891</v>
      </c>
      <c r="G739" s="9" t="n">
        <v>5678.17</v>
      </c>
      <c r="H739" t="inlineStr">
        <is>
          <t>PAID_ON_TIME</t>
        </is>
      </c>
      <c r="I739">
        <f>IF(H739="UNPAID", AsOfDate-D739, 0)</f>
        <v/>
      </c>
      <c r="J739">
        <f>IF(F739&lt;&gt;"", TEXT(F739, "yyyy-mm"), "")</f>
        <v/>
      </c>
    </row>
    <row r="740">
      <c r="A740" t="inlineStr">
        <is>
          <t>RP0000739</t>
        </is>
      </c>
      <c r="B740" t="inlineStr">
        <is>
          <t>LN200108</t>
        </is>
      </c>
      <c r="C740" t="n">
        <v>4</v>
      </c>
      <c r="D740" s="8" t="n">
        <v>45924</v>
      </c>
      <c r="E740" s="9" t="n">
        <v>5678.17</v>
      </c>
      <c r="F740" s="8" t="n">
        <v>45925</v>
      </c>
      <c r="G740" s="9" t="n">
        <v>5678.17</v>
      </c>
      <c r="H740" t="inlineStr">
        <is>
          <t>PAID_ON_TIME</t>
        </is>
      </c>
      <c r="I740">
        <f>IF(H740="UNPAID", AsOfDate-D740, 0)</f>
        <v/>
      </c>
      <c r="J740">
        <f>IF(F740&lt;&gt;"", TEXT(F740, "yyyy-mm"), "")</f>
        <v/>
      </c>
    </row>
    <row r="741">
      <c r="A741" t="inlineStr">
        <is>
          <t>RP0000740</t>
        </is>
      </c>
      <c r="B741" t="inlineStr">
        <is>
          <t>LN200108</t>
        </is>
      </c>
      <c r="C741" t="n">
        <v>5</v>
      </c>
      <c r="D741" s="8" t="n">
        <v>45954</v>
      </c>
      <c r="E741" s="9" t="n">
        <v>5678.17</v>
      </c>
      <c r="F741" s="8" t="n">
        <v>45957</v>
      </c>
      <c r="G741" s="9" t="n">
        <v>5678.17</v>
      </c>
      <c r="H741" t="inlineStr">
        <is>
          <t>PAID_ON_TIME</t>
        </is>
      </c>
      <c r="I741">
        <f>IF(H741="UNPAID", AsOfDate-D741, 0)</f>
        <v/>
      </c>
      <c r="J741">
        <f>IF(F741&lt;&gt;"", TEXT(F741, "yyyy-mm"), "")</f>
        <v/>
      </c>
    </row>
    <row r="742">
      <c r="A742" t="inlineStr">
        <is>
          <t>RP0000741</t>
        </is>
      </c>
      <c r="B742" t="inlineStr">
        <is>
          <t>LN200108</t>
        </is>
      </c>
      <c r="C742" t="n">
        <v>6</v>
      </c>
      <c r="D742" s="8" t="n">
        <v>45985</v>
      </c>
      <c r="E742" s="9" t="n">
        <v>5678.17</v>
      </c>
      <c r="F742" s="8" t="n">
        <v>45989</v>
      </c>
      <c r="G742" s="9" t="n">
        <v>5678.17</v>
      </c>
      <c r="H742" t="inlineStr">
        <is>
          <t>PAID_ON_TIME</t>
        </is>
      </c>
      <c r="I742">
        <f>IF(H742="UNPAID", AsOfDate-D742, 0)</f>
        <v/>
      </c>
      <c r="J742">
        <f>IF(F742&lt;&gt;"", TEXT(F742, "yyyy-mm"), "")</f>
        <v/>
      </c>
    </row>
    <row r="743">
      <c r="A743" t="inlineStr">
        <is>
          <t>RP0000742</t>
        </is>
      </c>
      <c r="B743" t="inlineStr">
        <is>
          <t>LN200109</t>
        </is>
      </c>
      <c r="C743" t="n">
        <v>1</v>
      </c>
      <c r="D743" s="8" t="n">
        <v>46241</v>
      </c>
      <c r="E743" s="9" t="n">
        <v>4330</v>
      </c>
      <c r="F743" s="8" t="n">
        <v>46238</v>
      </c>
      <c r="G743" s="9" t="n">
        <v>4330</v>
      </c>
      <c r="H743" t="inlineStr">
        <is>
          <t>PAID_ON_TIME</t>
        </is>
      </c>
      <c r="I743">
        <f>IF(H743="UNPAID", AsOfDate-D743, 0)</f>
        <v/>
      </c>
      <c r="J743">
        <f>IF(F743&lt;&gt;"", TEXT(F743, "yyyy-mm"), "")</f>
        <v/>
      </c>
    </row>
    <row r="744">
      <c r="A744" t="inlineStr">
        <is>
          <t>RP0000743</t>
        </is>
      </c>
      <c r="B744" t="inlineStr">
        <is>
          <t>LN200109</t>
        </is>
      </c>
      <c r="C744" t="n">
        <v>2</v>
      </c>
      <c r="D744" s="8" t="n">
        <v>46272</v>
      </c>
      <c r="E744" s="9" t="n">
        <v>4330</v>
      </c>
      <c r="F744" s="8" t="n"/>
      <c r="G744" s="9" t="n">
        <v>0</v>
      </c>
      <c r="H744" t="inlineStr">
        <is>
          <t>NOT_DUE</t>
        </is>
      </c>
      <c r="I744">
        <f>IF(H744="UNPAID", AsOfDate-D744, 0)</f>
        <v/>
      </c>
      <c r="J744">
        <f>IF(F744&lt;&gt;"", TEXT(F744, "yyyy-mm"), "")</f>
        <v/>
      </c>
    </row>
    <row r="745">
      <c r="A745" t="inlineStr">
        <is>
          <t>RP0000744</t>
        </is>
      </c>
      <c r="B745" t="inlineStr">
        <is>
          <t>LN200109</t>
        </is>
      </c>
      <c r="C745" t="n">
        <v>3</v>
      </c>
      <c r="D745" s="8" t="n">
        <v>46302</v>
      </c>
      <c r="E745" s="9" t="n">
        <v>4330</v>
      </c>
      <c r="F745" s="8" t="n"/>
      <c r="G745" s="9" t="n">
        <v>0</v>
      </c>
      <c r="H745" t="inlineStr">
        <is>
          <t>NOT_DUE</t>
        </is>
      </c>
      <c r="I745">
        <f>IF(H745="UNPAID", AsOfDate-D745, 0)</f>
        <v/>
      </c>
      <c r="J745">
        <f>IF(F745&lt;&gt;"", TEXT(F745, "yyyy-mm"), "")</f>
        <v/>
      </c>
    </row>
    <row r="746">
      <c r="A746" t="inlineStr">
        <is>
          <t>RP0000745</t>
        </is>
      </c>
      <c r="B746" t="inlineStr">
        <is>
          <t>LN200109</t>
        </is>
      </c>
      <c r="C746" t="n">
        <v>4</v>
      </c>
      <c r="D746" s="8" t="n">
        <v>46333</v>
      </c>
      <c r="E746" s="9" t="n">
        <v>4330</v>
      </c>
      <c r="F746" s="8" t="n"/>
      <c r="G746" s="9" t="n">
        <v>0</v>
      </c>
      <c r="H746" t="inlineStr">
        <is>
          <t>NOT_DUE</t>
        </is>
      </c>
      <c r="I746">
        <f>IF(H746="UNPAID", AsOfDate-D746, 0)</f>
        <v/>
      </c>
      <c r="J746">
        <f>IF(F746&lt;&gt;"", TEXT(F746, "yyyy-mm"), "")</f>
        <v/>
      </c>
    </row>
    <row r="747">
      <c r="A747" t="inlineStr">
        <is>
          <t>RP0000746</t>
        </is>
      </c>
      <c r="B747" t="inlineStr">
        <is>
          <t>LN200109</t>
        </is>
      </c>
      <c r="C747" t="n">
        <v>5</v>
      </c>
      <c r="D747" s="8" t="n">
        <v>46363</v>
      </c>
      <c r="E747" s="9" t="n">
        <v>4330</v>
      </c>
      <c r="F747" s="8" t="n"/>
      <c r="G747" s="9" t="n">
        <v>0</v>
      </c>
      <c r="H747" t="inlineStr">
        <is>
          <t>NOT_DUE</t>
        </is>
      </c>
      <c r="I747">
        <f>IF(H747="UNPAID", AsOfDate-D747, 0)</f>
        <v/>
      </c>
      <c r="J747">
        <f>IF(F747&lt;&gt;"", TEXT(F747, "yyyy-mm"), "")</f>
        <v/>
      </c>
    </row>
    <row r="748">
      <c r="A748" t="inlineStr">
        <is>
          <t>RP0000747</t>
        </is>
      </c>
      <c r="B748" t="inlineStr">
        <is>
          <t>LN200109</t>
        </is>
      </c>
      <c r="C748" t="n">
        <v>6</v>
      </c>
      <c r="D748" s="8" t="n">
        <v>46394</v>
      </c>
      <c r="E748" s="9" t="n">
        <v>4330</v>
      </c>
      <c r="F748" s="8" t="n"/>
      <c r="G748" s="9" t="n">
        <v>0</v>
      </c>
      <c r="H748" t="inlineStr">
        <is>
          <t>NOT_DUE</t>
        </is>
      </c>
      <c r="I748">
        <f>IF(H748="UNPAID", AsOfDate-D748, 0)</f>
        <v/>
      </c>
      <c r="J748">
        <f>IF(F748&lt;&gt;"", TEXT(F748, "yyyy-mm"), "")</f>
        <v/>
      </c>
    </row>
    <row r="749">
      <c r="A749" t="inlineStr">
        <is>
          <t>RP0000748</t>
        </is>
      </c>
      <c r="B749" t="inlineStr">
        <is>
          <t>LN200110</t>
        </is>
      </c>
      <c r="C749" t="n">
        <v>1</v>
      </c>
      <c r="D749" s="8" t="n">
        <v>46060</v>
      </c>
      <c r="E749" s="9" t="n">
        <v>23493</v>
      </c>
      <c r="F749" s="8" t="n">
        <v>46061</v>
      </c>
      <c r="G749" s="9" t="n">
        <v>23493</v>
      </c>
      <c r="H749" t="inlineStr">
        <is>
          <t>PAID_LATE</t>
        </is>
      </c>
      <c r="I749">
        <f>IF(H749="UNPAID", AsOfDate-D749, 0)</f>
        <v/>
      </c>
      <c r="J749">
        <f>IF(F749&lt;&gt;"", TEXT(F749, "yyyy-mm"), "")</f>
        <v/>
      </c>
    </row>
    <row r="750">
      <c r="A750" t="inlineStr">
        <is>
          <t>RP0000749</t>
        </is>
      </c>
      <c r="B750" t="inlineStr">
        <is>
          <t>LN200110</t>
        </is>
      </c>
      <c r="C750" t="n">
        <v>2</v>
      </c>
      <c r="D750" s="8" t="n">
        <v>46088</v>
      </c>
      <c r="E750" s="9" t="n">
        <v>23493</v>
      </c>
      <c r="F750" s="8" t="n">
        <v>46090</v>
      </c>
      <c r="G750" s="9" t="n">
        <v>23493</v>
      </c>
      <c r="H750" t="inlineStr">
        <is>
          <t>PAID_ON_TIME</t>
        </is>
      </c>
      <c r="I750">
        <f>IF(H750="UNPAID", AsOfDate-D750, 0)</f>
        <v/>
      </c>
      <c r="J750">
        <f>IF(F750&lt;&gt;"", TEXT(F750, "yyyy-mm"), "")</f>
        <v/>
      </c>
    </row>
    <row r="751">
      <c r="A751" t="inlineStr">
        <is>
          <t>RP0000750</t>
        </is>
      </c>
      <c r="B751" t="inlineStr">
        <is>
          <t>LN200110</t>
        </is>
      </c>
      <c r="C751" t="n">
        <v>3</v>
      </c>
      <c r="D751" s="8" t="n">
        <v>46119</v>
      </c>
      <c r="E751" s="9" t="n">
        <v>23493</v>
      </c>
      <c r="F751" s="8" t="n">
        <v>46121</v>
      </c>
      <c r="G751" s="9" t="n">
        <v>23493</v>
      </c>
      <c r="H751" t="inlineStr">
        <is>
          <t>PAID_ON_TIME</t>
        </is>
      </c>
      <c r="I751">
        <f>IF(H751="UNPAID", AsOfDate-D751, 0)</f>
        <v/>
      </c>
      <c r="J751">
        <f>IF(F751&lt;&gt;"", TEXT(F751, "yyyy-mm"), "")</f>
        <v/>
      </c>
    </row>
    <row r="752">
      <c r="A752" t="inlineStr">
        <is>
          <t>RP0000751</t>
        </is>
      </c>
      <c r="B752" t="inlineStr">
        <is>
          <t>LN200110</t>
        </is>
      </c>
      <c r="C752" t="n">
        <v>4</v>
      </c>
      <c r="D752" s="8" t="n">
        <v>46149</v>
      </c>
      <c r="E752" s="9" t="n">
        <v>23493</v>
      </c>
      <c r="F752" s="8" t="n">
        <v>46153</v>
      </c>
      <c r="G752" s="9" t="n">
        <v>23493</v>
      </c>
      <c r="H752" t="inlineStr">
        <is>
          <t>PAID_ON_TIME</t>
        </is>
      </c>
      <c r="I752">
        <f>IF(H752="UNPAID", AsOfDate-D752, 0)</f>
        <v/>
      </c>
      <c r="J752">
        <f>IF(F752&lt;&gt;"", TEXT(F752, "yyyy-mm"), "")</f>
        <v/>
      </c>
    </row>
    <row r="753">
      <c r="A753" t="inlineStr">
        <is>
          <t>RP0000752</t>
        </is>
      </c>
      <c r="B753" t="inlineStr">
        <is>
          <t>LN200110</t>
        </is>
      </c>
      <c r="C753" t="n">
        <v>5</v>
      </c>
      <c r="D753" s="8" t="n">
        <v>46180</v>
      </c>
      <c r="E753" s="9" t="n">
        <v>23493</v>
      </c>
      <c r="F753" s="8" t="n">
        <v>46181</v>
      </c>
      <c r="G753" s="9" t="n">
        <v>23493</v>
      </c>
      <c r="H753" t="inlineStr">
        <is>
          <t>PAID_ON_TIME</t>
        </is>
      </c>
      <c r="I753">
        <f>IF(H753="UNPAID", AsOfDate-D753, 0)</f>
        <v/>
      </c>
      <c r="J753">
        <f>IF(F753&lt;&gt;"", TEXT(F753, "yyyy-mm"), "")</f>
        <v/>
      </c>
    </row>
    <row r="754">
      <c r="A754" t="inlineStr">
        <is>
          <t>RP0000753</t>
        </is>
      </c>
      <c r="B754" t="inlineStr">
        <is>
          <t>LN200110</t>
        </is>
      </c>
      <c r="C754" t="n">
        <v>6</v>
      </c>
      <c r="D754" s="8" t="n">
        <v>46210</v>
      </c>
      <c r="E754" s="9" t="n">
        <v>23493</v>
      </c>
      <c r="F754" s="8" t="n">
        <v>46211</v>
      </c>
      <c r="G754" s="9" t="n">
        <v>23493</v>
      </c>
      <c r="H754" t="inlineStr">
        <is>
          <t>PAID_ON_TIME</t>
        </is>
      </c>
      <c r="I754">
        <f>IF(H754="UNPAID", AsOfDate-D754, 0)</f>
        <v/>
      </c>
      <c r="J754">
        <f>IF(F754&lt;&gt;"", TEXT(F754, "yyyy-mm"), "")</f>
        <v/>
      </c>
    </row>
    <row r="755">
      <c r="A755" t="inlineStr">
        <is>
          <t>RP0000754</t>
        </is>
      </c>
      <c r="B755" t="inlineStr">
        <is>
          <t>LN200110</t>
        </is>
      </c>
      <c r="C755" t="n">
        <v>7</v>
      </c>
      <c r="D755" s="8" t="n">
        <v>46241</v>
      </c>
      <c r="E755" s="9" t="n">
        <v>23493</v>
      </c>
      <c r="F755" s="8" t="n">
        <v>46242</v>
      </c>
      <c r="G755" s="9" t="n">
        <v>23493</v>
      </c>
      <c r="H755" t="inlineStr">
        <is>
          <t>PAID_ON_TIME</t>
        </is>
      </c>
      <c r="I755">
        <f>IF(H755="UNPAID", AsOfDate-D755, 0)</f>
        <v/>
      </c>
      <c r="J755">
        <f>IF(F755&lt;&gt;"", TEXT(F755, "yyyy-mm"), "")</f>
        <v/>
      </c>
    </row>
    <row r="756">
      <c r="A756" t="inlineStr">
        <is>
          <t>RP0000755</t>
        </is>
      </c>
      <c r="B756" t="inlineStr">
        <is>
          <t>LN200110</t>
        </is>
      </c>
      <c r="C756" t="n">
        <v>8</v>
      </c>
      <c r="D756" s="8" t="n">
        <v>46272</v>
      </c>
      <c r="E756" s="9" t="n">
        <v>23493</v>
      </c>
      <c r="F756" s="8" t="n"/>
      <c r="G756" s="9" t="n">
        <v>0</v>
      </c>
      <c r="H756" t="inlineStr">
        <is>
          <t>NOT_DUE</t>
        </is>
      </c>
      <c r="I756">
        <f>IF(H756="UNPAID", AsOfDate-D756, 0)</f>
        <v/>
      </c>
      <c r="J756">
        <f>IF(F756&lt;&gt;"", TEXT(F756, "yyyy-mm"), "")</f>
        <v/>
      </c>
    </row>
    <row r="757">
      <c r="A757" t="inlineStr">
        <is>
          <t>RP0000756</t>
        </is>
      </c>
      <c r="B757" t="inlineStr">
        <is>
          <t>LN200110</t>
        </is>
      </c>
      <c r="C757" t="n">
        <v>9</v>
      </c>
      <c r="D757" s="8" t="n">
        <v>46302</v>
      </c>
      <c r="E757" s="9" t="n">
        <v>23493</v>
      </c>
      <c r="F757" s="8" t="n"/>
      <c r="G757" s="9" t="n">
        <v>0</v>
      </c>
      <c r="H757" t="inlineStr">
        <is>
          <t>NOT_DUE</t>
        </is>
      </c>
      <c r="I757">
        <f>IF(H757="UNPAID", AsOfDate-D757, 0)</f>
        <v/>
      </c>
      <c r="J757">
        <f>IF(F757&lt;&gt;"", TEXT(F757, "yyyy-mm"), "")</f>
        <v/>
      </c>
    </row>
    <row r="758">
      <c r="A758" t="inlineStr">
        <is>
          <t>RP0000757</t>
        </is>
      </c>
      <c r="B758" t="inlineStr">
        <is>
          <t>LN200110</t>
        </is>
      </c>
      <c r="C758" t="n">
        <v>10</v>
      </c>
      <c r="D758" s="8" t="n">
        <v>46333</v>
      </c>
      <c r="E758" s="9" t="n">
        <v>23493</v>
      </c>
      <c r="F758" s="8" t="n"/>
      <c r="G758" s="9" t="n">
        <v>0</v>
      </c>
      <c r="H758" t="inlineStr">
        <is>
          <t>NOT_DUE</t>
        </is>
      </c>
      <c r="I758">
        <f>IF(H758="UNPAID", AsOfDate-D758, 0)</f>
        <v/>
      </c>
      <c r="J758">
        <f>IF(F758&lt;&gt;"", TEXT(F758, "yyyy-mm"), "")</f>
        <v/>
      </c>
    </row>
    <row r="759">
      <c r="A759" t="inlineStr">
        <is>
          <t>RP0000758</t>
        </is>
      </c>
      <c r="B759" t="inlineStr">
        <is>
          <t>LN200110</t>
        </is>
      </c>
      <c r="C759" t="n">
        <v>11</v>
      </c>
      <c r="D759" s="8" t="n">
        <v>46363</v>
      </c>
      <c r="E759" s="9" t="n">
        <v>23493</v>
      </c>
      <c r="F759" s="8" t="n"/>
      <c r="G759" s="9" t="n">
        <v>0</v>
      </c>
      <c r="H759" t="inlineStr">
        <is>
          <t>NOT_DUE</t>
        </is>
      </c>
      <c r="I759">
        <f>IF(H759="UNPAID", AsOfDate-D759, 0)</f>
        <v/>
      </c>
      <c r="J759">
        <f>IF(F759&lt;&gt;"", TEXT(F759, "yyyy-mm"), "")</f>
        <v/>
      </c>
    </row>
    <row r="760">
      <c r="A760" t="inlineStr">
        <is>
          <t>RP0000759</t>
        </is>
      </c>
      <c r="B760" t="inlineStr">
        <is>
          <t>LN200110</t>
        </is>
      </c>
      <c r="C760" t="n">
        <v>12</v>
      </c>
      <c r="D760" s="8" t="n">
        <v>46394</v>
      </c>
      <c r="E760" s="9" t="n">
        <v>23493</v>
      </c>
      <c r="F760" s="8" t="n"/>
      <c r="G760" s="9" t="n">
        <v>0</v>
      </c>
      <c r="H760" t="inlineStr">
        <is>
          <t>NOT_DUE</t>
        </is>
      </c>
      <c r="I760">
        <f>IF(H760="UNPAID", AsOfDate-D760, 0)</f>
        <v/>
      </c>
      <c r="J760">
        <f>IF(F760&lt;&gt;"", TEXT(F760, "yyyy-mm"), "")</f>
        <v/>
      </c>
    </row>
    <row r="761">
      <c r="A761" t="inlineStr">
        <is>
          <t>RP0000760</t>
        </is>
      </c>
      <c r="B761" t="inlineStr">
        <is>
          <t>LN200111</t>
        </is>
      </c>
      <c r="C761" t="n">
        <v>1</v>
      </c>
      <c r="D761" s="8" t="n">
        <v>46081</v>
      </c>
      <c r="E761" s="9" t="n">
        <v>13406.25</v>
      </c>
      <c r="F761" s="8" t="n"/>
      <c r="G761" s="9" t="n">
        <v>0</v>
      </c>
      <c r="H761" t="inlineStr">
        <is>
          <t>UNPAID</t>
        </is>
      </c>
      <c r="I761">
        <f>IF(H761="UNPAID", AsOfDate-D761, 0)</f>
        <v/>
      </c>
      <c r="J761">
        <f>IF(F761&lt;&gt;"", TEXT(F761, "yyyy-mm"), "")</f>
        <v/>
      </c>
    </row>
    <row r="762">
      <c r="A762" t="inlineStr">
        <is>
          <t>RP0000761</t>
        </is>
      </c>
      <c r="B762" t="inlineStr">
        <is>
          <t>LN200111</t>
        </is>
      </c>
      <c r="C762" t="n">
        <v>2</v>
      </c>
      <c r="D762" s="8" t="n">
        <v>46110</v>
      </c>
      <c r="E762" s="9" t="n">
        <v>13406.25</v>
      </c>
      <c r="F762" s="8" t="n">
        <v>46113</v>
      </c>
      <c r="G762" s="9" t="n">
        <v>13406.25</v>
      </c>
      <c r="H762" t="inlineStr">
        <is>
          <t>PAID_ON_TIME</t>
        </is>
      </c>
      <c r="I762">
        <f>IF(H762="UNPAID", AsOfDate-D762, 0)</f>
        <v/>
      </c>
      <c r="J762">
        <f>IF(F762&lt;&gt;"", TEXT(F762, "yyyy-mm"), "")</f>
        <v/>
      </c>
    </row>
    <row r="763">
      <c r="A763" t="inlineStr">
        <is>
          <t>RP0000762</t>
        </is>
      </c>
      <c r="B763" t="inlineStr">
        <is>
          <t>LN200111</t>
        </is>
      </c>
      <c r="C763" t="n">
        <v>3</v>
      </c>
      <c r="D763" s="8" t="n">
        <v>46141</v>
      </c>
      <c r="E763" s="9" t="n">
        <v>13406.25</v>
      </c>
      <c r="F763" s="8" t="n">
        <v>46141</v>
      </c>
      <c r="G763" s="9" t="n">
        <v>13406.25</v>
      </c>
      <c r="H763" t="inlineStr">
        <is>
          <t>PAID_ON_TIME</t>
        </is>
      </c>
      <c r="I763">
        <f>IF(H763="UNPAID", AsOfDate-D763, 0)</f>
        <v/>
      </c>
      <c r="J763">
        <f>IF(F763&lt;&gt;"", TEXT(F763, "yyyy-mm"), "")</f>
        <v/>
      </c>
    </row>
    <row r="764">
      <c r="A764" t="inlineStr">
        <is>
          <t>RP0000763</t>
        </is>
      </c>
      <c r="B764" t="inlineStr">
        <is>
          <t>LN200113</t>
        </is>
      </c>
      <c r="C764" t="n">
        <v>1</v>
      </c>
      <c r="D764" s="8" t="n">
        <v>46025</v>
      </c>
      <c r="E764" s="9" t="n">
        <v>13098</v>
      </c>
      <c r="F764" s="8" t="n">
        <v>46028</v>
      </c>
      <c r="G764" s="9" t="n">
        <v>13098</v>
      </c>
      <c r="H764" t="inlineStr">
        <is>
          <t>PAID_ON_TIME</t>
        </is>
      </c>
      <c r="I764">
        <f>IF(H764="UNPAID", AsOfDate-D764, 0)</f>
        <v/>
      </c>
      <c r="J764">
        <f>IF(F764&lt;&gt;"", TEXT(F764, "yyyy-mm"), "")</f>
        <v/>
      </c>
    </row>
    <row r="765">
      <c r="A765" t="inlineStr">
        <is>
          <t>RP0000764</t>
        </is>
      </c>
      <c r="B765" t="inlineStr">
        <is>
          <t>LN200113</t>
        </is>
      </c>
      <c r="C765" t="n">
        <v>2</v>
      </c>
      <c r="D765" s="8" t="n">
        <v>46056</v>
      </c>
      <c r="E765" s="9" t="n">
        <v>13098</v>
      </c>
      <c r="F765" s="8" t="n">
        <v>46058</v>
      </c>
      <c r="G765" s="9" t="n">
        <v>13098</v>
      </c>
      <c r="H765" t="inlineStr">
        <is>
          <t>PAID_ON_TIME</t>
        </is>
      </c>
      <c r="I765">
        <f>IF(H765="UNPAID", AsOfDate-D765, 0)</f>
        <v/>
      </c>
      <c r="J765">
        <f>IF(F765&lt;&gt;"", TEXT(F765, "yyyy-mm"), "")</f>
        <v/>
      </c>
    </row>
    <row r="766">
      <c r="A766" t="inlineStr">
        <is>
          <t>RP0000765</t>
        </is>
      </c>
      <c r="B766" t="inlineStr">
        <is>
          <t>LN200113</t>
        </is>
      </c>
      <c r="C766" t="n">
        <v>3</v>
      </c>
      <c r="D766" s="8" t="n">
        <v>46084</v>
      </c>
      <c r="E766" s="9" t="n">
        <v>13098</v>
      </c>
      <c r="F766" s="8" t="n">
        <v>46081</v>
      </c>
      <c r="G766" s="9" t="n">
        <v>13098</v>
      </c>
      <c r="H766" t="inlineStr">
        <is>
          <t>PAID_ON_TIME</t>
        </is>
      </c>
      <c r="I766">
        <f>IF(H766="UNPAID", AsOfDate-D766, 0)</f>
        <v/>
      </c>
      <c r="J766">
        <f>IF(F766&lt;&gt;"", TEXT(F766, "yyyy-mm"), "")</f>
        <v/>
      </c>
    </row>
    <row r="767">
      <c r="A767" t="inlineStr">
        <is>
          <t>RP0000766</t>
        </is>
      </c>
      <c r="B767" t="inlineStr">
        <is>
          <t>LN200113</t>
        </is>
      </c>
      <c r="C767" t="n">
        <v>4</v>
      </c>
      <c r="D767" s="8" t="n">
        <v>46115</v>
      </c>
      <c r="E767" s="9" t="n">
        <v>13098</v>
      </c>
      <c r="F767" s="8" t="n">
        <v>46119</v>
      </c>
      <c r="G767" s="9" t="n">
        <v>13098</v>
      </c>
      <c r="H767" t="inlineStr">
        <is>
          <t>PAID_ON_TIME</t>
        </is>
      </c>
      <c r="I767">
        <f>IF(H767="UNPAID", AsOfDate-D767, 0)</f>
        <v/>
      </c>
      <c r="J767">
        <f>IF(F767&lt;&gt;"", TEXT(F767, "yyyy-mm"), "")</f>
        <v/>
      </c>
    </row>
    <row r="768">
      <c r="A768" t="inlineStr">
        <is>
          <t>RP0000767</t>
        </is>
      </c>
      <c r="B768" t="inlineStr">
        <is>
          <t>LN200113</t>
        </is>
      </c>
      <c r="C768" t="n">
        <v>5</v>
      </c>
      <c r="D768" s="8" t="n">
        <v>46145</v>
      </c>
      <c r="E768" s="9" t="n">
        <v>13098</v>
      </c>
      <c r="F768" s="8" t="n">
        <v>46146</v>
      </c>
      <c r="G768" s="9" t="n">
        <v>13098</v>
      </c>
      <c r="H768" t="inlineStr">
        <is>
          <t>PAID_LATE</t>
        </is>
      </c>
      <c r="I768">
        <f>IF(H768="UNPAID", AsOfDate-D768, 0)</f>
        <v/>
      </c>
      <c r="J768">
        <f>IF(F768&lt;&gt;"", TEXT(F768, "yyyy-mm"), "")</f>
        <v/>
      </c>
    </row>
    <row r="769">
      <c r="A769" t="inlineStr">
        <is>
          <t>RP0000768</t>
        </is>
      </c>
      <c r="B769" t="inlineStr">
        <is>
          <t>LN200113</t>
        </is>
      </c>
      <c r="C769" t="n">
        <v>6</v>
      </c>
      <c r="D769" s="8" t="n">
        <v>46176</v>
      </c>
      <c r="E769" s="9" t="n">
        <v>13098</v>
      </c>
      <c r="F769" s="8" t="n"/>
      <c r="G769" s="9" t="n">
        <v>0</v>
      </c>
      <c r="H769" t="inlineStr">
        <is>
          <t>UNPAID</t>
        </is>
      </c>
      <c r="I769">
        <f>IF(H769="UNPAID", AsOfDate-D769, 0)</f>
        <v/>
      </c>
      <c r="J769">
        <f>IF(F769&lt;&gt;"", TEXT(F769, "yyyy-mm"), "")</f>
        <v/>
      </c>
    </row>
    <row r="770">
      <c r="A770" t="inlineStr">
        <is>
          <t>RP0000769</t>
        </is>
      </c>
      <c r="B770" t="inlineStr">
        <is>
          <t>LN200114</t>
        </is>
      </c>
      <c r="C770" t="n">
        <v>1</v>
      </c>
      <c r="D770" s="8" t="n">
        <v>46062</v>
      </c>
      <c r="E770" s="9" t="n">
        <v>14755</v>
      </c>
      <c r="F770" s="8" t="n">
        <v>46065</v>
      </c>
      <c r="G770" s="9" t="n">
        <v>14755</v>
      </c>
      <c r="H770" t="inlineStr">
        <is>
          <t>PAID_ON_TIME</t>
        </is>
      </c>
      <c r="I770">
        <f>IF(H770="UNPAID", AsOfDate-D770, 0)</f>
        <v/>
      </c>
      <c r="J770">
        <f>IF(F770&lt;&gt;"", TEXT(F770, "yyyy-mm"), "")</f>
        <v/>
      </c>
    </row>
    <row r="771">
      <c r="A771" t="inlineStr">
        <is>
          <t>RP0000770</t>
        </is>
      </c>
      <c r="B771" t="inlineStr">
        <is>
          <t>LN200114</t>
        </is>
      </c>
      <c r="C771" t="n">
        <v>2</v>
      </c>
      <c r="D771" s="8" t="n">
        <v>46090</v>
      </c>
      <c r="E771" s="9" t="n">
        <v>14755</v>
      </c>
      <c r="F771" s="8" t="n">
        <v>46091</v>
      </c>
      <c r="G771" s="9" t="n">
        <v>14755</v>
      </c>
      <c r="H771" t="inlineStr">
        <is>
          <t>PAID_ON_TIME</t>
        </is>
      </c>
      <c r="I771">
        <f>IF(H771="UNPAID", AsOfDate-D771, 0)</f>
        <v/>
      </c>
      <c r="J771">
        <f>IF(F771&lt;&gt;"", TEXT(F771, "yyyy-mm"), "")</f>
        <v/>
      </c>
    </row>
    <row r="772">
      <c r="A772" t="inlineStr">
        <is>
          <t>RP0000771</t>
        </is>
      </c>
      <c r="B772" t="inlineStr">
        <is>
          <t>LN200114</t>
        </is>
      </c>
      <c r="C772" t="n">
        <v>3</v>
      </c>
      <c r="D772" s="8" t="n">
        <v>46121</v>
      </c>
      <c r="E772" s="9" t="n">
        <v>14755</v>
      </c>
      <c r="F772" s="8" t="n"/>
      <c r="G772" s="9" t="n">
        <v>0</v>
      </c>
      <c r="H772" t="inlineStr">
        <is>
          <t>UNPAID</t>
        </is>
      </c>
      <c r="I772">
        <f>IF(H772="UNPAID", AsOfDate-D772, 0)</f>
        <v/>
      </c>
      <c r="J772">
        <f>IF(F772&lt;&gt;"", TEXT(F772, "yyyy-mm"), "")</f>
        <v/>
      </c>
    </row>
    <row r="773">
      <c r="A773" t="inlineStr">
        <is>
          <t>RP0000772</t>
        </is>
      </c>
      <c r="B773" t="inlineStr">
        <is>
          <t>LN200114</t>
        </is>
      </c>
      <c r="C773" t="n">
        <v>4</v>
      </c>
      <c r="D773" s="8" t="n">
        <v>46151</v>
      </c>
      <c r="E773" s="9" t="n">
        <v>14755</v>
      </c>
      <c r="F773" s="8" t="n">
        <v>46151</v>
      </c>
      <c r="G773" s="9" t="n">
        <v>14755</v>
      </c>
      <c r="H773" t="inlineStr">
        <is>
          <t>PAID_ON_TIME</t>
        </is>
      </c>
      <c r="I773">
        <f>IF(H773="UNPAID", AsOfDate-D773, 0)</f>
        <v/>
      </c>
      <c r="J773">
        <f>IF(F773&lt;&gt;"", TEXT(F773, "yyyy-mm"), "")</f>
        <v/>
      </c>
    </row>
    <row r="774">
      <c r="A774" t="inlineStr">
        <is>
          <t>RP0000773</t>
        </is>
      </c>
      <c r="B774" t="inlineStr">
        <is>
          <t>LN200114</t>
        </is>
      </c>
      <c r="C774" t="n">
        <v>5</v>
      </c>
      <c r="D774" s="8" t="n">
        <v>46182</v>
      </c>
      <c r="E774" s="9" t="n">
        <v>14755</v>
      </c>
      <c r="F774" s="8" t="n">
        <v>46180</v>
      </c>
      <c r="G774" s="9" t="n">
        <v>14755</v>
      </c>
      <c r="H774" t="inlineStr">
        <is>
          <t>PAID_ON_TIME</t>
        </is>
      </c>
      <c r="I774">
        <f>IF(H774="UNPAID", AsOfDate-D774, 0)</f>
        <v/>
      </c>
      <c r="J774">
        <f>IF(F774&lt;&gt;"", TEXT(F774, "yyyy-mm"), "")</f>
        <v/>
      </c>
    </row>
    <row r="775">
      <c r="A775" t="inlineStr">
        <is>
          <t>RP0000774</t>
        </is>
      </c>
      <c r="B775" t="inlineStr">
        <is>
          <t>LN200114</t>
        </is>
      </c>
      <c r="C775" t="n">
        <v>6</v>
      </c>
      <c r="D775" s="8" t="n">
        <v>46212</v>
      </c>
      <c r="E775" s="9" t="n">
        <v>14755</v>
      </c>
      <c r="F775" s="8" t="n">
        <v>46216</v>
      </c>
      <c r="G775" s="9" t="n">
        <v>14755</v>
      </c>
      <c r="H775" t="inlineStr">
        <is>
          <t>PAID_ON_TIME</t>
        </is>
      </c>
      <c r="I775">
        <f>IF(H775="UNPAID", AsOfDate-D775, 0)</f>
        <v/>
      </c>
      <c r="J775">
        <f>IF(F775&lt;&gt;"", TEXT(F775, "yyyy-mm"), "")</f>
        <v/>
      </c>
    </row>
    <row r="776">
      <c r="A776" t="inlineStr">
        <is>
          <t>RP0000775</t>
        </is>
      </c>
      <c r="B776" t="inlineStr">
        <is>
          <t>LN200114</t>
        </is>
      </c>
      <c r="C776" t="n">
        <v>7</v>
      </c>
      <c r="D776" s="8" t="n">
        <v>46243</v>
      </c>
      <c r="E776" s="9" t="n">
        <v>14755</v>
      </c>
      <c r="F776" s="8" t="n">
        <v>46242</v>
      </c>
      <c r="G776" s="9" t="n">
        <v>14755</v>
      </c>
      <c r="H776" t="inlineStr">
        <is>
          <t>PAID_ON_TIME</t>
        </is>
      </c>
      <c r="I776">
        <f>IF(H776="UNPAID", AsOfDate-D776, 0)</f>
        <v/>
      </c>
      <c r="J776">
        <f>IF(F776&lt;&gt;"", TEXT(F776, "yyyy-mm"), "")</f>
        <v/>
      </c>
    </row>
    <row r="777">
      <c r="A777" t="inlineStr">
        <is>
          <t>RP0000776</t>
        </is>
      </c>
      <c r="B777" t="inlineStr">
        <is>
          <t>LN200114</t>
        </is>
      </c>
      <c r="C777" t="n">
        <v>8</v>
      </c>
      <c r="D777" s="8" t="n">
        <v>46274</v>
      </c>
      <c r="E777" s="9" t="n">
        <v>14755</v>
      </c>
      <c r="F777" s="8" t="n"/>
      <c r="G777" s="9" t="n">
        <v>0</v>
      </c>
      <c r="H777" t="inlineStr">
        <is>
          <t>NOT_DUE</t>
        </is>
      </c>
      <c r="I777">
        <f>IF(H777="UNPAID", AsOfDate-D777, 0)</f>
        <v/>
      </c>
      <c r="J777">
        <f>IF(F777&lt;&gt;"", TEXT(F777, "yyyy-mm"), "")</f>
        <v/>
      </c>
    </row>
    <row r="778">
      <c r="A778" t="inlineStr">
        <is>
          <t>RP0000777</t>
        </is>
      </c>
      <c r="B778" t="inlineStr">
        <is>
          <t>LN200114</t>
        </is>
      </c>
      <c r="C778" t="n">
        <v>9</v>
      </c>
      <c r="D778" s="8" t="n">
        <v>46304</v>
      </c>
      <c r="E778" s="9" t="n">
        <v>14755</v>
      </c>
      <c r="F778" s="8" t="n"/>
      <c r="G778" s="9" t="n">
        <v>0</v>
      </c>
      <c r="H778" t="inlineStr">
        <is>
          <t>NOT_DUE</t>
        </is>
      </c>
      <c r="I778">
        <f>IF(H778="UNPAID", AsOfDate-D778, 0)</f>
        <v/>
      </c>
      <c r="J778">
        <f>IF(F778&lt;&gt;"", TEXT(F778, "yyyy-mm"), "")</f>
        <v/>
      </c>
    </row>
    <row r="779">
      <c r="A779" t="inlineStr">
        <is>
          <t>RP0000778</t>
        </is>
      </c>
      <c r="B779" t="inlineStr">
        <is>
          <t>LN200114</t>
        </is>
      </c>
      <c r="C779" t="n">
        <v>10</v>
      </c>
      <c r="D779" s="8" t="n">
        <v>46335</v>
      </c>
      <c r="E779" s="9" t="n">
        <v>14755</v>
      </c>
      <c r="F779" s="8" t="n"/>
      <c r="G779" s="9" t="n">
        <v>0</v>
      </c>
      <c r="H779" t="inlineStr">
        <is>
          <t>NOT_DUE</t>
        </is>
      </c>
      <c r="I779">
        <f>IF(H779="UNPAID", AsOfDate-D779, 0)</f>
        <v/>
      </c>
      <c r="J779">
        <f>IF(F779&lt;&gt;"", TEXT(F779, "yyyy-mm"), "")</f>
        <v/>
      </c>
    </row>
    <row r="780">
      <c r="A780" t="inlineStr">
        <is>
          <t>RP0000779</t>
        </is>
      </c>
      <c r="B780" t="inlineStr">
        <is>
          <t>LN200114</t>
        </is>
      </c>
      <c r="C780" t="n">
        <v>11</v>
      </c>
      <c r="D780" s="8" t="n">
        <v>46365</v>
      </c>
      <c r="E780" s="9" t="n">
        <v>14755</v>
      </c>
      <c r="F780" s="8" t="n"/>
      <c r="G780" s="9" t="n">
        <v>0</v>
      </c>
      <c r="H780" t="inlineStr">
        <is>
          <t>NOT_DUE</t>
        </is>
      </c>
      <c r="I780">
        <f>IF(H780="UNPAID", AsOfDate-D780, 0)</f>
        <v/>
      </c>
      <c r="J780">
        <f>IF(F780&lt;&gt;"", TEXT(F780, "yyyy-mm"), "")</f>
        <v/>
      </c>
    </row>
    <row r="781">
      <c r="A781" t="inlineStr">
        <is>
          <t>RP0000780</t>
        </is>
      </c>
      <c r="B781" t="inlineStr">
        <is>
          <t>LN200114</t>
        </is>
      </c>
      <c r="C781" t="n">
        <v>12</v>
      </c>
      <c r="D781" s="8" t="n">
        <v>46396</v>
      </c>
      <c r="E781" s="9" t="n">
        <v>14755</v>
      </c>
      <c r="F781" s="8" t="n"/>
      <c r="G781" s="9" t="n">
        <v>0</v>
      </c>
      <c r="H781" t="inlineStr">
        <is>
          <t>NOT_DUE</t>
        </is>
      </c>
      <c r="I781">
        <f>IF(H781="UNPAID", AsOfDate-D781, 0)</f>
        <v/>
      </c>
      <c r="J781">
        <f>IF(F781&lt;&gt;"", TEXT(F781, "yyyy-mm"), "")</f>
        <v/>
      </c>
    </row>
    <row r="782">
      <c r="A782" t="inlineStr">
        <is>
          <t>RP0000781</t>
        </is>
      </c>
      <c r="B782" t="inlineStr">
        <is>
          <t>LN200115</t>
        </is>
      </c>
      <c r="C782" t="n">
        <v>1</v>
      </c>
      <c r="D782" s="8" t="n">
        <v>45800</v>
      </c>
      <c r="E782" s="9" t="n">
        <v>13923.33</v>
      </c>
      <c r="F782" s="8" t="n">
        <v>45803</v>
      </c>
      <c r="G782" s="9" t="n">
        <v>13923.33</v>
      </c>
      <c r="H782" t="inlineStr">
        <is>
          <t>PAID_ON_TIME</t>
        </is>
      </c>
      <c r="I782">
        <f>IF(H782="UNPAID", AsOfDate-D782, 0)</f>
        <v/>
      </c>
      <c r="J782">
        <f>IF(F782&lt;&gt;"", TEXT(F782, "yyyy-mm"), "")</f>
        <v/>
      </c>
    </row>
    <row r="783">
      <c r="A783" t="inlineStr">
        <is>
          <t>RP0000782</t>
        </is>
      </c>
      <c r="B783" t="inlineStr">
        <is>
          <t>LN200115</t>
        </is>
      </c>
      <c r="C783" t="n">
        <v>2</v>
      </c>
      <c r="D783" s="8" t="n">
        <v>45831</v>
      </c>
      <c r="E783" s="9" t="n">
        <v>13923.33</v>
      </c>
      <c r="F783" s="8" t="n">
        <v>45828</v>
      </c>
      <c r="G783" s="9" t="n">
        <v>13923.33</v>
      </c>
      <c r="H783" t="inlineStr">
        <is>
          <t>PAID_ON_TIME</t>
        </is>
      </c>
      <c r="I783">
        <f>IF(H783="UNPAID", AsOfDate-D783, 0)</f>
        <v/>
      </c>
      <c r="J783">
        <f>IF(F783&lt;&gt;"", TEXT(F783, "yyyy-mm"), "")</f>
        <v/>
      </c>
    </row>
    <row r="784">
      <c r="A784" t="inlineStr">
        <is>
          <t>RP0000783</t>
        </is>
      </c>
      <c r="B784" t="inlineStr">
        <is>
          <t>LN200115</t>
        </is>
      </c>
      <c r="C784" t="n">
        <v>3</v>
      </c>
      <c r="D784" s="8" t="n">
        <v>45861</v>
      </c>
      <c r="E784" s="9" t="n">
        <v>13923.33</v>
      </c>
      <c r="F784" s="8" t="n">
        <v>45859</v>
      </c>
      <c r="G784" s="9" t="n">
        <v>13923.33</v>
      </c>
      <c r="H784" t="inlineStr">
        <is>
          <t>PAID_ON_TIME</t>
        </is>
      </c>
      <c r="I784">
        <f>IF(H784="UNPAID", AsOfDate-D784, 0)</f>
        <v/>
      </c>
      <c r="J784">
        <f>IF(F784&lt;&gt;"", TEXT(F784, "yyyy-mm"), "")</f>
        <v/>
      </c>
    </row>
    <row r="785">
      <c r="A785" t="inlineStr">
        <is>
          <t>RP0000784</t>
        </is>
      </c>
      <c r="B785" t="inlineStr">
        <is>
          <t>LN200116</t>
        </is>
      </c>
      <c r="C785" t="n">
        <v>1</v>
      </c>
      <c r="D785" s="8" t="n">
        <v>46040</v>
      </c>
      <c r="E785" s="9" t="n">
        <v>22140</v>
      </c>
      <c r="F785" s="8" t="n">
        <v>46042</v>
      </c>
      <c r="G785" s="9" t="n">
        <v>22140</v>
      </c>
      <c r="H785" t="inlineStr">
        <is>
          <t>PAID_ON_TIME</t>
        </is>
      </c>
      <c r="I785">
        <f>IF(H785="UNPAID", AsOfDate-D785, 0)</f>
        <v/>
      </c>
      <c r="J785">
        <f>IF(F785&lt;&gt;"", TEXT(F785, "yyyy-mm"), "")</f>
        <v/>
      </c>
    </row>
    <row r="786">
      <c r="A786" t="inlineStr">
        <is>
          <t>RP0000785</t>
        </is>
      </c>
      <c r="B786" t="inlineStr">
        <is>
          <t>LN200116</t>
        </is>
      </c>
      <c r="C786" t="n">
        <v>2</v>
      </c>
      <c r="D786" s="8" t="n">
        <v>46071</v>
      </c>
      <c r="E786" s="9" t="n">
        <v>22140</v>
      </c>
      <c r="F786" s="8" t="n">
        <v>46075</v>
      </c>
      <c r="G786" s="9" t="n">
        <v>22140</v>
      </c>
      <c r="H786" t="inlineStr">
        <is>
          <t>PAID_ON_TIME</t>
        </is>
      </c>
      <c r="I786">
        <f>IF(H786="UNPAID", AsOfDate-D786, 0)</f>
        <v/>
      </c>
      <c r="J786">
        <f>IF(F786&lt;&gt;"", TEXT(F786, "yyyy-mm"), "")</f>
        <v/>
      </c>
    </row>
    <row r="787">
      <c r="A787" t="inlineStr">
        <is>
          <t>RP0000786</t>
        </is>
      </c>
      <c r="B787" t="inlineStr">
        <is>
          <t>LN200116</t>
        </is>
      </c>
      <c r="C787" t="n">
        <v>3</v>
      </c>
      <c r="D787" s="8" t="n">
        <v>46099</v>
      </c>
      <c r="E787" s="9" t="n">
        <v>22140</v>
      </c>
      <c r="F787" s="8" t="n">
        <v>46096</v>
      </c>
      <c r="G787" s="9" t="n">
        <v>22140</v>
      </c>
      <c r="H787" t="inlineStr">
        <is>
          <t>PAID_ON_TIME</t>
        </is>
      </c>
      <c r="I787">
        <f>IF(H787="UNPAID", AsOfDate-D787, 0)</f>
        <v/>
      </c>
      <c r="J787">
        <f>IF(F787&lt;&gt;"", TEXT(F787, "yyyy-mm"), "")</f>
        <v/>
      </c>
    </row>
    <row r="788">
      <c r="A788" t="inlineStr">
        <is>
          <t>RP0000787</t>
        </is>
      </c>
      <c r="B788" t="inlineStr">
        <is>
          <t>LN200116</t>
        </is>
      </c>
      <c r="C788" t="n">
        <v>4</v>
      </c>
      <c r="D788" s="8" t="n">
        <v>46130</v>
      </c>
      <c r="E788" s="9" t="n">
        <v>22140</v>
      </c>
      <c r="F788" s="8" t="n">
        <v>46134</v>
      </c>
      <c r="G788" s="9" t="n">
        <v>22140</v>
      </c>
      <c r="H788" t="inlineStr">
        <is>
          <t>PAID_ON_TIME</t>
        </is>
      </c>
      <c r="I788">
        <f>IF(H788="UNPAID", AsOfDate-D788, 0)</f>
        <v/>
      </c>
      <c r="J788">
        <f>IF(F788&lt;&gt;"", TEXT(F788, "yyyy-mm"), "")</f>
        <v/>
      </c>
    </row>
    <row r="789">
      <c r="A789" t="inlineStr">
        <is>
          <t>RP0000788</t>
        </is>
      </c>
      <c r="B789" t="inlineStr">
        <is>
          <t>LN200116</t>
        </is>
      </c>
      <c r="C789" t="n">
        <v>5</v>
      </c>
      <c r="D789" s="8" t="n">
        <v>46160</v>
      </c>
      <c r="E789" s="9" t="n">
        <v>22140</v>
      </c>
      <c r="F789" s="8" t="n">
        <v>46160</v>
      </c>
      <c r="G789" s="9" t="n">
        <v>22140</v>
      </c>
      <c r="H789" t="inlineStr">
        <is>
          <t>PAID_ON_TIME</t>
        </is>
      </c>
      <c r="I789">
        <f>IF(H789="UNPAID", AsOfDate-D789, 0)</f>
        <v/>
      </c>
      <c r="J789">
        <f>IF(F789&lt;&gt;"", TEXT(F789, "yyyy-mm"), "")</f>
        <v/>
      </c>
    </row>
    <row r="790">
      <c r="A790" t="inlineStr">
        <is>
          <t>RP0000789</t>
        </is>
      </c>
      <c r="B790" t="inlineStr">
        <is>
          <t>LN200116</t>
        </is>
      </c>
      <c r="C790" t="n">
        <v>6</v>
      </c>
      <c r="D790" s="8" t="n">
        <v>46191</v>
      </c>
      <c r="E790" s="9" t="n">
        <v>22140</v>
      </c>
      <c r="F790" s="8" t="n">
        <v>46189</v>
      </c>
      <c r="G790" s="9" t="n">
        <v>22140</v>
      </c>
      <c r="H790" t="inlineStr">
        <is>
          <t>PAID_ON_TIME</t>
        </is>
      </c>
      <c r="I790">
        <f>IF(H790="UNPAID", AsOfDate-D790, 0)</f>
        <v/>
      </c>
      <c r="J790">
        <f>IF(F790&lt;&gt;"", TEXT(F790, "yyyy-mm"), "")</f>
        <v/>
      </c>
    </row>
    <row r="791">
      <c r="A791" t="inlineStr">
        <is>
          <t>RP0000790</t>
        </is>
      </c>
      <c r="B791" t="inlineStr">
        <is>
          <t>LN200118</t>
        </is>
      </c>
      <c r="C791" t="n">
        <v>1</v>
      </c>
      <c r="D791" s="8" t="n">
        <v>45913</v>
      </c>
      <c r="E791" s="9" t="n">
        <v>2781</v>
      </c>
      <c r="F791" s="8" t="n">
        <v>45971</v>
      </c>
      <c r="G791" s="9" t="n">
        <v>2781</v>
      </c>
      <c r="H791" t="inlineStr">
        <is>
          <t>PAID_LATE</t>
        </is>
      </c>
      <c r="I791">
        <f>IF(H791="UNPAID", AsOfDate-D791, 0)</f>
        <v/>
      </c>
      <c r="J791">
        <f>IF(F791&lt;&gt;"", TEXT(F791, "yyyy-mm"), "")</f>
        <v/>
      </c>
    </row>
    <row r="792">
      <c r="A792" t="inlineStr">
        <is>
          <t>RP0000791</t>
        </is>
      </c>
      <c r="B792" t="inlineStr">
        <is>
          <t>LN200118</t>
        </is>
      </c>
      <c r="C792" t="n">
        <v>2</v>
      </c>
      <c r="D792" s="8" t="n">
        <v>45943</v>
      </c>
      <c r="E792" s="9" t="n">
        <v>2781</v>
      </c>
      <c r="F792" s="8" t="n">
        <v>45940</v>
      </c>
      <c r="G792" s="9" t="n">
        <v>2781</v>
      </c>
      <c r="H792" t="inlineStr">
        <is>
          <t>PAID_ON_TIME</t>
        </is>
      </c>
      <c r="I792">
        <f>IF(H792="UNPAID", AsOfDate-D792, 0)</f>
        <v/>
      </c>
      <c r="J792">
        <f>IF(F792&lt;&gt;"", TEXT(F792, "yyyy-mm"), "")</f>
        <v/>
      </c>
    </row>
    <row r="793">
      <c r="A793" t="inlineStr">
        <is>
          <t>RP0000792</t>
        </is>
      </c>
      <c r="B793" t="inlineStr">
        <is>
          <t>LN200118</t>
        </is>
      </c>
      <c r="C793" t="n">
        <v>3</v>
      </c>
      <c r="D793" s="8" t="n">
        <v>45974</v>
      </c>
      <c r="E793" s="9" t="n">
        <v>2781</v>
      </c>
      <c r="F793" s="8" t="n">
        <v>46058</v>
      </c>
      <c r="G793" s="9" t="n">
        <v>2781</v>
      </c>
      <c r="H793" t="inlineStr">
        <is>
          <t>PAID_LATE</t>
        </is>
      </c>
      <c r="I793">
        <f>IF(H793="UNPAID", AsOfDate-D793, 0)</f>
        <v/>
      </c>
      <c r="J793">
        <f>IF(F793&lt;&gt;"", TEXT(F793, "yyyy-mm"), "")</f>
        <v/>
      </c>
    </row>
    <row r="794">
      <c r="A794" t="inlineStr">
        <is>
          <t>RP0000793</t>
        </is>
      </c>
      <c r="B794" t="inlineStr">
        <is>
          <t>LN200118</t>
        </is>
      </c>
      <c r="C794" t="n">
        <v>4</v>
      </c>
      <c r="D794" s="8" t="n">
        <v>46004</v>
      </c>
      <c r="E794" s="9" t="n">
        <v>2781</v>
      </c>
      <c r="F794" s="8" t="n">
        <v>46040</v>
      </c>
      <c r="G794" s="9" t="n">
        <v>2781</v>
      </c>
      <c r="H794" t="inlineStr">
        <is>
          <t>PAID_LATE</t>
        </is>
      </c>
      <c r="I794">
        <f>IF(H794="UNPAID", AsOfDate-D794, 0)</f>
        <v/>
      </c>
      <c r="J794">
        <f>IF(F794&lt;&gt;"", TEXT(F794, "yyyy-mm"), "")</f>
        <v/>
      </c>
    </row>
    <row r="795">
      <c r="A795" t="inlineStr">
        <is>
          <t>RP0000794</t>
        </is>
      </c>
      <c r="B795" t="inlineStr">
        <is>
          <t>LN200118</t>
        </is>
      </c>
      <c r="C795" t="n">
        <v>5</v>
      </c>
      <c r="D795" s="8" t="n">
        <v>46035</v>
      </c>
      <c r="E795" s="9" t="n">
        <v>2781</v>
      </c>
      <c r="F795" s="8" t="n">
        <v>46047</v>
      </c>
      <c r="G795" s="9" t="n">
        <v>2781</v>
      </c>
      <c r="H795" t="inlineStr">
        <is>
          <t>PAID_LATE</t>
        </is>
      </c>
      <c r="I795">
        <f>IF(H795="UNPAID", AsOfDate-D795, 0)</f>
        <v/>
      </c>
      <c r="J795">
        <f>IF(F795&lt;&gt;"", TEXT(F795, "yyyy-mm"), "")</f>
        <v/>
      </c>
    </row>
    <row r="796">
      <c r="A796" t="inlineStr">
        <is>
          <t>RP0000795</t>
        </is>
      </c>
      <c r="B796" t="inlineStr">
        <is>
          <t>LN200118</t>
        </is>
      </c>
      <c r="C796" t="n">
        <v>6</v>
      </c>
      <c r="D796" s="8" t="n">
        <v>46066</v>
      </c>
      <c r="E796" s="9" t="n">
        <v>2781</v>
      </c>
      <c r="F796" s="8" t="n">
        <v>46157</v>
      </c>
      <c r="G796" s="9" t="n">
        <v>2781</v>
      </c>
      <c r="H796" t="inlineStr">
        <is>
          <t>PAID_LATE</t>
        </is>
      </c>
      <c r="I796">
        <f>IF(H796="UNPAID", AsOfDate-D796, 0)</f>
        <v/>
      </c>
      <c r="J796">
        <f>IF(F796&lt;&gt;"", TEXT(F796, "yyyy-mm"), "")</f>
        <v/>
      </c>
    </row>
    <row r="797">
      <c r="A797" t="inlineStr">
        <is>
          <t>RP0000796</t>
        </is>
      </c>
      <c r="B797" t="inlineStr">
        <is>
          <t>LN200118</t>
        </is>
      </c>
      <c r="C797" t="n">
        <v>7</v>
      </c>
      <c r="D797" s="8" t="n">
        <v>46094</v>
      </c>
      <c r="E797" s="9" t="n">
        <v>2781</v>
      </c>
      <c r="F797" s="8" t="n">
        <v>46092</v>
      </c>
      <c r="G797" s="9" t="n">
        <v>2781</v>
      </c>
      <c r="H797" t="inlineStr">
        <is>
          <t>PAID_ON_TIME</t>
        </is>
      </c>
      <c r="I797">
        <f>IF(H797="UNPAID", AsOfDate-D797, 0)</f>
        <v/>
      </c>
      <c r="J797">
        <f>IF(F797&lt;&gt;"", TEXT(F797, "yyyy-mm"), "")</f>
        <v/>
      </c>
    </row>
    <row r="798">
      <c r="A798" t="inlineStr">
        <is>
          <t>RP0000797</t>
        </is>
      </c>
      <c r="B798" t="inlineStr">
        <is>
          <t>LN200118</t>
        </is>
      </c>
      <c r="C798" t="n">
        <v>8</v>
      </c>
      <c r="D798" s="8" t="n">
        <v>46125</v>
      </c>
      <c r="E798" s="9" t="n">
        <v>2781</v>
      </c>
      <c r="F798" s="8" t="n">
        <v>46124</v>
      </c>
      <c r="G798" s="9" t="n">
        <v>2781</v>
      </c>
      <c r="H798" t="inlineStr">
        <is>
          <t>PAID_ON_TIME</t>
        </is>
      </c>
      <c r="I798">
        <f>IF(H798="UNPAID", AsOfDate-D798, 0)</f>
        <v/>
      </c>
      <c r="J798">
        <f>IF(F798&lt;&gt;"", TEXT(F798, "yyyy-mm"), "")</f>
        <v/>
      </c>
    </row>
    <row r="799">
      <c r="A799" t="inlineStr">
        <is>
          <t>RP0000798</t>
        </is>
      </c>
      <c r="B799" t="inlineStr">
        <is>
          <t>LN200118</t>
        </is>
      </c>
      <c r="C799" t="n">
        <v>9</v>
      </c>
      <c r="D799" s="8" t="n">
        <v>46155</v>
      </c>
      <c r="E799" s="9" t="n">
        <v>2781</v>
      </c>
      <c r="F799" s="8" t="n">
        <v>46158</v>
      </c>
      <c r="G799" s="9" t="n">
        <v>2781</v>
      </c>
      <c r="H799" t="inlineStr">
        <is>
          <t>PAID_ON_TIME</t>
        </is>
      </c>
      <c r="I799">
        <f>IF(H799="UNPAID", AsOfDate-D799, 0)</f>
        <v/>
      </c>
      <c r="J799">
        <f>IF(F799&lt;&gt;"", TEXT(F799, "yyyy-mm"), "")</f>
        <v/>
      </c>
    </row>
    <row r="800">
      <c r="A800" t="inlineStr">
        <is>
          <t>RP0000799</t>
        </is>
      </c>
      <c r="B800" t="inlineStr">
        <is>
          <t>LN200118</t>
        </is>
      </c>
      <c r="C800" t="n">
        <v>10</v>
      </c>
      <c r="D800" s="8" t="n">
        <v>46186</v>
      </c>
      <c r="E800" s="9" t="n">
        <v>2781</v>
      </c>
      <c r="F800" s="8" t="n">
        <v>46185</v>
      </c>
      <c r="G800" s="9" t="n">
        <v>2781</v>
      </c>
      <c r="H800" t="inlineStr">
        <is>
          <t>PAID_ON_TIME</t>
        </is>
      </c>
      <c r="I800">
        <f>IF(H800="UNPAID", AsOfDate-D800, 0)</f>
        <v/>
      </c>
      <c r="J800">
        <f>IF(F800&lt;&gt;"", TEXT(F800, "yyyy-mm"), "")</f>
        <v/>
      </c>
    </row>
    <row r="801">
      <c r="A801" t="inlineStr">
        <is>
          <t>RP0000800</t>
        </is>
      </c>
      <c r="B801" t="inlineStr">
        <is>
          <t>LN200118</t>
        </is>
      </c>
      <c r="C801" t="n">
        <v>11</v>
      </c>
      <c r="D801" s="8" t="n">
        <v>46216</v>
      </c>
      <c r="E801" s="9" t="n">
        <v>2781</v>
      </c>
      <c r="F801" s="8" t="n">
        <v>46218</v>
      </c>
      <c r="G801" s="9" t="n">
        <v>2781</v>
      </c>
      <c r="H801" t="inlineStr">
        <is>
          <t>PAID_ON_TIME</t>
        </is>
      </c>
      <c r="I801">
        <f>IF(H801="UNPAID", AsOfDate-D801, 0)</f>
        <v/>
      </c>
      <c r="J801">
        <f>IF(F801&lt;&gt;"", TEXT(F801, "yyyy-mm"), "")</f>
        <v/>
      </c>
    </row>
    <row r="802">
      <c r="A802" t="inlineStr">
        <is>
          <t>RP0000801</t>
        </is>
      </c>
      <c r="B802" t="inlineStr">
        <is>
          <t>LN200118</t>
        </is>
      </c>
      <c r="C802" t="n">
        <v>12</v>
      </c>
      <c r="D802" s="8" t="n">
        <v>46247</v>
      </c>
      <c r="E802" s="9" t="n">
        <v>2781</v>
      </c>
      <c r="F802" s="8" t="n">
        <v>46250</v>
      </c>
      <c r="G802" s="9" t="n">
        <v>2781</v>
      </c>
      <c r="H802" t="inlineStr">
        <is>
          <t>PAID_ON_TIME</t>
        </is>
      </c>
      <c r="I802">
        <f>IF(H802="UNPAID", AsOfDate-D802, 0)</f>
        <v/>
      </c>
      <c r="J802">
        <f>IF(F802&lt;&gt;"", TEXT(F802, "yyyy-mm"), "")</f>
        <v/>
      </c>
    </row>
    <row r="803">
      <c r="A803" t="inlineStr">
        <is>
          <t>RP0000802</t>
        </is>
      </c>
      <c r="B803" t="inlineStr">
        <is>
          <t>LN200119</t>
        </is>
      </c>
      <c r="C803" t="n">
        <v>1</v>
      </c>
      <c r="D803" s="8" t="n">
        <v>45997</v>
      </c>
      <c r="E803" s="9" t="n">
        <v>3357.75</v>
      </c>
      <c r="F803" s="8" t="n">
        <v>45999</v>
      </c>
      <c r="G803" s="9" t="n">
        <v>3357.75</v>
      </c>
      <c r="H803" t="inlineStr">
        <is>
          <t>PAID_ON_TIME</t>
        </is>
      </c>
      <c r="I803">
        <f>IF(H803="UNPAID", AsOfDate-D803, 0)</f>
        <v/>
      </c>
      <c r="J803">
        <f>IF(F803&lt;&gt;"", TEXT(F803, "yyyy-mm"), "")</f>
        <v/>
      </c>
    </row>
    <row r="804">
      <c r="A804" t="inlineStr">
        <is>
          <t>RP0000803</t>
        </is>
      </c>
      <c r="B804" t="inlineStr">
        <is>
          <t>LN200119</t>
        </is>
      </c>
      <c r="C804" t="n">
        <v>2</v>
      </c>
      <c r="D804" s="8" t="n">
        <v>46028</v>
      </c>
      <c r="E804" s="9" t="n">
        <v>3357.75</v>
      </c>
      <c r="F804" s="8" t="n">
        <v>46062</v>
      </c>
      <c r="G804" s="9" t="n">
        <v>3357.75</v>
      </c>
      <c r="H804" t="inlineStr">
        <is>
          <t>PAID_LATE</t>
        </is>
      </c>
      <c r="I804">
        <f>IF(H804="UNPAID", AsOfDate-D804, 0)</f>
        <v/>
      </c>
      <c r="J804">
        <f>IF(F804&lt;&gt;"", TEXT(F804, "yyyy-mm"), "")</f>
        <v/>
      </c>
    </row>
    <row r="805">
      <c r="A805" t="inlineStr">
        <is>
          <t>RP0000804</t>
        </is>
      </c>
      <c r="B805" t="inlineStr">
        <is>
          <t>LN200119</t>
        </is>
      </c>
      <c r="C805" t="n">
        <v>3</v>
      </c>
      <c r="D805" s="8" t="n">
        <v>46059</v>
      </c>
      <c r="E805" s="9" t="n">
        <v>3357.75</v>
      </c>
      <c r="F805" s="8" t="n">
        <v>46056</v>
      </c>
      <c r="G805" s="9" t="n">
        <v>3357.75</v>
      </c>
      <c r="H805" t="inlineStr">
        <is>
          <t>PAID_ON_TIME</t>
        </is>
      </c>
      <c r="I805">
        <f>IF(H805="UNPAID", AsOfDate-D805, 0)</f>
        <v/>
      </c>
      <c r="J805">
        <f>IF(F805&lt;&gt;"", TEXT(F805, "yyyy-mm"), "")</f>
        <v/>
      </c>
    </row>
    <row r="806">
      <c r="A806" t="inlineStr">
        <is>
          <t>RP0000805</t>
        </is>
      </c>
      <c r="B806" t="inlineStr">
        <is>
          <t>LN200119</t>
        </is>
      </c>
      <c r="C806" t="n">
        <v>4</v>
      </c>
      <c r="D806" s="8" t="n">
        <v>46087</v>
      </c>
      <c r="E806" s="9" t="n">
        <v>3357.75</v>
      </c>
      <c r="F806" s="8" t="n">
        <v>46160</v>
      </c>
      <c r="G806" s="9" t="n">
        <v>3357.75</v>
      </c>
      <c r="H806" t="inlineStr">
        <is>
          <t>PAID_LATE</t>
        </is>
      </c>
      <c r="I806">
        <f>IF(H806="UNPAID", AsOfDate-D806, 0)</f>
        <v/>
      </c>
      <c r="J806">
        <f>IF(F806&lt;&gt;"", TEXT(F806, "yyyy-mm"), "")</f>
        <v/>
      </c>
    </row>
    <row r="807">
      <c r="A807" t="inlineStr">
        <is>
          <t>RP0000806</t>
        </is>
      </c>
      <c r="B807" t="inlineStr">
        <is>
          <t>LN200119</t>
        </is>
      </c>
      <c r="C807" t="n">
        <v>5</v>
      </c>
      <c r="D807" s="8" t="n">
        <v>46118</v>
      </c>
      <c r="E807" s="9" t="n">
        <v>3357.75</v>
      </c>
      <c r="F807" s="8" t="n"/>
      <c r="G807" s="9" t="n">
        <v>0</v>
      </c>
      <c r="H807" t="inlineStr">
        <is>
          <t>UNPAID</t>
        </is>
      </c>
      <c r="I807">
        <f>IF(H807="UNPAID", AsOfDate-D807, 0)</f>
        <v/>
      </c>
      <c r="J807">
        <f>IF(F807&lt;&gt;"", TEXT(F807, "yyyy-mm"), "")</f>
        <v/>
      </c>
    </row>
    <row r="808">
      <c r="A808" t="inlineStr">
        <is>
          <t>RP0000807</t>
        </is>
      </c>
      <c r="B808" t="inlineStr">
        <is>
          <t>LN200119</t>
        </is>
      </c>
      <c r="C808" t="n">
        <v>6</v>
      </c>
      <c r="D808" s="8" t="n">
        <v>46148</v>
      </c>
      <c r="E808" s="9" t="n">
        <v>3357.75</v>
      </c>
      <c r="F808" s="8" t="n">
        <v>46146</v>
      </c>
      <c r="G808" s="9" t="n">
        <v>3357.75</v>
      </c>
      <c r="H808" t="inlineStr">
        <is>
          <t>PAID_ON_TIME</t>
        </is>
      </c>
      <c r="I808">
        <f>IF(H808="UNPAID", AsOfDate-D808, 0)</f>
        <v/>
      </c>
      <c r="J808">
        <f>IF(F808&lt;&gt;"", TEXT(F808, "yyyy-mm"), "")</f>
        <v/>
      </c>
    </row>
    <row r="809">
      <c r="A809" t="inlineStr">
        <is>
          <t>RP0000808</t>
        </is>
      </c>
      <c r="B809" t="inlineStr">
        <is>
          <t>LN200119</t>
        </is>
      </c>
      <c r="C809" t="n">
        <v>7</v>
      </c>
      <c r="D809" s="8" t="n">
        <v>46179</v>
      </c>
      <c r="E809" s="9" t="n">
        <v>3357.75</v>
      </c>
      <c r="F809" s="8" t="n">
        <v>46180</v>
      </c>
      <c r="G809" s="9" t="n">
        <v>3357.75</v>
      </c>
      <c r="H809" t="inlineStr">
        <is>
          <t>PAID_ON_TIME</t>
        </is>
      </c>
      <c r="I809">
        <f>IF(H809="UNPAID", AsOfDate-D809, 0)</f>
        <v/>
      </c>
      <c r="J809">
        <f>IF(F809&lt;&gt;"", TEXT(F809, "yyyy-mm"), "")</f>
        <v/>
      </c>
    </row>
    <row r="810">
      <c r="A810" t="inlineStr">
        <is>
          <t>RP0000809</t>
        </is>
      </c>
      <c r="B810" t="inlineStr">
        <is>
          <t>LN200119</t>
        </is>
      </c>
      <c r="C810" t="n">
        <v>8</v>
      </c>
      <c r="D810" s="8" t="n">
        <v>46209</v>
      </c>
      <c r="E810" s="9" t="n">
        <v>3357.75</v>
      </c>
      <c r="F810" s="8" t="n">
        <v>46255</v>
      </c>
      <c r="G810" s="9" t="n">
        <v>3357.75</v>
      </c>
      <c r="H810" t="inlineStr">
        <is>
          <t>PAID_LATE</t>
        </is>
      </c>
      <c r="I810">
        <f>IF(H810="UNPAID", AsOfDate-D810, 0)</f>
        <v/>
      </c>
      <c r="J810">
        <f>IF(F810&lt;&gt;"", TEXT(F810, "yyyy-mm"), "")</f>
        <v/>
      </c>
    </row>
    <row r="811">
      <c r="A811" t="inlineStr">
        <is>
          <t>RP0000810</t>
        </is>
      </c>
      <c r="B811" t="inlineStr">
        <is>
          <t>LN200119</t>
        </is>
      </c>
      <c r="C811" t="n">
        <v>9</v>
      </c>
      <c r="D811" s="8" t="n">
        <v>46240</v>
      </c>
      <c r="E811" s="9" t="n">
        <v>3357.75</v>
      </c>
      <c r="F811" s="8" t="n">
        <v>46239</v>
      </c>
      <c r="G811" s="9" t="n">
        <v>3357.75</v>
      </c>
      <c r="H811" t="inlineStr">
        <is>
          <t>PAID_ON_TIME</t>
        </is>
      </c>
      <c r="I811">
        <f>IF(H811="UNPAID", AsOfDate-D811, 0)</f>
        <v/>
      </c>
      <c r="J811">
        <f>IF(F811&lt;&gt;"", TEXT(F811, "yyyy-mm"), "")</f>
        <v/>
      </c>
    </row>
    <row r="812">
      <c r="A812" t="inlineStr">
        <is>
          <t>RP0000811</t>
        </is>
      </c>
      <c r="B812" t="inlineStr">
        <is>
          <t>LN200119</t>
        </is>
      </c>
      <c r="C812" t="n">
        <v>10</v>
      </c>
      <c r="D812" s="8" t="n">
        <v>46271</v>
      </c>
      <c r="E812" s="9" t="n">
        <v>3357.75</v>
      </c>
      <c r="F812" s="8" t="n"/>
      <c r="G812" s="9" t="n">
        <v>0</v>
      </c>
      <c r="H812" t="inlineStr">
        <is>
          <t>NOT_DUE</t>
        </is>
      </c>
      <c r="I812">
        <f>IF(H812="UNPAID", AsOfDate-D812, 0)</f>
        <v/>
      </c>
      <c r="J812">
        <f>IF(F812&lt;&gt;"", TEXT(F812, "yyyy-mm"), "")</f>
        <v/>
      </c>
    </row>
    <row r="813">
      <c r="A813" t="inlineStr">
        <is>
          <t>RP0000812</t>
        </is>
      </c>
      <c r="B813" t="inlineStr">
        <is>
          <t>LN200119</t>
        </is>
      </c>
      <c r="C813" t="n">
        <v>11</v>
      </c>
      <c r="D813" s="8" t="n">
        <v>46301</v>
      </c>
      <c r="E813" s="9" t="n">
        <v>3357.75</v>
      </c>
      <c r="F813" s="8" t="n"/>
      <c r="G813" s="9" t="n">
        <v>0</v>
      </c>
      <c r="H813" t="inlineStr">
        <is>
          <t>NOT_DUE</t>
        </is>
      </c>
      <c r="I813">
        <f>IF(H813="UNPAID", AsOfDate-D813, 0)</f>
        <v/>
      </c>
      <c r="J813">
        <f>IF(F813&lt;&gt;"", TEXT(F813, "yyyy-mm"), "")</f>
        <v/>
      </c>
    </row>
    <row r="814">
      <c r="A814" t="inlineStr">
        <is>
          <t>RP0000813</t>
        </is>
      </c>
      <c r="B814" t="inlineStr">
        <is>
          <t>LN200119</t>
        </is>
      </c>
      <c r="C814" t="n">
        <v>12</v>
      </c>
      <c r="D814" s="8" t="n">
        <v>46332</v>
      </c>
      <c r="E814" s="9" t="n">
        <v>3357.75</v>
      </c>
      <c r="F814" s="8" t="n"/>
      <c r="G814" s="9" t="n">
        <v>0</v>
      </c>
      <c r="H814" t="inlineStr">
        <is>
          <t>NOT_DUE</t>
        </is>
      </c>
      <c r="I814">
        <f>IF(H814="UNPAID", AsOfDate-D814, 0)</f>
        <v/>
      </c>
      <c r="J814">
        <f>IF(F814&lt;&gt;"", TEXT(F814, "yyyy-mm"), "")</f>
        <v/>
      </c>
    </row>
    <row r="815">
      <c r="A815" t="inlineStr">
        <is>
          <t>RP0000814</t>
        </is>
      </c>
      <c r="B815" t="inlineStr">
        <is>
          <t>LN200120</t>
        </is>
      </c>
      <c r="C815" t="n">
        <v>1</v>
      </c>
      <c r="D815" s="8" t="n">
        <v>45807</v>
      </c>
      <c r="E815" s="9" t="n">
        <v>29928</v>
      </c>
      <c r="F815" s="8" t="n">
        <v>45806</v>
      </c>
      <c r="G815" s="9" t="n">
        <v>29928</v>
      </c>
      <c r="H815" t="inlineStr">
        <is>
          <t>PAID_ON_TIME</t>
        </is>
      </c>
      <c r="I815">
        <f>IF(H815="UNPAID", AsOfDate-D815, 0)</f>
        <v/>
      </c>
      <c r="J815">
        <f>IF(F815&lt;&gt;"", TEXT(F815, "yyyy-mm"), "")</f>
        <v/>
      </c>
    </row>
    <row r="816">
      <c r="A816" t="inlineStr">
        <is>
          <t>RP0000815</t>
        </is>
      </c>
      <c r="B816" t="inlineStr">
        <is>
          <t>LN200120</t>
        </is>
      </c>
      <c r="C816" t="n">
        <v>2</v>
      </c>
      <c r="D816" s="8" t="n">
        <v>45838</v>
      </c>
      <c r="E816" s="9" t="n">
        <v>29928</v>
      </c>
      <c r="F816" s="8" t="n"/>
      <c r="G816" s="9" t="n">
        <v>0</v>
      </c>
      <c r="H816" t="inlineStr">
        <is>
          <t>UNPAID</t>
        </is>
      </c>
      <c r="I816">
        <f>IF(H816="UNPAID", AsOfDate-D816, 0)</f>
        <v/>
      </c>
      <c r="J816">
        <f>IF(F816&lt;&gt;"", TEXT(F816, "yyyy-mm"), "")</f>
        <v/>
      </c>
    </row>
    <row r="817">
      <c r="A817" t="inlineStr">
        <is>
          <t>RP0000816</t>
        </is>
      </c>
      <c r="B817" t="inlineStr">
        <is>
          <t>LN200120</t>
        </is>
      </c>
      <c r="C817" t="n">
        <v>3</v>
      </c>
      <c r="D817" s="8" t="n">
        <v>45868</v>
      </c>
      <c r="E817" s="9" t="n">
        <v>29928</v>
      </c>
      <c r="F817" s="8" t="n">
        <v>45870</v>
      </c>
      <c r="G817" s="9" t="n">
        <v>29928</v>
      </c>
      <c r="H817" t="inlineStr">
        <is>
          <t>PAID_ON_TIME</t>
        </is>
      </c>
      <c r="I817">
        <f>IF(H817="UNPAID", AsOfDate-D817, 0)</f>
        <v/>
      </c>
      <c r="J817">
        <f>IF(F817&lt;&gt;"", TEXT(F817, "yyyy-mm"), "")</f>
        <v/>
      </c>
    </row>
    <row r="818">
      <c r="A818" t="inlineStr">
        <is>
          <t>RP0000817</t>
        </is>
      </c>
      <c r="B818" t="inlineStr">
        <is>
          <t>LN200121</t>
        </is>
      </c>
      <c r="C818" t="n">
        <v>1</v>
      </c>
      <c r="D818" s="8" t="n">
        <v>45767</v>
      </c>
      <c r="E818" s="9" t="n">
        <v>36163.75</v>
      </c>
      <c r="F818" s="8" t="n">
        <v>45764</v>
      </c>
      <c r="G818" s="9" t="n">
        <v>36163.75</v>
      </c>
      <c r="H818" t="inlineStr">
        <is>
          <t>PAID_ON_TIME</t>
        </is>
      </c>
      <c r="I818">
        <f>IF(H818="UNPAID", AsOfDate-D818, 0)</f>
        <v/>
      </c>
      <c r="J818">
        <f>IF(F818&lt;&gt;"", TEXT(F818, "yyyy-mm"), "")</f>
        <v/>
      </c>
    </row>
    <row r="819">
      <c r="A819" t="inlineStr">
        <is>
          <t>RP0000818</t>
        </is>
      </c>
      <c r="B819" t="inlineStr">
        <is>
          <t>LN200121</t>
        </is>
      </c>
      <c r="C819" t="n">
        <v>2</v>
      </c>
      <c r="D819" s="8" t="n">
        <v>45797</v>
      </c>
      <c r="E819" s="9" t="n">
        <v>36163.75</v>
      </c>
      <c r="F819" s="8" t="n">
        <v>45800</v>
      </c>
      <c r="G819" s="9" t="n">
        <v>36163.75</v>
      </c>
      <c r="H819" t="inlineStr">
        <is>
          <t>PAID_ON_TIME</t>
        </is>
      </c>
      <c r="I819">
        <f>IF(H819="UNPAID", AsOfDate-D819, 0)</f>
        <v/>
      </c>
      <c r="J819">
        <f>IF(F819&lt;&gt;"", TEXT(F819, "yyyy-mm"), "")</f>
        <v/>
      </c>
    </row>
    <row r="820">
      <c r="A820" t="inlineStr">
        <is>
          <t>RP0000819</t>
        </is>
      </c>
      <c r="B820" t="inlineStr">
        <is>
          <t>LN200121</t>
        </is>
      </c>
      <c r="C820" t="n">
        <v>3</v>
      </c>
      <c r="D820" s="8" t="n">
        <v>45828</v>
      </c>
      <c r="E820" s="9" t="n">
        <v>36163.75</v>
      </c>
      <c r="F820" s="8" t="n">
        <v>45826</v>
      </c>
      <c r="G820" s="9" t="n">
        <v>36163.75</v>
      </c>
      <c r="H820" t="inlineStr">
        <is>
          <t>PAID_ON_TIME</t>
        </is>
      </c>
      <c r="I820">
        <f>IF(H820="UNPAID", AsOfDate-D820, 0)</f>
        <v/>
      </c>
      <c r="J820">
        <f>IF(F820&lt;&gt;"", TEXT(F820, "yyyy-mm"), "")</f>
        <v/>
      </c>
    </row>
    <row r="821">
      <c r="A821" t="inlineStr">
        <is>
          <t>RP0000820</t>
        </is>
      </c>
      <c r="B821" t="inlineStr">
        <is>
          <t>LN200122</t>
        </is>
      </c>
      <c r="C821" t="n">
        <v>1</v>
      </c>
      <c r="D821" s="8" t="n">
        <v>46050</v>
      </c>
      <c r="E821" s="9" t="n">
        <v>29376</v>
      </c>
      <c r="F821" s="8" t="n">
        <v>46048</v>
      </c>
      <c r="G821" s="9" t="n">
        <v>29376</v>
      </c>
      <c r="H821" t="inlineStr">
        <is>
          <t>PAID_ON_TIME</t>
        </is>
      </c>
      <c r="I821">
        <f>IF(H821="UNPAID", AsOfDate-D821, 0)</f>
        <v/>
      </c>
      <c r="J821">
        <f>IF(F821&lt;&gt;"", TEXT(F821, "yyyy-mm"), "")</f>
        <v/>
      </c>
    </row>
    <row r="822">
      <c r="A822" t="inlineStr">
        <is>
          <t>RP0000821</t>
        </is>
      </c>
      <c r="B822" t="inlineStr">
        <is>
          <t>LN200122</t>
        </is>
      </c>
      <c r="C822" t="n">
        <v>2</v>
      </c>
      <c r="D822" s="8" t="n">
        <v>46081</v>
      </c>
      <c r="E822" s="9" t="n">
        <v>29376</v>
      </c>
      <c r="F822" s="8" t="n">
        <v>46080</v>
      </c>
      <c r="G822" s="9" t="n">
        <v>29376</v>
      </c>
      <c r="H822" t="inlineStr">
        <is>
          <t>PAID_ON_TIME</t>
        </is>
      </c>
      <c r="I822">
        <f>IF(H822="UNPAID", AsOfDate-D822, 0)</f>
        <v/>
      </c>
      <c r="J822">
        <f>IF(F822&lt;&gt;"", TEXT(F822, "yyyy-mm"), "")</f>
        <v/>
      </c>
    </row>
    <row r="823">
      <c r="A823" t="inlineStr">
        <is>
          <t>RP0000822</t>
        </is>
      </c>
      <c r="B823" t="inlineStr">
        <is>
          <t>LN200122</t>
        </is>
      </c>
      <c r="C823" t="n">
        <v>3</v>
      </c>
      <c r="D823" s="8" t="n">
        <v>46109</v>
      </c>
      <c r="E823" s="9" t="n">
        <v>29376</v>
      </c>
      <c r="F823" s="8" t="n">
        <v>46111</v>
      </c>
      <c r="G823" s="9" t="n">
        <v>29376</v>
      </c>
      <c r="H823" t="inlineStr">
        <is>
          <t>PAID_ON_TIME</t>
        </is>
      </c>
      <c r="I823">
        <f>IF(H823="UNPAID", AsOfDate-D823, 0)</f>
        <v/>
      </c>
      <c r="J823">
        <f>IF(F823&lt;&gt;"", TEXT(F823, "yyyy-mm"), "")</f>
        <v/>
      </c>
    </row>
    <row r="824">
      <c r="A824" t="inlineStr">
        <is>
          <t>RP0000823</t>
        </is>
      </c>
      <c r="B824" t="inlineStr">
        <is>
          <t>LN200122</t>
        </is>
      </c>
      <c r="C824" t="n">
        <v>4</v>
      </c>
      <c r="D824" s="8" t="n">
        <v>46140</v>
      </c>
      <c r="E824" s="9" t="n">
        <v>29376</v>
      </c>
      <c r="F824" s="8" t="n">
        <v>46137</v>
      </c>
      <c r="G824" s="9" t="n">
        <v>29376</v>
      </c>
      <c r="H824" t="inlineStr">
        <is>
          <t>PAID_ON_TIME</t>
        </is>
      </c>
      <c r="I824">
        <f>IF(H824="UNPAID", AsOfDate-D824, 0)</f>
        <v/>
      </c>
      <c r="J824">
        <f>IF(F824&lt;&gt;"", TEXT(F824, "yyyy-mm"), "")</f>
        <v/>
      </c>
    </row>
    <row r="825">
      <c r="A825" t="inlineStr">
        <is>
          <t>RP0000824</t>
        </is>
      </c>
      <c r="B825" t="inlineStr">
        <is>
          <t>LN200122</t>
        </is>
      </c>
      <c r="C825" t="n">
        <v>5</v>
      </c>
      <c r="D825" s="8" t="n">
        <v>46170</v>
      </c>
      <c r="E825" s="9" t="n">
        <v>29376</v>
      </c>
      <c r="F825" s="8" t="n">
        <v>46171</v>
      </c>
      <c r="G825" s="9" t="n">
        <v>29376</v>
      </c>
      <c r="H825" t="inlineStr">
        <is>
          <t>PAID_ON_TIME</t>
        </is>
      </c>
      <c r="I825">
        <f>IF(H825="UNPAID", AsOfDate-D825, 0)</f>
        <v/>
      </c>
      <c r="J825">
        <f>IF(F825&lt;&gt;"", TEXT(F825, "yyyy-mm"), "")</f>
        <v/>
      </c>
    </row>
    <row r="826">
      <c r="A826" t="inlineStr">
        <is>
          <t>RP0000825</t>
        </is>
      </c>
      <c r="B826" t="inlineStr">
        <is>
          <t>LN200122</t>
        </is>
      </c>
      <c r="C826" t="n">
        <v>6</v>
      </c>
      <c r="D826" s="8" t="n">
        <v>46201</v>
      </c>
      <c r="E826" s="9" t="n">
        <v>29376</v>
      </c>
      <c r="F826" s="8" t="n">
        <v>46199</v>
      </c>
      <c r="G826" s="9" t="n">
        <v>29376</v>
      </c>
      <c r="H826" t="inlineStr">
        <is>
          <t>PAID_ON_TIME</t>
        </is>
      </c>
      <c r="I826">
        <f>IF(H826="UNPAID", AsOfDate-D826, 0)</f>
        <v/>
      </c>
      <c r="J826">
        <f>IF(F826&lt;&gt;"", TEXT(F826, "yyyy-mm"), "")</f>
        <v/>
      </c>
    </row>
    <row r="827">
      <c r="A827" t="inlineStr">
        <is>
          <t>RP0000826</t>
        </is>
      </c>
      <c r="B827" t="inlineStr">
        <is>
          <t>LN200122</t>
        </is>
      </c>
      <c r="C827" t="n">
        <v>7</v>
      </c>
      <c r="D827" s="8" t="n">
        <v>46231</v>
      </c>
      <c r="E827" s="9" t="n">
        <v>29376</v>
      </c>
      <c r="F827" s="8" t="n">
        <v>46230</v>
      </c>
      <c r="G827" s="9" t="n">
        <v>29376</v>
      </c>
      <c r="H827" t="inlineStr">
        <is>
          <t>PAID_ON_TIME</t>
        </is>
      </c>
      <c r="I827">
        <f>IF(H827="UNPAID", AsOfDate-D827, 0)</f>
        <v/>
      </c>
      <c r="J827">
        <f>IF(F827&lt;&gt;"", TEXT(F827, "yyyy-mm"), "")</f>
        <v/>
      </c>
    </row>
    <row r="828">
      <c r="A828" t="inlineStr">
        <is>
          <t>RP0000827</t>
        </is>
      </c>
      <c r="B828" t="inlineStr">
        <is>
          <t>LN200122</t>
        </is>
      </c>
      <c r="C828" t="n">
        <v>8</v>
      </c>
      <c r="D828" s="8" t="n">
        <v>46262</v>
      </c>
      <c r="E828" s="9" t="n">
        <v>29376</v>
      </c>
      <c r="F828" s="8" t="n">
        <v>46266</v>
      </c>
      <c r="G828" s="9" t="n">
        <v>29376</v>
      </c>
      <c r="H828" t="inlineStr">
        <is>
          <t>PAID_ON_TIME</t>
        </is>
      </c>
      <c r="I828">
        <f>IF(H828="UNPAID", AsOfDate-D828, 0)</f>
        <v/>
      </c>
      <c r="J828">
        <f>IF(F828&lt;&gt;"", TEXT(F828, "yyyy-mm"), "")</f>
        <v/>
      </c>
    </row>
    <row r="829">
      <c r="A829" t="inlineStr">
        <is>
          <t>RP0000828</t>
        </is>
      </c>
      <c r="B829" t="inlineStr">
        <is>
          <t>LN200122</t>
        </is>
      </c>
      <c r="C829" t="n">
        <v>9</v>
      </c>
      <c r="D829" s="8" t="n">
        <v>46293</v>
      </c>
      <c r="E829" s="9" t="n">
        <v>29376</v>
      </c>
      <c r="F829" s="8" t="n"/>
      <c r="G829" s="9" t="n">
        <v>0</v>
      </c>
      <c r="H829" t="inlineStr">
        <is>
          <t>NOT_DUE</t>
        </is>
      </c>
      <c r="I829">
        <f>IF(H829="UNPAID", AsOfDate-D829, 0)</f>
        <v/>
      </c>
      <c r="J829">
        <f>IF(F829&lt;&gt;"", TEXT(F829, "yyyy-mm"), "")</f>
        <v/>
      </c>
    </row>
    <row r="830">
      <c r="A830" t="inlineStr">
        <is>
          <t>RP0000829</t>
        </is>
      </c>
      <c r="B830" t="inlineStr">
        <is>
          <t>LN200122</t>
        </is>
      </c>
      <c r="C830" t="n">
        <v>10</v>
      </c>
      <c r="D830" s="8" t="n">
        <v>46323</v>
      </c>
      <c r="E830" s="9" t="n">
        <v>29376</v>
      </c>
      <c r="F830" s="8" t="n"/>
      <c r="G830" s="9" t="n">
        <v>0</v>
      </c>
      <c r="H830" t="inlineStr">
        <is>
          <t>NOT_DUE</t>
        </is>
      </c>
      <c r="I830">
        <f>IF(H830="UNPAID", AsOfDate-D830, 0)</f>
        <v/>
      </c>
      <c r="J830">
        <f>IF(F830&lt;&gt;"", TEXT(F830, "yyyy-mm"), "")</f>
        <v/>
      </c>
    </row>
    <row r="831">
      <c r="A831" t="inlineStr">
        <is>
          <t>RP0000830</t>
        </is>
      </c>
      <c r="B831" t="inlineStr">
        <is>
          <t>LN200122</t>
        </is>
      </c>
      <c r="C831" t="n">
        <v>11</v>
      </c>
      <c r="D831" s="8" t="n">
        <v>46354</v>
      </c>
      <c r="E831" s="9" t="n">
        <v>29376</v>
      </c>
      <c r="F831" s="8" t="n"/>
      <c r="G831" s="9" t="n">
        <v>0</v>
      </c>
      <c r="H831" t="inlineStr">
        <is>
          <t>NOT_DUE</t>
        </is>
      </c>
      <c r="I831">
        <f>IF(H831="UNPAID", AsOfDate-D831, 0)</f>
        <v/>
      </c>
      <c r="J831">
        <f>IF(F831&lt;&gt;"", TEXT(F831, "yyyy-mm"), "")</f>
        <v/>
      </c>
    </row>
    <row r="832">
      <c r="A832" t="inlineStr">
        <is>
          <t>RP0000831</t>
        </is>
      </c>
      <c r="B832" t="inlineStr">
        <is>
          <t>LN200122</t>
        </is>
      </c>
      <c r="C832" t="n">
        <v>12</v>
      </c>
      <c r="D832" s="8" t="n">
        <v>46384</v>
      </c>
      <c r="E832" s="9" t="n">
        <v>29376</v>
      </c>
      <c r="F832" s="8" t="n"/>
      <c r="G832" s="9" t="n">
        <v>0</v>
      </c>
      <c r="H832" t="inlineStr">
        <is>
          <t>NOT_DUE</t>
        </is>
      </c>
      <c r="I832">
        <f>IF(H832="UNPAID", AsOfDate-D832, 0)</f>
        <v/>
      </c>
      <c r="J832">
        <f>IF(F832&lt;&gt;"", TEXT(F832, "yyyy-mm"), "")</f>
        <v/>
      </c>
    </row>
    <row r="833">
      <c r="A833" t="inlineStr">
        <is>
          <t>RP0000832</t>
        </is>
      </c>
      <c r="B833" t="inlineStr">
        <is>
          <t>LN200123</t>
        </is>
      </c>
      <c r="C833" t="n">
        <v>1</v>
      </c>
      <c r="D833" s="8" t="n">
        <v>46091</v>
      </c>
      <c r="E833" s="9" t="n">
        <v>29425</v>
      </c>
      <c r="F833" s="8" t="n">
        <v>46094</v>
      </c>
      <c r="G833" s="9" t="n">
        <v>29425</v>
      </c>
      <c r="H833" t="inlineStr">
        <is>
          <t>PAID_ON_TIME</t>
        </is>
      </c>
      <c r="I833">
        <f>IF(H833="UNPAID", AsOfDate-D833, 0)</f>
        <v/>
      </c>
      <c r="J833">
        <f>IF(F833&lt;&gt;"", TEXT(F833, "yyyy-mm"), "")</f>
        <v/>
      </c>
    </row>
    <row r="834">
      <c r="A834" t="inlineStr">
        <is>
          <t>RP0000833</t>
        </is>
      </c>
      <c r="B834" t="inlineStr">
        <is>
          <t>LN200123</t>
        </is>
      </c>
      <c r="C834" t="n">
        <v>2</v>
      </c>
      <c r="D834" s="8" t="n">
        <v>46122</v>
      </c>
      <c r="E834" s="9" t="n">
        <v>29425</v>
      </c>
      <c r="F834" s="8" t="n">
        <v>46135</v>
      </c>
      <c r="G834" s="9" t="n">
        <v>29425</v>
      </c>
      <c r="H834" t="inlineStr">
        <is>
          <t>PAID_LATE</t>
        </is>
      </c>
      <c r="I834">
        <f>IF(H834="UNPAID", AsOfDate-D834, 0)</f>
        <v/>
      </c>
      <c r="J834">
        <f>IF(F834&lt;&gt;"", TEXT(F834, "yyyy-mm"), "")</f>
        <v/>
      </c>
    </row>
    <row r="835">
      <c r="A835" t="inlineStr">
        <is>
          <t>RP0000834</t>
        </is>
      </c>
      <c r="B835" t="inlineStr">
        <is>
          <t>LN200123</t>
        </is>
      </c>
      <c r="C835" t="n">
        <v>3</v>
      </c>
      <c r="D835" s="8" t="n">
        <v>46152</v>
      </c>
      <c r="E835" s="9" t="n">
        <v>29425</v>
      </c>
      <c r="F835" s="8" t="n">
        <v>46149</v>
      </c>
      <c r="G835" s="9" t="n">
        <v>29425</v>
      </c>
      <c r="H835" t="inlineStr">
        <is>
          <t>PAID_ON_TIME</t>
        </is>
      </c>
      <c r="I835">
        <f>IF(H835="UNPAID", AsOfDate-D835, 0)</f>
        <v/>
      </c>
      <c r="J835">
        <f>IF(F835&lt;&gt;"", TEXT(F835, "yyyy-mm"), "")</f>
        <v/>
      </c>
    </row>
    <row r="836">
      <c r="A836" t="inlineStr">
        <is>
          <t>RP0000835</t>
        </is>
      </c>
      <c r="B836" t="inlineStr">
        <is>
          <t>LN200123</t>
        </is>
      </c>
      <c r="C836" t="n">
        <v>4</v>
      </c>
      <c r="D836" s="8" t="n">
        <v>46183</v>
      </c>
      <c r="E836" s="9" t="n">
        <v>29425</v>
      </c>
      <c r="F836" s="8" t="n">
        <v>46181</v>
      </c>
      <c r="G836" s="9" t="n">
        <v>29425</v>
      </c>
      <c r="H836" t="inlineStr">
        <is>
          <t>PAID_ON_TIME</t>
        </is>
      </c>
      <c r="I836">
        <f>IF(H836="UNPAID", AsOfDate-D836, 0)</f>
        <v/>
      </c>
      <c r="J836">
        <f>IF(F836&lt;&gt;"", TEXT(F836, "yyyy-mm"), "")</f>
        <v/>
      </c>
    </row>
    <row r="837">
      <c r="A837" t="inlineStr">
        <is>
          <t>RP0000836</t>
        </is>
      </c>
      <c r="B837" t="inlineStr">
        <is>
          <t>LN200123</t>
        </is>
      </c>
      <c r="C837" t="n">
        <v>5</v>
      </c>
      <c r="D837" s="8" t="n">
        <v>46213</v>
      </c>
      <c r="E837" s="9" t="n">
        <v>29425</v>
      </c>
      <c r="F837" s="8" t="n">
        <v>46217</v>
      </c>
      <c r="G837" s="9" t="n">
        <v>29425</v>
      </c>
      <c r="H837" t="inlineStr">
        <is>
          <t>PAID_ON_TIME</t>
        </is>
      </c>
      <c r="I837">
        <f>IF(H837="UNPAID", AsOfDate-D837, 0)</f>
        <v/>
      </c>
      <c r="J837">
        <f>IF(F837&lt;&gt;"", TEXT(F837, "yyyy-mm"), "")</f>
        <v/>
      </c>
    </row>
    <row r="838">
      <c r="A838" t="inlineStr">
        <is>
          <t>RP0000837</t>
        </is>
      </c>
      <c r="B838" t="inlineStr">
        <is>
          <t>LN200123</t>
        </is>
      </c>
      <c r="C838" t="n">
        <v>6</v>
      </c>
      <c r="D838" s="8" t="n">
        <v>46244</v>
      </c>
      <c r="E838" s="9" t="n">
        <v>29425</v>
      </c>
      <c r="F838" s="8" t="n">
        <v>46242</v>
      </c>
      <c r="G838" s="9" t="n">
        <v>29425</v>
      </c>
      <c r="H838" t="inlineStr">
        <is>
          <t>PAID_ON_TIME</t>
        </is>
      </c>
      <c r="I838">
        <f>IF(H838="UNPAID", AsOfDate-D838, 0)</f>
        <v/>
      </c>
      <c r="J838">
        <f>IF(F838&lt;&gt;"", TEXT(F838, "yyyy-mm"), "")</f>
        <v/>
      </c>
    </row>
    <row r="839">
      <c r="A839" t="inlineStr">
        <is>
          <t>RP0000838</t>
        </is>
      </c>
      <c r="B839" t="inlineStr">
        <is>
          <t>LN200124</t>
        </is>
      </c>
      <c r="C839" t="n">
        <v>1</v>
      </c>
      <c r="D839" s="8" t="n">
        <v>46061</v>
      </c>
      <c r="E839" s="9" t="n">
        <v>15306.47</v>
      </c>
      <c r="F839" s="8" t="n">
        <v>46058</v>
      </c>
      <c r="G839" s="9" t="n">
        <v>15306.47</v>
      </c>
      <c r="H839" t="inlineStr">
        <is>
          <t>PAID_ON_TIME</t>
        </is>
      </c>
      <c r="I839">
        <f>IF(H839="UNPAID", AsOfDate-D839, 0)</f>
        <v/>
      </c>
      <c r="J839">
        <f>IF(F839&lt;&gt;"", TEXT(F839, "yyyy-mm"), "")</f>
        <v/>
      </c>
    </row>
    <row r="840">
      <c r="A840" t="inlineStr">
        <is>
          <t>RP0000839</t>
        </is>
      </c>
      <c r="B840" t="inlineStr">
        <is>
          <t>LN200124</t>
        </is>
      </c>
      <c r="C840" t="n">
        <v>2</v>
      </c>
      <c r="D840" s="8" t="n">
        <v>46089</v>
      </c>
      <c r="E840" s="9" t="n">
        <v>15306.47</v>
      </c>
      <c r="F840" s="8" t="n">
        <v>46091</v>
      </c>
      <c r="G840" s="9" t="n">
        <v>15306.47</v>
      </c>
      <c r="H840" t="inlineStr">
        <is>
          <t>PAID_ON_TIME</t>
        </is>
      </c>
      <c r="I840">
        <f>IF(H840="UNPAID", AsOfDate-D840, 0)</f>
        <v/>
      </c>
      <c r="J840">
        <f>IF(F840&lt;&gt;"", TEXT(F840, "yyyy-mm"), "")</f>
        <v/>
      </c>
    </row>
    <row r="841">
      <c r="A841" t="inlineStr">
        <is>
          <t>RP0000840</t>
        </is>
      </c>
      <c r="B841" t="inlineStr">
        <is>
          <t>LN200124</t>
        </is>
      </c>
      <c r="C841" t="n">
        <v>3</v>
      </c>
      <c r="D841" s="8" t="n">
        <v>46120</v>
      </c>
      <c r="E841" s="9" t="n">
        <v>15306.47</v>
      </c>
      <c r="F841" s="8" t="n">
        <v>46121</v>
      </c>
      <c r="G841" s="9" t="n">
        <v>15306.47</v>
      </c>
      <c r="H841" t="inlineStr">
        <is>
          <t>PAID_ON_TIME</t>
        </is>
      </c>
      <c r="I841">
        <f>IF(H841="UNPAID", AsOfDate-D841, 0)</f>
        <v/>
      </c>
      <c r="J841">
        <f>IF(F841&lt;&gt;"", TEXT(F841, "yyyy-mm"), "")</f>
        <v/>
      </c>
    </row>
    <row r="842">
      <c r="A842" t="inlineStr">
        <is>
          <t>RP0000841</t>
        </is>
      </c>
      <c r="B842" t="inlineStr">
        <is>
          <t>LN200124</t>
        </is>
      </c>
      <c r="C842" t="n">
        <v>4</v>
      </c>
      <c r="D842" s="8" t="n">
        <v>46150</v>
      </c>
      <c r="E842" s="9" t="n">
        <v>15306.47</v>
      </c>
      <c r="F842" s="8" t="n">
        <v>46148</v>
      </c>
      <c r="G842" s="9" t="n">
        <v>15306.47</v>
      </c>
      <c r="H842" t="inlineStr">
        <is>
          <t>PAID_ON_TIME</t>
        </is>
      </c>
      <c r="I842">
        <f>IF(H842="UNPAID", AsOfDate-D842, 0)</f>
        <v/>
      </c>
      <c r="J842">
        <f>IF(F842&lt;&gt;"", TEXT(F842, "yyyy-mm"), "")</f>
        <v/>
      </c>
    </row>
    <row r="843">
      <c r="A843" t="inlineStr">
        <is>
          <t>RP0000842</t>
        </is>
      </c>
      <c r="B843" t="inlineStr">
        <is>
          <t>LN200124</t>
        </is>
      </c>
      <c r="C843" t="n">
        <v>5</v>
      </c>
      <c r="D843" s="8" t="n">
        <v>46181</v>
      </c>
      <c r="E843" s="9" t="n">
        <v>15306.47</v>
      </c>
      <c r="F843" s="8" t="n">
        <v>46181</v>
      </c>
      <c r="G843" s="9" t="n">
        <v>15306.47</v>
      </c>
      <c r="H843" t="inlineStr">
        <is>
          <t>PAID_ON_TIME</t>
        </is>
      </c>
      <c r="I843">
        <f>IF(H843="UNPAID", AsOfDate-D843, 0)</f>
        <v/>
      </c>
      <c r="J843">
        <f>IF(F843&lt;&gt;"", TEXT(F843, "yyyy-mm"), "")</f>
        <v/>
      </c>
    </row>
    <row r="844">
      <c r="A844" t="inlineStr">
        <is>
          <t>RP0000843</t>
        </is>
      </c>
      <c r="B844" t="inlineStr">
        <is>
          <t>LN200124</t>
        </is>
      </c>
      <c r="C844" t="n">
        <v>6</v>
      </c>
      <c r="D844" s="8" t="n">
        <v>46211</v>
      </c>
      <c r="E844" s="9" t="n">
        <v>15306.47</v>
      </c>
      <c r="F844" s="8" t="n">
        <v>46209</v>
      </c>
      <c r="G844" s="9" t="n">
        <v>15306.47</v>
      </c>
      <c r="H844" t="inlineStr">
        <is>
          <t>PAID_ON_TIME</t>
        </is>
      </c>
      <c r="I844">
        <f>IF(H844="UNPAID", AsOfDate-D844, 0)</f>
        <v/>
      </c>
      <c r="J844">
        <f>IF(F844&lt;&gt;"", TEXT(F844, "yyyy-mm"), "")</f>
        <v/>
      </c>
    </row>
    <row r="845">
      <c r="A845" t="inlineStr">
        <is>
          <t>RP0000844</t>
        </is>
      </c>
      <c r="B845" t="inlineStr">
        <is>
          <t>LN200124</t>
        </is>
      </c>
      <c r="C845" t="n">
        <v>7</v>
      </c>
      <c r="D845" s="8" t="n">
        <v>46242</v>
      </c>
      <c r="E845" s="9" t="n">
        <v>15306.47</v>
      </c>
      <c r="F845" s="8" t="n">
        <v>46240</v>
      </c>
      <c r="G845" s="9" t="n">
        <v>15306.47</v>
      </c>
      <c r="H845" t="inlineStr">
        <is>
          <t>PAID_ON_TIME</t>
        </is>
      </c>
      <c r="I845">
        <f>IF(H845="UNPAID", AsOfDate-D845, 0)</f>
        <v/>
      </c>
      <c r="J845">
        <f>IF(F845&lt;&gt;"", TEXT(F845, "yyyy-mm"), "")</f>
        <v/>
      </c>
    </row>
    <row r="846">
      <c r="A846" t="inlineStr">
        <is>
          <t>RP0000845</t>
        </is>
      </c>
      <c r="B846" t="inlineStr">
        <is>
          <t>LN200124</t>
        </is>
      </c>
      <c r="C846" t="n">
        <v>8</v>
      </c>
      <c r="D846" s="8" t="n">
        <v>46273</v>
      </c>
      <c r="E846" s="9" t="n">
        <v>15306.47</v>
      </c>
      <c r="F846" s="8" t="n"/>
      <c r="G846" s="9" t="n">
        <v>0</v>
      </c>
      <c r="H846" t="inlineStr">
        <is>
          <t>NOT_DUE</t>
        </is>
      </c>
      <c r="I846">
        <f>IF(H846="UNPAID", AsOfDate-D846, 0)</f>
        <v/>
      </c>
      <c r="J846">
        <f>IF(F846&lt;&gt;"", TEXT(F846, "yyyy-mm"), "")</f>
        <v/>
      </c>
    </row>
    <row r="847">
      <c r="A847" t="inlineStr">
        <is>
          <t>RP0000846</t>
        </is>
      </c>
      <c r="B847" t="inlineStr">
        <is>
          <t>LN200124</t>
        </is>
      </c>
      <c r="C847" t="n">
        <v>9</v>
      </c>
      <c r="D847" s="8" t="n">
        <v>46303</v>
      </c>
      <c r="E847" s="9" t="n">
        <v>15306.47</v>
      </c>
      <c r="F847" s="8" t="n"/>
      <c r="G847" s="9" t="n">
        <v>0</v>
      </c>
      <c r="H847" t="inlineStr">
        <is>
          <t>NOT_DUE</t>
        </is>
      </c>
      <c r="I847">
        <f>IF(H847="UNPAID", AsOfDate-D847, 0)</f>
        <v/>
      </c>
      <c r="J847">
        <f>IF(F847&lt;&gt;"", TEXT(F847, "yyyy-mm"), "")</f>
        <v/>
      </c>
    </row>
    <row r="848">
      <c r="A848" t="inlineStr">
        <is>
          <t>RP0000847</t>
        </is>
      </c>
      <c r="B848" t="inlineStr">
        <is>
          <t>LN200124</t>
        </is>
      </c>
      <c r="C848" t="n">
        <v>10</v>
      </c>
      <c r="D848" s="8" t="n">
        <v>46334</v>
      </c>
      <c r="E848" s="9" t="n">
        <v>15306.47</v>
      </c>
      <c r="F848" s="8" t="n"/>
      <c r="G848" s="9" t="n">
        <v>0</v>
      </c>
      <c r="H848" t="inlineStr">
        <is>
          <t>NOT_DUE</t>
        </is>
      </c>
      <c r="I848">
        <f>IF(H848="UNPAID", AsOfDate-D848, 0)</f>
        <v/>
      </c>
      <c r="J848">
        <f>IF(F848&lt;&gt;"", TEXT(F848, "yyyy-mm"), "")</f>
        <v/>
      </c>
    </row>
    <row r="849">
      <c r="A849" t="inlineStr">
        <is>
          <t>RP0000848</t>
        </is>
      </c>
      <c r="B849" t="inlineStr">
        <is>
          <t>LN200124</t>
        </is>
      </c>
      <c r="C849" t="n">
        <v>11</v>
      </c>
      <c r="D849" s="8" t="n">
        <v>46364</v>
      </c>
      <c r="E849" s="9" t="n">
        <v>15306.47</v>
      </c>
      <c r="F849" s="8" t="n"/>
      <c r="G849" s="9" t="n">
        <v>0</v>
      </c>
      <c r="H849" t="inlineStr">
        <is>
          <t>NOT_DUE</t>
        </is>
      </c>
      <c r="I849">
        <f>IF(H849="UNPAID", AsOfDate-D849, 0)</f>
        <v/>
      </c>
      <c r="J849">
        <f>IF(F849&lt;&gt;"", TEXT(F849, "yyyy-mm"), "")</f>
        <v/>
      </c>
    </row>
    <row r="850">
      <c r="A850" t="inlineStr">
        <is>
          <t>RP0000849</t>
        </is>
      </c>
      <c r="B850" t="inlineStr">
        <is>
          <t>LN200124</t>
        </is>
      </c>
      <c r="C850" t="n">
        <v>12</v>
      </c>
      <c r="D850" s="8" t="n">
        <v>46395</v>
      </c>
      <c r="E850" s="9" t="n">
        <v>15306.47</v>
      </c>
      <c r="F850" s="8" t="n"/>
      <c r="G850" s="9" t="n">
        <v>0</v>
      </c>
      <c r="H850" t="inlineStr">
        <is>
          <t>NOT_DUE</t>
        </is>
      </c>
      <c r="I850">
        <f>IF(H850="UNPAID", AsOfDate-D850, 0)</f>
        <v/>
      </c>
      <c r="J850">
        <f>IF(F850&lt;&gt;"", TEXT(F850, "yyyy-mm"), "")</f>
        <v/>
      </c>
    </row>
    <row r="851">
      <c r="A851" t="inlineStr">
        <is>
          <t>RP0000850</t>
        </is>
      </c>
      <c r="B851" t="inlineStr">
        <is>
          <t>LN200124</t>
        </is>
      </c>
      <c r="C851" t="n">
        <v>13</v>
      </c>
      <c r="D851" s="8" t="n">
        <v>46426</v>
      </c>
      <c r="E851" s="9" t="n">
        <v>15306.47</v>
      </c>
      <c r="F851" s="8" t="n"/>
      <c r="G851" s="9" t="n">
        <v>0</v>
      </c>
      <c r="H851" t="inlineStr">
        <is>
          <t>NOT_DUE</t>
        </is>
      </c>
      <c r="I851">
        <f>IF(H851="UNPAID", AsOfDate-D851, 0)</f>
        <v/>
      </c>
      <c r="J851">
        <f>IF(F851&lt;&gt;"", TEXT(F851, "yyyy-mm"), "")</f>
        <v/>
      </c>
    </row>
    <row r="852">
      <c r="A852" t="inlineStr">
        <is>
          <t>RP0000851</t>
        </is>
      </c>
      <c r="B852" t="inlineStr">
        <is>
          <t>LN200124</t>
        </is>
      </c>
      <c r="C852" t="n">
        <v>14</v>
      </c>
      <c r="D852" s="8" t="n">
        <v>46454</v>
      </c>
      <c r="E852" s="9" t="n">
        <v>15306.47</v>
      </c>
      <c r="F852" s="8" t="n"/>
      <c r="G852" s="9" t="n">
        <v>0</v>
      </c>
      <c r="H852" t="inlineStr">
        <is>
          <t>NOT_DUE</t>
        </is>
      </c>
      <c r="I852">
        <f>IF(H852="UNPAID", AsOfDate-D852, 0)</f>
        <v/>
      </c>
      <c r="J852">
        <f>IF(F852&lt;&gt;"", TEXT(F852, "yyyy-mm"), "")</f>
        <v/>
      </c>
    </row>
    <row r="853">
      <c r="A853" t="inlineStr">
        <is>
          <t>RP0000852</t>
        </is>
      </c>
      <c r="B853" t="inlineStr">
        <is>
          <t>LN200124</t>
        </is>
      </c>
      <c r="C853" t="n">
        <v>15</v>
      </c>
      <c r="D853" s="8" t="n">
        <v>46485</v>
      </c>
      <c r="E853" s="9" t="n">
        <v>15306.47</v>
      </c>
      <c r="F853" s="8" t="n"/>
      <c r="G853" s="9" t="n">
        <v>0</v>
      </c>
      <c r="H853" t="inlineStr">
        <is>
          <t>NOT_DUE</t>
        </is>
      </c>
      <c r="I853">
        <f>IF(H853="UNPAID", AsOfDate-D853, 0)</f>
        <v/>
      </c>
      <c r="J853">
        <f>IF(F853&lt;&gt;"", TEXT(F853, "yyyy-mm"), "")</f>
        <v/>
      </c>
    </row>
    <row r="854">
      <c r="A854" t="inlineStr">
        <is>
          <t>RP0000853</t>
        </is>
      </c>
      <c r="B854" t="inlineStr">
        <is>
          <t>LN200124</t>
        </is>
      </c>
      <c r="C854" t="n">
        <v>16</v>
      </c>
      <c r="D854" s="8" t="n">
        <v>46515</v>
      </c>
      <c r="E854" s="9" t="n">
        <v>15306.47</v>
      </c>
      <c r="F854" s="8" t="n"/>
      <c r="G854" s="9" t="n">
        <v>0</v>
      </c>
      <c r="H854" t="inlineStr">
        <is>
          <t>NOT_DUE</t>
        </is>
      </c>
      <c r="I854">
        <f>IF(H854="UNPAID", AsOfDate-D854, 0)</f>
        <v/>
      </c>
      <c r="J854">
        <f>IF(F854&lt;&gt;"", TEXT(F854, "yyyy-mm"), "")</f>
        <v/>
      </c>
    </row>
    <row r="855">
      <c r="A855" t="inlineStr">
        <is>
          <t>RP0000854</t>
        </is>
      </c>
      <c r="B855" t="inlineStr">
        <is>
          <t>LN200124</t>
        </is>
      </c>
      <c r="C855" t="n">
        <v>17</v>
      </c>
      <c r="D855" s="8" t="n">
        <v>46546</v>
      </c>
      <c r="E855" s="9" t="n">
        <v>15306.47</v>
      </c>
      <c r="F855" s="8" t="n"/>
      <c r="G855" s="9" t="n">
        <v>0</v>
      </c>
      <c r="H855" t="inlineStr">
        <is>
          <t>NOT_DUE</t>
        </is>
      </c>
      <c r="I855">
        <f>IF(H855="UNPAID", AsOfDate-D855, 0)</f>
        <v/>
      </c>
      <c r="J855">
        <f>IF(F855&lt;&gt;"", TEXT(F855, "yyyy-mm"), "")</f>
        <v/>
      </c>
    </row>
    <row r="856">
      <c r="A856" t="inlineStr">
        <is>
          <t>RP0000855</t>
        </is>
      </c>
      <c r="B856" t="inlineStr">
        <is>
          <t>LN200124</t>
        </is>
      </c>
      <c r="C856" t="n">
        <v>18</v>
      </c>
      <c r="D856" s="8" t="n">
        <v>46576</v>
      </c>
      <c r="E856" s="9" t="n">
        <v>15306.47</v>
      </c>
      <c r="F856" s="8" t="n"/>
      <c r="G856" s="9" t="n">
        <v>0</v>
      </c>
      <c r="H856" t="inlineStr">
        <is>
          <t>NOT_DUE</t>
        </is>
      </c>
      <c r="I856">
        <f>IF(H856="UNPAID", AsOfDate-D856, 0)</f>
        <v/>
      </c>
      <c r="J856">
        <f>IF(F856&lt;&gt;"", TEXT(F856, "yyyy-mm"), "")</f>
        <v/>
      </c>
    </row>
    <row r="857">
      <c r="A857" t="inlineStr">
        <is>
          <t>RP0000856</t>
        </is>
      </c>
      <c r="B857" t="inlineStr">
        <is>
          <t>LN200125</t>
        </is>
      </c>
      <c r="C857" t="n">
        <v>1</v>
      </c>
      <c r="D857" s="8" t="n">
        <v>46171</v>
      </c>
      <c r="E857" s="9" t="n">
        <v>99026.42</v>
      </c>
      <c r="F857" s="8" t="n">
        <v>46173</v>
      </c>
      <c r="G857" s="9" t="n">
        <v>99026.42</v>
      </c>
      <c r="H857" t="inlineStr">
        <is>
          <t>PAID_ON_TIME</t>
        </is>
      </c>
      <c r="I857">
        <f>IF(H857="UNPAID", AsOfDate-D857, 0)</f>
        <v/>
      </c>
      <c r="J857">
        <f>IF(F857&lt;&gt;"", TEXT(F857, "yyyy-mm"), "")</f>
        <v/>
      </c>
    </row>
    <row r="858">
      <c r="A858" t="inlineStr">
        <is>
          <t>RP0000857</t>
        </is>
      </c>
      <c r="B858" t="inlineStr">
        <is>
          <t>LN200125</t>
        </is>
      </c>
      <c r="C858" t="n">
        <v>2</v>
      </c>
      <c r="D858" s="8" t="n">
        <v>46202</v>
      </c>
      <c r="E858" s="9" t="n">
        <v>99026.42</v>
      </c>
      <c r="F858" s="8" t="n">
        <v>46199</v>
      </c>
      <c r="G858" s="9" t="n">
        <v>99026.42</v>
      </c>
      <c r="H858" t="inlineStr">
        <is>
          <t>PAID_ON_TIME</t>
        </is>
      </c>
      <c r="I858">
        <f>IF(H858="UNPAID", AsOfDate-D858, 0)</f>
        <v/>
      </c>
      <c r="J858">
        <f>IF(F858&lt;&gt;"", TEXT(F858, "yyyy-mm"), "")</f>
        <v/>
      </c>
    </row>
    <row r="859">
      <c r="A859" t="inlineStr">
        <is>
          <t>RP0000858</t>
        </is>
      </c>
      <c r="B859" t="inlineStr">
        <is>
          <t>LN200125</t>
        </is>
      </c>
      <c r="C859" t="n">
        <v>3</v>
      </c>
      <c r="D859" s="8" t="n">
        <v>46232</v>
      </c>
      <c r="E859" s="9" t="n">
        <v>99026.42</v>
      </c>
      <c r="F859" s="8" t="n">
        <v>46236</v>
      </c>
      <c r="G859" s="9" t="n">
        <v>99026.42</v>
      </c>
      <c r="H859" t="inlineStr">
        <is>
          <t>PAID_ON_TIME</t>
        </is>
      </c>
      <c r="I859">
        <f>IF(H859="UNPAID", AsOfDate-D859, 0)</f>
        <v/>
      </c>
      <c r="J859">
        <f>IF(F859&lt;&gt;"", TEXT(F859, "yyyy-mm"), "")</f>
        <v/>
      </c>
    </row>
    <row r="860">
      <c r="A860" t="inlineStr">
        <is>
          <t>RP0000859</t>
        </is>
      </c>
      <c r="B860" t="inlineStr">
        <is>
          <t>LN200126</t>
        </is>
      </c>
      <c r="C860" t="n">
        <v>1</v>
      </c>
      <c r="D860" s="8" t="n">
        <v>46171</v>
      </c>
      <c r="E860" s="9" t="n">
        <v>19392</v>
      </c>
      <c r="F860" s="8" t="n">
        <v>46172</v>
      </c>
      <c r="G860" s="9" t="n">
        <v>19392</v>
      </c>
      <c r="H860" t="inlineStr">
        <is>
          <t>PAID_ON_TIME</t>
        </is>
      </c>
      <c r="I860">
        <f>IF(H860="UNPAID", AsOfDate-D860, 0)</f>
        <v/>
      </c>
      <c r="J860">
        <f>IF(F860&lt;&gt;"", TEXT(F860, "yyyy-mm"), "")</f>
        <v/>
      </c>
    </row>
    <row r="861">
      <c r="A861" t="inlineStr">
        <is>
          <t>RP0000860</t>
        </is>
      </c>
      <c r="B861" t="inlineStr">
        <is>
          <t>LN200126</t>
        </is>
      </c>
      <c r="C861" t="n">
        <v>2</v>
      </c>
      <c r="D861" s="8" t="n">
        <v>46202</v>
      </c>
      <c r="E861" s="9" t="n">
        <v>19392</v>
      </c>
      <c r="F861" s="8" t="n">
        <v>46202</v>
      </c>
      <c r="G861" s="9" t="n">
        <v>19392</v>
      </c>
      <c r="H861" t="inlineStr">
        <is>
          <t>PAID_ON_TIME</t>
        </is>
      </c>
      <c r="I861">
        <f>IF(H861="UNPAID", AsOfDate-D861, 0)</f>
        <v/>
      </c>
      <c r="J861">
        <f>IF(F861&lt;&gt;"", TEXT(F861, "yyyy-mm"), "")</f>
        <v/>
      </c>
    </row>
    <row r="862">
      <c r="A862" t="inlineStr">
        <is>
          <t>RP0000861</t>
        </is>
      </c>
      <c r="B862" t="inlineStr">
        <is>
          <t>LN200126</t>
        </is>
      </c>
      <c r="C862" t="n">
        <v>3</v>
      </c>
      <c r="D862" s="8" t="n">
        <v>46232</v>
      </c>
      <c r="E862" s="9" t="n">
        <v>19392</v>
      </c>
      <c r="F862" s="8" t="n">
        <v>46230</v>
      </c>
      <c r="G862" s="9" t="n">
        <v>19392</v>
      </c>
      <c r="H862" t="inlineStr">
        <is>
          <t>PAID_ON_TIME</t>
        </is>
      </c>
      <c r="I862">
        <f>IF(H862="UNPAID", AsOfDate-D862, 0)</f>
        <v/>
      </c>
      <c r="J862">
        <f>IF(F862&lt;&gt;"", TEXT(F862, "yyyy-mm"), "")</f>
        <v/>
      </c>
    </row>
    <row r="863">
      <c r="A863" t="inlineStr">
        <is>
          <t>RP0000862</t>
        </is>
      </c>
      <c r="B863" t="inlineStr">
        <is>
          <t>LN200126</t>
        </is>
      </c>
      <c r="C863" t="n">
        <v>4</v>
      </c>
      <c r="D863" s="8" t="n">
        <v>46263</v>
      </c>
      <c r="E863" s="9" t="n">
        <v>19392</v>
      </c>
      <c r="F863" s="8" t="n">
        <v>46264</v>
      </c>
      <c r="G863" s="9" t="n">
        <v>19392</v>
      </c>
      <c r="H863" t="inlineStr">
        <is>
          <t>PAID_ON_TIME</t>
        </is>
      </c>
      <c r="I863">
        <f>IF(H863="UNPAID", AsOfDate-D863, 0)</f>
        <v/>
      </c>
      <c r="J863">
        <f>IF(F863&lt;&gt;"", TEXT(F863, "yyyy-mm"), "")</f>
        <v/>
      </c>
    </row>
    <row r="864">
      <c r="A864" t="inlineStr">
        <is>
          <t>RP0000863</t>
        </is>
      </c>
      <c r="B864" t="inlineStr">
        <is>
          <t>LN200126</t>
        </is>
      </c>
      <c r="C864" t="n">
        <v>5</v>
      </c>
      <c r="D864" s="8" t="n">
        <v>46294</v>
      </c>
      <c r="E864" s="9" t="n">
        <v>19392</v>
      </c>
      <c r="F864" s="8" t="n"/>
      <c r="G864" s="9" t="n">
        <v>0</v>
      </c>
      <c r="H864" t="inlineStr">
        <is>
          <t>NOT_DUE</t>
        </is>
      </c>
      <c r="I864">
        <f>IF(H864="UNPAID", AsOfDate-D864, 0)</f>
        <v/>
      </c>
      <c r="J864">
        <f>IF(F864&lt;&gt;"", TEXT(F864, "yyyy-mm"), "")</f>
        <v/>
      </c>
    </row>
    <row r="865">
      <c r="A865" t="inlineStr">
        <is>
          <t>RP0000864</t>
        </is>
      </c>
      <c r="B865" t="inlineStr">
        <is>
          <t>LN200126</t>
        </is>
      </c>
      <c r="C865" t="n">
        <v>6</v>
      </c>
      <c r="D865" s="8" t="n">
        <v>46324</v>
      </c>
      <c r="E865" s="9" t="n">
        <v>19392</v>
      </c>
      <c r="F865" s="8" t="n"/>
      <c r="G865" s="9" t="n">
        <v>0</v>
      </c>
      <c r="H865" t="inlineStr">
        <is>
          <t>NOT_DUE</t>
        </is>
      </c>
      <c r="I865">
        <f>IF(H865="UNPAID", AsOfDate-D865, 0)</f>
        <v/>
      </c>
      <c r="J865">
        <f>IF(F865&lt;&gt;"", TEXT(F865, "yyyy-mm"), "")</f>
        <v/>
      </c>
    </row>
    <row r="866">
      <c r="A866" t="inlineStr">
        <is>
          <t>RP0000865</t>
        </is>
      </c>
      <c r="B866" t="inlineStr">
        <is>
          <t>LN200126</t>
        </is>
      </c>
      <c r="C866" t="n">
        <v>7</v>
      </c>
      <c r="D866" s="8" t="n">
        <v>46355</v>
      </c>
      <c r="E866" s="9" t="n">
        <v>19392</v>
      </c>
      <c r="F866" s="8" t="n"/>
      <c r="G866" s="9" t="n">
        <v>0</v>
      </c>
      <c r="H866" t="inlineStr">
        <is>
          <t>NOT_DUE</t>
        </is>
      </c>
      <c r="I866">
        <f>IF(H866="UNPAID", AsOfDate-D866, 0)</f>
        <v/>
      </c>
      <c r="J866">
        <f>IF(F866&lt;&gt;"", TEXT(F866, "yyyy-mm"), "")</f>
        <v/>
      </c>
    </row>
    <row r="867">
      <c r="A867" t="inlineStr">
        <is>
          <t>RP0000866</t>
        </is>
      </c>
      <c r="B867" t="inlineStr">
        <is>
          <t>LN200126</t>
        </is>
      </c>
      <c r="C867" t="n">
        <v>8</v>
      </c>
      <c r="D867" s="8" t="n">
        <v>46385</v>
      </c>
      <c r="E867" s="9" t="n">
        <v>19392</v>
      </c>
      <c r="F867" s="8" t="n"/>
      <c r="G867" s="9" t="n">
        <v>0</v>
      </c>
      <c r="H867" t="inlineStr">
        <is>
          <t>NOT_DUE</t>
        </is>
      </c>
      <c r="I867">
        <f>IF(H867="UNPAID", AsOfDate-D867, 0)</f>
        <v/>
      </c>
      <c r="J867">
        <f>IF(F867&lt;&gt;"", TEXT(F867, "yyyy-mm"), "")</f>
        <v/>
      </c>
    </row>
    <row r="868">
      <c r="A868" t="inlineStr">
        <is>
          <t>RP0000867</t>
        </is>
      </c>
      <c r="B868" t="inlineStr">
        <is>
          <t>LN200126</t>
        </is>
      </c>
      <c r="C868" t="n">
        <v>9</v>
      </c>
      <c r="D868" s="8" t="n">
        <v>46416</v>
      </c>
      <c r="E868" s="9" t="n">
        <v>19392</v>
      </c>
      <c r="F868" s="8" t="n"/>
      <c r="G868" s="9" t="n">
        <v>0</v>
      </c>
      <c r="H868" t="inlineStr">
        <is>
          <t>NOT_DUE</t>
        </is>
      </c>
      <c r="I868">
        <f>IF(H868="UNPAID", AsOfDate-D868, 0)</f>
        <v/>
      </c>
      <c r="J868">
        <f>IF(F868&lt;&gt;"", TEXT(F868, "yyyy-mm"), "")</f>
        <v/>
      </c>
    </row>
    <row r="869">
      <c r="A869" t="inlineStr">
        <is>
          <t>RP0000868</t>
        </is>
      </c>
      <c r="B869" t="inlineStr">
        <is>
          <t>LN200126</t>
        </is>
      </c>
      <c r="C869" t="n">
        <v>10</v>
      </c>
      <c r="D869" s="8" t="n">
        <v>46446</v>
      </c>
      <c r="E869" s="9" t="n">
        <v>19392</v>
      </c>
      <c r="F869" s="8" t="n"/>
      <c r="G869" s="9" t="n">
        <v>0</v>
      </c>
      <c r="H869" t="inlineStr">
        <is>
          <t>NOT_DUE</t>
        </is>
      </c>
      <c r="I869">
        <f>IF(H869="UNPAID", AsOfDate-D869, 0)</f>
        <v/>
      </c>
      <c r="J869">
        <f>IF(F869&lt;&gt;"", TEXT(F869, "yyyy-mm"), "")</f>
        <v/>
      </c>
    </row>
    <row r="870">
      <c r="A870" t="inlineStr">
        <is>
          <t>RP0000869</t>
        </is>
      </c>
      <c r="B870" t="inlineStr">
        <is>
          <t>LN200126</t>
        </is>
      </c>
      <c r="C870" t="n">
        <v>11</v>
      </c>
      <c r="D870" s="8" t="n">
        <v>46475</v>
      </c>
      <c r="E870" s="9" t="n">
        <v>19392</v>
      </c>
      <c r="F870" s="8" t="n"/>
      <c r="G870" s="9" t="n">
        <v>0</v>
      </c>
      <c r="H870" t="inlineStr">
        <is>
          <t>NOT_DUE</t>
        </is>
      </c>
      <c r="I870">
        <f>IF(H870="UNPAID", AsOfDate-D870, 0)</f>
        <v/>
      </c>
      <c r="J870">
        <f>IF(F870&lt;&gt;"", TEXT(F870, "yyyy-mm"), "")</f>
        <v/>
      </c>
    </row>
    <row r="871">
      <c r="A871" t="inlineStr">
        <is>
          <t>RP0000870</t>
        </is>
      </c>
      <c r="B871" t="inlineStr">
        <is>
          <t>LN200126</t>
        </is>
      </c>
      <c r="C871" t="n">
        <v>12</v>
      </c>
      <c r="D871" s="8" t="n">
        <v>46506</v>
      </c>
      <c r="E871" s="9" t="n">
        <v>19392</v>
      </c>
      <c r="F871" s="8" t="n"/>
      <c r="G871" s="9" t="n">
        <v>0</v>
      </c>
      <c r="H871" t="inlineStr">
        <is>
          <t>NOT_DUE</t>
        </is>
      </c>
      <c r="I871">
        <f>IF(H871="UNPAID", AsOfDate-D871, 0)</f>
        <v/>
      </c>
      <c r="J871">
        <f>IF(F871&lt;&gt;"", TEXT(F871, "yyyy-mm"), "")</f>
        <v/>
      </c>
    </row>
    <row r="872">
      <c r="A872" t="inlineStr">
        <is>
          <t>RP0000871</t>
        </is>
      </c>
      <c r="B872" t="inlineStr">
        <is>
          <t>LN200127</t>
        </is>
      </c>
      <c r="C872" t="n">
        <v>1</v>
      </c>
      <c r="D872" s="8" t="n">
        <v>45718</v>
      </c>
      <c r="E872" s="9" t="n">
        <v>8156.25</v>
      </c>
      <c r="F872" s="8" t="n">
        <v>45716</v>
      </c>
      <c r="G872" s="9" t="n">
        <v>8156.25</v>
      </c>
      <c r="H872" t="inlineStr">
        <is>
          <t>PAID_ON_TIME</t>
        </is>
      </c>
      <c r="I872">
        <f>IF(H872="UNPAID", AsOfDate-D872, 0)</f>
        <v/>
      </c>
      <c r="J872">
        <f>IF(F872&lt;&gt;"", TEXT(F872, "yyyy-mm"), "")</f>
        <v/>
      </c>
    </row>
    <row r="873">
      <c r="A873" t="inlineStr">
        <is>
          <t>RP0000872</t>
        </is>
      </c>
      <c r="B873" t="inlineStr">
        <is>
          <t>LN200127</t>
        </is>
      </c>
      <c r="C873" t="n">
        <v>2</v>
      </c>
      <c r="D873" s="8" t="n">
        <v>45749</v>
      </c>
      <c r="E873" s="9" t="n">
        <v>8156.25</v>
      </c>
      <c r="F873" s="8" t="n">
        <v>45807</v>
      </c>
      <c r="G873" s="9" t="n">
        <v>8156.25</v>
      </c>
      <c r="H873" t="inlineStr">
        <is>
          <t>PAID_LATE</t>
        </is>
      </c>
      <c r="I873">
        <f>IF(H873="UNPAID", AsOfDate-D873, 0)</f>
        <v/>
      </c>
      <c r="J873">
        <f>IF(F873&lt;&gt;"", TEXT(F873, "yyyy-mm"), "")</f>
        <v/>
      </c>
    </row>
    <row r="874">
      <c r="A874" t="inlineStr">
        <is>
          <t>RP0000873</t>
        </is>
      </c>
      <c r="B874" t="inlineStr">
        <is>
          <t>LN200127</t>
        </is>
      </c>
      <c r="C874" t="n">
        <v>3</v>
      </c>
      <c r="D874" s="8" t="n">
        <v>45779</v>
      </c>
      <c r="E874" s="9" t="n">
        <v>8156.25</v>
      </c>
      <c r="F874" s="8" t="n">
        <v>45779</v>
      </c>
      <c r="G874" s="9" t="n">
        <v>8156.25</v>
      </c>
      <c r="H874" t="inlineStr">
        <is>
          <t>PAID_ON_TIME</t>
        </is>
      </c>
      <c r="I874">
        <f>IF(H874="UNPAID", AsOfDate-D874, 0)</f>
        <v/>
      </c>
      <c r="J874">
        <f>IF(F874&lt;&gt;"", TEXT(F874, "yyyy-mm"), "")</f>
        <v/>
      </c>
    </row>
    <row r="875">
      <c r="A875" t="inlineStr">
        <is>
          <t>RP0000874</t>
        </is>
      </c>
      <c r="B875" t="inlineStr">
        <is>
          <t>LN200127</t>
        </is>
      </c>
      <c r="C875" t="n">
        <v>4</v>
      </c>
      <c r="D875" s="8" t="n">
        <v>45810</v>
      </c>
      <c r="E875" s="9" t="n">
        <v>8156.25</v>
      </c>
      <c r="F875" s="8" t="n">
        <v>45814</v>
      </c>
      <c r="G875" s="9" t="n">
        <v>8156.25</v>
      </c>
      <c r="H875" t="inlineStr">
        <is>
          <t>PAID_ON_TIME</t>
        </is>
      </c>
      <c r="I875">
        <f>IF(H875="UNPAID", AsOfDate-D875, 0)</f>
        <v/>
      </c>
      <c r="J875">
        <f>IF(F875&lt;&gt;"", TEXT(F875, "yyyy-mm"), "")</f>
        <v/>
      </c>
    </row>
    <row r="876">
      <c r="A876" t="inlineStr">
        <is>
          <t>RP0000875</t>
        </is>
      </c>
      <c r="B876" t="inlineStr">
        <is>
          <t>LN200127</t>
        </is>
      </c>
      <c r="C876" t="n">
        <v>5</v>
      </c>
      <c r="D876" s="8" t="n">
        <v>45840</v>
      </c>
      <c r="E876" s="9" t="n">
        <v>8156.25</v>
      </c>
      <c r="F876" s="8" t="n">
        <v>45841</v>
      </c>
      <c r="G876" s="9" t="n">
        <v>8156.25</v>
      </c>
      <c r="H876" t="inlineStr">
        <is>
          <t>PAID_ON_TIME</t>
        </is>
      </c>
      <c r="I876">
        <f>IF(H876="UNPAID", AsOfDate-D876, 0)</f>
        <v/>
      </c>
      <c r="J876">
        <f>IF(F876&lt;&gt;"", TEXT(F876, "yyyy-mm"), "")</f>
        <v/>
      </c>
    </row>
    <row r="877">
      <c r="A877" t="inlineStr">
        <is>
          <t>RP0000876</t>
        </is>
      </c>
      <c r="B877" t="inlineStr">
        <is>
          <t>LN200127</t>
        </is>
      </c>
      <c r="C877" t="n">
        <v>6</v>
      </c>
      <c r="D877" s="8" t="n">
        <v>45871</v>
      </c>
      <c r="E877" s="9" t="n">
        <v>8156.25</v>
      </c>
      <c r="F877" s="8" t="n">
        <v>45873</v>
      </c>
      <c r="G877" s="9" t="n">
        <v>8156.25</v>
      </c>
      <c r="H877" t="inlineStr">
        <is>
          <t>PAID_ON_TIME</t>
        </is>
      </c>
      <c r="I877">
        <f>IF(H877="UNPAID", AsOfDate-D877, 0)</f>
        <v/>
      </c>
      <c r="J877">
        <f>IF(F877&lt;&gt;"", TEXT(F877, "yyyy-mm"), "")</f>
        <v/>
      </c>
    </row>
    <row r="878">
      <c r="A878" t="inlineStr">
        <is>
          <t>RP0000877</t>
        </is>
      </c>
      <c r="B878" t="inlineStr">
        <is>
          <t>LN200128</t>
        </is>
      </c>
      <c r="C878" t="n">
        <v>1</v>
      </c>
      <c r="D878" s="8" t="n">
        <v>45715</v>
      </c>
      <c r="E878" s="9" t="n">
        <v>43648.5</v>
      </c>
      <c r="F878" s="8" t="n">
        <v>45718</v>
      </c>
      <c r="G878" s="9" t="n">
        <v>43648.5</v>
      </c>
      <c r="H878" t="inlineStr">
        <is>
          <t>PAID_ON_TIME</t>
        </is>
      </c>
      <c r="I878">
        <f>IF(H878="UNPAID", AsOfDate-D878, 0)</f>
        <v/>
      </c>
      <c r="J878">
        <f>IF(F878&lt;&gt;"", TEXT(F878, "yyyy-mm"), "")</f>
        <v/>
      </c>
    </row>
    <row r="879">
      <c r="A879" t="inlineStr">
        <is>
          <t>RP0000878</t>
        </is>
      </c>
      <c r="B879" t="inlineStr">
        <is>
          <t>LN200128</t>
        </is>
      </c>
      <c r="C879" t="n">
        <v>2</v>
      </c>
      <c r="D879" s="8" t="n">
        <v>45743</v>
      </c>
      <c r="E879" s="9" t="n">
        <v>43648.5</v>
      </c>
      <c r="F879" s="8" t="n">
        <v>45742</v>
      </c>
      <c r="G879" s="9" t="n">
        <v>43648.5</v>
      </c>
      <c r="H879" t="inlineStr">
        <is>
          <t>PAID_ON_TIME</t>
        </is>
      </c>
      <c r="I879">
        <f>IF(H879="UNPAID", AsOfDate-D879, 0)</f>
        <v/>
      </c>
      <c r="J879">
        <f>IF(F879&lt;&gt;"", TEXT(F879, "yyyy-mm"), "")</f>
        <v/>
      </c>
    </row>
    <row r="880">
      <c r="A880" t="inlineStr">
        <is>
          <t>RP0000879</t>
        </is>
      </c>
      <c r="B880" t="inlineStr">
        <is>
          <t>LN200128</t>
        </is>
      </c>
      <c r="C880" t="n">
        <v>3</v>
      </c>
      <c r="D880" s="8" t="n">
        <v>45774</v>
      </c>
      <c r="E880" s="9" t="n">
        <v>43648.5</v>
      </c>
      <c r="F880" s="8" t="n">
        <v>45792</v>
      </c>
      <c r="G880" s="9" t="n">
        <v>43648.5</v>
      </c>
      <c r="H880" t="inlineStr">
        <is>
          <t>PAID_LATE</t>
        </is>
      </c>
      <c r="I880">
        <f>IF(H880="UNPAID", AsOfDate-D880, 0)</f>
        <v/>
      </c>
      <c r="J880">
        <f>IF(F880&lt;&gt;"", TEXT(F880, "yyyy-mm"), "")</f>
        <v/>
      </c>
    </row>
    <row r="881">
      <c r="A881" t="inlineStr">
        <is>
          <t>RP0000880</t>
        </is>
      </c>
      <c r="B881" t="inlineStr">
        <is>
          <t>LN200129</t>
        </is>
      </c>
      <c r="C881" t="n">
        <v>1</v>
      </c>
      <c r="D881" s="8" t="n">
        <v>45697</v>
      </c>
      <c r="E881" s="9" t="n">
        <v>3736.97</v>
      </c>
      <c r="F881" s="8" t="n">
        <v>45700</v>
      </c>
      <c r="G881" s="9" t="n">
        <v>3736.97</v>
      </c>
      <c r="H881" t="inlineStr">
        <is>
          <t>PAID_ON_TIME</t>
        </is>
      </c>
      <c r="I881">
        <f>IF(H881="UNPAID", AsOfDate-D881, 0)</f>
        <v/>
      </c>
      <c r="J881">
        <f>IF(F881&lt;&gt;"", TEXT(F881, "yyyy-mm"), "")</f>
        <v/>
      </c>
    </row>
    <row r="882">
      <c r="A882" t="inlineStr">
        <is>
          <t>RP0000881</t>
        </is>
      </c>
      <c r="B882" t="inlineStr">
        <is>
          <t>LN200129</t>
        </is>
      </c>
      <c r="C882" t="n">
        <v>2</v>
      </c>
      <c r="D882" s="8" t="n">
        <v>45725</v>
      </c>
      <c r="E882" s="9" t="n">
        <v>3736.97</v>
      </c>
      <c r="F882" s="8" t="n">
        <v>45722</v>
      </c>
      <c r="G882" s="9" t="n">
        <v>3736.97</v>
      </c>
      <c r="H882" t="inlineStr">
        <is>
          <t>PAID_ON_TIME</t>
        </is>
      </c>
      <c r="I882">
        <f>IF(H882="UNPAID", AsOfDate-D882, 0)</f>
        <v/>
      </c>
      <c r="J882">
        <f>IF(F882&lt;&gt;"", TEXT(F882, "yyyy-mm"), "")</f>
        <v/>
      </c>
    </row>
    <row r="883">
      <c r="A883" t="inlineStr">
        <is>
          <t>RP0000882</t>
        </is>
      </c>
      <c r="B883" t="inlineStr">
        <is>
          <t>LN200129</t>
        </is>
      </c>
      <c r="C883" t="n">
        <v>3</v>
      </c>
      <c r="D883" s="8" t="n">
        <v>45756</v>
      </c>
      <c r="E883" s="9" t="n">
        <v>3736.97</v>
      </c>
      <c r="F883" s="8" t="n">
        <v>45756</v>
      </c>
      <c r="G883" s="9" t="n">
        <v>3736.97</v>
      </c>
      <c r="H883" t="inlineStr">
        <is>
          <t>PAID_ON_TIME</t>
        </is>
      </c>
      <c r="I883">
        <f>IF(H883="UNPAID", AsOfDate-D883, 0)</f>
        <v/>
      </c>
      <c r="J883">
        <f>IF(F883&lt;&gt;"", TEXT(F883, "yyyy-mm"), "")</f>
        <v/>
      </c>
    </row>
    <row r="884">
      <c r="A884" t="inlineStr">
        <is>
          <t>RP0000883</t>
        </is>
      </c>
      <c r="B884" t="inlineStr">
        <is>
          <t>LN200129</t>
        </is>
      </c>
      <c r="C884" t="n">
        <v>4</v>
      </c>
      <c r="D884" s="8" t="n">
        <v>45786</v>
      </c>
      <c r="E884" s="9" t="n">
        <v>3736.97</v>
      </c>
      <c r="F884" s="8" t="n">
        <v>45790</v>
      </c>
      <c r="G884" s="9" t="n">
        <v>3736.97</v>
      </c>
      <c r="H884" t="inlineStr">
        <is>
          <t>PAID_ON_TIME</t>
        </is>
      </c>
      <c r="I884">
        <f>IF(H884="UNPAID", AsOfDate-D884, 0)</f>
        <v/>
      </c>
      <c r="J884">
        <f>IF(F884&lt;&gt;"", TEXT(F884, "yyyy-mm"), "")</f>
        <v/>
      </c>
    </row>
    <row r="885">
      <c r="A885" t="inlineStr">
        <is>
          <t>RP0000884</t>
        </is>
      </c>
      <c r="B885" t="inlineStr">
        <is>
          <t>LN200129</t>
        </is>
      </c>
      <c r="C885" t="n">
        <v>5</v>
      </c>
      <c r="D885" s="8" t="n">
        <v>45817</v>
      </c>
      <c r="E885" s="9" t="n">
        <v>3736.97</v>
      </c>
      <c r="F885" s="8" t="n">
        <v>45815</v>
      </c>
      <c r="G885" s="9" t="n">
        <v>3736.97</v>
      </c>
      <c r="H885" t="inlineStr">
        <is>
          <t>PAID_ON_TIME</t>
        </is>
      </c>
      <c r="I885">
        <f>IF(H885="UNPAID", AsOfDate-D885, 0)</f>
        <v/>
      </c>
      <c r="J885">
        <f>IF(F885&lt;&gt;"", TEXT(F885, "yyyy-mm"), "")</f>
        <v/>
      </c>
    </row>
    <row r="886">
      <c r="A886" t="inlineStr">
        <is>
          <t>RP0000885</t>
        </is>
      </c>
      <c r="B886" t="inlineStr">
        <is>
          <t>LN200129</t>
        </is>
      </c>
      <c r="C886" t="n">
        <v>6</v>
      </c>
      <c r="D886" s="8" t="n">
        <v>45847</v>
      </c>
      <c r="E886" s="9" t="n">
        <v>3736.97</v>
      </c>
      <c r="F886" s="8" t="n">
        <v>45864</v>
      </c>
      <c r="G886" s="9" t="n">
        <v>3736.97</v>
      </c>
      <c r="H886" t="inlineStr">
        <is>
          <t>PAID_LATE</t>
        </is>
      </c>
      <c r="I886">
        <f>IF(H886="UNPAID", AsOfDate-D886, 0)</f>
        <v/>
      </c>
      <c r="J886">
        <f>IF(F886&lt;&gt;"", TEXT(F886, "yyyy-mm"), "")</f>
        <v/>
      </c>
    </row>
    <row r="887">
      <c r="A887" t="inlineStr">
        <is>
          <t>RP0000886</t>
        </is>
      </c>
      <c r="B887" t="inlineStr">
        <is>
          <t>LN200129</t>
        </is>
      </c>
      <c r="C887" t="n">
        <v>7</v>
      </c>
      <c r="D887" s="8" t="n">
        <v>45878</v>
      </c>
      <c r="E887" s="9" t="n">
        <v>3736.97</v>
      </c>
      <c r="F887" s="8" t="n">
        <v>45878</v>
      </c>
      <c r="G887" s="9" t="n">
        <v>3736.97</v>
      </c>
      <c r="H887" t="inlineStr">
        <is>
          <t>PAID_ON_TIME</t>
        </is>
      </c>
      <c r="I887">
        <f>IF(H887="UNPAID", AsOfDate-D887, 0)</f>
        <v/>
      </c>
      <c r="J887">
        <f>IF(F887&lt;&gt;"", TEXT(F887, "yyyy-mm"), "")</f>
        <v/>
      </c>
    </row>
    <row r="888">
      <c r="A888" t="inlineStr">
        <is>
          <t>RP0000887</t>
        </is>
      </c>
      <c r="B888" t="inlineStr">
        <is>
          <t>LN200129</t>
        </is>
      </c>
      <c r="C888" t="n">
        <v>8</v>
      </c>
      <c r="D888" s="8" t="n">
        <v>45909</v>
      </c>
      <c r="E888" s="9" t="n">
        <v>3736.97</v>
      </c>
      <c r="F888" s="8" t="n">
        <v>45908</v>
      </c>
      <c r="G888" s="9" t="n">
        <v>3736.97</v>
      </c>
      <c r="H888" t="inlineStr">
        <is>
          <t>PAID_ON_TIME</t>
        </is>
      </c>
      <c r="I888">
        <f>IF(H888="UNPAID", AsOfDate-D888, 0)</f>
        <v/>
      </c>
      <c r="J888">
        <f>IF(F888&lt;&gt;"", TEXT(F888, "yyyy-mm"), "")</f>
        <v/>
      </c>
    </row>
    <row r="889">
      <c r="A889" t="inlineStr">
        <is>
          <t>RP0000888</t>
        </is>
      </c>
      <c r="B889" t="inlineStr">
        <is>
          <t>LN200129</t>
        </is>
      </c>
      <c r="C889" t="n">
        <v>9</v>
      </c>
      <c r="D889" s="8" t="n">
        <v>45939</v>
      </c>
      <c r="E889" s="9" t="n">
        <v>3736.97</v>
      </c>
      <c r="F889" s="8" t="n">
        <v>45940</v>
      </c>
      <c r="G889" s="9" t="n">
        <v>3736.97</v>
      </c>
      <c r="H889" t="inlineStr">
        <is>
          <t>PAID_ON_TIME</t>
        </is>
      </c>
      <c r="I889">
        <f>IF(H889="UNPAID", AsOfDate-D889, 0)</f>
        <v/>
      </c>
      <c r="J889">
        <f>IF(F889&lt;&gt;"", TEXT(F889, "yyyy-mm"), "")</f>
        <v/>
      </c>
    </row>
    <row r="890">
      <c r="A890" t="inlineStr">
        <is>
          <t>RP0000889</t>
        </is>
      </c>
      <c r="B890" t="inlineStr">
        <is>
          <t>LN200130</t>
        </is>
      </c>
      <c r="C890" t="n">
        <v>1</v>
      </c>
      <c r="D890" s="8" t="n">
        <v>45853</v>
      </c>
      <c r="E890" s="9" t="n">
        <v>21195</v>
      </c>
      <c r="F890" s="8" t="n">
        <v>45862</v>
      </c>
      <c r="G890" s="9" t="n">
        <v>21195</v>
      </c>
      <c r="H890" t="inlineStr">
        <is>
          <t>PAID_LATE</t>
        </is>
      </c>
      <c r="I890">
        <f>IF(H890="UNPAID", AsOfDate-D890, 0)</f>
        <v/>
      </c>
      <c r="J890">
        <f>IF(F890&lt;&gt;"", TEXT(F890, "yyyy-mm"), "")</f>
        <v/>
      </c>
    </row>
    <row r="891">
      <c r="A891" t="inlineStr">
        <is>
          <t>RP0000890</t>
        </is>
      </c>
      <c r="B891" t="inlineStr">
        <is>
          <t>LN200130</t>
        </is>
      </c>
      <c r="C891" t="n">
        <v>2</v>
      </c>
      <c r="D891" s="8" t="n">
        <v>45884</v>
      </c>
      <c r="E891" s="9" t="n">
        <v>21195</v>
      </c>
      <c r="F891" s="8" t="n">
        <v>45887</v>
      </c>
      <c r="G891" s="9" t="n">
        <v>21195</v>
      </c>
      <c r="H891" t="inlineStr">
        <is>
          <t>PAID_ON_TIME</t>
        </is>
      </c>
      <c r="I891">
        <f>IF(H891="UNPAID", AsOfDate-D891, 0)</f>
        <v/>
      </c>
      <c r="J891">
        <f>IF(F891&lt;&gt;"", TEXT(F891, "yyyy-mm"), "")</f>
        <v/>
      </c>
    </row>
    <row r="892">
      <c r="A892" t="inlineStr">
        <is>
          <t>RP0000891</t>
        </is>
      </c>
      <c r="B892" t="inlineStr">
        <is>
          <t>LN200130</t>
        </is>
      </c>
      <c r="C892" t="n">
        <v>3</v>
      </c>
      <c r="D892" s="8" t="n">
        <v>45915</v>
      </c>
      <c r="E892" s="9" t="n">
        <v>21195</v>
      </c>
      <c r="F892" s="8" t="n">
        <v>45914</v>
      </c>
      <c r="G892" s="9" t="n">
        <v>21195</v>
      </c>
      <c r="H892" t="inlineStr">
        <is>
          <t>PAID_ON_TIME</t>
        </is>
      </c>
      <c r="I892">
        <f>IF(H892="UNPAID", AsOfDate-D892, 0)</f>
        <v/>
      </c>
      <c r="J892">
        <f>IF(F892&lt;&gt;"", TEXT(F892, "yyyy-mm"), "")</f>
        <v/>
      </c>
    </row>
    <row r="893">
      <c r="A893" t="inlineStr">
        <is>
          <t>RP0000892</t>
        </is>
      </c>
      <c r="B893" t="inlineStr">
        <is>
          <t>LN200131</t>
        </is>
      </c>
      <c r="C893" t="n">
        <v>1</v>
      </c>
      <c r="D893" s="8" t="n">
        <v>46208</v>
      </c>
      <c r="E893" s="9" t="n">
        <v>24035</v>
      </c>
      <c r="F893" s="8" t="n">
        <v>46205</v>
      </c>
      <c r="G893" s="9" t="n">
        <v>24035</v>
      </c>
      <c r="H893" t="inlineStr">
        <is>
          <t>PAID_ON_TIME</t>
        </is>
      </c>
      <c r="I893">
        <f>IF(H893="UNPAID", AsOfDate-D893, 0)</f>
        <v/>
      </c>
      <c r="J893">
        <f>IF(F893&lt;&gt;"", TEXT(F893, "yyyy-mm"), "")</f>
        <v/>
      </c>
    </row>
    <row r="894">
      <c r="A894" t="inlineStr">
        <is>
          <t>RP0000893</t>
        </is>
      </c>
      <c r="B894" t="inlineStr">
        <is>
          <t>LN200131</t>
        </is>
      </c>
      <c r="C894" t="n">
        <v>2</v>
      </c>
      <c r="D894" s="8" t="n">
        <v>46239</v>
      </c>
      <c r="E894" s="9" t="n">
        <v>24035</v>
      </c>
      <c r="F894" s="8" t="n"/>
      <c r="G894" s="9" t="n">
        <v>0</v>
      </c>
      <c r="H894" t="inlineStr">
        <is>
          <t>UNPAID</t>
        </is>
      </c>
      <c r="I894">
        <f>IF(H894="UNPAID", AsOfDate-D894, 0)</f>
        <v/>
      </c>
      <c r="J894">
        <f>IF(F894&lt;&gt;"", TEXT(F894, "yyyy-mm"), "")</f>
        <v/>
      </c>
    </row>
    <row r="895">
      <c r="A895" t="inlineStr">
        <is>
          <t>RP0000894</t>
        </is>
      </c>
      <c r="B895" t="inlineStr">
        <is>
          <t>LN200131</t>
        </is>
      </c>
      <c r="C895" t="n">
        <v>3</v>
      </c>
      <c r="D895" s="8" t="n">
        <v>46270</v>
      </c>
      <c r="E895" s="9" t="n">
        <v>24035</v>
      </c>
      <c r="F895" s="8" t="n"/>
      <c r="G895" s="9" t="n">
        <v>0</v>
      </c>
      <c r="H895" t="inlineStr">
        <is>
          <t>NOT_DUE</t>
        </is>
      </c>
      <c r="I895">
        <f>IF(H895="UNPAID", AsOfDate-D895, 0)</f>
        <v/>
      </c>
      <c r="J895">
        <f>IF(F895&lt;&gt;"", TEXT(F895, "yyyy-mm"), "")</f>
        <v/>
      </c>
    </row>
    <row r="896">
      <c r="A896" t="inlineStr">
        <is>
          <t>RP0000895</t>
        </is>
      </c>
      <c r="B896" t="inlineStr">
        <is>
          <t>LN200132</t>
        </is>
      </c>
      <c r="C896" t="n">
        <v>1</v>
      </c>
      <c r="D896" s="8" t="n">
        <v>46042</v>
      </c>
      <c r="E896" s="9" t="n">
        <v>4871.25</v>
      </c>
      <c r="F896" s="8" t="n">
        <v>46067</v>
      </c>
      <c r="G896" s="9" t="n">
        <v>4871.25</v>
      </c>
      <c r="H896" t="inlineStr">
        <is>
          <t>PAID_LATE</t>
        </is>
      </c>
      <c r="I896">
        <f>IF(H896="UNPAID", AsOfDate-D896, 0)</f>
        <v/>
      </c>
      <c r="J896">
        <f>IF(F896&lt;&gt;"", TEXT(F896, "yyyy-mm"), "")</f>
        <v/>
      </c>
    </row>
    <row r="897">
      <c r="A897" t="inlineStr">
        <is>
          <t>RP0000896</t>
        </is>
      </c>
      <c r="B897" t="inlineStr">
        <is>
          <t>LN200132</t>
        </is>
      </c>
      <c r="C897" t="n">
        <v>2</v>
      </c>
      <c r="D897" s="8" t="n">
        <v>46073</v>
      </c>
      <c r="E897" s="9" t="n">
        <v>4871.25</v>
      </c>
      <c r="F897" s="8" t="n">
        <v>46075</v>
      </c>
      <c r="G897" s="9" t="n">
        <v>4871.25</v>
      </c>
      <c r="H897" t="inlineStr">
        <is>
          <t>PAID_ON_TIME</t>
        </is>
      </c>
      <c r="I897">
        <f>IF(H897="UNPAID", AsOfDate-D897, 0)</f>
        <v/>
      </c>
      <c r="J897">
        <f>IF(F897&lt;&gt;"", TEXT(F897, "yyyy-mm"), "")</f>
        <v/>
      </c>
    </row>
    <row r="898">
      <c r="A898" t="inlineStr">
        <is>
          <t>RP0000897</t>
        </is>
      </c>
      <c r="B898" t="inlineStr">
        <is>
          <t>LN200132</t>
        </is>
      </c>
      <c r="C898" t="n">
        <v>3</v>
      </c>
      <c r="D898" s="8" t="n">
        <v>46101</v>
      </c>
      <c r="E898" s="9" t="n">
        <v>4871.25</v>
      </c>
      <c r="F898" s="8" t="n">
        <v>46103</v>
      </c>
      <c r="G898" s="9" t="n">
        <v>4871.25</v>
      </c>
      <c r="H898" t="inlineStr">
        <is>
          <t>PAID_ON_TIME</t>
        </is>
      </c>
      <c r="I898">
        <f>IF(H898="UNPAID", AsOfDate-D898, 0)</f>
        <v/>
      </c>
      <c r="J898">
        <f>IF(F898&lt;&gt;"", TEXT(F898, "yyyy-mm"), "")</f>
        <v/>
      </c>
    </row>
    <row r="899">
      <c r="A899" t="inlineStr">
        <is>
          <t>RP0000898</t>
        </is>
      </c>
      <c r="B899" t="inlineStr">
        <is>
          <t>LN200132</t>
        </is>
      </c>
      <c r="C899" t="n">
        <v>4</v>
      </c>
      <c r="D899" s="8" t="n">
        <v>46132</v>
      </c>
      <c r="E899" s="9" t="n">
        <v>4871.25</v>
      </c>
      <c r="F899" s="8" t="n">
        <v>46244</v>
      </c>
      <c r="G899" s="9" t="n">
        <v>4871.25</v>
      </c>
      <c r="H899" t="inlineStr">
        <is>
          <t>PAID_LATE</t>
        </is>
      </c>
      <c r="I899">
        <f>IF(H899="UNPAID", AsOfDate-D899, 0)</f>
        <v/>
      </c>
      <c r="J899">
        <f>IF(F899&lt;&gt;"", TEXT(F899, "yyyy-mm"), "")</f>
        <v/>
      </c>
    </row>
    <row r="900">
      <c r="A900" t="inlineStr">
        <is>
          <t>RP0000899</t>
        </is>
      </c>
      <c r="B900" t="inlineStr">
        <is>
          <t>LN200132</t>
        </is>
      </c>
      <c r="C900" t="n">
        <v>5</v>
      </c>
      <c r="D900" s="8" t="n">
        <v>46162</v>
      </c>
      <c r="E900" s="9" t="n">
        <v>4871.25</v>
      </c>
      <c r="F900" s="8" t="n">
        <v>46160</v>
      </c>
      <c r="G900" s="9" t="n">
        <v>4871.25</v>
      </c>
      <c r="H900" t="inlineStr">
        <is>
          <t>PAID_ON_TIME</t>
        </is>
      </c>
      <c r="I900">
        <f>IF(H900="UNPAID", AsOfDate-D900, 0)</f>
        <v/>
      </c>
      <c r="J900">
        <f>IF(F900&lt;&gt;"", TEXT(F900, "yyyy-mm"), "")</f>
        <v/>
      </c>
    </row>
    <row r="901">
      <c r="A901" t="inlineStr">
        <is>
          <t>RP0000900</t>
        </is>
      </c>
      <c r="B901" t="inlineStr">
        <is>
          <t>LN200132</t>
        </is>
      </c>
      <c r="C901" t="n">
        <v>6</v>
      </c>
      <c r="D901" s="8" t="n">
        <v>46193</v>
      </c>
      <c r="E901" s="9" t="n">
        <v>4871.25</v>
      </c>
      <c r="F901" s="8" t="n">
        <v>46190</v>
      </c>
      <c r="G901" s="9" t="n">
        <v>4871.25</v>
      </c>
      <c r="H901" t="inlineStr">
        <is>
          <t>PAID_ON_TIME</t>
        </is>
      </c>
      <c r="I901">
        <f>IF(H901="UNPAID", AsOfDate-D901, 0)</f>
        <v/>
      </c>
      <c r="J901">
        <f>IF(F901&lt;&gt;"", TEXT(F901, "yyyy-mm"), "")</f>
        <v/>
      </c>
    </row>
    <row r="902">
      <c r="A902" t="inlineStr">
        <is>
          <t>RP0000901</t>
        </is>
      </c>
      <c r="B902" t="inlineStr">
        <is>
          <t>LN200134</t>
        </is>
      </c>
      <c r="C902" t="n">
        <v>1</v>
      </c>
      <c r="D902" s="8" t="n">
        <v>45968</v>
      </c>
      <c r="E902" s="9" t="n">
        <v>5062.69</v>
      </c>
      <c r="F902" s="8" t="n">
        <v>45968</v>
      </c>
      <c r="G902" s="9" t="n">
        <v>5062.69</v>
      </c>
      <c r="H902" t="inlineStr">
        <is>
          <t>PAID_ON_TIME</t>
        </is>
      </c>
      <c r="I902">
        <f>IF(H902="UNPAID", AsOfDate-D902, 0)</f>
        <v/>
      </c>
      <c r="J902">
        <f>IF(F902&lt;&gt;"", TEXT(F902, "yyyy-mm"), "")</f>
        <v/>
      </c>
    </row>
    <row r="903">
      <c r="A903" t="inlineStr">
        <is>
          <t>RP0000902</t>
        </is>
      </c>
      <c r="B903" t="inlineStr">
        <is>
          <t>LN200134</t>
        </is>
      </c>
      <c r="C903" t="n">
        <v>2</v>
      </c>
      <c r="D903" s="8" t="n">
        <v>45998</v>
      </c>
      <c r="E903" s="9" t="n">
        <v>5062.69</v>
      </c>
      <c r="F903" s="8" t="n">
        <v>45998</v>
      </c>
      <c r="G903" s="9" t="n">
        <v>5062.69</v>
      </c>
      <c r="H903" t="inlineStr">
        <is>
          <t>PAID_ON_TIME</t>
        </is>
      </c>
      <c r="I903">
        <f>IF(H903="UNPAID", AsOfDate-D903, 0)</f>
        <v/>
      </c>
      <c r="J903">
        <f>IF(F903&lt;&gt;"", TEXT(F903, "yyyy-mm"), "")</f>
        <v/>
      </c>
    </row>
    <row r="904">
      <c r="A904" t="inlineStr">
        <is>
          <t>RP0000903</t>
        </is>
      </c>
      <c r="B904" t="inlineStr">
        <is>
          <t>LN200134</t>
        </is>
      </c>
      <c r="C904" t="n">
        <v>3</v>
      </c>
      <c r="D904" s="8" t="n">
        <v>46029</v>
      </c>
      <c r="E904" s="9" t="n">
        <v>5062.69</v>
      </c>
      <c r="F904" s="8" t="n">
        <v>46028</v>
      </c>
      <c r="G904" s="9" t="n">
        <v>5062.69</v>
      </c>
      <c r="H904" t="inlineStr">
        <is>
          <t>PAID_ON_TIME</t>
        </is>
      </c>
      <c r="I904">
        <f>IF(H904="UNPAID", AsOfDate-D904, 0)</f>
        <v/>
      </c>
      <c r="J904">
        <f>IF(F904&lt;&gt;"", TEXT(F904, "yyyy-mm"), "")</f>
        <v/>
      </c>
    </row>
    <row r="905">
      <c r="A905" t="inlineStr">
        <is>
          <t>RP0000904</t>
        </is>
      </c>
      <c r="B905" t="inlineStr">
        <is>
          <t>LN200134</t>
        </is>
      </c>
      <c r="C905" t="n">
        <v>4</v>
      </c>
      <c r="D905" s="8" t="n">
        <v>46060</v>
      </c>
      <c r="E905" s="9" t="n">
        <v>5062.69</v>
      </c>
      <c r="F905" s="8" t="n">
        <v>46064</v>
      </c>
      <c r="G905" s="9" t="n">
        <v>5062.69</v>
      </c>
      <c r="H905" t="inlineStr">
        <is>
          <t>PAID_ON_TIME</t>
        </is>
      </c>
      <c r="I905">
        <f>IF(H905="UNPAID", AsOfDate-D905, 0)</f>
        <v/>
      </c>
      <c r="J905">
        <f>IF(F905&lt;&gt;"", TEXT(F905, "yyyy-mm"), "")</f>
        <v/>
      </c>
    </row>
    <row r="906">
      <c r="A906" t="inlineStr">
        <is>
          <t>RP0000905</t>
        </is>
      </c>
      <c r="B906" t="inlineStr">
        <is>
          <t>LN200134</t>
        </is>
      </c>
      <c r="C906" t="n">
        <v>5</v>
      </c>
      <c r="D906" s="8" t="n">
        <v>46088</v>
      </c>
      <c r="E906" s="9" t="n">
        <v>5062.69</v>
      </c>
      <c r="F906" s="8" t="n">
        <v>46086</v>
      </c>
      <c r="G906" s="9" t="n">
        <v>5062.69</v>
      </c>
      <c r="H906" t="inlineStr">
        <is>
          <t>PAID_ON_TIME</t>
        </is>
      </c>
      <c r="I906">
        <f>IF(H906="UNPAID", AsOfDate-D906, 0)</f>
        <v/>
      </c>
      <c r="J906">
        <f>IF(F906&lt;&gt;"", TEXT(F906, "yyyy-mm"), "")</f>
        <v/>
      </c>
    </row>
    <row r="907">
      <c r="A907" t="inlineStr">
        <is>
          <t>RP0000906</t>
        </is>
      </c>
      <c r="B907" t="inlineStr">
        <is>
          <t>LN200134</t>
        </is>
      </c>
      <c r="C907" t="n">
        <v>6</v>
      </c>
      <c r="D907" s="8" t="n">
        <v>46119</v>
      </c>
      <c r="E907" s="9" t="n">
        <v>5062.69</v>
      </c>
      <c r="F907" s="8" t="n">
        <v>46117</v>
      </c>
      <c r="G907" s="9" t="n">
        <v>5062.69</v>
      </c>
      <c r="H907" t="inlineStr">
        <is>
          <t>PAID_ON_TIME</t>
        </is>
      </c>
      <c r="I907">
        <f>IF(H907="UNPAID", AsOfDate-D907, 0)</f>
        <v/>
      </c>
      <c r="J907">
        <f>IF(F907&lt;&gt;"", TEXT(F907, "yyyy-mm"), "")</f>
        <v/>
      </c>
    </row>
    <row r="908">
      <c r="A908" t="inlineStr">
        <is>
          <t>RP0000907</t>
        </is>
      </c>
      <c r="B908" t="inlineStr">
        <is>
          <t>LN200134</t>
        </is>
      </c>
      <c r="C908" t="n">
        <v>7</v>
      </c>
      <c r="D908" s="8" t="n">
        <v>46149</v>
      </c>
      <c r="E908" s="9" t="n">
        <v>5062.69</v>
      </c>
      <c r="F908" s="8" t="n">
        <v>46191</v>
      </c>
      <c r="G908" s="9" t="n">
        <v>5062.69</v>
      </c>
      <c r="H908" t="inlineStr">
        <is>
          <t>PAID_LATE</t>
        </is>
      </c>
      <c r="I908">
        <f>IF(H908="UNPAID", AsOfDate-D908, 0)</f>
        <v/>
      </c>
      <c r="J908">
        <f>IF(F908&lt;&gt;"", TEXT(F908, "yyyy-mm"), "")</f>
        <v/>
      </c>
    </row>
    <row r="909">
      <c r="A909" t="inlineStr">
        <is>
          <t>RP0000908</t>
        </is>
      </c>
      <c r="B909" t="inlineStr">
        <is>
          <t>LN200134</t>
        </is>
      </c>
      <c r="C909" t="n">
        <v>8</v>
      </c>
      <c r="D909" s="8" t="n">
        <v>46180</v>
      </c>
      <c r="E909" s="9" t="n">
        <v>5062.69</v>
      </c>
      <c r="F909" s="8" t="n">
        <v>46177</v>
      </c>
      <c r="G909" s="9" t="n">
        <v>5062.69</v>
      </c>
      <c r="H909" t="inlineStr">
        <is>
          <t>PAID_ON_TIME</t>
        </is>
      </c>
      <c r="I909">
        <f>IF(H909="UNPAID", AsOfDate-D909, 0)</f>
        <v/>
      </c>
      <c r="J909">
        <f>IF(F909&lt;&gt;"", TEXT(F909, "yyyy-mm"), "")</f>
        <v/>
      </c>
    </row>
    <row r="910">
      <c r="A910" t="inlineStr">
        <is>
          <t>RP0000909</t>
        </is>
      </c>
      <c r="B910" t="inlineStr">
        <is>
          <t>LN200134</t>
        </is>
      </c>
      <c r="C910" t="n">
        <v>9</v>
      </c>
      <c r="D910" s="8" t="n">
        <v>46210</v>
      </c>
      <c r="E910" s="9" t="n">
        <v>5062.69</v>
      </c>
      <c r="F910" s="8" t="n">
        <v>46214</v>
      </c>
      <c r="G910" s="9" t="n">
        <v>5062.69</v>
      </c>
      <c r="H910" t="inlineStr">
        <is>
          <t>PAID_ON_TIME</t>
        </is>
      </c>
      <c r="I910">
        <f>IF(H910="UNPAID", AsOfDate-D910, 0)</f>
        <v/>
      </c>
      <c r="J910">
        <f>IF(F910&lt;&gt;"", TEXT(F910, "yyyy-mm"), "")</f>
        <v/>
      </c>
    </row>
    <row r="911">
      <c r="A911" t="inlineStr">
        <is>
          <t>RP0000910</t>
        </is>
      </c>
      <c r="B911" t="inlineStr">
        <is>
          <t>LN200134</t>
        </is>
      </c>
      <c r="C911" t="n">
        <v>10</v>
      </c>
      <c r="D911" s="8" t="n">
        <v>46241</v>
      </c>
      <c r="E911" s="9" t="n">
        <v>5062.69</v>
      </c>
      <c r="F911" s="8" t="n">
        <v>46242</v>
      </c>
      <c r="G911" s="9" t="n">
        <v>5062.69</v>
      </c>
      <c r="H911" t="inlineStr">
        <is>
          <t>PAID_ON_TIME</t>
        </is>
      </c>
      <c r="I911">
        <f>IF(H911="UNPAID", AsOfDate-D911, 0)</f>
        <v/>
      </c>
      <c r="J911">
        <f>IF(F911&lt;&gt;"", TEXT(F911, "yyyy-mm"), "")</f>
        <v/>
      </c>
    </row>
    <row r="912">
      <c r="A912" t="inlineStr">
        <is>
          <t>RP0000911</t>
        </is>
      </c>
      <c r="B912" t="inlineStr">
        <is>
          <t>LN200134</t>
        </is>
      </c>
      <c r="C912" t="n">
        <v>11</v>
      </c>
      <c r="D912" s="8" t="n">
        <v>46272</v>
      </c>
      <c r="E912" s="9" t="n">
        <v>5062.69</v>
      </c>
      <c r="F912" s="8" t="n"/>
      <c r="G912" s="9" t="n">
        <v>0</v>
      </c>
      <c r="H912" t="inlineStr">
        <is>
          <t>NOT_DUE</t>
        </is>
      </c>
      <c r="I912">
        <f>IF(H912="UNPAID", AsOfDate-D912, 0)</f>
        <v/>
      </c>
      <c r="J912">
        <f>IF(F912&lt;&gt;"", TEXT(F912, "yyyy-mm"), "")</f>
        <v/>
      </c>
    </row>
    <row r="913">
      <c r="A913" t="inlineStr">
        <is>
          <t>RP0000912</t>
        </is>
      </c>
      <c r="B913" t="inlineStr">
        <is>
          <t>LN200134</t>
        </is>
      </c>
      <c r="C913" t="n">
        <v>12</v>
      </c>
      <c r="D913" s="8" t="n">
        <v>46302</v>
      </c>
      <c r="E913" s="9" t="n">
        <v>5062.69</v>
      </c>
      <c r="F913" s="8" t="n"/>
      <c r="G913" s="9" t="n">
        <v>0</v>
      </c>
      <c r="H913" t="inlineStr">
        <is>
          <t>NOT_DUE</t>
        </is>
      </c>
      <c r="I913">
        <f>IF(H913="UNPAID", AsOfDate-D913, 0)</f>
        <v/>
      </c>
      <c r="J913">
        <f>IF(F913&lt;&gt;"", TEXT(F913, "yyyy-mm"), "")</f>
        <v/>
      </c>
    </row>
    <row r="914">
      <c r="A914" t="inlineStr">
        <is>
          <t>RP0000913</t>
        </is>
      </c>
      <c r="B914" t="inlineStr">
        <is>
          <t>LN200134</t>
        </is>
      </c>
      <c r="C914" t="n">
        <v>13</v>
      </c>
      <c r="D914" s="8" t="n">
        <v>46333</v>
      </c>
      <c r="E914" s="9" t="n">
        <v>5062.69</v>
      </c>
      <c r="F914" s="8" t="n"/>
      <c r="G914" s="9" t="n">
        <v>0</v>
      </c>
      <c r="H914" t="inlineStr">
        <is>
          <t>NOT_DUE</t>
        </is>
      </c>
      <c r="I914">
        <f>IF(H914="UNPAID", AsOfDate-D914, 0)</f>
        <v/>
      </c>
      <c r="J914">
        <f>IF(F914&lt;&gt;"", TEXT(F914, "yyyy-mm"), "")</f>
        <v/>
      </c>
    </row>
    <row r="915">
      <c r="A915" t="inlineStr">
        <is>
          <t>RP0000914</t>
        </is>
      </c>
      <c r="B915" t="inlineStr">
        <is>
          <t>LN200134</t>
        </is>
      </c>
      <c r="C915" t="n">
        <v>14</v>
      </c>
      <c r="D915" s="8" t="n">
        <v>46363</v>
      </c>
      <c r="E915" s="9" t="n">
        <v>5062.69</v>
      </c>
      <c r="F915" s="8" t="n"/>
      <c r="G915" s="9" t="n">
        <v>0</v>
      </c>
      <c r="H915" t="inlineStr">
        <is>
          <t>NOT_DUE</t>
        </is>
      </c>
      <c r="I915">
        <f>IF(H915="UNPAID", AsOfDate-D915, 0)</f>
        <v/>
      </c>
      <c r="J915">
        <f>IF(F915&lt;&gt;"", TEXT(F915, "yyyy-mm"), "")</f>
        <v/>
      </c>
    </row>
    <row r="916">
      <c r="A916" t="inlineStr">
        <is>
          <t>RP0000915</t>
        </is>
      </c>
      <c r="B916" t="inlineStr">
        <is>
          <t>LN200134</t>
        </is>
      </c>
      <c r="C916" t="n">
        <v>15</v>
      </c>
      <c r="D916" s="8" t="n">
        <v>46394</v>
      </c>
      <c r="E916" s="9" t="n">
        <v>5062.69</v>
      </c>
      <c r="F916" s="8" t="n"/>
      <c r="G916" s="9" t="n">
        <v>0</v>
      </c>
      <c r="H916" t="inlineStr">
        <is>
          <t>NOT_DUE</t>
        </is>
      </c>
      <c r="I916">
        <f>IF(H916="UNPAID", AsOfDate-D916, 0)</f>
        <v/>
      </c>
      <c r="J916">
        <f>IF(F916&lt;&gt;"", TEXT(F916, "yyyy-mm"), "")</f>
        <v/>
      </c>
    </row>
    <row r="917">
      <c r="A917" t="inlineStr">
        <is>
          <t>RP0000916</t>
        </is>
      </c>
      <c r="B917" t="inlineStr">
        <is>
          <t>LN200134</t>
        </is>
      </c>
      <c r="C917" t="n">
        <v>16</v>
      </c>
      <c r="D917" s="8" t="n">
        <v>46425</v>
      </c>
      <c r="E917" s="9" t="n">
        <v>5062.69</v>
      </c>
      <c r="F917" s="8" t="n"/>
      <c r="G917" s="9" t="n">
        <v>0</v>
      </c>
      <c r="H917" t="inlineStr">
        <is>
          <t>NOT_DUE</t>
        </is>
      </c>
      <c r="I917">
        <f>IF(H917="UNPAID", AsOfDate-D917, 0)</f>
        <v/>
      </c>
      <c r="J917">
        <f>IF(F917&lt;&gt;"", TEXT(F917, "yyyy-mm"), "")</f>
        <v/>
      </c>
    </row>
    <row r="918">
      <c r="A918" t="inlineStr">
        <is>
          <t>RP0000917</t>
        </is>
      </c>
      <c r="B918" t="inlineStr">
        <is>
          <t>LN200134</t>
        </is>
      </c>
      <c r="C918" t="n">
        <v>17</v>
      </c>
      <c r="D918" s="8" t="n">
        <v>46453</v>
      </c>
      <c r="E918" s="9" t="n">
        <v>5062.69</v>
      </c>
      <c r="F918" s="8" t="n"/>
      <c r="G918" s="9" t="n">
        <v>0</v>
      </c>
      <c r="H918" t="inlineStr">
        <is>
          <t>NOT_DUE</t>
        </is>
      </c>
      <c r="I918">
        <f>IF(H918="UNPAID", AsOfDate-D918, 0)</f>
        <v/>
      </c>
      <c r="J918">
        <f>IF(F918&lt;&gt;"", TEXT(F918, "yyyy-mm"), "")</f>
        <v/>
      </c>
    </row>
    <row r="919">
      <c r="A919" t="inlineStr">
        <is>
          <t>RP0000918</t>
        </is>
      </c>
      <c r="B919" t="inlineStr">
        <is>
          <t>LN200134</t>
        </is>
      </c>
      <c r="C919" t="n">
        <v>18</v>
      </c>
      <c r="D919" s="8" t="n">
        <v>46484</v>
      </c>
      <c r="E919" s="9" t="n">
        <v>5062.69</v>
      </c>
      <c r="F919" s="8" t="n"/>
      <c r="G919" s="9" t="n">
        <v>0</v>
      </c>
      <c r="H919" t="inlineStr">
        <is>
          <t>NOT_DUE</t>
        </is>
      </c>
      <c r="I919">
        <f>IF(H919="UNPAID", AsOfDate-D919, 0)</f>
        <v/>
      </c>
      <c r="J919">
        <f>IF(F919&lt;&gt;"", TEXT(F919, "yyyy-mm"), "")</f>
        <v/>
      </c>
    </row>
    <row r="920">
      <c r="A920" t="inlineStr">
        <is>
          <t>RP0000919</t>
        </is>
      </c>
      <c r="B920" t="inlineStr">
        <is>
          <t>LN200135</t>
        </is>
      </c>
      <c r="C920" t="n">
        <v>1</v>
      </c>
      <c r="D920" s="8" t="n">
        <v>45906</v>
      </c>
      <c r="E920" s="9" t="n">
        <v>4252.5</v>
      </c>
      <c r="F920" s="8" t="n">
        <v>45909</v>
      </c>
      <c r="G920" s="9" t="n">
        <v>4252.5</v>
      </c>
      <c r="H920" t="inlineStr">
        <is>
          <t>PAID_ON_TIME</t>
        </is>
      </c>
      <c r="I920">
        <f>IF(H920="UNPAID", AsOfDate-D920, 0)</f>
        <v/>
      </c>
      <c r="J920">
        <f>IF(F920&lt;&gt;"", TEXT(F920, "yyyy-mm"), "")</f>
        <v/>
      </c>
    </row>
    <row r="921">
      <c r="A921" t="inlineStr">
        <is>
          <t>RP0000920</t>
        </is>
      </c>
      <c r="B921" t="inlineStr">
        <is>
          <t>LN200135</t>
        </is>
      </c>
      <c r="C921" t="n">
        <v>2</v>
      </c>
      <c r="D921" s="8" t="n">
        <v>45936</v>
      </c>
      <c r="E921" s="9" t="n">
        <v>4252.5</v>
      </c>
      <c r="F921" s="8" t="n">
        <v>45935</v>
      </c>
      <c r="G921" s="9" t="n">
        <v>4252.5</v>
      </c>
      <c r="H921" t="inlineStr">
        <is>
          <t>PAID_ON_TIME</t>
        </is>
      </c>
      <c r="I921">
        <f>IF(H921="UNPAID", AsOfDate-D921, 0)</f>
        <v/>
      </c>
      <c r="J921">
        <f>IF(F921&lt;&gt;"", TEXT(F921, "yyyy-mm"), "")</f>
        <v/>
      </c>
    </row>
    <row r="922">
      <c r="A922" t="inlineStr">
        <is>
          <t>RP0000921</t>
        </is>
      </c>
      <c r="B922" t="inlineStr">
        <is>
          <t>LN200135</t>
        </is>
      </c>
      <c r="C922" t="n">
        <v>3</v>
      </c>
      <c r="D922" s="8" t="n">
        <v>45967</v>
      </c>
      <c r="E922" s="9" t="n">
        <v>4252.5</v>
      </c>
      <c r="F922" s="8" t="n">
        <v>45966</v>
      </c>
      <c r="G922" s="9" t="n">
        <v>4252.5</v>
      </c>
      <c r="H922" t="inlineStr">
        <is>
          <t>PAID_ON_TIME</t>
        </is>
      </c>
      <c r="I922">
        <f>IF(H922="UNPAID", AsOfDate-D922, 0)</f>
        <v/>
      </c>
      <c r="J922">
        <f>IF(F922&lt;&gt;"", TEXT(F922, "yyyy-mm"), "")</f>
        <v/>
      </c>
    </row>
    <row r="923">
      <c r="A923" t="inlineStr">
        <is>
          <t>RP0000922</t>
        </is>
      </c>
      <c r="B923" t="inlineStr">
        <is>
          <t>LN200135</t>
        </is>
      </c>
      <c r="C923" t="n">
        <v>4</v>
      </c>
      <c r="D923" s="8" t="n">
        <v>45997</v>
      </c>
      <c r="E923" s="9" t="n">
        <v>4252.5</v>
      </c>
      <c r="F923" s="8" t="n">
        <v>46102</v>
      </c>
      <c r="G923" s="9" t="n">
        <v>4252.5</v>
      </c>
      <c r="H923" t="inlineStr">
        <is>
          <t>PAID_LATE</t>
        </is>
      </c>
      <c r="I923">
        <f>IF(H923="UNPAID", AsOfDate-D923, 0)</f>
        <v/>
      </c>
      <c r="J923">
        <f>IF(F923&lt;&gt;"", TEXT(F923, "yyyy-mm"), "")</f>
        <v/>
      </c>
    </row>
    <row r="924">
      <c r="A924" t="inlineStr">
        <is>
          <t>RP0000923</t>
        </is>
      </c>
      <c r="B924" t="inlineStr">
        <is>
          <t>LN200135</t>
        </is>
      </c>
      <c r="C924" t="n">
        <v>5</v>
      </c>
      <c r="D924" s="8" t="n">
        <v>46028</v>
      </c>
      <c r="E924" s="9" t="n">
        <v>4252.5</v>
      </c>
      <c r="F924" s="8" t="n">
        <v>46030</v>
      </c>
      <c r="G924" s="9" t="n">
        <v>4252.5</v>
      </c>
      <c r="H924" t="inlineStr">
        <is>
          <t>PAID_ON_TIME</t>
        </is>
      </c>
      <c r="I924">
        <f>IF(H924="UNPAID", AsOfDate-D924, 0)</f>
        <v/>
      </c>
      <c r="J924">
        <f>IF(F924&lt;&gt;"", TEXT(F924, "yyyy-mm"), "")</f>
        <v/>
      </c>
    </row>
    <row r="925">
      <c r="A925" t="inlineStr">
        <is>
          <t>RP0000924</t>
        </is>
      </c>
      <c r="B925" t="inlineStr">
        <is>
          <t>LN200135</t>
        </is>
      </c>
      <c r="C925" t="n">
        <v>6</v>
      </c>
      <c r="D925" s="8" t="n">
        <v>46059</v>
      </c>
      <c r="E925" s="9" t="n">
        <v>4252.5</v>
      </c>
      <c r="F925" s="8" t="n">
        <v>46061</v>
      </c>
      <c r="G925" s="9" t="n">
        <v>4252.5</v>
      </c>
      <c r="H925" t="inlineStr">
        <is>
          <t>PAID_ON_TIME</t>
        </is>
      </c>
      <c r="I925">
        <f>IF(H925="UNPAID", AsOfDate-D925, 0)</f>
        <v/>
      </c>
      <c r="J925">
        <f>IF(F925&lt;&gt;"", TEXT(F925, "yyyy-mm"), "")</f>
        <v/>
      </c>
    </row>
    <row r="926">
      <c r="A926" t="inlineStr">
        <is>
          <t>RP0000925</t>
        </is>
      </c>
      <c r="B926" t="inlineStr">
        <is>
          <t>LN200135</t>
        </is>
      </c>
      <c r="C926" t="n">
        <v>7</v>
      </c>
      <c r="D926" s="8" t="n">
        <v>46087</v>
      </c>
      <c r="E926" s="9" t="n">
        <v>4252.5</v>
      </c>
      <c r="F926" s="8" t="n">
        <v>46088</v>
      </c>
      <c r="G926" s="9" t="n">
        <v>4252.5</v>
      </c>
      <c r="H926" t="inlineStr">
        <is>
          <t>PAID_ON_TIME</t>
        </is>
      </c>
      <c r="I926">
        <f>IF(H926="UNPAID", AsOfDate-D926, 0)</f>
        <v/>
      </c>
      <c r="J926">
        <f>IF(F926&lt;&gt;"", TEXT(F926, "yyyy-mm"), "")</f>
        <v/>
      </c>
    </row>
    <row r="927">
      <c r="A927" t="inlineStr">
        <is>
          <t>RP0000926</t>
        </is>
      </c>
      <c r="B927" t="inlineStr">
        <is>
          <t>LN200135</t>
        </is>
      </c>
      <c r="C927" t="n">
        <v>8</v>
      </c>
      <c r="D927" s="8" t="n">
        <v>46118</v>
      </c>
      <c r="E927" s="9" t="n">
        <v>4252.5</v>
      </c>
      <c r="F927" s="8" t="n">
        <v>46139</v>
      </c>
      <c r="G927" s="9" t="n">
        <v>4252.5</v>
      </c>
      <c r="H927" t="inlineStr">
        <is>
          <t>PAID_LATE</t>
        </is>
      </c>
      <c r="I927">
        <f>IF(H927="UNPAID", AsOfDate-D927, 0)</f>
        <v/>
      </c>
      <c r="J927">
        <f>IF(F927&lt;&gt;"", TEXT(F927, "yyyy-mm"), "")</f>
        <v/>
      </c>
    </row>
    <row r="928">
      <c r="A928" t="inlineStr">
        <is>
          <t>RP0000927</t>
        </is>
      </c>
      <c r="B928" t="inlineStr">
        <is>
          <t>LN200135</t>
        </is>
      </c>
      <c r="C928" t="n">
        <v>9</v>
      </c>
      <c r="D928" s="8" t="n">
        <v>46148</v>
      </c>
      <c r="E928" s="9" t="n">
        <v>4252.5</v>
      </c>
      <c r="F928" s="8" t="n">
        <v>46227</v>
      </c>
      <c r="G928" s="9" t="n">
        <v>4252.5</v>
      </c>
      <c r="H928" t="inlineStr">
        <is>
          <t>PAID_LATE</t>
        </is>
      </c>
      <c r="I928">
        <f>IF(H928="UNPAID", AsOfDate-D928, 0)</f>
        <v/>
      </c>
      <c r="J928">
        <f>IF(F928&lt;&gt;"", TEXT(F928, "yyyy-mm"), "")</f>
        <v/>
      </c>
    </row>
    <row r="929">
      <c r="A929" t="inlineStr">
        <is>
          <t>RP0000928</t>
        </is>
      </c>
      <c r="B929" t="inlineStr">
        <is>
          <t>LN200135</t>
        </is>
      </c>
      <c r="C929" t="n">
        <v>10</v>
      </c>
      <c r="D929" s="8" t="n">
        <v>46179</v>
      </c>
      <c r="E929" s="9" t="n">
        <v>4252.5</v>
      </c>
      <c r="F929" s="8" t="n">
        <v>46179</v>
      </c>
      <c r="G929" s="9" t="n">
        <v>4252.5</v>
      </c>
      <c r="H929" t="inlineStr">
        <is>
          <t>PAID_ON_TIME</t>
        </is>
      </c>
      <c r="I929">
        <f>IF(H929="UNPAID", AsOfDate-D929, 0)</f>
        <v/>
      </c>
      <c r="J929">
        <f>IF(F929&lt;&gt;"", TEXT(F929, "yyyy-mm"), "")</f>
        <v/>
      </c>
    </row>
    <row r="930">
      <c r="A930" t="inlineStr">
        <is>
          <t>RP0000929</t>
        </is>
      </c>
      <c r="B930" t="inlineStr">
        <is>
          <t>LN200135</t>
        </is>
      </c>
      <c r="C930" t="n">
        <v>11</v>
      </c>
      <c r="D930" s="8" t="n">
        <v>46209</v>
      </c>
      <c r="E930" s="9" t="n">
        <v>4252.5</v>
      </c>
      <c r="F930" s="8" t="n">
        <v>46208</v>
      </c>
      <c r="G930" s="9" t="n">
        <v>4252.5</v>
      </c>
      <c r="H930" t="inlineStr">
        <is>
          <t>PAID_ON_TIME</t>
        </is>
      </c>
      <c r="I930">
        <f>IF(H930="UNPAID", AsOfDate-D930, 0)</f>
        <v/>
      </c>
      <c r="J930">
        <f>IF(F930&lt;&gt;"", TEXT(F930, "yyyy-mm"), "")</f>
        <v/>
      </c>
    </row>
    <row r="931">
      <c r="A931" t="inlineStr">
        <is>
          <t>RP0000930</t>
        </is>
      </c>
      <c r="B931" t="inlineStr">
        <is>
          <t>LN200135</t>
        </is>
      </c>
      <c r="C931" t="n">
        <v>12</v>
      </c>
      <c r="D931" s="8" t="n">
        <v>46240</v>
      </c>
      <c r="E931" s="9" t="n">
        <v>4252.5</v>
      </c>
      <c r="F931" s="8" t="n">
        <v>46243</v>
      </c>
      <c r="G931" s="9" t="n">
        <v>4252.5</v>
      </c>
      <c r="H931" t="inlineStr">
        <is>
          <t>PAID_ON_TIME</t>
        </is>
      </c>
      <c r="I931">
        <f>IF(H931="UNPAID", AsOfDate-D931, 0)</f>
        <v/>
      </c>
      <c r="J931">
        <f>IF(F931&lt;&gt;"", TEXT(F931, "yyyy-mm"), "")</f>
        <v/>
      </c>
    </row>
    <row r="932">
      <c r="A932" t="inlineStr">
        <is>
          <t>RP0000931</t>
        </is>
      </c>
      <c r="B932" t="inlineStr">
        <is>
          <t>LN200136</t>
        </is>
      </c>
      <c r="C932" t="n">
        <v>1</v>
      </c>
      <c r="D932" s="8" t="n">
        <v>46168</v>
      </c>
      <c r="E932" s="9" t="n">
        <v>8768.219999999999</v>
      </c>
      <c r="F932" s="8" t="n">
        <v>46167</v>
      </c>
      <c r="G932" s="9" t="n">
        <v>8768.219999999999</v>
      </c>
      <c r="H932" t="inlineStr">
        <is>
          <t>PAID_ON_TIME</t>
        </is>
      </c>
      <c r="I932">
        <f>IF(H932="UNPAID", AsOfDate-D932, 0)</f>
        <v/>
      </c>
      <c r="J932">
        <f>IF(F932&lt;&gt;"", TEXT(F932, "yyyy-mm"), "")</f>
        <v/>
      </c>
    </row>
    <row r="933">
      <c r="A933" t="inlineStr">
        <is>
          <t>RP0000932</t>
        </is>
      </c>
      <c r="B933" t="inlineStr">
        <is>
          <t>LN200136</t>
        </is>
      </c>
      <c r="C933" t="n">
        <v>2</v>
      </c>
      <c r="D933" s="8" t="n">
        <v>46199</v>
      </c>
      <c r="E933" s="9" t="n">
        <v>8768.219999999999</v>
      </c>
      <c r="F933" s="8" t="n">
        <v>46197</v>
      </c>
      <c r="G933" s="9" t="n">
        <v>8768.219999999999</v>
      </c>
      <c r="H933" t="inlineStr">
        <is>
          <t>PAID_ON_TIME</t>
        </is>
      </c>
      <c r="I933">
        <f>IF(H933="UNPAID", AsOfDate-D933, 0)</f>
        <v/>
      </c>
      <c r="J933">
        <f>IF(F933&lt;&gt;"", TEXT(F933, "yyyy-mm"), "")</f>
        <v/>
      </c>
    </row>
    <row r="934">
      <c r="A934" t="inlineStr">
        <is>
          <t>RP0000933</t>
        </is>
      </c>
      <c r="B934" t="inlineStr">
        <is>
          <t>LN200136</t>
        </is>
      </c>
      <c r="C934" t="n">
        <v>3</v>
      </c>
      <c r="D934" s="8" t="n">
        <v>46229</v>
      </c>
      <c r="E934" s="9" t="n">
        <v>8768.219999999999</v>
      </c>
      <c r="F934" s="8" t="n">
        <v>46232</v>
      </c>
      <c r="G934" s="9" t="n">
        <v>8768.219999999999</v>
      </c>
      <c r="H934" t="inlineStr">
        <is>
          <t>PAID_ON_TIME</t>
        </is>
      </c>
      <c r="I934">
        <f>IF(H934="UNPAID", AsOfDate-D934, 0)</f>
        <v/>
      </c>
      <c r="J934">
        <f>IF(F934&lt;&gt;"", TEXT(F934, "yyyy-mm"), "")</f>
        <v/>
      </c>
    </row>
    <row r="935">
      <c r="A935" t="inlineStr">
        <is>
          <t>RP0000934</t>
        </is>
      </c>
      <c r="B935" t="inlineStr">
        <is>
          <t>LN200136</t>
        </is>
      </c>
      <c r="C935" t="n">
        <v>4</v>
      </c>
      <c r="D935" s="8" t="n">
        <v>46260</v>
      </c>
      <c r="E935" s="9" t="n">
        <v>8768.219999999999</v>
      </c>
      <c r="F935" s="8" t="n">
        <v>46266</v>
      </c>
      <c r="G935" s="9" t="n">
        <v>8768.219999999999</v>
      </c>
      <c r="H935" t="inlineStr">
        <is>
          <t>PAID_LATE</t>
        </is>
      </c>
      <c r="I935">
        <f>IF(H935="UNPAID", AsOfDate-D935, 0)</f>
        <v/>
      </c>
      <c r="J935">
        <f>IF(F935&lt;&gt;"", TEXT(F935, "yyyy-mm"), "")</f>
        <v/>
      </c>
    </row>
    <row r="936">
      <c r="A936" t="inlineStr">
        <is>
          <t>RP0000935</t>
        </is>
      </c>
      <c r="B936" t="inlineStr">
        <is>
          <t>LN200136</t>
        </is>
      </c>
      <c r="C936" t="n">
        <v>5</v>
      </c>
      <c r="D936" s="8" t="n">
        <v>46291</v>
      </c>
      <c r="E936" s="9" t="n">
        <v>8768.219999999999</v>
      </c>
      <c r="F936" s="8" t="n"/>
      <c r="G936" s="9" t="n">
        <v>0</v>
      </c>
      <c r="H936" t="inlineStr">
        <is>
          <t>NOT_DUE</t>
        </is>
      </c>
      <c r="I936">
        <f>IF(H936="UNPAID", AsOfDate-D936, 0)</f>
        <v/>
      </c>
      <c r="J936">
        <f>IF(F936&lt;&gt;"", TEXT(F936, "yyyy-mm"), "")</f>
        <v/>
      </c>
    </row>
    <row r="937">
      <c r="A937" t="inlineStr">
        <is>
          <t>RP0000936</t>
        </is>
      </c>
      <c r="B937" t="inlineStr">
        <is>
          <t>LN200136</t>
        </is>
      </c>
      <c r="C937" t="n">
        <v>6</v>
      </c>
      <c r="D937" s="8" t="n">
        <v>46321</v>
      </c>
      <c r="E937" s="9" t="n">
        <v>8768.219999999999</v>
      </c>
      <c r="F937" s="8" t="n"/>
      <c r="G937" s="9" t="n">
        <v>0</v>
      </c>
      <c r="H937" t="inlineStr">
        <is>
          <t>NOT_DUE</t>
        </is>
      </c>
      <c r="I937">
        <f>IF(H937="UNPAID", AsOfDate-D937, 0)</f>
        <v/>
      </c>
      <c r="J937">
        <f>IF(F937&lt;&gt;"", TEXT(F937, "yyyy-mm"), "")</f>
        <v/>
      </c>
    </row>
    <row r="938">
      <c r="A938" t="inlineStr">
        <is>
          <t>RP0000937</t>
        </is>
      </c>
      <c r="B938" t="inlineStr">
        <is>
          <t>LN200136</t>
        </is>
      </c>
      <c r="C938" t="n">
        <v>7</v>
      </c>
      <c r="D938" s="8" t="n">
        <v>46352</v>
      </c>
      <c r="E938" s="9" t="n">
        <v>8768.219999999999</v>
      </c>
      <c r="F938" s="8" t="n"/>
      <c r="G938" s="9" t="n">
        <v>0</v>
      </c>
      <c r="H938" t="inlineStr">
        <is>
          <t>NOT_DUE</t>
        </is>
      </c>
      <c r="I938">
        <f>IF(H938="UNPAID", AsOfDate-D938, 0)</f>
        <v/>
      </c>
      <c r="J938">
        <f>IF(F938&lt;&gt;"", TEXT(F938, "yyyy-mm"), "")</f>
        <v/>
      </c>
    </row>
    <row r="939">
      <c r="A939" t="inlineStr">
        <is>
          <t>RP0000938</t>
        </is>
      </c>
      <c r="B939" t="inlineStr">
        <is>
          <t>LN200136</t>
        </is>
      </c>
      <c r="C939" t="n">
        <v>8</v>
      </c>
      <c r="D939" s="8" t="n">
        <v>46382</v>
      </c>
      <c r="E939" s="9" t="n">
        <v>8768.219999999999</v>
      </c>
      <c r="F939" s="8" t="n"/>
      <c r="G939" s="9" t="n">
        <v>0</v>
      </c>
      <c r="H939" t="inlineStr">
        <is>
          <t>NOT_DUE</t>
        </is>
      </c>
      <c r="I939">
        <f>IF(H939="UNPAID", AsOfDate-D939, 0)</f>
        <v/>
      </c>
      <c r="J939">
        <f>IF(F939&lt;&gt;"", TEXT(F939, "yyyy-mm"), "")</f>
        <v/>
      </c>
    </row>
    <row r="940">
      <c r="A940" t="inlineStr">
        <is>
          <t>RP0000939</t>
        </is>
      </c>
      <c r="B940" t="inlineStr">
        <is>
          <t>LN200136</t>
        </is>
      </c>
      <c r="C940" t="n">
        <v>9</v>
      </c>
      <c r="D940" s="8" t="n">
        <v>46413</v>
      </c>
      <c r="E940" s="9" t="n">
        <v>8768.219999999999</v>
      </c>
      <c r="F940" s="8" t="n"/>
      <c r="G940" s="9" t="n">
        <v>0</v>
      </c>
      <c r="H940" t="inlineStr">
        <is>
          <t>NOT_DUE</t>
        </is>
      </c>
      <c r="I940">
        <f>IF(H940="UNPAID", AsOfDate-D940, 0)</f>
        <v/>
      </c>
      <c r="J940">
        <f>IF(F940&lt;&gt;"", TEXT(F940, "yyyy-mm"), "")</f>
        <v/>
      </c>
    </row>
    <row r="941">
      <c r="A941" t="inlineStr">
        <is>
          <t>RP0000940</t>
        </is>
      </c>
      <c r="B941" t="inlineStr">
        <is>
          <t>LN200137</t>
        </is>
      </c>
      <c r="C941" t="n">
        <v>1</v>
      </c>
      <c r="D941" s="8" t="n">
        <v>46250</v>
      </c>
      <c r="E941" s="9" t="n">
        <v>5719.64</v>
      </c>
      <c r="F941" s="8" t="n">
        <v>46250</v>
      </c>
      <c r="G941" s="9" t="n">
        <v>5719.64</v>
      </c>
      <c r="H941" t="inlineStr">
        <is>
          <t>PAID_ON_TIME</t>
        </is>
      </c>
      <c r="I941">
        <f>IF(H941="UNPAID", AsOfDate-D941, 0)</f>
        <v/>
      </c>
      <c r="J941">
        <f>IF(F941&lt;&gt;"", TEXT(F941, "yyyy-mm"), "")</f>
        <v/>
      </c>
    </row>
    <row r="942">
      <c r="A942" t="inlineStr">
        <is>
          <t>RP0000941</t>
        </is>
      </c>
      <c r="B942" t="inlineStr">
        <is>
          <t>LN200137</t>
        </is>
      </c>
      <c r="C942" t="n">
        <v>2</v>
      </c>
      <c r="D942" s="8" t="n">
        <v>46281</v>
      </c>
      <c r="E942" s="9" t="n">
        <v>5719.64</v>
      </c>
      <c r="F942" s="8" t="n"/>
      <c r="G942" s="9" t="n">
        <v>0</v>
      </c>
      <c r="H942" t="inlineStr">
        <is>
          <t>NOT_DUE</t>
        </is>
      </c>
      <c r="I942">
        <f>IF(H942="UNPAID", AsOfDate-D942, 0)</f>
        <v/>
      </c>
      <c r="J942">
        <f>IF(F942&lt;&gt;"", TEXT(F942, "yyyy-mm"), "")</f>
        <v/>
      </c>
    </row>
    <row r="943">
      <c r="A943" t="inlineStr">
        <is>
          <t>RP0000942</t>
        </is>
      </c>
      <c r="B943" t="inlineStr">
        <is>
          <t>LN200137</t>
        </is>
      </c>
      <c r="C943" t="n">
        <v>3</v>
      </c>
      <c r="D943" s="8" t="n">
        <v>46311</v>
      </c>
      <c r="E943" s="9" t="n">
        <v>5719.64</v>
      </c>
      <c r="F943" s="8" t="n"/>
      <c r="G943" s="9" t="n">
        <v>0</v>
      </c>
      <c r="H943" t="inlineStr">
        <is>
          <t>NOT_DUE</t>
        </is>
      </c>
      <c r="I943">
        <f>IF(H943="UNPAID", AsOfDate-D943, 0)</f>
        <v/>
      </c>
      <c r="J943">
        <f>IF(F943&lt;&gt;"", TEXT(F943, "yyyy-mm"), "")</f>
        <v/>
      </c>
    </row>
    <row r="944">
      <c r="A944" t="inlineStr">
        <is>
          <t>RP0000943</t>
        </is>
      </c>
      <c r="B944" t="inlineStr">
        <is>
          <t>LN200137</t>
        </is>
      </c>
      <c r="C944" t="n">
        <v>4</v>
      </c>
      <c r="D944" s="8" t="n">
        <v>46342</v>
      </c>
      <c r="E944" s="9" t="n">
        <v>5719.64</v>
      </c>
      <c r="F944" s="8" t="n"/>
      <c r="G944" s="9" t="n">
        <v>0</v>
      </c>
      <c r="H944" t="inlineStr">
        <is>
          <t>NOT_DUE</t>
        </is>
      </c>
      <c r="I944">
        <f>IF(H944="UNPAID", AsOfDate-D944, 0)</f>
        <v/>
      </c>
      <c r="J944">
        <f>IF(F944&lt;&gt;"", TEXT(F944, "yyyy-mm"), "")</f>
        <v/>
      </c>
    </row>
    <row r="945">
      <c r="A945" t="inlineStr">
        <is>
          <t>RP0000944</t>
        </is>
      </c>
      <c r="B945" t="inlineStr">
        <is>
          <t>LN200137</t>
        </is>
      </c>
      <c r="C945" t="n">
        <v>5</v>
      </c>
      <c r="D945" s="8" t="n">
        <v>46372</v>
      </c>
      <c r="E945" s="9" t="n">
        <v>5719.64</v>
      </c>
      <c r="F945" s="8" t="n"/>
      <c r="G945" s="9" t="n">
        <v>0</v>
      </c>
      <c r="H945" t="inlineStr">
        <is>
          <t>NOT_DUE</t>
        </is>
      </c>
      <c r="I945">
        <f>IF(H945="UNPAID", AsOfDate-D945, 0)</f>
        <v/>
      </c>
      <c r="J945">
        <f>IF(F945&lt;&gt;"", TEXT(F945, "yyyy-mm"), "")</f>
        <v/>
      </c>
    </row>
    <row r="946">
      <c r="A946" t="inlineStr">
        <is>
          <t>RP0000945</t>
        </is>
      </c>
      <c r="B946" t="inlineStr">
        <is>
          <t>LN200137</t>
        </is>
      </c>
      <c r="C946" t="n">
        <v>6</v>
      </c>
      <c r="D946" s="8" t="n">
        <v>46403</v>
      </c>
      <c r="E946" s="9" t="n">
        <v>5719.64</v>
      </c>
      <c r="F946" s="8" t="n"/>
      <c r="G946" s="9" t="n">
        <v>0</v>
      </c>
      <c r="H946" t="inlineStr">
        <is>
          <t>NOT_DUE</t>
        </is>
      </c>
      <c r="I946">
        <f>IF(H946="UNPAID", AsOfDate-D946, 0)</f>
        <v/>
      </c>
      <c r="J946">
        <f>IF(F946&lt;&gt;"", TEXT(F946, "yyyy-mm"), "")</f>
        <v/>
      </c>
    </row>
    <row r="947">
      <c r="A947" t="inlineStr">
        <is>
          <t>RP0000946</t>
        </is>
      </c>
      <c r="B947" t="inlineStr">
        <is>
          <t>LN200137</t>
        </is>
      </c>
      <c r="C947" t="n">
        <v>7</v>
      </c>
      <c r="D947" s="8" t="n">
        <v>46434</v>
      </c>
      <c r="E947" s="9" t="n">
        <v>5719.64</v>
      </c>
      <c r="F947" s="8" t="n"/>
      <c r="G947" s="9" t="n">
        <v>0</v>
      </c>
      <c r="H947" t="inlineStr">
        <is>
          <t>NOT_DUE</t>
        </is>
      </c>
      <c r="I947">
        <f>IF(H947="UNPAID", AsOfDate-D947, 0)</f>
        <v/>
      </c>
      <c r="J947">
        <f>IF(F947&lt;&gt;"", TEXT(F947, "yyyy-mm"), "")</f>
        <v/>
      </c>
    </row>
    <row r="948">
      <c r="A948" t="inlineStr">
        <is>
          <t>RP0000947</t>
        </is>
      </c>
      <c r="B948" t="inlineStr">
        <is>
          <t>LN200137</t>
        </is>
      </c>
      <c r="C948" t="n">
        <v>8</v>
      </c>
      <c r="D948" s="8" t="n">
        <v>46462</v>
      </c>
      <c r="E948" s="9" t="n">
        <v>5719.64</v>
      </c>
      <c r="F948" s="8" t="n"/>
      <c r="G948" s="9" t="n">
        <v>0</v>
      </c>
      <c r="H948" t="inlineStr">
        <is>
          <t>NOT_DUE</t>
        </is>
      </c>
      <c r="I948">
        <f>IF(H948="UNPAID", AsOfDate-D948, 0)</f>
        <v/>
      </c>
      <c r="J948">
        <f>IF(F948&lt;&gt;"", TEXT(F948, "yyyy-mm"), "")</f>
        <v/>
      </c>
    </row>
    <row r="949">
      <c r="A949" t="inlineStr">
        <is>
          <t>RP0000948</t>
        </is>
      </c>
      <c r="B949" t="inlineStr">
        <is>
          <t>LN200137</t>
        </is>
      </c>
      <c r="C949" t="n">
        <v>9</v>
      </c>
      <c r="D949" s="8" t="n">
        <v>46493</v>
      </c>
      <c r="E949" s="9" t="n">
        <v>5719.64</v>
      </c>
      <c r="F949" s="8" t="n"/>
      <c r="G949" s="9" t="n">
        <v>0</v>
      </c>
      <c r="H949" t="inlineStr">
        <is>
          <t>NOT_DUE</t>
        </is>
      </c>
      <c r="I949">
        <f>IF(H949="UNPAID", AsOfDate-D949, 0)</f>
        <v/>
      </c>
      <c r="J949">
        <f>IF(F949&lt;&gt;"", TEXT(F949, "yyyy-mm"), "")</f>
        <v/>
      </c>
    </row>
    <row r="950">
      <c r="A950" t="inlineStr">
        <is>
          <t>RP0000949</t>
        </is>
      </c>
      <c r="B950" t="inlineStr">
        <is>
          <t>LN200139</t>
        </is>
      </c>
      <c r="C950" t="n">
        <v>1</v>
      </c>
      <c r="D950" s="8" t="n">
        <v>46163</v>
      </c>
      <c r="E950" s="9" t="n">
        <v>4214</v>
      </c>
      <c r="F950" s="8" t="n">
        <v>46164</v>
      </c>
      <c r="G950" s="9" t="n">
        <v>4214</v>
      </c>
      <c r="H950" t="inlineStr">
        <is>
          <t>PAID_ON_TIME</t>
        </is>
      </c>
      <c r="I950">
        <f>IF(H950="UNPAID", AsOfDate-D950, 0)</f>
        <v/>
      </c>
      <c r="J950">
        <f>IF(F950&lt;&gt;"", TEXT(F950, "yyyy-mm"), "")</f>
        <v/>
      </c>
    </row>
    <row r="951">
      <c r="A951" t="inlineStr">
        <is>
          <t>RP0000950</t>
        </is>
      </c>
      <c r="B951" t="inlineStr">
        <is>
          <t>LN200139</t>
        </is>
      </c>
      <c r="C951" t="n">
        <v>2</v>
      </c>
      <c r="D951" s="8" t="n">
        <v>46194</v>
      </c>
      <c r="E951" s="9" t="n">
        <v>4214</v>
      </c>
      <c r="F951" s="8" t="n">
        <v>46221</v>
      </c>
      <c r="G951" s="9" t="n">
        <v>4214</v>
      </c>
      <c r="H951" t="inlineStr">
        <is>
          <t>PAID_LATE</t>
        </is>
      </c>
      <c r="I951">
        <f>IF(H951="UNPAID", AsOfDate-D951, 0)</f>
        <v/>
      </c>
      <c r="J951">
        <f>IF(F951&lt;&gt;"", TEXT(F951, "yyyy-mm"), "")</f>
        <v/>
      </c>
    </row>
    <row r="952">
      <c r="A952" t="inlineStr">
        <is>
          <t>RP0000951</t>
        </is>
      </c>
      <c r="B952" t="inlineStr">
        <is>
          <t>LN200139</t>
        </is>
      </c>
      <c r="C952" t="n">
        <v>3</v>
      </c>
      <c r="D952" s="8" t="n">
        <v>46224</v>
      </c>
      <c r="E952" s="9" t="n">
        <v>4214</v>
      </c>
      <c r="F952" s="8" t="n"/>
      <c r="G952" s="9" t="n">
        <v>0</v>
      </c>
      <c r="H952" t="inlineStr">
        <is>
          <t>UNPAID</t>
        </is>
      </c>
      <c r="I952">
        <f>IF(H952="UNPAID", AsOfDate-D952, 0)</f>
        <v/>
      </c>
      <c r="J952">
        <f>IF(F952&lt;&gt;"", TEXT(F952, "yyyy-mm"), "")</f>
        <v/>
      </c>
    </row>
    <row r="953">
      <c r="A953" t="inlineStr">
        <is>
          <t>RP0000952</t>
        </is>
      </c>
      <c r="B953" t="inlineStr">
        <is>
          <t>LN200139</t>
        </is>
      </c>
      <c r="C953" t="n">
        <v>4</v>
      </c>
      <c r="D953" s="8" t="n">
        <v>46255</v>
      </c>
      <c r="E953" s="9" t="n">
        <v>4214</v>
      </c>
      <c r="F953" s="8" t="n"/>
      <c r="G953" s="9" t="n">
        <v>0</v>
      </c>
      <c r="H953" t="inlineStr">
        <is>
          <t>UNPAID</t>
        </is>
      </c>
      <c r="I953">
        <f>IF(H953="UNPAID", AsOfDate-D953, 0)</f>
        <v/>
      </c>
      <c r="J953">
        <f>IF(F953&lt;&gt;"", TEXT(F953, "yyyy-mm"), "")</f>
        <v/>
      </c>
    </row>
    <row r="954">
      <c r="A954" t="inlineStr">
        <is>
          <t>RP0000953</t>
        </is>
      </c>
      <c r="B954" t="inlineStr">
        <is>
          <t>LN200139</t>
        </is>
      </c>
      <c r="C954" t="n">
        <v>5</v>
      </c>
      <c r="D954" s="8" t="n">
        <v>46286</v>
      </c>
      <c r="E954" s="9" t="n">
        <v>4214</v>
      </c>
      <c r="F954" s="8" t="n"/>
      <c r="G954" s="9" t="n">
        <v>0</v>
      </c>
      <c r="H954" t="inlineStr">
        <is>
          <t>NOT_DUE</t>
        </is>
      </c>
      <c r="I954">
        <f>IF(H954="UNPAID", AsOfDate-D954, 0)</f>
        <v/>
      </c>
      <c r="J954">
        <f>IF(F954&lt;&gt;"", TEXT(F954, "yyyy-mm"), "")</f>
        <v/>
      </c>
    </row>
    <row r="955">
      <c r="A955" t="inlineStr">
        <is>
          <t>RP0000954</t>
        </is>
      </c>
      <c r="B955" t="inlineStr">
        <is>
          <t>LN200139</t>
        </is>
      </c>
      <c r="C955" t="n">
        <v>6</v>
      </c>
      <c r="D955" s="8" t="n">
        <v>46316</v>
      </c>
      <c r="E955" s="9" t="n">
        <v>4214</v>
      </c>
      <c r="F955" s="8" t="n"/>
      <c r="G955" s="9" t="n">
        <v>0</v>
      </c>
      <c r="H955" t="inlineStr">
        <is>
          <t>NOT_DUE</t>
        </is>
      </c>
      <c r="I955">
        <f>IF(H955="UNPAID", AsOfDate-D955, 0)</f>
        <v/>
      </c>
      <c r="J955">
        <f>IF(F955&lt;&gt;"", TEXT(F955, "yyyy-mm"), "")</f>
        <v/>
      </c>
    </row>
    <row r="956">
      <c r="A956" t="inlineStr">
        <is>
          <t>RP0000955</t>
        </is>
      </c>
      <c r="B956" t="inlineStr">
        <is>
          <t>LN200139</t>
        </is>
      </c>
      <c r="C956" t="n">
        <v>7</v>
      </c>
      <c r="D956" s="8" t="n">
        <v>46347</v>
      </c>
      <c r="E956" s="9" t="n">
        <v>4214</v>
      </c>
      <c r="F956" s="8" t="n"/>
      <c r="G956" s="9" t="n">
        <v>0</v>
      </c>
      <c r="H956" t="inlineStr">
        <is>
          <t>NOT_DUE</t>
        </is>
      </c>
      <c r="I956">
        <f>IF(H956="UNPAID", AsOfDate-D956, 0)</f>
        <v/>
      </c>
      <c r="J956">
        <f>IF(F956&lt;&gt;"", TEXT(F956, "yyyy-mm"), "")</f>
        <v/>
      </c>
    </row>
    <row r="957">
      <c r="A957" t="inlineStr">
        <is>
          <t>RP0000956</t>
        </is>
      </c>
      <c r="B957" t="inlineStr">
        <is>
          <t>LN200139</t>
        </is>
      </c>
      <c r="C957" t="n">
        <v>8</v>
      </c>
      <c r="D957" s="8" t="n">
        <v>46377</v>
      </c>
      <c r="E957" s="9" t="n">
        <v>4214</v>
      </c>
      <c r="F957" s="8" t="n"/>
      <c r="G957" s="9" t="n">
        <v>0</v>
      </c>
      <c r="H957" t="inlineStr">
        <is>
          <t>NOT_DUE</t>
        </is>
      </c>
      <c r="I957">
        <f>IF(H957="UNPAID", AsOfDate-D957, 0)</f>
        <v/>
      </c>
      <c r="J957">
        <f>IF(F957&lt;&gt;"", TEXT(F957, "yyyy-mm"), "")</f>
        <v/>
      </c>
    </row>
    <row r="958">
      <c r="A958" t="inlineStr">
        <is>
          <t>RP0000957</t>
        </is>
      </c>
      <c r="B958" t="inlineStr">
        <is>
          <t>LN200139</t>
        </is>
      </c>
      <c r="C958" t="n">
        <v>9</v>
      </c>
      <c r="D958" s="8" t="n">
        <v>46408</v>
      </c>
      <c r="E958" s="9" t="n">
        <v>4214</v>
      </c>
      <c r="F958" s="8" t="n"/>
      <c r="G958" s="9" t="n">
        <v>0</v>
      </c>
      <c r="H958" t="inlineStr">
        <is>
          <t>NOT_DUE</t>
        </is>
      </c>
      <c r="I958">
        <f>IF(H958="UNPAID", AsOfDate-D958, 0)</f>
        <v/>
      </c>
      <c r="J958">
        <f>IF(F958&lt;&gt;"", TEXT(F958, "yyyy-mm"), "")</f>
        <v/>
      </c>
    </row>
    <row r="959">
      <c r="A959" t="inlineStr">
        <is>
          <t>RP0000958</t>
        </is>
      </c>
      <c r="B959" t="inlineStr">
        <is>
          <t>LN200139</t>
        </is>
      </c>
      <c r="C959" t="n">
        <v>10</v>
      </c>
      <c r="D959" s="8" t="n">
        <v>46439</v>
      </c>
      <c r="E959" s="9" t="n">
        <v>4214</v>
      </c>
      <c r="F959" s="8" t="n"/>
      <c r="G959" s="9" t="n">
        <v>0</v>
      </c>
      <c r="H959" t="inlineStr">
        <is>
          <t>NOT_DUE</t>
        </is>
      </c>
      <c r="I959">
        <f>IF(H959="UNPAID", AsOfDate-D959, 0)</f>
        <v/>
      </c>
      <c r="J959">
        <f>IF(F959&lt;&gt;"", TEXT(F959, "yyyy-mm"), "")</f>
        <v/>
      </c>
    </row>
    <row r="960">
      <c r="A960" t="inlineStr">
        <is>
          <t>RP0000959</t>
        </is>
      </c>
      <c r="B960" t="inlineStr">
        <is>
          <t>LN200139</t>
        </is>
      </c>
      <c r="C960" t="n">
        <v>11</v>
      </c>
      <c r="D960" s="8" t="n">
        <v>46467</v>
      </c>
      <c r="E960" s="9" t="n">
        <v>4214</v>
      </c>
      <c r="F960" s="8" t="n"/>
      <c r="G960" s="9" t="n">
        <v>0</v>
      </c>
      <c r="H960" t="inlineStr">
        <is>
          <t>NOT_DUE</t>
        </is>
      </c>
      <c r="I960">
        <f>IF(H960="UNPAID", AsOfDate-D960, 0)</f>
        <v/>
      </c>
      <c r="J960">
        <f>IF(F960&lt;&gt;"", TEXT(F960, "yyyy-mm"), "")</f>
        <v/>
      </c>
    </row>
    <row r="961">
      <c r="A961" t="inlineStr">
        <is>
          <t>RP0000960</t>
        </is>
      </c>
      <c r="B961" t="inlineStr">
        <is>
          <t>LN200139</t>
        </is>
      </c>
      <c r="C961" t="n">
        <v>12</v>
      </c>
      <c r="D961" s="8" t="n">
        <v>46498</v>
      </c>
      <c r="E961" s="9" t="n">
        <v>4214</v>
      </c>
      <c r="F961" s="8" t="n"/>
      <c r="G961" s="9" t="n">
        <v>0</v>
      </c>
      <c r="H961" t="inlineStr">
        <is>
          <t>NOT_DUE</t>
        </is>
      </c>
      <c r="I961">
        <f>IF(H961="UNPAID", AsOfDate-D961, 0)</f>
        <v/>
      </c>
      <c r="J961">
        <f>IF(F961&lt;&gt;"", TEXT(F961, "yyyy-mm"), "")</f>
        <v/>
      </c>
    </row>
    <row r="962">
      <c r="A962" t="inlineStr">
        <is>
          <t>RP0000961</t>
        </is>
      </c>
      <c r="B962" t="inlineStr">
        <is>
          <t>LN200139</t>
        </is>
      </c>
      <c r="C962" t="n">
        <v>13</v>
      </c>
      <c r="D962" s="8" t="n">
        <v>46528</v>
      </c>
      <c r="E962" s="9" t="n">
        <v>4214</v>
      </c>
      <c r="F962" s="8" t="n"/>
      <c r="G962" s="9" t="n">
        <v>0</v>
      </c>
      <c r="H962" t="inlineStr">
        <is>
          <t>NOT_DUE</t>
        </is>
      </c>
      <c r="I962">
        <f>IF(H962="UNPAID", AsOfDate-D962, 0)</f>
        <v/>
      </c>
      <c r="J962">
        <f>IF(F962&lt;&gt;"", TEXT(F962, "yyyy-mm"), "")</f>
        <v/>
      </c>
    </row>
    <row r="963">
      <c r="A963" t="inlineStr">
        <is>
          <t>RP0000962</t>
        </is>
      </c>
      <c r="B963" t="inlineStr">
        <is>
          <t>LN200139</t>
        </is>
      </c>
      <c r="C963" t="n">
        <v>14</v>
      </c>
      <c r="D963" s="8" t="n">
        <v>46559</v>
      </c>
      <c r="E963" s="9" t="n">
        <v>4214</v>
      </c>
      <c r="F963" s="8" t="n"/>
      <c r="G963" s="9" t="n">
        <v>0</v>
      </c>
      <c r="H963" t="inlineStr">
        <is>
          <t>NOT_DUE</t>
        </is>
      </c>
      <c r="I963">
        <f>IF(H963="UNPAID", AsOfDate-D963, 0)</f>
        <v/>
      </c>
      <c r="J963">
        <f>IF(F963&lt;&gt;"", TEXT(F963, "yyyy-mm"), "")</f>
        <v/>
      </c>
    </row>
    <row r="964">
      <c r="A964" t="inlineStr">
        <is>
          <t>RP0000963</t>
        </is>
      </c>
      <c r="B964" t="inlineStr">
        <is>
          <t>LN200139</t>
        </is>
      </c>
      <c r="C964" t="n">
        <v>15</v>
      </c>
      <c r="D964" s="8" t="n">
        <v>46589</v>
      </c>
      <c r="E964" s="9" t="n">
        <v>4214</v>
      </c>
      <c r="F964" s="8" t="n"/>
      <c r="G964" s="9" t="n">
        <v>0</v>
      </c>
      <c r="H964" t="inlineStr">
        <is>
          <t>NOT_DUE</t>
        </is>
      </c>
      <c r="I964">
        <f>IF(H964="UNPAID", AsOfDate-D964, 0)</f>
        <v/>
      </c>
      <c r="J964">
        <f>IF(F964&lt;&gt;"", TEXT(F964, "yyyy-mm"), "")</f>
        <v/>
      </c>
    </row>
    <row r="965">
      <c r="A965" t="inlineStr">
        <is>
          <t>RP0000964</t>
        </is>
      </c>
      <c r="B965" t="inlineStr">
        <is>
          <t>LN200139</t>
        </is>
      </c>
      <c r="C965" t="n">
        <v>16</v>
      </c>
      <c r="D965" s="8" t="n">
        <v>46620</v>
      </c>
      <c r="E965" s="9" t="n">
        <v>4214</v>
      </c>
      <c r="F965" s="8" t="n"/>
      <c r="G965" s="9" t="n">
        <v>0</v>
      </c>
      <c r="H965" t="inlineStr">
        <is>
          <t>NOT_DUE</t>
        </is>
      </c>
      <c r="I965">
        <f>IF(H965="UNPAID", AsOfDate-D965, 0)</f>
        <v/>
      </c>
      <c r="J965">
        <f>IF(F965&lt;&gt;"", TEXT(F965, "yyyy-mm"), "")</f>
        <v/>
      </c>
    </row>
    <row r="966">
      <c r="A966" t="inlineStr">
        <is>
          <t>RP0000965</t>
        </is>
      </c>
      <c r="B966" t="inlineStr">
        <is>
          <t>LN200139</t>
        </is>
      </c>
      <c r="C966" t="n">
        <v>17</v>
      </c>
      <c r="D966" s="8" t="n">
        <v>46651</v>
      </c>
      <c r="E966" s="9" t="n">
        <v>4214</v>
      </c>
      <c r="F966" s="8" t="n"/>
      <c r="G966" s="9" t="n">
        <v>0</v>
      </c>
      <c r="H966" t="inlineStr">
        <is>
          <t>NOT_DUE</t>
        </is>
      </c>
      <c r="I966">
        <f>IF(H966="UNPAID", AsOfDate-D966, 0)</f>
        <v/>
      </c>
      <c r="J966">
        <f>IF(F966&lt;&gt;"", TEXT(F966, "yyyy-mm"), "")</f>
        <v/>
      </c>
    </row>
    <row r="967">
      <c r="A967" t="inlineStr">
        <is>
          <t>RP0000966</t>
        </is>
      </c>
      <c r="B967" t="inlineStr">
        <is>
          <t>LN200139</t>
        </is>
      </c>
      <c r="C967" t="n">
        <v>18</v>
      </c>
      <c r="D967" s="8" t="n">
        <v>46681</v>
      </c>
      <c r="E967" s="9" t="n">
        <v>4214</v>
      </c>
      <c r="F967" s="8" t="n"/>
      <c r="G967" s="9" t="n">
        <v>0</v>
      </c>
      <c r="H967" t="inlineStr">
        <is>
          <t>NOT_DUE</t>
        </is>
      </c>
      <c r="I967">
        <f>IF(H967="UNPAID", AsOfDate-D967, 0)</f>
        <v/>
      </c>
      <c r="J967">
        <f>IF(F967&lt;&gt;"", TEXT(F967, "yyyy-mm"), "")</f>
        <v/>
      </c>
    </row>
    <row r="968">
      <c r="A968" t="inlineStr">
        <is>
          <t>RP0000967</t>
        </is>
      </c>
      <c r="B968" t="inlineStr">
        <is>
          <t>LN200141</t>
        </is>
      </c>
      <c r="C968" t="n">
        <v>1</v>
      </c>
      <c r="D968" s="8" t="n">
        <v>46143</v>
      </c>
      <c r="E968" s="9" t="n">
        <v>7268.33</v>
      </c>
      <c r="F968" s="8" t="n">
        <v>46140</v>
      </c>
      <c r="G968" s="9" t="n">
        <v>7268.33</v>
      </c>
      <c r="H968" t="inlineStr">
        <is>
          <t>PAID_ON_TIME</t>
        </is>
      </c>
      <c r="I968">
        <f>IF(H968="UNPAID", AsOfDate-D968, 0)</f>
        <v/>
      </c>
      <c r="J968">
        <f>IF(F968&lt;&gt;"", TEXT(F968, "yyyy-mm"), "")</f>
        <v/>
      </c>
    </row>
    <row r="969">
      <c r="A969" t="inlineStr">
        <is>
          <t>RP0000968</t>
        </is>
      </c>
      <c r="B969" t="inlineStr">
        <is>
          <t>LN200141</t>
        </is>
      </c>
      <c r="C969" t="n">
        <v>2</v>
      </c>
      <c r="D969" s="8" t="n">
        <v>46174</v>
      </c>
      <c r="E969" s="9" t="n">
        <v>7268.33</v>
      </c>
      <c r="F969" s="8" t="n"/>
      <c r="G969" s="9" t="n">
        <v>0</v>
      </c>
      <c r="H969" t="inlineStr">
        <is>
          <t>UNPAID</t>
        </is>
      </c>
      <c r="I969">
        <f>IF(H969="UNPAID", AsOfDate-D969, 0)</f>
        <v/>
      </c>
      <c r="J969">
        <f>IF(F969&lt;&gt;"", TEXT(F969, "yyyy-mm"), "")</f>
        <v/>
      </c>
    </row>
    <row r="970">
      <c r="A970" t="inlineStr">
        <is>
          <t>RP0000969</t>
        </is>
      </c>
      <c r="B970" t="inlineStr">
        <is>
          <t>LN200141</t>
        </is>
      </c>
      <c r="C970" t="n">
        <v>3</v>
      </c>
      <c r="D970" s="8" t="n">
        <v>46204</v>
      </c>
      <c r="E970" s="9" t="n">
        <v>7268.33</v>
      </c>
      <c r="F970" s="8" t="n">
        <v>46208</v>
      </c>
      <c r="G970" s="9" t="n">
        <v>7268.33</v>
      </c>
      <c r="H970" t="inlineStr">
        <is>
          <t>PAID_ON_TIME</t>
        </is>
      </c>
      <c r="I970">
        <f>IF(H970="UNPAID", AsOfDate-D970, 0)</f>
        <v/>
      </c>
      <c r="J970">
        <f>IF(F970&lt;&gt;"", TEXT(F970, "yyyy-mm"), "")</f>
        <v/>
      </c>
    </row>
    <row r="971">
      <c r="A971" t="inlineStr">
        <is>
          <t>RP0000970</t>
        </is>
      </c>
      <c r="B971" t="inlineStr">
        <is>
          <t>LN200141</t>
        </is>
      </c>
      <c r="C971" t="n">
        <v>4</v>
      </c>
      <c r="D971" s="8" t="n">
        <v>46235</v>
      </c>
      <c r="E971" s="9" t="n">
        <v>7268.33</v>
      </c>
      <c r="F971" s="8" t="n">
        <v>46239</v>
      </c>
      <c r="G971" s="9" t="n">
        <v>7268.33</v>
      </c>
      <c r="H971" t="inlineStr">
        <is>
          <t>PAID_ON_TIME</t>
        </is>
      </c>
      <c r="I971">
        <f>IF(H971="UNPAID", AsOfDate-D971, 0)</f>
        <v/>
      </c>
      <c r="J971">
        <f>IF(F971&lt;&gt;"", TEXT(F971, "yyyy-mm"), "")</f>
        <v/>
      </c>
    </row>
    <row r="972">
      <c r="A972" t="inlineStr">
        <is>
          <t>RP0000971</t>
        </is>
      </c>
      <c r="B972" t="inlineStr">
        <is>
          <t>LN200141</t>
        </is>
      </c>
      <c r="C972" t="n">
        <v>5</v>
      </c>
      <c r="D972" s="8" t="n">
        <v>46266</v>
      </c>
      <c r="E972" s="9" t="n">
        <v>7268.33</v>
      </c>
      <c r="F972" s="8" t="n">
        <v>46264</v>
      </c>
      <c r="G972" s="9" t="n">
        <v>7268.33</v>
      </c>
      <c r="H972" t="inlineStr">
        <is>
          <t>PAID_ON_TIME</t>
        </is>
      </c>
      <c r="I972">
        <f>IF(H972="UNPAID", AsOfDate-D972, 0)</f>
        <v/>
      </c>
      <c r="J972">
        <f>IF(F972&lt;&gt;"", TEXT(F972, "yyyy-mm"), "")</f>
        <v/>
      </c>
    </row>
    <row r="973">
      <c r="A973" t="inlineStr">
        <is>
          <t>RP0000972</t>
        </is>
      </c>
      <c r="B973" t="inlineStr">
        <is>
          <t>LN200141</t>
        </is>
      </c>
      <c r="C973" t="n">
        <v>6</v>
      </c>
      <c r="D973" s="8" t="n">
        <v>46296</v>
      </c>
      <c r="E973" s="9" t="n">
        <v>7268.33</v>
      </c>
      <c r="F973" s="8" t="n"/>
      <c r="G973" s="9" t="n">
        <v>0</v>
      </c>
      <c r="H973" t="inlineStr">
        <is>
          <t>NOT_DUE</t>
        </is>
      </c>
      <c r="I973">
        <f>IF(H973="UNPAID", AsOfDate-D973, 0)</f>
        <v/>
      </c>
      <c r="J973">
        <f>IF(F973&lt;&gt;"", TEXT(F973, "yyyy-mm"), "")</f>
        <v/>
      </c>
    </row>
    <row r="974">
      <c r="A974" t="inlineStr">
        <is>
          <t>RP0000973</t>
        </is>
      </c>
      <c r="B974" t="inlineStr">
        <is>
          <t>LN200141</t>
        </is>
      </c>
      <c r="C974" t="n">
        <v>7</v>
      </c>
      <c r="D974" s="8" t="n">
        <v>46327</v>
      </c>
      <c r="E974" s="9" t="n">
        <v>7268.33</v>
      </c>
      <c r="F974" s="8" t="n"/>
      <c r="G974" s="9" t="n">
        <v>0</v>
      </c>
      <c r="H974" t="inlineStr">
        <is>
          <t>NOT_DUE</t>
        </is>
      </c>
      <c r="I974">
        <f>IF(H974="UNPAID", AsOfDate-D974, 0)</f>
        <v/>
      </c>
      <c r="J974">
        <f>IF(F974&lt;&gt;"", TEXT(F974, "yyyy-mm"), "")</f>
        <v/>
      </c>
    </row>
    <row r="975">
      <c r="A975" t="inlineStr">
        <is>
          <t>RP0000974</t>
        </is>
      </c>
      <c r="B975" t="inlineStr">
        <is>
          <t>LN200141</t>
        </is>
      </c>
      <c r="C975" t="n">
        <v>8</v>
      </c>
      <c r="D975" s="8" t="n">
        <v>46357</v>
      </c>
      <c r="E975" s="9" t="n">
        <v>7268.33</v>
      </c>
      <c r="F975" s="8" t="n"/>
      <c r="G975" s="9" t="n">
        <v>0</v>
      </c>
      <c r="H975" t="inlineStr">
        <is>
          <t>NOT_DUE</t>
        </is>
      </c>
      <c r="I975">
        <f>IF(H975="UNPAID", AsOfDate-D975, 0)</f>
        <v/>
      </c>
      <c r="J975">
        <f>IF(F975&lt;&gt;"", TEXT(F975, "yyyy-mm"), "")</f>
        <v/>
      </c>
    </row>
    <row r="976">
      <c r="A976" t="inlineStr">
        <is>
          <t>RP0000975</t>
        </is>
      </c>
      <c r="B976" t="inlineStr">
        <is>
          <t>LN200141</t>
        </is>
      </c>
      <c r="C976" t="n">
        <v>9</v>
      </c>
      <c r="D976" s="8" t="n">
        <v>46388</v>
      </c>
      <c r="E976" s="9" t="n">
        <v>7268.33</v>
      </c>
      <c r="F976" s="8" t="n"/>
      <c r="G976" s="9" t="n">
        <v>0</v>
      </c>
      <c r="H976" t="inlineStr">
        <is>
          <t>NOT_DUE</t>
        </is>
      </c>
      <c r="I976">
        <f>IF(H976="UNPAID", AsOfDate-D976, 0)</f>
        <v/>
      </c>
      <c r="J976">
        <f>IF(F976&lt;&gt;"", TEXT(F976, "yyyy-mm"), "")</f>
        <v/>
      </c>
    </row>
    <row r="977">
      <c r="A977" t="inlineStr">
        <is>
          <t>RP0000976</t>
        </is>
      </c>
      <c r="B977" t="inlineStr">
        <is>
          <t>LN200141</t>
        </is>
      </c>
      <c r="C977" t="n">
        <v>10</v>
      </c>
      <c r="D977" s="8" t="n">
        <v>46419</v>
      </c>
      <c r="E977" s="9" t="n">
        <v>7268.33</v>
      </c>
      <c r="F977" s="8" t="n"/>
      <c r="G977" s="9" t="n">
        <v>0</v>
      </c>
      <c r="H977" t="inlineStr">
        <is>
          <t>NOT_DUE</t>
        </is>
      </c>
      <c r="I977">
        <f>IF(H977="UNPAID", AsOfDate-D977, 0)</f>
        <v/>
      </c>
      <c r="J977">
        <f>IF(F977&lt;&gt;"", TEXT(F977, "yyyy-mm"), "")</f>
        <v/>
      </c>
    </row>
    <row r="978">
      <c r="A978" t="inlineStr">
        <is>
          <t>RP0000977</t>
        </is>
      </c>
      <c r="B978" t="inlineStr">
        <is>
          <t>LN200141</t>
        </is>
      </c>
      <c r="C978" t="n">
        <v>11</v>
      </c>
      <c r="D978" s="8" t="n">
        <v>46447</v>
      </c>
      <c r="E978" s="9" t="n">
        <v>7268.33</v>
      </c>
      <c r="F978" s="8" t="n"/>
      <c r="G978" s="9" t="n">
        <v>0</v>
      </c>
      <c r="H978" t="inlineStr">
        <is>
          <t>NOT_DUE</t>
        </is>
      </c>
      <c r="I978">
        <f>IF(H978="UNPAID", AsOfDate-D978, 0)</f>
        <v/>
      </c>
      <c r="J978">
        <f>IF(F978&lt;&gt;"", TEXT(F978, "yyyy-mm"), "")</f>
        <v/>
      </c>
    </row>
    <row r="979">
      <c r="A979" t="inlineStr">
        <is>
          <t>RP0000978</t>
        </is>
      </c>
      <c r="B979" t="inlineStr">
        <is>
          <t>LN200141</t>
        </is>
      </c>
      <c r="C979" t="n">
        <v>12</v>
      </c>
      <c r="D979" s="8" t="n">
        <v>46478</v>
      </c>
      <c r="E979" s="9" t="n">
        <v>7268.33</v>
      </c>
      <c r="F979" s="8" t="n"/>
      <c r="G979" s="9" t="n">
        <v>0</v>
      </c>
      <c r="H979" t="inlineStr">
        <is>
          <t>NOT_DUE</t>
        </is>
      </c>
      <c r="I979">
        <f>IF(H979="UNPAID", AsOfDate-D979, 0)</f>
        <v/>
      </c>
      <c r="J979">
        <f>IF(F979&lt;&gt;"", TEXT(F979, "yyyy-mm"), "")</f>
        <v/>
      </c>
    </row>
    <row r="980">
      <c r="A980" t="inlineStr">
        <is>
          <t>RP0000979</t>
        </is>
      </c>
      <c r="B980" t="inlineStr">
        <is>
          <t>LN200141</t>
        </is>
      </c>
      <c r="C980" t="n">
        <v>13</v>
      </c>
      <c r="D980" s="8" t="n">
        <v>46508</v>
      </c>
      <c r="E980" s="9" t="n">
        <v>7268.33</v>
      </c>
      <c r="F980" s="8" t="n"/>
      <c r="G980" s="9" t="n">
        <v>0</v>
      </c>
      <c r="H980" t="inlineStr">
        <is>
          <t>NOT_DUE</t>
        </is>
      </c>
      <c r="I980">
        <f>IF(H980="UNPAID", AsOfDate-D980, 0)</f>
        <v/>
      </c>
      <c r="J980">
        <f>IF(F980&lt;&gt;"", TEXT(F980, "yyyy-mm"), "")</f>
        <v/>
      </c>
    </row>
    <row r="981">
      <c r="A981" t="inlineStr">
        <is>
          <t>RP0000980</t>
        </is>
      </c>
      <c r="B981" t="inlineStr">
        <is>
          <t>LN200141</t>
        </is>
      </c>
      <c r="C981" t="n">
        <v>14</v>
      </c>
      <c r="D981" s="8" t="n">
        <v>46539</v>
      </c>
      <c r="E981" s="9" t="n">
        <v>7268.33</v>
      </c>
      <c r="F981" s="8" t="n"/>
      <c r="G981" s="9" t="n">
        <v>0</v>
      </c>
      <c r="H981" t="inlineStr">
        <is>
          <t>NOT_DUE</t>
        </is>
      </c>
      <c r="I981">
        <f>IF(H981="UNPAID", AsOfDate-D981, 0)</f>
        <v/>
      </c>
      <c r="J981">
        <f>IF(F981&lt;&gt;"", TEXT(F981, "yyyy-mm"), "")</f>
        <v/>
      </c>
    </row>
    <row r="982">
      <c r="A982" t="inlineStr">
        <is>
          <t>RP0000981</t>
        </is>
      </c>
      <c r="B982" t="inlineStr">
        <is>
          <t>LN200141</t>
        </is>
      </c>
      <c r="C982" t="n">
        <v>15</v>
      </c>
      <c r="D982" s="8" t="n">
        <v>46569</v>
      </c>
      <c r="E982" s="9" t="n">
        <v>7268.33</v>
      </c>
      <c r="F982" s="8" t="n"/>
      <c r="G982" s="9" t="n">
        <v>0</v>
      </c>
      <c r="H982" t="inlineStr">
        <is>
          <t>NOT_DUE</t>
        </is>
      </c>
      <c r="I982">
        <f>IF(H982="UNPAID", AsOfDate-D982, 0)</f>
        <v/>
      </c>
      <c r="J982">
        <f>IF(F982&lt;&gt;"", TEXT(F982, "yyyy-mm"), "")</f>
        <v/>
      </c>
    </row>
    <row r="983">
      <c r="A983" t="inlineStr">
        <is>
          <t>RP0000982</t>
        </is>
      </c>
      <c r="B983" t="inlineStr">
        <is>
          <t>LN200141</t>
        </is>
      </c>
      <c r="C983" t="n">
        <v>16</v>
      </c>
      <c r="D983" s="8" t="n">
        <v>46600</v>
      </c>
      <c r="E983" s="9" t="n">
        <v>7268.33</v>
      </c>
      <c r="F983" s="8" t="n"/>
      <c r="G983" s="9" t="n">
        <v>0</v>
      </c>
      <c r="H983" t="inlineStr">
        <is>
          <t>NOT_DUE</t>
        </is>
      </c>
      <c r="I983">
        <f>IF(H983="UNPAID", AsOfDate-D983, 0)</f>
        <v/>
      </c>
      <c r="J983">
        <f>IF(F983&lt;&gt;"", TEXT(F983, "yyyy-mm"), "")</f>
        <v/>
      </c>
    </row>
    <row r="984">
      <c r="A984" t="inlineStr">
        <is>
          <t>RP0000983</t>
        </is>
      </c>
      <c r="B984" t="inlineStr">
        <is>
          <t>LN200141</t>
        </is>
      </c>
      <c r="C984" t="n">
        <v>17</v>
      </c>
      <c r="D984" s="8" t="n">
        <v>46631</v>
      </c>
      <c r="E984" s="9" t="n">
        <v>7268.33</v>
      </c>
      <c r="F984" s="8" t="n"/>
      <c r="G984" s="9" t="n">
        <v>0</v>
      </c>
      <c r="H984" t="inlineStr">
        <is>
          <t>NOT_DUE</t>
        </is>
      </c>
      <c r="I984">
        <f>IF(H984="UNPAID", AsOfDate-D984, 0)</f>
        <v/>
      </c>
      <c r="J984">
        <f>IF(F984&lt;&gt;"", TEXT(F984, "yyyy-mm"), "")</f>
        <v/>
      </c>
    </row>
    <row r="985">
      <c r="A985" t="inlineStr">
        <is>
          <t>RP0000984</t>
        </is>
      </c>
      <c r="B985" t="inlineStr">
        <is>
          <t>LN200141</t>
        </is>
      </c>
      <c r="C985" t="n">
        <v>18</v>
      </c>
      <c r="D985" s="8" t="n">
        <v>46661</v>
      </c>
      <c r="E985" s="9" t="n">
        <v>7268.33</v>
      </c>
      <c r="F985" s="8" t="n"/>
      <c r="G985" s="9" t="n">
        <v>0</v>
      </c>
      <c r="H985" t="inlineStr">
        <is>
          <t>NOT_DUE</t>
        </is>
      </c>
      <c r="I985">
        <f>IF(H985="UNPAID", AsOfDate-D985, 0)</f>
        <v/>
      </c>
      <c r="J985">
        <f>IF(F985&lt;&gt;"", TEXT(F985, "yyyy-mm"), "")</f>
        <v/>
      </c>
    </row>
    <row r="986">
      <c r="A986" t="inlineStr">
        <is>
          <t>RP0000985</t>
        </is>
      </c>
      <c r="B986" t="inlineStr">
        <is>
          <t>LN200142</t>
        </is>
      </c>
      <c r="C986" t="n">
        <v>1</v>
      </c>
      <c r="D986" s="8" t="n">
        <v>46252</v>
      </c>
      <c r="E986" s="9" t="n">
        <v>19630.03</v>
      </c>
      <c r="F986" s="8" t="n">
        <v>46254</v>
      </c>
      <c r="G986" s="9" t="n">
        <v>19630.03</v>
      </c>
      <c r="H986" t="inlineStr">
        <is>
          <t>PAID_ON_TIME</t>
        </is>
      </c>
      <c r="I986">
        <f>IF(H986="UNPAID", AsOfDate-D986, 0)</f>
        <v/>
      </c>
      <c r="J986">
        <f>IF(F986&lt;&gt;"", TEXT(F986, "yyyy-mm"), "")</f>
        <v/>
      </c>
    </row>
    <row r="987">
      <c r="A987" t="inlineStr">
        <is>
          <t>RP0000986</t>
        </is>
      </c>
      <c r="B987" t="inlineStr">
        <is>
          <t>LN200142</t>
        </is>
      </c>
      <c r="C987" t="n">
        <v>2</v>
      </c>
      <c r="D987" s="8" t="n">
        <v>46283</v>
      </c>
      <c r="E987" s="9" t="n">
        <v>19630.03</v>
      </c>
      <c r="F987" s="8" t="n"/>
      <c r="G987" s="9" t="n">
        <v>0</v>
      </c>
      <c r="H987" t="inlineStr">
        <is>
          <t>NOT_DUE</t>
        </is>
      </c>
      <c r="I987">
        <f>IF(H987="UNPAID", AsOfDate-D987, 0)</f>
        <v/>
      </c>
      <c r="J987">
        <f>IF(F987&lt;&gt;"", TEXT(F987, "yyyy-mm"), "")</f>
        <v/>
      </c>
    </row>
    <row r="988">
      <c r="A988" t="inlineStr">
        <is>
          <t>RP0000987</t>
        </is>
      </c>
      <c r="B988" t="inlineStr">
        <is>
          <t>LN200142</t>
        </is>
      </c>
      <c r="C988" t="n">
        <v>3</v>
      </c>
      <c r="D988" s="8" t="n">
        <v>46313</v>
      </c>
      <c r="E988" s="9" t="n">
        <v>19630.03</v>
      </c>
      <c r="F988" s="8" t="n"/>
      <c r="G988" s="9" t="n">
        <v>0</v>
      </c>
      <c r="H988" t="inlineStr">
        <is>
          <t>NOT_DUE</t>
        </is>
      </c>
      <c r="I988">
        <f>IF(H988="UNPAID", AsOfDate-D988, 0)</f>
        <v/>
      </c>
      <c r="J988">
        <f>IF(F988&lt;&gt;"", TEXT(F988, "yyyy-mm"), "")</f>
        <v/>
      </c>
    </row>
    <row r="989">
      <c r="A989" t="inlineStr">
        <is>
          <t>RP0000988</t>
        </is>
      </c>
      <c r="B989" t="inlineStr">
        <is>
          <t>LN200142</t>
        </is>
      </c>
      <c r="C989" t="n">
        <v>4</v>
      </c>
      <c r="D989" s="8" t="n">
        <v>46344</v>
      </c>
      <c r="E989" s="9" t="n">
        <v>19630.03</v>
      </c>
      <c r="F989" s="8" t="n"/>
      <c r="G989" s="9" t="n">
        <v>0</v>
      </c>
      <c r="H989" t="inlineStr">
        <is>
          <t>NOT_DUE</t>
        </is>
      </c>
      <c r="I989">
        <f>IF(H989="UNPAID", AsOfDate-D989, 0)</f>
        <v/>
      </c>
      <c r="J989">
        <f>IF(F989&lt;&gt;"", TEXT(F989, "yyyy-mm"), "")</f>
        <v/>
      </c>
    </row>
    <row r="990">
      <c r="A990" t="inlineStr">
        <is>
          <t>RP0000989</t>
        </is>
      </c>
      <c r="B990" t="inlineStr">
        <is>
          <t>LN200142</t>
        </is>
      </c>
      <c r="C990" t="n">
        <v>5</v>
      </c>
      <c r="D990" s="8" t="n">
        <v>46374</v>
      </c>
      <c r="E990" s="9" t="n">
        <v>19630.03</v>
      </c>
      <c r="F990" s="8" t="n"/>
      <c r="G990" s="9" t="n">
        <v>0</v>
      </c>
      <c r="H990" t="inlineStr">
        <is>
          <t>NOT_DUE</t>
        </is>
      </c>
      <c r="I990">
        <f>IF(H990="UNPAID", AsOfDate-D990, 0)</f>
        <v/>
      </c>
      <c r="J990">
        <f>IF(F990&lt;&gt;"", TEXT(F990, "yyyy-mm"), "")</f>
        <v/>
      </c>
    </row>
    <row r="991">
      <c r="A991" t="inlineStr">
        <is>
          <t>RP0000990</t>
        </is>
      </c>
      <c r="B991" t="inlineStr">
        <is>
          <t>LN200142</t>
        </is>
      </c>
      <c r="C991" t="n">
        <v>6</v>
      </c>
      <c r="D991" s="8" t="n">
        <v>46405</v>
      </c>
      <c r="E991" s="9" t="n">
        <v>19630.03</v>
      </c>
      <c r="F991" s="8" t="n"/>
      <c r="G991" s="9" t="n">
        <v>0</v>
      </c>
      <c r="H991" t="inlineStr">
        <is>
          <t>NOT_DUE</t>
        </is>
      </c>
      <c r="I991">
        <f>IF(H991="UNPAID", AsOfDate-D991, 0)</f>
        <v/>
      </c>
      <c r="J991">
        <f>IF(F991&lt;&gt;"", TEXT(F991, "yyyy-mm"), "")</f>
        <v/>
      </c>
    </row>
    <row r="992">
      <c r="A992" t="inlineStr">
        <is>
          <t>RP0000991</t>
        </is>
      </c>
      <c r="B992" t="inlineStr">
        <is>
          <t>LN200142</t>
        </is>
      </c>
      <c r="C992" t="n">
        <v>7</v>
      </c>
      <c r="D992" s="8" t="n">
        <v>46436</v>
      </c>
      <c r="E992" s="9" t="n">
        <v>19630.03</v>
      </c>
      <c r="F992" s="8" t="n"/>
      <c r="G992" s="9" t="n">
        <v>0</v>
      </c>
      <c r="H992" t="inlineStr">
        <is>
          <t>NOT_DUE</t>
        </is>
      </c>
      <c r="I992">
        <f>IF(H992="UNPAID", AsOfDate-D992, 0)</f>
        <v/>
      </c>
      <c r="J992">
        <f>IF(F992&lt;&gt;"", TEXT(F992, "yyyy-mm"), "")</f>
        <v/>
      </c>
    </row>
    <row r="993">
      <c r="A993" t="inlineStr">
        <is>
          <t>RP0000992</t>
        </is>
      </c>
      <c r="B993" t="inlineStr">
        <is>
          <t>LN200142</t>
        </is>
      </c>
      <c r="C993" t="n">
        <v>8</v>
      </c>
      <c r="D993" s="8" t="n">
        <v>46464</v>
      </c>
      <c r="E993" s="9" t="n">
        <v>19630.03</v>
      </c>
      <c r="F993" s="8" t="n"/>
      <c r="G993" s="9" t="n">
        <v>0</v>
      </c>
      <c r="H993" t="inlineStr">
        <is>
          <t>NOT_DUE</t>
        </is>
      </c>
      <c r="I993">
        <f>IF(H993="UNPAID", AsOfDate-D993, 0)</f>
        <v/>
      </c>
      <c r="J993">
        <f>IF(F993&lt;&gt;"", TEXT(F993, "yyyy-mm"), "")</f>
        <v/>
      </c>
    </row>
    <row r="994">
      <c r="A994" t="inlineStr">
        <is>
          <t>RP0000993</t>
        </is>
      </c>
      <c r="B994" t="inlineStr">
        <is>
          <t>LN200142</t>
        </is>
      </c>
      <c r="C994" t="n">
        <v>9</v>
      </c>
      <c r="D994" s="8" t="n">
        <v>46495</v>
      </c>
      <c r="E994" s="9" t="n">
        <v>19630.03</v>
      </c>
      <c r="F994" s="8" t="n"/>
      <c r="G994" s="9" t="n">
        <v>0</v>
      </c>
      <c r="H994" t="inlineStr">
        <is>
          <t>NOT_DUE</t>
        </is>
      </c>
      <c r="I994">
        <f>IF(H994="UNPAID", AsOfDate-D994, 0)</f>
        <v/>
      </c>
      <c r="J994">
        <f>IF(F994&lt;&gt;"", TEXT(F994, "yyyy-mm"), "")</f>
        <v/>
      </c>
    </row>
    <row r="995">
      <c r="A995" t="inlineStr">
        <is>
          <t>RP0000994</t>
        </is>
      </c>
      <c r="B995" t="inlineStr">
        <is>
          <t>LN200142</t>
        </is>
      </c>
      <c r="C995" t="n">
        <v>10</v>
      </c>
      <c r="D995" s="8" t="n">
        <v>46525</v>
      </c>
      <c r="E995" s="9" t="n">
        <v>19630.03</v>
      </c>
      <c r="F995" s="8" t="n"/>
      <c r="G995" s="9" t="n">
        <v>0</v>
      </c>
      <c r="H995" t="inlineStr">
        <is>
          <t>NOT_DUE</t>
        </is>
      </c>
      <c r="I995">
        <f>IF(H995="UNPAID", AsOfDate-D995, 0)</f>
        <v/>
      </c>
      <c r="J995">
        <f>IF(F995&lt;&gt;"", TEXT(F995, "yyyy-mm"), "")</f>
        <v/>
      </c>
    </row>
    <row r="996">
      <c r="A996" t="inlineStr">
        <is>
          <t>RP0000995</t>
        </is>
      </c>
      <c r="B996" t="inlineStr">
        <is>
          <t>LN200142</t>
        </is>
      </c>
      <c r="C996" t="n">
        <v>11</v>
      </c>
      <c r="D996" s="8" t="n">
        <v>46556</v>
      </c>
      <c r="E996" s="9" t="n">
        <v>19630.03</v>
      </c>
      <c r="F996" s="8" t="n"/>
      <c r="G996" s="9" t="n">
        <v>0</v>
      </c>
      <c r="H996" t="inlineStr">
        <is>
          <t>NOT_DUE</t>
        </is>
      </c>
      <c r="I996">
        <f>IF(H996="UNPAID", AsOfDate-D996, 0)</f>
        <v/>
      </c>
      <c r="J996">
        <f>IF(F996&lt;&gt;"", TEXT(F996, "yyyy-mm"), "")</f>
        <v/>
      </c>
    </row>
    <row r="997">
      <c r="A997" t="inlineStr">
        <is>
          <t>RP0000996</t>
        </is>
      </c>
      <c r="B997" t="inlineStr">
        <is>
          <t>LN200142</t>
        </is>
      </c>
      <c r="C997" t="n">
        <v>12</v>
      </c>
      <c r="D997" s="8" t="n">
        <v>46586</v>
      </c>
      <c r="E997" s="9" t="n">
        <v>19630.03</v>
      </c>
      <c r="F997" s="8" t="n"/>
      <c r="G997" s="9" t="n">
        <v>0</v>
      </c>
      <c r="H997" t="inlineStr">
        <is>
          <t>NOT_DUE</t>
        </is>
      </c>
      <c r="I997">
        <f>IF(H997="UNPAID", AsOfDate-D997, 0)</f>
        <v/>
      </c>
      <c r="J997">
        <f>IF(F997&lt;&gt;"", TEXT(F997, "yyyy-mm"), "")</f>
        <v/>
      </c>
    </row>
    <row r="998">
      <c r="A998" t="inlineStr">
        <is>
          <t>RP0000997</t>
        </is>
      </c>
      <c r="B998" t="inlineStr">
        <is>
          <t>LN200142</t>
        </is>
      </c>
      <c r="C998" t="n">
        <v>13</v>
      </c>
      <c r="D998" s="8" t="n">
        <v>46617</v>
      </c>
      <c r="E998" s="9" t="n">
        <v>19630.03</v>
      </c>
      <c r="F998" s="8" t="n"/>
      <c r="G998" s="9" t="n">
        <v>0</v>
      </c>
      <c r="H998" t="inlineStr">
        <is>
          <t>NOT_DUE</t>
        </is>
      </c>
      <c r="I998">
        <f>IF(H998="UNPAID", AsOfDate-D998, 0)</f>
        <v/>
      </c>
      <c r="J998">
        <f>IF(F998&lt;&gt;"", TEXT(F998, "yyyy-mm"), "")</f>
        <v/>
      </c>
    </row>
    <row r="999">
      <c r="A999" t="inlineStr">
        <is>
          <t>RP0000998</t>
        </is>
      </c>
      <c r="B999" t="inlineStr">
        <is>
          <t>LN200142</t>
        </is>
      </c>
      <c r="C999" t="n">
        <v>14</v>
      </c>
      <c r="D999" s="8" t="n">
        <v>46648</v>
      </c>
      <c r="E999" s="9" t="n">
        <v>19630.03</v>
      </c>
      <c r="F999" s="8" t="n"/>
      <c r="G999" s="9" t="n">
        <v>0</v>
      </c>
      <c r="H999" t="inlineStr">
        <is>
          <t>NOT_DUE</t>
        </is>
      </c>
      <c r="I999">
        <f>IF(H999="UNPAID", AsOfDate-D999, 0)</f>
        <v/>
      </c>
      <c r="J999">
        <f>IF(F999&lt;&gt;"", TEXT(F999, "yyyy-mm"), "")</f>
        <v/>
      </c>
    </row>
    <row r="1000">
      <c r="A1000" t="inlineStr">
        <is>
          <t>RP0000999</t>
        </is>
      </c>
      <c r="B1000" t="inlineStr">
        <is>
          <t>LN200142</t>
        </is>
      </c>
      <c r="C1000" t="n">
        <v>15</v>
      </c>
      <c r="D1000" s="8" t="n">
        <v>46678</v>
      </c>
      <c r="E1000" s="9" t="n">
        <v>19630.03</v>
      </c>
      <c r="F1000" s="8" t="n"/>
      <c r="G1000" s="9" t="n">
        <v>0</v>
      </c>
      <c r="H1000" t="inlineStr">
        <is>
          <t>NOT_DUE</t>
        </is>
      </c>
      <c r="I1000">
        <f>IF(H1000="UNPAID", AsOfDate-D1000, 0)</f>
        <v/>
      </c>
      <c r="J1000">
        <f>IF(F1000&lt;&gt;"", TEXT(F1000, "yyyy-mm"), "")</f>
        <v/>
      </c>
    </row>
    <row r="1001">
      <c r="A1001" t="inlineStr">
        <is>
          <t>RP0001000</t>
        </is>
      </c>
      <c r="B1001" t="inlineStr">
        <is>
          <t>LN200142</t>
        </is>
      </c>
      <c r="C1001" t="n">
        <v>16</v>
      </c>
      <c r="D1001" s="8" t="n">
        <v>46709</v>
      </c>
      <c r="E1001" s="9" t="n">
        <v>19630.03</v>
      </c>
      <c r="F1001" s="8" t="n"/>
      <c r="G1001" s="9" t="n">
        <v>0</v>
      </c>
      <c r="H1001" t="inlineStr">
        <is>
          <t>NOT_DUE</t>
        </is>
      </c>
      <c r="I1001">
        <f>IF(H1001="UNPAID", AsOfDate-D1001, 0)</f>
        <v/>
      </c>
      <c r="J1001">
        <f>IF(F1001&lt;&gt;"", TEXT(F1001, "yyyy-mm"), "")</f>
        <v/>
      </c>
    </row>
    <row r="1002">
      <c r="A1002" t="inlineStr">
        <is>
          <t>RP0001001</t>
        </is>
      </c>
      <c r="B1002" t="inlineStr">
        <is>
          <t>LN200142</t>
        </is>
      </c>
      <c r="C1002" t="n">
        <v>17</v>
      </c>
      <c r="D1002" s="8" t="n">
        <v>46739</v>
      </c>
      <c r="E1002" s="9" t="n">
        <v>19630.03</v>
      </c>
      <c r="F1002" s="8" t="n"/>
      <c r="G1002" s="9" t="n">
        <v>0</v>
      </c>
      <c r="H1002" t="inlineStr">
        <is>
          <t>NOT_DUE</t>
        </is>
      </c>
      <c r="I1002">
        <f>IF(H1002="UNPAID", AsOfDate-D1002, 0)</f>
        <v/>
      </c>
      <c r="J1002">
        <f>IF(F1002&lt;&gt;"", TEXT(F1002, "yyyy-mm"), "")</f>
        <v/>
      </c>
    </row>
    <row r="1003">
      <c r="A1003" t="inlineStr">
        <is>
          <t>RP0001002</t>
        </is>
      </c>
      <c r="B1003" t="inlineStr">
        <is>
          <t>LN200142</t>
        </is>
      </c>
      <c r="C1003" t="n">
        <v>18</v>
      </c>
      <c r="D1003" s="8" t="n">
        <v>46770</v>
      </c>
      <c r="E1003" s="9" t="n">
        <v>19630.03</v>
      </c>
      <c r="F1003" s="8" t="n"/>
      <c r="G1003" s="9" t="n">
        <v>0</v>
      </c>
      <c r="H1003" t="inlineStr">
        <is>
          <t>NOT_DUE</t>
        </is>
      </c>
      <c r="I1003">
        <f>IF(H1003="UNPAID", AsOfDate-D1003, 0)</f>
        <v/>
      </c>
      <c r="J1003">
        <f>IF(F1003&lt;&gt;"", TEXT(F1003, "yyyy-mm"), "")</f>
        <v/>
      </c>
    </row>
    <row r="1004">
      <c r="A1004" t="inlineStr">
        <is>
          <t>RP0001003</t>
        </is>
      </c>
      <c r="B1004" t="inlineStr">
        <is>
          <t>LN200143</t>
        </is>
      </c>
      <c r="C1004" t="n">
        <v>1</v>
      </c>
      <c r="D1004" s="8" t="n">
        <v>45852</v>
      </c>
      <c r="E1004" s="9" t="n">
        <v>24733.33</v>
      </c>
      <c r="F1004" s="8" t="n">
        <v>45954</v>
      </c>
      <c r="G1004" s="9" t="n">
        <v>24733.33</v>
      </c>
      <c r="H1004" t="inlineStr">
        <is>
          <t>PAID_LATE</t>
        </is>
      </c>
      <c r="I1004">
        <f>IF(H1004="UNPAID", AsOfDate-D1004, 0)</f>
        <v/>
      </c>
      <c r="J1004">
        <f>IF(F1004&lt;&gt;"", TEXT(F1004, "yyyy-mm"), "")</f>
        <v/>
      </c>
    </row>
    <row r="1005">
      <c r="A1005" t="inlineStr">
        <is>
          <t>RP0001004</t>
        </is>
      </c>
      <c r="B1005" t="inlineStr">
        <is>
          <t>LN200143</t>
        </is>
      </c>
      <c r="C1005" t="n">
        <v>2</v>
      </c>
      <c r="D1005" s="8" t="n">
        <v>45883</v>
      </c>
      <c r="E1005" s="9" t="n">
        <v>24733.33</v>
      </c>
      <c r="F1005" s="8" t="n">
        <v>46000</v>
      </c>
      <c r="G1005" s="9" t="n">
        <v>24733.33</v>
      </c>
      <c r="H1005" t="inlineStr">
        <is>
          <t>PAID_LATE</t>
        </is>
      </c>
      <c r="I1005">
        <f>IF(H1005="UNPAID", AsOfDate-D1005, 0)</f>
        <v/>
      </c>
      <c r="J1005">
        <f>IF(F1005&lt;&gt;"", TEXT(F1005, "yyyy-mm"), "")</f>
        <v/>
      </c>
    </row>
    <row r="1006">
      <c r="A1006" t="inlineStr">
        <is>
          <t>RP0001005</t>
        </is>
      </c>
      <c r="B1006" t="inlineStr">
        <is>
          <t>LN200143</t>
        </is>
      </c>
      <c r="C1006" t="n">
        <v>3</v>
      </c>
      <c r="D1006" s="8" t="n">
        <v>45914</v>
      </c>
      <c r="E1006" s="9" t="n">
        <v>24733.33</v>
      </c>
      <c r="F1006" s="8" t="n">
        <v>45996</v>
      </c>
      <c r="G1006" s="9" t="n">
        <v>24733.33</v>
      </c>
      <c r="H1006" t="inlineStr">
        <is>
          <t>PAID_LATE</t>
        </is>
      </c>
      <c r="I1006">
        <f>IF(H1006="UNPAID", AsOfDate-D1006, 0)</f>
        <v/>
      </c>
      <c r="J1006">
        <f>IF(F1006&lt;&gt;"", TEXT(F1006, "yyyy-mm"), "")</f>
        <v/>
      </c>
    </row>
    <row r="1007">
      <c r="A1007" t="inlineStr">
        <is>
          <t>RP0001006</t>
        </is>
      </c>
      <c r="B1007" t="inlineStr">
        <is>
          <t>LN200144</t>
        </is>
      </c>
      <c r="C1007" t="n">
        <v>1</v>
      </c>
      <c r="D1007" s="8" t="n">
        <v>45993</v>
      </c>
      <c r="E1007" s="9" t="n">
        <v>128148</v>
      </c>
      <c r="F1007" s="8" t="n">
        <v>45990</v>
      </c>
      <c r="G1007" s="9" t="n">
        <v>128148</v>
      </c>
      <c r="H1007" t="inlineStr">
        <is>
          <t>PAID_ON_TIME</t>
        </is>
      </c>
      <c r="I1007">
        <f>IF(H1007="UNPAID", AsOfDate-D1007, 0)</f>
        <v/>
      </c>
      <c r="J1007">
        <f>IF(F1007&lt;&gt;"", TEXT(F1007, "yyyy-mm"), "")</f>
        <v/>
      </c>
    </row>
    <row r="1008">
      <c r="A1008" t="inlineStr">
        <is>
          <t>RP0001007</t>
        </is>
      </c>
      <c r="B1008" t="inlineStr">
        <is>
          <t>LN200144</t>
        </is>
      </c>
      <c r="C1008" t="n">
        <v>2</v>
      </c>
      <c r="D1008" s="8" t="n">
        <v>46024</v>
      </c>
      <c r="E1008" s="9" t="n">
        <v>128148</v>
      </c>
      <c r="F1008" s="8" t="n">
        <v>46021</v>
      </c>
      <c r="G1008" s="9" t="n">
        <v>128148</v>
      </c>
      <c r="H1008" t="inlineStr">
        <is>
          <t>PAID_ON_TIME</t>
        </is>
      </c>
      <c r="I1008">
        <f>IF(H1008="UNPAID", AsOfDate-D1008, 0)</f>
        <v/>
      </c>
      <c r="J1008">
        <f>IF(F1008&lt;&gt;"", TEXT(F1008, "yyyy-mm"), "")</f>
        <v/>
      </c>
    </row>
    <row r="1009">
      <c r="A1009" t="inlineStr">
        <is>
          <t>RP0001008</t>
        </is>
      </c>
      <c r="B1009" t="inlineStr">
        <is>
          <t>LN200144</t>
        </is>
      </c>
      <c r="C1009" t="n">
        <v>3</v>
      </c>
      <c r="D1009" s="8" t="n">
        <v>46055</v>
      </c>
      <c r="E1009" s="9" t="n">
        <v>128148</v>
      </c>
      <c r="F1009" s="8" t="n">
        <v>46054</v>
      </c>
      <c r="G1009" s="9" t="n">
        <v>128148</v>
      </c>
      <c r="H1009" t="inlineStr">
        <is>
          <t>PAID_ON_TIME</t>
        </is>
      </c>
      <c r="I1009">
        <f>IF(H1009="UNPAID", AsOfDate-D1009, 0)</f>
        <v/>
      </c>
      <c r="J1009">
        <f>IF(F1009&lt;&gt;"", TEXT(F1009, "yyyy-mm"), "")</f>
        <v/>
      </c>
    </row>
    <row r="1010">
      <c r="A1010" t="inlineStr">
        <is>
          <t>RP0001009</t>
        </is>
      </c>
      <c r="B1010" t="inlineStr">
        <is>
          <t>LN200144</t>
        </is>
      </c>
      <c r="C1010" t="n">
        <v>4</v>
      </c>
      <c r="D1010" s="8" t="n">
        <v>46083</v>
      </c>
      <c r="E1010" s="9" t="n">
        <v>128148</v>
      </c>
      <c r="F1010" s="8" t="n">
        <v>46082</v>
      </c>
      <c r="G1010" s="9" t="n">
        <v>128148</v>
      </c>
      <c r="H1010" t="inlineStr">
        <is>
          <t>PAID_ON_TIME</t>
        </is>
      </c>
      <c r="I1010">
        <f>IF(H1010="UNPAID", AsOfDate-D1010, 0)</f>
        <v/>
      </c>
      <c r="J1010">
        <f>IF(F1010&lt;&gt;"", TEXT(F1010, "yyyy-mm"), "")</f>
        <v/>
      </c>
    </row>
    <row r="1011">
      <c r="A1011" t="inlineStr">
        <is>
          <t>RP0001010</t>
        </is>
      </c>
      <c r="B1011" t="inlineStr">
        <is>
          <t>LN200144</t>
        </is>
      </c>
      <c r="C1011" t="n">
        <v>5</v>
      </c>
      <c r="D1011" s="8" t="n">
        <v>46114</v>
      </c>
      <c r="E1011" s="9" t="n">
        <v>128148</v>
      </c>
      <c r="F1011" s="8" t="n">
        <v>46117</v>
      </c>
      <c r="G1011" s="9" t="n">
        <v>128148</v>
      </c>
      <c r="H1011" t="inlineStr">
        <is>
          <t>PAID_ON_TIME</t>
        </is>
      </c>
      <c r="I1011">
        <f>IF(H1011="UNPAID", AsOfDate-D1011, 0)</f>
        <v/>
      </c>
      <c r="J1011">
        <f>IF(F1011&lt;&gt;"", TEXT(F1011, "yyyy-mm"), "")</f>
        <v/>
      </c>
    </row>
    <row r="1012">
      <c r="A1012" t="inlineStr">
        <is>
          <t>RP0001011</t>
        </is>
      </c>
      <c r="B1012" t="inlineStr">
        <is>
          <t>LN200144</t>
        </is>
      </c>
      <c r="C1012" t="n">
        <v>6</v>
      </c>
      <c r="D1012" s="8" t="n">
        <v>46144</v>
      </c>
      <c r="E1012" s="9" t="n">
        <v>128148</v>
      </c>
      <c r="F1012" s="8" t="n">
        <v>46147</v>
      </c>
      <c r="G1012" s="9" t="n">
        <v>128148</v>
      </c>
      <c r="H1012" t="inlineStr">
        <is>
          <t>PAID_ON_TIME</t>
        </is>
      </c>
      <c r="I1012">
        <f>IF(H1012="UNPAID", AsOfDate-D1012, 0)</f>
        <v/>
      </c>
      <c r="J1012">
        <f>IF(F1012&lt;&gt;"", TEXT(F1012, "yyyy-mm"), "")</f>
        <v/>
      </c>
    </row>
    <row r="1013">
      <c r="A1013" t="inlineStr">
        <is>
          <t>RP0001012</t>
        </is>
      </c>
      <c r="B1013" t="inlineStr">
        <is>
          <t>LN200145</t>
        </is>
      </c>
      <c r="C1013" t="n">
        <v>1</v>
      </c>
      <c r="D1013" s="8" t="n">
        <v>46003</v>
      </c>
      <c r="E1013" s="9" t="n">
        <v>13611</v>
      </c>
      <c r="F1013" s="8" t="n">
        <v>46007</v>
      </c>
      <c r="G1013" s="9" t="n">
        <v>13611</v>
      </c>
      <c r="H1013" t="inlineStr">
        <is>
          <t>PAID_ON_TIME</t>
        </is>
      </c>
      <c r="I1013">
        <f>IF(H1013="UNPAID", AsOfDate-D1013, 0)</f>
        <v/>
      </c>
      <c r="J1013">
        <f>IF(F1013&lt;&gt;"", TEXT(F1013, "yyyy-mm"), "")</f>
        <v/>
      </c>
    </row>
    <row r="1014">
      <c r="A1014" t="inlineStr">
        <is>
          <t>RP0001013</t>
        </is>
      </c>
      <c r="B1014" t="inlineStr">
        <is>
          <t>LN200145</t>
        </is>
      </c>
      <c r="C1014" t="n">
        <v>2</v>
      </c>
      <c r="D1014" s="8" t="n">
        <v>46034</v>
      </c>
      <c r="E1014" s="9" t="n">
        <v>13611</v>
      </c>
      <c r="F1014" s="8" t="n">
        <v>46035</v>
      </c>
      <c r="G1014" s="9" t="n">
        <v>13611</v>
      </c>
      <c r="H1014" t="inlineStr">
        <is>
          <t>PAID_ON_TIME</t>
        </is>
      </c>
      <c r="I1014">
        <f>IF(H1014="UNPAID", AsOfDate-D1014, 0)</f>
        <v/>
      </c>
      <c r="J1014">
        <f>IF(F1014&lt;&gt;"", TEXT(F1014, "yyyy-mm"), "")</f>
        <v/>
      </c>
    </row>
    <row r="1015">
      <c r="A1015" t="inlineStr">
        <is>
          <t>RP0001014</t>
        </is>
      </c>
      <c r="B1015" t="inlineStr">
        <is>
          <t>LN200145</t>
        </is>
      </c>
      <c r="C1015" t="n">
        <v>3</v>
      </c>
      <c r="D1015" s="8" t="n">
        <v>46065</v>
      </c>
      <c r="E1015" s="9" t="n">
        <v>13611</v>
      </c>
      <c r="F1015" s="8" t="n">
        <v>46068</v>
      </c>
      <c r="G1015" s="9" t="n">
        <v>13611</v>
      </c>
      <c r="H1015" t="inlineStr">
        <is>
          <t>PAID_ON_TIME</t>
        </is>
      </c>
      <c r="I1015">
        <f>IF(H1015="UNPAID", AsOfDate-D1015, 0)</f>
        <v/>
      </c>
      <c r="J1015">
        <f>IF(F1015&lt;&gt;"", TEXT(F1015, "yyyy-mm"), "")</f>
        <v/>
      </c>
    </row>
    <row r="1016">
      <c r="A1016" t="inlineStr">
        <is>
          <t>RP0001015</t>
        </is>
      </c>
      <c r="B1016" t="inlineStr">
        <is>
          <t>LN200146</t>
        </is>
      </c>
      <c r="C1016" t="n">
        <v>1</v>
      </c>
      <c r="D1016" s="8" t="n">
        <v>46155</v>
      </c>
      <c r="E1016" s="9" t="n">
        <v>31546.67</v>
      </c>
      <c r="F1016" s="8" t="n">
        <v>46188</v>
      </c>
      <c r="G1016" s="9" t="n">
        <v>31546.67</v>
      </c>
      <c r="H1016" t="inlineStr">
        <is>
          <t>PAID_LATE</t>
        </is>
      </c>
      <c r="I1016">
        <f>IF(H1016="UNPAID", AsOfDate-D1016, 0)</f>
        <v/>
      </c>
      <c r="J1016">
        <f>IF(F1016&lt;&gt;"", TEXT(F1016, "yyyy-mm"), "")</f>
        <v/>
      </c>
    </row>
    <row r="1017">
      <c r="A1017" t="inlineStr">
        <is>
          <t>RP0001016</t>
        </is>
      </c>
      <c r="B1017" t="inlineStr">
        <is>
          <t>LN200146</t>
        </is>
      </c>
      <c r="C1017" t="n">
        <v>2</v>
      </c>
      <c r="D1017" s="8" t="n">
        <v>46186</v>
      </c>
      <c r="E1017" s="9" t="n">
        <v>31546.67</v>
      </c>
      <c r="F1017" s="8" t="n">
        <v>46189</v>
      </c>
      <c r="G1017" s="9" t="n">
        <v>31546.67</v>
      </c>
      <c r="H1017" t="inlineStr">
        <is>
          <t>PAID_ON_TIME</t>
        </is>
      </c>
      <c r="I1017">
        <f>IF(H1017="UNPAID", AsOfDate-D1017, 0)</f>
        <v/>
      </c>
      <c r="J1017">
        <f>IF(F1017&lt;&gt;"", TEXT(F1017, "yyyy-mm"), "")</f>
        <v/>
      </c>
    </row>
    <row r="1018">
      <c r="A1018" t="inlineStr">
        <is>
          <t>RP0001017</t>
        </is>
      </c>
      <c r="B1018" t="inlineStr">
        <is>
          <t>LN200146</t>
        </is>
      </c>
      <c r="C1018" t="n">
        <v>3</v>
      </c>
      <c r="D1018" s="8" t="n">
        <v>46216</v>
      </c>
      <c r="E1018" s="9" t="n">
        <v>31546.67</v>
      </c>
      <c r="F1018" s="8" t="n">
        <v>46220</v>
      </c>
      <c r="G1018" s="9" t="n">
        <v>31546.67</v>
      </c>
      <c r="H1018" t="inlineStr">
        <is>
          <t>PAID_ON_TIME</t>
        </is>
      </c>
      <c r="I1018">
        <f>IF(H1018="UNPAID", AsOfDate-D1018, 0)</f>
        <v/>
      </c>
      <c r="J1018">
        <f>IF(F1018&lt;&gt;"", TEXT(F1018, "yyyy-mm"), "")</f>
        <v/>
      </c>
    </row>
    <row r="1019">
      <c r="A1019" t="inlineStr">
        <is>
          <t>RP0001018</t>
        </is>
      </c>
      <c r="B1019" t="inlineStr">
        <is>
          <t>LN200147</t>
        </is>
      </c>
      <c r="C1019" t="n">
        <v>1</v>
      </c>
      <c r="D1019" s="8" t="n">
        <v>46191</v>
      </c>
      <c r="E1019" s="9" t="n">
        <v>20973.83</v>
      </c>
      <c r="F1019" s="8" t="n">
        <v>46193</v>
      </c>
      <c r="G1019" s="9" t="n">
        <v>20973.83</v>
      </c>
      <c r="H1019" t="inlineStr">
        <is>
          <t>PAID_ON_TIME</t>
        </is>
      </c>
      <c r="I1019">
        <f>IF(H1019="UNPAID", AsOfDate-D1019, 0)</f>
        <v/>
      </c>
      <c r="J1019">
        <f>IF(F1019&lt;&gt;"", TEXT(F1019, "yyyy-mm"), "")</f>
        <v/>
      </c>
    </row>
    <row r="1020">
      <c r="A1020" t="inlineStr">
        <is>
          <t>RP0001019</t>
        </is>
      </c>
      <c r="B1020" t="inlineStr">
        <is>
          <t>LN200147</t>
        </is>
      </c>
      <c r="C1020" t="n">
        <v>2</v>
      </c>
      <c r="D1020" s="8" t="n">
        <v>46221</v>
      </c>
      <c r="E1020" s="9" t="n">
        <v>20973.83</v>
      </c>
      <c r="F1020" s="8" t="n">
        <v>46225</v>
      </c>
      <c r="G1020" s="9" t="n">
        <v>20973.83</v>
      </c>
      <c r="H1020" t="inlineStr">
        <is>
          <t>PAID_ON_TIME</t>
        </is>
      </c>
      <c r="I1020">
        <f>IF(H1020="UNPAID", AsOfDate-D1020, 0)</f>
        <v/>
      </c>
      <c r="J1020">
        <f>IF(F1020&lt;&gt;"", TEXT(F1020, "yyyy-mm"), "")</f>
        <v/>
      </c>
    </row>
    <row r="1021">
      <c r="A1021" t="inlineStr">
        <is>
          <t>RP0001020</t>
        </is>
      </c>
      <c r="B1021" t="inlineStr">
        <is>
          <t>LN200147</t>
        </is>
      </c>
      <c r="C1021" t="n">
        <v>3</v>
      </c>
      <c r="D1021" s="8" t="n">
        <v>46252</v>
      </c>
      <c r="E1021" s="9" t="n">
        <v>20973.83</v>
      </c>
      <c r="F1021" s="8" t="n">
        <v>46255</v>
      </c>
      <c r="G1021" s="9" t="n">
        <v>20973.83</v>
      </c>
      <c r="H1021" t="inlineStr">
        <is>
          <t>PAID_ON_TIME</t>
        </is>
      </c>
      <c r="I1021">
        <f>IF(H1021="UNPAID", AsOfDate-D1021, 0)</f>
        <v/>
      </c>
      <c r="J1021">
        <f>IF(F1021&lt;&gt;"", TEXT(F1021, "yyyy-mm"), "")</f>
        <v/>
      </c>
    </row>
    <row r="1022">
      <c r="A1022" t="inlineStr">
        <is>
          <t>RP0001021</t>
        </is>
      </c>
      <c r="B1022" t="inlineStr">
        <is>
          <t>LN200148</t>
        </is>
      </c>
      <c r="C1022" t="n">
        <v>1</v>
      </c>
      <c r="D1022" s="8" t="n">
        <v>45696</v>
      </c>
      <c r="E1022" s="9" t="n">
        <v>32636.44</v>
      </c>
      <c r="F1022" s="8" t="n">
        <v>45694</v>
      </c>
      <c r="G1022" s="9" t="n">
        <v>32636.44</v>
      </c>
      <c r="H1022" t="inlineStr">
        <is>
          <t>PAID_ON_TIME</t>
        </is>
      </c>
      <c r="I1022">
        <f>IF(H1022="UNPAID", AsOfDate-D1022, 0)</f>
        <v/>
      </c>
      <c r="J1022">
        <f>IF(F1022&lt;&gt;"", TEXT(F1022, "yyyy-mm"), "")</f>
        <v/>
      </c>
    </row>
    <row r="1023">
      <c r="A1023" t="inlineStr">
        <is>
          <t>RP0001022</t>
        </is>
      </c>
      <c r="B1023" t="inlineStr">
        <is>
          <t>LN200148</t>
        </is>
      </c>
      <c r="C1023" t="n">
        <v>2</v>
      </c>
      <c r="D1023" s="8" t="n">
        <v>45724</v>
      </c>
      <c r="E1023" s="9" t="n">
        <v>32636.44</v>
      </c>
      <c r="F1023" s="8" t="n">
        <v>45726</v>
      </c>
      <c r="G1023" s="9" t="n">
        <v>32636.44</v>
      </c>
      <c r="H1023" t="inlineStr">
        <is>
          <t>PAID_ON_TIME</t>
        </is>
      </c>
      <c r="I1023">
        <f>IF(H1023="UNPAID", AsOfDate-D1023, 0)</f>
        <v/>
      </c>
      <c r="J1023">
        <f>IF(F1023&lt;&gt;"", TEXT(F1023, "yyyy-mm"), "")</f>
        <v/>
      </c>
    </row>
    <row r="1024">
      <c r="A1024" t="inlineStr">
        <is>
          <t>RP0001023</t>
        </is>
      </c>
      <c r="B1024" t="inlineStr">
        <is>
          <t>LN200148</t>
        </is>
      </c>
      <c r="C1024" t="n">
        <v>3</v>
      </c>
      <c r="D1024" s="8" t="n">
        <v>45755</v>
      </c>
      <c r="E1024" s="9" t="n">
        <v>32636.44</v>
      </c>
      <c r="F1024" s="8" t="n">
        <v>45758</v>
      </c>
      <c r="G1024" s="9" t="n">
        <v>32636.44</v>
      </c>
      <c r="H1024" t="inlineStr">
        <is>
          <t>PAID_ON_TIME</t>
        </is>
      </c>
      <c r="I1024">
        <f>IF(H1024="UNPAID", AsOfDate-D1024, 0)</f>
        <v/>
      </c>
      <c r="J1024">
        <f>IF(F1024&lt;&gt;"", TEXT(F1024, "yyyy-mm"), "")</f>
        <v/>
      </c>
    </row>
    <row r="1025">
      <c r="A1025" t="inlineStr">
        <is>
          <t>RP0001024</t>
        </is>
      </c>
      <c r="B1025" t="inlineStr">
        <is>
          <t>LN200148</t>
        </is>
      </c>
      <c r="C1025" t="n">
        <v>4</v>
      </c>
      <c r="D1025" s="8" t="n">
        <v>45785</v>
      </c>
      <c r="E1025" s="9" t="n">
        <v>32636.44</v>
      </c>
      <c r="F1025" s="8" t="n">
        <v>45785</v>
      </c>
      <c r="G1025" s="9" t="n">
        <v>32636.44</v>
      </c>
      <c r="H1025" t="inlineStr">
        <is>
          <t>PAID_ON_TIME</t>
        </is>
      </c>
      <c r="I1025">
        <f>IF(H1025="UNPAID", AsOfDate-D1025, 0)</f>
        <v/>
      </c>
      <c r="J1025">
        <f>IF(F1025&lt;&gt;"", TEXT(F1025, "yyyy-mm"), "")</f>
        <v/>
      </c>
    </row>
    <row r="1026">
      <c r="A1026" t="inlineStr">
        <is>
          <t>RP0001025</t>
        </is>
      </c>
      <c r="B1026" t="inlineStr">
        <is>
          <t>LN200148</t>
        </is>
      </c>
      <c r="C1026" t="n">
        <v>5</v>
      </c>
      <c r="D1026" s="8" t="n">
        <v>45816</v>
      </c>
      <c r="E1026" s="9" t="n">
        <v>32636.44</v>
      </c>
      <c r="F1026" s="8" t="n">
        <v>45816</v>
      </c>
      <c r="G1026" s="9" t="n">
        <v>32636.44</v>
      </c>
      <c r="H1026" t="inlineStr">
        <is>
          <t>PAID_ON_TIME</t>
        </is>
      </c>
      <c r="I1026">
        <f>IF(H1026="UNPAID", AsOfDate-D1026, 0)</f>
        <v/>
      </c>
      <c r="J1026">
        <f>IF(F1026&lt;&gt;"", TEXT(F1026, "yyyy-mm"), "")</f>
        <v/>
      </c>
    </row>
    <row r="1027">
      <c r="A1027" t="inlineStr">
        <is>
          <t>RP0001026</t>
        </is>
      </c>
      <c r="B1027" t="inlineStr">
        <is>
          <t>LN200148</t>
        </is>
      </c>
      <c r="C1027" t="n">
        <v>6</v>
      </c>
      <c r="D1027" s="8" t="n">
        <v>45846</v>
      </c>
      <c r="E1027" s="9" t="n">
        <v>32636.44</v>
      </c>
      <c r="F1027" s="8" t="n">
        <v>45845</v>
      </c>
      <c r="G1027" s="9" t="n">
        <v>32636.44</v>
      </c>
      <c r="H1027" t="inlineStr">
        <is>
          <t>PAID_ON_TIME</t>
        </is>
      </c>
      <c r="I1027">
        <f>IF(H1027="UNPAID", AsOfDate-D1027, 0)</f>
        <v/>
      </c>
      <c r="J1027">
        <f>IF(F1027&lt;&gt;"", TEXT(F1027, "yyyy-mm"), "")</f>
        <v/>
      </c>
    </row>
    <row r="1028">
      <c r="A1028" t="inlineStr">
        <is>
          <t>RP0001027</t>
        </is>
      </c>
      <c r="B1028" t="inlineStr">
        <is>
          <t>LN200148</t>
        </is>
      </c>
      <c r="C1028" t="n">
        <v>7</v>
      </c>
      <c r="D1028" s="8" t="n">
        <v>45877</v>
      </c>
      <c r="E1028" s="9" t="n">
        <v>32636.44</v>
      </c>
      <c r="F1028" s="8" t="n">
        <v>45881</v>
      </c>
      <c r="G1028" s="9" t="n">
        <v>32636.44</v>
      </c>
      <c r="H1028" t="inlineStr">
        <is>
          <t>PAID_ON_TIME</t>
        </is>
      </c>
      <c r="I1028">
        <f>IF(H1028="UNPAID", AsOfDate-D1028, 0)</f>
        <v/>
      </c>
      <c r="J1028">
        <f>IF(F1028&lt;&gt;"", TEXT(F1028, "yyyy-mm"), "")</f>
        <v/>
      </c>
    </row>
    <row r="1029">
      <c r="A1029" t="inlineStr">
        <is>
          <t>RP0001028</t>
        </is>
      </c>
      <c r="B1029" t="inlineStr">
        <is>
          <t>LN200148</t>
        </is>
      </c>
      <c r="C1029" t="n">
        <v>8</v>
      </c>
      <c r="D1029" s="8" t="n">
        <v>45908</v>
      </c>
      <c r="E1029" s="9" t="n">
        <v>32636.44</v>
      </c>
      <c r="F1029" s="8" t="n">
        <v>45910</v>
      </c>
      <c r="G1029" s="9" t="n">
        <v>32636.44</v>
      </c>
      <c r="H1029" t="inlineStr">
        <is>
          <t>PAID_ON_TIME</t>
        </is>
      </c>
      <c r="I1029">
        <f>IF(H1029="UNPAID", AsOfDate-D1029, 0)</f>
        <v/>
      </c>
      <c r="J1029">
        <f>IF(F1029&lt;&gt;"", TEXT(F1029, "yyyy-mm"), "")</f>
        <v/>
      </c>
    </row>
    <row r="1030">
      <c r="A1030" t="inlineStr">
        <is>
          <t>RP0001029</t>
        </is>
      </c>
      <c r="B1030" t="inlineStr">
        <is>
          <t>LN200148</t>
        </is>
      </c>
      <c r="C1030" t="n">
        <v>9</v>
      </c>
      <c r="D1030" s="8" t="n">
        <v>45938</v>
      </c>
      <c r="E1030" s="9" t="n">
        <v>32636.44</v>
      </c>
      <c r="F1030" s="8" t="n">
        <v>45942</v>
      </c>
      <c r="G1030" s="9" t="n">
        <v>32636.44</v>
      </c>
      <c r="H1030" t="inlineStr">
        <is>
          <t>PAID_ON_TIME</t>
        </is>
      </c>
      <c r="I1030">
        <f>IF(H1030="UNPAID", AsOfDate-D1030, 0)</f>
        <v/>
      </c>
      <c r="J1030">
        <f>IF(F1030&lt;&gt;"", TEXT(F1030, "yyyy-mm"), "")</f>
        <v/>
      </c>
    </row>
    <row r="1031">
      <c r="A1031" t="inlineStr">
        <is>
          <t>RP0001030</t>
        </is>
      </c>
      <c r="B1031" t="inlineStr">
        <is>
          <t>LN200149</t>
        </is>
      </c>
      <c r="C1031" t="n">
        <v>1</v>
      </c>
      <c r="D1031" s="8" t="n">
        <v>45971</v>
      </c>
      <c r="E1031" s="9" t="n">
        <v>56213.33</v>
      </c>
      <c r="F1031" s="8" t="n">
        <v>45975</v>
      </c>
      <c r="G1031" s="9" t="n">
        <v>56213.33</v>
      </c>
      <c r="H1031" t="inlineStr">
        <is>
          <t>PAID_ON_TIME</t>
        </is>
      </c>
      <c r="I1031">
        <f>IF(H1031="UNPAID", AsOfDate-D1031, 0)</f>
        <v/>
      </c>
      <c r="J1031">
        <f>IF(F1031&lt;&gt;"", TEXT(F1031, "yyyy-mm"), "")</f>
        <v/>
      </c>
    </row>
    <row r="1032">
      <c r="A1032" t="inlineStr">
        <is>
          <t>RP0001031</t>
        </is>
      </c>
      <c r="B1032" t="inlineStr">
        <is>
          <t>LN200149</t>
        </is>
      </c>
      <c r="C1032" t="n">
        <v>2</v>
      </c>
      <c r="D1032" s="8" t="n">
        <v>46001</v>
      </c>
      <c r="E1032" s="9" t="n">
        <v>56213.33</v>
      </c>
      <c r="F1032" s="8" t="n">
        <v>45999</v>
      </c>
      <c r="G1032" s="9" t="n">
        <v>56213.33</v>
      </c>
      <c r="H1032" t="inlineStr">
        <is>
          <t>PAID_ON_TIME</t>
        </is>
      </c>
      <c r="I1032">
        <f>IF(H1032="UNPAID", AsOfDate-D1032, 0)</f>
        <v/>
      </c>
      <c r="J1032">
        <f>IF(F1032&lt;&gt;"", TEXT(F1032, "yyyy-mm"), "")</f>
        <v/>
      </c>
    </row>
    <row r="1033">
      <c r="A1033" t="inlineStr">
        <is>
          <t>RP0001032</t>
        </is>
      </c>
      <c r="B1033" t="inlineStr">
        <is>
          <t>LN200149</t>
        </is>
      </c>
      <c r="C1033" t="n">
        <v>3</v>
      </c>
      <c r="D1033" s="8" t="n">
        <v>46032</v>
      </c>
      <c r="E1033" s="9" t="n">
        <v>56213.33</v>
      </c>
      <c r="F1033" s="8" t="n">
        <v>46094</v>
      </c>
      <c r="G1033" s="9" t="n">
        <v>56213.33</v>
      </c>
      <c r="H1033" t="inlineStr">
        <is>
          <t>PAID_LATE</t>
        </is>
      </c>
      <c r="I1033">
        <f>IF(H1033="UNPAID", AsOfDate-D1033, 0)</f>
        <v/>
      </c>
      <c r="J1033">
        <f>IF(F1033&lt;&gt;"", TEXT(F1033, "yyyy-mm"), "")</f>
        <v/>
      </c>
    </row>
    <row r="1034">
      <c r="A1034" t="inlineStr">
        <is>
          <t>RP0001033</t>
        </is>
      </c>
      <c r="B1034" t="inlineStr">
        <is>
          <t>LN200150</t>
        </is>
      </c>
      <c r="C1034" t="n">
        <v>1</v>
      </c>
      <c r="D1034" s="8" t="n">
        <v>46180</v>
      </c>
      <c r="E1034" s="9" t="n">
        <v>39144</v>
      </c>
      <c r="F1034" s="8" t="n">
        <v>46184</v>
      </c>
      <c r="G1034" s="9" t="n">
        <v>39144</v>
      </c>
      <c r="H1034" t="inlineStr">
        <is>
          <t>PAID_ON_TIME</t>
        </is>
      </c>
      <c r="I1034">
        <f>IF(H1034="UNPAID", AsOfDate-D1034, 0)</f>
        <v/>
      </c>
      <c r="J1034">
        <f>IF(F1034&lt;&gt;"", TEXT(F1034, "yyyy-mm"), "")</f>
        <v/>
      </c>
    </row>
    <row r="1035">
      <c r="A1035" t="inlineStr">
        <is>
          <t>RP0001034</t>
        </is>
      </c>
      <c r="B1035" t="inlineStr">
        <is>
          <t>LN200150</t>
        </is>
      </c>
      <c r="C1035" t="n">
        <v>2</v>
      </c>
      <c r="D1035" s="8" t="n">
        <v>46210</v>
      </c>
      <c r="E1035" s="9" t="n">
        <v>39144</v>
      </c>
      <c r="F1035" s="8" t="n">
        <v>46207</v>
      </c>
      <c r="G1035" s="9" t="n">
        <v>39144</v>
      </c>
      <c r="H1035" t="inlineStr">
        <is>
          <t>PAID_ON_TIME</t>
        </is>
      </c>
      <c r="I1035">
        <f>IF(H1035="UNPAID", AsOfDate-D1035, 0)</f>
        <v/>
      </c>
      <c r="J1035">
        <f>IF(F1035&lt;&gt;"", TEXT(F1035, "yyyy-mm"), "")</f>
        <v/>
      </c>
    </row>
    <row r="1036">
      <c r="A1036" t="inlineStr">
        <is>
          <t>RP0001035</t>
        </is>
      </c>
      <c r="B1036" t="inlineStr">
        <is>
          <t>LN200150</t>
        </is>
      </c>
      <c r="C1036" t="n">
        <v>3</v>
      </c>
      <c r="D1036" s="8" t="n">
        <v>46241</v>
      </c>
      <c r="E1036" s="9" t="n">
        <v>39144</v>
      </c>
      <c r="F1036" s="8" t="n">
        <v>46245</v>
      </c>
      <c r="G1036" s="9" t="n">
        <v>39144</v>
      </c>
      <c r="H1036" t="inlineStr">
        <is>
          <t>PAID_ON_TIME</t>
        </is>
      </c>
      <c r="I1036">
        <f>IF(H1036="UNPAID", AsOfDate-D1036, 0)</f>
        <v/>
      </c>
      <c r="J1036">
        <f>IF(F1036&lt;&gt;"", TEXT(F1036, "yyyy-mm"), "")</f>
        <v/>
      </c>
    </row>
    <row r="1037">
      <c r="A1037" t="inlineStr">
        <is>
          <t>RP0001036</t>
        </is>
      </c>
      <c r="B1037" t="inlineStr">
        <is>
          <t>LN200151</t>
        </is>
      </c>
      <c r="C1037" t="n">
        <v>1</v>
      </c>
      <c r="D1037" s="8" t="n">
        <v>46105</v>
      </c>
      <c r="E1037" s="9" t="n">
        <v>25465.92</v>
      </c>
      <c r="F1037" s="8" t="n">
        <v>46104</v>
      </c>
      <c r="G1037" s="9" t="n">
        <v>25465.92</v>
      </c>
      <c r="H1037" t="inlineStr">
        <is>
          <t>PAID_ON_TIME</t>
        </is>
      </c>
      <c r="I1037">
        <f>IF(H1037="UNPAID", AsOfDate-D1037, 0)</f>
        <v/>
      </c>
      <c r="J1037">
        <f>IF(F1037&lt;&gt;"", TEXT(F1037, "yyyy-mm"), "")</f>
        <v/>
      </c>
    </row>
    <row r="1038">
      <c r="A1038" t="inlineStr">
        <is>
          <t>RP0001037</t>
        </is>
      </c>
      <c r="B1038" t="inlineStr">
        <is>
          <t>LN200151</t>
        </is>
      </c>
      <c r="C1038" t="n">
        <v>2</v>
      </c>
      <c r="D1038" s="8" t="n">
        <v>46136</v>
      </c>
      <c r="E1038" s="9" t="n">
        <v>25465.92</v>
      </c>
      <c r="F1038" s="8" t="n">
        <v>46140</v>
      </c>
      <c r="G1038" s="9" t="n">
        <v>25465.92</v>
      </c>
      <c r="H1038" t="inlineStr">
        <is>
          <t>PAID_ON_TIME</t>
        </is>
      </c>
      <c r="I1038">
        <f>IF(H1038="UNPAID", AsOfDate-D1038, 0)</f>
        <v/>
      </c>
      <c r="J1038">
        <f>IF(F1038&lt;&gt;"", TEXT(F1038, "yyyy-mm"), "")</f>
        <v/>
      </c>
    </row>
    <row r="1039">
      <c r="A1039" t="inlineStr">
        <is>
          <t>RP0001038</t>
        </is>
      </c>
      <c r="B1039" t="inlineStr">
        <is>
          <t>LN200151</t>
        </is>
      </c>
      <c r="C1039" t="n">
        <v>3</v>
      </c>
      <c r="D1039" s="8" t="n">
        <v>46166</v>
      </c>
      <c r="E1039" s="9" t="n">
        <v>25465.92</v>
      </c>
      <c r="F1039" s="8" t="n">
        <v>46240</v>
      </c>
      <c r="G1039" s="9" t="n">
        <v>25465.92</v>
      </c>
      <c r="H1039" t="inlineStr">
        <is>
          <t>PAID_LATE</t>
        </is>
      </c>
      <c r="I1039">
        <f>IF(H1039="UNPAID", AsOfDate-D1039, 0)</f>
        <v/>
      </c>
      <c r="J1039">
        <f>IF(F1039&lt;&gt;"", TEXT(F1039, "yyyy-mm"), "")</f>
        <v/>
      </c>
    </row>
    <row r="1040">
      <c r="A1040" t="inlineStr">
        <is>
          <t>RP0001039</t>
        </is>
      </c>
      <c r="B1040" t="inlineStr">
        <is>
          <t>LN200151</t>
        </is>
      </c>
      <c r="C1040" t="n">
        <v>4</v>
      </c>
      <c r="D1040" s="8" t="n">
        <v>46197</v>
      </c>
      <c r="E1040" s="9" t="n">
        <v>25465.92</v>
      </c>
      <c r="F1040" s="8" t="n">
        <v>46195</v>
      </c>
      <c r="G1040" s="9" t="n">
        <v>25465.92</v>
      </c>
      <c r="H1040" t="inlineStr">
        <is>
          <t>PAID_ON_TIME</t>
        </is>
      </c>
      <c r="I1040">
        <f>IF(H1040="UNPAID", AsOfDate-D1040, 0)</f>
        <v/>
      </c>
      <c r="J1040">
        <f>IF(F1040&lt;&gt;"", TEXT(F1040, "yyyy-mm"), "")</f>
        <v/>
      </c>
    </row>
    <row r="1041">
      <c r="A1041" t="inlineStr">
        <is>
          <t>RP0001040</t>
        </is>
      </c>
      <c r="B1041" t="inlineStr">
        <is>
          <t>LN200151</t>
        </is>
      </c>
      <c r="C1041" t="n">
        <v>5</v>
      </c>
      <c r="D1041" s="8" t="n">
        <v>46227</v>
      </c>
      <c r="E1041" s="9" t="n">
        <v>25465.92</v>
      </c>
      <c r="F1041" s="8" t="n">
        <v>46225</v>
      </c>
      <c r="G1041" s="9" t="n">
        <v>25465.92</v>
      </c>
      <c r="H1041" t="inlineStr">
        <is>
          <t>PAID_ON_TIME</t>
        </is>
      </c>
      <c r="I1041">
        <f>IF(H1041="UNPAID", AsOfDate-D1041, 0)</f>
        <v/>
      </c>
      <c r="J1041">
        <f>IF(F1041&lt;&gt;"", TEXT(F1041, "yyyy-mm"), "")</f>
        <v/>
      </c>
    </row>
    <row r="1042">
      <c r="A1042" t="inlineStr">
        <is>
          <t>RP0001041</t>
        </is>
      </c>
      <c r="B1042" t="inlineStr">
        <is>
          <t>LN200151</t>
        </is>
      </c>
      <c r="C1042" t="n">
        <v>6</v>
      </c>
      <c r="D1042" s="8" t="n">
        <v>46258</v>
      </c>
      <c r="E1042" s="9" t="n">
        <v>25465.92</v>
      </c>
      <c r="F1042" s="8" t="n">
        <v>46259</v>
      </c>
      <c r="G1042" s="9" t="n">
        <v>25465.92</v>
      </c>
      <c r="H1042" t="inlineStr">
        <is>
          <t>PAID_ON_TIME</t>
        </is>
      </c>
      <c r="I1042">
        <f>IF(H1042="UNPAID", AsOfDate-D1042, 0)</f>
        <v/>
      </c>
      <c r="J1042">
        <f>IF(F1042&lt;&gt;"", TEXT(F1042, "yyyy-mm"), "")</f>
        <v/>
      </c>
    </row>
    <row r="1043">
      <c r="A1043" t="inlineStr">
        <is>
          <t>RP0001042</t>
        </is>
      </c>
      <c r="B1043" t="inlineStr">
        <is>
          <t>LN200153</t>
        </is>
      </c>
      <c r="C1043" t="n">
        <v>1</v>
      </c>
      <c r="D1043" s="8" t="n">
        <v>45802</v>
      </c>
      <c r="E1043" s="9" t="n">
        <v>11376.5</v>
      </c>
      <c r="F1043" s="8" t="n">
        <v>45799</v>
      </c>
      <c r="G1043" s="9" t="n">
        <v>11376.5</v>
      </c>
      <c r="H1043" t="inlineStr">
        <is>
          <t>PAID_ON_TIME</t>
        </is>
      </c>
      <c r="I1043">
        <f>IF(H1043="UNPAID", AsOfDate-D1043, 0)</f>
        <v/>
      </c>
      <c r="J1043">
        <f>IF(F1043&lt;&gt;"", TEXT(F1043, "yyyy-mm"), "")</f>
        <v/>
      </c>
    </row>
    <row r="1044">
      <c r="A1044" t="inlineStr">
        <is>
          <t>RP0001043</t>
        </is>
      </c>
      <c r="B1044" t="inlineStr">
        <is>
          <t>LN200153</t>
        </is>
      </c>
      <c r="C1044" t="n">
        <v>2</v>
      </c>
      <c r="D1044" s="8" t="n">
        <v>45833</v>
      </c>
      <c r="E1044" s="9" t="n">
        <v>11376.5</v>
      </c>
      <c r="F1044" s="8" t="n">
        <v>45837</v>
      </c>
      <c r="G1044" s="9" t="n">
        <v>11376.5</v>
      </c>
      <c r="H1044" t="inlineStr">
        <is>
          <t>PAID_ON_TIME</t>
        </is>
      </c>
      <c r="I1044">
        <f>IF(H1044="UNPAID", AsOfDate-D1044, 0)</f>
        <v/>
      </c>
      <c r="J1044">
        <f>IF(F1044&lt;&gt;"", TEXT(F1044, "yyyy-mm"), "")</f>
        <v/>
      </c>
    </row>
    <row r="1045">
      <c r="A1045" t="inlineStr">
        <is>
          <t>RP0001044</t>
        </is>
      </c>
      <c r="B1045" t="inlineStr">
        <is>
          <t>LN200153</t>
        </is>
      </c>
      <c r="C1045" t="n">
        <v>3</v>
      </c>
      <c r="D1045" s="8" t="n">
        <v>45863</v>
      </c>
      <c r="E1045" s="9" t="n">
        <v>11376.5</v>
      </c>
      <c r="F1045" s="8" t="n">
        <v>45867</v>
      </c>
      <c r="G1045" s="9" t="n">
        <v>11376.5</v>
      </c>
      <c r="H1045" t="inlineStr">
        <is>
          <t>PAID_ON_TIME</t>
        </is>
      </c>
      <c r="I1045">
        <f>IF(H1045="UNPAID", AsOfDate-D1045, 0)</f>
        <v/>
      </c>
      <c r="J1045">
        <f>IF(F1045&lt;&gt;"", TEXT(F1045, "yyyy-mm"), "")</f>
        <v/>
      </c>
    </row>
    <row r="1046">
      <c r="A1046" t="inlineStr">
        <is>
          <t>RP0001045</t>
        </is>
      </c>
      <c r="B1046" t="inlineStr">
        <is>
          <t>LN200153</t>
        </is>
      </c>
      <c r="C1046" t="n">
        <v>4</v>
      </c>
      <c r="D1046" s="8" t="n">
        <v>45894</v>
      </c>
      <c r="E1046" s="9" t="n">
        <v>11376.5</v>
      </c>
      <c r="F1046" s="8" t="n">
        <v>45893</v>
      </c>
      <c r="G1046" s="9" t="n">
        <v>11376.5</v>
      </c>
      <c r="H1046" t="inlineStr">
        <is>
          <t>PAID_ON_TIME</t>
        </is>
      </c>
      <c r="I1046">
        <f>IF(H1046="UNPAID", AsOfDate-D1046, 0)</f>
        <v/>
      </c>
      <c r="J1046">
        <f>IF(F1046&lt;&gt;"", TEXT(F1046, "yyyy-mm"), "")</f>
        <v/>
      </c>
    </row>
    <row r="1047">
      <c r="A1047" t="inlineStr">
        <is>
          <t>RP0001046</t>
        </is>
      </c>
      <c r="B1047" t="inlineStr">
        <is>
          <t>LN200153</t>
        </is>
      </c>
      <c r="C1047" t="n">
        <v>5</v>
      </c>
      <c r="D1047" s="8" t="n">
        <v>45925</v>
      </c>
      <c r="E1047" s="9" t="n">
        <v>11376.5</v>
      </c>
      <c r="F1047" s="8" t="n">
        <v>45927</v>
      </c>
      <c r="G1047" s="9" t="n">
        <v>11376.5</v>
      </c>
      <c r="H1047" t="inlineStr">
        <is>
          <t>PAID_ON_TIME</t>
        </is>
      </c>
      <c r="I1047">
        <f>IF(H1047="UNPAID", AsOfDate-D1047, 0)</f>
        <v/>
      </c>
      <c r="J1047">
        <f>IF(F1047&lt;&gt;"", TEXT(F1047, "yyyy-mm"), "")</f>
        <v/>
      </c>
    </row>
    <row r="1048">
      <c r="A1048" t="inlineStr">
        <is>
          <t>RP0001047</t>
        </is>
      </c>
      <c r="B1048" t="inlineStr">
        <is>
          <t>LN200153</t>
        </is>
      </c>
      <c r="C1048" t="n">
        <v>6</v>
      </c>
      <c r="D1048" s="8" t="n">
        <v>45955</v>
      </c>
      <c r="E1048" s="9" t="n">
        <v>11376.5</v>
      </c>
      <c r="F1048" s="8" t="n">
        <v>45958</v>
      </c>
      <c r="G1048" s="9" t="n">
        <v>11376.5</v>
      </c>
      <c r="H1048" t="inlineStr">
        <is>
          <t>PAID_ON_TIME</t>
        </is>
      </c>
      <c r="I1048">
        <f>IF(H1048="UNPAID", AsOfDate-D1048, 0)</f>
        <v/>
      </c>
      <c r="J1048">
        <f>IF(F1048&lt;&gt;"", TEXT(F1048, "yyyy-mm"), "")</f>
        <v/>
      </c>
    </row>
    <row r="1049">
      <c r="A1049" t="inlineStr">
        <is>
          <t>RP0001048</t>
        </is>
      </c>
      <c r="B1049" t="inlineStr">
        <is>
          <t>LN200154</t>
        </is>
      </c>
      <c r="C1049" t="n">
        <v>1</v>
      </c>
      <c r="D1049" s="8" t="n">
        <v>46242</v>
      </c>
      <c r="E1049" s="9" t="n">
        <v>5026.5</v>
      </c>
      <c r="F1049" s="8" t="n">
        <v>46252</v>
      </c>
      <c r="G1049" s="9" t="n">
        <v>5026.5</v>
      </c>
      <c r="H1049" t="inlineStr">
        <is>
          <t>PAID_LATE</t>
        </is>
      </c>
      <c r="I1049">
        <f>IF(H1049="UNPAID", AsOfDate-D1049, 0)</f>
        <v/>
      </c>
      <c r="J1049">
        <f>IF(F1049&lt;&gt;"", TEXT(F1049, "yyyy-mm"), "")</f>
        <v/>
      </c>
    </row>
    <row r="1050">
      <c r="A1050" t="inlineStr">
        <is>
          <t>RP0001049</t>
        </is>
      </c>
      <c r="B1050" t="inlineStr">
        <is>
          <t>LN200154</t>
        </is>
      </c>
      <c r="C1050" t="n">
        <v>2</v>
      </c>
      <c r="D1050" s="8" t="n">
        <v>46273</v>
      </c>
      <c r="E1050" s="9" t="n">
        <v>5026.5</v>
      </c>
      <c r="F1050" s="8" t="n"/>
      <c r="G1050" s="9" t="n">
        <v>0</v>
      </c>
      <c r="H1050" t="inlineStr">
        <is>
          <t>NOT_DUE</t>
        </is>
      </c>
      <c r="I1050">
        <f>IF(H1050="UNPAID", AsOfDate-D1050, 0)</f>
        <v/>
      </c>
      <c r="J1050">
        <f>IF(F1050&lt;&gt;"", TEXT(F1050, "yyyy-mm"), "")</f>
        <v/>
      </c>
    </row>
    <row r="1051">
      <c r="A1051" t="inlineStr">
        <is>
          <t>RP0001050</t>
        </is>
      </c>
      <c r="B1051" t="inlineStr">
        <is>
          <t>LN200154</t>
        </is>
      </c>
      <c r="C1051" t="n">
        <v>3</v>
      </c>
      <c r="D1051" s="8" t="n">
        <v>46303</v>
      </c>
      <c r="E1051" s="9" t="n">
        <v>5026.5</v>
      </c>
      <c r="F1051" s="8" t="n"/>
      <c r="G1051" s="9" t="n">
        <v>0</v>
      </c>
      <c r="H1051" t="inlineStr">
        <is>
          <t>NOT_DUE</t>
        </is>
      </c>
      <c r="I1051">
        <f>IF(H1051="UNPAID", AsOfDate-D1051, 0)</f>
        <v/>
      </c>
      <c r="J1051">
        <f>IF(F1051&lt;&gt;"", TEXT(F1051, "yyyy-mm"), "")</f>
        <v/>
      </c>
    </row>
    <row r="1052">
      <c r="A1052" t="inlineStr">
        <is>
          <t>RP0001051</t>
        </is>
      </c>
      <c r="B1052" t="inlineStr">
        <is>
          <t>LN200154</t>
        </is>
      </c>
      <c r="C1052" t="n">
        <v>4</v>
      </c>
      <c r="D1052" s="8" t="n">
        <v>46334</v>
      </c>
      <c r="E1052" s="9" t="n">
        <v>5026.5</v>
      </c>
      <c r="F1052" s="8" t="n"/>
      <c r="G1052" s="9" t="n">
        <v>0</v>
      </c>
      <c r="H1052" t="inlineStr">
        <is>
          <t>NOT_DUE</t>
        </is>
      </c>
      <c r="I1052">
        <f>IF(H1052="UNPAID", AsOfDate-D1052, 0)</f>
        <v/>
      </c>
      <c r="J1052">
        <f>IF(F1052&lt;&gt;"", TEXT(F1052, "yyyy-mm"), "")</f>
        <v/>
      </c>
    </row>
    <row r="1053">
      <c r="A1053" t="inlineStr">
        <is>
          <t>RP0001052</t>
        </is>
      </c>
      <c r="B1053" t="inlineStr">
        <is>
          <t>LN200154</t>
        </is>
      </c>
      <c r="C1053" t="n">
        <v>5</v>
      </c>
      <c r="D1053" s="8" t="n">
        <v>46364</v>
      </c>
      <c r="E1053" s="9" t="n">
        <v>5026.5</v>
      </c>
      <c r="F1053" s="8" t="n"/>
      <c r="G1053" s="9" t="n">
        <v>0</v>
      </c>
      <c r="H1053" t="inlineStr">
        <is>
          <t>NOT_DUE</t>
        </is>
      </c>
      <c r="I1053">
        <f>IF(H1053="UNPAID", AsOfDate-D1053, 0)</f>
        <v/>
      </c>
      <c r="J1053">
        <f>IF(F1053&lt;&gt;"", TEXT(F1053, "yyyy-mm"), "")</f>
        <v/>
      </c>
    </row>
    <row r="1054">
      <c r="A1054" t="inlineStr">
        <is>
          <t>RP0001053</t>
        </is>
      </c>
      <c r="B1054" t="inlineStr">
        <is>
          <t>LN200154</t>
        </is>
      </c>
      <c r="C1054" t="n">
        <v>6</v>
      </c>
      <c r="D1054" s="8" t="n">
        <v>46395</v>
      </c>
      <c r="E1054" s="9" t="n">
        <v>5026.5</v>
      </c>
      <c r="F1054" s="8" t="n"/>
      <c r="G1054" s="9" t="n">
        <v>0</v>
      </c>
      <c r="H1054" t="inlineStr">
        <is>
          <t>NOT_DUE</t>
        </is>
      </c>
      <c r="I1054">
        <f>IF(H1054="UNPAID", AsOfDate-D1054, 0)</f>
        <v/>
      </c>
      <c r="J1054">
        <f>IF(F1054&lt;&gt;"", TEXT(F1054, "yyyy-mm"), "")</f>
        <v/>
      </c>
    </row>
    <row r="1055">
      <c r="A1055" t="inlineStr">
        <is>
          <t>RP0001054</t>
        </is>
      </c>
      <c r="B1055" t="inlineStr">
        <is>
          <t>LN200155</t>
        </is>
      </c>
      <c r="C1055" t="n">
        <v>1</v>
      </c>
      <c r="D1055" s="8" t="n">
        <v>45962</v>
      </c>
      <c r="E1055" s="9" t="n">
        <v>3944.5</v>
      </c>
      <c r="F1055" s="8" t="n">
        <v>45963</v>
      </c>
      <c r="G1055" s="9" t="n">
        <v>3944.5</v>
      </c>
      <c r="H1055" t="inlineStr">
        <is>
          <t>PAID_ON_TIME</t>
        </is>
      </c>
      <c r="I1055">
        <f>IF(H1055="UNPAID", AsOfDate-D1055, 0)</f>
        <v/>
      </c>
      <c r="J1055">
        <f>IF(F1055&lt;&gt;"", TEXT(F1055, "yyyy-mm"), "")</f>
        <v/>
      </c>
    </row>
    <row r="1056">
      <c r="A1056" t="inlineStr">
        <is>
          <t>RP0001055</t>
        </is>
      </c>
      <c r="B1056" t="inlineStr">
        <is>
          <t>LN200155</t>
        </is>
      </c>
      <c r="C1056" t="n">
        <v>2</v>
      </c>
      <c r="D1056" s="8" t="n">
        <v>45992</v>
      </c>
      <c r="E1056" s="9" t="n">
        <v>3944.5</v>
      </c>
      <c r="F1056" s="8" t="n">
        <v>45993</v>
      </c>
      <c r="G1056" s="9" t="n">
        <v>3944.5</v>
      </c>
      <c r="H1056" t="inlineStr">
        <is>
          <t>PAID_ON_TIME</t>
        </is>
      </c>
      <c r="I1056">
        <f>IF(H1056="UNPAID", AsOfDate-D1056, 0)</f>
        <v/>
      </c>
      <c r="J1056">
        <f>IF(F1056&lt;&gt;"", TEXT(F1056, "yyyy-mm"), "")</f>
        <v/>
      </c>
    </row>
    <row r="1057">
      <c r="A1057" t="inlineStr">
        <is>
          <t>RP0001056</t>
        </is>
      </c>
      <c r="B1057" t="inlineStr">
        <is>
          <t>LN200155</t>
        </is>
      </c>
      <c r="C1057" t="n">
        <v>3</v>
      </c>
      <c r="D1057" s="8" t="n">
        <v>46023</v>
      </c>
      <c r="E1057" s="9" t="n">
        <v>3944.5</v>
      </c>
      <c r="F1057" s="8" t="n">
        <v>46027</v>
      </c>
      <c r="G1057" s="9" t="n">
        <v>3944.5</v>
      </c>
      <c r="H1057" t="inlineStr">
        <is>
          <t>PAID_ON_TIME</t>
        </is>
      </c>
      <c r="I1057">
        <f>IF(H1057="UNPAID", AsOfDate-D1057, 0)</f>
        <v/>
      </c>
      <c r="J1057">
        <f>IF(F1057&lt;&gt;"", TEXT(F1057, "yyyy-mm"), "")</f>
        <v/>
      </c>
    </row>
    <row r="1058">
      <c r="A1058" t="inlineStr">
        <is>
          <t>RP0001057</t>
        </is>
      </c>
      <c r="B1058" t="inlineStr">
        <is>
          <t>LN200155</t>
        </is>
      </c>
      <c r="C1058" t="n">
        <v>4</v>
      </c>
      <c r="D1058" s="8" t="n">
        <v>46054</v>
      </c>
      <c r="E1058" s="9" t="n">
        <v>3944.5</v>
      </c>
      <c r="F1058" s="8" t="n">
        <v>46051</v>
      </c>
      <c r="G1058" s="9" t="n">
        <v>3944.5</v>
      </c>
      <c r="H1058" t="inlineStr">
        <is>
          <t>PAID_ON_TIME</t>
        </is>
      </c>
      <c r="I1058">
        <f>IF(H1058="UNPAID", AsOfDate-D1058, 0)</f>
        <v/>
      </c>
      <c r="J1058">
        <f>IF(F1058&lt;&gt;"", TEXT(F1058, "yyyy-mm"), "")</f>
        <v/>
      </c>
    </row>
    <row r="1059">
      <c r="A1059" t="inlineStr">
        <is>
          <t>RP0001058</t>
        </is>
      </c>
      <c r="B1059" t="inlineStr">
        <is>
          <t>LN200155</t>
        </is>
      </c>
      <c r="C1059" t="n">
        <v>5</v>
      </c>
      <c r="D1059" s="8" t="n">
        <v>46082</v>
      </c>
      <c r="E1059" s="9" t="n">
        <v>3944.5</v>
      </c>
      <c r="F1059" s="8" t="n">
        <v>46083</v>
      </c>
      <c r="G1059" s="9" t="n">
        <v>3944.5</v>
      </c>
      <c r="H1059" t="inlineStr">
        <is>
          <t>PAID_ON_TIME</t>
        </is>
      </c>
      <c r="I1059">
        <f>IF(H1059="UNPAID", AsOfDate-D1059, 0)</f>
        <v/>
      </c>
      <c r="J1059">
        <f>IF(F1059&lt;&gt;"", TEXT(F1059, "yyyy-mm"), "")</f>
        <v/>
      </c>
    </row>
    <row r="1060">
      <c r="A1060" t="inlineStr">
        <is>
          <t>RP0001059</t>
        </is>
      </c>
      <c r="B1060" t="inlineStr">
        <is>
          <t>LN200155</t>
        </is>
      </c>
      <c r="C1060" t="n">
        <v>6</v>
      </c>
      <c r="D1060" s="8" t="n">
        <v>46113</v>
      </c>
      <c r="E1060" s="9" t="n">
        <v>3944.5</v>
      </c>
      <c r="F1060" s="8" t="n">
        <v>46112</v>
      </c>
      <c r="G1060" s="9" t="n">
        <v>3944.5</v>
      </c>
      <c r="H1060" t="inlineStr">
        <is>
          <t>PAID_ON_TIME</t>
        </is>
      </c>
      <c r="I1060">
        <f>IF(H1060="UNPAID", AsOfDate-D1060, 0)</f>
        <v/>
      </c>
      <c r="J1060">
        <f>IF(F1060&lt;&gt;"", TEXT(F1060, "yyyy-mm"), "")</f>
        <v/>
      </c>
    </row>
    <row r="1061">
      <c r="A1061" t="inlineStr">
        <is>
          <t>RP0001060</t>
        </is>
      </c>
      <c r="B1061" t="inlineStr">
        <is>
          <t>LN200155</t>
        </is>
      </c>
      <c r="C1061" t="n">
        <v>7</v>
      </c>
      <c r="D1061" s="8" t="n">
        <v>46143</v>
      </c>
      <c r="E1061" s="9" t="n">
        <v>3944.5</v>
      </c>
      <c r="F1061" s="8" t="n">
        <v>46147</v>
      </c>
      <c r="G1061" s="9" t="n">
        <v>3944.5</v>
      </c>
      <c r="H1061" t="inlineStr">
        <is>
          <t>PAID_ON_TIME</t>
        </is>
      </c>
      <c r="I1061">
        <f>IF(H1061="UNPAID", AsOfDate-D1061, 0)</f>
        <v/>
      </c>
      <c r="J1061">
        <f>IF(F1061&lt;&gt;"", TEXT(F1061, "yyyy-mm"), "")</f>
        <v/>
      </c>
    </row>
    <row r="1062">
      <c r="A1062" t="inlineStr">
        <is>
          <t>RP0001061</t>
        </is>
      </c>
      <c r="B1062" t="inlineStr">
        <is>
          <t>LN200155</t>
        </is>
      </c>
      <c r="C1062" t="n">
        <v>8</v>
      </c>
      <c r="D1062" s="8" t="n">
        <v>46174</v>
      </c>
      <c r="E1062" s="9" t="n">
        <v>3944.5</v>
      </c>
      <c r="F1062" s="8" t="n">
        <v>46172</v>
      </c>
      <c r="G1062" s="9" t="n">
        <v>3944.5</v>
      </c>
      <c r="H1062" t="inlineStr">
        <is>
          <t>PAID_ON_TIME</t>
        </is>
      </c>
      <c r="I1062">
        <f>IF(H1062="UNPAID", AsOfDate-D1062, 0)</f>
        <v/>
      </c>
      <c r="J1062">
        <f>IF(F1062&lt;&gt;"", TEXT(F1062, "yyyy-mm"), "")</f>
        <v/>
      </c>
    </row>
    <row r="1063">
      <c r="A1063" t="inlineStr">
        <is>
          <t>RP0001062</t>
        </is>
      </c>
      <c r="B1063" t="inlineStr">
        <is>
          <t>LN200155</t>
        </is>
      </c>
      <c r="C1063" t="n">
        <v>9</v>
      </c>
      <c r="D1063" s="8" t="n">
        <v>46204</v>
      </c>
      <c r="E1063" s="9" t="n">
        <v>3944.5</v>
      </c>
      <c r="F1063" s="8" t="n">
        <v>46207</v>
      </c>
      <c r="G1063" s="9" t="n">
        <v>3944.5</v>
      </c>
      <c r="H1063" t="inlineStr">
        <is>
          <t>PAID_ON_TIME</t>
        </is>
      </c>
      <c r="I1063">
        <f>IF(H1063="UNPAID", AsOfDate-D1063, 0)</f>
        <v/>
      </c>
      <c r="J1063">
        <f>IF(F1063&lt;&gt;"", TEXT(F1063, "yyyy-mm"), "")</f>
        <v/>
      </c>
    </row>
    <row r="1064">
      <c r="A1064" t="inlineStr">
        <is>
          <t>RP0001063</t>
        </is>
      </c>
      <c r="B1064" t="inlineStr">
        <is>
          <t>LN200155</t>
        </is>
      </c>
      <c r="C1064" t="n">
        <v>10</v>
      </c>
      <c r="D1064" s="8" t="n">
        <v>46235</v>
      </c>
      <c r="E1064" s="9" t="n">
        <v>3944.5</v>
      </c>
      <c r="F1064" s="8" t="n">
        <v>46232</v>
      </c>
      <c r="G1064" s="9" t="n">
        <v>3944.5</v>
      </c>
      <c r="H1064" t="inlineStr">
        <is>
          <t>PAID_ON_TIME</t>
        </is>
      </c>
      <c r="I1064">
        <f>IF(H1064="UNPAID", AsOfDate-D1064, 0)</f>
        <v/>
      </c>
      <c r="J1064">
        <f>IF(F1064&lt;&gt;"", TEXT(F1064, "yyyy-mm"), "")</f>
        <v/>
      </c>
    </row>
    <row r="1065">
      <c r="A1065" t="inlineStr">
        <is>
          <t>RP0001064</t>
        </is>
      </c>
      <c r="B1065" t="inlineStr">
        <is>
          <t>LN200155</t>
        </is>
      </c>
      <c r="C1065" t="n">
        <v>11</v>
      </c>
      <c r="D1065" s="8" t="n">
        <v>46266</v>
      </c>
      <c r="E1065" s="9" t="n">
        <v>3944.5</v>
      </c>
      <c r="F1065" s="8" t="n"/>
      <c r="G1065" s="9" t="n">
        <v>0</v>
      </c>
      <c r="H1065" t="inlineStr">
        <is>
          <t>UNPAID</t>
        </is>
      </c>
      <c r="I1065">
        <f>IF(H1065="UNPAID", AsOfDate-D1065, 0)</f>
        <v/>
      </c>
      <c r="J1065">
        <f>IF(F1065&lt;&gt;"", TEXT(F1065, "yyyy-mm"), "")</f>
        <v/>
      </c>
    </row>
    <row r="1066">
      <c r="A1066" t="inlineStr">
        <is>
          <t>RP0001065</t>
        </is>
      </c>
      <c r="B1066" t="inlineStr">
        <is>
          <t>LN200155</t>
        </is>
      </c>
      <c r="C1066" t="n">
        <v>12</v>
      </c>
      <c r="D1066" s="8" t="n">
        <v>46296</v>
      </c>
      <c r="E1066" s="9" t="n">
        <v>3944.5</v>
      </c>
      <c r="F1066" s="8" t="n"/>
      <c r="G1066" s="9" t="n">
        <v>0</v>
      </c>
      <c r="H1066" t="inlineStr">
        <is>
          <t>NOT_DUE</t>
        </is>
      </c>
      <c r="I1066">
        <f>IF(H1066="UNPAID", AsOfDate-D1066, 0)</f>
        <v/>
      </c>
      <c r="J1066">
        <f>IF(F1066&lt;&gt;"", TEXT(F1066, "yyyy-mm"), "")</f>
        <v/>
      </c>
    </row>
    <row r="1067">
      <c r="A1067" t="inlineStr">
        <is>
          <t>RP0001066</t>
        </is>
      </c>
      <c r="B1067" t="inlineStr">
        <is>
          <t>LN200156</t>
        </is>
      </c>
      <c r="C1067" t="n">
        <v>1</v>
      </c>
      <c r="D1067" s="8" t="n">
        <v>46197</v>
      </c>
      <c r="E1067" s="9" t="n">
        <v>30426</v>
      </c>
      <c r="F1067" s="8" t="n">
        <v>46194</v>
      </c>
      <c r="G1067" s="9" t="n">
        <v>30426</v>
      </c>
      <c r="H1067" t="inlineStr">
        <is>
          <t>PAID_ON_TIME</t>
        </is>
      </c>
      <c r="I1067">
        <f>IF(H1067="UNPAID", AsOfDate-D1067, 0)</f>
        <v/>
      </c>
      <c r="J1067">
        <f>IF(F1067&lt;&gt;"", TEXT(F1067, "yyyy-mm"), "")</f>
        <v/>
      </c>
    </row>
    <row r="1068">
      <c r="A1068" t="inlineStr">
        <is>
          <t>RP0001067</t>
        </is>
      </c>
      <c r="B1068" t="inlineStr">
        <is>
          <t>LN200156</t>
        </is>
      </c>
      <c r="C1068" t="n">
        <v>2</v>
      </c>
      <c r="D1068" s="8" t="n">
        <v>46227</v>
      </c>
      <c r="E1068" s="9" t="n">
        <v>30426</v>
      </c>
      <c r="F1068" s="8" t="n">
        <v>46237</v>
      </c>
      <c r="G1068" s="9" t="n">
        <v>30426</v>
      </c>
      <c r="H1068" t="inlineStr">
        <is>
          <t>PAID_LATE</t>
        </is>
      </c>
      <c r="I1068">
        <f>IF(H1068="UNPAID", AsOfDate-D1068, 0)</f>
        <v/>
      </c>
      <c r="J1068">
        <f>IF(F1068&lt;&gt;"", TEXT(F1068, "yyyy-mm"), "")</f>
        <v/>
      </c>
    </row>
    <row r="1069">
      <c r="A1069" t="inlineStr">
        <is>
          <t>RP0001068</t>
        </is>
      </c>
      <c r="B1069" t="inlineStr">
        <is>
          <t>LN200156</t>
        </is>
      </c>
      <c r="C1069" t="n">
        <v>3</v>
      </c>
      <c r="D1069" s="8" t="n">
        <v>46258</v>
      </c>
      <c r="E1069" s="9" t="n">
        <v>30426</v>
      </c>
      <c r="F1069" s="8" t="n">
        <v>46256</v>
      </c>
      <c r="G1069" s="9" t="n">
        <v>30426</v>
      </c>
      <c r="H1069" t="inlineStr">
        <is>
          <t>PAID_ON_TIME</t>
        </is>
      </c>
      <c r="I1069">
        <f>IF(H1069="UNPAID", AsOfDate-D1069, 0)</f>
        <v/>
      </c>
      <c r="J1069">
        <f>IF(F1069&lt;&gt;"", TEXT(F1069, "yyyy-mm"), "")</f>
        <v/>
      </c>
    </row>
    <row r="1070">
      <c r="A1070" t="inlineStr">
        <is>
          <t>RP0001069</t>
        </is>
      </c>
      <c r="B1070" t="inlineStr">
        <is>
          <t>LN200157</t>
        </is>
      </c>
      <c r="C1070" t="n">
        <v>1</v>
      </c>
      <c r="D1070" s="8" t="n">
        <v>45692</v>
      </c>
      <c r="E1070" s="9" t="n">
        <v>7179.11</v>
      </c>
      <c r="F1070" s="8" t="n">
        <v>45699</v>
      </c>
      <c r="G1070" s="9" t="n">
        <v>7179.11</v>
      </c>
      <c r="H1070" t="inlineStr">
        <is>
          <t>PAID_LATE</t>
        </is>
      </c>
      <c r="I1070">
        <f>IF(H1070="UNPAID", AsOfDate-D1070, 0)</f>
        <v/>
      </c>
      <c r="J1070">
        <f>IF(F1070&lt;&gt;"", TEXT(F1070, "yyyy-mm"), "")</f>
        <v/>
      </c>
    </row>
    <row r="1071">
      <c r="A1071" t="inlineStr">
        <is>
          <t>RP0001070</t>
        </is>
      </c>
      <c r="B1071" t="inlineStr">
        <is>
          <t>LN200157</t>
        </is>
      </c>
      <c r="C1071" t="n">
        <v>2</v>
      </c>
      <c r="D1071" s="8" t="n">
        <v>45720</v>
      </c>
      <c r="E1071" s="9" t="n">
        <v>7179.11</v>
      </c>
      <c r="F1071" s="8" t="n">
        <v>45718</v>
      </c>
      <c r="G1071" s="9" t="n">
        <v>7179.11</v>
      </c>
      <c r="H1071" t="inlineStr">
        <is>
          <t>PAID_ON_TIME</t>
        </is>
      </c>
      <c r="I1071">
        <f>IF(H1071="UNPAID", AsOfDate-D1071, 0)</f>
        <v/>
      </c>
      <c r="J1071">
        <f>IF(F1071&lt;&gt;"", TEXT(F1071, "yyyy-mm"), "")</f>
        <v/>
      </c>
    </row>
    <row r="1072">
      <c r="A1072" t="inlineStr">
        <is>
          <t>RP0001071</t>
        </is>
      </c>
      <c r="B1072" t="inlineStr">
        <is>
          <t>LN200157</t>
        </is>
      </c>
      <c r="C1072" t="n">
        <v>3</v>
      </c>
      <c r="D1072" s="8" t="n">
        <v>45751</v>
      </c>
      <c r="E1072" s="9" t="n">
        <v>7179.11</v>
      </c>
      <c r="F1072" s="8" t="n">
        <v>45754</v>
      </c>
      <c r="G1072" s="9" t="n">
        <v>7179.11</v>
      </c>
      <c r="H1072" t="inlineStr">
        <is>
          <t>PAID_ON_TIME</t>
        </is>
      </c>
      <c r="I1072">
        <f>IF(H1072="UNPAID", AsOfDate-D1072, 0)</f>
        <v/>
      </c>
      <c r="J1072">
        <f>IF(F1072&lt;&gt;"", TEXT(F1072, "yyyy-mm"), "")</f>
        <v/>
      </c>
    </row>
    <row r="1073">
      <c r="A1073" t="inlineStr">
        <is>
          <t>RP0001072</t>
        </is>
      </c>
      <c r="B1073" t="inlineStr">
        <is>
          <t>LN200157</t>
        </is>
      </c>
      <c r="C1073" t="n">
        <v>4</v>
      </c>
      <c r="D1073" s="8" t="n">
        <v>45781</v>
      </c>
      <c r="E1073" s="9" t="n">
        <v>7179.11</v>
      </c>
      <c r="F1073" s="8" t="n">
        <v>45872</v>
      </c>
      <c r="G1073" s="9" t="n">
        <v>7179.11</v>
      </c>
      <c r="H1073" t="inlineStr">
        <is>
          <t>PAID_LATE</t>
        </is>
      </c>
      <c r="I1073">
        <f>IF(H1073="UNPAID", AsOfDate-D1073, 0)</f>
        <v/>
      </c>
      <c r="J1073">
        <f>IF(F1073&lt;&gt;"", TEXT(F1073, "yyyy-mm"), "")</f>
        <v/>
      </c>
    </row>
    <row r="1074">
      <c r="A1074" t="inlineStr">
        <is>
          <t>RP0001073</t>
        </is>
      </c>
      <c r="B1074" t="inlineStr">
        <is>
          <t>LN200157</t>
        </is>
      </c>
      <c r="C1074" t="n">
        <v>5</v>
      </c>
      <c r="D1074" s="8" t="n">
        <v>45812</v>
      </c>
      <c r="E1074" s="9" t="n">
        <v>7179.11</v>
      </c>
      <c r="F1074" s="8" t="n">
        <v>45813</v>
      </c>
      <c r="G1074" s="9" t="n">
        <v>7179.11</v>
      </c>
      <c r="H1074" t="inlineStr">
        <is>
          <t>PAID_ON_TIME</t>
        </is>
      </c>
      <c r="I1074">
        <f>IF(H1074="UNPAID", AsOfDate-D1074, 0)</f>
        <v/>
      </c>
      <c r="J1074">
        <f>IF(F1074&lt;&gt;"", TEXT(F1074, "yyyy-mm"), "")</f>
        <v/>
      </c>
    </row>
    <row r="1075">
      <c r="A1075" t="inlineStr">
        <is>
          <t>RP0001074</t>
        </is>
      </c>
      <c r="B1075" t="inlineStr">
        <is>
          <t>LN200157</t>
        </is>
      </c>
      <c r="C1075" t="n">
        <v>6</v>
      </c>
      <c r="D1075" s="8" t="n">
        <v>45842</v>
      </c>
      <c r="E1075" s="9" t="n">
        <v>7179.11</v>
      </c>
      <c r="F1075" s="8" t="n">
        <v>45845</v>
      </c>
      <c r="G1075" s="9" t="n">
        <v>7179.11</v>
      </c>
      <c r="H1075" t="inlineStr">
        <is>
          <t>PAID_ON_TIME</t>
        </is>
      </c>
      <c r="I1075">
        <f>IF(H1075="UNPAID", AsOfDate-D1075, 0)</f>
        <v/>
      </c>
      <c r="J1075">
        <f>IF(F1075&lt;&gt;"", TEXT(F1075, "yyyy-mm"), "")</f>
        <v/>
      </c>
    </row>
    <row r="1076">
      <c r="A1076" t="inlineStr">
        <is>
          <t>RP0001075</t>
        </is>
      </c>
      <c r="B1076" t="inlineStr">
        <is>
          <t>LN200157</t>
        </is>
      </c>
      <c r="C1076" t="n">
        <v>7</v>
      </c>
      <c r="D1076" s="8" t="n">
        <v>45873</v>
      </c>
      <c r="E1076" s="9" t="n">
        <v>7179.11</v>
      </c>
      <c r="F1076" s="8" t="n">
        <v>45870</v>
      </c>
      <c r="G1076" s="9" t="n">
        <v>7179.11</v>
      </c>
      <c r="H1076" t="inlineStr">
        <is>
          <t>PAID_ON_TIME</t>
        </is>
      </c>
      <c r="I1076">
        <f>IF(H1076="UNPAID", AsOfDate-D1076, 0)</f>
        <v/>
      </c>
      <c r="J1076">
        <f>IF(F1076&lt;&gt;"", TEXT(F1076, "yyyy-mm"), "")</f>
        <v/>
      </c>
    </row>
    <row r="1077">
      <c r="A1077" t="inlineStr">
        <is>
          <t>RP0001076</t>
        </is>
      </c>
      <c r="B1077" t="inlineStr">
        <is>
          <t>LN200157</t>
        </is>
      </c>
      <c r="C1077" t="n">
        <v>8</v>
      </c>
      <c r="D1077" s="8" t="n">
        <v>45904</v>
      </c>
      <c r="E1077" s="9" t="n">
        <v>7179.11</v>
      </c>
      <c r="F1077" s="8" t="n">
        <v>45904</v>
      </c>
      <c r="G1077" s="9" t="n">
        <v>7179.11</v>
      </c>
      <c r="H1077" t="inlineStr">
        <is>
          <t>PAID_ON_TIME</t>
        </is>
      </c>
      <c r="I1077">
        <f>IF(H1077="UNPAID", AsOfDate-D1077, 0)</f>
        <v/>
      </c>
      <c r="J1077">
        <f>IF(F1077&lt;&gt;"", TEXT(F1077, "yyyy-mm"), "")</f>
        <v/>
      </c>
    </row>
    <row r="1078">
      <c r="A1078" t="inlineStr">
        <is>
          <t>RP0001077</t>
        </is>
      </c>
      <c r="B1078" t="inlineStr">
        <is>
          <t>LN200157</t>
        </is>
      </c>
      <c r="C1078" t="n">
        <v>9</v>
      </c>
      <c r="D1078" s="8" t="n">
        <v>45934</v>
      </c>
      <c r="E1078" s="9" t="n">
        <v>7179.11</v>
      </c>
      <c r="F1078" s="8" t="n">
        <v>45935</v>
      </c>
      <c r="G1078" s="9" t="n">
        <v>7179.11</v>
      </c>
      <c r="H1078" t="inlineStr">
        <is>
          <t>PAID_ON_TIME</t>
        </is>
      </c>
      <c r="I1078">
        <f>IF(H1078="UNPAID", AsOfDate-D1078, 0)</f>
        <v/>
      </c>
      <c r="J1078">
        <f>IF(F1078&lt;&gt;"", TEXT(F1078, "yyyy-mm"), "")</f>
        <v/>
      </c>
    </row>
    <row r="1079">
      <c r="A1079" t="inlineStr">
        <is>
          <t>RP0001078</t>
        </is>
      </c>
      <c r="B1079" t="inlineStr">
        <is>
          <t>LN200158</t>
        </is>
      </c>
      <c r="C1079" t="n">
        <v>1</v>
      </c>
      <c r="D1079" s="8" t="n">
        <v>45879</v>
      </c>
      <c r="E1079" s="9" t="n">
        <v>88384</v>
      </c>
      <c r="F1079" s="8" t="n">
        <v>45883</v>
      </c>
      <c r="G1079" s="9" t="n">
        <v>88384</v>
      </c>
      <c r="H1079" t="inlineStr">
        <is>
          <t>PAID_ON_TIME</t>
        </is>
      </c>
      <c r="I1079">
        <f>IF(H1079="UNPAID", AsOfDate-D1079, 0)</f>
        <v/>
      </c>
      <c r="J1079">
        <f>IF(F1079&lt;&gt;"", TEXT(F1079, "yyyy-mm"), "")</f>
        <v/>
      </c>
    </row>
    <row r="1080">
      <c r="A1080" t="inlineStr">
        <is>
          <t>RP0001079</t>
        </is>
      </c>
      <c r="B1080" t="inlineStr">
        <is>
          <t>LN200158</t>
        </is>
      </c>
      <c r="C1080" t="n">
        <v>2</v>
      </c>
      <c r="D1080" s="8" t="n">
        <v>45910</v>
      </c>
      <c r="E1080" s="9" t="n">
        <v>88384</v>
      </c>
      <c r="F1080" s="8" t="n">
        <v>45914</v>
      </c>
      <c r="G1080" s="9" t="n">
        <v>88384</v>
      </c>
      <c r="H1080" t="inlineStr">
        <is>
          <t>PAID_ON_TIME</t>
        </is>
      </c>
      <c r="I1080">
        <f>IF(H1080="UNPAID", AsOfDate-D1080, 0)</f>
        <v/>
      </c>
      <c r="J1080">
        <f>IF(F1080&lt;&gt;"", TEXT(F1080, "yyyy-mm"), "")</f>
        <v/>
      </c>
    </row>
    <row r="1081">
      <c r="A1081" t="inlineStr">
        <is>
          <t>RP0001080</t>
        </is>
      </c>
      <c r="B1081" t="inlineStr">
        <is>
          <t>LN200158</t>
        </is>
      </c>
      <c r="C1081" t="n">
        <v>3</v>
      </c>
      <c r="D1081" s="8" t="n">
        <v>45940</v>
      </c>
      <c r="E1081" s="9" t="n">
        <v>88384</v>
      </c>
      <c r="F1081" s="8" t="n">
        <v>45941</v>
      </c>
      <c r="G1081" s="9" t="n">
        <v>88384</v>
      </c>
      <c r="H1081" t="inlineStr">
        <is>
          <t>PAID_ON_TIME</t>
        </is>
      </c>
      <c r="I1081">
        <f>IF(H1081="UNPAID", AsOfDate-D1081, 0)</f>
        <v/>
      </c>
      <c r="J1081">
        <f>IF(F1081&lt;&gt;"", TEXT(F1081, "yyyy-mm"), "")</f>
        <v/>
      </c>
    </row>
    <row r="1082">
      <c r="A1082" t="inlineStr">
        <is>
          <t>RP0001081</t>
        </is>
      </c>
      <c r="B1082" t="inlineStr">
        <is>
          <t>LN200159</t>
        </is>
      </c>
      <c r="C1082" t="n">
        <v>1</v>
      </c>
      <c r="D1082" s="8" t="n">
        <v>46103</v>
      </c>
      <c r="E1082" s="9" t="n">
        <v>45889.25</v>
      </c>
      <c r="F1082" s="8" t="n">
        <v>46107</v>
      </c>
      <c r="G1082" s="9" t="n">
        <v>45889.25</v>
      </c>
      <c r="H1082" t="inlineStr">
        <is>
          <t>PAID_ON_TIME</t>
        </is>
      </c>
      <c r="I1082">
        <f>IF(H1082="UNPAID", AsOfDate-D1082, 0)</f>
        <v/>
      </c>
      <c r="J1082">
        <f>IF(F1082&lt;&gt;"", TEXT(F1082, "yyyy-mm"), "")</f>
        <v/>
      </c>
    </row>
    <row r="1083">
      <c r="A1083" t="inlineStr">
        <is>
          <t>RP0001082</t>
        </is>
      </c>
      <c r="B1083" t="inlineStr">
        <is>
          <t>LN200159</t>
        </is>
      </c>
      <c r="C1083" t="n">
        <v>2</v>
      </c>
      <c r="D1083" s="8" t="n">
        <v>46134</v>
      </c>
      <c r="E1083" s="9" t="n">
        <v>45889.25</v>
      </c>
      <c r="F1083" s="8" t="n">
        <v>46137</v>
      </c>
      <c r="G1083" s="9" t="n">
        <v>45889.25</v>
      </c>
      <c r="H1083" t="inlineStr">
        <is>
          <t>PAID_ON_TIME</t>
        </is>
      </c>
      <c r="I1083">
        <f>IF(H1083="UNPAID", AsOfDate-D1083, 0)</f>
        <v/>
      </c>
      <c r="J1083">
        <f>IF(F1083&lt;&gt;"", TEXT(F1083, "yyyy-mm"), "")</f>
        <v/>
      </c>
    </row>
    <row r="1084">
      <c r="A1084" t="inlineStr">
        <is>
          <t>RP0001083</t>
        </is>
      </c>
      <c r="B1084" t="inlineStr">
        <is>
          <t>LN200159</t>
        </is>
      </c>
      <c r="C1084" t="n">
        <v>3</v>
      </c>
      <c r="D1084" s="8" t="n">
        <v>46164</v>
      </c>
      <c r="E1084" s="9" t="n">
        <v>45889.25</v>
      </c>
      <c r="F1084" s="8" t="n">
        <v>46165</v>
      </c>
      <c r="G1084" s="9" t="n">
        <v>45889.25</v>
      </c>
      <c r="H1084" t="inlineStr">
        <is>
          <t>PAID_ON_TIME</t>
        </is>
      </c>
      <c r="I1084">
        <f>IF(H1084="UNPAID", AsOfDate-D1084, 0)</f>
        <v/>
      </c>
      <c r="J1084">
        <f>IF(F1084&lt;&gt;"", TEXT(F1084, "yyyy-mm"), "")</f>
        <v/>
      </c>
    </row>
    <row r="1085">
      <c r="A1085" t="inlineStr">
        <is>
          <t>RP0001084</t>
        </is>
      </c>
      <c r="B1085" t="inlineStr">
        <is>
          <t>LN200159</t>
        </is>
      </c>
      <c r="C1085" t="n">
        <v>4</v>
      </c>
      <c r="D1085" s="8" t="n">
        <v>46195</v>
      </c>
      <c r="E1085" s="9" t="n">
        <v>45889.25</v>
      </c>
      <c r="F1085" s="8" t="n">
        <v>46199</v>
      </c>
      <c r="G1085" s="9" t="n">
        <v>45889.25</v>
      </c>
      <c r="H1085" t="inlineStr">
        <is>
          <t>PAID_ON_TIME</t>
        </is>
      </c>
      <c r="I1085">
        <f>IF(H1085="UNPAID", AsOfDate-D1085, 0)</f>
        <v/>
      </c>
      <c r="J1085">
        <f>IF(F1085&lt;&gt;"", TEXT(F1085, "yyyy-mm"), "")</f>
        <v/>
      </c>
    </row>
    <row r="1086">
      <c r="A1086" t="inlineStr">
        <is>
          <t>RP0001085</t>
        </is>
      </c>
      <c r="B1086" t="inlineStr">
        <is>
          <t>LN200159</t>
        </is>
      </c>
      <c r="C1086" t="n">
        <v>5</v>
      </c>
      <c r="D1086" s="8" t="n">
        <v>46225</v>
      </c>
      <c r="E1086" s="9" t="n">
        <v>45889.25</v>
      </c>
      <c r="F1086" s="8" t="n">
        <v>46226</v>
      </c>
      <c r="G1086" s="9" t="n">
        <v>45889.25</v>
      </c>
      <c r="H1086" t="inlineStr">
        <is>
          <t>PAID_ON_TIME</t>
        </is>
      </c>
      <c r="I1086">
        <f>IF(H1086="UNPAID", AsOfDate-D1086, 0)</f>
        <v/>
      </c>
      <c r="J1086">
        <f>IF(F1086&lt;&gt;"", TEXT(F1086, "yyyy-mm"), "")</f>
        <v/>
      </c>
    </row>
    <row r="1087">
      <c r="A1087" t="inlineStr">
        <is>
          <t>RP0001086</t>
        </is>
      </c>
      <c r="B1087" t="inlineStr">
        <is>
          <t>LN200159</t>
        </is>
      </c>
      <c r="C1087" t="n">
        <v>6</v>
      </c>
      <c r="D1087" s="8" t="n">
        <v>46256</v>
      </c>
      <c r="E1087" s="9" t="n">
        <v>45889.25</v>
      </c>
      <c r="F1087" s="8" t="n">
        <v>46260</v>
      </c>
      <c r="G1087" s="9" t="n">
        <v>45889.25</v>
      </c>
      <c r="H1087" t="inlineStr">
        <is>
          <t>PAID_ON_TIME</t>
        </is>
      </c>
      <c r="I1087">
        <f>IF(H1087="UNPAID", AsOfDate-D1087, 0)</f>
        <v/>
      </c>
      <c r="J1087">
        <f>IF(F1087&lt;&gt;"", TEXT(F1087, "yyyy-mm"), "")</f>
        <v/>
      </c>
    </row>
    <row r="1088">
      <c r="A1088" t="inlineStr">
        <is>
          <t>RP0001087</t>
        </is>
      </c>
      <c r="B1088" t="inlineStr">
        <is>
          <t>LN200159</t>
        </is>
      </c>
      <c r="C1088" t="n">
        <v>7</v>
      </c>
      <c r="D1088" s="8" t="n">
        <v>46287</v>
      </c>
      <c r="E1088" s="9" t="n">
        <v>45889.25</v>
      </c>
      <c r="F1088" s="8" t="n"/>
      <c r="G1088" s="9" t="n">
        <v>0</v>
      </c>
      <c r="H1088" t="inlineStr">
        <is>
          <t>NOT_DUE</t>
        </is>
      </c>
      <c r="I1088">
        <f>IF(H1088="UNPAID", AsOfDate-D1088, 0)</f>
        <v/>
      </c>
      <c r="J1088">
        <f>IF(F1088&lt;&gt;"", TEXT(F1088, "yyyy-mm"), "")</f>
        <v/>
      </c>
    </row>
    <row r="1089">
      <c r="A1089" t="inlineStr">
        <is>
          <t>RP0001088</t>
        </is>
      </c>
      <c r="B1089" t="inlineStr">
        <is>
          <t>LN200159</t>
        </is>
      </c>
      <c r="C1089" t="n">
        <v>8</v>
      </c>
      <c r="D1089" s="8" t="n">
        <v>46317</v>
      </c>
      <c r="E1089" s="9" t="n">
        <v>45889.25</v>
      </c>
      <c r="F1089" s="8" t="n"/>
      <c r="G1089" s="9" t="n">
        <v>0</v>
      </c>
      <c r="H1089" t="inlineStr">
        <is>
          <t>NOT_DUE</t>
        </is>
      </c>
      <c r="I1089">
        <f>IF(H1089="UNPAID", AsOfDate-D1089, 0)</f>
        <v/>
      </c>
      <c r="J1089">
        <f>IF(F1089&lt;&gt;"", TEXT(F1089, "yyyy-mm"), "")</f>
        <v/>
      </c>
    </row>
    <row r="1090">
      <c r="A1090" t="inlineStr">
        <is>
          <t>RP0001089</t>
        </is>
      </c>
      <c r="B1090" t="inlineStr">
        <is>
          <t>LN200159</t>
        </is>
      </c>
      <c r="C1090" t="n">
        <v>9</v>
      </c>
      <c r="D1090" s="8" t="n">
        <v>46348</v>
      </c>
      <c r="E1090" s="9" t="n">
        <v>45889.25</v>
      </c>
      <c r="F1090" s="8" t="n"/>
      <c r="G1090" s="9" t="n">
        <v>0</v>
      </c>
      <c r="H1090" t="inlineStr">
        <is>
          <t>NOT_DUE</t>
        </is>
      </c>
      <c r="I1090">
        <f>IF(H1090="UNPAID", AsOfDate-D1090, 0)</f>
        <v/>
      </c>
      <c r="J1090">
        <f>IF(F1090&lt;&gt;"", TEXT(F1090, "yyyy-mm"), "")</f>
        <v/>
      </c>
    </row>
    <row r="1091">
      <c r="A1091" t="inlineStr">
        <is>
          <t>RP0001090</t>
        </is>
      </c>
      <c r="B1091" t="inlineStr">
        <is>
          <t>LN200161</t>
        </is>
      </c>
      <c r="C1091" t="n">
        <v>1</v>
      </c>
      <c r="D1091" s="8" t="n">
        <v>46109</v>
      </c>
      <c r="E1091" s="9" t="n">
        <v>22795.5</v>
      </c>
      <c r="F1091" s="8" t="n">
        <v>46145</v>
      </c>
      <c r="G1091" s="9" t="n">
        <v>22795.5</v>
      </c>
      <c r="H1091" t="inlineStr">
        <is>
          <t>PAID_LATE</t>
        </is>
      </c>
      <c r="I1091">
        <f>IF(H1091="UNPAID", AsOfDate-D1091, 0)</f>
        <v/>
      </c>
      <c r="J1091">
        <f>IF(F1091&lt;&gt;"", TEXT(F1091, "yyyy-mm"), "")</f>
        <v/>
      </c>
    </row>
    <row r="1092">
      <c r="A1092" t="inlineStr">
        <is>
          <t>RP0001091</t>
        </is>
      </c>
      <c r="B1092" t="inlineStr">
        <is>
          <t>LN200161</t>
        </is>
      </c>
      <c r="C1092" t="n">
        <v>2</v>
      </c>
      <c r="D1092" s="8" t="n">
        <v>46140</v>
      </c>
      <c r="E1092" s="9" t="n">
        <v>22795.5</v>
      </c>
      <c r="F1092" s="8" t="n">
        <v>46141</v>
      </c>
      <c r="G1092" s="9" t="n">
        <v>22795.5</v>
      </c>
      <c r="H1092" t="inlineStr">
        <is>
          <t>PAID_ON_TIME</t>
        </is>
      </c>
      <c r="I1092">
        <f>IF(H1092="UNPAID", AsOfDate-D1092, 0)</f>
        <v/>
      </c>
      <c r="J1092">
        <f>IF(F1092&lt;&gt;"", TEXT(F1092, "yyyy-mm"), "")</f>
        <v/>
      </c>
    </row>
    <row r="1093">
      <c r="A1093" t="inlineStr">
        <is>
          <t>RP0001092</t>
        </is>
      </c>
      <c r="B1093" t="inlineStr">
        <is>
          <t>LN200161</t>
        </is>
      </c>
      <c r="C1093" t="n">
        <v>3</v>
      </c>
      <c r="D1093" s="8" t="n">
        <v>46170</v>
      </c>
      <c r="E1093" s="9" t="n">
        <v>22795.5</v>
      </c>
      <c r="F1093" s="8" t="n">
        <v>46171</v>
      </c>
      <c r="G1093" s="9" t="n">
        <v>22795.5</v>
      </c>
      <c r="H1093" t="inlineStr">
        <is>
          <t>PAID_ON_TIME</t>
        </is>
      </c>
      <c r="I1093">
        <f>IF(H1093="UNPAID", AsOfDate-D1093, 0)</f>
        <v/>
      </c>
      <c r="J1093">
        <f>IF(F1093&lt;&gt;"", TEXT(F1093, "yyyy-mm"), "")</f>
        <v/>
      </c>
    </row>
    <row r="1094">
      <c r="A1094" t="inlineStr">
        <is>
          <t>RP0001093</t>
        </is>
      </c>
      <c r="B1094" t="inlineStr">
        <is>
          <t>LN200161</t>
        </is>
      </c>
      <c r="C1094" t="n">
        <v>4</v>
      </c>
      <c r="D1094" s="8" t="n">
        <v>46201</v>
      </c>
      <c r="E1094" s="9" t="n">
        <v>22795.5</v>
      </c>
      <c r="F1094" s="8" t="n">
        <v>46200</v>
      </c>
      <c r="G1094" s="9" t="n">
        <v>22795.5</v>
      </c>
      <c r="H1094" t="inlineStr">
        <is>
          <t>PAID_ON_TIME</t>
        </is>
      </c>
      <c r="I1094">
        <f>IF(H1094="UNPAID", AsOfDate-D1094, 0)</f>
        <v/>
      </c>
      <c r="J1094">
        <f>IF(F1094&lt;&gt;"", TEXT(F1094, "yyyy-mm"), "")</f>
        <v/>
      </c>
    </row>
    <row r="1095">
      <c r="A1095" t="inlineStr">
        <is>
          <t>RP0001094</t>
        </is>
      </c>
      <c r="B1095" t="inlineStr">
        <is>
          <t>LN200161</t>
        </is>
      </c>
      <c r="C1095" t="n">
        <v>5</v>
      </c>
      <c r="D1095" s="8" t="n">
        <v>46231</v>
      </c>
      <c r="E1095" s="9" t="n">
        <v>22795.5</v>
      </c>
      <c r="F1095" s="8" t="n">
        <v>46245</v>
      </c>
      <c r="G1095" s="9" t="n">
        <v>22795.5</v>
      </c>
      <c r="H1095" t="inlineStr">
        <is>
          <t>PAID_LATE</t>
        </is>
      </c>
      <c r="I1095">
        <f>IF(H1095="UNPAID", AsOfDate-D1095, 0)</f>
        <v/>
      </c>
      <c r="J1095">
        <f>IF(F1095&lt;&gt;"", TEXT(F1095, "yyyy-mm"), "")</f>
        <v/>
      </c>
    </row>
    <row r="1096">
      <c r="A1096" t="inlineStr">
        <is>
          <t>RP0001095</t>
        </is>
      </c>
      <c r="B1096" t="inlineStr">
        <is>
          <t>LN200161</t>
        </is>
      </c>
      <c r="C1096" t="n">
        <v>6</v>
      </c>
      <c r="D1096" s="8" t="n">
        <v>46262</v>
      </c>
      <c r="E1096" s="9" t="n">
        <v>22795.5</v>
      </c>
      <c r="F1096" s="8" t="n"/>
      <c r="G1096" s="9" t="n">
        <v>0</v>
      </c>
      <c r="H1096" t="inlineStr">
        <is>
          <t>UNPAID</t>
        </is>
      </c>
      <c r="I1096">
        <f>IF(H1096="UNPAID", AsOfDate-D1096, 0)</f>
        <v/>
      </c>
      <c r="J1096">
        <f>IF(F1096&lt;&gt;"", TEXT(F1096, "yyyy-mm"), "")</f>
        <v/>
      </c>
    </row>
    <row r="1097">
      <c r="A1097" t="inlineStr">
        <is>
          <t>RP0001096</t>
        </is>
      </c>
      <c r="B1097" t="inlineStr">
        <is>
          <t>LN200162</t>
        </is>
      </c>
      <c r="C1097" t="n">
        <v>1</v>
      </c>
      <c r="D1097" s="8" t="n">
        <v>46227</v>
      </c>
      <c r="E1097" s="9" t="n">
        <v>15366</v>
      </c>
      <c r="F1097" s="8" t="n">
        <v>46225</v>
      </c>
      <c r="G1097" s="9" t="n">
        <v>15366</v>
      </c>
      <c r="H1097" t="inlineStr">
        <is>
          <t>PAID_ON_TIME</t>
        </is>
      </c>
      <c r="I1097">
        <f>IF(H1097="UNPAID", AsOfDate-D1097, 0)</f>
        <v/>
      </c>
      <c r="J1097">
        <f>IF(F1097&lt;&gt;"", TEXT(F1097, "yyyy-mm"), "")</f>
        <v/>
      </c>
    </row>
    <row r="1098">
      <c r="A1098" t="inlineStr">
        <is>
          <t>RP0001097</t>
        </is>
      </c>
      <c r="B1098" t="inlineStr">
        <is>
          <t>LN200162</t>
        </is>
      </c>
      <c r="C1098" t="n">
        <v>2</v>
      </c>
      <c r="D1098" s="8" t="n">
        <v>46258</v>
      </c>
      <c r="E1098" s="9" t="n">
        <v>15366</v>
      </c>
      <c r="F1098" s="8" t="n"/>
      <c r="G1098" s="9" t="n">
        <v>0</v>
      </c>
      <c r="H1098" t="inlineStr">
        <is>
          <t>UNPAID</t>
        </is>
      </c>
      <c r="I1098">
        <f>IF(H1098="UNPAID", AsOfDate-D1098, 0)</f>
        <v/>
      </c>
      <c r="J1098">
        <f>IF(F1098&lt;&gt;"", TEXT(F1098, "yyyy-mm"), "")</f>
        <v/>
      </c>
    </row>
    <row r="1099">
      <c r="A1099" t="inlineStr">
        <is>
          <t>RP0001098</t>
        </is>
      </c>
      <c r="B1099" t="inlineStr">
        <is>
          <t>LN200162</t>
        </is>
      </c>
      <c r="C1099" t="n">
        <v>3</v>
      </c>
      <c r="D1099" s="8" t="n">
        <v>46289</v>
      </c>
      <c r="E1099" s="9" t="n">
        <v>15366</v>
      </c>
      <c r="F1099" s="8" t="n"/>
      <c r="G1099" s="9" t="n">
        <v>0</v>
      </c>
      <c r="H1099" t="inlineStr">
        <is>
          <t>NOT_DUE</t>
        </is>
      </c>
      <c r="I1099">
        <f>IF(H1099="UNPAID", AsOfDate-D1099, 0)</f>
        <v/>
      </c>
      <c r="J1099">
        <f>IF(F1099&lt;&gt;"", TEXT(F1099, "yyyy-mm"), "")</f>
        <v/>
      </c>
    </row>
    <row r="1100">
      <c r="A1100" t="inlineStr">
        <is>
          <t>RP0001099</t>
        </is>
      </c>
      <c r="B1100" t="inlineStr">
        <is>
          <t>LN200162</t>
        </is>
      </c>
      <c r="C1100" t="n">
        <v>4</v>
      </c>
      <c r="D1100" s="8" t="n">
        <v>46319</v>
      </c>
      <c r="E1100" s="9" t="n">
        <v>15366</v>
      </c>
      <c r="F1100" s="8" t="n"/>
      <c r="G1100" s="9" t="n">
        <v>0</v>
      </c>
      <c r="H1100" t="inlineStr">
        <is>
          <t>NOT_DUE</t>
        </is>
      </c>
      <c r="I1100">
        <f>IF(H1100="UNPAID", AsOfDate-D1100, 0)</f>
        <v/>
      </c>
      <c r="J1100">
        <f>IF(F1100&lt;&gt;"", TEXT(F1100, "yyyy-mm"), "")</f>
        <v/>
      </c>
    </row>
    <row r="1101">
      <c r="A1101" t="inlineStr">
        <is>
          <t>RP0001100</t>
        </is>
      </c>
      <c r="B1101" t="inlineStr">
        <is>
          <t>LN200162</t>
        </is>
      </c>
      <c r="C1101" t="n">
        <v>5</v>
      </c>
      <c r="D1101" s="8" t="n">
        <v>46350</v>
      </c>
      <c r="E1101" s="9" t="n">
        <v>15366</v>
      </c>
      <c r="F1101" s="8" t="n"/>
      <c r="G1101" s="9" t="n">
        <v>0</v>
      </c>
      <c r="H1101" t="inlineStr">
        <is>
          <t>NOT_DUE</t>
        </is>
      </c>
      <c r="I1101">
        <f>IF(H1101="UNPAID", AsOfDate-D1101, 0)</f>
        <v/>
      </c>
      <c r="J1101">
        <f>IF(F1101&lt;&gt;"", TEXT(F1101, "yyyy-mm"), "")</f>
        <v/>
      </c>
    </row>
    <row r="1102">
      <c r="A1102" t="inlineStr">
        <is>
          <t>RP0001101</t>
        </is>
      </c>
      <c r="B1102" t="inlineStr">
        <is>
          <t>LN200162</t>
        </is>
      </c>
      <c r="C1102" t="n">
        <v>6</v>
      </c>
      <c r="D1102" s="8" t="n">
        <v>46380</v>
      </c>
      <c r="E1102" s="9" t="n">
        <v>15366</v>
      </c>
      <c r="F1102" s="8" t="n"/>
      <c r="G1102" s="9" t="n">
        <v>0</v>
      </c>
      <c r="H1102" t="inlineStr">
        <is>
          <t>NOT_DUE</t>
        </is>
      </c>
      <c r="I1102">
        <f>IF(H1102="UNPAID", AsOfDate-D1102, 0)</f>
        <v/>
      </c>
      <c r="J1102">
        <f>IF(F1102&lt;&gt;"", TEXT(F1102, "yyyy-mm"), "")</f>
        <v/>
      </c>
    </row>
    <row r="1103">
      <c r="A1103" t="inlineStr">
        <is>
          <t>RP0001102</t>
        </is>
      </c>
      <c r="B1103" t="inlineStr">
        <is>
          <t>LN200162</t>
        </is>
      </c>
      <c r="C1103" t="n">
        <v>7</v>
      </c>
      <c r="D1103" s="8" t="n">
        <v>46411</v>
      </c>
      <c r="E1103" s="9" t="n">
        <v>15366</v>
      </c>
      <c r="F1103" s="8" t="n"/>
      <c r="G1103" s="9" t="n">
        <v>0</v>
      </c>
      <c r="H1103" t="inlineStr">
        <is>
          <t>NOT_DUE</t>
        </is>
      </c>
      <c r="I1103">
        <f>IF(H1103="UNPAID", AsOfDate-D1103, 0)</f>
        <v/>
      </c>
      <c r="J1103">
        <f>IF(F1103&lt;&gt;"", TEXT(F1103, "yyyy-mm"), "")</f>
        <v/>
      </c>
    </row>
    <row r="1104">
      <c r="A1104" t="inlineStr">
        <is>
          <t>RP0001103</t>
        </is>
      </c>
      <c r="B1104" t="inlineStr">
        <is>
          <t>LN200162</t>
        </is>
      </c>
      <c r="C1104" t="n">
        <v>8</v>
      </c>
      <c r="D1104" s="8" t="n">
        <v>46442</v>
      </c>
      <c r="E1104" s="9" t="n">
        <v>15366</v>
      </c>
      <c r="F1104" s="8" t="n"/>
      <c r="G1104" s="9" t="n">
        <v>0</v>
      </c>
      <c r="H1104" t="inlineStr">
        <is>
          <t>NOT_DUE</t>
        </is>
      </c>
      <c r="I1104">
        <f>IF(H1104="UNPAID", AsOfDate-D1104, 0)</f>
        <v/>
      </c>
      <c r="J1104">
        <f>IF(F1104&lt;&gt;"", TEXT(F1104, "yyyy-mm"), "")</f>
        <v/>
      </c>
    </row>
    <row r="1105">
      <c r="A1105" t="inlineStr">
        <is>
          <t>RP0001104</t>
        </is>
      </c>
      <c r="B1105" t="inlineStr">
        <is>
          <t>LN200162</t>
        </is>
      </c>
      <c r="C1105" t="n">
        <v>9</v>
      </c>
      <c r="D1105" s="8" t="n">
        <v>46470</v>
      </c>
      <c r="E1105" s="9" t="n">
        <v>15366</v>
      </c>
      <c r="F1105" s="8" t="n"/>
      <c r="G1105" s="9" t="n">
        <v>0</v>
      </c>
      <c r="H1105" t="inlineStr">
        <is>
          <t>NOT_DUE</t>
        </is>
      </c>
      <c r="I1105">
        <f>IF(H1105="UNPAID", AsOfDate-D1105, 0)</f>
        <v/>
      </c>
      <c r="J1105">
        <f>IF(F1105&lt;&gt;"", TEXT(F1105, "yyyy-mm"), "")</f>
        <v/>
      </c>
    </row>
    <row r="1106">
      <c r="A1106" t="inlineStr">
        <is>
          <t>RP0001105</t>
        </is>
      </c>
      <c r="B1106" t="inlineStr">
        <is>
          <t>LN200162</t>
        </is>
      </c>
      <c r="C1106" t="n">
        <v>10</v>
      </c>
      <c r="D1106" s="8" t="n">
        <v>46501</v>
      </c>
      <c r="E1106" s="9" t="n">
        <v>15366</v>
      </c>
      <c r="F1106" s="8" t="n"/>
      <c r="G1106" s="9" t="n">
        <v>0</v>
      </c>
      <c r="H1106" t="inlineStr">
        <is>
          <t>NOT_DUE</t>
        </is>
      </c>
      <c r="I1106">
        <f>IF(H1106="UNPAID", AsOfDate-D1106, 0)</f>
        <v/>
      </c>
      <c r="J1106">
        <f>IF(F1106&lt;&gt;"", TEXT(F1106, "yyyy-mm"), "")</f>
        <v/>
      </c>
    </row>
    <row r="1107">
      <c r="A1107" t="inlineStr">
        <is>
          <t>RP0001106</t>
        </is>
      </c>
      <c r="B1107" t="inlineStr">
        <is>
          <t>LN200162</t>
        </is>
      </c>
      <c r="C1107" t="n">
        <v>11</v>
      </c>
      <c r="D1107" s="8" t="n">
        <v>46531</v>
      </c>
      <c r="E1107" s="9" t="n">
        <v>15366</v>
      </c>
      <c r="F1107" s="8" t="n"/>
      <c r="G1107" s="9" t="n">
        <v>0</v>
      </c>
      <c r="H1107" t="inlineStr">
        <is>
          <t>NOT_DUE</t>
        </is>
      </c>
      <c r="I1107">
        <f>IF(H1107="UNPAID", AsOfDate-D1107, 0)</f>
        <v/>
      </c>
      <c r="J1107">
        <f>IF(F1107&lt;&gt;"", TEXT(F1107, "yyyy-mm"), "")</f>
        <v/>
      </c>
    </row>
    <row r="1108">
      <c r="A1108" t="inlineStr">
        <is>
          <t>RP0001107</t>
        </is>
      </c>
      <c r="B1108" t="inlineStr">
        <is>
          <t>LN200162</t>
        </is>
      </c>
      <c r="C1108" t="n">
        <v>12</v>
      </c>
      <c r="D1108" s="8" t="n">
        <v>46562</v>
      </c>
      <c r="E1108" s="9" t="n">
        <v>15366</v>
      </c>
      <c r="F1108" s="8" t="n"/>
      <c r="G1108" s="9" t="n">
        <v>0</v>
      </c>
      <c r="H1108" t="inlineStr">
        <is>
          <t>NOT_DUE</t>
        </is>
      </c>
      <c r="I1108">
        <f>IF(H1108="UNPAID", AsOfDate-D1108, 0)</f>
        <v/>
      </c>
      <c r="J1108">
        <f>IF(F1108&lt;&gt;"", TEXT(F1108, "yyyy-mm"), "")</f>
        <v/>
      </c>
    </row>
    <row r="1109">
      <c r="A1109" t="inlineStr">
        <is>
          <t>RP0001108</t>
        </is>
      </c>
      <c r="B1109" t="inlineStr">
        <is>
          <t>LN200162</t>
        </is>
      </c>
      <c r="C1109" t="n">
        <v>13</v>
      </c>
      <c r="D1109" s="8" t="n">
        <v>46592</v>
      </c>
      <c r="E1109" s="9" t="n">
        <v>15366</v>
      </c>
      <c r="F1109" s="8" t="n"/>
      <c r="G1109" s="9" t="n">
        <v>0</v>
      </c>
      <c r="H1109" t="inlineStr">
        <is>
          <t>NOT_DUE</t>
        </is>
      </c>
      <c r="I1109">
        <f>IF(H1109="UNPAID", AsOfDate-D1109, 0)</f>
        <v/>
      </c>
      <c r="J1109">
        <f>IF(F1109&lt;&gt;"", TEXT(F1109, "yyyy-mm"), "")</f>
        <v/>
      </c>
    </row>
    <row r="1110">
      <c r="A1110" t="inlineStr">
        <is>
          <t>RP0001109</t>
        </is>
      </c>
      <c r="B1110" t="inlineStr">
        <is>
          <t>LN200162</t>
        </is>
      </c>
      <c r="C1110" t="n">
        <v>14</v>
      </c>
      <c r="D1110" s="8" t="n">
        <v>46623</v>
      </c>
      <c r="E1110" s="9" t="n">
        <v>15366</v>
      </c>
      <c r="F1110" s="8" t="n"/>
      <c r="G1110" s="9" t="n">
        <v>0</v>
      </c>
      <c r="H1110" t="inlineStr">
        <is>
          <t>NOT_DUE</t>
        </is>
      </c>
      <c r="I1110">
        <f>IF(H1110="UNPAID", AsOfDate-D1110, 0)</f>
        <v/>
      </c>
      <c r="J1110">
        <f>IF(F1110&lt;&gt;"", TEXT(F1110, "yyyy-mm"), "")</f>
        <v/>
      </c>
    </row>
    <row r="1111">
      <c r="A1111" t="inlineStr">
        <is>
          <t>RP0001110</t>
        </is>
      </c>
      <c r="B1111" t="inlineStr">
        <is>
          <t>LN200162</t>
        </is>
      </c>
      <c r="C1111" t="n">
        <v>15</v>
      </c>
      <c r="D1111" s="8" t="n">
        <v>46654</v>
      </c>
      <c r="E1111" s="9" t="n">
        <v>15366</v>
      </c>
      <c r="F1111" s="8" t="n"/>
      <c r="G1111" s="9" t="n">
        <v>0</v>
      </c>
      <c r="H1111" t="inlineStr">
        <is>
          <t>NOT_DUE</t>
        </is>
      </c>
      <c r="I1111">
        <f>IF(H1111="UNPAID", AsOfDate-D1111, 0)</f>
        <v/>
      </c>
      <c r="J1111">
        <f>IF(F1111&lt;&gt;"", TEXT(F1111, "yyyy-mm"), "")</f>
        <v/>
      </c>
    </row>
    <row r="1112">
      <c r="A1112" t="inlineStr">
        <is>
          <t>RP0001111</t>
        </is>
      </c>
      <c r="B1112" t="inlineStr">
        <is>
          <t>LN200162</t>
        </is>
      </c>
      <c r="C1112" t="n">
        <v>16</v>
      </c>
      <c r="D1112" s="8" t="n">
        <v>46684</v>
      </c>
      <c r="E1112" s="9" t="n">
        <v>15366</v>
      </c>
      <c r="F1112" s="8" t="n"/>
      <c r="G1112" s="9" t="n">
        <v>0</v>
      </c>
      <c r="H1112" t="inlineStr">
        <is>
          <t>NOT_DUE</t>
        </is>
      </c>
      <c r="I1112">
        <f>IF(H1112="UNPAID", AsOfDate-D1112, 0)</f>
        <v/>
      </c>
      <c r="J1112">
        <f>IF(F1112&lt;&gt;"", TEXT(F1112, "yyyy-mm"), "")</f>
        <v/>
      </c>
    </row>
    <row r="1113">
      <c r="A1113" t="inlineStr">
        <is>
          <t>RP0001112</t>
        </is>
      </c>
      <c r="B1113" t="inlineStr">
        <is>
          <t>LN200162</t>
        </is>
      </c>
      <c r="C1113" t="n">
        <v>17</v>
      </c>
      <c r="D1113" s="8" t="n">
        <v>46715</v>
      </c>
      <c r="E1113" s="9" t="n">
        <v>15366</v>
      </c>
      <c r="F1113" s="8" t="n"/>
      <c r="G1113" s="9" t="n">
        <v>0</v>
      </c>
      <c r="H1113" t="inlineStr">
        <is>
          <t>NOT_DUE</t>
        </is>
      </c>
      <c r="I1113">
        <f>IF(H1113="UNPAID", AsOfDate-D1113, 0)</f>
        <v/>
      </c>
      <c r="J1113">
        <f>IF(F1113&lt;&gt;"", TEXT(F1113, "yyyy-mm"), "")</f>
        <v/>
      </c>
    </row>
    <row r="1114">
      <c r="A1114" t="inlineStr">
        <is>
          <t>RP0001113</t>
        </is>
      </c>
      <c r="B1114" t="inlineStr">
        <is>
          <t>LN200162</t>
        </is>
      </c>
      <c r="C1114" t="n">
        <v>18</v>
      </c>
      <c r="D1114" s="8" t="n">
        <v>46745</v>
      </c>
      <c r="E1114" s="9" t="n">
        <v>15366</v>
      </c>
      <c r="F1114" s="8" t="n"/>
      <c r="G1114" s="9" t="n">
        <v>0</v>
      </c>
      <c r="H1114" t="inlineStr">
        <is>
          <t>NOT_DUE</t>
        </is>
      </c>
      <c r="I1114">
        <f>IF(H1114="UNPAID", AsOfDate-D1114, 0)</f>
        <v/>
      </c>
      <c r="J1114">
        <f>IF(F1114&lt;&gt;"", TEXT(F1114, "yyyy-mm"), "")</f>
        <v/>
      </c>
    </row>
    <row r="1115">
      <c r="A1115" t="inlineStr">
        <is>
          <t>RP0001114</t>
        </is>
      </c>
      <c r="B1115" t="inlineStr">
        <is>
          <t>LN200163</t>
        </is>
      </c>
      <c r="C1115" t="n">
        <v>1</v>
      </c>
      <c r="D1115" s="8" t="n">
        <v>45849</v>
      </c>
      <c r="E1115" s="9" t="n">
        <v>12452.78</v>
      </c>
      <c r="F1115" s="8" t="n">
        <v>45848</v>
      </c>
      <c r="G1115" s="9" t="n">
        <v>12452.78</v>
      </c>
      <c r="H1115" t="inlineStr">
        <is>
          <t>PAID_ON_TIME</t>
        </is>
      </c>
      <c r="I1115">
        <f>IF(H1115="UNPAID", AsOfDate-D1115, 0)</f>
        <v/>
      </c>
      <c r="J1115">
        <f>IF(F1115&lt;&gt;"", TEXT(F1115, "yyyy-mm"), "")</f>
        <v/>
      </c>
    </row>
    <row r="1116">
      <c r="A1116" t="inlineStr">
        <is>
          <t>RP0001115</t>
        </is>
      </c>
      <c r="B1116" t="inlineStr">
        <is>
          <t>LN200163</t>
        </is>
      </c>
      <c r="C1116" t="n">
        <v>2</v>
      </c>
      <c r="D1116" s="8" t="n">
        <v>45880</v>
      </c>
      <c r="E1116" s="9" t="n">
        <v>12452.78</v>
      </c>
      <c r="F1116" s="8" t="n">
        <v>45880</v>
      </c>
      <c r="G1116" s="9" t="n">
        <v>12452.78</v>
      </c>
      <c r="H1116" t="inlineStr">
        <is>
          <t>PAID_ON_TIME</t>
        </is>
      </c>
      <c r="I1116">
        <f>IF(H1116="UNPAID", AsOfDate-D1116, 0)</f>
        <v/>
      </c>
      <c r="J1116">
        <f>IF(F1116&lt;&gt;"", TEXT(F1116, "yyyy-mm"), "")</f>
        <v/>
      </c>
    </row>
    <row r="1117">
      <c r="A1117" t="inlineStr">
        <is>
          <t>RP0001116</t>
        </is>
      </c>
      <c r="B1117" t="inlineStr">
        <is>
          <t>LN200163</t>
        </is>
      </c>
      <c r="C1117" t="n">
        <v>3</v>
      </c>
      <c r="D1117" s="8" t="n">
        <v>45911</v>
      </c>
      <c r="E1117" s="9" t="n">
        <v>12452.78</v>
      </c>
      <c r="F1117" s="8" t="n"/>
      <c r="G1117" s="9" t="n">
        <v>0</v>
      </c>
      <c r="H1117" t="inlineStr">
        <is>
          <t>UNPAID</t>
        </is>
      </c>
      <c r="I1117">
        <f>IF(H1117="UNPAID", AsOfDate-D1117, 0)</f>
        <v/>
      </c>
      <c r="J1117">
        <f>IF(F1117&lt;&gt;"", TEXT(F1117, "yyyy-mm"), "")</f>
        <v/>
      </c>
    </row>
    <row r="1118">
      <c r="A1118" t="inlineStr">
        <is>
          <t>RP0001117</t>
        </is>
      </c>
      <c r="B1118" t="inlineStr">
        <is>
          <t>LN200163</t>
        </is>
      </c>
      <c r="C1118" t="n">
        <v>4</v>
      </c>
      <c r="D1118" s="8" t="n">
        <v>45941</v>
      </c>
      <c r="E1118" s="9" t="n">
        <v>12452.78</v>
      </c>
      <c r="F1118" s="8" t="n">
        <v>45939</v>
      </c>
      <c r="G1118" s="9" t="n">
        <v>12452.78</v>
      </c>
      <c r="H1118" t="inlineStr">
        <is>
          <t>PAID_ON_TIME</t>
        </is>
      </c>
      <c r="I1118">
        <f>IF(H1118="UNPAID", AsOfDate-D1118, 0)</f>
        <v/>
      </c>
      <c r="J1118">
        <f>IF(F1118&lt;&gt;"", TEXT(F1118, "yyyy-mm"), "")</f>
        <v/>
      </c>
    </row>
    <row r="1119">
      <c r="A1119" t="inlineStr">
        <is>
          <t>RP0001118</t>
        </is>
      </c>
      <c r="B1119" t="inlineStr">
        <is>
          <t>LN200163</t>
        </is>
      </c>
      <c r="C1119" t="n">
        <v>5</v>
      </c>
      <c r="D1119" s="8" t="n">
        <v>45972</v>
      </c>
      <c r="E1119" s="9" t="n">
        <v>12452.78</v>
      </c>
      <c r="F1119" s="8" t="n">
        <v>45969</v>
      </c>
      <c r="G1119" s="9" t="n">
        <v>12452.78</v>
      </c>
      <c r="H1119" t="inlineStr">
        <is>
          <t>PAID_ON_TIME</t>
        </is>
      </c>
      <c r="I1119">
        <f>IF(H1119="UNPAID", AsOfDate-D1119, 0)</f>
        <v/>
      </c>
      <c r="J1119">
        <f>IF(F1119&lt;&gt;"", TEXT(F1119, "yyyy-mm"), "")</f>
        <v/>
      </c>
    </row>
    <row r="1120">
      <c r="A1120" t="inlineStr">
        <is>
          <t>RP0001119</t>
        </is>
      </c>
      <c r="B1120" t="inlineStr">
        <is>
          <t>LN200163</t>
        </is>
      </c>
      <c r="C1120" t="n">
        <v>6</v>
      </c>
      <c r="D1120" s="8" t="n">
        <v>46002</v>
      </c>
      <c r="E1120" s="9" t="n">
        <v>12452.78</v>
      </c>
      <c r="F1120" s="8" t="n">
        <v>46000</v>
      </c>
      <c r="G1120" s="9" t="n">
        <v>12452.78</v>
      </c>
      <c r="H1120" t="inlineStr">
        <is>
          <t>PAID_ON_TIME</t>
        </is>
      </c>
      <c r="I1120">
        <f>IF(H1120="UNPAID", AsOfDate-D1120, 0)</f>
        <v/>
      </c>
      <c r="J1120">
        <f>IF(F1120&lt;&gt;"", TEXT(F1120, "yyyy-mm"), "")</f>
        <v/>
      </c>
    </row>
    <row r="1121">
      <c r="A1121" t="inlineStr">
        <is>
          <t>RP0001120</t>
        </is>
      </c>
      <c r="B1121" t="inlineStr">
        <is>
          <t>LN200163</t>
        </is>
      </c>
      <c r="C1121" t="n">
        <v>7</v>
      </c>
      <c r="D1121" s="8" t="n">
        <v>46033</v>
      </c>
      <c r="E1121" s="9" t="n">
        <v>12452.78</v>
      </c>
      <c r="F1121" s="8" t="n">
        <v>46032</v>
      </c>
      <c r="G1121" s="9" t="n">
        <v>12452.78</v>
      </c>
      <c r="H1121" t="inlineStr">
        <is>
          <t>PAID_ON_TIME</t>
        </is>
      </c>
      <c r="I1121">
        <f>IF(H1121="UNPAID", AsOfDate-D1121, 0)</f>
        <v/>
      </c>
      <c r="J1121">
        <f>IF(F1121&lt;&gt;"", TEXT(F1121, "yyyy-mm"), "")</f>
        <v/>
      </c>
    </row>
    <row r="1122">
      <c r="A1122" t="inlineStr">
        <is>
          <t>RP0001121</t>
        </is>
      </c>
      <c r="B1122" t="inlineStr">
        <is>
          <t>LN200163</t>
        </is>
      </c>
      <c r="C1122" t="n">
        <v>8</v>
      </c>
      <c r="D1122" s="8" t="n">
        <v>46064</v>
      </c>
      <c r="E1122" s="9" t="n">
        <v>12452.78</v>
      </c>
      <c r="F1122" s="8" t="n">
        <v>46065</v>
      </c>
      <c r="G1122" s="9" t="n">
        <v>12452.78</v>
      </c>
      <c r="H1122" t="inlineStr">
        <is>
          <t>PAID_ON_TIME</t>
        </is>
      </c>
      <c r="I1122">
        <f>IF(H1122="UNPAID", AsOfDate-D1122, 0)</f>
        <v/>
      </c>
      <c r="J1122">
        <f>IF(F1122&lt;&gt;"", TEXT(F1122, "yyyy-mm"), "")</f>
        <v/>
      </c>
    </row>
    <row r="1123">
      <c r="A1123" t="inlineStr">
        <is>
          <t>RP0001122</t>
        </is>
      </c>
      <c r="B1123" t="inlineStr">
        <is>
          <t>LN200163</t>
        </is>
      </c>
      <c r="C1123" t="n">
        <v>9</v>
      </c>
      <c r="D1123" s="8" t="n">
        <v>46092</v>
      </c>
      <c r="E1123" s="9" t="n">
        <v>12452.78</v>
      </c>
      <c r="F1123" s="8" t="n">
        <v>46121</v>
      </c>
      <c r="G1123" s="9" t="n">
        <v>12452.78</v>
      </c>
      <c r="H1123" t="inlineStr">
        <is>
          <t>PAID_LATE</t>
        </is>
      </c>
      <c r="I1123">
        <f>IF(H1123="UNPAID", AsOfDate-D1123, 0)</f>
        <v/>
      </c>
      <c r="J1123">
        <f>IF(F1123&lt;&gt;"", TEXT(F1123, "yyyy-mm"), "")</f>
        <v/>
      </c>
    </row>
    <row r="1124">
      <c r="A1124" t="inlineStr">
        <is>
          <t>RP0001123</t>
        </is>
      </c>
      <c r="B1124" t="inlineStr">
        <is>
          <t>LN200164</t>
        </is>
      </c>
      <c r="C1124" t="n">
        <v>1</v>
      </c>
      <c r="D1124" s="8" t="n">
        <v>45917</v>
      </c>
      <c r="E1124" s="9" t="n">
        <v>3731.67</v>
      </c>
      <c r="F1124" s="8" t="n">
        <v>45918</v>
      </c>
      <c r="G1124" s="9" t="n">
        <v>3731.67</v>
      </c>
      <c r="H1124" t="inlineStr">
        <is>
          <t>PAID_ON_TIME</t>
        </is>
      </c>
      <c r="I1124">
        <f>IF(H1124="UNPAID", AsOfDate-D1124, 0)</f>
        <v/>
      </c>
      <c r="J1124">
        <f>IF(F1124&lt;&gt;"", TEXT(F1124, "yyyy-mm"), "")</f>
        <v/>
      </c>
    </row>
    <row r="1125">
      <c r="A1125" t="inlineStr">
        <is>
          <t>RP0001124</t>
        </is>
      </c>
      <c r="B1125" t="inlineStr">
        <is>
          <t>LN200164</t>
        </is>
      </c>
      <c r="C1125" t="n">
        <v>2</v>
      </c>
      <c r="D1125" s="8" t="n">
        <v>45947</v>
      </c>
      <c r="E1125" s="9" t="n">
        <v>3731.67</v>
      </c>
      <c r="F1125" s="8" t="n">
        <v>45944</v>
      </c>
      <c r="G1125" s="9" t="n">
        <v>3731.67</v>
      </c>
      <c r="H1125" t="inlineStr">
        <is>
          <t>PAID_ON_TIME</t>
        </is>
      </c>
      <c r="I1125">
        <f>IF(H1125="UNPAID", AsOfDate-D1125, 0)</f>
        <v/>
      </c>
      <c r="J1125">
        <f>IF(F1125&lt;&gt;"", TEXT(F1125, "yyyy-mm"), "")</f>
        <v/>
      </c>
    </row>
    <row r="1126">
      <c r="A1126" t="inlineStr">
        <is>
          <t>RP0001125</t>
        </is>
      </c>
      <c r="B1126" t="inlineStr">
        <is>
          <t>LN200164</t>
        </is>
      </c>
      <c r="C1126" t="n">
        <v>3</v>
      </c>
      <c r="D1126" s="8" t="n">
        <v>45978</v>
      </c>
      <c r="E1126" s="9" t="n">
        <v>3731.67</v>
      </c>
      <c r="F1126" s="8" t="n">
        <v>45981</v>
      </c>
      <c r="G1126" s="9" t="n">
        <v>3731.67</v>
      </c>
      <c r="H1126" t="inlineStr">
        <is>
          <t>PAID_LATE</t>
        </is>
      </c>
      <c r="I1126">
        <f>IF(H1126="UNPAID", AsOfDate-D1126, 0)</f>
        <v/>
      </c>
      <c r="J1126">
        <f>IF(F1126&lt;&gt;"", TEXT(F1126, "yyyy-mm"), "")</f>
        <v/>
      </c>
    </row>
    <row r="1127">
      <c r="A1127" t="inlineStr">
        <is>
          <t>RP0001126</t>
        </is>
      </c>
      <c r="B1127" t="inlineStr">
        <is>
          <t>LN200164</t>
        </is>
      </c>
      <c r="C1127" t="n">
        <v>4</v>
      </c>
      <c r="D1127" s="8" t="n">
        <v>46008</v>
      </c>
      <c r="E1127" s="9" t="n">
        <v>3731.67</v>
      </c>
      <c r="F1127" s="8" t="n">
        <v>46100</v>
      </c>
      <c r="G1127" s="9" t="n">
        <v>3731.67</v>
      </c>
      <c r="H1127" t="inlineStr">
        <is>
          <t>PAID_LATE</t>
        </is>
      </c>
      <c r="I1127">
        <f>IF(H1127="UNPAID", AsOfDate-D1127, 0)</f>
        <v/>
      </c>
      <c r="J1127">
        <f>IF(F1127&lt;&gt;"", TEXT(F1127, "yyyy-mm"), "")</f>
        <v/>
      </c>
    </row>
    <row r="1128">
      <c r="A1128" t="inlineStr">
        <is>
          <t>RP0001127</t>
        </is>
      </c>
      <c r="B1128" t="inlineStr">
        <is>
          <t>LN200164</t>
        </is>
      </c>
      <c r="C1128" t="n">
        <v>5</v>
      </c>
      <c r="D1128" s="8" t="n">
        <v>46039</v>
      </c>
      <c r="E1128" s="9" t="n">
        <v>3731.67</v>
      </c>
      <c r="F1128" s="8" t="n">
        <v>46043</v>
      </c>
      <c r="G1128" s="9" t="n">
        <v>3731.67</v>
      </c>
      <c r="H1128" t="inlineStr">
        <is>
          <t>PAID_ON_TIME</t>
        </is>
      </c>
      <c r="I1128">
        <f>IF(H1128="UNPAID", AsOfDate-D1128, 0)</f>
        <v/>
      </c>
      <c r="J1128">
        <f>IF(F1128&lt;&gt;"", TEXT(F1128, "yyyy-mm"), "")</f>
        <v/>
      </c>
    </row>
    <row r="1129">
      <c r="A1129" t="inlineStr">
        <is>
          <t>RP0001128</t>
        </is>
      </c>
      <c r="B1129" t="inlineStr">
        <is>
          <t>LN200164</t>
        </is>
      </c>
      <c r="C1129" t="n">
        <v>6</v>
      </c>
      <c r="D1129" s="8" t="n">
        <v>46070</v>
      </c>
      <c r="E1129" s="9" t="n">
        <v>3731.67</v>
      </c>
      <c r="F1129" s="8" t="n">
        <v>46183</v>
      </c>
      <c r="G1129" s="9" t="n">
        <v>3731.67</v>
      </c>
      <c r="H1129" t="inlineStr">
        <is>
          <t>PAID_LATE</t>
        </is>
      </c>
      <c r="I1129">
        <f>IF(H1129="UNPAID", AsOfDate-D1129, 0)</f>
        <v/>
      </c>
      <c r="J1129">
        <f>IF(F1129&lt;&gt;"", TEXT(F1129, "yyyy-mm"), "")</f>
        <v/>
      </c>
    </row>
    <row r="1130">
      <c r="A1130" t="inlineStr">
        <is>
          <t>RP0001129</t>
        </is>
      </c>
      <c r="B1130" t="inlineStr">
        <is>
          <t>LN200165</t>
        </is>
      </c>
      <c r="C1130" t="n">
        <v>1</v>
      </c>
      <c r="D1130" s="8" t="n">
        <v>46148</v>
      </c>
      <c r="E1130" s="9" t="n">
        <v>3638.33</v>
      </c>
      <c r="F1130" s="8" t="n">
        <v>46147</v>
      </c>
      <c r="G1130" s="9" t="n">
        <v>3638.33</v>
      </c>
      <c r="H1130" t="inlineStr">
        <is>
          <t>PAID_ON_TIME</t>
        </is>
      </c>
      <c r="I1130">
        <f>IF(H1130="UNPAID", AsOfDate-D1130, 0)</f>
        <v/>
      </c>
      <c r="J1130">
        <f>IF(F1130&lt;&gt;"", TEXT(F1130, "yyyy-mm"), "")</f>
        <v/>
      </c>
    </row>
    <row r="1131">
      <c r="A1131" t="inlineStr">
        <is>
          <t>RP0001130</t>
        </is>
      </c>
      <c r="B1131" t="inlineStr">
        <is>
          <t>LN200165</t>
        </is>
      </c>
      <c r="C1131" t="n">
        <v>2</v>
      </c>
      <c r="D1131" s="8" t="n">
        <v>46179</v>
      </c>
      <c r="E1131" s="9" t="n">
        <v>3638.33</v>
      </c>
      <c r="F1131" s="8" t="n">
        <v>46183</v>
      </c>
      <c r="G1131" s="9" t="n">
        <v>3638.33</v>
      </c>
      <c r="H1131" t="inlineStr">
        <is>
          <t>PAID_ON_TIME</t>
        </is>
      </c>
      <c r="I1131">
        <f>IF(H1131="UNPAID", AsOfDate-D1131, 0)</f>
        <v/>
      </c>
      <c r="J1131">
        <f>IF(F1131&lt;&gt;"", TEXT(F1131, "yyyy-mm"), "")</f>
        <v/>
      </c>
    </row>
    <row r="1132">
      <c r="A1132" t="inlineStr">
        <is>
          <t>RP0001131</t>
        </is>
      </c>
      <c r="B1132" t="inlineStr">
        <is>
          <t>LN200165</t>
        </is>
      </c>
      <c r="C1132" t="n">
        <v>3</v>
      </c>
      <c r="D1132" s="8" t="n">
        <v>46209</v>
      </c>
      <c r="E1132" s="9" t="n">
        <v>3638.33</v>
      </c>
      <c r="F1132" s="8" t="n">
        <v>46208</v>
      </c>
      <c r="G1132" s="9" t="n">
        <v>3638.33</v>
      </c>
      <c r="H1132" t="inlineStr">
        <is>
          <t>PAID_ON_TIME</t>
        </is>
      </c>
      <c r="I1132">
        <f>IF(H1132="UNPAID", AsOfDate-D1132, 0)</f>
        <v/>
      </c>
      <c r="J1132">
        <f>IF(F1132&lt;&gt;"", TEXT(F1132, "yyyy-mm"), "")</f>
        <v/>
      </c>
    </row>
    <row r="1133">
      <c r="A1133" t="inlineStr">
        <is>
          <t>RP0001132</t>
        </is>
      </c>
      <c r="B1133" t="inlineStr">
        <is>
          <t>LN200165</t>
        </is>
      </c>
      <c r="C1133" t="n">
        <v>4</v>
      </c>
      <c r="D1133" s="8" t="n">
        <v>46240</v>
      </c>
      <c r="E1133" s="9" t="n">
        <v>3638.33</v>
      </c>
      <c r="F1133" s="8" t="n">
        <v>46238</v>
      </c>
      <c r="G1133" s="9" t="n">
        <v>3638.33</v>
      </c>
      <c r="H1133" t="inlineStr">
        <is>
          <t>PAID_ON_TIME</t>
        </is>
      </c>
      <c r="I1133">
        <f>IF(H1133="UNPAID", AsOfDate-D1133, 0)</f>
        <v/>
      </c>
      <c r="J1133">
        <f>IF(F1133&lt;&gt;"", TEXT(F1133, "yyyy-mm"), "")</f>
        <v/>
      </c>
    </row>
    <row r="1134">
      <c r="A1134" t="inlineStr">
        <is>
          <t>RP0001133</t>
        </is>
      </c>
      <c r="B1134" t="inlineStr">
        <is>
          <t>LN200165</t>
        </is>
      </c>
      <c r="C1134" t="n">
        <v>5</v>
      </c>
      <c r="D1134" s="8" t="n">
        <v>46271</v>
      </c>
      <c r="E1134" s="9" t="n">
        <v>3638.33</v>
      </c>
      <c r="F1134" s="8" t="n"/>
      <c r="G1134" s="9" t="n">
        <v>0</v>
      </c>
      <c r="H1134" t="inlineStr">
        <is>
          <t>NOT_DUE</t>
        </is>
      </c>
      <c r="I1134">
        <f>IF(H1134="UNPAID", AsOfDate-D1134, 0)</f>
        <v/>
      </c>
      <c r="J1134">
        <f>IF(F1134&lt;&gt;"", TEXT(F1134, "yyyy-mm"), "")</f>
        <v/>
      </c>
    </row>
    <row r="1135">
      <c r="A1135" t="inlineStr">
        <is>
          <t>RP0001134</t>
        </is>
      </c>
      <c r="B1135" t="inlineStr">
        <is>
          <t>LN200165</t>
        </is>
      </c>
      <c r="C1135" t="n">
        <v>6</v>
      </c>
      <c r="D1135" s="8" t="n">
        <v>46301</v>
      </c>
      <c r="E1135" s="9" t="n">
        <v>3638.33</v>
      </c>
      <c r="F1135" s="8" t="n"/>
      <c r="G1135" s="9" t="n">
        <v>0</v>
      </c>
      <c r="H1135" t="inlineStr">
        <is>
          <t>NOT_DUE</t>
        </is>
      </c>
      <c r="I1135">
        <f>IF(H1135="UNPAID", AsOfDate-D1135, 0)</f>
        <v/>
      </c>
      <c r="J1135">
        <f>IF(F1135&lt;&gt;"", TEXT(F1135, "yyyy-mm"), "")</f>
        <v/>
      </c>
    </row>
    <row r="1136">
      <c r="A1136" t="inlineStr">
        <is>
          <t>RP0001135</t>
        </is>
      </c>
      <c r="B1136" t="inlineStr">
        <is>
          <t>LN200167</t>
        </is>
      </c>
      <c r="C1136" t="n">
        <v>1</v>
      </c>
      <c r="D1136" s="8" t="n">
        <v>45737</v>
      </c>
      <c r="E1136" s="9" t="n">
        <v>10416.75</v>
      </c>
      <c r="F1136" s="8" t="n">
        <v>45735</v>
      </c>
      <c r="G1136" s="9" t="n">
        <v>10416.75</v>
      </c>
      <c r="H1136" t="inlineStr">
        <is>
          <t>PAID_ON_TIME</t>
        </is>
      </c>
      <c r="I1136">
        <f>IF(H1136="UNPAID", AsOfDate-D1136, 0)</f>
        <v/>
      </c>
      <c r="J1136">
        <f>IF(F1136&lt;&gt;"", TEXT(F1136, "yyyy-mm"), "")</f>
        <v/>
      </c>
    </row>
    <row r="1137">
      <c r="A1137" t="inlineStr">
        <is>
          <t>RP0001136</t>
        </is>
      </c>
      <c r="B1137" t="inlineStr">
        <is>
          <t>LN200167</t>
        </is>
      </c>
      <c r="C1137" t="n">
        <v>2</v>
      </c>
      <c r="D1137" s="8" t="n">
        <v>45768</v>
      </c>
      <c r="E1137" s="9" t="n">
        <v>10416.75</v>
      </c>
      <c r="F1137" s="8" t="n">
        <v>45765</v>
      </c>
      <c r="G1137" s="9" t="n">
        <v>10416.75</v>
      </c>
      <c r="H1137" t="inlineStr">
        <is>
          <t>PAID_ON_TIME</t>
        </is>
      </c>
      <c r="I1137">
        <f>IF(H1137="UNPAID", AsOfDate-D1137, 0)</f>
        <v/>
      </c>
      <c r="J1137">
        <f>IF(F1137&lt;&gt;"", TEXT(F1137, "yyyy-mm"), "")</f>
        <v/>
      </c>
    </row>
    <row r="1138">
      <c r="A1138" t="inlineStr">
        <is>
          <t>RP0001137</t>
        </is>
      </c>
      <c r="B1138" t="inlineStr">
        <is>
          <t>LN200167</t>
        </is>
      </c>
      <c r="C1138" t="n">
        <v>3</v>
      </c>
      <c r="D1138" s="8" t="n">
        <v>45798</v>
      </c>
      <c r="E1138" s="9" t="n">
        <v>10416.75</v>
      </c>
      <c r="F1138" s="8" t="n">
        <v>45796</v>
      </c>
      <c r="G1138" s="9" t="n">
        <v>10416.75</v>
      </c>
      <c r="H1138" t="inlineStr">
        <is>
          <t>PAID_ON_TIME</t>
        </is>
      </c>
      <c r="I1138">
        <f>IF(H1138="UNPAID", AsOfDate-D1138, 0)</f>
        <v/>
      </c>
      <c r="J1138">
        <f>IF(F1138&lt;&gt;"", TEXT(F1138, "yyyy-mm"), "")</f>
        <v/>
      </c>
    </row>
    <row r="1139">
      <c r="A1139" t="inlineStr">
        <is>
          <t>RP0001138</t>
        </is>
      </c>
      <c r="B1139" t="inlineStr">
        <is>
          <t>LN200167</t>
        </is>
      </c>
      <c r="C1139" t="n">
        <v>4</v>
      </c>
      <c r="D1139" s="8" t="n">
        <v>45829</v>
      </c>
      <c r="E1139" s="9" t="n">
        <v>10416.75</v>
      </c>
      <c r="F1139" s="8" t="n">
        <v>45831</v>
      </c>
      <c r="G1139" s="9" t="n">
        <v>10416.75</v>
      </c>
      <c r="H1139" t="inlineStr">
        <is>
          <t>PAID_ON_TIME</t>
        </is>
      </c>
      <c r="I1139">
        <f>IF(H1139="UNPAID", AsOfDate-D1139, 0)</f>
        <v/>
      </c>
      <c r="J1139">
        <f>IF(F1139&lt;&gt;"", TEXT(F1139, "yyyy-mm"), "")</f>
        <v/>
      </c>
    </row>
    <row r="1140">
      <c r="A1140" t="inlineStr">
        <is>
          <t>RP0001139</t>
        </is>
      </c>
      <c r="B1140" t="inlineStr">
        <is>
          <t>LN200167</t>
        </is>
      </c>
      <c r="C1140" t="n">
        <v>5</v>
      </c>
      <c r="D1140" s="8" t="n">
        <v>45859</v>
      </c>
      <c r="E1140" s="9" t="n">
        <v>10416.75</v>
      </c>
      <c r="F1140" s="8" t="n">
        <v>45857</v>
      </c>
      <c r="G1140" s="9" t="n">
        <v>10416.75</v>
      </c>
      <c r="H1140" t="inlineStr">
        <is>
          <t>PAID_ON_TIME</t>
        </is>
      </c>
      <c r="I1140">
        <f>IF(H1140="UNPAID", AsOfDate-D1140, 0)</f>
        <v/>
      </c>
      <c r="J1140">
        <f>IF(F1140&lt;&gt;"", TEXT(F1140, "yyyy-mm"), "")</f>
        <v/>
      </c>
    </row>
    <row r="1141">
      <c r="A1141" t="inlineStr">
        <is>
          <t>RP0001140</t>
        </is>
      </c>
      <c r="B1141" t="inlineStr">
        <is>
          <t>LN200167</t>
        </is>
      </c>
      <c r="C1141" t="n">
        <v>6</v>
      </c>
      <c r="D1141" s="8" t="n">
        <v>45890</v>
      </c>
      <c r="E1141" s="9" t="n">
        <v>10416.75</v>
      </c>
      <c r="F1141" s="8" t="n">
        <v>45894</v>
      </c>
      <c r="G1141" s="9" t="n">
        <v>10416.75</v>
      </c>
      <c r="H1141" t="inlineStr">
        <is>
          <t>PAID_ON_TIME</t>
        </is>
      </c>
      <c r="I1141">
        <f>IF(H1141="UNPAID", AsOfDate-D1141, 0)</f>
        <v/>
      </c>
      <c r="J1141">
        <f>IF(F1141&lt;&gt;"", TEXT(F1141, "yyyy-mm"), "")</f>
        <v/>
      </c>
    </row>
    <row r="1142">
      <c r="A1142" t="inlineStr">
        <is>
          <t>RP0001141</t>
        </is>
      </c>
      <c r="B1142" t="inlineStr">
        <is>
          <t>LN200168</t>
        </is>
      </c>
      <c r="C1142" t="n">
        <v>1</v>
      </c>
      <c r="D1142" s="8" t="n">
        <v>46196</v>
      </c>
      <c r="E1142" s="9" t="n">
        <v>50228.75</v>
      </c>
      <c r="F1142" s="8" t="n"/>
      <c r="G1142" s="9" t="n">
        <v>0</v>
      </c>
      <c r="H1142" t="inlineStr">
        <is>
          <t>UNPAID</t>
        </is>
      </c>
      <c r="I1142">
        <f>IF(H1142="UNPAID", AsOfDate-D1142, 0)</f>
        <v/>
      </c>
      <c r="J1142">
        <f>IF(F1142&lt;&gt;"", TEXT(F1142, "yyyy-mm"), "")</f>
        <v/>
      </c>
    </row>
    <row r="1143">
      <c r="A1143" t="inlineStr">
        <is>
          <t>RP0001142</t>
        </is>
      </c>
      <c r="B1143" t="inlineStr">
        <is>
          <t>LN200168</t>
        </is>
      </c>
      <c r="C1143" t="n">
        <v>2</v>
      </c>
      <c r="D1143" s="8" t="n">
        <v>46226</v>
      </c>
      <c r="E1143" s="9" t="n">
        <v>50228.75</v>
      </c>
      <c r="F1143" s="8" t="n">
        <v>46229</v>
      </c>
      <c r="G1143" s="9" t="n">
        <v>50228.75</v>
      </c>
      <c r="H1143" t="inlineStr">
        <is>
          <t>PAID_ON_TIME</t>
        </is>
      </c>
      <c r="I1143">
        <f>IF(H1143="UNPAID", AsOfDate-D1143, 0)</f>
        <v/>
      </c>
      <c r="J1143">
        <f>IF(F1143&lt;&gt;"", TEXT(F1143, "yyyy-mm"), "")</f>
        <v/>
      </c>
    </row>
    <row r="1144">
      <c r="A1144" t="inlineStr">
        <is>
          <t>RP0001143</t>
        </is>
      </c>
      <c r="B1144" t="inlineStr">
        <is>
          <t>LN200168</t>
        </is>
      </c>
      <c r="C1144" t="n">
        <v>3</v>
      </c>
      <c r="D1144" s="8" t="n">
        <v>46257</v>
      </c>
      <c r="E1144" s="9" t="n">
        <v>50228.75</v>
      </c>
      <c r="F1144" s="8" t="n">
        <v>46258</v>
      </c>
      <c r="G1144" s="9" t="n">
        <v>50228.75</v>
      </c>
      <c r="H1144" t="inlineStr">
        <is>
          <t>PAID_ON_TIME</t>
        </is>
      </c>
      <c r="I1144">
        <f>IF(H1144="UNPAID", AsOfDate-D1144, 0)</f>
        <v/>
      </c>
      <c r="J1144">
        <f>IF(F1144&lt;&gt;"", TEXT(F1144, "yyyy-mm"), "")</f>
        <v/>
      </c>
    </row>
    <row r="1145">
      <c r="A1145" t="inlineStr">
        <is>
          <t>RP0001144</t>
        </is>
      </c>
      <c r="B1145" t="inlineStr">
        <is>
          <t>LN200169</t>
        </is>
      </c>
      <c r="C1145" t="n">
        <v>1</v>
      </c>
      <c r="D1145" s="8" t="n">
        <v>46246</v>
      </c>
      <c r="E1145" s="9" t="n">
        <v>44268</v>
      </c>
      <c r="F1145" s="8" t="n">
        <v>46246</v>
      </c>
      <c r="G1145" s="9" t="n">
        <v>44268</v>
      </c>
      <c r="H1145" t="inlineStr">
        <is>
          <t>PAID_ON_TIME</t>
        </is>
      </c>
      <c r="I1145">
        <f>IF(H1145="UNPAID", AsOfDate-D1145, 0)</f>
        <v/>
      </c>
      <c r="J1145">
        <f>IF(F1145&lt;&gt;"", TEXT(F1145, "yyyy-mm"), "")</f>
        <v/>
      </c>
    </row>
    <row r="1146">
      <c r="A1146" t="inlineStr">
        <is>
          <t>RP0001145</t>
        </is>
      </c>
      <c r="B1146" t="inlineStr">
        <is>
          <t>LN200169</t>
        </is>
      </c>
      <c r="C1146" t="n">
        <v>2</v>
      </c>
      <c r="D1146" s="8" t="n">
        <v>46277</v>
      </c>
      <c r="E1146" s="9" t="n">
        <v>44268</v>
      </c>
      <c r="F1146" s="8" t="n"/>
      <c r="G1146" s="9" t="n">
        <v>0</v>
      </c>
      <c r="H1146" t="inlineStr">
        <is>
          <t>NOT_DUE</t>
        </is>
      </c>
      <c r="I1146">
        <f>IF(H1146="UNPAID", AsOfDate-D1146, 0)</f>
        <v/>
      </c>
      <c r="J1146">
        <f>IF(F1146&lt;&gt;"", TEXT(F1146, "yyyy-mm"), "")</f>
        <v/>
      </c>
    </row>
    <row r="1147">
      <c r="A1147" t="inlineStr">
        <is>
          <t>RP0001146</t>
        </is>
      </c>
      <c r="B1147" t="inlineStr">
        <is>
          <t>LN200169</t>
        </is>
      </c>
      <c r="C1147" t="n">
        <v>3</v>
      </c>
      <c r="D1147" s="8" t="n">
        <v>46307</v>
      </c>
      <c r="E1147" s="9" t="n">
        <v>44268</v>
      </c>
      <c r="F1147" s="8" t="n"/>
      <c r="G1147" s="9" t="n">
        <v>0</v>
      </c>
      <c r="H1147" t="inlineStr">
        <is>
          <t>NOT_DUE</t>
        </is>
      </c>
      <c r="I1147">
        <f>IF(H1147="UNPAID", AsOfDate-D1147, 0)</f>
        <v/>
      </c>
      <c r="J1147">
        <f>IF(F1147&lt;&gt;"", TEXT(F1147, "yyyy-mm"), "")</f>
        <v/>
      </c>
    </row>
    <row r="1148">
      <c r="A1148" t="inlineStr">
        <is>
          <t>RP0001147</t>
        </is>
      </c>
      <c r="B1148" t="inlineStr">
        <is>
          <t>LN200169</t>
        </is>
      </c>
      <c r="C1148" t="n">
        <v>4</v>
      </c>
      <c r="D1148" s="8" t="n">
        <v>46338</v>
      </c>
      <c r="E1148" s="9" t="n">
        <v>44268</v>
      </c>
      <c r="F1148" s="8" t="n"/>
      <c r="G1148" s="9" t="n">
        <v>0</v>
      </c>
      <c r="H1148" t="inlineStr">
        <is>
          <t>NOT_DUE</t>
        </is>
      </c>
      <c r="I1148">
        <f>IF(H1148="UNPAID", AsOfDate-D1148, 0)</f>
        <v/>
      </c>
      <c r="J1148">
        <f>IF(F1148&lt;&gt;"", TEXT(F1148, "yyyy-mm"), "")</f>
        <v/>
      </c>
    </row>
    <row r="1149">
      <c r="A1149" t="inlineStr">
        <is>
          <t>RP0001148</t>
        </is>
      </c>
      <c r="B1149" t="inlineStr">
        <is>
          <t>LN200169</t>
        </is>
      </c>
      <c r="C1149" t="n">
        <v>5</v>
      </c>
      <c r="D1149" s="8" t="n">
        <v>46368</v>
      </c>
      <c r="E1149" s="9" t="n">
        <v>44268</v>
      </c>
      <c r="F1149" s="8" t="n"/>
      <c r="G1149" s="9" t="n">
        <v>0</v>
      </c>
      <c r="H1149" t="inlineStr">
        <is>
          <t>NOT_DUE</t>
        </is>
      </c>
      <c r="I1149">
        <f>IF(H1149="UNPAID", AsOfDate-D1149, 0)</f>
        <v/>
      </c>
      <c r="J1149">
        <f>IF(F1149&lt;&gt;"", TEXT(F1149, "yyyy-mm"), "")</f>
        <v/>
      </c>
    </row>
    <row r="1150">
      <c r="A1150" t="inlineStr">
        <is>
          <t>RP0001149</t>
        </is>
      </c>
      <c r="B1150" t="inlineStr">
        <is>
          <t>LN200169</t>
        </is>
      </c>
      <c r="C1150" t="n">
        <v>6</v>
      </c>
      <c r="D1150" s="8" t="n">
        <v>46399</v>
      </c>
      <c r="E1150" s="9" t="n">
        <v>44268</v>
      </c>
      <c r="F1150" s="8" t="n"/>
      <c r="G1150" s="9" t="n">
        <v>0</v>
      </c>
      <c r="H1150" t="inlineStr">
        <is>
          <t>NOT_DUE</t>
        </is>
      </c>
      <c r="I1150">
        <f>IF(H1150="UNPAID", AsOfDate-D1150, 0)</f>
        <v/>
      </c>
      <c r="J1150">
        <f>IF(F1150&lt;&gt;"", TEXT(F1150, "yyyy-mm"), "")</f>
        <v/>
      </c>
    </row>
    <row r="1151">
      <c r="A1151" t="inlineStr">
        <is>
          <t>RP0001150</t>
        </is>
      </c>
      <c r="B1151" t="inlineStr">
        <is>
          <t>LN200170</t>
        </is>
      </c>
      <c r="C1151" t="n">
        <v>1</v>
      </c>
      <c r="D1151" s="8" t="n">
        <v>45912</v>
      </c>
      <c r="E1151" s="9" t="n">
        <v>105849.33</v>
      </c>
      <c r="F1151" s="8" t="n">
        <v>45915</v>
      </c>
      <c r="G1151" s="9" t="n">
        <v>105849.33</v>
      </c>
      <c r="H1151" t="inlineStr">
        <is>
          <t>PAID_ON_TIME</t>
        </is>
      </c>
      <c r="I1151">
        <f>IF(H1151="UNPAID", AsOfDate-D1151, 0)</f>
        <v/>
      </c>
      <c r="J1151">
        <f>IF(F1151&lt;&gt;"", TEXT(F1151, "yyyy-mm"), "")</f>
        <v/>
      </c>
    </row>
    <row r="1152">
      <c r="A1152" t="inlineStr">
        <is>
          <t>RP0001151</t>
        </is>
      </c>
      <c r="B1152" t="inlineStr">
        <is>
          <t>LN200170</t>
        </is>
      </c>
      <c r="C1152" t="n">
        <v>2</v>
      </c>
      <c r="D1152" s="8" t="n">
        <v>45942</v>
      </c>
      <c r="E1152" s="9" t="n">
        <v>105849.33</v>
      </c>
      <c r="F1152" s="8" t="n">
        <v>45941</v>
      </c>
      <c r="G1152" s="9" t="n">
        <v>105849.33</v>
      </c>
      <c r="H1152" t="inlineStr">
        <is>
          <t>PAID_ON_TIME</t>
        </is>
      </c>
      <c r="I1152">
        <f>IF(H1152="UNPAID", AsOfDate-D1152, 0)</f>
        <v/>
      </c>
      <c r="J1152">
        <f>IF(F1152&lt;&gt;"", TEXT(F1152, "yyyy-mm"), "")</f>
        <v/>
      </c>
    </row>
    <row r="1153">
      <c r="A1153" t="inlineStr">
        <is>
          <t>RP0001152</t>
        </is>
      </c>
      <c r="B1153" t="inlineStr">
        <is>
          <t>LN200170</t>
        </is>
      </c>
      <c r="C1153" t="n">
        <v>3</v>
      </c>
      <c r="D1153" s="8" t="n">
        <v>45973</v>
      </c>
      <c r="E1153" s="9" t="n">
        <v>105849.33</v>
      </c>
      <c r="F1153" s="8" t="n">
        <v>45977</v>
      </c>
      <c r="G1153" s="9" t="n">
        <v>105849.33</v>
      </c>
      <c r="H1153" t="inlineStr">
        <is>
          <t>PAID_ON_TIME</t>
        </is>
      </c>
      <c r="I1153">
        <f>IF(H1153="UNPAID", AsOfDate-D1153, 0)</f>
        <v/>
      </c>
      <c r="J1153">
        <f>IF(F1153&lt;&gt;"", TEXT(F1153, "yyyy-mm"), "")</f>
        <v/>
      </c>
    </row>
    <row r="1154">
      <c r="A1154" t="inlineStr">
        <is>
          <t>RP0001153</t>
        </is>
      </c>
      <c r="B1154" t="inlineStr">
        <is>
          <t>LN200171</t>
        </is>
      </c>
      <c r="C1154" t="n">
        <v>1</v>
      </c>
      <c r="D1154" s="8" t="n">
        <v>46053</v>
      </c>
      <c r="E1154" s="9" t="n">
        <v>11908.5</v>
      </c>
      <c r="F1154" s="8" t="n">
        <v>46054</v>
      </c>
      <c r="G1154" s="9" t="n">
        <v>11908.5</v>
      </c>
      <c r="H1154" t="inlineStr">
        <is>
          <t>PAID_ON_TIME</t>
        </is>
      </c>
      <c r="I1154">
        <f>IF(H1154="UNPAID", AsOfDate-D1154, 0)</f>
        <v/>
      </c>
      <c r="J1154">
        <f>IF(F1154&lt;&gt;"", TEXT(F1154, "yyyy-mm"), "")</f>
        <v/>
      </c>
    </row>
    <row r="1155">
      <c r="A1155" t="inlineStr">
        <is>
          <t>RP0001154</t>
        </is>
      </c>
      <c r="B1155" t="inlineStr">
        <is>
          <t>LN200171</t>
        </is>
      </c>
      <c r="C1155" t="n">
        <v>2</v>
      </c>
      <c r="D1155" s="8" t="n">
        <v>46081</v>
      </c>
      <c r="E1155" s="9" t="n">
        <v>11908.5</v>
      </c>
      <c r="F1155" s="8" t="n">
        <v>46083</v>
      </c>
      <c r="G1155" s="9" t="n">
        <v>11908.5</v>
      </c>
      <c r="H1155" t="inlineStr">
        <is>
          <t>PAID_ON_TIME</t>
        </is>
      </c>
      <c r="I1155">
        <f>IF(H1155="UNPAID", AsOfDate-D1155, 0)</f>
        <v/>
      </c>
      <c r="J1155">
        <f>IF(F1155&lt;&gt;"", TEXT(F1155, "yyyy-mm"), "")</f>
        <v/>
      </c>
    </row>
    <row r="1156">
      <c r="A1156" t="inlineStr">
        <is>
          <t>RP0001155</t>
        </is>
      </c>
      <c r="B1156" t="inlineStr">
        <is>
          <t>LN200171</t>
        </is>
      </c>
      <c r="C1156" t="n">
        <v>3</v>
      </c>
      <c r="D1156" s="8" t="n">
        <v>46112</v>
      </c>
      <c r="E1156" s="9" t="n">
        <v>11908.5</v>
      </c>
      <c r="F1156" s="8" t="n">
        <v>46115</v>
      </c>
      <c r="G1156" s="9" t="n">
        <v>11908.5</v>
      </c>
      <c r="H1156" t="inlineStr">
        <is>
          <t>PAID_ON_TIME</t>
        </is>
      </c>
      <c r="I1156">
        <f>IF(H1156="UNPAID", AsOfDate-D1156, 0)</f>
        <v/>
      </c>
      <c r="J1156">
        <f>IF(F1156&lt;&gt;"", TEXT(F1156, "yyyy-mm"), "")</f>
        <v/>
      </c>
    </row>
    <row r="1157">
      <c r="A1157" t="inlineStr">
        <is>
          <t>RP0001156</t>
        </is>
      </c>
      <c r="B1157" t="inlineStr">
        <is>
          <t>LN200172</t>
        </is>
      </c>
      <c r="C1157" t="n">
        <v>1</v>
      </c>
      <c r="D1157" s="8" t="n">
        <v>45923</v>
      </c>
      <c r="E1157" s="9" t="n">
        <v>8581.219999999999</v>
      </c>
      <c r="F1157" s="8" t="n">
        <v>45927</v>
      </c>
      <c r="G1157" s="9" t="n">
        <v>8581.219999999999</v>
      </c>
      <c r="H1157" t="inlineStr">
        <is>
          <t>PAID_ON_TIME</t>
        </is>
      </c>
      <c r="I1157">
        <f>IF(H1157="UNPAID", AsOfDate-D1157, 0)</f>
        <v/>
      </c>
      <c r="J1157">
        <f>IF(F1157&lt;&gt;"", TEXT(F1157, "yyyy-mm"), "")</f>
        <v/>
      </c>
    </row>
    <row r="1158">
      <c r="A1158" t="inlineStr">
        <is>
          <t>RP0001157</t>
        </is>
      </c>
      <c r="B1158" t="inlineStr">
        <is>
          <t>LN200172</t>
        </is>
      </c>
      <c r="C1158" t="n">
        <v>2</v>
      </c>
      <c r="D1158" s="8" t="n">
        <v>45953</v>
      </c>
      <c r="E1158" s="9" t="n">
        <v>8581.219999999999</v>
      </c>
      <c r="F1158" s="8" t="n">
        <v>45955</v>
      </c>
      <c r="G1158" s="9" t="n">
        <v>8581.219999999999</v>
      </c>
      <c r="H1158" t="inlineStr">
        <is>
          <t>PAID_ON_TIME</t>
        </is>
      </c>
      <c r="I1158">
        <f>IF(H1158="UNPAID", AsOfDate-D1158, 0)</f>
        <v/>
      </c>
      <c r="J1158">
        <f>IF(F1158&lt;&gt;"", TEXT(F1158, "yyyy-mm"), "")</f>
        <v/>
      </c>
    </row>
    <row r="1159">
      <c r="A1159" t="inlineStr">
        <is>
          <t>RP0001158</t>
        </is>
      </c>
      <c r="B1159" t="inlineStr">
        <is>
          <t>LN200172</t>
        </is>
      </c>
      <c r="C1159" t="n">
        <v>3</v>
      </c>
      <c r="D1159" s="8" t="n">
        <v>45984</v>
      </c>
      <c r="E1159" s="9" t="n">
        <v>8581.219999999999</v>
      </c>
      <c r="F1159" s="8" t="n">
        <v>45985</v>
      </c>
      <c r="G1159" s="9" t="n">
        <v>8581.219999999999</v>
      </c>
      <c r="H1159" t="inlineStr">
        <is>
          <t>PAID_ON_TIME</t>
        </is>
      </c>
      <c r="I1159">
        <f>IF(H1159="UNPAID", AsOfDate-D1159, 0)</f>
        <v/>
      </c>
      <c r="J1159">
        <f>IF(F1159&lt;&gt;"", TEXT(F1159, "yyyy-mm"), "")</f>
        <v/>
      </c>
    </row>
    <row r="1160">
      <c r="A1160" t="inlineStr">
        <is>
          <t>RP0001159</t>
        </is>
      </c>
      <c r="B1160" t="inlineStr">
        <is>
          <t>LN200172</t>
        </is>
      </c>
      <c r="C1160" t="n">
        <v>4</v>
      </c>
      <c r="D1160" s="8" t="n">
        <v>46014</v>
      </c>
      <c r="E1160" s="9" t="n">
        <v>8581.219999999999</v>
      </c>
      <c r="F1160" s="8" t="n">
        <v>46015</v>
      </c>
      <c r="G1160" s="9" t="n">
        <v>8581.219999999999</v>
      </c>
      <c r="H1160" t="inlineStr">
        <is>
          <t>PAID_ON_TIME</t>
        </is>
      </c>
      <c r="I1160">
        <f>IF(H1160="UNPAID", AsOfDate-D1160, 0)</f>
        <v/>
      </c>
      <c r="J1160">
        <f>IF(F1160&lt;&gt;"", TEXT(F1160, "yyyy-mm"), "")</f>
        <v/>
      </c>
    </row>
    <row r="1161">
      <c r="A1161" t="inlineStr">
        <is>
          <t>RP0001160</t>
        </is>
      </c>
      <c r="B1161" t="inlineStr">
        <is>
          <t>LN200172</t>
        </is>
      </c>
      <c r="C1161" t="n">
        <v>5</v>
      </c>
      <c r="D1161" s="8" t="n">
        <v>46045</v>
      </c>
      <c r="E1161" s="9" t="n">
        <v>8581.219999999999</v>
      </c>
      <c r="F1161" s="8" t="n">
        <v>46151</v>
      </c>
      <c r="G1161" s="9" t="n">
        <v>8581.219999999999</v>
      </c>
      <c r="H1161" t="inlineStr">
        <is>
          <t>PAID_LATE</t>
        </is>
      </c>
      <c r="I1161">
        <f>IF(H1161="UNPAID", AsOfDate-D1161, 0)</f>
        <v/>
      </c>
      <c r="J1161">
        <f>IF(F1161&lt;&gt;"", TEXT(F1161, "yyyy-mm"), "")</f>
        <v/>
      </c>
    </row>
    <row r="1162">
      <c r="A1162" t="inlineStr">
        <is>
          <t>RP0001161</t>
        </is>
      </c>
      <c r="B1162" t="inlineStr">
        <is>
          <t>LN200172</t>
        </is>
      </c>
      <c r="C1162" t="n">
        <v>6</v>
      </c>
      <c r="D1162" s="8" t="n">
        <v>46076</v>
      </c>
      <c r="E1162" s="9" t="n">
        <v>8581.219999999999</v>
      </c>
      <c r="F1162" s="8" t="n">
        <v>46074</v>
      </c>
      <c r="G1162" s="9" t="n">
        <v>8581.219999999999</v>
      </c>
      <c r="H1162" t="inlineStr">
        <is>
          <t>PAID_ON_TIME</t>
        </is>
      </c>
      <c r="I1162">
        <f>IF(H1162="UNPAID", AsOfDate-D1162, 0)</f>
        <v/>
      </c>
      <c r="J1162">
        <f>IF(F1162&lt;&gt;"", TEXT(F1162, "yyyy-mm"), "")</f>
        <v/>
      </c>
    </row>
    <row r="1163">
      <c r="A1163" t="inlineStr">
        <is>
          <t>RP0001162</t>
        </is>
      </c>
      <c r="B1163" t="inlineStr">
        <is>
          <t>LN200172</t>
        </is>
      </c>
      <c r="C1163" t="n">
        <v>7</v>
      </c>
      <c r="D1163" s="8" t="n">
        <v>46104</v>
      </c>
      <c r="E1163" s="9" t="n">
        <v>8581.219999999999</v>
      </c>
      <c r="F1163" s="8" t="n">
        <v>46107</v>
      </c>
      <c r="G1163" s="9" t="n">
        <v>8581.219999999999</v>
      </c>
      <c r="H1163" t="inlineStr">
        <is>
          <t>PAID_ON_TIME</t>
        </is>
      </c>
      <c r="I1163">
        <f>IF(H1163="UNPAID", AsOfDate-D1163, 0)</f>
        <v/>
      </c>
      <c r="J1163">
        <f>IF(F1163&lt;&gt;"", TEXT(F1163, "yyyy-mm"), "")</f>
        <v/>
      </c>
    </row>
    <row r="1164">
      <c r="A1164" t="inlineStr">
        <is>
          <t>RP0001163</t>
        </is>
      </c>
      <c r="B1164" t="inlineStr">
        <is>
          <t>LN200172</t>
        </is>
      </c>
      <c r="C1164" t="n">
        <v>8</v>
      </c>
      <c r="D1164" s="8" t="n">
        <v>46135</v>
      </c>
      <c r="E1164" s="9" t="n">
        <v>8581.219999999999</v>
      </c>
      <c r="F1164" s="8" t="n">
        <v>46138</v>
      </c>
      <c r="G1164" s="9" t="n">
        <v>8581.219999999999</v>
      </c>
      <c r="H1164" t="inlineStr">
        <is>
          <t>PAID_ON_TIME</t>
        </is>
      </c>
      <c r="I1164">
        <f>IF(H1164="UNPAID", AsOfDate-D1164, 0)</f>
        <v/>
      </c>
      <c r="J1164">
        <f>IF(F1164&lt;&gt;"", TEXT(F1164, "yyyy-mm"), "")</f>
        <v/>
      </c>
    </row>
    <row r="1165">
      <c r="A1165" t="inlineStr">
        <is>
          <t>RP0001164</t>
        </is>
      </c>
      <c r="B1165" t="inlineStr">
        <is>
          <t>LN200172</t>
        </is>
      </c>
      <c r="C1165" t="n">
        <v>9</v>
      </c>
      <c r="D1165" s="8" t="n">
        <v>46165</v>
      </c>
      <c r="E1165" s="9" t="n">
        <v>8581.219999999999</v>
      </c>
      <c r="F1165" s="8" t="n">
        <v>46163</v>
      </c>
      <c r="G1165" s="9" t="n">
        <v>8581.219999999999</v>
      </c>
      <c r="H1165" t="inlineStr">
        <is>
          <t>PAID_ON_TIME</t>
        </is>
      </c>
      <c r="I1165">
        <f>IF(H1165="UNPAID", AsOfDate-D1165, 0)</f>
        <v/>
      </c>
      <c r="J1165">
        <f>IF(F1165&lt;&gt;"", TEXT(F1165, "yyyy-mm"), "")</f>
        <v/>
      </c>
    </row>
    <row r="1166">
      <c r="A1166" t="inlineStr">
        <is>
          <t>RP0001165</t>
        </is>
      </c>
      <c r="B1166" t="inlineStr">
        <is>
          <t>LN200173</t>
        </is>
      </c>
      <c r="C1166" t="n">
        <v>1</v>
      </c>
      <c r="D1166" s="8" t="n">
        <v>45777</v>
      </c>
      <c r="E1166" s="9" t="n">
        <v>55201.33</v>
      </c>
      <c r="F1166" s="8" t="n">
        <v>45781</v>
      </c>
      <c r="G1166" s="9" t="n">
        <v>55201.33</v>
      </c>
      <c r="H1166" t="inlineStr">
        <is>
          <t>PAID_ON_TIME</t>
        </is>
      </c>
      <c r="I1166">
        <f>IF(H1166="UNPAID", AsOfDate-D1166, 0)</f>
        <v/>
      </c>
      <c r="J1166">
        <f>IF(F1166&lt;&gt;"", TEXT(F1166, "yyyy-mm"), "")</f>
        <v/>
      </c>
    </row>
    <row r="1167">
      <c r="A1167" t="inlineStr">
        <is>
          <t>RP0001166</t>
        </is>
      </c>
      <c r="B1167" t="inlineStr">
        <is>
          <t>LN200173</t>
        </is>
      </c>
      <c r="C1167" t="n">
        <v>2</v>
      </c>
      <c r="D1167" s="8" t="n">
        <v>45808</v>
      </c>
      <c r="E1167" s="9" t="n">
        <v>55201.33</v>
      </c>
      <c r="F1167" s="8" t="n">
        <v>45807</v>
      </c>
      <c r="G1167" s="9" t="n">
        <v>55201.33</v>
      </c>
      <c r="H1167" t="inlineStr">
        <is>
          <t>PAID_ON_TIME</t>
        </is>
      </c>
      <c r="I1167">
        <f>IF(H1167="UNPAID", AsOfDate-D1167, 0)</f>
        <v/>
      </c>
      <c r="J1167">
        <f>IF(F1167&lt;&gt;"", TEXT(F1167, "yyyy-mm"), "")</f>
        <v/>
      </c>
    </row>
    <row r="1168">
      <c r="A1168" t="inlineStr">
        <is>
          <t>RP0001167</t>
        </is>
      </c>
      <c r="B1168" t="inlineStr">
        <is>
          <t>LN200173</t>
        </is>
      </c>
      <c r="C1168" t="n">
        <v>3</v>
      </c>
      <c r="D1168" s="8" t="n">
        <v>45838</v>
      </c>
      <c r="E1168" s="9" t="n">
        <v>55201.33</v>
      </c>
      <c r="F1168" s="8" t="n">
        <v>45837</v>
      </c>
      <c r="G1168" s="9" t="n">
        <v>55201.33</v>
      </c>
      <c r="H1168" t="inlineStr">
        <is>
          <t>PAID_ON_TIME</t>
        </is>
      </c>
      <c r="I1168">
        <f>IF(H1168="UNPAID", AsOfDate-D1168, 0)</f>
        <v/>
      </c>
      <c r="J1168">
        <f>IF(F1168&lt;&gt;"", TEXT(F1168, "yyyy-mm"), "")</f>
        <v/>
      </c>
    </row>
    <row r="1169">
      <c r="A1169" t="inlineStr">
        <is>
          <t>RP0001168</t>
        </is>
      </c>
      <c r="B1169" t="inlineStr">
        <is>
          <t>LN200173</t>
        </is>
      </c>
      <c r="C1169" t="n">
        <v>4</v>
      </c>
      <c r="D1169" s="8" t="n">
        <v>45869</v>
      </c>
      <c r="E1169" s="9" t="n">
        <v>55201.33</v>
      </c>
      <c r="F1169" s="8" t="n">
        <v>45870</v>
      </c>
      <c r="G1169" s="9" t="n">
        <v>55201.33</v>
      </c>
      <c r="H1169" t="inlineStr">
        <is>
          <t>PAID_ON_TIME</t>
        </is>
      </c>
      <c r="I1169">
        <f>IF(H1169="UNPAID", AsOfDate-D1169, 0)</f>
        <v/>
      </c>
      <c r="J1169">
        <f>IF(F1169&lt;&gt;"", TEXT(F1169, "yyyy-mm"), "")</f>
        <v/>
      </c>
    </row>
    <row r="1170">
      <c r="A1170" t="inlineStr">
        <is>
          <t>RP0001169</t>
        </is>
      </c>
      <c r="B1170" t="inlineStr">
        <is>
          <t>LN200173</t>
        </is>
      </c>
      <c r="C1170" t="n">
        <v>5</v>
      </c>
      <c r="D1170" s="8" t="n">
        <v>45900</v>
      </c>
      <c r="E1170" s="9" t="n">
        <v>55201.33</v>
      </c>
      <c r="F1170" s="8" t="n">
        <v>45903</v>
      </c>
      <c r="G1170" s="9" t="n">
        <v>55201.33</v>
      </c>
      <c r="H1170" t="inlineStr">
        <is>
          <t>PAID_ON_TIME</t>
        </is>
      </c>
      <c r="I1170">
        <f>IF(H1170="UNPAID", AsOfDate-D1170, 0)</f>
        <v/>
      </c>
      <c r="J1170">
        <f>IF(F1170&lt;&gt;"", TEXT(F1170, "yyyy-mm"), "")</f>
        <v/>
      </c>
    </row>
    <row r="1171">
      <c r="A1171" t="inlineStr">
        <is>
          <t>RP0001170</t>
        </is>
      </c>
      <c r="B1171" t="inlineStr">
        <is>
          <t>LN200173</t>
        </is>
      </c>
      <c r="C1171" t="n">
        <v>6</v>
      </c>
      <c r="D1171" s="8" t="n">
        <v>45930</v>
      </c>
      <c r="E1171" s="9" t="n">
        <v>55201.33</v>
      </c>
      <c r="F1171" s="8" t="n">
        <v>45929</v>
      </c>
      <c r="G1171" s="9" t="n">
        <v>55201.33</v>
      </c>
      <c r="H1171" t="inlineStr">
        <is>
          <t>PAID_ON_TIME</t>
        </is>
      </c>
      <c r="I1171">
        <f>IF(H1171="UNPAID", AsOfDate-D1171, 0)</f>
        <v/>
      </c>
      <c r="J1171">
        <f>IF(F1171&lt;&gt;"", TEXT(F1171, "yyyy-mm"), "")</f>
        <v/>
      </c>
    </row>
    <row r="1172">
      <c r="A1172" t="inlineStr">
        <is>
          <t>RP0001171</t>
        </is>
      </c>
      <c r="B1172" t="inlineStr">
        <is>
          <t>LN200174</t>
        </is>
      </c>
      <c r="C1172" t="n">
        <v>1</v>
      </c>
      <c r="D1172" s="8" t="n">
        <v>45941</v>
      </c>
      <c r="E1172" s="9" t="n">
        <v>6848.08</v>
      </c>
      <c r="F1172" s="8" t="n">
        <v>45940</v>
      </c>
      <c r="G1172" s="9" t="n">
        <v>6848.08</v>
      </c>
      <c r="H1172" t="inlineStr">
        <is>
          <t>PAID_ON_TIME</t>
        </is>
      </c>
      <c r="I1172">
        <f>IF(H1172="UNPAID", AsOfDate-D1172, 0)</f>
        <v/>
      </c>
      <c r="J1172">
        <f>IF(F1172&lt;&gt;"", TEXT(F1172, "yyyy-mm"), "")</f>
        <v/>
      </c>
    </row>
    <row r="1173">
      <c r="A1173" t="inlineStr">
        <is>
          <t>RP0001172</t>
        </is>
      </c>
      <c r="B1173" t="inlineStr">
        <is>
          <t>LN200174</t>
        </is>
      </c>
      <c r="C1173" t="n">
        <v>2</v>
      </c>
      <c r="D1173" s="8" t="n">
        <v>45972</v>
      </c>
      <c r="E1173" s="9" t="n">
        <v>6848.08</v>
      </c>
      <c r="F1173" s="8" t="n">
        <v>45973</v>
      </c>
      <c r="G1173" s="9" t="n">
        <v>6848.08</v>
      </c>
      <c r="H1173" t="inlineStr">
        <is>
          <t>PAID_ON_TIME</t>
        </is>
      </c>
      <c r="I1173">
        <f>IF(H1173="UNPAID", AsOfDate-D1173, 0)</f>
        <v/>
      </c>
      <c r="J1173">
        <f>IF(F1173&lt;&gt;"", TEXT(F1173, "yyyy-mm"), "")</f>
        <v/>
      </c>
    </row>
    <row r="1174">
      <c r="A1174" t="inlineStr">
        <is>
          <t>RP0001173</t>
        </is>
      </c>
      <c r="B1174" t="inlineStr">
        <is>
          <t>LN200174</t>
        </is>
      </c>
      <c r="C1174" t="n">
        <v>3</v>
      </c>
      <c r="D1174" s="8" t="n">
        <v>46002</v>
      </c>
      <c r="E1174" s="9" t="n">
        <v>6848.08</v>
      </c>
      <c r="F1174" s="8" t="n">
        <v>46005</v>
      </c>
      <c r="G1174" s="9" t="n">
        <v>6848.08</v>
      </c>
      <c r="H1174" t="inlineStr">
        <is>
          <t>PAID_ON_TIME</t>
        </is>
      </c>
      <c r="I1174">
        <f>IF(H1174="UNPAID", AsOfDate-D1174, 0)</f>
        <v/>
      </c>
      <c r="J1174">
        <f>IF(F1174&lt;&gt;"", TEXT(F1174, "yyyy-mm"), "")</f>
        <v/>
      </c>
    </row>
    <row r="1175">
      <c r="A1175" t="inlineStr">
        <is>
          <t>RP0001174</t>
        </is>
      </c>
      <c r="B1175" t="inlineStr">
        <is>
          <t>LN200174</t>
        </is>
      </c>
      <c r="C1175" t="n">
        <v>4</v>
      </c>
      <c r="D1175" s="8" t="n">
        <v>46033</v>
      </c>
      <c r="E1175" s="9" t="n">
        <v>6848.08</v>
      </c>
      <c r="F1175" s="8" t="n">
        <v>46032</v>
      </c>
      <c r="G1175" s="9" t="n">
        <v>6848.08</v>
      </c>
      <c r="H1175" t="inlineStr">
        <is>
          <t>PAID_ON_TIME</t>
        </is>
      </c>
      <c r="I1175">
        <f>IF(H1175="UNPAID", AsOfDate-D1175, 0)</f>
        <v/>
      </c>
      <c r="J1175">
        <f>IF(F1175&lt;&gt;"", TEXT(F1175, "yyyy-mm"), "")</f>
        <v/>
      </c>
    </row>
    <row r="1176">
      <c r="A1176" t="inlineStr">
        <is>
          <t>RP0001175</t>
        </is>
      </c>
      <c r="B1176" t="inlineStr">
        <is>
          <t>LN200174</t>
        </is>
      </c>
      <c r="C1176" t="n">
        <v>5</v>
      </c>
      <c r="D1176" s="8" t="n">
        <v>46064</v>
      </c>
      <c r="E1176" s="9" t="n">
        <v>6848.08</v>
      </c>
      <c r="F1176" s="8" t="n">
        <v>46063</v>
      </c>
      <c r="G1176" s="9" t="n">
        <v>6848.08</v>
      </c>
      <c r="H1176" t="inlineStr">
        <is>
          <t>PAID_ON_TIME</t>
        </is>
      </c>
      <c r="I1176">
        <f>IF(H1176="UNPAID", AsOfDate-D1176, 0)</f>
        <v/>
      </c>
      <c r="J1176">
        <f>IF(F1176&lt;&gt;"", TEXT(F1176, "yyyy-mm"), "")</f>
        <v/>
      </c>
    </row>
    <row r="1177">
      <c r="A1177" t="inlineStr">
        <is>
          <t>RP0001176</t>
        </is>
      </c>
      <c r="B1177" t="inlineStr">
        <is>
          <t>LN200174</t>
        </is>
      </c>
      <c r="C1177" t="n">
        <v>6</v>
      </c>
      <c r="D1177" s="8" t="n">
        <v>46092</v>
      </c>
      <c r="E1177" s="9" t="n">
        <v>6848.08</v>
      </c>
      <c r="F1177" s="8" t="n">
        <v>46090</v>
      </c>
      <c r="G1177" s="9" t="n">
        <v>6848.08</v>
      </c>
      <c r="H1177" t="inlineStr">
        <is>
          <t>PAID_ON_TIME</t>
        </is>
      </c>
      <c r="I1177">
        <f>IF(H1177="UNPAID", AsOfDate-D1177, 0)</f>
        <v/>
      </c>
      <c r="J1177">
        <f>IF(F1177&lt;&gt;"", TEXT(F1177, "yyyy-mm"), "")</f>
        <v/>
      </c>
    </row>
    <row r="1178">
      <c r="A1178" t="inlineStr">
        <is>
          <t>RP0001177</t>
        </is>
      </c>
      <c r="B1178" t="inlineStr">
        <is>
          <t>LN200175</t>
        </is>
      </c>
      <c r="C1178" t="n">
        <v>1</v>
      </c>
      <c r="D1178" s="8" t="n">
        <v>45701</v>
      </c>
      <c r="E1178" s="9" t="n">
        <v>5372.25</v>
      </c>
      <c r="F1178" s="8" t="n">
        <v>45702</v>
      </c>
      <c r="G1178" s="9" t="n">
        <v>5372.25</v>
      </c>
      <c r="H1178" t="inlineStr">
        <is>
          <t>PAID_ON_TIME</t>
        </is>
      </c>
      <c r="I1178">
        <f>IF(H1178="UNPAID", AsOfDate-D1178, 0)</f>
        <v/>
      </c>
      <c r="J1178">
        <f>IF(F1178&lt;&gt;"", TEXT(F1178, "yyyy-mm"), "")</f>
        <v/>
      </c>
    </row>
    <row r="1179">
      <c r="A1179" t="inlineStr">
        <is>
          <t>RP0001178</t>
        </is>
      </c>
      <c r="B1179" t="inlineStr">
        <is>
          <t>LN200175</t>
        </is>
      </c>
      <c r="C1179" t="n">
        <v>2</v>
      </c>
      <c r="D1179" s="8" t="n">
        <v>45729</v>
      </c>
      <c r="E1179" s="9" t="n">
        <v>5372.25</v>
      </c>
      <c r="F1179" s="8" t="n"/>
      <c r="G1179" s="9" t="n">
        <v>0</v>
      </c>
      <c r="H1179" t="inlineStr">
        <is>
          <t>UNPAID</t>
        </is>
      </c>
      <c r="I1179">
        <f>IF(H1179="UNPAID", AsOfDate-D1179, 0)</f>
        <v/>
      </c>
      <c r="J1179">
        <f>IF(F1179&lt;&gt;"", TEXT(F1179, "yyyy-mm"), "")</f>
        <v/>
      </c>
    </row>
    <row r="1180">
      <c r="A1180" t="inlineStr">
        <is>
          <t>RP0001179</t>
        </is>
      </c>
      <c r="B1180" t="inlineStr">
        <is>
          <t>LN200175</t>
        </is>
      </c>
      <c r="C1180" t="n">
        <v>3</v>
      </c>
      <c r="D1180" s="8" t="n">
        <v>45760</v>
      </c>
      <c r="E1180" s="9" t="n">
        <v>5372.25</v>
      </c>
      <c r="F1180" s="8" t="n">
        <v>45762</v>
      </c>
      <c r="G1180" s="9" t="n">
        <v>5372.25</v>
      </c>
      <c r="H1180" t="inlineStr">
        <is>
          <t>PAID_ON_TIME</t>
        </is>
      </c>
      <c r="I1180">
        <f>IF(H1180="UNPAID", AsOfDate-D1180, 0)</f>
        <v/>
      </c>
      <c r="J1180">
        <f>IF(F1180&lt;&gt;"", TEXT(F1180, "yyyy-mm"), "")</f>
        <v/>
      </c>
    </row>
    <row r="1181">
      <c r="A1181" t="inlineStr">
        <is>
          <t>RP0001180</t>
        </is>
      </c>
      <c r="B1181" t="inlineStr">
        <is>
          <t>LN200175</t>
        </is>
      </c>
      <c r="C1181" t="n">
        <v>4</v>
      </c>
      <c r="D1181" s="8" t="n">
        <v>45790</v>
      </c>
      <c r="E1181" s="9" t="n">
        <v>5372.25</v>
      </c>
      <c r="F1181" s="8" t="n">
        <v>45793</v>
      </c>
      <c r="G1181" s="9" t="n">
        <v>5372.25</v>
      </c>
      <c r="H1181" t="inlineStr">
        <is>
          <t>PAID_ON_TIME</t>
        </is>
      </c>
      <c r="I1181">
        <f>IF(H1181="UNPAID", AsOfDate-D1181, 0)</f>
        <v/>
      </c>
      <c r="J1181">
        <f>IF(F1181&lt;&gt;"", TEXT(F1181, "yyyy-mm"), "")</f>
        <v/>
      </c>
    </row>
    <row r="1182">
      <c r="A1182" t="inlineStr">
        <is>
          <t>RP0001181</t>
        </is>
      </c>
      <c r="B1182" t="inlineStr">
        <is>
          <t>LN200175</t>
        </is>
      </c>
      <c r="C1182" t="n">
        <v>5</v>
      </c>
      <c r="D1182" s="8" t="n">
        <v>45821</v>
      </c>
      <c r="E1182" s="9" t="n">
        <v>5372.25</v>
      </c>
      <c r="F1182" s="8" t="n">
        <v>45822</v>
      </c>
      <c r="G1182" s="9" t="n">
        <v>5372.25</v>
      </c>
      <c r="H1182" t="inlineStr">
        <is>
          <t>PAID_ON_TIME</t>
        </is>
      </c>
      <c r="I1182">
        <f>IF(H1182="UNPAID", AsOfDate-D1182, 0)</f>
        <v/>
      </c>
      <c r="J1182">
        <f>IF(F1182&lt;&gt;"", TEXT(F1182, "yyyy-mm"), "")</f>
        <v/>
      </c>
    </row>
    <row r="1183">
      <c r="A1183" t="inlineStr">
        <is>
          <t>RP0001182</t>
        </is>
      </c>
      <c r="B1183" t="inlineStr">
        <is>
          <t>LN200175</t>
        </is>
      </c>
      <c r="C1183" t="n">
        <v>6</v>
      </c>
      <c r="D1183" s="8" t="n">
        <v>45851</v>
      </c>
      <c r="E1183" s="9" t="n">
        <v>5372.25</v>
      </c>
      <c r="F1183" s="8" t="n">
        <v>45887</v>
      </c>
      <c r="G1183" s="9" t="n">
        <v>5372.25</v>
      </c>
      <c r="H1183" t="inlineStr">
        <is>
          <t>PAID_LATE</t>
        </is>
      </c>
      <c r="I1183">
        <f>IF(H1183="UNPAID", AsOfDate-D1183, 0)</f>
        <v/>
      </c>
      <c r="J1183">
        <f>IF(F1183&lt;&gt;"", TEXT(F1183, "yyyy-mm"), "")</f>
        <v/>
      </c>
    </row>
    <row r="1184">
      <c r="A1184" t="inlineStr">
        <is>
          <t>RP0001183</t>
        </is>
      </c>
      <c r="B1184" t="inlineStr">
        <is>
          <t>LN200175</t>
        </is>
      </c>
      <c r="C1184" t="n">
        <v>7</v>
      </c>
      <c r="D1184" s="8" t="n">
        <v>45882</v>
      </c>
      <c r="E1184" s="9" t="n">
        <v>5372.25</v>
      </c>
      <c r="F1184" s="8" t="n">
        <v>45884</v>
      </c>
      <c r="G1184" s="9" t="n">
        <v>5372.25</v>
      </c>
      <c r="H1184" t="inlineStr">
        <is>
          <t>PAID_ON_TIME</t>
        </is>
      </c>
      <c r="I1184">
        <f>IF(H1184="UNPAID", AsOfDate-D1184, 0)</f>
        <v/>
      </c>
      <c r="J1184">
        <f>IF(F1184&lt;&gt;"", TEXT(F1184, "yyyy-mm"), "")</f>
        <v/>
      </c>
    </row>
    <row r="1185">
      <c r="A1185" t="inlineStr">
        <is>
          <t>RP0001184</t>
        </is>
      </c>
      <c r="B1185" t="inlineStr">
        <is>
          <t>LN200175</t>
        </is>
      </c>
      <c r="C1185" t="n">
        <v>8</v>
      </c>
      <c r="D1185" s="8" t="n">
        <v>45913</v>
      </c>
      <c r="E1185" s="9" t="n">
        <v>5372.25</v>
      </c>
      <c r="F1185" s="8" t="n">
        <v>45915</v>
      </c>
      <c r="G1185" s="9" t="n">
        <v>5372.25</v>
      </c>
      <c r="H1185" t="inlineStr">
        <is>
          <t>PAID_ON_TIME</t>
        </is>
      </c>
      <c r="I1185">
        <f>IF(H1185="UNPAID", AsOfDate-D1185, 0)</f>
        <v/>
      </c>
      <c r="J1185">
        <f>IF(F1185&lt;&gt;"", TEXT(F1185, "yyyy-mm"), "")</f>
        <v/>
      </c>
    </row>
    <row r="1186">
      <c r="A1186" t="inlineStr">
        <is>
          <t>RP0001185</t>
        </is>
      </c>
      <c r="B1186" t="inlineStr">
        <is>
          <t>LN200175</t>
        </is>
      </c>
      <c r="C1186" t="n">
        <v>9</v>
      </c>
      <c r="D1186" s="8" t="n">
        <v>45943</v>
      </c>
      <c r="E1186" s="9" t="n">
        <v>5372.25</v>
      </c>
      <c r="F1186" s="8" t="n">
        <v>45942</v>
      </c>
      <c r="G1186" s="9" t="n">
        <v>5372.25</v>
      </c>
      <c r="H1186" t="inlineStr">
        <is>
          <t>PAID_ON_TIME</t>
        </is>
      </c>
      <c r="I1186">
        <f>IF(H1186="UNPAID", AsOfDate-D1186, 0)</f>
        <v/>
      </c>
      <c r="J1186">
        <f>IF(F1186&lt;&gt;"", TEXT(F1186, "yyyy-mm"), "")</f>
        <v/>
      </c>
    </row>
    <row r="1187">
      <c r="A1187" t="inlineStr">
        <is>
          <t>RP0001186</t>
        </is>
      </c>
      <c r="B1187" t="inlineStr">
        <is>
          <t>LN200175</t>
        </is>
      </c>
      <c r="C1187" t="n">
        <v>10</v>
      </c>
      <c r="D1187" s="8" t="n">
        <v>45974</v>
      </c>
      <c r="E1187" s="9" t="n">
        <v>5372.25</v>
      </c>
      <c r="F1187" s="8" t="n">
        <v>45975</v>
      </c>
      <c r="G1187" s="9" t="n">
        <v>5372.25</v>
      </c>
      <c r="H1187" t="inlineStr">
        <is>
          <t>PAID_ON_TIME</t>
        </is>
      </c>
      <c r="I1187">
        <f>IF(H1187="UNPAID", AsOfDate-D1187, 0)</f>
        <v/>
      </c>
      <c r="J1187">
        <f>IF(F1187&lt;&gt;"", TEXT(F1187, "yyyy-mm"), "")</f>
        <v/>
      </c>
    </row>
    <row r="1188">
      <c r="A1188" t="inlineStr">
        <is>
          <t>RP0001187</t>
        </is>
      </c>
      <c r="B1188" t="inlineStr">
        <is>
          <t>LN200175</t>
        </is>
      </c>
      <c r="C1188" t="n">
        <v>11</v>
      </c>
      <c r="D1188" s="8" t="n">
        <v>46004</v>
      </c>
      <c r="E1188" s="9" t="n">
        <v>5372.25</v>
      </c>
      <c r="F1188" s="8" t="n">
        <v>46080</v>
      </c>
      <c r="G1188" s="9" t="n">
        <v>5372.25</v>
      </c>
      <c r="H1188" t="inlineStr">
        <is>
          <t>PAID_LATE</t>
        </is>
      </c>
      <c r="I1188">
        <f>IF(H1188="UNPAID", AsOfDate-D1188, 0)</f>
        <v/>
      </c>
      <c r="J1188">
        <f>IF(F1188&lt;&gt;"", TEXT(F1188, "yyyy-mm"), "")</f>
        <v/>
      </c>
    </row>
    <row r="1189">
      <c r="A1189" t="inlineStr">
        <is>
          <t>RP0001188</t>
        </is>
      </c>
      <c r="B1189" t="inlineStr">
        <is>
          <t>LN200175</t>
        </is>
      </c>
      <c r="C1189" t="n">
        <v>12</v>
      </c>
      <c r="D1189" s="8" t="n">
        <v>46035</v>
      </c>
      <c r="E1189" s="9" t="n">
        <v>5372.25</v>
      </c>
      <c r="F1189" s="8" t="n">
        <v>46037</v>
      </c>
      <c r="G1189" s="9" t="n">
        <v>5372.25</v>
      </c>
      <c r="H1189" t="inlineStr">
        <is>
          <t>PAID_ON_TIME</t>
        </is>
      </c>
      <c r="I1189">
        <f>IF(H1189="UNPAID", AsOfDate-D1189, 0)</f>
        <v/>
      </c>
      <c r="J1189">
        <f>IF(F1189&lt;&gt;"", TEXT(F1189, "yyyy-mm"), "")</f>
        <v/>
      </c>
    </row>
    <row r="1190">
      <c r="A1190" t="inlineStr">
        <is>
          <t>RP0001189</t>
        </is>
      </c>
      <c r="B1190" t="inlineStr">
        <is>
          <t>LN200176</t>
        </is>
      </c>
      <c r="C1190" t="n">
        <v>1</v>
      </c>
      <c r="D1190" s="8" t="n">
        <v>45893</v>
      </c>
      <c r="E1190" s="9" t="n">
        <v>7325</v>
      </c>
      <c r="F1190" s="8" t="n">
        <v>45891</v>
      </c>
      <c r="G1190" s="9" t="n">
        <v>7325</v>
      </c>
      <c r="H1190" t="inlineStr">
        <is>
          <t>PAID_ON_TIME</t>
        </is>
      </c>
      <c r="I1190">
        <f>IF(H1190="UNPAID", AsOfDate-D1190, 0)</f>
        <v/>
      </c>
      <c r="J1190">
        <f>IF(F1190&lt;&gt;"", TEXT(F1190, "yyyy-mm"), "")</f>
        <v/>
      </c>
    </row>
    <row r="1191">
      <c r="A1191" t="inlineStr">
        <is>
          <t>RP0001190</t>
        </is>
      </c>
      <c r="B1191" t="inlineStr">
        <is>
          <t>LN200176</t>
        </is>
      </c>
      <c r="C1191" t="n">
        <v>2</v>
      </c>
      <c r="D1191" s="8" t="n">
        <v>45924</v>
      </c>
      <c r="E1191" s="9" t="n">
        <v>7325</v>
      </c>
      <c r="F1191" s="8" t="n">
        <v>45923</v>
      </c>
      <c r="G1191" s="9" t="n">
        <v>7325</v>
      </c>
      <c r="H1191" t="inlineStr">
        <is>
          <t>PAID_ON_TIME</t>
        </is>
      </c>
      <c r="I1191">
        <f>IF(H1191="UNPAID", AsOfDate-D1191, 0)</f>
        <v/>
      </c>
      <c r="J1191">
        <f>IF(F1191&lt;&gt;"", TEXT(F1191, "yyyy-mm"), "")</f>
        <v/>
      </c>
    </row>
    <row r="1192">
      <c r="A1192" t="inlineStr">
        <is>
          <t>RP0001191</t>
        </is>
      </c>
      <c r="B1192" t="inlineStr">
        <is>
          <t>LN200176</t>
        </is>
      </c>
      <c r="C1192" t="n">
        <v>3</v>
      </c>
      <c r="D1192" s="8" t="n">
        <v>45954</v>
      </c>
      <c r="E1192" s="9" t="n">
        <v>7325</v>
      </c>
      <c r="F1192" s="8" t="n">
        <v>45951</v>
      </c>
      <c r="G1192" s="9" t="n">
        <v>7325</v>
      </c>
      <c r="H1192" t="inlineStr">
        <is>
          <t>PAID_ON_TIME</t>
        </is>
      </c>
      <c r="I1192">
        <f>IF(H1192="UNPAID", AsOfDate-D1192, 0)</f>
        <v/>
      </c>
      <c r="J1192">
        <f>IF(F1192&lt;&gt;"", TEXT(F1192, "yyyy-mm"), "")</f>
        <v/>
      </c>
    </row>
    <row r="1193">
      <c r="A1193" t="inlineStr">
        <is>
          <t>RP0001192</t>
        </is>
      </c>
      <c r="B1193" t="inlineStr">
        <is>
          <t>LN200176</t>
        </is>
      </c>
      <c r="C1193" t="n">
        <v>4</v>
      </c>
      <c r="D1193" s="8" t="n">
        <v>45985</v>
      </c>
      <c r="E1193" s="9" t="n">
        <v>7325</v>
      </c>
      <c r="F1193" s="8" t="n">
        <v>45985</v>
      </c>
      <c r="G1193" s="9" t="n">
        <v>7325</v>
      </c>
      <c r="H1193" t="inlineStr">
        <is>
          <t>PAID_ON_TIME</t>
        </is>
      </c>
      <c r="I1193">
        <f>IF(H1193="UNPAID", AsOfDate-D1193, 0)</f>
        <v/>
      </c>
      <c r="J1193">
        <f>IF(F1193&lt;&gt;"", TEXT(F1193, "yyyy-mm"), "")</f>
        <v/>
      </c>
    </row>
    <row r="1194">
      <c r="A1194" t="inlineStr">
        <is>
          <t>RP0001193</t>
        </is>
      </c>
      <c r="B1194" t="inlineStr">
        <is>
          <t>LN200176</t>
        </is>
      </c>
      <c r="C1194" t="n">
        <v>5</v>
      </c>
      <c r="D1194" s="8" t="n">
        <v>46015</v>
      </c>
      <c r="E1194" s="9" t="n">
        <v>7325</v>
      </c>
      <c r="F1194" s="8" t="n">
        <v>46018</v>
      </c>
      <c r="G1194" s="9" t="n">
        <v>7325</v>
      </c>
      <c r="H1194" t="inlineStr">
        <is>
          <t>PAID_LATE</t>
        </is>
      </c>
      <c r="I1194">
        <f>IF(H1194="UNPAID", AsOfDate-D1194, 0)</f>
        <v/>
      </c>
      <c r="J1194">
        <f>IF(F1194&lt;&gt;"", TEXT(F1194, "yyyy-mm"), "")</f>
        <v/>
      </c>
    </row>
    <row r="1195">
      <c r="A1195" t="inlineStr">
        <is>
          <t>RP0001194</t>
        </is>
      </c>
      <c r="B1195" t="inlineStr">
        <is>
          <t>LN200176</t>
        </is>
      </c>
      <c r="C1195" t="n">
        <v>6</v>
      </c>
      <c r="D1195" s="8" t="n">
        <v>46046</v>
      </c>
      <c r="E1195" s="9" t="n">
        <v>7325</v>
      </c>
      <c r="F1195" s="8" t="n">
        <v>46043</v>
      </c>
      <c r="G1195" s="9" t="n">
        <v>7325</v>
      </c>
      <c r="H1195" t="inlineStr">
        <is>
          <t>PAID_ON_TIME</t>
        </is>
      </c>
      <c r="I1195">
        <f>IF(H1195="UNPAID", AsOfDate-D1195, 0)</f>
        <v/>
      </c>
      <c r="J1195">
        <f>IF(F1195&lt;&gt;"", TEXT(F1195, "yyyy-mm"), "")</f>
        <v/>
      </c>
    </row>
    <row r="1196">
      <c r="A1196" t="inlineStr">
        <is>
          <t>RP0001195</t>
        </is>
      </c>
      <c r="B1196" t="inlineStr">
        <is>
          <t>LN200176</t>
        </is>
      </c>
      <c r="C1196" t="n">
        <v>7</v>
      </c>
      <c r="D1196" s="8" t="n">
        <v>46077</v>
      </c>
      <c r="E1196" s="9" t="n">
        <v>7325</v>
      </c>
      <c r="F1196" s="8" t="n">
        <v>46078</v>
      </c>
      <c r="G1196" s="9" t="n">
        <v>7325</v>
      </c>
      <c r="H1196" t="inlineStr">
        <is>
          <t>PAID_ON_TIME</t>
        </is>
      </c>
      <c r="I1196">
        <f>IF(H1196="UNPAID", AsOfDate-D1196, 0)</f>
        <v/>
      </c>
      <c r="J1196">
        <f>IF(F1196&lt;&gt;"", TEXT(F1196, "yyyy-mm"), "")</f>
        <v/>
      </c>
    </row>
    <row r="1197">
      <c r="A1197" t="inlineStr">
        <is>
          <t>RP0001196</t>
        </is>
      </c>
      <c r="B1197" t="inlineStr">
        <is>
          <t>LN200176</t>
        </is>
      </c>
      <c r="C1197" t="n">
        <v>8</v>
      </c>
      <c r="D1197" s="8" t="n">
        <v>46105</v>
      </c>
      <c r="E1197" s="9" t="n">
        <v>7325</v>
      </c>
      <c r="F1197" s="8" t="n">
        <v>46189</v>
      </c>
      <c r="G1197" s="9" t="n">
        <v>7325</v>
      </c>
      <c r="H1197" t="inlineStr">
        <is>
          <t>PAID_LATE</t>
        </is>
      </c>
      <c r="I1197">
        <f>IF(H1197="UNPAID", AsOfDate-D1197, 0)</f>
        <v/>
      </c>
      <c r="J1197">
        <f>IF(F1197&lt;&gt;"", TEXT(F1197, "yyyy-mm"), "")</f>
        <v/>
      </c>
    </row>
    <row r="1198">
      <c r="A1198" t="inlineStr">
        <is>
          <t>RP0001197</t>
        </is>
      </c>
      <c r="B1198" t="inlineStr">
        <is>
          <t>LN200176</t>
        </is>
      </c>
      <c r="C1198" t="n">
        <v>9</v>
      </c>
      <c r="D1198" s="8" t="n">
        <v>46136</v>
      </c>
      <c r="E1198" s="9" t="n">
        <v>7325</v>
      </c>
      <c r="F1198" s="8" t="n">
        <v>46138</v>
      </c>
      <c r="G1198" s="9" t="n">
        <v>7325</v>
      </c>
      <c r="H1198" t="inlineStr">
        <is>
          <t>PAID_ON_TIME</t>
        </is>
      </c>
      <c r="I1198">
        <f>IF(H1198="UNPAID", AsOfDate-D1198, 0)</f>
        <v/>
      </c>
      <c r="J1198">
        <f>IF(F1198&lt;&gt;"", TEXT(F1198, "yyyy-mm"), "")</f>
        <v/>
      </c>
    </row>
    <row r="1199">
      <c r="A1199" t="inlineStr">
        <is>
          <t>RP0001198</t>
        </is>
      </c>
      <c r="B1199" t="inlineStr">
        <is>
          <t>LN200176</t>
        </is>
      </c>
      <c r="C1199" t="n">
        <v>10</v>
      </c>
      <c r="D1199" s="8" t="n">
        <v>46166</v>
      </c>
      <c r="E1199" s="9" t="n">
        <v>7325</v>
      </c>
      <c r="F1199" s="8" t="n">
        <v>46169</v>
      </c>
      <c r="G1199" s="9" t="n">
        <v>7325</v>
      </c>
      <c r="H1199" t="inlineStr">
        <is>
          <t>PAID_ON_TIME</t>
        </is>
      </c>
      <c r="I1199">
        <f>IF(H1199="UNPAID", AsOfDate-D1199, 0)</f>
        <v/>
      </c>
      <c r="J1199">
        <f>IF(F1199&lt;&gt;"", TEXT(F1199, "yyyy-mm"), "")</f>
        <v/>
      </c>
    </row>
    <row r="1200">
      <c r="A1200" t="inlineStr">
        <is>
          <t>RP0001199</t>
        </is>
      </c>
      <c r="B1200" t="inlineStr">
        <is>
          <t>LN200176</t>
        </is>
      </c>
      <c r="C1200" t="n">
        <v>11</v>
      </c>
      <c r="D1200" s="8" t="n">
        <v>46197</v>
      </c>
      <c r="E1200" s="9" t="n">
        <v>7325</v>
      </c>
      <c r="F1200" s="8" t="n">
        <v>46198</v>
      </c>
      <c r="G1200" s="9" t="n">
        <v>7325</v>
      </c>
      <c r="H1200" t="inlineStr">
        <is>
          <t>PAID_ON_TIME</t>
        </is>
      </c>
      <c r="I1200">
        <f>IF(H1200="UNPAID", AsOfDate-D1200, 0)</f>
        <v/>
      </c>
      <c r="J1200">
        <f>IF(F1200&lt;&gt;"", TEXT(F1200, "yyyy-mm"), "")</f>
        <v/>
      </c>
    </row>
    <row r="1201">
      <c r="A1201" t="inlineStr">
        <is>
          <t>RP0001200</t>
        </is>
      </c>
      <c r="B1201" t="inlineStr">
        <is>
          <t>LN200176</t>
        </is>
      </c>
      <c r="C1201" t="n">
        <v>12</v>
      </c>
      <c r="D1201" s="8" t="n">
        <v>46227</v>
      </c>
      <c r="E1201" s="9" t="n">
        <v>7325</v>
      </c>
      <c r="F1201" s="8" t="n">
        <v>46227</v>
      </c>
      <c r="G1201" s="9" t="n">
        <v>7325</v>
      </c>
      <c r="H1201" t="inlineStr">
        <is>
          <t>PAID_ON_TIME</t>
        </is>
      </c>
      <c r="I1201">
        <f>IF(H1201="UNPAID", AsOfDate-D1201, 0)</f>
        <v/>
      </c>
      <c r="J1201">
        <f>IF(F1201&lt;&gt;"", TEXT(F1201, "yyyy-mm"), "")</f>
        <v/>
      </c>
    </row>
    <row r="1202">
      <c r="A1202" t="inlineStr">
        <is>
          <t>RP0001201</t>
        </is>
      </c>
      <c r="B1202" t="inlineStr">
        <is>
          <t>LN200177</t>
        </is>
      </c>
      <c r="C1202" t="n">
        <v>1</v>
      </c>
      <c r="D1202" s="8" t="n">
        <v>46244</v>
      </c>
      <c r="E1202" s="9" t="n">
        <v>7682.61</v>
      </c>
      <c r="F1202" s="8" t="n">
        <v>46247</v>
      </c>
      <c r="G1202" s="9" t="n">
        <v>7682.61</v>
      </c>
      <c r="H1202" t="inlineStr">
        <is>
          <t>PAID_ON_TIME</t>
        </is>
      </c>
      <c r="I1202">
        <f>IF(H1202="UNPAID", AsOfDate-D1202, 0)</f>
        <v/>
      </c>
      <c r="J1202">
        <f>IF(F1202&lt;&gt;"", TEXT(F1202, "yyyy-mm"), "")</f>
        <v/>
      </c>
    </row>
    <row r="1203">
      <c r="A1203" t="inlineStr">
        <is>
          <t>RP0001202</t>
        </is>
      </c>
      <c r="B1203" t="inlineStr">
        <is>
          <t>LN200177</t>
        </is>
      </c>
      <c r="C1203" t="n">
        <v>2</v>
      </c>
      <c r="D1203" s="8" t="n">
        <v>46275</v>
      </c>
      <c r="E1203" s="9" t="n">
        <v>7682.61</v>
      </c>
      <c r="F1203" s="8" t="n"/>
      <c r="G1203" s="9" t="n">
        <v>0</v>
      </c>
      <c r="H1203" t="inlineStr">
        <is>
          <t>NOT_DUE</t>
        </is>
      </c>
      <c r="I1203">
        <f>IF(H1203="UNPAID", AsOfDate-D1203, 0)</f>
        <v/>
      </c>
      <c r="J1203">
        <f>IF(F1203&lt;&gt;"", TEXT(F1203, "yyyy-mm"), "")</f>
        <v/>
      </c>
    </row>
    <row r="1204">
      <c r="A1204" t="inlineStr">
        <is>
          <t>RP0001203</t>
        </is>
      </c>
      <c r="B1204" t="inlineStr">
        <is>
          <t>LN200177</t>
        </is>
      </c>
      <c r="C1204" t="n">
        <v>3</v>
      </c>
      <c r="D1204" s="8" t="n">
        <v>46305</v>
      </c>
      <c r="E1204" s="9" t="n">
        <v>7682.61</v>
      </c>
      <c r="F1204" s="8" t="n"/>
      <c r="G1204" s="9" t="n">
        <v>0</v>
      </c>
      <c r="H1204" t="inlineStr">
        <is>
          <t>NOT_DUE</t>
        </is>
      </c>
      <c r="I1204">
        <f>IF(H1204="UNPAID", AsOfDate-D1204, 0)</f>
        <v/>
      </c>
      <c r="J1204">
        <f>IF(F1204&lt;&gt;"", TEXT(F1204, "yyyy-mm"), "")</f>
        <v/>
      </c>
    </row>
    <row r="1205">
      <c r="A1205" t="inlineStr">
        <is>
          <t>RP0001204</t>
        </is>
      </c>
      <c r="B1205" t="inlineStr">
        <is>
          <t>LN200177</t>
        </is>
      </c>
      <c r="C1205" t="n">
        <v>4</v>
      </c>
      <c r="D1205" s="8" t="n">
        <v>46336</v>
      </c>
      <c r="E1205" s="9" t="n">
        <v>7682.61</v>
      </c>
      <c r="F1205" s="8" t="n"/>
      <c r="G1205" s="9" t="n">
        <v>0</v>
      </c>
      <c r="H1205" t="inlineStr">
        <is>
          <t>NOT_DUE</t>
        </is>
      </c>
      <c r="I1205">
        <f>IF(H1205="UNPAID", AsOfDate-D1205, 0)</f>
        <v/>
      </c>
      <c r="J1205">
        <f>IF(F1205&lt;&gt;"", TEXT(F1205, "yyyy-mm"), "")</f>
        <v/>
      </c>
    </row>
    <row r="1206">
      <c r="A1206" t="inlineStr">
        <is>
          <t>RP0001205</t>
        </is>
      </c>
      <c r="B1206" t="inlineStr">
        <is>
          <t>LN200177</t>
        </is>
      </c>
      <c r="C1206" t="n">
        <v>5</v>
      </c>
      <c r="D1206" s="8" t="n">
        <v>46366</v>
      </c>
      <c r="E1206" s="9" t="n">
        <v>7682.61</v>
      </c>
      <c r="F1206" s="8" t="n"/>
      <c r="G1206" s="9" t="n">
        <v>0</v>
      </c>
      <c r="H1206" t="inlineStr">
        <is>
          <t>NOT_DUE</t>
        </is>
      </c>
      <c r="I1206">
        <f>IF(H1206="UNPAID", AsOfDate-D1206, 0)</f>
        <v/>
      </c>
      <c r="J1206">
        <f>IF(F1206&lt;&gt;"", TEXT(F1206, "yyyy-mm"), "")</f>
        <v/>
      </c>
    </row>
    <row r="1207">
      <c r="A1207" t="inlineStr">
        <is>
          <t>RP0001206</t>
        </is>
      </c>
      <c r="B1207" t="inlineStr">
        <is>
          <t>LN200177</t>
        </is>
      </c>
      <c r="C1207" t="n">
        <v>6</v>
      </c>
      <c r="D1207" s="8" t="n">
        <v>46397</v>
      </c>
      <c r="E1207" s="9" t="n">
        <v>7682.61</v>
      </c>
      <c r="F1207" s="8" t="n"/>
      <c r="G1207" s="9" t="n">
        <v>0</v>
      </c>
      <c r="H1207" t="inlineStr">
        <is>
          <t>NOT_DUE</t>
        </is>
      </c>
      <c r="I1207">
        <f>IF(H1207="UNPAID", AsOfDate-D1207, 0)</f>
        <v/>
      </c>
      <c r="J1207">
        <f>IF(F1207&lt;&gt;"", TEXT(F1207, "yyyy-mm"), "")</f>
        <v/>
      </c>
    </row>
    <row r="1208">
      <c r="A1208" t="inlineStr">
        <is>
          <t>RP0001207</t>
        </is>
      </c>
      <c r="B1208" t="inlineStr">
        <is>
          <t>LN200177</t>
        </is>
      </c>
      <c r="C1208" t="n">
        <v>7</v>
      </c>
      <c r="D1208" s="8" t="n">
        <v>46428</v>
      </c>
      <c r="E1208" s="9" t="n">
        <v>7682.61</v>
      </c>
      <c r="F1208" s="8" t="n"/>
      <c r="G1208" s="9" t="n">
        <v>0</v>
      </c>
      <c r="H1208" t="inlineStr">
        <is>
          <t>NOT_DUE</t>
        </is>
      </c>
      <c r="I1208">
        <f>IF(H1208="UNPAID", AsOfDate-D1208, 0)</f>
        <v/>
      </c>
      <c r="J1208">
        <f>IF(F1208&lt;&gt;"", TEXT(F1208, "yyyy-mm"), "")</f>
        <v/>
      </c>
    </row>
    <row r="1209">
      <c r="A1209" t="inlineStr">
        <is>
          <t>RP0001208</t>
        </is>
      </c>
      <c r="B1209" t="inlineStr">
        <is>
          <t>LN200177</t>
        </is>
      </c>
      <c r="C1209" t="n">
        <v>8</v>
      </c>
      <c r="D1209" s="8" t="n">
        <v>46456</v>
      </c>
      <c r="E1209" s="9" t="n">
        <v>7682.61</v>
      </c>
      <c r="F1209" s="8" t="n"/>
      <c r="G1209" s="9" t="n">
        <v>0</v>
      </c>
      <c r="H1209" t="inlineStr">
        <is>
          <t>NOT_DUE</t>
        </is>
      </c>
      <c r="I1209">
        <f>IF(H1209="UNPAID", AsOfDate-D1209, 0)</f>
        <v/>
      </c>
      <c r="J1209">
        <f>IF(F1209&lt;&gt;"", TEXT(F1209, "yyyy-mm"), "")</f>
        <v/>
      </c>
    </row>
    <row r="1210">
      <c r="A1210" t="inlineStr">
        <is>
          <t>RP0001209</t>
        </is>
      </c>
      <c r="B1210" t="inlineStr">
        <is>
          <t>LN200177</t>
        </is>
      </c>
      <c r="C1210" t="n">
        <v>9</v>
      </c>
      <c r="D1210" s="8" t="n">
        <v>46487</v>
      </c>
      <c r="E1210" s="9" t="n">
        <v>7682.61</v>
      </c>
      <c r="F1210" s="8" t="n"/>
      <c r="G1210" s="9" t="n">
        <v>0</v>
      </c>
      <c r="H1210" t="inlineStr">
        <is>
          <t>NOT_DUE</t>
        </is>
      </c>
      <c r="I1210">
        <f>IF(H1210="UNPAID", AsOfDate-D1210, 0)</f>
        <v/>
      </c>
      <c r="J1210">
        <f>IF(F1210&lt;&gt;"", TEXT(F1210, "yyyy-mm"), "")</f>
        <v/>
      </c>
    </row>
    <row r="1211">
      <c r="A1211" t="inlineStr">
        <is>
          <t>RP0001210</t>
        </is>
      </c>
      <c r="B1211" t="inlineStr">
        <is>
          <t>LN200179</t>
        </is>
      </c>
      <c r="C1211" t="n">
        <v>1</v>
      </c>
      <c r="D1211" s="8" t="n">
        <v>46069</v>
      </c>
      <c r="E1211" s="9" t="n">
        <v>20225.5</v>
      </c>
      <c r="F1211" s="8" t="n">
        <v>46071</v>
      </c>
      <c r="G1211" s="9" t="n">
        <v>20225.5</v>
      </c>
      <c r="H1211" t="inlineStr">
        <is>
          <t>PAID_ON_TIME</t>
        </is>
      </c>
      <c r="I1211">
        <f>IF(H1211="UNPAID", AsOfDate-D1211, 0)</f>
        <v/>
      </c>
      <c r="J1211">
        <f>IF(F1211&lt;&gt;"", TEXT(F1211, "yyyy-mm"), "")</f>
        <v/>
      </c>
    </row>
    <row r="1212">
      <c r="A1212" t="inlineStr">
        <is>
          <t>RP0001211</t>
        </is>
      </c>
      <c r="B1212" t="inlineStr">
        <is>
          <t>LN200179</t>
        </is>
      </c>
      <c r="C1212" t="n">
        <v>2</v>
      </c>
      <c r="D1212" s="8" t="n">
        <v>46097</v>
      </c>
      <c r="E1212" s="9" t="n">
        <v>20225.5</v>
      </c>
      <c r="F1212" s="8" t="n">
        <v>46096</v>
      </c>
      <c r="G1212" s="9" t="n">
        <v>20225.5</v>
      </c>
      <c r="H1212" t="inlineStr">
        <is>
          <t>PAID_ON_TIME</t>
        </is>
      </c>
      <c r="I1212">
        <f>IF(H1212="UNPAID", AsOfDate-D1212, 0)</f>
        <v/>
      </c>
      <c r="J1212">
        <f>IF(F1212&lt;&gt;"", TEXT(F1212, "yyyy-mm"), "")</f>
        <v/>
      </c>
    </row>
    <row r="1213">
      <c r="A1213" t="inlineStr">
        <is>
          <t>RP0001212</t>
        </is>
      </c>
      <c r="B1213" t="inlineStr">
        <is>
          <t>LN200179</t>
        </is>
      </c>
      <c r="C1213" t="n">
        <v>3</v>
      </c>
      <c r="D1213" s="8" t="n">
        <v>46128</v>
      </c>
      <c r="E1213" s="9" t="n">
        <v>20225.5</v>
      </c>
      <c r="F1213" s="8" t="n">
        <v>46223</v>
      </c>
      <c r="G1213" s="9" t="n">
        <v>20225.5</v>
      </c>
      <c r="H1213" t="inlineStr">
        <is>
          <t>PAID_LATE</t>
        </is>
      </c>
      <c r="I1213">
        <f>IF(H1213="UNPAID", AsOfDate-D1213, 0)</f>
        <v/>
      </c>
      <c r="J1213">
        <f>IF(F1213&lt;&gt;"", TEXT(F1213, "yyyy-mm"), "")</f>
        <v/>
      </c>
    </row>
    <row r="1214">
      <c r="A1214" t="inlineStr">
        <is>
          <t>RP0001213</t>
        </is>
      </c>
      <c r="B1214" t="inlineStr">
        <is>
          <t>LN200179</t>
        </is>
      </c>
      <c r="C1214" t="n">
        <v>4</v>
      </c>
      <c r="D1214" s="8" t="n">
        <v>46158</v>
      </c>
      <c r="E1214" s="9" t="n">
        <v>20225.5</v>
      </c>
      <c r="F1214" s="8" t="n">
        <v>46160</v>
      </c>
      <c r="G1214" s="9" t="n">
        <v>20225.5</v>
      </c>
      <c r="H1214" t="inlineStr">
        <is>
          <t>PAID_ON_TIME</t>
        </is>
      </c>
      <c r="I1214">
        <f>IF(H1214="UNPAID", AsOfDate-D1214, 0)</f>
        <v/>
      </c>
      <c r="J1214">
        <f>IF(F1214&lt;&gt;"", TEXT(F1214, "yyyy-mm"), "")</f>
        <v/>
      </c>
    </row>
    <row r="1215">
      <c r="A1215" t="inlineStr">
        <is>
          <t>RP0001214</t>
        </is>
      </c>
      <c r="B1215" t="inlineStr">
        <is>
          <t>LN200179</t>
        </is>
      </c>
      <c r="C1215" t="n">
        <v>5</v>
      </c>
      <c r="D1215" s="8" t="n">
        <v>46189</v>
      </c>
      <c r="E1215" s="9" t="n">
        <v>20225.5</v>
      </c>
      <c r="F1215" s="8" t="n">
        <v>46188</v>
      </c>
      <c r="G1215" s="9" t="n">
        <v>20225.5</v>
      </c>
      <c r="H1215" t="inlineStr">
        <is>
          <t>PAID_ON_TIME</t>
        </is>
      </c>
      <c r="I1215">
        <f>IF(H1215="UNPAID", AsOfDate-D1215, 0)</f>
        <v/>
      </c>
      <c r="J1215">
        <f>IF(F1215&lt;&gt;"", TEXT(F1215, "yyyy-mm"), "")</f>
        <v/>
      </c>
    </row>
    <row r="1216">
      <c r="A1216" t="inlineStr">
        <is>
          <t>RP0001215</t>
        </is>
      </c>
      <c r="B1216" t="inlineStr">
        <is>
          <t>LN200179</t>
        </is>
      </c>
      <c r="C1216" t="n">
        <v>6</v>
      </c>
      <c r="D1216" s="8" t="n">
        <v>46219</v>
      </c>
      <c r="E1216" s="9" t="n">
        <v>20225.5</v>
      </c>
      <c r="F1216" s="8" t="n"/>
      <c r="G1216" s="9" t="n">
        <v>0</v>
      </c>
      <c r="H1216" t="inlineStr">
        <is>
          <t>UNPAID</t>
        </is>
      </c>
      <c r="I1216">
        <f>IF(H1216="UNPAID", AsOfDate-D1216, 0)</f>
        <v/>
      </c>
      <c r="J1216">
        <f>IF(F1216&lt;&gt;"", TEXT(F1216, "yyyy-mm"), "")</f>
        <v/>
      </c>
    </row>
    <row r="1217">
      <c r="A1217" t="inlineStr">
        <is>
          <t>RP0001216</t>
        </is>
      </c>
      <c r="B1217" t="inlineStr">
        <is>
          <t>LN200180</t>
        </is>
      </c>
      <c r="C1217" t="n">
        <v>1</v>
      </c>
      <c r="D1217" s="8" t="n">
        <v>45785</v>
      </c>
      <c r="E1217" s="9" t="n">
        <v>10307.5</v>
      </c>
      <c r="F1217" s="8" t="n">
        <v>45835</v>
      </c>
      <c r="G1217" s="9" t="n">
        <v>10307.5</v>
      </c>
      <c r="H1217" t="inlineStr">
        <is>
          <t>PAID_LATE</t>
        </is>
      </c>
      <c r="I1217">
        <f>IF(H1217="UNPAID", AsOfDate-D1217, 0)</f>
        <v/>
      </c>
      <c r="J1217">
        <f>IF(F1217&lt;&gt;"", TEXT(F1217, "yyyy-mm"), "")</f>
        <v/>
      </c>
    </row>
    <row r="1218">
      <c r="A1218" t="inlineStr">
        <is>
          <t>RP0001217</t>
        </is>
      </c>
      <c r="B1218" t="inlineStr">
        <is>
          <t>LN200180</t>
        </is>
      </c>
      <c r="C1218" t="n">
        <v>2</v>
      </c>
      <c r="D1218" s="8" t="n">
        <v>45816</v>
      </c>
      <c r="E1218" s="9" t="n">
        <v>10307.5</v>
      </c>
      <c r="F1218" s="8" t="n">
        <v>45819</v>
      </c>
      <c r="G1218" s="9" t="n">
        <v>10307.5</v>
      </c>
      <c r="H1218" t="inlineStr">
        <is>
          <t>PAID_ON_TIME</t>
        </is>
      </c>
      <c r="I1218">
        <f>IF(H1218="UNPAID", AsOfDate-D1218, 0)</f>
        <v/>
      </c>
      <c r="J1218">
        <f>IF(F1218&lt;&gt;"", TEXT(F1218, "yyyy-mm"), "")</f>
        <v/>
      </c>
    </row>
    <row r="1219">
      <c r="A1219" t="inlineStr">
        <is>
          <t>RP0001218</t>
        </is>
      </c>
      <c r="B1219" t="inlineStr">
        <is>
          <t>LN200180</t>
        </is>
      </c>
      <c r="C1219" t="n">
        <v>3</v>
      </c>
      <c r="D1219" s="8" t="n">
        <v>45846</v>
      </c>
      <c r="E1219" s="9" t="n">
        <v>10307.5</v>
      </c>
      <c r="F1219" s="8" t="n">
        <v>45849</v>
      </c>
      <c r="G1219" s="9" t="n">
        <v>10307.5</v>
      </c>
      <c r="H1219" t="inlineStr">
        <is>
          <t>PAID_ON_TIME</t>
        </is>
      </c>
      <c r="I1219">
        <f>IF(H1219="UNPAID", AsOfDate-D1219, 0)</f>
        <v/>
      </c>
      <c r="J1219">
        <f>IF(F1219&lt;&gt;"", TEXT(F1219, "yyyy-mm"), "")</f>
        <v/>
      </c>
    </row>
    <row r="1220">
      <c r="A1220" t="inlineStr">
        <is>
          <t>RP0001219</t>
        </is>
      </c>
      <c r="B1220" t="inlineStr">
        <is>
          <t>LN200181</t>
        </is>
      </c>
      <c r="C1220" t="n">
        <v>1</v>
      </c>
      <c r="D1220" s="8" t="n">
        <v>46072</v>
      </c>
      <c r="E1220" s="9" t="n">
        <v>4507.22</v>
      </c>
      <c r="F1220" s="8" t="n">
        <v>46074</v>
      </c>
      <c r="G1220" s="9" t="n">
        <v>4507.22</v>
      </c>
      <c r="H1220" t="inlineStr">
        <is>
          <t>PAID_ON_TIME</t>
        </is>
      </c>
      <c r="I1220">
        <f>IF(H1220="UNPAID", AsOfDate-D1220, 0)</f>
        <v/>
      </c>
      <c r="J1220">
        <f>IF(F1220&lt;&gt;"", TEXT(F1220, "yyyy-mm"), "")</f>
        <v/>
      </c>
    </row>
    <row r="1221">
      <c r="A1221" t="inlineStr">
        <is>
          <t>RP0001220</t>
        </is>
      </c>
      <c r="B1221" t="inlineStr">
        <is>
          <t>LN200181</t>
        </is>
      </c>
      <c r="C1221" t="n">
        <v>2</v>
      </c>
      <c r="D1221" s="8" t="n">
        <v>46100</v>
      </c>
      <c r="E1221" s="9" t="n">
        <v>4507.22</v>
      </c>
      <c r="F1221" s="8" t="n">
        <v>46099</v>
      </c>
      <c r="G1221" s="9" t="n">
        <v>4507.22</v>
      </c>
      <c r="H1221" t="inlineStr">
        <is>
          <t>PAID_ON_TIME</t>
        </is>
      </c>
      <c r="I1221">
        <f>IF(H1221="UNPAID", AsOfDate-D1221, 0)</f>
        <v/>
      </c>
      <c r="J1221">
        <f>IF(F1221&lt;&gt;"", TEXT(F1221, "yyyy-mm"), "")</f>
        <v/>
      </c>
    </row>
    <row r="1222">
      <c r="A1222" t="inlineStr">
        <is>
          <t>RP0001221</t>
        </is>
      </c>
      <c r="B1222" t="inlineStr">
        <is>
          <t>LN200181</t>
        </is>
      </c>
      <c r="C1222" t="n">
        <v>3</v>
      </c>
      <c r="D1222" s="8" t="n">
        <v>46131</v>
      </c>
      <c r="E1222" s="9" t="n">
        <v>4507.22</v>
      </c>
      <c r="F1222" s="8" t="n">
        <v>46134</v>
      </c>
      <c r="G1222" s="9" t="n">
        <v>4507.22</v>
      </c>
      <c r="H1222" t="inlineStr">
        <is>
          <t>PAID_ON_TIME</t>
        </is>
      </c>
      <c r="I1222">
        <f>IF(H1222="UNPAID", AsOfDate-D1222, 0)</f>
        <v/>
      </c>
      <c r="J1222">
        <f>IF(F1222&lt;&gt;"", TEXT(F1222, "yyyy-mm"), "")</f>
        <v/>
      </c>
    </row>
    <row r="1223">
      <c r="A1223" t="inlineStr">
        <is>
          <t>RP0001222</t>
        </is>
      </c>
      <c r="B1223" t="inlineStr">
        <is>
          <t>LN200181</t>
        </is>
      </c>
      <c r="C1223" t="n">
        <v>4</v>
      </c>
      <c r="D1223" s="8" t="n">
        <v>46161</v>
      </c>
      <c r="E1223" s="9" t="n">
        <v>4507.22</v>
      </c>
      <c r="F1223" s="8" t="n">
        <v>46158</v>
      </c>
      <c r="G1223" s="9" t="n">
        <v>4507.22</v>
      </c>
      <c r="H1223" t="inlineStr">
        <is>
          <t>PAID_ON_TIME</t>
        </is>
      </c>
      <c r="I1223">
        <f>IF(H1223="UNPAID", AsOfDate-D1223, 0)</f>
        <v/>
      </c>
      <c r="J1223">
        <f>IF(F1223&lt;&gt;"", TEXT(F1223, "yyyy-mm"), "")</f>
        <v/>
      </c>
    </row>
    <row r="1224">
      <c r="A1224" t="inlineStr">
        <is>
          <t>RP0001223</t>
        </is>
      </c>
      <c r="B1224" t="inlineStr">
        <is>
          <t>LN200181</t>
        </is>
      </c>
      <c r="C1224" t="n">
        <v>5</v>
      </c>
      <c r="D1224" s="8" t="n">
        <v>46192</v>
      </c>
      <c r="E1224" s="9" t="n">
        <v>4507.22</v>
      </c>
      <c r="F1224" s="8" t="n">
        <v>46189</v>
      </c>
      <c r="G1224" s="9" t="n">
        <v>4507.22</v>
      </c>
      <c r="H1224" t="inlineStr">
        <is>
          <t>PAID_ON_TIME</t>
        </is>
      </c>
      <c r="I1224">
        <f>IF(H1224="UNPAID", AsOfDate-D1224, 0)</f>
        <v/>
      </c>
      <c r="J1224">
        <f>IF(F1224&lt;&gt;"", TEXT(F1224, "yyyy-mm"), "")</f>
        <v/>
      </c>
    </row>
    <row r="1225">
      <c r="A1225" t="inlineStr">
        <is>
          <t>RP0001224</t>
        </is>
      </c>
      <c r="B1225" t="inlineStr">
        <is>
          <t>LN200181</t>
        </is>
      </c>
      <c r="C1225" t="n">
        <v>6</v>
      </c>
      <c r="D1225" s="8" t="n">
        <v>46222</v>
      </c>
      <c r="E1225" s="9" t="n">
        <v>4507.22</v>
      </c>
      <c r="F1225" s="8" t="n">
        <v>46223</v>
      </c>
      <c r="G1225" s="9" t="n">
        <v>4507.22</v>
      </c>
      <c r="H1225" t="inlineStr">
        <is>
          <t>PAID_ON_TIME</t>
        </is>
      </c>
      <c r="I1225">
        <f>IF(H1225="UNPAID", AsOfDate-D1225, 0)</f>
        <v/>
      </c>
      <c r="J1225">
        <f>IF(F1225&lt;&gt;"", TEXT(F1225, "yyyy-mm"), "")</f>
        <v/>
      </c>
    </row>
    <row r="1226">
      <c r="A1226" t="inlineStr">
        <is>
          <t>RP0001225</t>
        </is>
      </c>
      <c r="B1226" t="inlineStr">
        <is>
          <t>LN200181</t>
        </is>
      </c>
      <c r="C1226" t="n">
        <v>7</v>
      </c>
      <c r="D1226" s="8" t="n">
        <v>46253</v>
      </c>
      <c r="E1226" s="9" t="n">
        <v>4507.22</v>
      </c>
      <c r="F1226" s="8" t="n"/>
      <c r="G1226" s="9" t="n">
        <v>0</v>
      </c>
      <c r="H1226" t="inlineStr">
        <is>
          <t>UNPAID</t>
        </is>
      </c>
      <c r="I1226">
        <f>IF(H1226="UNPAID", AsOfDate-D1226, 0)</f>
        <v/>
      </c>
      <c r="J1226">
        <f>IF(F1226&lt;&gt;"", TEXT(F1226, "yyyy-mm"), "")</f>
        <v/>
      </c>
    </row>
    <row r="1227">
      <c r="A1227" t="inlineStr">
        <is>
          <t>RP0001226</t>
        </is>
      </c>
      <c r="B1227" t="inlineStr">
        <is>
          <t>LN200181</t>
        </is>
      </c>
      <c r="C1227" t="n">
        <v>8</v>
      </c>
      <c r="D1227" s="8" t="n">
        <v>46284</v>
      </c>
      <c r="E1227" s="9" t="n">
        <v>4507.22</v>
      </c>
      <c r="F1227" s="8" t="n"/>
      <c r="G1227" s="9" t="n">
        <v>0</v>
      </c>
      <c r="H1227" t="inlineStr">
        <is>
          <t>NOT_DUE</t>
        </is>
      </c>
      <c r="I1227">
        <f>IF(H1227="UNPAID", AsOfDate-D1227, 0)</f>
        <v/>
      </c>
      <c r="J1227">
        <f>IF(F1227&lt;&gt;"", TEXT(F1227, "yyyy-mm"), "")</f>
        <v/>
      </c>
    </row>
    <row r="1228">
      <c r="A1228" t="inlineStr">
        <is>
          <t>RP0001227</t>
        </is>
      </c>
      <c r="B1228" t="inlineStr">
        <is>
          <t>LN200181</t>
        </is>
      </c>
      <c r="C1228" t="n">
        <v>9</v>
      </c>
      <c r="D1228" s="8" t="n">
        <v>46314</v>
      </c>
      <c r="E1228" s="9" t="n">
        <v>4507.22</v>
      </c>
      <c r="F1228" s="8" t="n"/>
      <c r="G1228" s="9" t="n">
        <v>0</v>
      </c>
      <c r="H1228" t="inlineStr">
        <is>
          <t>NOT_DUE</t>
        </is>
      </c>
      <c r="I1228">
        <f>IF(H1228="UNPAID", AsOfDate-D1228, 0)</f>
        <v/>
      </c>
      <c r="J1228">
        <f>IF(F1228&lt;&gt;"", TEXT(F1228, "yyyy-mm"), "")</f>
        <v/>
      </c>
    </row>
    <row r="1229">
      <c r="A1229" t="inlineStr">
        <is>
          <t>RP0001228</t>
        </is>
      </c>
      <c r="B1229" t="inlineStr">
        <is>
          <t>LN200183</t>
        </is>
      </c>
      <c r="C1229" t="n">
        <v>1</v>
      </c>
      <c r="D1229" s="8" t="n">
        <v>45914</v>
      </c>
      <c r="E1229" s="9" t="n">
        <v>10331.44</v>
      </c>
      <c r="F1229" s="8" t="n">
        <v>45917</v>
      </c>
      <c r="G1229" s="9" t="n">
        <v>10331.44</v>
      </c>
      <c r="H1229" t="inlineStr">
        <is>
          <t>PAID_ON_TIME</t>
        </is>
      </c>
      <c r="I1229">
        <f>IF(H1229="UNPAID", AsOfDate-D1229, 0)</f>
        <v/>
      </c>
      <c r="J1229">
        <f>IF(F1229&lt;&gt;"", TEXT(F1229, "yyyy-mm"), "")</f>
        <v/>
      </c>
    </row>
    <row r="1230">
      <c r="A1230" t="inlineStr">
        <is>
          <t>RP0001229</t>
        </is>
      </c>
      <c r="B1230" t="inlineStr">
        <is>
          <t>LN200183</t>
        </is>
      </c>
      <c r="C1230" t="n">
        <v>2</v>
      </c>
      <c r="D1230" s="8" t="n">
        <v>45944</v>
      </c>
      <c r="E1230" s="9" t="n">
        <v>10331.44</v>
      </c>
      <c r="F1230" s="8" t="n">
        <v>45947</v>
      </c>
      <c r="G1230" s="9" t="n">
        <v>10331.44</v>
      </c>
      <c r="H1230" t="inlineStr">
        <is>
          <t>PAID_ON_TIME</t>
        </is>
      </c>
      <c r="I1230">
        <f>IF(H1230="UNPAID", AsOfDate-D1230, 0)</f>
        <v/>
      </c>
      <c r="J1230">
        <f>IF(F1230&lt;&gt;"", TEXT(F1230, "yyyy-mm"), "")</f>
        <v/>
      </c>
    </row>
    <row r="1231">
      <c r="A1231" t="inlineStr">
        <is>
          <t>RP0001230</t>
        </is>
      </c>
      <c r="B1231" t="inlineStr">
        <is>
          <t>LN200183</t>
        </is>
      </c>
      <c r="C1231" t="n">
        <v>3</v>
      </c>
      <c r="D1231" s="8" t="n">
        <v>45975</v>
      </c>
      <c r="E1231" s="9" t="n">
        <v>10331.44</v>
      </c>
      <c r="F1231" s="8" t="n">
        <v>45975</v>
      </c>
      <c r="G1231" s="9" t="n">
        <v>10331.44</v>
      </c>
      <c r="H1231" t="inlineStr">
        <is>
          <t>PAID_ON_TIME</t>
        </is>
      </c>
      <c r="I1231">
        <f>IF(H1231="UNPAID", AsOfDate-D1231, 0)</f>
        <v/>
      </c>
      <c r="J1231">
        <f>IF(F1231&lt;&gt;"", TEXT(F1231, "yyyy-mm"), "")</f>
        <v/>
      </c>
    </row>
    <row r="1232">
      <c r="A1232" t="inlineStr">
        <is>
          <t>RP0001231</t>
        </is>
      </c>
      <c r="B1232" t="inlineStr">
        <is>
          <t>LN200183</t>
        </is>
      </c>
      <c r="C1232" t="n">
        <v>4</v>
      </c>
      <c r="D1232" s="8" t="n">
        <v>46005</v>
      </c>
      <c r="E1232" s="9" t="n">
        <v>10331.44</v>
      </c>
      <c r="F1232" s="8" t="n">
        <v>46007</v>
      </c>
      <c r="G1232" s="9" t="n">
        <v>10331.44</v>
      </c>
      <c r="H1232" t="inlineStr">
        <is>
          <t>PAID_ON_TIME</t>
        </is>
      </c>
      <c r="I1232">
        <f>IF(H1232="UNPAID", AsOfDate-D1232, 0)</f>
        <v/>
      </c>
      <c r="J1232">
        <f>IF(F1232&lt;&gt;"", TEXT(F1232, "yyyy-mm"), "")</f>
        <v/>
      </c>
    </row>
    <row r="1233">
      <c r="A1233" t="inlineStr">
        <is>
          <t>RP0001232</t>
        </is>
      </c>
      <c r="B1233" t="inlineStr">
        <is>
          <t>LN200183</t>
        </is>
      </c>
      <c r="C1233" t="n">
        <v>5</v>
      </c>
      <c r="D1233" s="8" t="n">
        <v>46036</v>
      </c>
      <c r="E1233" s="9" t="n">
        <v>10331.44</v>
      </c>
      <c r="F1233" s="8" t="n">
        <v>46035</v>
      </c>
      <c r="G1233" s="9" t="n">
        <v>10331.44</v>
      </c>
      <c r="H1233" t="inlineStr">
        <is>
          <t>PAID_ON_TIME</t>
        </is>
      </c>
      <c r="I1233">
        <f>IF(H1233="UNPAID", AsOfDate-D1233, 0)</f>
        <v/>
      </c>
      <c r="J1233">
        <f>IF(F1233&lt;&gt;"", TEXT(F1233, "yyyy-mm"), "")</f>
        <v/>
      </c>
    </row>
    <row r="1234">
      <c r="A1234" t="inlineStr">
        <is>
          <t>RP0001233</t>
        </is>
      </c>
      <c r="B1234" t="inlineStr">
        <is>
          <t>LN200183</t>
        </is>
      </c>
      <c r="C1234" t="n">
        <v>6</v>
      </c>
      <c r="D1234" s="8" t="n">
        <v>46067</v>
      </c>
      <c r="E1234" s="9" t="n">
        <v>10331.44</v>
      </c>
      <c r="F1234" s="8" t="n">
        <v>46065</v>
      </c>
      <c r="G1234" s="9" t="n">
        <v>10331.44</v>
      </c>
      <c r="H1234" t="inlineStr">
        <is>
          <t>PAID_ON_TIME</t>
        </is>
      </c>
      <c r="I1234">
        <f>IF(H1234="UNPAID", AsOfDate-D1234, 0)</f>
        <v/>
      </c>
      <c r="J1234">
        <f>IF(F1234&lt;&gt;"", TEXT(F1234, "yyyy-mm"), "")</f>
        <v/>
      </c>
    </row>
    <row r="1235">
      <c r="A1235" t="inlineStr">
        <is>
          <t>RP0001234</t>
        </is>
      </c>
      <c r="B1235" t="inlineStr">
        <is>
          <t>LN200183</t>
        </is>
      </c>
      <c r="C1235" t="n">
        <v>7</v>
      </c>
      <c r="D1235" s="8" t="n">
        <v>46095</v>
      </c>
      <c r="E1235" s="9" t="n">
        <v>10331.44</v>
      </c>
      <c r="F1235" s="8" t="n">
        <v>46099</v>
      </c>
      <c r="G1235" s="9" t="n">
        <v>10331.44</v>
      </c>
      <c r="H1235" t="inlineStr">
        <is>
          <t>PAID_ON_TIME</t>
        </is>
      </c>
      <c r="I1235">
        <f>IF(H1235="UNPAID", AsOfDate-D1235, 0)</f>
        <v/>
      </c>
      <c r="J1235">
        <f>IF(F1235&lt;&gt;"", TEXT(F1235, "yyyy-mm"), "")</f>
        <v/>
      </c>
    </row>
    <row r="1236">
      <c r="A1236" t="inlineStr">
        <is>
          <t>RP0001235</t>
        </is>
      </c>
      <c r="B1236" t="inlineStr">
        <is>
          <t>LN200183</t>
        </is>
      </c>
      <c r="C1236" t="n">
        <v>8</v>
      </c>
      <c r="D1236" s="8" t="n">
        <v>46126</v>
      </c>
      <c r="E1236" s="9" t="n">
        <v>10331.44</v>
      </c>
      <c r="F1236" s="8" t="n">
        <v>46124</v>
      </c>
      <c r="G1236" s="9" t="n">
        <v>10331.44</v>
      </c>
      <c r="H1236" t="inlineStr">
        <is>
          <t>PAID_ON_TIME</t>
        </is>
      </c>
      <c r="I1236">
        <f>IF(H1236="UNPAID", AsOfDate-D1236, 0)</f>
        <v/>
      </c>
      <c r="J1236">
        <f>IF(F1236&lt;&gt;"", TEXT(F1236, "yyyy-mm"), "")</f>
        <v/>
      </c>
    </row>
    <row r="1237">
      <c r="A1237" t="inlineStr">
        <is>
          <t>RP0001236</t>
        </is>
      </c>
      <c r="B1237" t="inlineStr">
        <is>
          <t>LN200183</t>
        </is>
      </c>
      <c r="C1237" t="n">
        <v>9</v>
      </c>
      <c r="D1237" s="8" t="n">
        <v>46156</v>
      </c>
      <c r="E1237" s="9" t="n">
        <v>10331.44</v>
      </c>
      <c r="F1237" s="8" t="n">
        <v>46159</v>
      </c>
      <c r="G1237" s="9" t="n">
        <v>10331.44</v>
      </c>
      <c r="H1237" t="inlineStr">
        <is>
          <t>PAID_ON_TIME</t>
        </is>
      </c>
      <c r="I1237">
        <f>IF(H1237="UNPAID", AsOfDate-D1237, 0)</f>
        <v/>
      </c>
      <c r="J1237">
        <f>IF(F1237&lt;&gt;"", TEXT(F1237, "yyyy-mm"), "")</f>
        <v/>
      </c>
    </row>
    <row r="1238">
      <c r="A1238" t="inlineStr">
        <is>
          <t>RP0001237</t>
        </is>
      </c>
      <c r="B1238" t="inlineStr">
        <is>
          <t>LN200184</t>
        </is>
      </c>
      <c r="C1238" t="n">
        <v>1</v>
      </c>
      <c r="D1238" s="8" t="n">
        <v>45882</v>
      </c>
      <c r="E1238" s="9" t="n">
        <v>13632</v>
      </c>
      <c r="F1238" s="8" t="n">
        <v>45885</v>
      </c>
      <c r="G1238" s="9" t="n">
        <v>13632</v>
      </c>
      <c r="H1238" t="inlineStr">
        <is>
          <t>PAID_ON_TIME</t>
        </is>
      </c>
      <c r="I1238">
        <f>IF(H1238="UNPAID", AsOfDate-D1238, 0)</f>
        <v/>
      </c>
      <c r="J1238">
        <f>IF(F1238&lt;&gt;"", TEXT(F1238, "yyyy-mm"), "")</f>
        <v/>
      </c>
    </row>
    <row r="1239">
      <c r="A1239" t="inlineStr">
        <is>
          <t>RP0001238</t>
        </is>
      </c>
      <c r="B1239" t="inlineStr">
        <is>
          <t>LN200184</t>
        </is>
      </c>
      <c r="C1239" t="n">
        <v>2</v>
      </c>
      <c r="D1239" s="8" t="n">
        <v>45913</v>
      </c>
      <c r="E1239" s="9" t="n">
        <v>13632</v>
      </c>
      <c r="F1239" s="8" t="n">
        <v>45966</v>
      </c>
      <c r="G1239" s="9" t="n">
        <v>13632</v>
      </c>
      <c r="H1239" t="inlineStr">
        <is>
          <t>PAID_LATE</t>
        </is>
      </c>
      <c r="I1239">
        <f>IF(H1239="UNPAID", AsOfDate-D1239, 0)</f>
        <v/>
      </c>
      <c r="J1239">
        <f>IF(F1239&lt;&gt;"", TEXT(F1239, "yyyy-mm"), "")</f>
        <v/>
      </c>
    </row>
    <row r="1240">
      <c r="A1240" t="inlineStr">
        <is>
          <t>RP0001239</t>
        </is>
      </c>
      <c r="B1240" t="inlineStr">
        <is>
          <t>LN200184</t>
        </is>
      </c>
      <c r="C1240" t="n">
        <v>3</v>
      </c>
      <c r="D1240" s="8" t="n">
        <v>45943</v>
      </c>
      <c r="E1240" s="9" t="n">
        <v>13632</v>
      </c>
      <c r="F1240" s="8" t="n">
        <v>45986</v>
      </c>
      <c r="G1240" s="9" t="n">
        <v>13632</v>
      </c>
      <c r="H1240" t="inlineStr">
        <is>
          <t>PAID_LATE</t>
        </is>
      </c>
      <c r="I1240">
        <f>IF(H1240="UNPAID", AsOfDate-D1240, 0)</f>
        <v/>
      </c>
      <c r="J1240">
        <f>IF(F1240&lt;&gt;"", TEXT(F1240, "yyyy-mm"), "")</f>
        <v/>
      </c>
    </row>
    <row r="1241">
      <c r="A1241" t="inlineStr">
        <is>
          <t>RP0001240</t>
        </is>
      </c>
      <c r="B1241" t="inlineStr">
        <is>
          <t>LN200184</t>
        </is>
      </c>
      <c r="C1241" t="n">
        <v>4</v>
      </c>
      <c r="D1241" s="8" t="n">
        <v>45974</v>
      </c>
      <c r="E1241" s="9" t="n">
        <v>13632</v>
      </c>
      <c r="F1241" s="8" t="n">
        <v>45975</v>
      </c>
      <c r="G1241" s="9" t="n">
        <v>13632</v>
      </c>
      <c r="H1241" t="inlineStr">
        <is>
          <t>PAID_ON_TIME</t>
        </is>
      </c>
      <c r="I1241">
        <f>IF(H1241="UNPAID", AsOfDate-D1241, 0)</f>
        <v/>
      </c>
      <c r="J1241">
        <f>IF(F1241&lt;&gt;"", TEXT(F1241, "yyyy-mm"), "")</f>
        <v/>
      </c>
    </row>
    <row r="1242">
      <c r="A1242" t="inlineStr">
        <is>
          <t>RP0001241</t>
        </is>
      </c>
      <c r="B1242" t="inlineStr">
        <is>
          <t>LN200184</t>
        </is>
      </c>
      <c r="C1242" t="n">
        <v>5</v>
      </c>
      <c r="D1242" s="8" t="n">
        <v>46004</v>
      </c>
      <c r="E1242" s="9" t="n">
        <v>13632</v>
      </c>
      <c r="F1242" s="8" t="n">
        <v>46102</v>
      </c>
      <c r="G1242" s="9" t="n">
        <v>13632</v>
      </c>
      <c r="H1242" t="inlineStr">
        <is>
          <t>PAID_LATE</t>
        </is>
      </c>
      <c r="I1242">
        <f>IF(H1242="UNPAID", AsOfDate-D1242, 0)</f>
        <v/>
      </c>
      <c r="J1242">
        <f>IF(F1242&lt;&gt;"", TEXT(F1242, "yyyy-mm"), "")</f>
        <v/>
      </c>
    </row>
    <row r="1243">
      <c r="A1243" t="inlineStr">
        <is>
          <t>RP0001242</t>
        </is>
      </c>
      <c r="B1243" t="inlineStr">
        <is>
          <t>LN200184</t>
        </is>
      </c>
      <c r="C1243" t="n">
        <v>6</v>
      </c>
      <c r="D1243" s="8" t="n">
        <v>46035</v>
      </c>
      <c r="E1243" s="9" t="n">
        <v>13632</v>
      </c>
      <c r="F1243" s="8" t="n">
        <v>46039</v>
      </c>
      <c r="G1243" s="9" t="n">
        <v>13632</v>
      </c>
      <c r="H1243" t="inlineStr">
        <is>
          <t>PAID_ON_TIME</t>
        </is>
      </c>
      <c r="I1243">
        <f>IF(H1243="UNPAID", AsOfDate-D1243, 0)</f>
        <v/>
      </c>
      <c r="J1243">
        <f>IF(F1243&lt;&gt;"", TEXT(F1243, "yyyy-mm"), "")</f>
        <v/>
      </c>
    </row>
    <row r="1244">
      <c r="A1244" t="inlineStr">
        <is>
          <t>RP0001243</t>
        </is>
      </c>
      <c r="B1244" t="inlineStr">
        <is>
          <t>LN200184</t>
        </is>
      </c>
      <c r="C1244" t="n">
        <v>7</v>
      </c>
      <c r="D1244" s="8" t="n">
        <v>46066</v>
      </c>
      <c r="E1244" s="9" t="n">
        <v>13632</v>
      </c>
      <c r="F1244" s="8" t="n">
        <v>46066</v>
      </c>
      <c r="G1244" s="9" t="n">
        <v>13632</v>
      </c>
      <c r="H1244" t="inlineStr">
        <is>
          <t>PAID_ON_TIME</t>
        </is>
      </c>
      <c r="I1244">
        <f>IF(H1244="UNPAID", AsOfDate-D1244, 0)</f>
        <v/>
      </c>
      <c r="J1244">
        <f>IF(F1244&lt;&gt;"", TEXT(F1244, "yyyy-mm"), "")</f>
        <v/>
      </c>
    </row>
    <row r="1245">
      <c r="A1245" t="inlineStr">
        <is>
          <t>RP0001244</t>
        </is>
      </c>
      <c r="B1245" t="inlineStr">
        <is>
          <t>LN200184</t>
        </is>
      </c>
      <c r="C1245" t="n">
        <v>8</v>
      </c>
      <c r="D1245" s="8" t="n">
        <v>46094</v>
      </c>
      <c r="E1245" s="9" t="n">
        <v>13632</v>
      </c>
      <c r="F1245" s="8" t="n">
        <v>46098</v>
      </c>
      <c r="G1245" s="9" t="n">
        <v>13632</v>
      </c>
      <c r="H1245" t="inlineStr">
        <is>
          <t>PAID_ON_TIME</t>
        </is>
      </c>
      <c r="I1245">
        <f>IF(H1245="UNPAID", AsOfDate-D1245, 0)</f>
        <v/>
      </c>
      <c r="J1245">
        <f>IF(F1245&lt;&gt;"", TEXT(F1245, "yyyy-mm"), "")</f>
        <v/>
      </c>
    </row>
    <row r="1246">
      <c r="A1246" t="inlineStr">
        <is>
          <t>RP0001245</t>
        </is>
      </c>
      <c r="B1246" t="inlineStr">
        <is>
          <t>LN200184</t>
        </is>
      </c>
      <c r="C1246" t="n">
        <v>9</v>
      </c>
      <c r="D1246" s="8" t="n">
        <v>46125</v>
      </c>
      <c r="E1246" s="9" t="n">
        <v>13632</v>
      </c>
      <c r="F1246" s="8" t="n">
        <v>46122</v>
      </c>
      <c r="G1246" s="9" t="n">
        <v>13632</v>
      </c>
      <c r="H1246" t="inlineStr">
        <is>
          <t>PAID_ON_TIME</t>
        </is>
      </c>
      <c r="I1246">
        <f>IF(H1246="UNPAID", AsOfDate-D1246, 0)</f>
        <v/>
      </c>
      <c r="J1246">
        <f>IF(F1246&lt;&gt;"", TEXT(F1246, "yyyy-mm"), "")</f>
        <v/>
      </c>
    </row>
    <row r="1247">
      <c r="A1247" t="inlineStr">
        <is>
          <t>RP0001246</t>
        </is>
      </c>
      <c r="B1247" t="inlineStr">
        <is>
          <t>LN200184</t>
        </is>
      </c>
      <c r="C1247" t="n">
        <v>10</v>
      </c>
      <c r="D1247" s="8" t="n">
        <v>46155</v>
      </c>
      <c r="E1247" s="9" t="n">
        <v>13632</v>
      </c>
      <c r="F1247" s="8" t="n">
        <v>46188</v>
      </c>
      <c r="G1247" s="9" t="n">
        <v>13632</v>
      </c>
      <c r="H1247" t="inlineStr">
        <is>
          <t>PAID_LATE</t>
        </is>
      </c>
      <c r="I1247">
        <f>IF(H1247="UNPAID", AsOfDate-D1247, 0)</f>
        <v/>
      </c>
      <c r="J1247">
        <f>IF(F1247&lt;&gt;"", TEXT(F1247, "yyyy-mm"), "")</f>
        <v/>
      </c>
    </row>
    <row r="1248">
      <c r="A1248" t="inlineStr">
        <is>
          <t>RP0001247</t>
        </is>
      </c>
      <c r="B1248" t="inlineStr">
        <is>
          <t>LN200184</t>
        </is>
      </c>
      <c r="C1248" t="n">
        <v>11</v>
      </c>
      <c r="D1248" s="8" t="n">
        <v>46186</v>
      </c>
      <c r="E1248" s="9" t="n">
        <v>13632</v>
      </c>
      <c r="F1248" s="8" t="n">
        <v>46184</v>
      </c>
      <c r="G1248" s="9" t="n">
        <v>13632</v>
      </c>
      <c r="H1248" t="inlineStr">
        <is>
          <t>PAID_ON_TIME</t>
        </is>
      </c>
      <c r="I1248">
        <f>IF(H1248="UNPAID", AsOfDate-D1248, 0)</f>
        <v/>
      </c>
      <c r="J1248">
        <f>IF(F1248&lt;&gt;"", TEXT(F1248, "yyyy-mm"), "")</f>
        <v/>
      </c>
    </row>
    <row r="1249">
      <c r="A1249" t="inlineStr">
        <is>
          <t>RP0001248</t>
        </is>
      </c>
      <c r="B1249" t="inlineStr">
        <is>
          <t>LN200184</t>
        </is>
      </c>
      <c r="C1249" t="n">
        <v>12</v>
      </c>
      <c r="D1249" s="8" t="n">
        <v>46216</v>
      </c>
      <c r="E1249" s="9" t="n">
        <v>13632</v>
      </c>
      <c r="F1249" s="8" t="n">
        <v>46219</v>
      </c>
      <c r="G1249" s="9" t="n">
        <v>13632</v>
      </c>
      <c r="H1249" t="inlineStr">
        <is>
          <t>PAID_ON_TIME</t>
        </is>
      </c>
      <c r="I1249">
        <f>IF(H1249="UNPAID", AsOfDate-D1249, 0)</f>
        <v/>
      </c>
      <c r="J1249">
        <f>IF(F1249&lt;&gt;"", TEXT(F1249, "yyyy-mm"), "")</f>
        <v/>
      </c>
    </row>
    <row r="1250">
      <c r="A1250" t="inlineStr">
        <is>
          <t>RP0001249</t>
        </is>
      </c>
      <c r="B1250" t="inlineStr">
        <is>
          <t>LN200185</t>
        </is>
      </c>
      <c r="C1250" t="n">
        <v>1</v>
      </c>
      <c r="D1250" s="8" t="n">
        <v>46255</v>
      </c>
      <c r="E1250" s="9" t="n">
        <v>3951.11</v>
      </c>
      <c r="F1250" s="8" t="n">
        <v>46255</v>
      </c>
      <c r="G1250" s="9" t="n">
        <v>3951.11</v>
      </c>
      <c r="H1250" t="inlineStr">
        <is>
          <t>PAID_ON_TIME</t>
        </is>
      </c>
      <c r="I1250">
        <f>IF(H1250="UNPAID", AsOfDate-D1250, 0)</f>
        <v/>
      </c>
      <c r="J1250">
        <f>IF(F1250&lt;&gt;"", TEXT(F1250, "yyyy-mm"), "")</f>
        <v/>
      </c>
    </row>
    <row r="1251">
      <c r="A1251" t="inlineStr">
        <is>
          <t>RP0001250</t>
        </is>
      </c>
      <c r="B1251" t="inlineStr">
        <is>
          <t>LN200185</t>
        </is>
      </c>
      <c r="C1251" t="n">
        <v>2</v>
      </c>
      <c r="D1251" s="8" t="n">
        <v>46286</v>
      </c>
      <c r="E1251" s="9" t="n">
        <v>3951.11</v>
      </c>
      <c r="F1251" s="8" t="n"/>
      <c r="G1251" s="9" t="n">
        <v>0</v>
      </c>
      <c r="H1251" t="inlineStr">
        <is>
          <t>NOT_DUE</t>
        </is>
      </c>
      <c r="I1251">
        <f>IF(H1251="UNPAID", AsOfDate-D1251, 0)</f>
        <v/>
      </c>
      <c r="J1251">
        <f>IF(F1251&lt;&gt;"", TEXT(F1251, "yyyy-mm"), "")</f>
        <v/>
      </c>
    </row>
    <row r="1252">
      <c r="A1252" t="inlineStr">
        <is>
          <t>RP0001251</t>
        </is>
      </c>
      <c r="B1252" t="inlineStr">
        <is>
          <t>LN200185</t>
        </is>
      </c>
      <c r="C1252" t="n">
        <v>3</v>
      </c>
      <c r="D1252" s="8" t="n">
        <v>46316</v>
      </c>
      <c r="E1252" s="9" t="n">
        <v>3951.11</v>
      </c>
      <c r="F1252" s="8" t="n"/>
      <c r="G1252" s="9" t="n">
        <v>0</v>
      </c>
      <c r="H1252" t="inlineStr">
        <is>
          <t>NOT_DUE</t>
        </is>
      </c>
      <c r="I1252">
        <f>IF(H1252="UNPAID", AsOfDate-D1252, 0)</f>
        <v/>
      </c>
      <c r="J1252">
        <f>IF(F1252&lt;&gt;"", TEXT(F1252, "yyyy-mm"), "")</f>
        <v/>
      </c>
    </row>
    <row r="1253">
      <c r="A1253" t="inlineStr">
        <is>
          <t>RP0001252</t>
        </is>
      </c>
      <c r="B1253" t="inlineStr">
        <is>
          <t>LN200185</t>
        </is>
      </c>
      <c r="C1253" t="n">
        <v>4</v>
      </c>
      <c r="D1253" s="8" t="n">
        <v>46347</v>
      </c>
      <c r="E1253" s="9" t="n">
        <v>3951.11</v>
      </c>
      <c r="F1253" s="8" t="n"/>
      <c r="G1253" s="9" t="n">
        <v>0</v>
      </c>
      <c r="H1253" t="inlineStr">
        <is>
          <t>NOT_DUE</t>
        </is>
      </c>
      <c r="I1253">
        <f>IF(H1253="UNPAID", AsOfDate-D1253, 0)</f>
        <v/>
      </c>
      <c r="J1253">
        <f>IF(F1253&lt;&gt;"", TEXT(F1253, "yyyy-mm"), "")</f>
        <v/>
      </c>
    </row>
    <row r="1254">
      <c r="A1254" t="inlineStr">
        <is>
          <t>RP0001253</t>
        </is>
      </c>
      <c r="B1254" t="inlineStr">
        <is>
          <t>LN200185</t>
        </is>
      </c>
      <c r="C1254" t="n">
        <v>5</v>
      </c>
      <c r="D1254" s="8" t="n">
        <v>46377</v>
      </c>
      <c r="E1254" s="9" t="n">
        <v>3951.11</v>
      </c>
      <c r="F1254" s="8" t="n"/>
      <c r="G1254" s="9" t="n">
        <v>0</v>
      </c>
      <c r="H1254" t="inlineStr">
        <is>
          <t>NOT_DUE</t>
        </is>
      </c>
      <c r="I1254">
        <f>IF(H1254="UNPAID", AsOfDate-D1254, 0)</f>
        <v/>
      </c>
      <c r="J1254">
        <f>IF(F1254&lt;&gt;"", TEXT(F1254, "yyyy-mm"), "")</f>
        <v/>
      </c>
    </row>
    <row r="1255">
      <c r="A1255" t="inlineStr">
        <is>
          <t>RP0001254</t>
        </is>
      </c>
      <c r="B1255" t="inlineStr">
        <is>
          <t>LN200185</t>
        </is>
      </c>
      <c r="C1255" t="n">
        <v>6</v>
      </c>
      <c r="D1255" s="8" t="n">
        <v>46408</v>
      </c>
      <c r="E1255" s="9" t="n">
        <v>3951.11</v>
      </c>
      <c r="F1255" s="8" t="n"/>
      <c r="G1255" s="9" t="n">
        <v>0</v>
      </c>
      <c r="H1255" t="inlineStr">
        <is>
          <t>NOT_DUE</t>
        </is>
      </c>
      <c r="I1255">
        <f>IF(H1255="UNPAID", AsOfDate-D1255, 0)</f>
        <v/>
      </c>
      <c r="J1255">
        <f>IF(F1255&lt;&gt;"", TEXT(F1255, "yyyy-mm"), "")</f>
        <v/>
      </c>
    </row>
    <row r="1256">
      <c r="A1256" t="inlineStr">
        <is>
          <t>RP0001255</t>
        </is>
      </c>
      <c r="B1256" t="inlineStr">
        <is>
          <t>LN200185</t>
        </is>
      </c>
      <c r="C1256" t="n">
        <v>7</v>
      </c>
      <c r="D1256" s="8" t="n">
        <v>46439</v>
      </c>
      <c r="E1256" s="9" t="n">
        <v>3951.11</v>
      </c>
      <c r="F1256" s="8" t="n"/>
      <c r="G1256" s="9" t="n">
        <v>0</v>
      </c>
      <c r="H1256" t="inlineStr">
        <is>
          <t>NOT_DUE</t>
        </is>
      </c>
      <c r="I1256">
        <f>IF(H1256="UNPAID", AsOfDate-D1256, 0)</f>
        <v/>
      </c>
      <c r="J1256">
        <f>IF(F1256&lt;&gt;"", TEXT(F1256, "yyyy-mm"), "")</f>
        <v/>
      </c>
    </row>
    <row r="1257">
      <c r="A1257" t="inlineStr">
        <is>
          <t>RP0001256</t>
        </is>
      </c>
      <c r="B1257" t="inlineStr">
        <is>
          <t>LN200185</t>
        </is>
      </c>
      <c r="C1257" t="n">
        <v>8</v>
      </c>
      <c r="D1257" s="8" t="n">
        <v>46467</v>
      </c>
      <c r="E1257" s="9" t="n">
        <v>3951.11</v>
      </c>
      <c r="F1257" s="8" t="n"/>
      <c r="G1257" s="9" t="n">
        <v>0</v>
      </c>
      <c r="H1257" t="inlineStr">
        <is>
          <t>NOT_DUE</t>
        </is>
      </c>
      <c r="I1257">
        <f>IF(H1257="UNPAID", AsOfDate-D1257, 0)</f>
        <v/>
      </c>
      <c r="J1257">
        <f>IF(F1257&lt;&gt;"", TEXT(F1257, "yyyy-mm"), "")</f>
        <v/>
      </c>
    </row>
    <row r="1258">
      <c r="A1258" t="inlineStr">
        <is>
          <t>RP0001257</t>
        </is>
      </c>
      <c r="B1258" t="inlineStr">
        <is>
          <t>LN200185</t>
        </is>
      </c>
      <c r="C1258" t="n">
        <v>9</v>
      </c>
      <c r="D1258" s="8" t="n">
        <v>46498</v>
      </c>
      <c r="E1258" s="9" t="n">
        <v>3951.11</v>
      </c>
      <c r="F1258" s="8" t="n"/>
      <c r="G1258" s="9" t="n">
        <v>0</v>
      </c>
      <c r="H1258" t="inlineStr">
        <is>
          <t>NOT_DUE</t>
        </is>
      </c>
      <c r="I1258">
        <f>IF(H1258="UNPAID", AsOfDate-D1258, 0)</f>
        <v/>
      </c>
      <c r="J1258">
        <f>IF(F1258&lt;&gt;"", TEXT(F1258, "yyyy-mm"), "")</f>
        <v/>
      </c>
    </row>
    <row r="1259">
      <c r="A1259" t="inlineStr">
        <is>
          <t>RP0001258</t>
        </is>
      </c>
      <c r="B1259" t="inlineStr">
        <is>
          <t>LN200185</t>
        </is>
      </c>
      <c r="C1259" t="n">
        <v>10</v>
      </c>
      <c r="D1259" s="8" t="n">
        <v>46528</v>
      </c>
      <c r="E1259" s="9" t="n">
        <v>3951.11</v>
      </c>
      <c r="F1259" s="8" t="n"/>
      <c r="G1259" s="9" t="n">
        <v>0</v>
      </c>
      <c r="H1259" t="inlineStr">
        <is>
          <t>NOT_DUE</t>
        </is>
      </c>
      <c r="I1259">
        <f>IF(H1259="UNPAID", AsOfDate-D1259, 0)</f>
        <v/>
      </c>
      <c r="J1259">
        <f>IF(F1259&lt;&gt;"", TEXT(F1259, "yyyy-mm"), "")</f>
        <v/>
      </c>
    </row>
    <row r="1260">
      <c r="A1260" t="inlineStr">
        <is>
          <t>RP0001259</t>
        </is>
      </c>
      <c r="B1260" t="inlineStr">
        <is>
          <t>LN200185</t>
        </is>
      </c>
      <c r="C1260" t="n">
        <v>11</v>
      </c>
      <c r="D1260" s="8" t="n">
        <v>46559</v>
      </c>
      <c r="E1260" s="9" t="n">
        <v>3951.11</v>
      </c>
      <c r="F1260" s="8" t="n"/>
      <c r="G1260" s="9" t="n">
        <v>0</v>
      </c>
      <c r="H1260" t="inlineStr">
        <is>
          <t>NOT_DUE</t>
        </is>
      </c>
      <c r="I1260">
        <f>IF(H1260="UNPAID", AsOfDate-D1260, 0)</f>
        <v/>
      </c>
      <c r="J1260">
        <f>IF(F1260&lt;&gt;"", TEXT(F1260, "yyyy-mm"), "")</f>
        <v/>
      </c>
    </row>
    <row r="1261">
      <c r="A1261" t="inlineStr">
        <is>
          <t>RP0001260</t>
        </is>
      </c>
      <c r="B1261" t="inlineStr">
        <is>
          <t>LN200185</t>
        </is>
      </c>
      <c r="C1261" t="n">
        <v>12</v>
      </c>
      <c r="D1261" s="8" t="n">
        <v>46589</v>
      </c>
      <c r="E1261" s="9" t="n">
        <v>3951.11</v>
      </c>
      <c r="F1261" s="8" t="n"/>
      <c r="G1261" s="9" t="n">
        <v>0</v>
      </c>
      <c r="H1261" t="inlineStr">
        <is>
          <t>NOT_DUE</t>
        </is>
      </c>
      <c r="I1261">
        <f>IF(H1261="UNPAID", AsOfDate-D1261, 0)</f>
        <v/>
      </c>
      <c r="J1261">
        <f>IF(F1261&lt;&gt;"", TEXT(F1261, "yyyy-mm"), "")</f>
        <v/>
      </c>
    </row>
    <row r="1262">
      <c r="A1262" t="inlineStr">
        <is>
          <t>RP0001261</t>
        </is>
      </c>
      <c r="B1262" t="inlineStr">
        <is>
          <t>LN200185</t>
        </is>
      </c>
      <c r="C1262" t="n">
        <v>13</v>
      </c>
      <c r="D1262" s="8" t="n">
        <v>46620</v>
      </c>
      <c r="E1262" s="9" t="n">
        <v>3951.11</v>
      </c>
      <c r="F1262" s="8" t="n"/>
      <c r="G1262" s="9" t="n">
        <v>0</v>
      </c>
      <c r="H1262" t="inlineStr">
        <is>
          <t>NOT_DUE</t>
        </is>
      </c>
      <c r="I1262">
        <f>IF(H1262="UNPAID", AsOfDate-D1262, 0)</f>
        <v/>
      </c>
      <c r="J1262">
        <f>IF(F1262&lt;&gt;"", TEXT(F1262, "yyyy-mm"), "")</f>
        <v/>
      </c>
    </row>
    <row r="1263">
      <c r="A1263" t="inlineStr">
        <is>
          <t>RP0001262</t>
        </is>
      </c>
      <c r="B1263" t="inlineStr">
        <is>
          <t>LN200185</t>
        </is>
      </c>
      <c r="C1263" t="n">
        <v>14</v>
      </c>
      <c r="D1263" s="8" t="n">
        <v>46651</v>
      </c>
      <c r="E1263" s="9" t="n">
        <v>3951.11</v>
      </c>
      <c r="F1263" s="8" t="n"/>
      <c r="G1263" s="9" t="n">
        <v>0</v>
      </c>
      <c r="H1263" t="inlineStr">
        <is>
          <t>NOT_DUE</t>
        </is>
      </c>
      <c r="I1263">
        <f>IF(H1263="UNPAID", AsOfDate-D1263, 0)</f>
        <v/>
      </c>
      <c r="J1263">
        <f>IF(F1263&lt;&gt;"", TEXT(F1263, "yyyy-mm"), "")</f>
        <v/>
      </c>
    </row>
    <row r="1264">
      <c r="A1264" t="inlineStr">
        <is>
          <t>RP0001263</t>
        </is>
      </c>
      <c r="B1264" t="inlineStr">
        <is>
          <t>LN200185</t>
        </is>
      </c>
      <c r="C1264" t="n">
        <v>15</v>
      </c>
      <c r="D1264" s="8" t="n">
        <v>46681</v>
      </c>
      <c r="E1264" s="9" t="n">
        <v>3951.11</v>
      </c>
      <c r="F1264" s="8" t="n"/>
      <c r="G1264" s="9" t="n">
        <v>0</v>
      </c>
      <c r="H1264" t="inlineStr">
        <is>
          <t>NOT_DUE</t>
        </is>
      </c>
      <c r="I1264">
        <f>IF(H1264="UNPAID", AsOfDate-D1264, 0)</f>
        <v/>
      </c>
      <c r="J1264">
        <f>IF(F1264&lt;&gt;"", TEXT(F1264, "yyyy-mm"), "")</f>
        <v/>
      </c>
    </row>
    <row r="1265">
      <c r="A1265" t="inlineStr">
        <is>
          <t>RP0001264</t>
        </is>
      </c>
      <c r="B1265" t="inlineStr">
        <is>
          <t>LN200185</t>
        </is>
      </c>
      <c r="C1265" t="n">
        <v>16</v>
      </c>
      <c r="D1265" s="8" t="n">
        <v>46712</v>
      </c>
      <c r="E1265" s="9" t="n">
        <v>3951.11</v>
      </c>
      <c r="F1265" s="8" t="n"/>
      <c r="G1265" s="9" t="n">
        <v>0</v>
      </c>
      <c r="H1265" t="inlineStr">
        <is>
          <t>NOT_DUE</t>
        </is>
      </c>
      <c r="I1265">
        <f>IF(H1265="UNPAID", AsOfDate-D1265, 0)</f>
        <v/>
      </c>
      <c r="J1265">
        <f>IF(F1265&lt;&gt;"", TEXT(F1265, "yyyy-mm"), "")</f>
        <v/>
      </c>
    </row>
    <row r="1266">
      <c r="A1266" t="inlineStr">
        <is>
          <t>RP0001265</t>
        </is>
      </c>
      <c r="B1266" t="inlineStr">
        <is>
          <t>LN200185</t>
        </is>
      </c>
      <c r="C1266" t="n">
        <v>17</v>
      </c>
      <c r="D1266" s="8" t="n">
        <v>46742</v>
      </c>
      <c r="E1266" s="9" t="n">
        <v>3951.11</v>
      </c>
      <c r="F1266" s="8" t="n"/>
      <c r="G1266" s="9" t="n">
        <v>0</v>
      </c>
      <c r="H1266" t="inlineStr">
        <is>
          <t>NOT_DUE</t>
        </is>
      </c>
      <c r="I1266">
        <f>IF(H1266="UNPAID", AsOfDate-D1266, 0)</f>
        <v/>
      </c>
      <c r="J1266">
        <f>IF(F1266&lt;&gt;"", TEXT(F1266, "yyyy-mm"), "")</f>
        <v/>
      </c>
    </row>
    <row r="1267">
      <c r="A1267" t="inlineStr">
        <is>
          <t>RP0001266</t>
        </is>
      </c>
      <c r="B1267" t="inlineStr">
        <is>
          <t>LN200185</t>
        </is>
      </c>
      <c r="C1267" t="n">
        <v>18</v>
      </c>
      <c r="D1267" s="8" t="n">
        <v>46773</v>
      </c>
      <c r="E1267" s="9" t="n">
        <v>3951.11</v>
      </c>
      <c r="F1267" s="8" t="n"/>
      <c r="G1267" s="9" t="n">
        <v>0</v>
      </c>
      <c r="H1267" t="inlineStr">
        <is>
          <t>NOT_DUE</t>
        </is>
      </c>
      <c r="I1267">
        <f>IF(H1267="UNPAID", AsOfDate-D1267, 0)</f>
        <v/>
      </c>
      <c r="J1267">
        <f>IF(F1267&lt;&gt;"", TEXT(F1267, "yyyy-mm"), "")</f>
        <v/>
      </c>
    </row>
    <row r="1268">
      <c r="A1268" t="inlineStr">
        <is>
          <t>RP0001267</t>
        </is>
      </c>
      <c r="B1268" t="inlineStr">
        <is>
          <t>LN200186</t>
        </is>
      </c>
      <c r="C1268" t="n">
        <v>1</v>
      </c>
      <c r="D1268" s="8" t="n">
        <v>45884</v>
      </c>
      <c r="E1268" s="9" t="n">
        <v>11962.67</v>
      </c>
      <c r="F1268" s="8" t="n">
        <v>45884</v>
      </c>
      <c r="G1268" s="9" t="n">
        <v>11962.67</v>
      </c>
      <c r="H1268" t="inlineStr">
        <is>
          <t>PAID_ON_TIME</t>
        </is>
      </c>
      <c r="I1268">
        <f>IF(H1268="UNPAID", AsOfDate-D1268, 0)</f>
        <v/>
      </c>
      <c r="J1268">
        <f>IF(F1268&lt;&gt;"", TEXT(F1268, "yyyy-mm"), "")</f>
        <v/>
      </c>
    </row>
    <row r="1269">
      <c r="A1269" t="inlineStr">
        <is>
          <t>RP0001268</t>
        </is>
      </c>
      <c r="B1269" t="inlineStr">
        <is>
          <t>LN200186</t>
        </is>
      </c>
      <c r="C1269" t="n">
        <v>2</v>
      </c>
      <c r="D1269" s="8" t="n">
        <v>45915</v>
      </c>
      <c r="E1269" s="9" t="n">
        <v>11962.67</v>
      </c>
      <c r="F1269" s="8" t="n">
        <v>45916</v>
      </c>
      <c r="G1269" s="9" t="n">
        <v>11962.67</v>
      </c>
      <c r="H1269" t="inlineStr">
        <is>
          <t>PAID_ON_TIME</t>
        </is>
      </c>
      <c r="I1269">
        <f>IF(H1269="UNPAID", AsOfDate-D1269, 0)</f>
        <v/>
      </c>
      <c r="J1269">
        <f>IF(F1269&lt;&gt;"", TEXT(F1269, "yyyy-mm"), "")</f>
        <v/>
      </c>
    </row>
    <row r="1270">
      <c r="A1270" t="inlineStr">
        <is>
          <t>RP0001269</t>
        </is>
      </c>
      <c r="B1270" t="inlineStr">
        <is>
          <t>LN200186</t>
        </is>
      </c>
      <c r="C1270" t="n">
        <v>3</v>
      </c>
      <c r="D1270" s="8" t="n">
        <v>45945</v>
      </c>
      <c r="E1270" s="9" t="n">
        <v>11962.67</v>
      </c>
      <c r="F1270" s="8" t="n">
        <v>45949</v>
      </c>
      <c r="G1270" s="9" t="n">
        <v>11962.67</v>
      </c>
      <c r="H1270" t="inlineStr">
        <is>
          <t>PAID_ON_TIME</t>
        </is>
      </c>
      <c r="I1270">
        <f>IF(H1270="UNPAID", AsOfDate-D1270, 0)</f>
        <v/>
      </c>
      <c r="J1270">
        <f>IF(F1270&lt;&gt;"", TEXT(F1270, "yyyy-mm"), "")</f>
        <v/>
      </c>
    </row>
    <row r="1271">
      <c r="A1271" t="inlineStr">
        <is>
          <t>RP0001270</t>
        </is>
      </c>
      <c r="B1271" t="inlineStr">
        <is>
          <t>LN200186</t>
        </is>
      </c>
      <c r="C1271" t="n">
        <v>4</v>
      </c>
      <c r="D1271" s="8" t="n">
        <v>45976</v>
      </c>
      <c r="E1271" s="9" t="n">
        <v>11962.67</v>
      </c>
      <c r="F1271" s="8" t="n">
        <v>45980</v>
      </c>
      <c r="G1271" s="9" t="n">
        <v>11962.67</v>
      </c>
      <c r="H1271" t="inlineStr">
        <is>
          <t>PAID_ON_TIME</t>
        </is>
      </c>
      <c r="I1271">
        <f>IF(H1271="UNPAID", AsOfDate-D1271, 0)</f>
        <v/>
      </c>
      <c r="J1271">
        <f>IF(F1271&lt;&gt;"", TEXT(F1271, "yyyy-mm"), "")</f>
        <v/>
      </c>
    </row>
    <row r="1272">
      <c r="A1272" t="inlineStr">
        <is>
          <t>RP0001271</t>
        </is>
      </c>
      <c r="B1272" t="inlineStr">
        <is>
          <t>LN200186</t>
        </is>
      </c>
      <c r="C1272" t="n">
        <v>5</v>
      </c>
      <c r="D1272" s="8" t="n">
        <v>46006</v>
      </c>
      <c r="E1272" s="9" t="n">
        <v>11962.67</v>
      </c>
      <c r="F1272" s="8" t="n">
        <v>46004</v>
      </c>
      <c r="G1272" s="9" t="n">
        <v>11962.67</v>
      </c>
      <c r="H1272" t="inlineStr">
        <is>
          <t>PAID_ON_TIME</t>
        </is>
      </c>
      <c r="I1272">
        <f>IF(H1272="UNPAID", AsOfDate-D1272, 0)</f>
        <v/>
      </c>
      <c r="J1272">
        <f>IF(F1272&lt;&gt;"", TEXT(F1272, "yyyy-mm"), "")</f>
        <v/>
      </c>
    </row>
    <row r="1273">
      <c r="A1273" t="inlineStr">
        <is>
          <t>RP0001272</t>
        </is>
      </c>
      <c r="B1273" t="inlineStr">
        <is>
          <t>LN200186</t>
        </is>
      </c>
      <c r="C1273" t="n">
        <v>6</v>
      </c>
      <c r="D1273" s="8" t="n">
        <v>46037</v>
      </c>
      <c r="E1273" s="9" t="n">
        <v>11962.67</v>
      </c>
      <c r="F1273" s="8" t="n">
        <v>46037</v>
      </c>
      <c r="G1273" s="9" t="n">
        <v>11962.67</v>
      </c>
      <c r="H1273" t="inlineStr">
        <is>
          <t>PAID_ON_TIME</t>
        </is>
      </c>
      <c r="I1273">
        <f>IF(H1273="UNPAID", AsOfDate-D1273, 0)</f>
        <v/>
      </c>
      <c r="J1273">
        <f>IF(F1273&lt;&gt;"", TEXT(F1273, "yyyy-mm"), "")</f>
        <v/>
      </c>
    </row>
    <row r="1274">
      <c r="A1274" t="inlineStr">
        <is>
          <t>RP0001273</t>
        </is>
      </c>
      <c r="B1274" t="inlineStr">
        <is>
          <t>LN200186</t>
        </is>
      </c>
      <c r="C1274" t="n">
        <v>7</v>
      </c>
      <c r="D1274" s="8" t="n">
        <v>46068</v>
      </c>
      <c r="E1274" s="9" t="n">
        <v>11962.67</v>
      </c>
      <c r="F1274" s="8" t="n">
        <v>46072</v>
      </c>
      <c r="G1274" s="9" t="n">
        <v>11962.67</v>
      </c>
      <c r="H1274" t="inlineStr">
        <is>
          <t>PAID_ON_TIME</t>
        </is>
      </c>
      <c r="I1274">
        <f>IF(H1274="UNPAID", AsOfDate-D1274, 0)</f>
        <v/>
      </c>
      <c r="J1274">
        <f>IF(F1274&lt;&gt;"", TEXT(F1274, "yyyy-mm"), "")</f>
        <v/>
      </c>
    </row>
    <row r="1275">
      <c r="A1275" t="inlineStr">
        <is>
          <t>RP0001274</t>
        </is>
      </c>
      <c r="B1275" t="inlineStr">
        <is>
          <t>LN200186</t>
        </is>
      </c>
      <c r="C1275" t="n">
        <v>8</v>
      </c>
      <c r="D1275" s="8" t="n">
        <v>46096</v>
      </c>
      <c r="E1275" s="9" t="n">
        <v>11962.67</v>
      </c>
      <c r="F1275" s="8" t="n">
        <v>46131</v>
      </c>
      <c r="G1275" s="9" t="n">
        <v>11962.67</v>
      </c>
      <c r="H1275" t="inlineStr">
        <is>
          <t>PAID_LATE</t>
        </is>
      </c>
      <c r="I1275">
        <f>IF(H1275="UNPAID", AsOfDate-D1275, 0)</f>
        <v/>
      </c>
      <c r="J1275">
        <f>IF(F1275&lt;&gt;"", TEXT(F1275, "yyyy-mm"), "")</f>
        <v/>
      </c>
    </row>
    <row r="1276">
      <c r="A1276" t="inlineStr">
        <is>
          <t>RP0001275</t>
        </is>
      </c>
      <c r="B1276" t="inlineStr">
        <is>
          <t>LN200186</t>
        </is>
      </c>
      <c r="C1276" t="n">
        <v>9</v>
      </c>
      <c r="D1276" s="8" t="n">
        <v>46127</v>
      </c>
      <c r="E1276" s="9" t="n">
        <v>11962.67</v>
      </c>
      <c r="F1276" s="8" t="n">
        <v>46130</v>
      </c>
      <c r="G1276" s="9" t="n">
        <v>11962.67</v>
      </c>
      <c r="H1276" t="inlineStr">
        <is>
          <t>PAID_ON_TIME</t>
        </is>
      </c>
      <c r="I1276">
        <f>IF(H1276="UNPAID", AsOfDate-D1276, 0)</f>
        <v/>
      </c>
      <c r="J1276">
        <f>IF(F1276&lt;&gt;"", TEXT(F1276, "yyyy-mm"), "")</f>
        <v/>
      </c>
    </row>
    <row r="1277">
      <c r="A1277" t="inlineStr">
        <is>
          <t>RP0001276</t>
        </is>
      </c>
      <c r="B1277" t="inlineStr">
        <is>
          <t>LN200187</t>
        </is>
      </c>
      <c r="C1277" t="n">
        <v>1</v>
      </c>
      <c r="D1277" s="8" t="n">
        <v>45876</v>
      </c>
      <c r="E1277" s="9" t="n">
        <v>31357.5</v>
      </c>
      <c r="F1277" s="8" t="n">
        <v>45876</v>
      </c>
      <c r="G1277" s="9" t="n">
        <v>31357.5</v>
      </c>
      <c r="H1277" t="inlineStr">
        <is>
          <t>PAID_ON_TIME</t>
        </is>
      </c>
      <c r="I1277">
        <f>IF(H1277="UNPAID", AsOfDate-D1277, 0)</f>
        <v/>
      </c>
      <c r="J1277">
        <f>IF(F1277&lt;&gt;"", TEXT(F1277, "yyyy-mm"), "")</f>
        <v/>
      </c>
    </row>
    <row r="1278">
      <c r="A1278" t="inlineStr">
        <is>
          <t>RP0001277</t>
        </is>
      </c>
      <c r="B1278" t="inlineStr">
        <is>
          <t>LN200187</t>
        </is>
      </c>
      <c r="C1278" t="n">
        <v>2</v>
      </c>
      <c r="D1278" s="8" t="n">
        <v>45907</v>
      </c>
      <c r="E1278" s="9" t="n">
        <v>31357.5</v>
      </c>
      <c r="F1278" s="8" t="n">
        <v>45908</v>
      </c>
      <c r="G1278" s="9" t="n">
        <v>31357.5</v>
      </c>
      <c r="H1278" t="inlineStr">
        <is>
          <t>PAID_ON_TIME</t>
        </is>
      </c>
      <c r="I1278">
        <f>IF(H1278="UNPAID", AsOfDate-D1278, 0)</f>
        <v/>
      </c>
      <c r="J1278">
        <f>IF(F1278&lt;&gt;"", TEXT(F1278, "yyyy-mm"), "")</f>
        <v/>
      </c>
    </row>
    <row r="1279">
      <c r="A1279" t="inlineStr">
        <is>
          <t>RP0001278</t>
        </is>
      </c>
      <c r="B1279" t="inlineStr">
        <is>
          <t>LN200187</t>
        </is>
      </c>
      <c r="C1279" t="n">
        <v>3</v>
      </c>
      <c r="D1279" s="8" t="n">
        <v>45937</v>
      </c>
      <c r="E1279" s="9" t="n">
        <v>31357.5</v>
      </c>
      <c r="F1279" s="8" t="n">
        <v>45938</v>
      </c>
      <c r="G1279" s="9" t="n">
        <v>31357.5</v>
      </c>
      <c r="H1279" t="inlineStr">
        <is>
          <t>PAID_ON_TIME</t>
        </is>
      </c>
      <c r="I1279">
        <f>IF(H1279="UNPAID", AsOfDate-D1279, 0)</f>
        <v/>
      </c>
      <c r="J1279">
        <f>IF(F1279&lt;&gt;"", TEXT(F1279, "yyyy-mm"), "")</f>
        <v/>
      </c>
    </row>
    <row r="1280">
      <c r="A1280" t="inlineStr">
        <is>
          <t>RP0001279</t>
        </is>
      </c>
      <c r="B1280" t="inlineStr">
        <is>
          <t>LN200188</t>
        </is>
      </c>
      <c r="C1280" t="n">
        <v>1</v>
      </c>
      <c r="D1280" s="8" t="n">
        <v>46198</v>
      </c>
      <c r="E1280" s="9" t="n">
        <v>28512</v>
      </c>
      <c r="F1280" s="8" t="n"/>
      <c r="G1280" s="9" t="n">
        <v>0</v>
      </c>
      <c r="H1280" t="inlineStr">
        <is>
          <t>UNPAID</t>
        </is>
      </c>
      <c r="I1280">
        <f>IF(H1280="UNPAID", AsOfDate-D1280, 0)</f>
        <v/>
      </c>
      <c r="J1280">
        <f>IF(F1280&lt;&gt;"", TEXT(F1280, "yyyy-mm"), "")</f>
        <v/>
      </c>
    </row>
    <row r="1281">
      <c r="A1281" t="inlineStr">
        <is>
          <t>RP0001280</t>
        </is>
      </c>
      <c r="B1281" t="inlineStr">
        <is>
          <t>LN200188</t>
        </is>
      </c>
      <c r="C1281" t="n">
        <v>2</v>
      </c>
      <c r="D1281" s="8" t="n">
        <v>46228</v>
      </c>
      <c r="E1281" s="9" t="n">
        <v>28512</v>
      </c>
      <c r="F1281" s="8" t="n">
        <v>46232</v>
      </c>
      <c r="G1281" s="9" t="n">
        <v>28512</v>
      </c>
      <c r="H1281" t="inlineStr">
        <is>
          <t>PAID_ON_TIME</t>
        </is>
      </c>
      <c r="I1281">
        <f>IF(H1281="UNPAID", AsOfDate-D1281, 0)</f>
        <v/>
      </c>
      <c r="J1281">
        <f>IF(F1281&lt;&gt;"", TEXT(F1281, "yyyy-mm"), "")</f>
        <v/>
      </c>
    </row>
    <row r="1282">
      <c r="A1282" t="inlineStr">
        <is>
          <t>RP0001281</t>
        </is>
      </c>
      <c r="B1282" t="inlineStr">
        <is>
          <t>LN200188</t>
        </is>
      </c>
      <c r="C1282" t="n">
        <v>3</v>
      </c>
      <c r="D1282" s="8" t="n">
        <v>46259</v>
      </c>
      <c r="E1282" s="9" t="n">
        <v>28512</v>
      </c>
      <c r="F1282" s="8" t="n">
        <v>46259</v>
      </c>
      <c r="G1282" s="9" t="n">
        <v>28512</v>
      </c>
      <c r="H1282" t="inlineStr">
        <is>
          <t>PAID_ON_TIME</t>
        </is>
      </c>
      <c r="I1282">
        <f>IF(H1282="UNPAID", AsOfDate-D1282, 0)</f>
        <v/>
      </c>
      <c r="J1282">
        <f>IF(F1282&lt;&gt;"", TEXT(F1282, "yyyy-mm"), "")</f>
        <v/>
      </c>
    </row>
    <row r="1283">
      <c r="A1283" t="inlineStr">
        <is>
          <t>RP0001282</t>
        </is>
      </c>
      <c r="B1283" t="inlineStr">
        <is>
          <t>LN200190</t>
        </is>
      </c>
      <c r="C1283" t="n">
        <v>1</v>
      </c>
      <c r="D1283" s="8" t="n">
        <v>46034</v>
      </c>
      <c r="E1283" s="9" t="n">
        <v>14586.11</v>
      </c>
      <c r="F1283" s="8" t="n">
        <v>46034</v>
      </c>
      <c r="G1283" s="9" t="n">
        <v>14586.11</v>
      </c>
      <c r="H1283" t="inlineStr">
        <is>
          <t>PAID_ON_TIME</t>
        </is>
      </c>
      <c r="I1283">
        <f>IF(H1283="UNPAID", AsOfDate-D1283, 0)</f>
        <v/>
      </c>
      <c r="J1283">
        <f>IF(F1283&lt;&gt;"", TEXT(F1283, "yyyy-mm"), "")</f>
        <v/>
      </c>
    </row>
    <row r="1284">
      <c r="A1284" t="inlineStr">
        <is>
          <t>RP0001283</t>
        </is>
      </c>
      <c r="B1284" t="inlineStr">
        <is>
          <t>LN200190</t>
        </is>
      </c>
      <c r="C1284" t="n">
        <v>2</v>
      </c>
      <c r="D1284" s="8" t="n">
        <v>46065</v>
      </c>
      <c r="E1284" s="9" t="n">
        <v>14586.11</v>
      </c>
      <c r="F1284" s="8" t="n"/>
      <c r="G1284" s="9" t="n">
        <v>0</v>
      </c>
      <c r="H1284" t="inlineStr">
        <is>
          <t>UNPAID</t>
        </is>
      </c>
      <c r="I1284">
        <f>IF(H1284="UNPAID", AsOfDate-D1284, 0)</f>
        <v/>
      </c>
      <c r="J1284">
        <f>IF(F1284&lt;&gt;"", TEXT(F1284, "yyyy-mm"), "")</f>
        <v/>
      </c>
    </row>
    <row r="1285">
      <c r="A1285" t="inlineStr">
        <is>
          <t>RP0001284</t>
        </is>
      </c>
      <c r="B1285" t="inlineStr">
        <is>
          <t>LN200190</t>
        </is>
      </c>
      <c r="C1285" t="n">
        <v>3</v>
      </c>
      <c r="D1285" s="8" t="n">
        <v>46093</v>
      </c>
      <c r="E1285" s="9" t="n">
        <v>14586.11</v>
      </c>
      <c r="F1285" s="8" t="n">
        <v>46095</v>
      </c>
      <c r="G1285" s="9" t="n">
        <v>14586.11</v>
      </c>
      <c r="H1285" t="inlineStr">
        <is>
          <t>PAID_ON_TIME</t>
        </is>
      </c>
      <c r="I1285">
        <f>IF(H1285="UNPAID", AsOfDate-D1285, 0)</f>
        <v/>
      </c>
      <c r="J1285">
        <f>IF(F1285&lt;&gt;"", TEXT(F1285, "yyyy-mm"), "")</f>
        <v/>
      </c>
    </row>
    <row r="1286">
      <c r="A1286" t="inlineStr">
        <is>
          <t>RP0001285</t>
        </is>
      </c>
      <c r="B1286" t="inlineStr">
        <is>
          <t>LN200190</t>
        </is>
      </c>
      <c r="C1286" t="n">
        <v>4</v>
      </c>
      <c r="D1286" s="8" t="n">
        <v>46124</v>
      </c>
      <c r="E1286" s="9" t="n">
        <v>14586.11</v>
      </c>
      <c r="F1286" s="8" t="n">
        <v>46236</v>
      </c>
      <c r="G1286" s="9" t="n">
        <v>14586.11</v>
      </c>
      <c r="H1286" t="inlineStr">
        <is>
          <t>PAID_LATE</t>
        </is>
      </c>
      <c r="I1286">
        <f>IF(H1286="UNPAID", AsOfDate-D1286, 0)</f>
        <v/>
      </c>
      <c r="J1286">
        <f>IF(F1286&lt;&gt;"", TEXT(F1286, "yyyy-mm"), "")</f>
        <v/>
      </c>
    </row>
    <row r="1287">
      <c r="A1287" t="inlineStr">
        <is>
          <t>RP0001286</t>
        </is>
      </c>
      <c r="B1287" t="inlineStr">
        <is>
          <t>LN200190</t>
        </is>
      </c>
      <c r="C1287" t="n">
        <v>5</v>
      </c>
      <c r="D1287" s="8" t="n">
        <v>46154</v>
      </c>
      <c r="E1287" s="9" t="n">
        <v>14586.11</v>
      </c>
      <c r="F1287" s="8" t="n">
        <v>46158</v>
      </c>
      <c r="G1287" s="9" t="n">
        <v>14586.11</v>
      </c>
      <c r="H1287" t="inlineStr">
        <is>
          <t>PAID_ON_TIME</t>
        </is>
      </c>
      <c r="I1287">
        <f>IF(H1287="UNPAID", AsOfDate-D1287, 0)</f>
        <v/>
      </c>
      <c r="J1287">
        <f>IF(F1287&lt;&gt;"", TEXT(F1287, "yyyy-mm"), "")</f>
        <v/>
      </c>
    </row>
    <row r="1288">
      <c r="A1288" t="inlineStr">
        <is>
          <t>RP0001287</t>
        </is>
      </c>
      <c r="B1288" t="inlineStr">
        <is>
          <t>LN200190</t>
        </is>
      </c>
      <c r="C1288" t="n">
        <v>6</v>
      </c>
      <c r="D1288" s="8" t="n">
        <v>46185</v>
      </c>
      <c r="E1288" s="9" t="n">
        <v>14586.11</v>
      </c>
      <c r="F1288" s="8" t="n">
        <v>46221</v>
      </c>
      <c r="G1288" s="9" t="n">
        <v>14586.11</v>
      </c>
      <c r="H1288" t="inlineStr">
        <is>
          <t>PAID_LATE</t>
        </is>
      </c>
      <c r="I1288">
        <f>IF(H1288="UNPAID", AsOfDate-D1288, 0)</f>
        <v/>
      </c>
      <c r="J1288">
        <f>IF(F1288&lt;&gt;"", TEXT(F1288, "yyyy-mm"), "")</f>
        <v/>
      </c>
    </row>
    <row r="1289">
      <c r="A1289" t="inlineStr">
        <is>
          <t>RP0001288</t>
        </is>
      </c>
      <c r="B1289" t="inlineStr">
        <is>
          <t>LN200190</t>
        </is>
      </c>
      <c r="C1289" t="n">
        <v>7</v>
      </c>
      <c r="D1289" s="8" t="n">
        <v>46215</v>
      </c>
      <c r="E1289" s="9" t="n">
        <v>14586.11</v>
      </c>
      <c r="F1289" s="8" t="n">
        <v>46216</v>
      </c>
      <c r="G1289" s="9" t="n">
        <v>14586.11</v>
      </c>
      <c r="H1289" t="inlineStr">
        <is>
          <t>PAID_ON_TIME</t>
        </is>
      </c>
      <c r="I1289">
        <f>IF(H1289="UNPAID", AsOfDate-D1289, 0)</f>
        <v/>
      </c>
      <c r="J1289">
        <f>IF(F1289&lt;&gt;"", TEXT(F1289, "yyyy-mm"), "")</f>
        <v/>
      </c>
    </row>
    <row r="1290">
      <c r="A1290" t="inlineStr">
        <is>
          <t>RP0001289</t>
        </is>
      </c>
      <c r="B1290" t="inlineStr">
        <is>
          <t>LN200190</t>
        </is>
      </c>
      <c r="C1290" t="n">
        <v>8</v>
      </c>
      <c r="D1290" s="8" t="n">
        <v>46246</v>
      </c>
      <c r="E1290" s="9" t="n">
        <v>14586.11</v>
      </c>
      <c r="F1290" s="8" t="n">
        <v>46247</v>
      </c>
      <c r="G1290" s="9" t="n">
        <v>14586.11</v>
      </c>
      <c r="H1290" t="inlineStr">
        <is>
          <t>PAID_ON_TIME</t>
        </is>
      </c>
      <c r="I1290">
        <f>IF(H1290="UNPAID", AsOfDate-D1290, 0)</f>
        <v/>
      </c>
      <c r="J1290">
        <f>IF(F1290&lt;&gt;"", TEXT(F1290, "yyyy-mm"), "")</f>
        <v/>
      </c>
    </row>
    <row r="1291">
      <c r="A1291" t="inlineStr">
        <is>
          <t>RP0001290</t>
        </is>
      </c>
      <c r="B1291" t="inlineStr">
        <is>
          <t>LN200190</t>
        </is>
      </c>
      <c r="C1291" t="n">
        <v>9</v>
      </c>
      <c r="D1291" s="8" t="n">
        <v>46277</v>
      </c>
      <c r="E1291" s="9" t="n">
        <v>14586.11</v>
      </c>
      <c r="F1291" s="8" t="n"/>
      <c r="G1291" s="9" t="n">
        <v>0</v>
      </c>
      <c r="H1291" t="inlineStr">
        <is>
          <t>NOT_DUE</t>
        </is>
      </c>
      <c r="I1291">
        <f>IF(H1291="UNPAID", AsOfDate-D1291, 0)</f>
        <v/>
      </c>
      <c r="J1291">
        <f>IF(F1291&lt;&gt;"", TEXT(F1291, "yyyy-mm"), "")</f>
        <v/>
      </c>
    </row>
    <row r="1292">
      <c r="A1292" t="inlineStr">
        <is>
          <t>RP0001291</t>
        </is>
      </c>
      <c r="B1292" t="inlineStr">
        <is>
          <t>LN200191</t>
        </is>
      </c>
      <c r="C1292" t="n">
        <v>1</v>
      </c>
      <c r="D1292" s="8" t="n">
        <v>45940</v>
      </c>
      <c r="E1292" s="9" t="n">
        <v>8524.559999999999</v>
      </c>
      <c r="F1292" s="8" t="n">
        <v>45943</v>
      </c>
      <c r="G1292" s="9" t="n">
        <v>8524.559999999999</v>
      </c>
      <c r="H1292" t="inlineStr">
        <is>
          <t>PAID_ON_TIME</t>
        </is>
      </c>
      <c r="I1292">
        <f>IF(H1292="UNPAID", AsOfDate-D1292, 0)</f>
        <v/>
      </c>
      <c r="J1292">
        <f>IF(F1292&lt;&gt;"", TEXT(F1292, "yyyy-mm"), "")</f>
        <v/>
      </c>
    </row>
    <row r="1293">
      <c r="A1293" t="inlineStr">
        <is>
          <t>RP0001292</t>
        </is>
      </c>
      <c r="B1293" t="inlineStr">
        <is>
          <t>LN200191</t>
        </is>
      </c>
      <c r="C1293" t="n">
        <v>2</v>
      </c>
      <c r="D1293" s="8" t="n">
        <v>45971</v>
      </c>
      <c r="E1293" s="9" t="n">
        <v>8524.559999999999</v>
      </c>
      <c r="F1293" s="8" t="n">
        <v>45974</v>
      </c>
      <c r="G1293" s="9" t="n">
        <v>8524.559999999999</v>
      </c>
      <c r="H1293" t="inlineStr">
        <is>
          <t>PAID_ON_TIME</t>
        </is>
      </c>
      <c r="I1293">
        <f>IF(H1293="UNPAID", AsOfDate-D1293, 0)</f>
        <v/>
      </c>
      <c r="J1293">
        <f>IF(F1293&lt;&gt;"", TEXT(F1293, "yyyy-mm"), "")</f>
        <v/>
      </c>
    </row>
    <row r="1294">
      <c r="A1294" t="inlineStr">
        <is>
          <t>RP0001293</t>
        </is>
      </c>
      <c r="B1294" t="inlineStr">
        <is>
          <t>LN200191</t>
        </is>
      </c>
      <c r="C1294" t="n">
        <v>3</v>
      </c>
      <c r="D1294" s="8" t="n">
        <v>46001</v>
      </c>
      <c r="E1294" s="9" t="n">
        <v>8524.559999999999</v>
      </c>
      <c r="F1294" s="8" t="n">
        <v>46003</v>
      </c>
      <c r="G1294" s="9" t="n">
        <v>8524.559999999999</v>
      </c>
      <c r="H1294" t="inlineStr">
        <is>
          <t>PAID_ON_TIME</t>
        </is>
      </c>
      <c r="I1294">
        <f>IF(H1294="UNPAID", AsOfDate-D1294, 0)</f>
        <v/>
      </c>
      <c r="J1294">
        <f>IF(F1294&lt;&gt;"", TEXT(F1294, "yyyy-mm"), "")</f>
        <v/>
      </c>
    </row>
    <row r="1295">
      <c r="A1295" t="inlineStr">
        <is>
          <t>RP0001294</t>
        </is>
      </c>
      <c r="B1295" t="inlineStr">
        <is>
          <t>LN200191</t>
        </is>
      </c>
      <c r="C1295" t="n">
        <v>4</v>
      </c>
      <c r="D1295" s="8" t="n">
        <v>46032</v>
      </c>
      <c r="E1295" s="9" t="n">
        <v>8524.559999999999</v>
      </c>
      <c r="F1295" s="8" t="n">
        <v>46033</v>
      </c>
      <c r="G1295" s="9" t="n">
        <v>8524.559999999999</v>
      </c>
      <c r="H1295" t="inlineStr">
        <is>
          <t>PAID_ON_TIME</t>
        </is>
      </c>
      <c r="I1295">
        <f>IF(H1295="UNPAID", AsOfDate-D1295, 0)</f>
        <v/>
      </c>
      <c r="J1295">
        <f>IF(F1295&lt;&gt;"", TEXT(F1295, "yyyy-mm"), "")</f>
        <v/>
      </c>
    </row>
    <row r="1296">
      <c r="A1296" t="inlineStr">
        <is>
          <t>RP0001295</t>
        </is>
      </c>
      <c r="B1296" t="inlineStr">
        <is>
          <t>LN200191</t>
        </is>
      </c>
      <c r="C1296" t="n">
        <v>5</v>
      </c>
      <c r="D1296" s="8" t="n">
        <v>46063</v>
      </c>
      <c r="E1296" s="9" t="n">
        <v>8524.559999999999</v>
      </c>
      <c r="F1296" s="8" t="n">
        <v>46062</v>
      </c>
      <c r="G1296" s="9" t="n">
        <v>8524.559999999999</v>
      </c>
      <c r="H1296" t="inlineStr">
        <is>
          <t>PAID_ON_TIME</t>
        </is>
      </c>
      <c r="I1296">
        <f>IF(H1296="UNPAID", AsOfDate-D1296, 0)</f>
        <v/>
      </c>
      <c r="J1296">
        <f>IF(F1296&lt;&gt;"", TEXT(F1296, "yyyy-mm"), "")</f>
        <v/>
      </c>
    </row>
    <row r="1297">
      <c r="A1297" t="inlineStr">
        <is>
          <t>RP0001296</t>
        </is>
      </c>
      <c r="B1297" t="inlineStr">
        <is>
          <t>LN200191</t>
        </is>
      </c>
      <c r="C1297" t="n">
        <v>6</v>
      </c>
      <c r="D1297" s="8" t="n">
        <v>46091</v>
      </c>
      <c r="E1297" s="9" t="n">
        <v>8524.559999999999</v>
      </c>
      <c r="F1297" s="8" t="n">
        <v>46092</v>
      </c>
      <c r="G1297" s="9" t="n">
        <v>8524.559999999999</v>
      </c>
      <c r="H1297" t="inlineStr">
        <is>
          <t>PAID_ON_TIME</t>
        </is>
      </c>
      <c r="I1297">
        <f>IF(H1297="UNPAID", AsOfDate-D1297, 0)</f>
        <v/>
      </c>
      <c r="J1297">
        <f>IF(F1297&lt;&gt;"", TEXT(F1297, "yyyy-mm"), "")</f>
        <v/>
      </c>
    </row>
    <row r="1298">
      <c r="A1298" t="inlineStr">
        <is>
          <t>RP0001297</t>
        </is>
      </c>
      <c r="B1298" t="inlineStr">
        <is>
          <t>LN200191</t>
        </is>
      </c>
      <c r="C1298" t="n">
        <v>7</v>
      </c>
      <c r="D1298" s="8" t="n">
        <v>46122</v>
      </c>
      <c r="E1298" s="9" t="n">
        <v>8524.559999999999</v>
      </c>
      <c r="F1298" s="8" t="n">
        <v>46125</v>
      </c>
      <c r="G1298" s="9" t="n">
        <v>8524.559999999999</v>
      </c>
      <c r="H1298" t="inlineStr">
        <is>
          <t>PAID_ON_TIME</t>
        </is>
      </c>
      <c r="I1298">
        <f>IF(H1298="UNPAID", AsOfDate-D1298, 0)</f>
        <v/>
      </c>
      <c r="J1298">
        <f>IF(F1298&lt;&gt;"", TEXT(F1298, "yyyy-mm"), "")</f>
        <v/>
      </c>
    </row>
    <row r="1299">
      <c r="A1299" t="inlineStr">
        <is>
          <t>RP0001298</t>
        </is>
      </c>
      <c r="B1299" t="inlineStr">
        <is>
          <t>LN200191</t>
        </is>
      </c>
      <c r="C1299" t="n">
        <v>8</v>
      </c>
      <c r="D1299" s="8" t="n">
        <v>46152</v>
      </c>
      <c r="E1299" s="9" t="n">
        <v>8524.559999999999</v>
      </c>
      <c r="F1299" s="8" t="n">
        <v>46156</v>
      </c>
      <c r="G1299" s="9" t="n">
        <v>8524.559999999999</v>
      </c>
      <c r="H1299" t="inlineStr">
        <is>
          <t>PAID_ON_TIME</t>
        </is>
      </c>
      <c r="I1299">
        <f>IF(H1299="UNPAID", AsOfDate-D1299, 0)</f>
        <v/>
      </c>
      <c r="J1299">
        <f>IF(F1299&lt;&gt;"", TEXT(F1299, "yyyy-mm"), "")</f>
        <v/>
      </c>
    </row>
    <row r="1300">
      <c r="A1300" t="inlineStr">
        <is>
          <t>RP0001299</t>
        </is>
      </c>
      <c r="B1300" t="inlineStr">
        <is>
          <t>LN200191</t>
        </is>
      </c>
      <c r="C1300" t="n">
        <v>9</v>
      </c>
      <c r="D1300" s="8" t="n">
        <v>46183</v>
      </c>
      <c r="E1300" s="9" t="n">
        <v>8524.559999999999</v>
      </c>
      <c r="F1300" s="8" t="n">
        <v>46183</v>
      </c>
      <c r="G1300" s="9" t="n">
        <v>8524.559999999999</v>
      </c>
      <c r="H1300" t="inlineStr">
        <is>
          <t>PAID_ON_TIME</t>
        </is>
      </c>
      <c r="I1300">
        <f>IF(H1300="UNPAID", AsOfDate-D1300, 0)</f>
        <v/>
      </c>
      <c r="J1300">
        <f>IF(F1300&lt;&gt;"", TEXT(F1300, "yyyy-mm"), "")</f>
        <v/>
      </c>
    </row>
    <row r="1301">
      <c r="A1301" t="inlineStr">
        <is>
          <t>RP0001300</t>
        </is>
      </c>
      <c r="B1301" t="inlineStr">
        <is>
          <t>LN200192</t>
        </is>
      </c>
      <c r="C1301" t="n">
        <v>1</v>
      </c>
      <c r="D1301" s="8" t="n">
        <v>45883</v>
      </c>
      <c r="E1301" s="9" t="n">
        <v>10761.67</v>
      </c>
      <c r="F1301" s="8" t="n">
        <v>45883</v>
      </c>
      <c r="G1301" s="9" t="n">
        <v>10761.67</v>
      </c>
      <c r="H1301" t="inlineStr">
        <is>
          <t>PAID_ON_TIME</t>
        </is>
      </c>
      <c r="I1301">
        <f>IF(H1301="UNPAID", AsOfDate-D1301, 0)</f>
        <v/>
      </c>
      <c r="J1301">
        <f>IF(F1301&lt;&gt;"", TEXT(F1301, "yyyy-mm"), "")</f>
        <v/>
      </c>
    </row>
    <row r="1302">
      <c r="A1302" t="inlineStr">
        <is>
          <t>RP0001301</t>
        </is>
      </c>
      <c r="B1302" t="inlineStr">
        <is>
          <t>LN200192</t>
        </is>
      </c>
      <c r="C1302" t="n">
        <v>2</v>
      </c>
      <c r="D1302" s="8" t="n">
        <v>45914</v>
      </c>
      <c r="E1302" s="9" t="n">
        <v>10761.67</v>
      </c>
      <c r="F1302" s="8" t="n">
        <v>45913</v>
      </c>
      <c r="G1302" s="9" t="n">
        <v>10761.67</v>
      </c>
      <c r="H1302" t="inlineStr">
        <is>
          <t>PAID_ON_TIME</t>
        </is>
      </c>
      <c r="I1302">
        <f>IF(H1302="UNPAID", AsOfDate-D1302, 0)</f>
        <v/>
      </c>
      <c r="J1302">
        <f>IF(F1302&lt;&gt;"", TEXT(F1302, "yyyy-mm"), "")</f>
        <v/>
      </c>
    </row>
    <row r="1303">
      <c r="A1303" t="inlineStr">
        <is>
          <t>RP0001302</t>
        </is>
      </c>
      <c r="B1303" t="inlineStr">
        <is>
          <t>LN200192</t>
        </is>
      </c>
      <c r="C1303" t="n">
        <v>3</v>
      </c>
      <c r="D1303" s="8" t="n">
        <v>45944</v>
      </c>
      <c r="E1303" s="9" t="n">
        <v>10761.67</v>
      </c>
      <c r="F1303" s="8" t="n">
        <v>45947</v>
      </c>
      <c r="G1303" s="9" t="n">
        <v>10761.67</v>
      </c>
      <c r="H1303" t="inlineStr">
        <is>
          <t>PAID_ON_TIME</t>
        </is>
      </c>
      <c r="I1303">
        <f>IF(H1303="UNPAID", AsOfDate-D1303, 0)</f>
        <v/>
      </c>
      <c r="J1303">
        <f>IF(F1303&lt;&gt;"", TEXT(F1303, "yyyy-mm"), "")</f>
        <v/>
      </c>
    </row>
    <row r="1304">
      <c r="A1304" t="inlineStr">
        <is>
          <t>RP0001303</t>
        </is>
      </c>
      <c r="B1304" t="inlineStr">
        <is>
          <t>LN200192</t>
        </is>
      </c>
      <c r="C1304" t="n">
        <v>4</v>
      </c>
      <c r="D1304" s="8" t="n">
        <v>45975</v>
      </c>
      <c r="E1304" s="9" t="n">
        <v>10761.67</v>
      </c>
      <c r="F1304" s="8" t="n">
        <v>45978</v>
      </c>
      <c r="G1304" s="9" t="n">
        <v>10761.67</v>
      </c>
      <c r="H1304" t="inlineStr">
        <is>
          <t>PAID_ON_TIME</t>
        </is>
      </c>
      <c r="I1304">
        <f>IF(H1304="UNPAID", AsOfDate-D1304, 0)</f>
        <v/>
      </c>
      <c r="J1304">
        <f>IF(F1304&lt;&gt;"", TEXT(F1304, "yyyy-mm"), "")</f>
        <v/>
      </c>
    </row>
    <row r="1305">
      <c r="A1305" t="inlineStr">
        <is>
          <t>RP0001304</t>
        </is>
      </c>
      <c r="B1305" t="inlineStr">
        <is>
          <t>LN200192</t>
        </is>
      </c>
      <c r="C1305" t="n">
        <v>5</v>
      </c>
      <c r="D1305" s="8" t="n">
        <v>46005</v>
      </c>
      <c r="E1305" s="9" t="n">
        <v>10761.67</v>
      </c>
      <c r="F1305" s="8" t="n">
        <v>46006</v>
      </c>
      <c r="G1305" s="9" t="n">
        <v>10761.67</v>
      </c>
      <c r="H1305" t="inlineStr">
        <is>
          <t>PAID_ON_TIME</t>
        </is>
      </c>
      <c r="I1305">
        <f>IF(H1305="UNPAID", AsOfDate-D1305, 0)</f>
        <v/>
      </c>
      <c r="J1305">
        <f>IF(F1305&lt;&gt;"", TEXT(F1305, "yyyy-mm"), "")</f>
        <v/>
      </c>
    </row>
    <row r="1306">
      <c r="A1306" t="inlineStr">
        <is>
          <t>RP0001305</t>
        </is>
      </c>
      <c r="B1306" t="inlineStr">
        <is>
          <t>LN200192</t>
        </is>
      </c>
      <c r="C1306" t="n">
        <v>6</v>
      </c>
      <c r="D1306" s="8" t="n">
        <v>46036</v>
      </c>
      <c r="E1306" s="9" t="n">
        <v>10761.67</v>
      </c>
      <c r="F1306" s="8" t="n">
        <v>46034</v>
      </c>
      <c r="G1306" s="9" t="n">
        <v>10761.67</v>
      </c>
      <c r="H1306" t="inlineStr">
        <is>
          <t>PAID_ON_TIME</t>
        </is>
      </c>
      <c r="I1306">
        <f>IF(H1306="UNPAID", AsOfDate-D1306, 0)</f>
        <v/>
      </c>
      <c r="J1306">
        <f>IF(F1306&lt;&gt;"", TEXT(F1306, "yyyy-mm"), "")</f>
        <v/>
      </c>
    </row>
    <row r="1307">
      <c r="A1307" t="inlineStr">
        <is>
          <t>RP0001306</t>
        </is>
      </c>
      <c r="B1307" t="inlineStr">
        <is>
          <t>LN200192</t>
        </is>
      </c>
      <c r="C1307" t="n">
        <v>7</v>
      </c>
      <c r="D1307" s="8" t="n">
        <v>46067</v>
      </c>
      <c r="E1307" s="9" t="n">
        <v>10761.67</v>
      </c>
      <c r="F1307" s="8" t="n">
        <v>46070</v>
      </c>
      <c r="G1307" s="9" t="n">
        <v>10761.67</v>
      </c>
      <c r="H1307" t="inlineStr">
        <is>
          <t>PAID_ON_TIME</t>
        </is>
      </c>
      <c r="I1307">
        <f>IF(H1307="UNPAID", AsOfDate-D1307, 0)</f>
        <v/>
      </c>
      <c r="J1307">
        <f>IF(F1307&lt;&gt;"", TEXT(F1307, "yyyy-mm"), "")</f>
        <v/>
      </c>
    </row>
    <row r="1308">
      <c r="A1308" t="inlineStr">
        <is>
          <t>RP0001307</t>
        </is>
      </c>
      <c r="B1308" t="inlineStr">
        <is>
          <t>LN200192</t>
        </is>
      </c>
      <c r="C1308" t="n">
        <v>8</v>
      </c>
      <c r="D1308" s="8" t="n">
        <v>46095</v>
      </c>
      <c r="E1308" s="9" t="n">
        <v>10761.67</v>
      </c>
      <c r="F1308" s="8" t="n">
        <v>46192</v>
      </c>
      <c r="G1308" s="9" t="n">
        <v>10761.67</v>
      </c>
      <c r="H1308" t="inlineStr">
        <is>
          <t>PAID_LATE</t>
        </is>
      </c>
      <c r="I1308">
        <f>IF(H1308="UNPAID", AsOfDate-D1308, 0)</f>
        <v/>
      </c>
      <c r="J1308">
        <f>IF(F1308&lt;&gt;"", TEXT(F1308, "yyyy-mm"), "")</f>
        <v/>
      </c>
    </row>
    <row r="1309">
      <c r="A1309" t="inlineStr">
        <is>
          <t>RP0001308</t>
        </is>
      </c>
      <c r="B1309" t="inlineStr">
        <is>
          <t>LN200192</t>
        </is>
      </c>
      <c r="C1309" t="n">
        <v>9</v>
      </c>
      <c r="D1309" s="8" t="n">
        <v>46126</v>
      </c>
      <c r="E1309" s="9" t="n">
        <v>10761.67</v>
      </c>
      <c r="F1309" s="8" t="n">
        <v>46129</v>
      </c>
      <c r="G1309" s="9" t="n">
        <v>10761.67</v>
      </c>
      <c r="H1309" t="inlineStr">
        <is>
          <t>PAID_ON_TIME</t>
        </is>
      </c>
      <c r="I1309">
        <f>IF(H1309="UNPAID", AsOfDate-D1309, 0)</f>
        <v/>
      </c>
      <c r="J1309">
        <f>IF(F1309&lt;&gt;"", TEXT(F1309, "yyyy-mm"), "")</f>
        <v/>
      </c>
    </row>
    <row r="1310">
      <c r="A1310" t="inlineStr">
        <is>
          <t>RP0001309</t>
        </is>
      </c>
      <c r="B1310" t="inlineStr">
        <is>
          <t>LN200192</t>
        </is>
      </c>
      <c r="C1310" t="n">
        <v>10</v>
      </c>
      <c r="D1310" s="8" t="n">
        <v>46156</v>
      </c>
      <c r="E1310" s="9" t="n">
        <v>10761.67</v>
      </c>
      <c r="F1310" s="8" t="n">
        <v>46156</v>
      </c>
      <c r="G1310" s="9" t="n">
        <v>10761.67</v>
      </c>
      <c r="H1310" t="inlineStr">
        <is>
          <t>PAID_ON_TIME</t>
        </is>
      </c>
      <c r="I1310">
        <f>IF(H1310="UNPAID", AsOfDate-D1310, 0)</f>
        <v/>
      </c>
      <c r="J1310">
        <f>IF(F1310&lt;&gt;"", TEXT(F1310, "yyyy-mm"), "")</f>
        <v/>
      </c>
    </row>
    <row r="1311">
      <c r="A1311" t="inlineStr">
        <is>
          <t>RP0001310</t>
        </is>
      </c>
      <c r="B1311" t="inlineStr">
        <is>
          <t>LN200192</t>
        </is>
      </c>
      <c r="C1311" t="n">
        <v>11</v>
      </c>
      <c r="D1311" s="8" t="n">
        <v>46187</v>
      </c>
      <c r="E1311" s="9" t="n">
        <v>10761.67</v>
      </c>
      <c r="F1311" s="8" t="n">
        <v>46191</v>
      </c>
      <c r="G1311" s="9" t="n">
        <v>10761.67</v>
      </c>
      <c r="H1311" t="inlineStr">
        <is>
          <t>PAID_ON_TIME</t>
        </is>
      </c>
      <c r="I1311">
        <f>IF(H1311="UNPAID", AsOfDate-D1311, 0)</f>
        <v/>
      </c>
      <c r="J1311">
        <f>IF(F1311&lt;&gt;"", TEXT(F1311, "yyyy-mm"), "")</f>
        <v/>
      </c>
    </row>
    <row r="1312">
      <c r="A1312" t="inlineStr">
        <is>
          <t>RP0001311</t>
        </is>
      </c>
      <c r="B1312" t="inlineStr">
        <is>
          <t>LN200192</t>
        </is>
      </c>
      <c r="C1312" t="n">
        <v>12</v>
      </c>
      <c r="D1312" s="8" t="n">
        <v>46217</v>
      </c>
      <c r="E1312" s="9" t="n">
        <v>10761.67</v>
      </c>
      <c r="F1312" s="8" t="n">
        <v>46221</v>
      </c>
      <c r="G1312" s="9" t="n">
        <v>10761.67</v>
      </c>
      <c r="H1312" t="inlineStr">
        <is>
          <t>PAID_ON_TIME</t>
        </is>
      </c>
      <c r="I1312">
        <f>IF(H1312="UNPAID", AsOfDate-D1312, 0)</f>
        <v/>
      </c>
      <c r="J1312">
        <f>IF(F1312&lt;&gt;"", TEXT(F1312, "yyyy-mm"), "")</f>
        <v/>
      </c>
    </row>
    <row r="1313">
      <c r="A1313" t="inlineStr">
        <is>
          <t>RP0001312</t>
        </is>
      </c>
      <c r="B1313" t="inlineStr">
        <is>
          <t>LN200193</t>
        </is>
      </c>
      <c r="C1313" t="n">
        <v>1</v>
      </c>
      <c r="D1313" s="8" t="n">
        <v>46257</v>
      </c>
      <c r="E1313" s="9" t="n">
        <v>16966.33</v>
      </c>
      <c r="F1313" s="8" t="n">
        <v>46260</v>
      </c>
      <c r="G1313" s="9" t="n">
        <v>16966.33</v>
      </c>
      <c r="H1313" t="inlineStr">
        <is>
          <t>PAID_ON_TIME</t>
        </is>
      </c>
      <c r="I1313">
        <f>IF(H1313="UNPAID", AsOfDate-D1313, 0)</f>
        <v/>
      </c>
      <c r="J1313">
        <f>IF(F1313&lt;&gt;"", TEXT(F1313, "yyyy-mm"), "")</f>
        <v/>
      </c>
    </row>
    <row r="1314">
      <c r="A1314" t="inlineStr">
        <is>
          <t>RP0001313</t>
        </is>
      </c>
      <c r="B1314" t="inlineStr">
        <is>
          <t>LN200193</t>
        </is>
      </c>
      <c r="C1314" t="n">
        <v>2</v>
      </c>
      <c r="D1314" s="8" t="n">
        <v>46288</v>
      </c>
      <c r="E1314" s="9" t="n">
        <v>16966.33</v>
      </c>
      <c r="F1314" s="8" t="n"/>
      <c r="G1314" s="9" t="n">
        <v>0</v>
      </c>
      <c r="H1314" t="inlineStr">
        <is>
          <t>NOT_DUE</t>
        </is>
      </c>
      <c r="I1314">
        <f>IF(H1314="UNPAID", AsOfDate-D1314, 0)</f>
        <v/>
      </c>
      <c r="J1314">
        <f>IF(F1314&lt;&gt;"", TEXT(F1314, "yyyy-mm"), "")</f>
        <v/>
      </c>
    </row>
    <row r="1315">
      <c r="A1315" t="inlineStr">
        <is>
          <t>RP0001314</t>
        </is>
      </c>
      <c r="B1315" t="inlineStr">
        <is>
          <t>LN200193</t>
        </is>
      </c>
      <c r="C1315" t="n">
        <v>3</v>
      </c>
      <c r="D1315" s="8" t="n">
        <v>46318</v>
      </c>
      <c r="E1315" s="9" t="n">
        <v>16966.33</v>
      </c>
      <c r="F1315" s="8" t="n"/>
      <c r="G1315" s="9" t="n">
        <v>0</v>
      </c>
      <c r="H1315" t="inlineStr">
        <is>
          <t>NOT_DUE</t>
        </is>
      </c>
      <c r="I1315">
        <f>IF(H1315="UNPAID", AsOfDate-D1315, 0)</f>
        <v/>
      </c>
      <c r="J1315">
        <f>IF(F1315&lt;&gt;"", TEXT(F1315, "yyyy-mm"), "")</f>
        <v/>
      </c>
    </row>
    <row r="1316">
      <c r="A1316" t="inlineStr">
        <is>
          <t>RP0001315</t>
        </is>
      </c>
      <c r="B1316" t="inlineStr">
        <is>
          <t>LN200193</t>
        </is>
      </c>
      <c r="C1316" t="n">
        <v>4</v>
      </c>
      <c r="D1316" s="8" t="n">
        <v>46349</v>
      </c>
      <c r="E1316" s="9" t="n">
        <v>16966.33</v>
      </c>
      <c r="F1316" s="8" t="n"/>
      <c r="G1316" s="9" t="n">
        <v>0</v>
      </c>
      <c r="H1316" t="inlineStr">
        <is>
          <t>NOT_DUE</t>
        </is>
      </c>
      <c r="I1316">
        <f>IF(H1316="UNPAID", AsOfDate-D1316, 0)</f>
        <v/>
      </c>
      <c r="J1316">
        <f>IF(F1316&lt;&gt;"", TEXT(F1316, "yyyy-mm"), "")</f>
        <v/>
      </c>
    </row>
    <row r="1317">
      <c r="A1317" t="inlineStr">
        <is>
          <t>RP0001316</t>
        </is>
      </c>
      <c r="B1317" t="inlineStr">
        <is>
          <t>LN200193</t>
        </is>
      </c>
      <c r="C1317" t="n">
        <v>5</v>
      </c>
      <c r="D1317" s="8" t="n">
        <v>46379</v>
      </c>
      <c r="E1317" s="9" t="n">
        <v>16966.33</v>
      </c>
      <c r="F1317" s="8" t="n"/>
      <c r="G1317" s="9" t="n">
        <v>0</v>
      </c>
      <c r="H1317" t="inlineStr">
        <is>
          <t>NOT_DUE</t>
        </is>
      </c>
      <c r="I1317">
        <f>IF(H1317="UNPAID", AsOfDate-D1317, 0)</f>
        <v/>
      </c>
      <c r="J1317">
        <f>IF(F1317&lt;&gt;"", TEXT(F1317, "yyyy-mm"), "")</f>
        <v/>
      </c>
    </row>
    <row r="1318">
      <c r="A1318" t="inlineStr">
        <is>
          <t>RP0001317</t>
        </is>
      </c>
      <c r="B1318" t="inlineStr">
        <is>
          <t>LN200193</t>
        </is>
      </c>
      <c r="C1318" t="n">
        <v>6</v>
      </c>
      <c r="D1318" s="8" t="n">
        <v>46410</v>
      </c>
      <c r="E1318" s="9" t="n">
        <v>16966.33</v>
      </c>
      <c r="F1318" s="8" t="n"/>
      <c r="G1318" s="9" t="n">
        <v>0</v>
      </c>
      <c r="H1318" t="inlineStr">
        <is>
          <t>NOT_DUE</t>
        </is>
      </c>
      <c r="I1318">
        <f>IF(H1318="UNPAID", AsOfDate-D1318, 0)</f>
        <v/>
      </c>
      <c r="J1318">
        <f>IF(F1318&lt;&gt;"", TEXT(F1318, "yyyy-mm"), "")</f>
        <v/>
      </c>
    </row>
    <row r="1319">
      <c r="A1319" t="inlineStr">
        <is>
          <t>RP0001318</t>
        </is>
      </c>
      <c r="B1319" t="inlineStr">
        <is>
          <t>LN200194</t>
        </is>
      </c>
      <c r="C1319" t="n">
        <v>1</v>
      </c>
      <c r="D1319" s="8" t="n">
        <v>45915</v>
      </c>
      <c r="E1319" s="9" t="n">
        <v>15444.92</v>
      </c>
      <c r="F1319" s="8" t="n">
        <v>45913</v>
      </c>
      <c r="G1319" s="9" t="n">
        <v>15444.92</v>
      </c>
      <c r="H1319" t="inlineStr">
        <is>
          <t>PAID_ON_TIME</t>
        </is>
      </c>
      <c r="I1319">
        <f>IF(H1319="UNPAID", AsOfDate-D1319, 0)</f>
        <v/>
      </c>
      <c r="J1319">
        <f>IF(F1319&lt;&gt;"", TEXT(F1319, "yyyy-mm"), "")</f>
        <v/>
      </c>
    </row>
    <row r="1320">
      <c r="A1320" t="inlineStr">
        <is>
          <t>RP0001319</t>
        </is>
      </c>
      <c r="B1320" t="inlineStr">
        <is>
          <t>LN200194</t>
        </is>
      </c>
      <c r="C1320" t="n">
        <v>2</v>
      </c>
      <c r="D1320" s="8" t="n">
        <v>45945</v>
      </c>
      <c r="E1320" s="9" t="n">
        <v>15444.92</v>
      </c>
      <c r="F1320" s="8" t="n">
        <v>45984</v>
      </c>
      <c r="G1320" s="9" t="n">
        <v>15444.92</v>
      </c>
      <c r="H1320" t="inlineStr">
        <is>
          <t>PAID_LATE</t>
        </is>
      </c>
      <c r="I1320">
        <f>IF(H1320="UNPAID", AsOfDate-D1320, 0)</f>
        <v/>
      </c>
      <c r="J1320">
        <f>IF(F1320&lt;&gt;"", TEXT(F1320, "yyyy-mm"), "")</f>
        <v/>
      </c>
    </row>
    <row r="1321">
      <c r="A1321" t="inlineStr">
        <is>
          <t>RP0001320</t>
        </is>
      </c>
      <c r="B1321" t="inlineStr">
        <is>
          <t>LN200194</t>
        </is>
      </c>
      <c r="C1321" t="n">
        <v>3</v>
      </c>
      <c r="D1321" s="8" t="n">
        <v>45976</v>
      </c>
      <c r="E1321" s="9" t="n">
        <v>15444.92</v>
      </c>
      <c r="F1321" s="8" t="n">
        <v>46087</v>
      </c>
      <c r="G1321" s="9" t="n">
        <v>15444.92</v>
      </c>
      <c r="H1321" t="inlineStr">
        <is>
          <t>PAID_LATE</t>
        </is>
      </c>
      <c r="I1321">
        <f>IF(H1321="UNPAID", AsOfDate-D1321, 0)</f>
        <v/>
      </c>
      <c r="J1321">
        <f>IF(F1321&lt;&gt;"", TEXT(F1321, "yyyy-mm"), "")</f>
        <v/>
      </c>
    </row>
    <row r="1322">
      <c r="A1322" t="inlineStr">
        <is>
          <t>RP0001321</t>
        </is>
      </c>
      <c r="B1322" t="inlineStr">
        <is>
          <t>LN200194</t>
        </is>
      </c>
      <c r="C1322" t="n">
        <v>4</v>
      </c>
      <c r="D1322" s="8" t="n">
        <v>46006</v>
      </c>
      <c r="E1322" s="9" t="n">
        <v>15444.92</v>
      </c>
      <c r="F1322" s="8" t="n">
        <v>46005</v>
      </c>
      <c r="G1322" s="9" t="n">
        <v>15444.92</v>
      </c>
      <c r="H1322" t="inlineStr">
        <is>
          <t>PAID_ON_TIME</t>
        </is>
      </c>
      <c r="I1322">
        <f>IF(H1322="UNPAID", AsOfDate-D1322, 0)</f>
        <v/>
      </c>
      <c r="J1322">
        <f>IF(F1322&lt;&gt;"", TEXT(F1322, "yyyy-mm"), "")</f>
        <v/>
      </c>
    </row>
    <row r="1323">
      <c r="A1323" t="inlineStr">
        <is>
          <t>RP0001322</t>
        </is>
      </c>
      <c r="B1323" t="inlineStr">
        <is>
          <t>LN200194</t>
        </is>
      </c>
      <c r="C1323" t="n">
        <v>5</v>
      </c>
      <c r="D1323" s="8" t="n">
        <v>46037</v>
      </c>
      <c r="E1323" s="9" t="n">
        <v>15444.92</v>
      </c>
      <c r="F1323" s="8" t="n">
        <v>46037</v>
      </c>
      <c r="G1323" s="9" t="n">
        <v>15444.92</v>
      </c>
      <c r="H1323" t="inlineStr">
        <is>
          <t>PAID_ON_TIME</t>
        </is>
      </c>
      <c r="I1323">
        <f>IF(H1323="UNPAID", AsOfDate-D1323, 0)</f>
        <v/>
      </c>
      <c r="J1323">
        <f>IF(F1323&lt;&gt;"", TEXT(F1323, "yyyy-mm"), "")</f>
        <v/>
      </c>
    </row>
    <row r="1324">
      <c r="A1324" t="inlineStr">
        <is>
          <t>RP0001323</t>
        </is>
      </c>
      <c r="B1324" t="inlineStr">
        <is>
          <t>LN200194</t>
        </is>
      </c>
      <c r="C1324" t="n">
        <v>6</v>
      </c>
      <c r="D1324" s="8" t="n">
        <v>46068</v>
      </c>
      <c r="E1324" s="9" t="n">
        <v>15444.92</v>
      </c>
      <c r="F1324" s="8" t="n">
        <v>46071</v>
      </c>
      <c r="G1324" s="9" t="n">
        <v>15444.92</v>
      </c>
      <c r="H1324" t="inlineStr">
        <is>
          <t>PAID_ON_TIME</t>
        </is>
      </c>
      <c r="I1324">
        <f>IF(H1324="UNPAID", AsOfDate-D1324, 0)</f>
        <v/>
      </c>
      <c r="J1324">
        <f>IF(F1324&lt;&gt;"", TEXT(F1324, "yyyy-mm"), "")</f>
        <v/>
      </c>
    </row>
    <row r="1325">
      <c r="A1325" t="inlineStr">
        <is>
          <t>RP0001324</t>
        </is>
      </c>
      <c r="B1325" t="inlineStr">
        <is>
          <t>LN200195</t>
        </is>
      </c>
      <c r="C1325" t="n">
        <v>1</v>
      </c>
      <c r="D1325" s="8" t="n">
        <v>46192</v>
      </c>
      <c r="E1325" s="9" t="n">
        <v>13215</v>
      </c>
      <c r="F1325" s="8" t="n">
        <v>46192</v>
      </c>
      <c r="G1325" s="9" t="n">
        <v>13215</v>
      </c>
      <c r="H1325" t="inlineStr">
        <is>
          <t>PAID_ON_TIME</t>
        </is>
      </c>
      <c r="I1325">
        <f>IF(H1325="UNPAID", AsOfDate-D1325, 0)</f>
        <v/>
      </c>
      <c r="J1325">
        <f>IF(F1325&lt;&gt;"", TEXT(F1325, "yyyy-mm"), "")</f>
        <v/>
      </c>
    </row>
    <row r="1326">
      <c r="A1326" t="inlineStr">
        <is>
          <t>RP0001325</t>
        </is>
      </c>
      <c r="B1326" t="inlineStr">
        <is>
          <t>LN200195</t>
        </is>
      </c>
      <c r="C1326" t="n">
        <v>2</v>
      </c>
      <c r="D1326" s="8" t="n">
        <v>46222</v>
      </c>
      <c r="E1326" s="9" t="n">
        <v>13215</v>
      </c>
      <c r="F1326" s="8" t="n">
        <v>46225</v>
      </c>
      <c r="G1326" s="9" t="n">
        <v>13215</v>
      </c>
      <c r="H1326" t="inlineStr">
        <is>
          <t>PAID_ON_TIME</t>
        </is>
      </c>
      <c r="I1326">
        <f>IF(H1326="UNPAID", AsOfDate-D1326, 0)</f>
        <v/>
      </c>
      <c r="J1326">
        <f>IF(F1326&lt;&gt;"", TEXT(F1326, "yyyy-mm"), "")</f>
        <v/>
      </c>
    </row>
    <row r="1327">
      <c r="A1327" t="inlineStr">
        <is>
          <t>RP0001326</t>
        </is>
      </c>
      <c r="B1327" t="inlineStr">
        <is>
          <t>LN200195</t>
        </is>
      </c>
      <c r="C1327" t="n">
        <v>3</v>
      </c>
      <c r="D1327" s="8" t="n">
        <v>46253</v>
      </c>
      <c r="E1327" s="9" t="n">
        <v>13215</v>
      </c>
      <c r="F1327" s="8" t="n">
        <v>46256</v>
      </c>
      <c r="G1327" s="9" t="n">
        <v>13215</v>
      </c>
      <c r="H1327" t="inlineStr">
        <is>
          <t>PAID_ON_TIME</t>
        </is>
      </c>
      <c r="I1327">
        <f>IF(H1327="UNPAID", AsOfDate-D1327, 0)</f>
        <v/>
      </c>
      <c r="J1327">
        <f>IF(F1327&lt;&gt;"", TEXT(F1327, "yyyy-mm"), "")</f>
        <v/>
      </c>
    </row>
    <row r="1328">
      <c r="A1328" t="inlineStr">
        <is>
          <t>RP0001327</t>
        </is>
      </c>
      <c r="B1328" t="inlineStr">
        <is>
          <t>LN200195</t>
        </is>
      </c>
      <c r="C1328" t="n">
        <v>4</v>
      </c>
      <c r="D1328" s="8" t="n">
        <v>46284</v>
      </c>
      <c r="E1328" s="9" t="n">
        <v>13215</v>
      </c>
      <c r="F1328" s="8" t="n"/>
      <c r="G1328" s="9" t="n">
        <v>0</v>
      </c>
      <c r="H1328" t="inlineStr">
        <is>
          <t>NOT_DUE</t>
        </is>
      </c>
      <c r="I1328">
        <f>IF(H1328="UNPAID", AsOfDate-D1328, 0)</f>
        <v/>
      </c>
      <c r="J1328">
        <f>IF(F1328&lt;&gt;"", TEXT(F1328, "yyyy-mm"), "")</f>
        <v/>
      </c>
    </row>
    <row r="1329">
      <c r="A1329" t="inlineStr">
        <is>
          <t>RP0001328</t>
        </is>
      </c>
      <c r="B1329" t="inlineStr">
        <is>
          <t>LN200195</t>
        </is>
      </c>
      <c r="C1329" t="n">
        <v>5</v>
      </c>
      <c r="D1329" s="8" t="n">
        <v>46314</v>
      </c>
      <c r="E1329" s="9" t="n">
        <v>13215</v>
      </c>
      <c r="F1329" s="8" t="n"/>
      <c r="G1329" s="9" t="n">
        <v>0</v>
      </c>
      <c r="H1329" t="inlineStr">
        <is>
          <t>NOT_DUE</t>
        </is>
      </c>
      <c r="I1329">
        <f>IF(H1329="UNPAID", AsOfDate-D1329, 0)</f>
        <v/>
      </c>
      <c r="J1329">
        <f>IF(F1329&lt;&gt;"", TEXT(F1329, "yyyy-mm"), "")</f>
        <v/>
      </c>
    </row>
    <row r="1330">
      <c r="A1330" t="inlineStr">
        <is>
          <t>RP0001329</t>
        </is>
      </c>
      <c r="B1330" t="inlineStr">
        <is>
          <t>LN200195</t>
        </is>
      </c>
      <c r="C1330" t="n">
        <v>6</v>
      </c>
      <c r="D1330" s="8" t="n">
        <v>46345</v>
      </c>
      <c r="E1330" s="9" t="n">
        <v>13215</v>
      </c>
      <c r="F1330" s="8" t="n"/>
      <c r="G1330" s="9" t="n">
        <v>0</v>
      </c>
      <c r="H1330" t="inlineStr">
        <is>
          <t>NOT_DUE</t>
        </is>
      </c>
      <c r="I1330">
        <f>IF(H1330="UNPAID", AsOfDate-D1330, 0)</f>
        <v/>
      </c>
      <c r="J1330">
        <f>IF(F1330&lt;&gt;"", TEXT(F1330, "yyyy-mm"), "")</f>
        <v/>
      </c>
    </row>
    <row r="1331">
      <c r="A1331" t="inlineStr">
        <is>
          <t>RP0001330</t>
        </is>
      </c>
      <c r="B1331" t="inlineStr">
        <is>
          <t>LN200195</t>
        </is>
      </c>
      <c r="C1331" t="n">
        <v>7</v>
      </c>
      <c r="D1331" s="8" t="n">
        <v>46375</v>
      </c>
      <c r="E1331" s="9" t="n">
        <v>13215</v>
      </c>
      <c r="F1331" s="8" t="n"/>
      <c r="G1331" s="9" t="n">
        <v>0</v>
      </c>
      <c r="H1331" t="inlineStr">
        <is>
          <t>NOT_DUE</t>
        </is>
      </c>
      <c r="I1331">
        <f>IF(H1331="UNPAID", AsOfDate-D1331, 0)</f>
        <v/>
      </c>
      <c r="J1331">
        <f>IF(F1331&lt;&gt;"", TEXT(F1331, "yyyy-mm"), "")</f>
        <v/>
      </c>
    </row>
    <row r="1332">
      <c r="A1332" t="inlineStr">
        <is>
          <t>RP0001331</t>
        </is>
      </c>
      <c r="B1332" t="inlineStr">
        <is>
          <t>LN200195</t>
        </is>
      </c>
      <c r="C1332" t="n">
        <v>8</v>
      </c>
      <c r="D1332" s="8" t="n">
        <v>46406</v>
      </c>
      <c r="E1332" s="9" t="n">
        <v>13215</v>
      </c>
      <c r="F1332" s="8" t="n"/>
      <c r="G1332" s="9" t="n">
        <v>0</v>
      </c>
      <c r="H1332" t="inlineStr">
        <is>
          <t>NOT_DUE</t>
        </is>
      </c>
      <c r="I1332">
        <f>IF(H1332="UNPAID", AsOfDate-D1332, 0)</f>
        <v/>
      </c>
      <c r="J1332">
        <f>IF(F1332&lt;&gt;"", TEXT(F1332, "yyyy-mm"), "")</f>
        <v/>
      </c>
    </row>
    <row r="1333">
      <c r="A1333" t="inlineStr">
        <is>
          <t>RP0001332</t>
        </is>
      </c>
      <c r="B1333" t="inlineStr">
        <is>
          <t>LN200195</t>
        </is>
      </c>
      <c r="C1333" t="n">
        <v>9</v>
      </c>
      <c r="D1333" s="8" t="n">
        <v>46437</v>
      </c>
      <c r="E1333" s="9" t="n">
        <v>13215</v>
      </c>
      <c r="F1333" s="8" t="n"/>
      <c r="G1333" s="9" t="n">
        <v>0</v>
      </c>
      <c r="H1333" t="inlineStr">
        <is>
          <t>NOT_DUE</t>
        </is>
      </c>
      <c r="I1333">
        <f>IF(H1333="UNPAID", AsOfDate-D1333, 0)</f>
        <v/>
      </c>
      <c r="J1333">
        <f>IF(F1333&lt;&gt;"", TEXT(F1333, "yyyy-mm"), "")</f>
        <v/>
      </c>
    </row>
    <row r="1334">
      <c r="A1334" t="inlineStr">
        <is>
          <t>RP0001333</t>
        </is>
      </c>
      <c r="B1334" t="inlineStr">
        <is>
          <t>LN200196</t>
        </is>
      </c>
      <c r="C1334" t="n">
        <v>1</v>
      </c>
      <c r="D1334" s="8" t="n">
        <v>46191</v>
      </c>
      <c r="E1334" s="9" t="n">
        <v>4158.22</v>
      </c>
      <c r="F1334" s="8" t="n">
        <v>46195</v>
      </c>
      <c r="G1334" s="9" t="n">
        <v>4158.22</v>
      </c>
      <c r="H1334" t="inlineStr">
        <is>
          <t>PAID_ON_TIME</t>
        </is>
      </c>
      <c r="I1334">
        <f>IF(H1334="UNPAID", AsOfDate-D1334, 0)</f>
        <v/>
      </c>
      <c r="J1334">
        <f>IF(F1334&lt;&gt;"", TEXT(F1334, "yyyy-mm"), "")</f>
        <v/>
      </c>
    </row>
    <row r="1335">
      <c r="A1335" t="inlineStr">
        <is>
          <t>RP0001334</t>
        </is>
      </c>
      <c r="B1335" t="inlineStr">
        <is>
          <t>LN200196</t>
        </is>
      </c>
      <c r="C1335" t="n">
        <v>2</v>
      </c>
      <c r="D1335" s="8" t="n">
        <v>46221</v>
      </c>
      <c r="E1335" s="9" t="n">
        <v>4158.22</v>
      </c>
      <c r="F1335" s="8" t="n">
        <v>46219</v>
      </c>
      <c r="G1335" s="9" t="n">
        <v>4158.22</v>
      </c>
      <c r="H1335" t="inlineStr">
        <is>
          <t>PAID_ON_TIME</t>
        </is>
      </c>
      <c r="I1335">
        <f>IF(H1335="UNPAID", AsOfDate-D1335, 0)</f>
        <v/>
      </c>
      <c r="J1335">
        <f>IF(F1335&lt;&gt;"", TEXT(F1335, "yyyy-mm"), "")</f>
        <v/>
      </c>
    </row>
    <row r="1336">
      <c r="A1336" t="inlineStr">
        <is>
          <t>RP0001335</t>
        </is>
      </c>
      <c r="B1336" t="inlineStr">
        <is>
          <t>LN200196</t>
        </is>
      </c>
      <c r="C1336" t="n">
        <v>3</v>
      </c>
      <c r="D1336" s="8" t="n">
        <v>46252</v>
      </c>
      <c r="E1336" s="9" t="n">
        <v>4158.22</v>
      </c>
      <c r="F1336" s="8" t="n">
        <v>46252</v>
      </c>
      <c r="G1336" s="9" t="n">
        <v>4158.22</v>
      </c>
      <c r="H1336" t="inlineStr">
        <is>
          <t>PAID_ON_TIME</t>
        </is>
      </c>
      <c r="I1336">
        <f>IF(H1336="UNPAID", AsOfDate-D1336, 0)</f>
        <v/>
      </c>
      <c r="J1336">
        <f>IF(F1336&lt;&gt;"", TEXT(F1336, "yyyy-mm"), "")</f>
        <v/>
      </c>
    </row>
    <row r="1337">
      <c r="A1337" t="inlineStr">
        <is>
          <t>RP0001336</t>
        </is>
      </c>
      <c r="B1337" t="inlineStr">
        <is>
          <t>LN200196</t>
        </is>
      </c>
      <c r="C1337" t="n">
        <v>4</v>
      </c>
      <c r="D1337" s="8" t="n">
        <v>46283</v>
      </c>
      <c r="E1337" s="9" t="n">
        <v>4158.22</v>
      </c>
      <c r="F1337" s="8" t="n"/>
      <c r="G1337" s="9" t="n">
        <v>0</v>
      </c>
      <c r="H1337" t="inlineStr">
        <is>
          <t>NOT_DUE</t>
        </is>
      </c>
      <c r="I1337">
        <f>IF(H1337="UNPAID", AsOfDate-D1337, 0)</f>
        <v/>
      </c>
      <c r="J1337">
        <f>IF(F1337&lt;&gt;"", TEXT(F1337, "yyyy-mm"), "")</f>
        <v/>
      </c>
    </row>
    <row r="1338">
      <c r="A1338" t="inlineStr">
        <is>
          <t>RP0001337</t>
        </is>
      </c>
      <c r="B1338" t="inlineStr">
        <is>
          <t>LN200196</t>
        </is>
      </c>
      <c r="C1338" t="n">
        <v>5</v>
      </c>
      <c r="D1338" s="8" t="n">
        <v>46313</v>
      </c>
      <c r="E1338" s="9" t="n">
        <v>4158.22</v>
      </c>
      <c r="F1338" s="8" t="n"/>
      <c r="G1338" s="9" t="n">
        <v>0</v>
      </c>
      <c r="H1338" t="inlineStr">
        <is>
          <t>NOT_DUE</t>
        </is>
      </c>
      <c r="I1338">
        <f>IF(H1338="UNPAID", AsOfDate-D1338, 0)</f>
        <v/>
      </c>
      <c r="J1338">
        <f>IF(F1338&lt;&gt;"", TEXT(F1338, "yyyy-mm"), "")</f>
        <v/>
      </c>
    </row>
    <row r="1339">
      <c r="A1339" t="inlineStr">
        <is>
          <t>RP0001338</t>
        </is>
      </c>
      <c r="B1339" t="inlineStr">
        <is>
          <t>LN200196</t>
        </is>
      </c>
      <c r="C1339" t="n">
        <v>6</v>
      </c>
      <c r="D1339" s="8" t="n">
        <v>46344</v>
      </c>
      <c r="E1339" s="9" t="n">
        <v>4158.22</v>
      </c>
      <c r="F1339" s="8" t="n"/>
      <c r="G1339" s="9" t="n">
        <v>0</v>
      </c>
      <c r="H1339" t="inlineStr">
        <is>
          <t>NOT_DUE</t>
        </is>
      </c>
      <c r="I1339">
        <f>IF(H1339="UNPAID", AsOfDate-D1339, 0)</f>
        <v/>
      </c>
      <c r="J1339">
        <f>IF(F1339&lt;&gt;"", TEXT(F1339, "yyyy-mm"), "")</f>
        <v/>
      </c>
    </row>
    <row r="1340">
      <c r="A1340" t="inlineStr">
        <is>
          <t>RP0001339</t>
        </is>
      </c>
      <c r="B1340" t="inlineStr">
        <is>
          <t>LN200196</t>
        </is>
      </c>
      <c r="C1340" t="n">
        <v>7</v>
      </c>
      <c r="D1340" s="8" t="n">
        <v>46374</v>
      </c>
      <c r="E1340" s="9" t="n">
        <v>4158.22</v>
      </c>
      <c r="F1340" s="8" t="n"/>
      <c r="G1340" s="9" t="n">
        <v>0</v>
      </c>
      <c r="H1340" t="inlineStr">
        <is>
          <t>NOT_DUE</t>
        </is>
      </c>
      <c r="I1340">
        <f>IF(H1340="UNPAID", AsOfDate-D1340, 0)</f>
        <v/>
      </c>
      <c r="J1340">
        <f>IF(F1340&lt;&gt;"", TEXT(F1340, "yyyy-mm"), "")</f>
        <v/>
      </c>
    </row>
    <row r="1341">
      <c r="A1341" t="inlineStr">
        <is>
          <t>RP0001340</t>
        </is>
      </c>
      <c r="B1341" t="inlineStr">
        <is>
          <t>LN200196</t>
        </is>
      </c>
      <c r="C1341" t="n">
        <v>8</v>
      </c>
      <c r="D1341" s="8" t="n">
        <v>46405</v>
      </c>
      <c r="E1341" s="9" t="n">
        <v>4158.22</v>
      </c>
      <c r="F1341" s="8" t="n"/>
      <c r="G1341" s="9" t="n">
        <v>0</v>
      </c>
      <c r="H1341" t="inlineStr">
        <is>
          <t>NOT_DUE</t>
        </is>
      </c>
      <c r="I1341">
        <f>IF(H1341="UNPAID", AsOfDate-D1341, 0)</f>
        <v/>
      </c>
      <c r="J1341">
        <f>IF(F1341&lt;&gt;"", TEXT(F1341, "yyyy-mm"), "")</f>
        <v/>
      </c>
    </row>
    <row r="1342">
      <c r="A1342" t="inlineStr">
        <is>
          <t>RP0001341</t>
        </is>
      </c>
      <c r="B1342" t="inlineStr">
        <is>
          <t>LN200196</t>
        </is>
      </c>
      <c r="C1342" t="n">
        <v>9</v>
      </c>
      <c r="D1342" s="8" t="n">
        <v>46436</v>
      </c>
      <c r="E1342" s="9" t="n">
        <v>4158.22</v>
      </c>
      <c r="F1342" s="8" t="n"/>
      <c r="G1342" s="9" t="n">
        <v>0</v>
      </c>
      <c r="H1342" t="inlineStr">
        <is>
          <t>NOT_DUE</t>
        </is>
      </c>
      <c r="I1342">
        <f>IF(H1342="UNPAID", AsOfDate-D1342, 0)</f>
        <v/>
      </c>
      <c r="J1342">
        <f>IF(F1342&lt;&gt;"", TEXT(F1342, "yyyy-mm"), "")</f>
        <v/>
      </c>
    </row>
    <row r="1343">
      <c r="A1343" t="inlineStr">
        <is>
          <t>RP0001342</t>
        </is>
      </c>
      <c r="B1343" t="inlineStr">
        <is>
          <t>LN200197</t>
        </is>
      </c>
      <c r="C1343" t="n">
        <v>1</v>
      </c>
      <c r="D1343" s="8" t="n">
        <v>45716</v>
      </c>
      <c r="E1343" s="9" t="n">
        <v>35912.5</v>
      </c>
      <c r="F1343" s="8" t="n">
        <v>45720</v>
      </c>
      <c r="G1343" s="9" t="n">
        <v>35912.5</v>
      </c>
      <c r="H1343" t="inlineStr">
        <is>
          <t>PAID_ON_TIME</t>
        </is>
      </c>
      <c r="I1343">
        <f>IF(H1343="UNPAID", AsOfDate-D1343, 0)</f>
        <v/>
      </c>
      <c r="J1343">
        <f>IF(F1343&lt;&gt;"", TEXT(F1343, "yyyy-mm"), "")</f>
        <v/>
      </c>
    </row>
    <row r="1344">
      <c r="A1344" t="inlineStr">
        <is>
          <t>RP0001343</t>
        </is>
      </c>
      <c r="B1344" t="inlineStr">
        <is>
          <t>LN200197</t>
        </is>
      </c>
      <c r="C1344" t="n">
        <v>2</v>
      </c>
      <c r="D1344" s="8" t="n">
        <v>45746</v>
      </c>
      <c r="E1344" s="9" t="n">
        <v>35912.5</v>
      </c>
      <c r="F1344" s="8" t="n">
        <v>45744</v>
      </c>
      <c r="G1344" s="9" t="n">
        <v>35912.5</v>
      </c>
      <c r="H1344" t="inlineStr">
        <is>
          <t>PAID_ON_TIME</t>
        </is>
      </c>
      <c r="I1344">
        <f>IF(H1344="UNPAID", AsOfDate-D1344, 0)</f>
        <v/>
      </c>
      <c r="J1344">
        <f>IF(F1344&lt;&gt;"", TEXT(F1344, "yyyy-mm"), "")</f>
        <v/>
      </c>
    </row>
    <row r="1345">
      <c r="A1345" t="inlineStr">
        <is>
          <t>RP0001344</t>
        </is>
      </c>
      <c r="B1345" t="inlineStr">
        <is>
          <t>LN200197</t>
        </is>
      </c>
      <c r="C1345" t="n">
        <v>3</v>
      </c>
      <c r="D1345" s="8" t="n">
        <v>45777</v>
      </c>
      <c r="E1345" s="9" t="n">
        <v>35912.5</v>
      </c>
      <c r="F1345" s="8" t="n">
        <v>45776</v>
      </c>
      <c r="G1345" s="9" t="n">
        <v>35912.5</v>
      </c>
      <c r="H1345" t="inlineStr">
        <is>
          <t>PAID_ON_TIME</t>
        </is>
      </c>
      <c r="I1345">
        <f>IF(H1345="UNPAID", AsOfDate-D1345, 0)</f>
        <v/>
      </c>
      <c r="J1345">
        <f>IF(F1345&lt;&gt;"", TEXT(F1345, "yyyy-mm"), "")</f>
        <v/>
      </c>
    </row>
    <row r="1346">
      <c r="A1346" t="inlineStr">
        <is>
          <t>RP0001345</t>
        </is>
      </c>
      <c r="B1346" t="inlineStr">
        <is>
          <t>LN200198</t>
        </is>
      </c>
      <c r="C1346" t="n">
        <v>1</v>
      </c>
      <c r="D1346" s="8" t="n">
        <v>46054</v>
      </c>
      <c r="E1346" s="9" t="n">
        <v>22360.72</v>
      </c>
      <c r="F1346" s="8" t="n">
        <v>46057</v>
      </c>
      <c r="G1346" s="9" t="n">
        <v>22360.72</v>
      </c>
      <c r="H1346" t="inlineStr">
        <is>
          <t>PAID_ON_TIME</t>
        </is>
      </c>
      <c r="I1346">
        <f>IF(H1346="UNPAID", AsOfDate-D1346, 0)</f>
        <v/>
      </c>
      <c r="J1346">
        <f>IF(F1346&lt;&gt;"", TEXT(F1346, "yyyy-mm"), "")</f>
        <v/>
      </c>
    </row>
    <row r="1347">
      <c r="A1347" t="inlineStr">
        <is>
          <t>RP0001346</t>
        </is>
      </c>
      <c r="B1347" t="inlineStr">
        <is>
          <t>LN200198</t>
        </is>
      </c>
      <c r="C1347" t="n">
        <v>2</v>
      </c>
      <c r="D1347" s="8" t="n">
        <v>46082</v>
      </c>
      <c r="E1347" s="9" t="n">
        <v>22360.72</v>
      </c>
      <c r="F1347" s="8" t="n">
        <v>46127</v>
      </c>
      <c r="G1347" s="9" t="n">
        <v>22360.72</v>
      </c>
      <c r="H1347" t="inlineStr">
        <is>
          <t>PAID_LATE</t>
        </is>
      </c>
      <c r="I1347">
        <f>IF(H1347="UNPAID", AsOfDate-D1347, 0)</f>
        <v/>
      </c>
      <c r="J1347">
        <f>IF(F1347&lt;&gt;"", TEXT(F1347, "yyyy-mm"), "")</f>
        <v/>
      </c>
    </row>
    <row r="1348">
      <c r="A1348" t="inlineStr">
        <is>
          <t>RP0001347</t>
        </is>
      </c>
      <c r="B1348" t="inlineStr">
        <is>
          <t>LN200198</t>
        </is>
      </c>
      <c r="C1348" t="n">
        <v>3</v>
      </c>
      <c r="D1348" s="8" t="n">
        <v>46113</v>
      </c>
      <c r="E1348" s="9" t="n">
        <v>22360.72</v>
      </c>
      <c r="F1348" s="8" t="n">
        <v>46116</v>
      </c>
      <c r="G1348" s="9" t="n">
        <v>22360.72</v>
      </c>
      <c r="H1348" t="inlineStr">
        <is>
          <t>PAID_ON_TIME</t>
        </is>
      </c>
      <c r="I1348">
        <f>IF(H1348="UNPAID", AsOfDate-D1348, 0)</f>
        <v/>
      </c>
      <c r="J1348">
        <f>IF(F1348&lt;&gt;"", TEXT(F1348, "yyyy-mm"), "")</f>
        <v/>
      </c>
    </row>
    <row r="1349">
      <c r="A1349" t="inlineStr">
        <is>
          <t>RP0001348</t>
        </is>
      </c>
      <c r="B1349" t="inlineStr">
        <is>
          <t>LN200198</t>
        </is>
      </c>
      <c r="C1349" t="n">
        <v>4</v>
      </c>
      <c r="D1349" s="8" t="n">
        <v>46143</v>
      </c>
      <c r="E1349" s="9" t="n">
        <v>22360.72</v>
      </c>
      <c r="F1349" s="8" t="n">
        <v>46146</v>
      </c>
      <c r="G1349" s="9" t="n">
        <v>22360.72</v>
      </c>
      <c r="H1349" t="inlineStr">
        <is>
          <t>PAID_ON_TIME</t>
        </is>
      </c>
      <c r="I1349">
        <f>IF(H1349="UNPAID", AsOfDate-D1349, 0)</f>
        <v/>
      </c>
      <c r="J1349">
        <f>IF(F1349&lt;&gt;"", TEXT(F1349, "yyyy-mm"), "")</f>
        <v/>
      </c>
    </row>
    <row r="1350">
      <c r="A1350" t="inlineStr">
        <is>
          <t>RP0001349</t>
        </is>
      </c>
      <c r="B1350" t="inlineStr">
        <is>
          <t>LN200198</t>
        </is>
      </c>
      <c r="C1350" t="n">
        <v>5</v>
      </c>
      <c r="D1350" s="8" t="n">
        <v>46174</v>
      </c>
      <c r="E1350" s="9" t="n">
        <v>22360.72</v>
      </c>
      <c r="F1350" s="8" t="n">
        <v>46173</v>
      </c>
      <c r="G1350" s="9" t="n">
        <v>22360.72</v>
      </c>
      <c r="H1350" t="inlineStr">
        <is>
          <t>PAID_ON_TIME</t>
        </is>
      </c>
      <c r="I1350">
        <f>IF(H1350="UNPAID", AsOfDate-D1350, 0)</f>
        <v/>
      </c>
      <c r="J1350">
        <f>IF(F1350&lt;&gt;"", TEXT(F1350, "yyyy-mm"), "")</f>
        <v/>
      </c>
    </row>
    <row r="1351">
      <c r="A1351" t="inlineStr">
        <is>
          <t>RP0001350</t>
        </is>
      </c>
      <c r="B1351" t="inlineStr">
        <is>
          <t>LN200198</t>
        </is>
      </c>
      <c r="C1351" t="n">
        <v>6</v>
      </c>
      <c r="D1351" s="8" t="n">
        <v>46204</v>
      </c>
      <c r="E1351" s="9" t="n">
        <v>22360.72</v>
      </c>
      <c r="F1351" s="8" t="n">
        <v>46201</v>
      </c>
      <c r="G1351" s="9" t="n">
        <v>22360.72</v>
      </c>
      <c r="H1351" t="inlineStr">
        <is>
          <t>PAID_ON_TIME</t>
        </is>
      </c>
      <c r="I1351">
        <f>IF(H1351="UNPAID", AsOfDate-D1351, 0)</f>
        <v/>
      </c>
      <c r="J1351">
        <f>IF(F1351&lt;&gt;"", TEXT(F1351, "yyyy-mm"), "")</f>
        <v/>
      </c>
    </row>
    <row r="1352">
      <c r="A1352" t="inlineStr">
        <is>
          <t>RP0001351</t>
        </is>
      </c>
      <c r="B1352" t="inlineStr">
        <is>
          <t>LN200198</t>
        </is>
      </c>
      <c r="C1352" t="n">
        <v>7</v>
      </c>
      <c r="D1352" s="8" t="n">
        <v>46235</v>
      </c>
      <c r="E1352" s="9" t="n">
        <v>22360.72</v>
      </c>
      <c r="F1352" s="8" t="n">
        <v>46239</v>
      </c>
      <c r="G1352" s="9" t="n">
        <v>22360.72</v>
      </c>
      <c r="H1352" t="inlineStr">
        <is>
          <t>PAID_ON_TIME</t>
        </is>
      </c>
      <c r="I1352">
        <f>IF(H1352="UNPAID", AsOfDate-D1352, 0)</f>
        <v/>
      </c>
      <c r="J1352">
        <f>IF(F1352&lt;&gt;"", TEXT(F1352, "yyyy-mm"), "")</f>
        <v/>
      </c>
    </row>
    <row r="1353">
      <c r="A1353" t="inlineStr">
        <is>
          <t>RP0001352</t>
        </is>
      </c>
      <c r="B1353" t="inlineStr">
        <is>
          <t>LN200198</t>
        </is>
      </c>
      <c r="C1353" t="n">
        <v>8</v>
      </c>
      <c r="D1353" s="8" t="n">
        <v>46266</v>
      </c>
      <c r="E1353" s="9" t="n">
        <v>22360.72</v>
      </c>
      <c r="F1353" s="8" t="n">
        <v>46266</v>
      </c>
      <c r="G1353" s="9" t="n">
        <v>22360.72</v>
      </c>
      <c r="H1353" t="inlineStr">
        <is>
          <t>PAID_ON_TIME</t>
        </is>
      </c>
      <c r="I1353">
        <f>IF(H1353="UNPAID", AsOfDate-D1353, 0)</f>
        <v/>
      </c>
      <c r="J1353">
        <f>IF(F1353&lt;&gt;"", TEXT(F1353, "yyyy-mm"), "")</f>
        <v/>
      </c>
    </row>
    <row r="1354">
      <c r="A1354" t="inlineStr">
        <is>
          <t>RP0001353</t>
        </is>
      </c>
      <c r="B1354" t="inlineStr">
        <is>
          <t>LN200198</t>
        </is>
      </c>
      <c r="C1354" t="n">
        <v>9</v>
      </c>
      <c r="D1354" s="8" t="n">
        <v>46296</v>
      </c>
      <c r="E1354" s="9" t="n">
        <v>22360.72</v>
      </c>
      <c r="F1354" s="8" t="n"/>
      <c r="G1354" s="9" t="n">
        <v>0</v>
      </c>
      <c r="H1354" t="inlineStr">
        <is>
          <t>NOT_DUE</t>
        </is>
      </c>
      <c r="I1354">
        <f>IF(H1354="UNPAID", AsOfDate-D1354, 0)</f>
        <v/>
      </c>
      <c r="J1354">
        <f>IF(F1354&lt;&gt;"", TEXT(F1354, "yyyy-mm"), "")</f>
        <v/>
      </c>
    </row>
    <row r="1355">
      <c r="A1355" t="inlineStr">
        <is>
          <t>RP0001354</t>
        </is>
      </c>
      <c r="B1355" t="inlineStr">
        <is>
          <t>LN200199</t>
        </is>
      </c>
      <c r="C1355" t="n">
        <v>1</v>
      </c>
      <c r="D1355" s="8" t="n">
        <v>45771</v>
      </c>
      <c r="E1355" s="9" t="n">
        <v>18877.5</v>
      </c>
      <c r="F1355" s="8" t="n">
        <v>45768</v>
      </c>
      <c r="G1355" s="9" t="n">
        <v>18877.5</v>
      </c>
      <c r="H1355" t="inlineStr">
        <is>
          <t>PAID_ON_TIME</t>
        </is>
      </c>
      <c r="I1355">
        <f>IF(H1355="UNPAID", AsOfDate-D1355, 0)</f>
        <v/>
      </c>
      <c r="J1355">
        <f>IF(F1355&lt;&gt;"", TEXT(F1355, "yyyy-mm"), "")</f>
        <v/>
      </c>
    </row>
    <row r="1356">
      <c r="A1356" t="inlineStr">
        <is>
          <t>RP0001355</t>
        </is>
      </c>
      <c r="B1356" t="inlineStr">
        <is>
          <t>LN200199</t>
        </is>
      </c>
      <c r="C1356" t="n">
        <v>2</v>
      </c>
      <c r="D1356" s="8" t="n">
        <v>45801</v>
      </c>
      <c r="E1356" s="9" t="n">
        <v>18877.5</v>
      </c>
      <c r="F1356" s="8" t="n">
        <v>45799</v>
      </c>
      <c r="G1356" s="9" t="n">
        <v>18877.5</v>
      </c>
      <c r="H1356" t="inlineStr">
        <is>
          <t>PAID_ON_TIME</t>
        </is>
      </c>
      <c r="I1356">
        <f>IF(H1356="UNPAID", AsOfDate-D1356, 0)</f>
        <v/>
      </c>
      <c r="J1356">
        <f>IF(F1356&lt;&gt;"", TEXT(F1356, "yyyy-mm"), "")</f>
        <v/>
      </c>
    </row>
    <row r="1357">
      <c r="A1357" t="inlineStr">
        <is>
          <t>RP0001356</t>
        </is>
      </c>
      <c r="B1357" t="inlineStr">
        <is>
          <t>LN200199</t>
        </is>
      </c>
      <c r="C1357" t="n">
        <v>3</v>
      </c>
      <c r="D1357" s="8" t="n">
        <v>45832</v>
      </c>
      <c r="E1357" s="9" t="n">
        <v>18877.5</v>
      </c>
      <c r="F1357" s="8" t="n">
        <v>45836</v>
      </c>
      <c r="G1357" s="9" t="n">
        <v>18877.5</v>
      </c>
      <c r="H1357" t="inlineStr">
        <is>
          <t>PAID_ON_TIME</t>
        </is>
      </c>
      <c r="I1357">
        <f>IF(H1357="UNPAID", AsOfDate-D1357, 0)</f>
        <v/>
      </c>
      <c r="J1357">
        <f>IF(F1357&lt;&gt;"", TEXT(F1357, "yyyy-mm"), "")</f>
        <v/>
      </c>
    </row>
    <row r="1358">
      <c r="A1358" t="inlineStr">
        <is>
          <t>RP0001357</t>
        </is>
      </c>
      <c r="B1358" t="inlineStr">
        <is>
          <t>LN200200</t>
        </is>
      </c>
      <c r="C1358" t="n">
        <v>1</v>
      </c>
      <c r="D1358" s="8" t="n">
        <v>45907</v>
      </c>
      <c r="E1358" s="9" t="n">
        <v>5638.25</v>
      </c>
      <c r="F1358" s="8" t="n">
        <v>45992</v>
      </c>
      <c r="G1358" s="9" t="n">
        <v>5638.25</v>
      </c>
      <c r="H1358" t="inlineStr">
        <is>
          <t>PAID_LATE</t>
        </is>
      </c>
      <c r="I1358">
        <f>IF(H1358="UNPAID", AsOfDate-D1358, 0)</f>
        <v/>
      </c>
      <c r="J1358">
        <f>IF(F1358&lt;&gt;"", TEXT(F1358, "yyyy-mm"), "")</f>
        <v/>
      </c>
    </row>
    <row r="1359">
      <c r="A1359" t="inlineStr">
        <is>
          <t>RP0001358</t>
        </is>
      </c>
      <c r="B1359" t="inlineStr">
        <is>
          <t>LN200200</t>
        </is>
      </c>
      <c r="C1359" t="n">
        <v>2</v>
      </c>
      <c r="D1359" s="8" t="n">
        <v>45937</v>
      </c>
      <c r="E1359" s="9" t="n">
        <v>5638.25</v>
      </c>
      <c r="F1359" s="8" t="n"/>
      <c r="G1359" s="9" t="n">
        <v>0</v>
      </c>
      <c r="H1359" t="inlineStr">
        <is>
          <t>UNPAID</t>
        </is>
      </c>
      <c r="I1359">
        <f>IF(H1359="UNPAID", AsOfDate-D1359, 0)</f>
        <v/>
      </c>
      <c r="J1359">
        <f>IF(F1359&lt;&gt;"", TEXT(F1359, "yyyy-mm"), "")</f>
        <v/>
      </c>
    </row>
    <row r="1360">
      <c r="A1360" t="inlineStr">
        <is>
          <t>RP0001359</t>
        </is>
      </c>
      <c r="B1360" t="inlineStr">
        <is>
          <t>LN200200</t>
        </is>
      </c>
      <c r="C1360" t="n">
        <v>3</v>
      </c>
      <c r="D1360" s="8" t="n">
        <v>45968</v>
      </c>
      <c r="E1360" s="9" t="n">
        <v>5638.25</v>
      </c>
      <c r="F1360" s="8" t="n">
        <v>45968</v>
      </c>
      <c r="G1360" s="9" t="n">
        <v>5638.25</v>
      </c>
      <c r="H1360" t="inlineStr">
        <is>
          <t>PAID_ON_TIME</t>
        </is>
      </c>
      <c r="I1360">
        <f>IF(H1360="UNPAID", AsOfDate-D1360, 0)</f>
        <v/>
      </c>
      <c r="J1360">
        <f>IF(F1360&lt;&gt;"", TEXT(F1360, "yyyy-mm"), "")</f>
        <v/>
      </c>
    </row>
    <row r="1361">
      <c r="A1361" t="inlineStr">
        <is>
          <t>RP0001360</t>
        </is>
      </c>
      <c r="B1361" t="inlineStr">
        <is>
          <t>LN200200</t>
        </is>
      </c>
      <c r="C1361" t="n">
        <v>4</v>
      </c>
      <c r="D1361" s="8" t="n">
        <v>45998</v>
      </c>
      <c r="E1361" s="9" t="n">
        <v>5638.25</v>
      </c>
      <c r="F1361" s="8" t="n">
        <v>46001</v>
      </c>
      <c r="G1361" s="9" t="n">
        <v>5638.25</v>
      </c>
      <c r="H1361" t="inlineStr">
        <is>
          <t>PAID_ON_TIME</t>
        </is>
      </c>
      <c r="I1361">
        <f>IF(H1361="UNPAID", AsOfDate-D1361, 0)</f>
        <v/>
      </c>
      <c r="J1361">
        <f>IF(F1361&lt;&gt;"", TEXT(F1361, "yyyy-mm"), "")</f>
        <v/>
      </c>
    </row>
    <row r="1362">
      <c r="A1362" t="inlineStr">
        <is>
          <t>RP0001361</t>
        </is>
      </c>
      <c r="B1362" t="inlineStr">
        <is>
          <t>LN200200</t>
        </is>
      </c>
      <c r="C1362" t="n">
        <v>5</v>
      </c>
      <c r="D1362" s="8" t="n">
        <v>46029</v>
      </c>
      <c r="E1362" s="9" t="n">
        <v>5638.25</v>
      </c>
      <c r="F1362" s="8" t="n">
        <v>46029</v>
      </c>
      <c r="G1362" s="9" t="n">
        <v>5638.25</v>
      </c>
      <c r="H1362" t="inlineStr">
        <is>
          <t>PAID_ON_TIME</t>
        </is>
      </c>
      <c r="I1362">
        <f>IF(H1362="UNPAID", AsOfDate-D1362, 0)</f>
        <v/>
      </c>
      <c r="J1362">
        <f>IF(F1362&lt;&gt;"", TEXT(F1362, "yyyy-mm"), "")</f>
        <v/>
      </c>
    </row>
    <row r="1363">
      <c r="A1363" t="inlineStr">
        <is>
          <t>RP0001362</t>
        </is>
      </c>
      <c r="B1363" t="inlineStr">
        <is>
          <t>LN200200</t>
        </is>
      </c>
      <c r="C1363" t="n">
        <v>6</v>
      </c>
      <c r="D1363" s="8" t="n">
        <v>46060</v>
      </c>
      <c r="E1363" s="9" t="n">
        <v>5638.25</v>
      </c>
      <c r="F1363" s="8" t="n">
        <v>46062</v>
      </c>
      <c r="G1363" s="9" t="n">
        <v>5638.25</v>
      </c>
      <c r="H1363" t="inlineStr">
        <is>
          <t>PAID_ON_TIME</t>
        </is>
      </c>
      <c r="I1363">
        <f>IF(H1363="UNPAID", AsOfDate-D1363, 0)</f>
        <v/>
      </c>
      <c r="J1363">
        <f>IF(F1363&lt;&gt;"", TEXT(F1363, "yyyy-mm"), "")</f>
        <v/>
      </c>
    </row>
    <row r="1364">
      <c r="A1364" t="inlineStr">
        <is>
          <t>RP0001363</t>
        </is>
      </c>
      <c r="B1364" t="inlineStr">
        <is>
          <t>LN200200</t>
        </is>
      </c>
      <c r="C1364" t="n">
        <v>7</v>
      </c>
      <c r="D1364" s="8" t="n">
        <v>46088</v>
      </c>
      <c r="E1364" s="9" t="n">
        <v>5638.25</v>
      </c>
      <c r="F1364" s="8" t="n">
        <v>46089</v>
      </c>
      <c r="G1364" s="9" t="n">
        <v>5638.25</v>
      </c>
      <c r="H1364" t="inlineStr">
        <is>
          <t>PAID_ON_TIME</t>
        </is>
      </c>
      <c r="I1364">
        <f>IF(H1364="UNPAID", AsOfDate-D1364, 0)</f>
        <v/>
      </c>
      <c r="J1364">
        <f>IF(F1364&lt;&gt;"", TEXT(F1364, "yyyy-mm"), "")</f>
        <v/>
      </c>
    </row>
    <row r="1365">
      <c r="A1365" t="inlineStr">
        <is>
          <t>RP0001364</t>
        </is>
      </c>
      <c r="B1365" t="inlineStr">
        <is>
          <t>LN200200</t>
        </is>
      </c>
      <c r="C1365" t="n">
        <v>8</v>
      </c>
      <c r="D1365" s="8" t="n">
        <v>46119</v>
      </c>
      <c r="E1365" s="9" t="n">
        <v>5638.25</v>
      </c>
      <c r="F1365" s="8" t="n">
        <v>46122</v>
      </c>
      <c r="G1365" s="9" t="n">
        <v>5638.25</v>
      </c>
      <c r="H1365" t="inlineStr">
        <is>
          <t>PAID_ON_TIME</t>
        </is>
      </c>
      <c r="I1365">
        <f>IF(H1365="UNPAID", AsOfDate-D1365, 0)</f>
        <v/>
      </c>
      <c r="J1365">
        <f>IF(F1365&lt;&gt;"", TEXT(F1365, "yyyy-mm"), "")</f>
        <v/>
      </c>
    </row>
    <row r="1366">
      <c r="A1366" t="inlineStr">
        <is>
          <t>RP0001365</t>
        </is>
      </c>
      <c r="B1366" t="inlineStr">
        <is>
          <t>LN200200</t>
        </is>
      </c>
      <c r="C1366" t="n">
        <v>9</v>
      </c>
      <c r="D1366" s="8" t="n">
        <v>46149</v>
      </c>
      <c r="E1366" s="9" t="n">
        <v>5638.25</v>
      </c>
      <c r="F1366" s="8" t="n">
        <v>46150</v>
      </c>
      <c r="G1366" s="9" t="n">
        <v>5638.25</v>
      </c>
      <c r="H1366" t="inlineStr">
        <is>
          <t>PAID_ON_TIME</t>
        </is>
      </c>
      <c r="I1366">
        <f>IF(H1366="UNPAID", AsOfDate-D1366, 0)</f>
        <v/>
      </c>
      <c r="J1366">
        <f>IF(F1366&lt;&gt;"", TEXT(F1366, "yyyy-mm"), "")</f>
        <v/>
      </c>
    </row>
    <row r="1367">
      <c r="A1367" t="inlineStr">
        <is>
          <t>RP0001366</t>
        </is>
      </c>
      <c r="B1367" t="inlineStr">
        <is>
          <t>LN200200</t>
        </is>
      </c>
      <c r="C1367" t="n">
        <v>10</v>
      </c>
      <c r="D1367" s="8" t="n">
        <v>46180</v>
      </c>
      <c r="E1367" s="9" t="n">
        <v>5638.25</v>
      </c>
      <c r="F1367" s="8" t="n">
        <v>46180</v>
      </c>
      <c r="G1367" s="9" t="n">
        <v>5638.25</v>
      </c>
      <c r="H1367" t="inlineStr">
        <is>
          <t>PAID_ON_TIME</t>
        </is>
      </c>
      <c r="I1367">
        <f>IF(H1367="UNPAID", AsOfDate-D1367, 0)</f>
        <v/>
      </c>
      <c r="J1367">
        <f>IF(F1367&lt;&gt;"", TEXT(F1367, "yyyy-mm"), "")</f>
        <v/>
      </c>
    </row>
    <row r="1368">
      <c r="A1368" t="inlineStr">
        <is>
          <t>RP0001367</t>
        </is>
      </c>
      <c r="B1368" t="inlineStr">
        <is>
          <t>LN200200</t>
        </is>
      </c>
      <c r="C1368" t="n">
        <v>11</v>
      </c>
      <c r="D1368" s="8" t="n">
        <v>46210</v>
      </c>
      <c r="E1368" s="9" t="n">
        <v>5638.25</v>
      </c>
      <c r="F1368" s="8" t="n">
        <v>46210</v>
      </c>
      <c r="G1368" s="9" t="n">
        <v>5638.25</v>
      </c>
      <c r="H1368" t="inlineStr">
        <is>
          <t>PAID_ON_TIME</t>
        </is>
      </c>
      <c r="I1368">
        <f>IF(H1368="UNPAID", AsOfDate-D1368, 0)</f>
        <v/>
      </c>
      <c r="J1368">
        <f>IF(F1368&lt;&gt;"", TEXT(F1368, "yyyy-mm"), "")</f>
        <v/>
      </c>
    </row>
    <row r="1369">
      <c r="A1369" t="inlineStr">
        <is>
          <t>RP0001368</t>
        </is>
      </c>
      <c r="B1369" t="inlineStr">
        <is>
          <t>LN200200</t>
        </is>
      </c>
      <c r="C1369" t="n">
        <v>12</v>
      </c>
      <c r="D1369" s="8" t="n">
        <v>46241</v>
      </c>
      <c r="E1369" s="9" t="n">
        <v>5638.25</v>
      </c>
      <c r="F1369" s="8" t="n">
        <v>46240</v>
      </c>
      <c r="G1369" s="9" t="n">
        <v>5638.25</v>
      </c>
      <c r="H1369" t="inlineStr">
        <is>
          <t>PAID_ON_TIME</t>
        </is>
      </c>
      <c r="I1369">
        <f>IF(H1369="UNPAID", AsOfDate-D1369, 0)</f>
        <v/>
      </c>
      <c r="J1369">
        <f>IF(F1369&lt;&gt;"", TEXT(F1369, "yyyy-mm"), "")</f>
        <v/>
      </c>
    </row>
    <row r="1370">
      <c r="A1370" t="inlineStr">
        <is>
          <t>RP0001369</t>
        </is>
      </c>
      <c r="B1370" t="inlineStr">
        <is>
          <t>LN200201</t>
        </is>
      </c>
      <c r="C1370" t="n">
        <v>1</v>
      </c>
      <c r="D1370" s="8" t="n">
        <v>45870</v>
      </c>
      <c r="E1370" s="9" t="n">
        <v>21886.08</v>
      </c>
      <c r="F1370" s="8" t="n">
        <v>45868</v>
      </c>
      <c r="G1370" s="9" t="n">
        <v>21886.08</v>
      </c>
      <c r="H1370" t="inlineStr">
        <is>
          <t>PAID_ON_TIME</t>
        </is>
      </c>
      <c r="I1370">
        <f>IF(H1370="UNPAID", AsOfDate-D1370, 0)</f>
        <v/>
      </c>
      <c r="J1370">
        <f>IF(F1370&lt;&gt;"", TEXT(F1370, "yyyy-mm"), "")</f>
        <v/>
      </c>
    </row>
    <row r="1371">
      <c r="A1371" t="inlineStr">
        <is>
          <t>RP0001370</t>
        </is>
      </c>
      <c r="B1371" t="inlineStr">
        <is>
          <t>LN200201</t>
        </is>
      </c>
      <c r="C1371" t="n">
        <v>2</v>
      </c>
      <c r="D1371" s="8" t="n">
        <v>45901</v>
      </c>
      <c r="E1371" s="9" t="n">
        <v>21886.08</v>
      </c>
      <c r="F1371" s="8" t="n">
        <v>45903</v>
      </c>
      <c r="G1371" s="9" t="n">
        <v>21886.08</v>
      </c>
      <c r="H1371" t="inlineStr">
        <is>
          <t>PAID_ON_TIME</t>
        </is>
      </c>
      <c r="I1371">
        <f>IF(H1371="UNPAID", AsOfDate-D1371, 0)</f>
        <v/>
      </c>
      <c r="J1371">
        <f>IF(F1371&lt;&gt;"", TEXT(F1371, "yyyy-mm"), "")</f>
        <v/>
      </c>
    </row>
    <row r="1372">
      <c r="A1372" t="inlineStr">
        <is>
          <t>RP0001371</t>
        </is>
      </c>
      <c r="B1372" t="inlineStr">
        <is>
          <t>LN200201</t>
        </is>
      </c>
      <c r="C1372" t="n">
        <v>3</v>
      </c>
      <c r="D1372" s="8" t="n">
        <v>45931</v>
      </c>
      <c r="E1372" s="9" t="n">
        <v>21886.08</v>
      </c>
      <c r="F1372" s="8" t="n">
        <v>45935</v>
      </c>
      <c r="G1372" s="9" t="n">
        <v>21886.08</v>
      </c>
      <c r="H1372" t="inlineStr">
        <is>
          <t>PAID_ON_TIME</t>
        </is>
      </c>
      <c r="I1372">
        <f>IF(H1372="UNPAID", AsOfDate-D1372, 0)</f>
        <v/>
      </c>
      <c r="J1372">
        <f>IF(F1372&lt;&gt;"", TEXT(F1372, "yyyy-mm"), "")</f>
        <v/>
      </c>
    </row>
    <row r="1373">
      <c r="A1373" t="inlineStr">
        <is>
          <t>RP0001372</t>
        </is>
      </c>
      <c r="B1373" t="inlineStr">
        <is>
          <t>LN200201</t>
        </is>
      </c>
      <c r="C1373" t="n">
        <v>4</v>
      </c>
      <c r="D1373" s="8" t="n">
        <v>45962</v>
      </c>
      <c r="E1373" s="9" t="n">
        <v>21886.08</v>
      </c>
      <c r="F1373" s="8" t="n">
        <v>45961</v>
      </c>
      <c r="G1373" s="9" t="n">
        <v>21886.08</v>
      </c>
      <c r="H1373" t="inlineStr">
        <is>
          <t>PAID_ON_TIME</t>
        </is>
      </c>
      <c r="I1373">
        <f>IF(H1373="UNPAID", AsOfDate-D1373, 0)</f>
        <v/>
      </c>
      <c r="J1373">
        <f>IF(F1373&lt;&gt;"", TEXT(F1373, "yyyy-mm"), "")</f>
        <v/>
      </c>
    </row>
    <row r="1374">
      <c r="A1374" t="inlineStr">
        <is>
          <t>RP0001373</t>
        </is>
      </c>
      <c r="B1374" t="inlineStr">
        <is>
          <t>LN200201</t>
        </is>
      </c>
      <c r="C1374" t="n">
        <v>5</v>
      </c>
      <c r="D1374" s="8" t="n">
        <v>45992</v>
      </c>
      <c r="E1374" s="9" t="n">
        <v>21886.08</v>
      </c>
      <c r="F1374" s="8" t="n">
        <v>45993</v>
      </c>
      <c r="G1374" s="9" t="n">
        <v>21886.08</v>
      </c>
      <c r="H1374" t="inlineStr">
        <is>
          <t>PAID_ON_TIME</t>
        </is>
      </c>
      <c r="I1374">
        <f>IF(H1374="UNPAID", AsOfDate-D1374, 0)</f>
        <v/>
      </c>
      <c r="J1374">
        <f>IF(F1374&lt;&gt;"", TEXT(F1374, "yyyy-mm"), "")</f>
        <v/>
      </c>
    </row>
    <row r="1375">
      <c r="A1375" t="inlineStr">
        <is>
          <t>RP0001374</t>
        </is>
      </c>
      <c r="B1375" t="inlineStr">
        <is>
          <t>LN200201</t>
        </is>
      </c>
      <c r="C1375" t="n">
        <v>6</v>
      </c>
      <c r="D1375" s="8" t="n">
        <v>46023</v>
      </c>
      <c r="E1375" s="9" t="n">
        <v>21886.08</v>
      </c>
      <c r="F1375" s="8" t="n">
        <v>46025</v>
      </c>
      <c r="G1375" s="9" t="n">
        <v>21886.08</v>
      </c>
      <c r="H1375" t="inlineStr">
        <is>
          <t>PAID_ON_TIME</t>
        </is>
      </c>
      <c r="I1375">
        <f>IF(H1375="UNPAID", AsOfDate-D1375, 0)</f>
        <v/>
      </c>
      <c r="J1375">
        <f>IF(F1375&lt;&gt;"", TEXT(F1375, "yyyy-mm"), "")</f>
        <v/>
      </c>
    </row>
    <row r="1376">
      <c r="A1376" t="inlineStr">
        <is>
          <t>RP0001375</t>
        </is>
      </c>
      <c r="B1376" t="inlineStr">
        <is>
          <t>LN200202</t>
        </is>
      </c>
      <c r="C1376" t="n">
        <v>1</v>
      </c>
      <c r="D1376" s="8" t="n">
        <v>45951</v>
      </c>
      <c r="E1376" s="9" t="n">
        <v>11473</v>
      </c>
      <c r="F1376" s="8" t="n">
        <v>45949</v>
      </c>
      <c r="G1376" s="9" t="n">
        <v>11473</v>
      </c>
      <c r="H1376" t="inlineStr">
        <is>
          <t>PAID_ON_TIME</t>
        </is>
      </c>
      <c r="I1376">
        <f>IF(H1376="UNPAID", AsOfDate-D1376, 0)</f>
        <v/>
      </c>
      <c r="J1376">
        <f>IF(F1376&lt;&gt;"", TEXT(F1376, "yyyy-mm"), "")</f>
        <v/>
      </c>
    </row>
    <row r="1377">
      <c r="A1377" t="inlineStr">
        <is>
          <t>RP0001376</t>
        </is>
      </c>
      <c r="B1377" t="inlineStr">
        <is>
          <t>LN200202</t>
        </is>
      </c>
      <c r="C1377" t="n">
        <v>2</v>
      </c>
      <c r="D1377" s="8" t="n">
        <v>45982</v>
      </c>
      <c r="E1377" s="9" t="n">
        <v>11473</v>
      </c>
      <c r="F1377" s="8" t="n">
        <v>45980</v>
      </c>
      <c r="G1377" s="9" t="n">
        <v>11473</v>
      </c>
      <c r="H1377" t="inlineStr">
        <is>
          <t>PAID_ON_TIME</t>
        </is>
      </c>
      <c r="I1377">
        <f>IF(H1377="UNPAID", AsOfDate-D1377, 0)</f>
        <v/>
      </c>
      <c r="J1377">
        <f>IF(F1377&lt;&gt;"", TEXT(F1377, "yyyy-mm"), "")</f>
        <v/>
      </c>
    </row>
    <row r="1378">
      <c r="A1378" t="inlineStr">
        <is>
          <t>RP0001377</t>
        </is>
      </c>
      <c r="B1378" t="inlineStr">
        <is>
          <t>LN200202</t>
        </is>
      </c>
      <c r="C1378" t="n">
        <v>3</v>
      </c>
      <c r="D1378" s="8" t="n">
        <v>46012</v>
      </c>
      <c r="E1378" s="9" t="n">
        <v>11473</v>
      </c>
      <c r="F1378" s="8" t="n">
        <v>46013</v>
      </c>
      <c r="G1378" s="9" t="n">
        <v>11473</v>
      </c>
      <c r="H1378" t="inlineStr">
        <is>
          <t>PAID_ON_TIME</t>
        </is>
      </c>
      <c r="I1378">
        <f>IF(H1378="UNPAID", AsOfDate-D1378, 0)</f>
        <v/>
      </c>
      <c r="J1378">
        <f>IF(F1378&lt;&gt;"", TEXT(F1378, "yyyy-mm"), "")</f>
        <v/>
      </c>
    </row>
    <row r="1379">
      <c r="A1379" t="inlineStr">
        <is>
          <t>RP0001378</t>
        </is>
      </c>
      <c r="B1379" t="inlineStr">
        <is>
          <t>LN200203</t>
        </is>
      </c>
      <c r="C1379" t="n">
        <v>1</v>
      </c>
      <c r="D1379" s="8" t="n">
        <v>46226</v>
      </c>
      <c r="E1379" s="9" t="n">
        <v>12959.25</v>
      </c>
      <c r="F1379" s="8" t="n">
        <v>46228</v>
      </c>
      <c r="G1379" s="9" t="n">
        <v>12959.25</v>
      </c>
      <c r="H1379" t="inlineStr">
        <is>
          <t>PAID_ON_TIME</t>
        </is>
      </c>
      <c r="I1379">
        <f>IF(H1379="UNPAID", AsOfDate-D1379, 0)</f>
        <v/>
      </c>
      <c r="J1379">
        <f>IF(F1379&lt;&gt;"", TEXT(F1379, "yyyy-mm"), "")</f>
        <v/>
      </c>
    </row>
    <row r="1380">
      <c r="A1380" t="inlineStr">
        <is>
          <t>RP0001379</t>
        </is>
      </c>
      <c r="B1380" t="inlineStr">
        <is>
          <t>LN200203</t>
        </is>
      </c>
      <c r="C1380" t="n">
        <v>2</v>
      </c>
      <c r="D1380" s="8" t="n">
        <v>46257</v>
      </c>
      <c r="E1380" s="9" t="n">
        <v>12959.25</v>
      </c>
      <c r="F1380" s="8" t="n">
        <v>46256</v>
      </c>
      <c r="G1380" s="9" t="n">
        <v>12959.25</v>
      </c>
      <c r="H1380" t="inlineStr">
        <is>
          <t>PAID_ON_TIME</t>
        </is>
      </c>
      <c r="I1380">
        <f>IF(H1380="UNPAID", AsOfDate-D1380, 0)</f>
        <v/>
      </c>
      <c r="J1380">
        <f>IF(F1380&lt;&gt;"", TEXT(F1380, "yyyy-mm"), "")</f>
        <v/>
      </c>
    </row>
    <row r="1381">
      <c r="A1381" t="inlineStr">
        <is>
          <t>RP0001380</t>
        </is>
      </c>
      <c r="B1381" t="inlineStr">
        <is>
          <t>LN200203</t>
        </is>
      </c>
      <c r="C1381" t="n">
        <v>3</v>
      </c>
      <c r="D1381" s="8" t="n">
        <v>46288</v>
      </c>
      <c r="E1381" s="9" t="n">
        <v>12959.25</v>
      </c>
      <c r="F1381" s="8" t="n"/>
      <c r="G1381" s="9" t="n">
        <v>0</v>
      </c>
      <c r="H1381" t="inlineStr">
        <is>
          <t>NOT_DUE</t>
        </is>
      </c>
      <c r="I1381">
        <f>IF(H1381="UNPAID", AsOfDate-D1381, 0)</f>
        <v/>
      </c>
      <c r="J1381">
        <f>IF(F1381&lt;&gt;"", TEXT(F1381, "yyyy-mm"), "")</f>
        <v/>
      </c>
    </row>
    <row r="1382">
      <c r="A1382" t="inlineStr">
        <is>
          <t>RP0001381</t>
        </is>
      </c>
      <c r="B1382" t="inlineStr">
        <is>
          <t>LN200204</t>
        </is>
      </c>
      <c r="C1382" t="n">
        <v>1</v>
      </c>
      <c r="D1382" s="8" t="n">
        <v>46087</v>
      </c>
      <c r="E1382" s="9" t="n">
        <v>16536</v>
      </c>
      <c r="F1382" s="8" t="n">
        <v>46086</v>
      </c>
      <c r="G1382" s="9" t="n">
        <v>16536</v>
      </c>
      <c r="H1382" t="inlineStr">
        <is>
          <t>PAID_ON_TIME</t>
        </is>
      </c>
      <c r="I1382">
        <f>IF(H1382="UNPAID", AsOfDate-D1382, 0)</f>
        <v/>
      </c>
      <c r="J1382">
        <f>IF(F1382&lt;&gt;"", TEXT(F1382, "yyyy-mm"), "")</f>
        <v/>
      </c>
    </row>
    <row r="1383">
      <c r="A1383" t="inlineStr">
        <is>
          <t>RP0001382</t>
        </is>
      </c>
      <c r="B1383" t="inlineStr">
        <is>
          <t>LN200204</t>
        </is>
      </c>
      <c r="C1383" t="n">
        <v>2</v>
      </c>
      <c r="D1383" s="8" t="n">
        <v>46118</v>
      </c>
      <c r="E1383" s="9" t="n">
        <v>16536</v>
      </c>
      <c r="F1383" s="8" t="n">
        <v>46119</v>
      </c>
      <c r="G1383" s="9" t="n">
        <v>16536</v>
      </c>
      <c r="H1383" t="inlineStr">
        <is>
          <t>PAID_ON_TIME</t>
        </is>
      </c>
      <c r="I1383">
        <f>IF(H1383="UNPAID", AsOfDate-D1383, 0)</f>
        <v/>
      </c>
      <c r="J1383">
        <f>IF(F1383&lt;&gt;"", TEXT(F1383, "yyyy-mm"), "")</f>
        <v/>
      </c>
    </row>
    <row r="1384">
      <c r="A1384" t="inlineStr">
        <is>
          <t>RP0001383</t>
        </is>
      </c>
      <c r="B1384" t="inlineStr">
        <is>
          <t>LN200204</t>
        </is>
      </c>
      <c r="C1384" t="n">
        <v>3</v>
      </c>
      <c r="D1384" s="8" t="n">
        <v>46148</v>
      </c>
      <c r="E1384" s="9" t="n">
        <v>16536</v>
      </c>
      <c r="F1384" s="8" t="n">
        <v>46151</v>
      </c>
      <c r="G1384" s="9" t="n">
        <v>16536</v>
      </c>
      <c r="H1384" t="inlineStr">
        <is>
          <t>PAID_ON_TIME</t>
        </is>
      </c>
      <c r="I1384">
        <f>IF(H1384="UNPAID", AsOfDate-D1384, 0)</f>
        <v/>
      </c>
      <c r="J1384">
        <f>IF(F1384&lt;&gt;"", TEXT(F1384, "yyyy-mm"), "")</f>
        <v/>
      </c>
    </row>
    <row r="1385">
      <c r="A1385" t="inlineStr">
        <is>
          <t>RP0001384</t>
        </is>
      </c>
      <c r="B1385" t="inlineStr">
        <is>
          <t>LN200205</t>
        </is>
      </c>
      <c r="C1385" t="n">
        <v>1</v>
      </c>
      <c r="D1385" s="8" t="n">
        <v>46223</v>
      </c>
      <c r="E1385" s="9" t="n">
        <v>9291.67</v>
      </c>
      <c r="F1385" s="8" t="n">
        <v>46225</v>
      </c>
      <c r="G1385" s="9" t="n">
        <v>9291.67</v>
      </c>
      <c r="H1385" t="inlineStr">
        <is>
          <t>PAID_ON_TIME</t>
        </is>
      </c>
      <c r="I1385">
        <f>IF(H1385="UNPAID", AsOfDate-D1385, 0)</f>
        <v/>
      </c>
      <c r="J1385">
        <f>IF(F1385&lt;&gt;"", TEXT(F1385, "yyyy-mm"), "")</f>
        <v/>
      </c>
    </row>
    <row r="1386">
      <c r="A1386" t="inlineStr">
        <is>
          <t>RP0001385</t>
        </is>
      </c>
      <c r="B1386" t="inlineStr">
        <is>
          <t>LN200205</t>
        </is>
      </c>
      <c r="C1386" t="n">
        <v>2</v>
      </c>
      <c r="D1386" s="8" t="n">
        <v>46254</v>
      </c>
      <c r="E1386" s="9" t="n">
        <v>9291.67</v>
      </c>
      <c r="F1386" s="8" t="n">
        <v>46258</v>
      </c>
      <c r="G1386" s="9" t="n">
        <v>9291.67</v>
      </c>
      <c r="H1386" t="inlineStr">
        <is>
          <t>PAID_ON_TIME</t>
        </is>
      </c>
      <c r="I1386">
        <f>IF(H1386="UNPAID", AsOfDate-D1386, 0)</f>
        <v/>
      </c>
      <c r="J1386">
        <f>IF(F1386&lt;&gt;"", TEXT(F1386, "yyyy-mm"), "")</f>
        <v/>
      </c>
    </row>
    <row r="1387">
      <c r="A1387" t="inlineStr">
        <is>
          <t>RP0001386</t>
        </is>
      </c>
      <c r="B1387" t="inlineStr">
        <is>
          <t>LN200205</t>
        </is>
      </c>
      <c r="C1387" t="n">
        <v>3</v>
      </c>
      <c r="D1387" s="8" t="n">
        <v>46285</v>
      </c>
      <c r="E1387" s="9" t="n">
        <v>9291.67</v>
      </c>
      <c r="F1387" s="8" t="n"/>
      <c r="G1387" s="9" t="n">
        <v>0</v>
      </c>
      <c r="H1387" t="inlineStr">
        <is>
          <t>NOT_DUE</t>
        </is>
      </c>
      <c r="I1387">
        <f>IF(H1387="UNPAID", AsOfDate-D1387, 0)</f>
        <v/>
      </c>
      <c r="J1387">
        <f>IF(F1387&lt;&gt;"", TEXT(F1387, "yyyy-mm"), "")</f>
        <v/>
      </c>
    </row>
    <row r="1388">
      <c r="A1388" t="inlineStr">
        <is>
          <t>RP0001387</t>
        </is>
      </c>
      <c r="B1388" t="inlineStr">
        <is>
          <t>LN200205</t>
        </is>
      </c>
      <c r="C1388" t="n">
        <v>4</v>
      </c>
      <c r="D1388" s="8" t="n">
        <v>46315</v>
      </c>
      <c r="E1388" s="9" t="n">
        <v>9291.67</v>
      </c>
      <c r="F1388" s="8" t="n"/>
      <c r="G1388" s="9" t="n">
        <v>0</v>
      </c>
      <c r="H1388" t="inlineStr">
        <is>
          <t>NOT_DUE</t>
        </is>
      </c>
      <c r="I1388">
        <f>IF(H1388="UNPAID", AsOfDate-D1388, 0)</f>
        <v/>
      </c>
      <c r="J1388">
        <f>IF(F1388&lt;&gt;"", TEXT(F1388, "yyyy-mm"), "")</f>
        <v/>
      </c>
    </row>
    <row r="1389">
      <c r="A1389" t="inlineStr">
        <is>
          <t>RP0001388</t>
        </is>
      </c>
      <c r="B1389" t="inlineStr">
        <is>
          <t>LN200205</t>
        </is>
      </c>
      <c r="C1389" t="n">
        <v>5</v>
      </c>
      <c r="D1389" s="8" t="n">
        <v>46346</v>
      </c>
      <c r="E1389" s="9" t="n">
        <v>9291.67</v>
      </c>
      <c r="F1389" s="8" t="n"/>
      <c r="G1389" s="9" t="n">
        <v>0</v>
      </c>
      <c r="H1389" t="inlineStr">
        <is>
          <t>NOT_DUE</t>
        </is>
      </c>
      <c r="I1389">
        <f>IF(H1389="UNPAID", AsOfDate-D1389, 0)</f>
        <v/>
      </c>
      <c r="J1389">
        <f>IF(F1389&lt;&gt;"", TEXT(F1389, "yyyy-mm"), "")</f>
        <v/>
      </c>
    </row>
    <row r="1390">
      <c r="A1390" t="inlineStr">
        <is>
          <t>RP0001389</t>
        </is>
      </c>
      <c r="B1390" t="inlineStr">
        <is>
          <t>LN200205</t>
        </is>
      </c>
      <c r="C1390" t="n">
        <v>6</v>
      </c>
      <c r="D1390" s="8" t="n">
        <v>46376</v>
      </c>
      <c r="E1390" s="9" t="n">
        <v>9291.67</v>
      </c>
      <c r="F1390" s="8" t="n"/>
      <c r="G1390" s="9" t="n">
        <v>0</v>
      </c>
      <c r="H1390" t="inlineStr">
        <is>
          <t>NOT_DUE</t>
        </is>
      </c>
      <c r="I1390">
        <f>IF(H1390="UNPAID", AsOfDate-D1390, 0)</f>
        <v/>
      </c>
      <c r="J1390">
        <f>IF(F1390&lt;&gt;"", TEXT(F1390, "yyyy-mm"), "")</f>
        <v/>
      </c>
    </row>
    <row r="1391">
      <c r="A1391" t="inlineStr">
        <is>
          <t>RP0001390</t>
        </is>
      </c>
      <c r="B1391" t="inlineStr">
        <is>
          <t>LN200206</t>
        </is>
      </c>
      <c r="C1391" t="n">
        <v>1</v>
      </c>
      <c r="D1391" s="8" t="n">
        <v>45758</v>
      </c>
      <c r="E1391" s="9" t="n">
        <v>11986.5</v>
      </c>
      <c r="F1391" s="8" t="n">
        <v>45758</v>
      </c>
      <c r="G1391" s="9" t="n">
        <v>11986.5</v>
      </c>
      <c r="H1391" t="inlineStr">
        <is>
          <t>PAID_ON_TIME</t>
        </is>
      </c>
      <c r="I1391">
        <f>IF(H1391="UNPAID", AsOfDate-D1391, 0)</f>
        <v/>
      </c>
      <c r="J1391">
        <f>IF(F1391&lt;&gt;"", TEXT(F1391, "yyyy-mm"), "")</f>
        <v/>
      </c>
    </row>
    <row r="1392">
      <c r="A1392" t="inlineStr">
        <is>
          <t>RP0001391</t>
        </is>
      </c>
      <c r="B1392" t="inlineStr">
        <is>
          <t>LN200206</t>
        </is>
      </c>
      <c r="C1392" t="n">
        <v>2</v>
      </c>
      <c r="D1392" s="8" t="n">
        <v>45788</v>
      </c>
      <c r="E1392" s="9" t="n">
        <v>11986.5</v>
      </c>
      <c r="F1392" s="8" t="n">
        <v>45791</v>
      </c>
      <c r="G1392" s="9" t="n">
        <v>11986.5</v>
      </c>
      <c r="H1392" t="inlineStr">
        <is>
          <t>PAID_ON_TIME</t>
        </is>
      </c>
      <c r="I1392">
        <f>IF(H1392="UNPAID", AsOfDate-D1392, 0)</f>
        <v/>
      </c>
      <c r="J1392">
        <f>IF(F1392&lt;&gt;"", TEXT(F1392, "yyyy-mm"), "")</f>
        <v/>
      </c>
    </row>
    <row r="1393">
      <c r="A1393" t="inlineStr">
        <is>
          <t>RP0001392</t>
        </is>
      </c>
      <c r="B1393" t="inlineStr">
        <is>
          <t>LN200206</t>
        </is>
      </c>
      <c r="C1393" t="n">
        <v>3</v>
      </c>
      <c r="D1393" s="8" t="n">
        <v>45819</v>
      </c>
      <c r="E1393" s="9" t="n">
        <v>11986.5</v>
      </c>
      <c r="F1393" s="8" t="n">
        <v>45817</v>
      </c>
      <c r="G1393" s="9" t="n">
        <v>11986.5</v>
      </c>
      <c r="H1393" t="inlineStr">
        <is>
          <t>PAID_ON_TIME</t>
        </is>
      </c>
      <c r="I1393">
        <f>IF(H1393="UNPAID", AsOfDate-D1393, 0)</f>
        <v/>
      </c>
      <c r="J1393">
        <f>IF(F1393&lt;&gt;"", TEXT(F1393, "yyyy-mm"), "")</f>
        <v/>
      </c>
    </row>
    <row r="1394">
      <c r="A1394" t="inlineStr">
        <is>
          <t>RP0001393</t>
        </is>
      </c>
      <c r="B1394" t="inlineStr">
        <is>
          <t>LN200206</t>
        </is>
      </c>
      <c r="C1394" t="n">
        <v>4</v>
      </c>
      <c r="D1394" s="8" t="n">
        <v>45849</v>
      </c>
      <c r="E1394" s="9" t="n">
        <v>11986.5</v>
      </c>
      <c r="F1394" s="8" t="n">
        <v>45897</v>
      </c>
      <c r="G1394" s="9" t="n">
        <v>11986.5</v>
      </c>
      <c r="H1394" t="inlineStr">
        <is>
          <t>PAID_LATE</t>
        </is>
      </c>
      <c r="I1394">
        <f>IF(H1394="UNPAID", AsOfDate-D1394, 0)</f>
        <v/>
      </c>
      <c r="J1394">
        <f>IF(F1394&lt;&gt;"", TEXT(F1394, "yyyy-mm"), "")</f>
        <v/>
      </c>
    </row>
    <row r="1395">
      <c r="A1395" t="inlineStr">
        <is>
          <t>RP0001394</t>
        </is>
      </c>
      <c r="B1395" t="inlineStr">
        <is>
          <t>LN200206</t>
        </is>
      </c>
      <c r="C1395" t="n">
        <v>5</v>
      </c>
      <c r="D1395" s="8" t="n">
        <v>45880</v>
      </c>
      <c r="E1395" s="9" t="n">
        <v>11986.5</v>
      </c>
      <c r="F1395" s="8" t="n">
        <v>45879</v>
      </c>
      <c r="G1395" s="9" t="n">
        <v>11986.5</v>
      </c>
      <c r="H1395" t="inlineStr">
        <is>
          <t>PAID_ON_TIME</t>
        </is>
      </c>
      <c r="I1395">
        <f>IF(H1395="UNPAID", AsOfDate-D1395, 0)</f>
        <v/>
      </c>
      <c r="J1395">
        <f>IF(F1395&lt;&gt;"", TEXT(F1395, "yyyy-mm"), "")</f>
        <v/>
      </c>
    </row>
    <row r="1396">
      <c r="A1396" t="inlineStr">
        <is>
          <t>RP0001395</t>
        </is>
      </c>
      <c r="B1396" t="inlineStr">
        <is>
          <t>LN200206</t>
        </is>
      </c>
      <c r="C1396" t="n">
        <v>6</v>
      </c>
      <c r="D1396" s="8" t="n">
        <v>45911</v>
      </c>
      <c r="E1396" s="9" t="n">
        <v>11986.5</v>
      </c>
      <c r="F1396" s="8" t="n">
        <v>45956</v>
      </c>
      <c r="G1396" s="9" t="n">
        <v>11986.5</v>
      </c>
      <c r="H1396" t="inlineStr">
        <is>
          <t>PAID_LATE</t>
        </is>
      </c>
      <c r="I1396">
        <f>IF(H1396="UNPAID", AsOfDate-D1396, 0)</f>
        <v/>
      </c>
      <c r="J1396">
        <f>IF(F1396&lt;&gt;"", TEXT(F1396, "yyyy-mm"), "")</f>
        <v/>
      </c>
    </row>
    <row r="1397">
      <c r="A1397" t="inlineStr">
        <is>
          <t>RP0001396</t>
        </is>
      </c>
      <c r="B1397" t="inlineStr">
        <is>
          <t>LN200206</t>
        </is>
      </c>
      <c r="C1397" t="n">
        <v>7</v>
      </c>
      <c r="D1397" s="8" t="n">
        <v>45941</v>
      </c>
      <c r="E1397" s="9" t="n">
        <v>11986.5</v>
      </c>
      <c r="F1397" s="8" t="n">
        <v>45987</v>
      </c>
      <c r="G1397" s="9" t="n">
        <v>11986.5</v>
      </c>
      <c r="H1397" t="inlineStr">
        <is>
          <t>PAID_LATE</t>
        </is>
      </c>
      <c r="I1397">
        <f>IF(H1397="UNPAID", AsOfDate-D1397, 0)</f>
        <v/>
      </c>
      <c r="J1397">
        <f>IF(F1397&lt;&gt;"", TEXT(F1397, "yyyy-mm"), "")</f>
        <v/>
      </c>
    </row>
    <row r="1398">
      <c r="A1398" t="inlineStr">
        <is>
          <t>RP0001397</t>
        </is>
      </c>
      <c r="B1398" t="inlineStr">
        <is>
          <t>LN200206</t>
        </is>
      </c>
      <c r="C1398" t="n">
        <v>8</v>
      </c>
      <c r="D1398" s="8" t="n">
        <v>45972</v>
      </c>
      <c r="E1398" s="9" t="n">
        <v>11986.5</v>
      </c>
      <c r="F1398" s="8" t="n">
        <v>45970</v>
      </c>
      <c r="G1398" s="9" t="n">
        <v>11986.5</v>
      </c>
      <c r="H1398" t="inlineStr">
        <is>
          <t>PAID_ON_TIME</t>
        </is>
      </c>
      <c r="I1398">
        <f>IF(H1398="UNPAID", AsOfDate-D1398, 0)</f>
        <v/>
      </c>
      <c r="J1398">
        <f>IF(F1398&lt;&gt;"", TEXT(F1398, "yyyy-mm"), "")</f>
        <v/>
      </c>
    </row>
    <row r="1399">
      <c r="A1399" t="inlineStr">
        <is>
          <t>RP0001398</t>
        </is>
      </c>
      <c r="B1399" t="inlineStr">
        <is>
          <t>LN200206</t>
        </is>
      </c>
      <c r="C1399" t="n">
        <v>9</v>
      </c>
      <c r="D1399" s="8" t="n">
        <v>46002</v>
      </c>
      <c r="E1399" s="9" t="n">
        <v>11986.5</v>
      </c>
      <c r="F1399" s="8" t="n">
        <v>46003</v>
      </c>
      <c r="G1399" s="9" t="n">
        <v>11986.5</v>
      </c>
      <c r="H1399" t="inlineStr">
        <is>
          <t>PAID_ON_TIME</t>
        </is>
      </c>
      <c r="I1399">
        <f>IF(H1399="UNPAID", AsOfDate-D1399, 0)</f>
        <v/>
      </c>
      <c r="J1399">
        <f>IF(F1399&lt;&gt;"", TEXT(F1399, "yyyy-mm"), "")</f>
        <v/>
      </c>
    </row>
    <row r="1400">
      <c r="A1400" t="inlineStr">
        <is>
          <t>RP0001399</t>
        </is>
      </c>
      <c r="B1400" t="inlineStr">
        <is>
          <t>LN200206</t>
        </is>
      </c>
      <c r="C1400" t="n">
        <v>10</v>
      </c>
      <c r="D1400" s="8" t="n">
        <v>46033</v>
      </c>
      <c r="E1400" s="9" t="n">
        <v>11986.5</v>
      </c>
      <c r="F1400" s="8" t="n">
        <v>46033</v>
      </c>
      <c r="G1400" s="9" t="n">
        <v>11986.5</v>
      </c>
      <c r="H1400" t="inlineStr">
        <is>
          <t>PAID_ON_TIME</t>
        </is>
      </c>
      <c r="I1400">
        <f>IF(H1400="UNPAID", AsOfDate-D1400, 0)</f>
        <v/>
      </c>
      <c r="J1400">
        <f>IF(F1400&lt;&gt;"", TEXT(F1400, "yyyy-mm"), "")</f>
        <v/>
      </c>
    </row>
    <row r="1401">
      <c r="A1401" t="inlineStr">
        <is>
          <t>RP0001400</t>
        </is>
      </c>
      <c r="B1401" t="inlineStr">
        <is>
          <t>LN200206</t>
        </is>
      </c>
      <c r="C1401" t="n">
        <v>11</v>
      </c>
      <c r="D1401" s="8" t="n">
        <v>46064</v>
      </c>
      <c r="E1401" s="9" t="n">
        <v>11986.5</v>
      </c>
      <c r="F1401" s="8" t="n">
        <v>46063</v>
      </c>
      <c r="G1401" s="9" t="n">
        <v>11986.5</v>
      </c>
      <c r="H1401" t="inlineStr">
        <is>
          <t>PAID_ON_TIME</t>
        </is>
      </c>
      <c r="I1401">
        <f>IF(H1401="UNPAID", AsOfDate-D1401, 0)</f>
        <v/>
      </c>
      <c r="J1401">
        <f>IF(F1401&lt;&gt;"", TEXT(F1401, "yyyy-mm"), "")</f>
        <v/>
      </c>
    </row>
    <row r="1402">
      <c r="A1402" t="inlineStr">
        <is>
          <t>RP0001401</t>
        </is>
      </c>
      <c r="B1402" t="inlineStr">
        <is>
          <t>LN200206</t>
        </is>
      </c>
      <c r="C1402" t="n">
        <v>12</v>
      </c>
      <c r="D1402" s="8" t="n">
        <v>46092</v>
      </c>
      <c r="E1402" s="9" t="n">
        <v>11986.5</v>
      </c>
      <c r="F1402" s="8" t="n">
        <v>46096</v>
      </c>
      <c r="G1402" s="9" t="n">
        <v>11986.5</v>
      </c>
      <c r="H1402" t="inlineStr">
        <is>
          <t>PAID_ON_TIME</t>
        </is>
      </c>
      <c r="I1402">
        <f>IF(H1402="UNPAID", AsOfDate-D1402, 0)</f>
        <v/>
      </c>
      <c r="J1402">
        <f>IF(F1402&lt;&gt;"", TEXT(F1402, "yyyy-mm"), "")</f>
        <v/>
      </c>
    </row>
    <row r="1403">
      <c r="A1403" t="inlineStr">
        <is>
          <t>RP0001402</t>
        </is>
      </c>
      <c r="B1403" t="inlineStr">
        <is>
          <t>LN200207</t>
        </is>
      </c>
      <c r="C1403" t="n">
        <v>1</v>
      </c>
      <c r="D1403" s="8" t="n">
        <v>46150</v>
      </c>
      <c r="E1403" s="9" t="n">
        <v>30972</v>
      </c>
      <c r="F1403" s="8" t="n">
        <v>46150</v>
      </c>
      <c r="G1403" s="9" t="n">
        <v>30972</v>
      </c>
      <c r="H1403" t="inlineStr">
        <is>
          <t>PAID_ON_TIME</t>
        </is>
      </c>
      <c r="I1403">
        <f>IF(H1403="UNPAID", AsOfDate-D1403, 0)</f>
        <v/>
      </c>
      <c r="J1403">
        <f>IF(F1403&lt;&gt;"", TEXT(F1403, "yyyy-mm"), "")</f>
        <v/>
      </c>
    </row>
    <row r="1404">
      <c r="A1404" t="inlineStr">
        <is>
          <t>RP0001403</t>
        </is>
      </c>
      <c r="B1404" t="inlineStr">
        <is>
          <t>LN200207</t>
        </is>
      </c>
      <c r="C1404" t="n">
        <v>2</v>
      </c>
      <c r="D1404" s="8" t="n">
        <v>46181</v>
      </c>
      <c r="E1404" s="9" t="n">
        <v>30972</v>
      </c>
      <c r="F1404" s="8" t="n">
        <v>46183</v>
      </c>
      <c r="G1404" s="9" t="n">
        <v>30972</v>
      </c>
      <c r="H1404" t="inlineStr">
        <is>
          <t>PAID_ON_TIME</t>
        </is>
      </c>
      <c r="I1404">
        <f>IF(H1404="UNPAID", AsOfDate-D1404, 0)</f>
        <v/>
      </c>
      <c r="J1404">
        <f>IF(F1404&lt;&gt;"", TEXT(F1404, "yyyy-mm"), "")</f>
        <v/>
      </c>
    </row>
    <row r="1405">
      <c r="A1405" t="inlineStr">
        <is>
          <t>RP0001404</t>
        </is>
      </c>
      <c r="B1405" t="inlineStr">
        <is>
          <t>LN200207</t>
        </is>
      </c>
      <c r="C1405" t="n">
        <v>3</v>
      </c>
      <c r="D1405" s="8" t="n">
        <v>46211</v>
      </c>
      <c r="E1405" s="9" t="n">
        <v>30972</v>
      </c>
      <c r="F1405" s="8" t="n">
        <v>46208</v>
      </c>
      <c r="G1405" s="9" t="n">
        <v>30972</v>
      </c>
      <c r="H1405" t="inlineStr">
        <is>
          <t>PAID_ON_TIME</t>
        </is>
      </c>
      <c r="I1405">
        <f>IF(H1405="UNPAID", AsOfDate-D1405, 0)</f>
        <v/>
      </c>
      <c r="J1405">
        <f>IF(F1405&lt;&gt;"", TEXT(F1405, "yyyy-mm"), "")</f>
        <v/>
      </c>
    </row>
    <row r="1406">
      <c r="A1406" t="inlineStr">
        <is>
          <t>RP0001405</t>
        </is>
      </c>
      <c r="B1406" t="inlineStr">
        <is>
          <t>LN200209</t>
        </is>
      </c>
      <c r="C1406" t="n">
        <v>1</v>
      </c>
      <c r="D1406" s="8" t="n">
        <v>46128</v>
      </c>
      <c r="E1406" s="9" t="n">
        <v>20533.33</v>
      </c>
      <c r="F1406" s="8" t="n">
        <v>46129</v>
      </c>
      <c r="G1406" s="9" t="n">
        <v>20533.33</v>
      </c>
      <c r="H1406" t="inlineStr">
        <is>
          <t>PAID_ON_TIME</t>
        </is>
      </c>
      <c r="I1406">
        <f>IF(H1406="UNPAID", AsOfDate-D1406, 0)</f>
        <v/>
      </c>
      <c r="J1406">
        <f>IF(F1406&lt;&gt;"", TEXT(F1406, "yyyy-mm"), "")</f>
        <v/>
      </c>
    </row>
    <row r="1407">
      <c r="A1407" t="inlineStr">
        <is>
          <t>RP0001406</t>
        </is>
      </c>
      <c r="B1407" t="inlineStr">
        <is>
          <t>LN200209</t>
        </is>
      </c>
      <c r="C1407" t="n">
        <v>2</v>
      </c>
      <c r="D1407" s="8" t="n">
        <v>46158</v>
      </c>
      <c r="E1407" s="9" t="n">
        <v>20533.33</v>
      </c>
      <c r="F1407" s="8" t="n">
        <v>46159</v>
      </c>
      <c r="G1407" s="9" t="n">
        <v>20533.33</v>
      </c>
      <c r="H1407" t="inlineStr">
        <is>
          <t>PAID_ON_TIME</t>
        </is>
      </c>
      <c r="I1407">
        <f>IF(H1407="UNPAID", AsOfDate-D1407, 0)</f>
        <v/>
      </c>
      <c r="J1407">
        <f>IF(F1407&lt;&gt;"", TEXT(F1407, "yyyy-mm"), "")</f>
        <v/>
      </c>
    </row>
    <row r="1408">
      <c r="A1408" t="inlineStr">
        <is>
          <t>RP0001407</t>
        </is>
      </c>
      <c r="B1408" t="inlineStr">
        <is>
          <t>LN200209</t>
        </is>
      </c>
      <c r="C1408" t="n">
        <v>3</v>
      </c>
      <c r="D1408" s="8" t="n">
        <v>46189</v>
      </c>
      <c r="E1408" s="9" t="n">
        <v>20533.33</v>
      </c>
      <c r="F1408" s="8" t="n">
        <v>46188</v>
      </c>
      <c r="G1408" s="9" t="n">
        <v>20533.33</v>
      </c>
      <c r="H1408" t="inlineStr">
        <is>
          <t>PAID_ON_TIME</t>
        </is>
      </c>
      <c r="I1408">
        <f>IF(H1408="UNPAID", AsOfDate-D1408, 0)</f>
        <v/>
      </c>
      <c r="J1408">
        <f>IF(F1408&lt;&gt;"", TEXT(F1408, "yyyy-mm"), "")</f>
        <v/>
      </c>
    </row>
    <row r="1409">
      <c r="A1409" t="inlineStr">
        <is>
          <t>RP0001408</t>
        </is>
      </c>
      <c r="B1409" t="inlineStr">
        <is>
          <t>LN200209</t>
        </is>
      </c>
      <c r="C1409" t="n">
        <v>4</v>
      </c>
      <c r="D1409" s="8" t="n">
        <v>46219</v>
      </c>
      <c r="E1409" s="9" t="n">
        <v>20533.33</v>
      </c>
      <c r="F1409" s="8" t="n">
        <v>46220</v>
      </c>
      <c r="G1409" s="9" t="n">
        <v>20533.33</v>
      </c>
      <c r="H1409" t="inlineStr">
        <is>
          <t>PAID_ON_TIME</t>
        </is>
      </c>
      <c r="I1409">
        <f>IF(H1409="UNPAID", AsOfDate-D1409, 0)</f>
        <v/>
      </c>
      <c r="J1409">
        <f>IF(F1409&lt;&gt;"", TEXT(F1409, "yyyy-mm"), "")</f>
        <v/>
      </c>
    </row>
    <row r="1410">
      <c r="A1410" t="inlineStr">
        <is>
          <t>RP0001409</t>
        </is>
      </c>
      <c r="B1410" t="inlineStr">
        <is>
          <t>LN200209</t>
        </is>
      </c>
      <c r="C1410" t="n">
        <v>5</v>
      </c>
      <c r="D1410" s="8" t="n">
        <v>46250</v>
      </c>
      <c r="E1410" s="9" t="n">
        <v>20533.33</v>
      </c>
      <c r="F1410" s="8" t="n">
        <v>46250</v>
      </c>
      <c r="G1410" s="9" t="n">
        <v>20533.33</v>
      </c>
      <c r="H1410" t="inlineStr">
        <is>
          <t>PAID_ON_TIME</t>
        </is>
      </c>
      <c r="I1410">
        <f>IF(H1410="UNPAID", AsOfDate-D1410, 0)</f>
        <v/>
      </c>
      <c r="J1410">
        <f>IF(F1410&lt;&gt;"", TEXT(F1410, "yyyy-mm"), "")</f>
        <v/>
      </c>
    </row>
    <row r="1411">
      <c r="A1411" t="inlineStr">
        <is>
          <t>RP0001410</t>
        </is>
      </c>
      <c r="B1411" t="inlineStr">
        <is>
          <t>LN200209</t>
        </is>
      </c>
      <c r="C1411" t="n">
        <v>6</v>
      </c>
      <c r="D1411" s="8" t="n">
        <v>46281</v>
      </c>
      <c r="E1411" s="9" t="n">
        <v>20533.33</v>
      </c>
      <c r="F1411" s="8" t="n"/>
      <c r="G1411" s="9" t="n">
        <v>0</v>
      </c>
      <c r="H1411" t="inlineStr">
        <is>
          <t>NOT_DUE</t>
        </is>
      </c>
      <c r="I1411">
        <f>IF(H1411="UNPAID", AsOfDate-D1411, 0)</f>
        <v/>
      </c>
      <c r="J1411">
        <f>IF(F1411&lt;&gt;"", TEXT(F1411, "yyyy-mm"), "")</f>
        <v/>
      </c>
    </row>
    <row r="1412">
      <c r="A1412" t="inlineStr">
        <is>
          <t>RP0001411</t>
        </is>
      </c>
      <c r="B1412" t="inlineStr">
        <is>
          <t>LN200210</t>
        </is>
      </c>
      <c r="C1412" t="n">
        <v>1</v>
      </c>
      <c r="D1412" s="8" t="n">
        <v>46120</v>
      </c>
      <c r="E1412" s="9" t="n">
        <v>15937.44</v>
      </c>
      <c r="F1412" s="8" t="n">
        <v>46123</v>
      </c>
      <c r="G1412" s="9" t="n">
        <v>15937.44</v>
      </c>
      <c r="H1412" t="inlineStr">
        <is>
          <t>PAID_ON_TIME</t>
        </is>
      </c>
      <c r="I1412">
        <f>IF(H1412="UNPAID", AsOfDate-D1412, 0)</f>
        <v/>
      </c>
      <c r="J1412">
        <f>IF(F1412&lt;&gt;"", TEXT(F1412, "yyyy-mm"), "")</f>
        <v/>
      </c>
    </row>
    <row r="1413">
      <c r="A1413" t="inlineStr">
        <is>
          <t>RP0001412</t>
        </is>
      </c>
      <c r="B1413" t="inlineStr">
        <is>
          <t>LN200210</t>
        </is>
      </c>
      <c r="C1413" t="n">
        <v>2</v>
      </c>
      <c r="D1413" s="8" t="n">
        <v>46150</v>
      </c>
      <c r="E1413" s="9" t="n">
        <v>15937.44</v>
      </c>
      <c r="F1413" s="8" t="n">
        <v>46152</v>
      </c>
      <c r="G1413" s="9" t="n">
        <v>15937.44</v>
      </c>
      <c r="H1413" t="inlineStr">
        <is>
          <t>PAID_ON_TIME</t>
        </is>
      </c>
      <c r="I1413">
        <f>IF(H1413="UNPAID", AsOfDate-D1413, 0)</f>
        <v/>
      </c>
      <c r="J1413">
        <f>IF(F1413&lt;&gt;"", TEXT(F1413, "yyyy-mm"), "")</f>
        <v/>
      </c>
    </row>
    <row r="1414">
      <c r="A1414" t="inlineStr">
        <is>
          <t>RP0001413</t>
        </is>
      </c>
      <c r="B1414" t="inlineStr">
        <is>
          <t>LN200210</t>
        </is>
      </c>
      <c r="C1414" t="n">
        <v>3</v>
      </c>
      <c r="D1414" s="8" t="n">
        <v>46181</v>
      </c>
      <c r="E1414" s="9" t="n">
        <v>15937.44</v>
      </c>
      <c r="F1414" s="8" t="n">
        <v>46188</v>
      </c>
      <c r="G1414" s="9" t="n">
        <v>15937.44</v>
      </c>
      <c r="H1414" t="inlineStr">
        <is>
          <t>PAID_LATE</t>
        </is>
      </c>
      <c r="I1414">
        <f>IF(H1414="UNPAID", AsOfDate-D1414, 0)</f>
        <v/>
      </c>
      <c r="J1414">
        <f>IF(F1414&lt;&gt;"", TEXT(F1414, "yyyy-mm"), "")</f>
        <v/>
      </c>
    </row>
    <row r="1415">
      <c r="A1415" t="inlineStr">
        <is>
          <t>RP0001414</t>
        </is>
      </c>
      <c r="B1415" t="inlineStr">
        <is>
          <t>LN200210</t>
        </is>
      </c>
      <c r="C1415" t="n">
        <v>4</v>
      </c>
      <c r="D1415" s="8" t="n">
        <v>46211</v>
      </c>
      <c r="E1415" s="9" t="n">
        <v>15937.44</v>
      </c>
      <c r="F1415" s="8" t="n">
        <v>46208</v>
      </c>
      <c r="G1415" s="9" t="n">
        <v>15937.44</v>
      </c>
      <c r="H1415" t="inlineStr">
        <is>
          <t>PAID_ON_TIME</t>
        </is>
      </c>
      <c r="I1415">
        <f>IF(H1415="UNPAID", AsOfDate-D1415, 0)</f>
        <v/>
      </c>
      <c r="J1415">
        <f>IF(F1415&lt;&gt;"", TEXT(F1415, "yyyy-mm"), "")</f>
        <v/>
      </c>
    </row>
    <row r="1416">
      <c r="A1416" t="inlineStr">
        <is>
          <t>RP0001415</t>
        </is>
      </c>
      <c r="B1416" t="inlineStr">
        <is>
          <t>LN200210</t>
        </is>
      </c>
      <c r="C1416" t="n">
        <v>5</v>
      </c>
      <c r="D1416" s="8" t="n">
        <v>46242</v>
      </c>
      <c r="E1416" s="9" t="n">
        <v>15937.44</v>
      </c>
      <c r="F1416" s="8" t="n">
        <v>46241</v>
      </c>
      <c r="G1416" s="9" t="n">
        <v>15937.44</v>
      </c>
      <c r="H1416" t="inlineStr">
        <is>
          <t>PAID_ON_TIME</t>
        </is>
      </c>
      <c r="I1416">
        <f>IF(H1416="UNPAID", AsOfDate-D1416, 0)</f>
        <v/>
      </c>
      <c r="J1416">
        <f>IF(F1416&lt;&gt;"", TEXT(F1416, "yyyy-mm"), "")</f>
        <v/>
      </c>
    </row>
    <row r="1417">
      <c r="A1417" t="inlineStr">
        <is>
          <t>RP0001416</t>
        </is>
      </c>
      <c r="B1417" t="inlineStr">
        <is>
          <t>LN200210</t>
        </is>
      </c>
      <c r="C1417" t="n">
        <v>6</v>
      </c>
      <c r="D1417" s="8" t="n">
        <v>46273</v>
      </c>
      <c r="E1417" s="9" t="n">
        <v>15937.44</v>
      </c>
      <c r="F1417" s="8" t="n"/>
      <c r="G1417" s="9" t="n">
        <v>0</v>
      </c>
      <c r="H1417" t="inlineStr">
        <is>
          <t>NOT_DUE</t>
        </is>
      </c>
      <c r="I1417">
        <f>IF(H1417="UNPAID", AsOfDate-D1417, 0)</f>
        <v/>
      </c>
      <c r="J1417">
        <f>IF(F1417&lt;&gt;"", TEXT(F1417, "yyyy-mm"), "")</f>
        <v/>
      </c>
    </row>
    <row r="1418">
      <c r="A1418" t="inlineStr">
        <is>
          <t>RP0001417</t>
        </is>
      </c>
      <c r="B1418" t="inlineStr">
        <is>
          <t>LN200210</t>
        </is>
      </c>
      <c r="C1418" t="n">
        <v>7</v>
      </c>
      <c r="D1418" s="8" t="n">
        <v>46303</v>
      </c>
      <c r="E1418" s="9" t="n">
        <v>15937.44</v>
      </c>
      <c r="F1418" s="8" t="n"/>
      <c r="G1418" s="9" t="n">
        <v>0</v>
      </c>
      <c r="H1418" t="inlineStr">
        <is>
          <t>NOT_DUE</t>
        </is>
      </c>
      <c r="I1418">
        <f>IF(H1418="UNPAID", AsOfDate-D1418, 0)</f>
        <v/>
      </c>
      <c r="J1418">
        <f>IF(F1418&lt;&gt;"", TEXT(F1418, "yyyy-mm"), "")</f>
        <v/>
      </c>
    </row>
    <row r="1419">
      <c r="A1419" t="inlineStr">
        <is>
          <t>RP0001418</t>
        </is>
      </c>
      <c r="B1419" t="inlineStr">
        <is>
          <t>LN200210</t>
        </is>
      </c>
      <c r="C1419" t="n">
        <v>8</v>
      </c>
      <c r="D1419" s="8" t="n">
        <v>46334</v>
      </c>
      <c r="E1419" s="9" t="n">
        <v>15937.44</v>
      </c>
      <c r="F1419" s="8" t="n"/>
      <c r="G1419" s="9" t="n">
        <v>0</v>
      </c>
      <c r="H1419" t="inlineStr">
        <is>
          <t>NOT_DUE</t>
        </is>
      </c>
      <c r="I1419">
        <f>IF(H1419="UNPAID", AsOfDate-D1419, 0)</f>
        <v/>
      </c>
      <c r="J1419">
        <f>IF(F1419&lt;&gt;"", TEXT(F1419, "yyyy-mm"), "")</f>
        <v/>
      </c>
    </row>
    <row r="1420">
      <c r="A1420" t="inlineStr">
        <is>
          <t>RP0001419</t>
        </is>
      </c>
      <c r="B1420" t="inlineStr">
        <is>
          <t>LN200210</t>
        </is>
      </c>
      <c r="C1420" t="n">
        <v>9</v>
      </c>
      <c r="D1420" s="8" t="n">
        <v>46364</v>
      </c>
      <c r="E1420" s="9" t="n">
        <v>15937.44</v>
      </c>
      <c r="F1420" s="8" t="n"/>
      <c r="G1420" s="9" t="n">
        <v>0</v>
      </c>
      <c r="H1420" t="inlineStr">
        <is>
          <t>NOT_DUE</t>
        </is>
      </c>
      <c r="I1420">
        <f>IF(H1420="UNPAID", AsOfDate-D1420, 0)</f>
        <v/>
      </c>
      <c r="J1420">
        <f>IF(F1420&lt;&gt;"", TEXT(F1420, "yyyy-mm"), "")</f>
        <v/>
      </c>
    </row>
    <row r="1421">
      <c r="A1421" t="inlineStr">
        <is>
          <t>RP0001420</t>
        </is>
      </c>
      <c r="B1421" t="inlineStr">
        <is>
          <t>LN200212</t>
        </is>
      </c>
      <c r="C1421" t="n">
        <v>1</v>
      </c>
      <c r="D1421" s="8" t="n">
        <v>45924</v>
      </c>
      <c r="E1421" s="9" t="n">
        <v>28291.56</v>
      </c>
      <c r="F1421" s="8" t="n">
        <v>45924</v>
      </c>
      <c r="G1421" s="9" t="n">
        <v>28291.56</v>
      </c>
      <c r="H1421" t="inlineStr">
        <is>
          <t>PAID_ON_TIME</t>
        </is>
      </c>
      <c r="I1421">
        <f>IF(H1421="UNPAID", AsOfDate-D1421, 0)</f>
        <v/>
      </c>
      <c r="J1421">
        <f>IF(F1421&lt;&gt;"", TEXT(F1421, "yyyy-mm"), "")</f>
        <v/>
      </c>
    </row>
    <row r="1422">
      <c r="A1422" t="inlineStr">
        <is>
          <t>RP0001421</t>
        </is>
      </c>
      <c r="B1422" t="inlineStr">
        <is>
          <t>LN200212</t>
        </is>
      </c>
      <c r="C1422" t="n">
        <v>2</v>
      </c>
      <c r="D1422" s="8" t="n">
        <v>45954</v>
      </c>
      <c r="E1422" s="9" t="n">
        <v>28291.56</v>
      </c>
      <c r="F1422" s="8" t="n">
        <v>45955</v>
      </c>
      <c r="G1422" s="9" t="n">
        <v>28291.56</v>
      </c>
      <c r="H1422" t="inlineStr">
        <is>
          <t>PAID_ON_TIME</t>
        </is>
      </c>
      <c r="I1422">
        <f>IF(H1422="UNPAID", AsOfDate-D1422, 0)</f>
        <v/>
      </c>
      <c r="J1422">
        <f>IF(F1422&lt;&gt;"", TEXT(F1422, "yyyy-mm"), "")</f>
        <v/>
      </c>
    </row>
    <row r="1423">
      <c r="A1423" t="inlineStr">
        <is>
          <t>RP0001422</t>
        </is>
      </c>
      <c r="B1423" t="inlineStr">
        <is>
          <t>LN200212</t>
        </is>
      </c>
      <c r="C1423" t="n">
        <v>3</v>
      </c>
      <c r="D1423" s="8" t="n">
        <v>45985</v>
      </c>
      <c r="E1423" s="9" t="n">
        <v>28291.56</v>
      </c>
      <c r="F1423" s="8" t="n">
        <v>45982</v>
      </c>
      <c r="G1423" s="9" t="n">
        <v>28291.56</v>
      </c>
      <c r="H1423" t="inlineStr">
        <is>
          <t>PAID_ON_TIME</t>
        </is>
      </c>
      <c r="I1423">
        <f>IF(H1423="UNPAID", AsOfDate-D1423, 0)</f>
        <v/>
      </c>
      <c r="J1423">
        <f>IF(F1423&lt;&gt;"", TEXT(F1423, "yyyy-mm"), "")</f>
        <v/>
      </c>
    </row>
    <row r="1424">
      <c r="A1424" t="inlineStr">
        <is>
          <t>RP0001423</t>
        </is>
      </c>
      <c r="B1424" t="inlineStr">
        <is>
          <t>LN200212</t>
        </is>
      </c>
      <c r="C1424" t="n">
        <v>4</v>
      </c>
      <c r="D1424" s="8" t="n">
        <v>46015</v>
      </c>
      <c r="E1424" s="9" t="n">
        <v>28291.56</v>
      </c>
      <c r="F1424" s="8" t="n">
        <v>46012</v>
      </c>
      <c r="G1424" s="9" t="n">
        <v>28291.56</v>
      </c>
      <c r="H1424" t="inlineStr">
        <is>
          <t>PAID_ON_TIME</t>
        </is>
      </c>
      <c r="I1424">
        <f>IF(H1424="UNPAID", AsOfDate-D1424, 0)</f>
        <v/>
      </c>
      <c r="J1424">
        <f>IF(F1424&lt;&gt;"", TEXT(F1424, "yyyy-mm"), "")</f>
        <v/>
      </c>
    </row>
    <row r="1425">
      <c r="A1425" t="inlineStr">
        <is>
          <t>RP0001424</t>
        </is>
      </c>
      <c r="B1425" t="inlineStr">
        <is>
          <t>LN200212</t>
        </is>
      </c>
      <c r="C1425" t="n">
        <v>5</v>
      </c>
      <c r="D1425" s="8" t="n">
        <v>46046</v>
      </c>
      <c r="E1425" s="9" t="n">
        <v>28291.56</v>
      </c>
      <c r="F1425" s="8" t="n">
        <v>46045</v>
      </c>
      <c r="G1425" s="9" t="n">
        <v>28291.56</v>
      </c>
      <c r="H1425" t="inlineStr">
        <is>
          <t>PAID_ON_TIME</t>
        </is>
      </c>
      <c r="I1425">
        <f>IF(H1425="UNPAID", AsOfDate-D1425, 0)</f>
        <v/>
      </c>
      <c r="J1425">
        <f>IF(F1425&lt;&gt;"", TEXT(F1425, "yyyy-mm"), "")</f>
        <v/>
      </c>
    </row>
    <row r="1426">
      <c r="A1426" t="inlineStr">
        <is>
          <t>RP0001425</t>
        </is>
      </c>
      <c r="B1426" t="inlineStr">
        <is>
          <t>LN200212</t>
        </is>
      </c>
      <c r="C1426" t="n">
        <v>6</v>
      </c>
      <c r="D1426" s="8" t="n">
        <v>46077</v>
      </c>
      <c r="E1426" s="9" t="n">
        <v>28291.56</v>
      </c>
      <c r="F1426" s="8" t="n">
        <v>46081</v>
      </c>
      <c r="G1426" s="9" t="n">
        <v>28291.56</v>
      </c>
      <c r="H1426" t="inlineStr">
        <is>
          <t>PAID_ON_TIME</t>
        </is>
      </c>
      <c r="I1426">
        <f>IF(H1426="UNPAID", AsOfDate-D1426, 0)</f>
        <v/>
      </c>
      <c r="J1426">
        <f>IF(F1426&lt;&gt;"", TEXT(F1426, "yyyy-mm"), "")</f>
        <v/>
      </c>
    </row>
    <row r="1427">
      <c r="A1427" t="inlineStr">
        <is>
          <t>RP0001426</t>
        </is>
      </c>
      <c r="B1427" t="inlineStr">
        <is>
          <t>LN200212</t>
        </is>
      </c>
      <c r="C1427" t="n">
        <v>7</v>
      </c>
      <c r="D1427" s="8" t="n">
        <v>46105</v>
      </c>
      <c r="E1427" s="9" t="n">
        <v>28291.56</v>
      </c>
      <c r="F1427" s="8" t="n">
        <v>46102</v>
      </c>
      <c r="G1427" s="9" t="n">
        <v>28291.56</v>
      </c>
      <c r="H1427" t="inlineStr">
        <is>
          <t>PAID_ON_TIME</t>
        </is>
      </c>
      <c r="I1427">
        <f>IF(H1427="UNPAID", AsOfDate-D1427, 0)</f>
        <v/>
      </c>
      <c r="J1427">
        <f>IF(F1427&lt;&gt;"", TEXT(F1427, "yyyy-mm"), "")</f>
        <v/>
      </c>
    </row>
    <row r="1428">
      <c r="A1428" t="inlineStr">
        <is>
          <t>RP0001427</t>
        </is>
      </c>
      <c r="B1428" t="inlineStr">
        <is>
          <t>LN200212</t>
        </is>
      </c>
      <c r="C1428" t="n">
        <v>8</v>
      </c>
      <c r="D1428" s="8" t="n">
        <v>46136</v>
      </c>
      <c r="E1428" s="9" t="n">
        <v>28291.56</v>
      </c>
      <c r="F1428" s="8" t="n">
        <v>46137</v>
      </c>
      <c r="G1428" s="9" t="n">
        <v>28291.56</v>
      </c>
      <c r="H1428" t="inlineStr">
        <is>
          <t>PAID_ON_TIME</t>
        </is>
      </c>
      <c r="I1428">
        <f>IF(H1428="UNPAID", AsOfDate-D1428, 0)</f>
        <v/>
      </c>
      <c r="J1428">
        <f>IF(F1428&lt;&gt;"", TEXT(F1428, "yyyy-mm"), "")</f>
        <v/>
      </c>
    </row>
    <row r="1429">
      <c r="A1429" t="inlineStr">
        <is>
          <t>RP0001428</t>
        </is>
      </c>
      <c r="B1429" t="inlineStr">
        <is>
          <t>LN200212</t>
        </is>
      </c>
      <c r="C1429" t="n">
        <v>9</v>
      </c>
      <c r="D1429" s="8" t="n">
        <v>46166</v>
      </c>
      <c r="E1429" s="9" t="n">
        <v>28291.56</v>
      </c>
      <c r="F1429" s="8" t="n">
        <v>46170</v>
      </c>
      <c r="G1429" s="9" t="n">
        <v>28291.56</v>
      </c>
      <c r="H1429" t="inlineStr">
        <is>
          <t>PAID_ON_TIME</t>
        </is>
      </c>
      <c r="I1429">
        <f>IF(H1429="UNPAID", AsOfDate-D1429, 0)</f>
        <v/>
      </c>
      <c r="J1429">
        <f>IF(F1429&lt;&gt;"", TEXT(F1429, "yyyy-mm"), "")</f>
        <v/>
      </c>
    </row>
    <row r="1430">
      <c r="A1430" t="inlineStr">
        <is>
          <t>RP0001429</t>
        </is>
      </c>
      <c r="B1430" t="inlineStr">
        <is>
          <t>LN200213</t>
        </is>
      </c>
      <c r="C1430" t="n">
        <v>1</v>
      </c>
      <c r="D1430" s="8" t="n">
        <v>46131</v>
      </c>
      <c r="E1430" s="9" t="n">
        <v>12293.75</v>
      </c>
      <c r="F1430" s="8" t="n">
        <v>46132</v>
      </c>
      <c r="G1430" s="9" t="n">
        <v>12293.75</v>
      </c>
      <c r="H1430" t="inlineStr">
        <is>
          <t>PAID_ON_TIME</t>
        </is>
      </c>
      <c r="I1430">
        <f>IF(H1430="UNPAID", AsOfDate-D1430, 0)</f>
        <v/>
      </c>
      <c r="J1430">
        <f>IF(F1430&lt;&gt;"", TEXT(F1430, "yyyy-mm"), "")</f>
        <v/>
      </c>
    </row>
    <row r="1431">
      <c r="A1431" t="inlineStr">
        <is>
          <t>RP0001430</t>
        </is>
      </c>
      <c r="B1431" t="inlineStr">
        <is>
          <t>LN200213</t>
        </is>
      </c>
      <c r="C1431" t="n">
        <v>2</v>
      </c>
      <c r="D1431" s="8" t="n">
        <v>46161</v>
      </c>
      <c r="E1431" s="9" t="n">
        <v>12293.75</v>
      </c>
      <c r="F1431" s="8" t="n">
        <v>46159</v>
      </c>
      <c r="G1431" s="9" t="n">
        <v>12293.75</v>
      </c>
      <c r="H1431" t="inlineStr">
        <is>
          <t>PAID_ON_TIME</t>
        </is>
      </c>
      <c r="I1431">
        <f>IF(H1431="UNPAID", AsOfDate-D1431, 0)</f>
        <v/>
      </c>
      <c r="J1431">
        <f>IF(F1431&lt;&gt;"", TEXT(F1431, "yyyy-mm"), "")</f>
        <v/>
      </c>
    </row>
    <row r="1432">
      <c r="A1432" t="inlineStr">
        <is>
          <t>RP0001431</t>
        </is>
      </c>
      <c r="B1432" t="inlineStr">
        <is>
          <t>LN200213</t>
        </is>
      </c>
      <c r="C1432" t="n">
        <v>3</v>
      </c>
      <c r="D1432" s="8" t="n">
        <v>46192</v>
      </c>
      <c r="E1432" s="9" t="n">
        <v>12293.75</v>
      </c>
      <c r="F1432" s="8" t="n">
        <v>46195</v>
      </c>
      <c r="G1432" s="9" t="n">
        <v>12293.75</v>
      </c>
      <c r="H1432" t="inlineStr">
        <is>
          <t>PAID_ON_TIME</t>
        </is>
      </c>
      <c r="I1432">
        <f>IF(H1432="UNPAID", AsOfDate-D1432, 0)</f>
        <v/>
      </c>
      <c r="J1432">
        <f>IF(F1432&lt;&gt;"", TEXT(F1432, "yyyy-mm"), "")</f>
        <v/>
      </c>
    </row>
    <row r="1433">
      <c r="A1433" t="inlineStr">
        <is>
          <t>RP0001432</t>
        </is>
      </c>
      <c r="B1433" t="inlineStr">
        <is>
          <t>LN200214</t>
        </is>
      </c>
      <c r="C1433" t="n">
        <v>1</v>
      </c>
      <c r="D1433" s="8" t="n">
        <v>45932</v>
      </c>
      <c r="E1433" s="9" t="n">
        <v>6072</v>
      </c>
      <c r="F1433" s="8" t="n">
        <v>45936</v>
      </c>
      <c r="G1433" s="9" t="n">
        <v>6072</v>
      </c>
      <c r="H1433" t="inlineStr">
        <is>
          <t>PAID_ON_TIME</t>
        </is>
      </c>
      <c r="I1433">
        <f>IF(H1433="UNPAID", AsOfDate-D1433, 0)</f>
        <v/>
      </c>
      <c r="J1433">
        <f>IF(F1433&lt;&gt;"", TEXT(F1433, "yyyy-mm"), "")</f>
        <v/>
      </c>
    </row>
    <row r="1434">
      <c r="A1434" t="inlineStr">
        <is>
          <t>RP0001433</t>
        </is>
      </c>
      <c r="B1434" t="inlineStr">
        <is>
          <t>LN200214</t>
        </is>
      </c>
      <c r="C1434" t="n">
        <v>2</v>
      </c>
      <c r="D1434" s="8" t="n">
        <v>45963</v>
      </c>
      <c r="E1434" s="9" t="n">
        <v>6072</v>
      </c>
      <c r="F1434" s="8" t="n">
        <v>45977</v>
      </c>
      <c r="G1434" s="9" t="n">
        <v>6072</v>
      </c>
      <c r="H1434" t="inlineStr">
        <is>
          <t>PAID_LATE</t>
        </is>
      </c>
      <c r="I1434">
        <f>IF(H1434="UNPAID", AsOfDate-D1434, 0)</f>
        <v/>
      </c>
      <c r="J1434">
        <f>IF(F1434&lt;&gt;"", TEXT(F1434, "yyyy-mm"), "")</f>
        <v/>
      </c>
    </row>
    <row r="1435">
      <c r="A1435" t="inlineStr">
        <is>
          <t>RP0001434</t>
        </is>
      </c>
      <c r="B1435" t="inlineStr">
        <is>
          <t>LN200214</t>
        </is>
      </c>
      <c r="C1435" t="n">
        <v>3</v>
      </c>
      <c r="D1435" s="8" t="n">
        <v>45993</v>
      </c>
      <c r="E1435" s="9" t="n">
        <v>6072</v>
      </c>
      <c r="F1435" s="8" t="n"/>
      <c r="G1435" s="9" t="n">
        <v>0</v>
      </c>
      <c r="H1435" t="inlineStr">
        <is>
          <t>UNPAID</t>
        </is>
      </c>
      <c r="I1435">
        <f>IF(H1435="UNPAID", AsOfDate-D1435, 0)</f>
        <v/>
      </c>
      <c r="J1435">
        <f>IF(F1435&lt;&gt;"", TEXT(F1435, "yyyy-mm"), "")</f>
        <v/>
      </c>
    </row>
    <row r="1436">
      <c r="A1436" t="inlineStr">
        <is>
          <t>RP0001435</t>
        </is>
      </c>
      <c r="B1436" t="inlineStr">
        <is>
          <t>LN200214</t>
        </is>
      </c>
      <c r="C1436" t="n">
        <v>4</v>
      </c>
      <c r="D1436" s="8" t="n">
        <v>46024</v>
      </c>
      <c r="E1436" s="9" t="n">
        <v>6072</v>
      </c>
      <c r="F1436" s="8" t="n">
        <v>46024</v>
      </c>
      <c r="G1436" s="9" t="n">
        <v>6072</v>
      </c>
      <c r="H1436" t="inlineStr">
        <is>
          <t>PAID_ON_TIME</t>
        </is>
      </c>
      <c r="I1436">
        <f>IF(H1436="UNPAID", AsOfDate-D1436, 0)</f>
        <v/>
      </c>
      <c r="J1436">
        <f>IF(F1436&lt;&gt;"", TEXT(F1436, "yyyy-mm"), "")</f>
        <v/>
      </c>
    </row>
    <row r="1437">
      <c r="A1437" t="inlineStr">
        <is>
          <t>RP0001436</t>
        </is>
      </c>
      <c r="B1437" t="inlineStr">
        <is>
          <t>LN200214</t>
        </is>
      </c>
      <c r="C1437" t="n">
        <v>5</v>
      </c>
      <c r="D1437" s="8" t="n">
        <v>46055</v>
      </c>
      <c r="E1437" s="9" t="n">
        <v>6072</v>
      </c>
      <c r="F1437" s="8" t="n"/>
      <c r="G1437" s="9" t="n">
        <v>0</v>
      </c>
      <c r="H1437" t="inlineStr">
        <is>
          <t>UNPAID</t>
        </is>
      </c>
      <c r="I1437">
        <f>IF(H1437="UNPAID", AsOfDate-D1437, 0)</f>
        <v/>
      </c>
      <c r="J1437">
        <f>IF(F1437&lt;&gt;"", TEXT(F1437, "yyyy-mm"), "")</f>
        <v/>
      </c>
    </row>
    <row r="1438">
      <c r="A1438" t="inlineStr">
        <is>
          <t>RP0001437</t>
        </is>
      </c>
      <c r="B1438" t="inlineStr">
        <is>
          <t>LN200214</t>
        </is>
      </c>
      <c r="C1438" t="n">
        <v>6</v>
      </c>
      <c r="D1438" s="8" t="n">
        <v>46083</v>
      </c>
      <c r="E1438" s="9" t="n">
        <v>6072</v>
      </c>
      <c r="F1438" s="8" t="n">
        <v>46082</v>
      </c>
      <c r="G1438" s="9" t="n">
        <v>6072</v>
      </c>
      <c r="H1438" t="inlineStr">
        <is>
          <t>PAID_ON_TIME</t>
        </is>
      </c>
      <c r="I1438">
        <f>IF(H1438="UNPAID", AsOfDate-D1438, 0)</f>
        <v/>
      </c>
      <c r="J1438">
        <f>IF(F1438&lt;&gt;"", TEXT(F1438, "yyyy-mm"), "")</f>
        <v/>
      </c>
    </row>
    <row r="1439">
      <c r="A1439" t="inlineStr">
        <is>
          <t>RP0001438</t>
        </is>
      </c>
      <c r="B1439" t="inlineStr">
        <is>
          <t>LN200215</t>
        </is>
      </c>
      <c r="C1439" t="n">
        <v>1</v>
      </c>
      <c r="D1439" s="8" t="n">
        <v>46213</v>
      </c>
      <c r="E1439" s="9" t="n">
        <v>94781.17</v>
      </c>
      <c r="F1439" s="8" t="n">
        <v>46212</v>
      </c>
      <c r="G1439" s="9" t="n">
        <v>94781.17</v>
      </c>
      <c r="H1439" t="inlineStr">
        <is>
          <t>PAID_ON_TIME</t>
        </is>
      </c>
      <c r="I1439">
        <f>IF(H1439="UNPAID", AsOfDate-D1439, 0)</f>
        <v/>
      </c>
      <c r="J1439">
        <f>IF(F1439&lt;&gt;"", TEXT(F1439, "yyyy-mm"), "")</f>
        <v/>
      </c>
    </row>
    <row r="1440">
      <c r="A1440" t="inlineStr">
        <is>
          <t>RP0001439</t>
        </is>
      </c>
      <c r="B1440" t="inlineStr">
        <is>
          <t>LN200215</t>
        </is>
      </c>
      <c r="C1440" t="n">
        <v>2</v>
      </c>
      <c r="D1440" s="8" t="n">
        <v>46244</v>
      </c>
      <c r="E1440" s="9" t="n">
        <v>94781.17</v>
      </c>
      <c r="F1440" s="8" t="n">
        <v>46243</v>
      </c>
      <c r="G1440" s="9" t="n">
        <v>94781.17</v>
      </c>
      <c r="H1440" t="inlineStr">
        <is>
          <t>PAID_ON_TIME</t>
        </is>
      </c>
      <c r="I1440">
        <f>IF(H1440="UNPAID", AsOfDate-D1440, 0)</f>
        <v/>
      </c>
      <c r="J1440">
        <f>IF(F1440&lt;&gt;"", TEXT(F1440, "yyyy-mm"), "")</f>
        <v/>
      </c>
    </row>
    <row r="1441">
      <c r="A1441" t="inlineStr">
        <is>
          <t>RP0001440</t>
        </is>
      </c>
      <c r="B1441" t="inlineStr">
        <is>
          <t>LN200215</t>
        </is>
      </c>
      <c r="C1441" t="n">
        <v>3</v>
      </c>
      <c r="D1441" s="8" t="n">
        <v>46275</v>
      </c>
      <c r="E1441" s="9" t="n">
        <v>94781.17</v>
      </c>
      <c r="F1441" s="8" t="n"/>
      <c r="G1441" s="9" t="n">
        <v>0</v>
      </c>
      <c r="H1441" t="inlineStr">
        <is>
          <t>NOT_DUE</t>
        </is>
      </c>
      <c r="I1441">
        <f>IF(H1441="UNPAID", AsOfDate-D1441, 0)</f>
        <v/>
      </c>
      <c r="J1441">
        <f>IF(F1441&lt;&gt;"", TEXT(F1441, "yyyy-mm"), "")</f>
        <v/>
      </c>
    </row>
    <row r="1442">
      <c r="A1442" t="inlineStr">
        <is>
          <t>RP0001441</t>
        </is>
      </c>
      <c r="B1442" t="inlineStr">
        <is>
          <t>LN200217</t>
        </is>
      </c>
      <c r="C1442" t="n">
        <v>1</v>
      </c>
      <c r="D1442" s="8" t="n">
        <v>46179</v>
      </c>
      <c r="E1442" s="9" t="n">
        <v>74837.92</v>
      </c>
      <c r="F1442" s="8" t="n">
        <v>46180</v>
      </c>
      <c r="G1442" s="9" t="n">
        <v>74837.92</v>
      </c>
      <c r="H1442" t="inlineStr">
        <is>
          <t>PAID_ON_TIME</t>
        </is>
      </c>
      <c r="I1442">
        <f>IF(H1442="UNPAID", AsOfDate-D1442, 0)</f>
        <v/>
      </c>
      <c r="J1442">
        <f>IF(F1442&lt;&gt;"", TEXT(F1442, "yyyy-mm"), "")</f>
        <v/>
      </c>
    </row>
    <row r="1443">
      <c r="A1443" t="inlineStr">
        <is>
          <t>RP0001442</t>
        </is>
      </c>
      <c r="B1443" t="inlineStr">
        <is>
          <t>LN200217</t>
        </is>
      </c>
      <c r="C1443" t="n">
        <v>2</v>
      </c>
      <c r="D1443" s="8" t="n">
        <v>46209</v>
      </c>
      <c r="E1443" s="9" t="n">
        <v>74837.92</v>
      </c>
      <c r="F1443" s="8" t="n">
        <v>46206</v>
      </c>
      <c r="G1443" s="9" t="n">
        <v>74837.92</v>
      </c>
      <c r="H1443" t="inlineStr">
        <is>
          <t>PAID_ON_TIME</t>
        </is>
      </c>
      <c r="I1443">
        <f>IF(H1443="UNPAID", AsOfDate-D1443, 0)</f>
        <v/>
      </c>
      <c r="J1443">
        <f>IF(F1443&lt;&gt;"", TEXT(F1443, "yyyy-mm"), "")</f>
        <v/>
      </c>
    </row>
    <row r="1444">
      <c r="A1444" t="inlineStr">
        <is>
          <t>RP0001443</t>
        </is>
      </c>
      <c r="B1444" t="inlineStr">
        <is>
          <t>LN200217</t>
        </is>
      </c>
      <c r="C1444" t="n">
        <v>3</v>
      </c>
      <c r="D1444" s="8" t="n">
        <v>46240</v>
      </c>
      <c r="E1444" s="9" t="n">
        <v>74837.92</v>
      </c>
      <c r="F1444" s="8" t="n">
        <v>46241</v>
      </c>
      <c r="G1444" s="9" t="n">
        <v>74837.92</v>
      </c>
      <c r="H1444" t="inlineStr">
        <is>
          <t>PAID_ON_TIME</t>
        </is>
      </c>
      <c r="I1444">
        <f>IF(H1444="UNPAID", AsOfDate-D1444, 0)</f>
        <v/>
      </c>
      <c r="J1444">
        <f>IF(F1444&lt;&gt;"", TEXT(F1444, "yyyy-mm"), "")</f>
        <v/>
      </c>
    </row>
    <row r="1445">
      <c r="A1445" t="inlineStr">
        <is>
          <t>RP0001444</t>
        </is>
      </c>
      <c r="B1445" t="inlineStr">
        <is>
          <t>LN200218</t>
        </is>
      </c>
      <c r="C1445" t="n">
        <v>1</v>
      </c>
      <c r="D1445" s="8" t="n">
        <v>45905</v>
      </c>
      <c r="E1445" s="9" t="n">
        <v>29509.19</v>
      </c>
      <c r="F1445" s="8" t="n">
        <v>45902</v>
      </c>
      <c r="G1445" s="9" t="n">
        <v>29509.19</v>
      </c>
      <c r="H1445" t="inlineStr">
        <is>
          <t>PAID_ON_TIME</t>
        </is>
      </c>
      <c r="I1445">
        <f>IF(H1445="UNPAID", AsOfDate-D1445, 0)</f>
        <v/>
      </c>
      <c r="J1445">
        <f>IF(F1445&lt;&gt;"", TEXT(F1445, "yyyy-mm"), "")</f>
        <v/>
      </c>
    </row>
    <row r="1446">
      <c r="A1446" t="inlineStr">
        <is>
          <t>RP0001445</t>
        </is>
      </c>
      <c r="B1446" t="inlineStr">
        <is>
          <t>LN200218</t>
        </is>
      </c>
      <c r="C1446" t="n">
        <v>2</v>
      </c>
      <c r="D1446" s="8" t="n">
        <v>45935</v>
      </c>
      <c r="E1446" s="9" t="n">
        <v>29509.19</v>
      </c>
      <c r="F1446" s="8" t="n">
        <v>45939</v>
      </c>
      <c r="G1446" s="9" t="n">
        <v>29509.19</v>
      </c>
      <c r="H1446" t="inlineStr">
        <is>
          <t>PAID_ON_TIME</t>
        </is>
      </c>
      <c r="I1446">
        <f>IF(H1446="UNPAID", AsOfDate-D1446, 0)</f>
        <v/>
      </c>
      <c r="J1446">
        <f>IF(F1446&lt;&gt;"", TEXT(F1446, "yyyy-mm"), "")</f>
        <v/>
      </c>
    </row>
    <row r="1447">
      <c r="A1447" t="inlineStr">
        <is>
          <t>RP0001446</t>
        </is>
      </c>
      <c r="B1447" t="inlineStr">
        <is>
          <t>LN200218</t>
        </is>
      </c>
      <c r="C1447" t="n">
        <v>3</v>
      </c>
      <c r="D1447" s="8" t="n">
        <v>45966</v>
      </c>
      <c r="E1447" s="9" t="n">
        <v>29509.19</v>
      </c>
      <c r="F1447" s="8" t="n">
        <v>45964</v>
      </c>
      <c r="G1447" s="9" t="n">
        <v>29509.19</v>
      </c>
      <c r="H1447" t="inlineStr">
        <is>
          <t>PAID_ON_TIME</t>
        </is>
      </c>
      <c r="I1447">
        <f>IF(H1447="UNPAID", AsOfDate-D1447, 0)</f>
        <v/>
      </c>
      <c r="J1447">
        <f>IF(F1447&lt;&gt;"", TEXT(F1447, "yyyy-mm"), "")</f>
        <v/>
      </c>
    </row>
    <row r="1448">
      <c r="A1448" t="inlineStr">
        <is>
          <t>RP0001447</t>
        </is>
      </c>
      <c r="B1448" t="inlineStr">
        <is>
          <t>LN200218</t>
        </is>
      </c>
      <c r="C1448" t="n">
        <v>4</v>
      </c>
      <c r="D1448" s="8" t="n">
        <v>45996</v>
      </c>
      <c r="E1448" s="9" t="n">
        <v>29509.19</v>
      </c>
      <c r="F1448" s="8" t="n">
        <v>45998</v>
      </c>
      <c r="G1448" s="9" t="n">
        <v>29509.19</v>
      </c>
      <c r="H1448" t="inlineStr">
        <is>
          <t>PAID_ON_TIME</t>
        </is>
      </c>
      <c r="I1448">
        <f>IF(H1448="UNPAID", AsOfDate-D1448, 0)</f>
        <v/>
      </c>
      <c r="J1448">
        <f>IF(F1448&lt;&gt;"", TEXT(F1448, "yyyy-mm"), "")</f>
        <v/>
      </c>
    </row>
    <row r="1449">
      <c r="A1449" t="inlineStr">
        <is>
          <t>RP0001448</t>
        </is>
      </c>
      <c r="B1449" t="inlineStr">
        <is>
          <t>LN200218</t>
        </is>
      </c>
      <c r="C1449" t="n">
        <v>5</v>
      </c>
      <c r="D1449" s="8" t="n">
        <v>46027</v>
      </c>
      <c r="E1449" s="9" t="n">
        <v>29509.19</v>
      </c>
      <c r="F1449" s="8" t="n">
        <v>46027</v>
      </c>
      <c r="G1449" s="9" t="n">
        <v>29509.19</v>
      </c>
      <c r="H1449" t="inlineStr">
        <is>
          <t>PAID_ON_TIME</t>
        </is>
      </c>
      <c r="I1449">
        <f>IF(H1449="UNPAID", AsOfDate-D1449, 0)</f>
        <v/>
      </c>
      <c r="J1449">
        <f>IF(F1449&lt;&gt;"", TEXT(F1449, "yyyy-mm"), "")</f>
        <v/>
      </c>
    </row>
    <row r="1450">
      <c r="A1450" t="inlineStr">
        <is>
          <t>RP0001449</t>
        </is>
      </c>
      <c r="B1450" t="inlineStr">
        <is>
          <t>LN200218</t>
        </is>
      </c>
      <c r="C1450" t="n">
        <v>6</v>
      </c>
      <c r="D1450" s="8" t="n">
        <v>46058</v>
      </c>
      <c r="E1450" s="9" t="n">
        <v>29509.19</v>
      </c>
      <c r="F1450" s="8" t="n">
        <v>46062</v>
      </c>
      <c r="G1450" s="9" t="n">
        <v>29509.19</v>
      </c>
      <c r="H1450" t="inlineStr">
        <is>
          <t>PAID_ON_TIME</t>
        </is>
      </c>
      <c r="I1450">
        <f>IF(H1450="UNPAID", AsOfDate-D1450, 0)</f>
        <v/>
      </c>
      <c r="J1450">
        <f>IF(F1450&lt;&gt;"", TEXT(F1450, "yyyy-mm"), "")</f>
        <v/>
      </c>
    </row>
    <row r="1451">
      <c r="A1451" t="inlineStr">
        <is>
          <t>RP0001450</t>
        </is>
      </c>
      <c r="B1451" t="inlineStr">
        <is>
          <t>LN200218</t>
        </is>
      </c>
      <c r="C1451" t="n">
        <v>7</v>
      </c>
      <c r="D1451" s="8" t="n">
        <v>46086</v>
      </c>
      <c r="E1451" s="9" t="n">
        <v>29509.19</v>
      </c>
      <c r="F1451" s="8" t="n">
        <v>46085</v>
      </c>
      <c r="G1451" s="9" t="n">
        <v>29509.19</v>
      </c>
      <c r="H1451" t="inlineStr">
        <is>
          <t>PAID_ON_TIME</t>
        </is>
      </c>
      <c r="I1451">
        <f>IF(H1451="UNPAID", AsOfDate-D1451, 0)</f>
        <v/>
      </c>
      <c r="J1451">
        <f>IF(F1451&lt;&gt;"", TEXT(F1451, "yyyy-mm"), "")</f>
        <v/>
      </c>
    </row>
    <row r="1452">
      <c r="A1452" t="inlineStr">
        <is>
          <t>RP0001451</t>
        </is>
      </c>
      <c r="B1452" t="inlineStr">
        <is>
          <t>LN200218</t>
        </is>
      </c>
      <c r="C1452" t="n">
        <v>8</v>
      </c>
      <c r="D1452" s="8" t="n">
        <v>46117</v>
      </c>
      <c r="E1452" s="9" t="n">
        <v>29509.19</v>
      </c>
      <c r="F1452" s="8" t="n">
        <v>46118</v>
      </c>
      <c r="G1452" s="9" t="n">
        <v>29509.19</v>
      </c>
      <c r="H1452" t="inlineStr">
        <is>
          <t>PAID_ON_TIME</t>
        </is>
      </c>
      <c r="I1452">
        <f>IF(H1452="UNPAID", AsOfDate-D1452, 0)</f>
        <v/>
      </c>
      <c r="J1452">
        <f>IF(F1452&lt;&gt;"", TEXT(F1452, "yyyy-mm"), "")</f>
        <v/>
      </c>
    </row>
    <row r="1453">
      <c r="A1453" t="inlineStr">
        <is>
          <t>RP0001452</t>
        </is>
      </c>
      <c r="B1453" t="inlineStr">
        <is>
          <t>LN200218</t>
        </is>
      </c>
      <c r="C1453" t="n">
        <v>9</v>
      </c>
      <c r="D1453" s="8" t="n">
        <v>46147</v>
      </c>
      <c r="E1453" s="9" t="n">
        <v>29509.19</v>
      </c>
      <c r="F1453" s="8" t="n">
        <v>46144</v>
      </c>
      <c r="G1453" s="9" t="n">
        <v>29509.19</v>
      </c>
      <c r="H1453" t="inlineStr">
        <is>
          <t>PAID_ON_TIME</t>
        </is>
      </c>
      <c r="I1453">
        <f>IF(H1453="UNPAID", AsOfDate-D1453, 0)</f>
        <v/>
      </c>
      <c r="J1453">
        <f>IF(F1453&lt;&gt;"", TEXT(F1453, "yyyy-mm"), "")</f>
        <v/>
      </c>
    </row>
    <row r="1454">
      <c r="A1454" t="inlineStr">
        <is>
          <t>RP0001453</t>
        </is>
      </c>
      <c r="B1454" t="inlineStr">
        <is>
          <t>LN200219</t>
        </is>
      </c>
      <c r="C1454" t="n">
        <v>1</v>
      </c>
      <c r="D1454" s="8" t="n">
        <v>46045</v>
      </c>
      <c r="E1454" s="9" t="n">
        <v>25870.94</v>
      </c>
      <c r="F1454" s="8" t="n">
        <v>46048</v>
      </c>
      <c r="G1454" s="9" t="n">
        <v>25870.94</v>
      </c>
      <c r="H1454" t="inlineStr">
        <is>
          <t>PAID_ON_TIME</t>
        </is>
      </c>
      <c r="I1454">
        <f>IF(H1454="UNPAID", AsOfDate-D1454, 0)</f>
        <v/>
      </c>
      <c r="J1454">
        <f>IF(F1454&lt;&gt;"", TEXT(F1454, "yyyy-mm"), "")</f>
        <v/>
      </c>
    </row>
    <row r="1455">
      <c r="A1455" t="inlineStr">
        <is>
          <t>RP0001454</t>
        </is>
      </c>
      <c r="B1455" t="inlineStr">
        <is>
          <t>LN200219</t>
        </is>
      </c>
      <c r="C1455" t="n">
        <v>2</v>
      </c>
      <c r="D1455" s="8" t="n">
        <v>46076</v>
      </c>
      <c r="E1455" s="9" t="n">
        <v>25870.94</v>
      </c>
      <c r="F1455" s="8" t="n">
        <v>46075</v>
      </c>
      <c r="G1455" s="9" t="n">
        <v>25870.94</v>
      </c>
      <c r="H1455" t="inlineStr">
        <is>
          <t>PAID_ON_TIME</t>
        </is>
      </c>
      <c r="I1455">
        <f>IF(H1455="UNPAID", AsOfDate-D1455, 0)</f>
        <v/>
      </c>
      <c r="J1455">
        <f>IF(F1455&lt;&gt;"", TEXT(F1455, "yyyy-mm"), "")</f>
        <v/>
      </c>
    </row>
    <row r="1456">
      <c r="A1456" t="inlineStr">
        <is>
          <t>RP0001455</t>
        </is>
      </c>
      <c r="B1456" t="inlineStr">
        <is>
          <t>LN200219</t>
        </is>
      </c>
      <c r="C1456" t="n">
        <v>3</v>
      </c>
      <c r="D1456" s="8" t="n">
        <v>46104</v>
      </c>
      <c r="E1456" s="9" t="n">
        <v>25870.94</v>
      </c>
      <c r="F1456" s="8" t="n">
        <v>46108</v>
      </c>
      <c r="G1456" s="9" t="n">
        <v>25870.94</v>
      </c>
      <c r="H1456" t="inlineStr">
        <is>
          <t>PAID_ON_TIME</t>
        </is>
      </c>
      <c r="I1456">
        <f>IF(H1456="UNPAID", AsOfDate-D1456, 0)</f>
        <v/>
      </c>
      <c r="J1456">
        <f>IF(F1456&lt;&gt;"", TEXT(F1456, "yyyy-mm"), "")</f>
        <v/>
      </c>
    </row>
    <row r="1457">
      <c r="A1457" t="inlineStr">
        <is>
          <t>RP0001456</t>
        </is>
      </c>
      <c r="B1457" t="inlineStr">
        <is>
          <t>LN200219</t>
        </is>
      </c>
      <c r="C1457" t="n">
        <v>4</v>
      </c>
      <c r="D1457" s="8" t="n">
        <v>46135</v>
      </c>
      <c r="E1457" s="9" t="n">
        <v>25870.94</v>
      </c>
      <c r="F1457" s="8" t="n">
        <v>46136</v>
      </c>
      <c r="G1457" s="9" t="n">
        <v>25870.94</v>
      </c>
      <c r="H1457" t="inlineStr">
        <is>
          <t>PAID_ON_TIME</t>
        </is>
      </c>
      <c r="I1457">
        <f>IF(H1457="UNPAID", AsOfDate-D1457, 0)</f>
        <v/>
      </c>
      <c r="J1457">
        <f>IF(F1457&lt;&gt;"", TEXT(F1457, "yyyy-mm"), "")</f>
        <v/>
      </c>
    </row>
    <row r="1458">
      <c r="A1458" t="inlineStr">
        <is>
          <t>RP0001457</t>
        </is>
      </c>
      <c r="B1458" t="inlineStr">
        <is>
          <t>LN200219</t>
        </is>
      </c>
      <c r="C1458" t="n">
        <v>5</v>
      </c>
      <c r="D1458" s="8" t="n">
        <v>46165</v>
      </c>
      <c r="E1458" s="9" t="n">
        <v>25870.94</v>
      </c>
      <c r="F1458" s="8" t="n">
        <v>46164</v>
      </c>
      <c r="G1458" s="9" t="n">
        <v>25870.94</v>
      </c>
      <c r="H1458" t="inlineStr">
        <is>
          <t>PAID_ON_TIME</t>
        </is>
      </c>
      <c r="I1458">
        <f>IF(H1458="UNPAID", AsOfDate-D1458, 0)</f>
        <v/>
      </c>
      <c r="J1458">
        <f>IF(F1458&lt;&gt;"", TEXT(F1458, "yyyy-mm"), "")</f>
        <v/>
      </c>
    </row>
    <row r="1459">
      <c r="A1459" t="inlineStr">
        <is>
          <t>RP0001458</t>
        </is>
      </c>
      <c r="B1459" t="inlineStr">
        <is>
          <t>LN200219</t>
        </is>
      </c>
      <c r="C1459" t="n">
        <v>6</v>
      </c>
      <c r="D1459" s="8" t="n">
        <v>46196</v>
      </c>
      <c r="E1459" s="9" t="n">
        <v>25870.94</v>
      </c>
      <c r="F1459" s="8" t="n">
        <v>46200</v>
      </c>
      <c r="G1459" s="9" t="n">
        <v>25870.94</v>
      </c>
      <c r="H1459" t="inlineStr">
        <is>
          <t>PAID_ON_TIME</t>
        </is>
      </c>
      <c r="I1459">
        <f>IF(H1459="UNPAID", AsOfDate-D1459, 0)</f>
        <v/>
      </c>
      <c r="J1459">
        <f>IF(F1459&lt;&gt;"", TEXT(F1459, "yyyy-mm"), "")</f>
        <v/>
      </c>
    </row>
    <row r="1460">
      <c r="A1460" t="inlineStr">
        <is>
          <t>RP0001459</t>
        </is>
      </c>
      <c r="B1460" t="inlineStr">
        <is>
          <t>LN200219</t>
        </is>
      </c>
      <c r="C1460" t="n">
        <v>7</v>
      </c>
      <c r="D1460" s="8" t="n">
        <v>46226</v>
      </c>
      <c r="E1460" s="9" t="n">
        <v>25870.94</v>
      </c>
      <c r="F1460" s="8" t="n">
        <v>46223</v>
      </c>
      <c r="G1460" s="9" t="n">
        <v>25870.94</v>
      </c>
      <c r="H1460" t="inlineStr">
        <is>
          <t>PAID_ON_TIME</t>
        </is>
      </c>
      <c r="I1460">
        <f>IF(H1460="UNPAID", AsOfDate-D1460, 0)</f>
        <v/>
      </c>
      <c r="J1460">
        <f>IF(F1460&lt;&gt;"", TEXT(F1460, "yyyy-mm"), "")</f>
        <v/>
      </c>
    </row>
    <row r="1461">
      <c r="A1461" t="inlineStr">
        <is>
          <t>RP0001460</t>
        </is>
      </c>
      <c r="B1461" t="inlineStr">
        <is>
          <t>LN200219</t>
        </is>
      </c>
      <c r="C1461" t="n">
        <v>8</v>
      </c>
      <c r="D1461" s="8" t="n">
        <v>46257</v>
      </c>
      <c r="E1461" s="9" t="n">
        <v>25870.94</v>
      </c>
      <c r="F1461" s="8" t="n">
        <v>46258</v>
      </c>
      <c r="G1461" s="9" t="n">
        <v>25870.94</v>
      </c>
      <c r="H1461" t="inlineStr">
        <is>
          <t>PAID_ON_TIME</t>
        </is>
      </c>
      <c r="I1461">
        <f>IF(H1461="UNPAID", AsOfDate-D1461, 0)</f>
        <v/>
      </c>
      <c r="J1461">
        <f>IF(F1461&lt;&gt;"", TEXT(F1461, "yyyy-mm"), "")</f>
        <v/>
      </c>
    </row>
    <row r="1462">
      <c r="A1462" t="inlineStr">
        <is>
          <t>RP0001461</t>
        </is>
      </c>
      <c r="B1462" t="inlineStr">
        <is>
          <t>LN200219</t>
        </is>
      </c>
      <c r="C1462" t="n">
        <v>9</v>
      </c>
      <c r="D1462" s="8" t="n">
        <v>46288</v>
      </c>
      <c r="E1462" s="9" t="n">
        <v>25870.94</v>
      </c>
      <c r="F1462" s="8" t="n"/>
      <c r="G1462" s="9" t="n">
        <v>0</v>
      </c>
      <c r="H1462" t="inlineStr">
        <is>
          <t>NOT_DUE</t>
        </is>
      </c>
      <c r="I1462">
        <f>IF(H1462="UNPAID", AsOfDate-D1462, 0)</f>
        <v/>
      </c>
      <c r="J1462">
        <f>IF(F1462&lt;&gt;"", TEXT(F1462, "yyyy-mm"), "")</f>
        <v/>
      </c>
    </row>
    <row r="1463">
      <c r="A1463" t="inlineStr">
        <is>
          <t>RP0001462</t>
        </is>
      </c>
      <c r="B1463" t="inlineStr">
        <is>
          <t>LN200220</t>
        </is>
      </c>
      <c r="C1463" t="n">
        <v>1</v>
      </c>
      <c r="D1463" s="8" t="n">
        <v>45806</v>
      </c>
      <c r="E1463" s="9" t="n">
        <v>7761.25</v>
      </c>
      <c r="F1463" s="8" t="n">
        <v>45808</v>
      </c>
      <c r="G1463" s="9" t="n">
        <v>7761.25</v>
      </c>
      <c r="H1463" t="inlineStr">
        <is>
          <t>PAID_ON_TIME</t>
        </is>
      </c>
      <c r="I1463">
        <f>IF(H1463="UNPAID", AsOfDate-D1463, 0)</f>
        <v/>
      </c>
      <c r="J1463">
        <f>IF(F1463&lt;&gt;"", TEXT(F1463, "yyyy-mm"), "")</f>
        <v/>
      </c>
    </row>
    <row r="1464">
      <c r="A1464" t="inlineStr">
        <is>
          <t>RP0001463</t>
        </is>
      </c>
      <c r="B1464" t="inlineStr">
        <is>
          <t>LN200220</t>
        </is>
      </c>
      <c r="C1464" t="n">
        <v>2</v>
      </c>
      <c r="D1464" s="8" t="n">
        <v>45837</v>
      </c>
      <c r="E1464" s="9" t="n">
        <v>7761.25</v>
      </c>
      <c r="F1464" s="8" t="n">
        <v>45835</v>
      </c>
      <c r="G1464" s="9" t="n">
        <v>7761.25</v>
      </c>
      <c r="H1464" t="inlineStr">
        <is>
          <t>PAID_ON_TIME</t>
        </is>
      </c>
      <c r="I1464">
        <f>IF(H1464="UNPAID", AsOfDate-D1464, 0)</f>
        <v/>
      </c>
      <c r="J1464">
        <f>IF(F1464&lt;&gt;"", TEXT(F1464, "yyyy-mm"), "")</f>
        <v/>
      </c>
    </row>
    <row r="1465">
      <c r="A1465" t="inlineStr">
        <is>
          <t>RP0001464</t>
        </is>
      </c>
      <c r="B1465" t="inlineStr">
        <is>
          <t>LN200220</t>
        </is>
      </c>
      <c r="C1465" t="n">
        <v>3</v>
      </c>
      <c r="D1465" s="8" t="n">
        <v>45867</v>
      </c>
      <c r="E1465" s="9" t="n">
        <v>7761.25</v>
      </c>
      <c r="F1465" s="8" t="n">
        <v>45867</v>
      </c>
      <c r="G1465" s="9" t="n">
        <v>7761.25</v>
      </c>
      <c r="H1465" t="inlineStr">
        <is>
          <t>PAID_ON_TIME</t>
        </is>
      </c>
      <c r="I1465">
        <f>IF(H1465="UNPAID", AsOfDate-D1465, 0)</f>
        <v/>
      </c>
      <c r="J1465">
        <f>IF(F1465&lt;&gt;"", TEXT(F1465, "yyyy-mm"), "")</f>
        <v/>
      </c>
    </row>
    <row r="1466">
      <c r="A1466" t="inlineStr">
        <is>
          <t>RP0001465</t>
        </is>
      </c>
      <c r="B1466" t="inlineStr">
        <is>
          <t>LN200220</t>
        </is>
      </c>
      <c r="C1466" t="n">
        <v>4</v>
      </c>
      <c r="D1466" s="8" t="n">
        <v>45898</v>
      </c>
      <c r="E1466" s="9" t="n">
        <v>7761.25</v>
      </c>
      <c r="F1466" s="8" t="n">
        <v>45899</v>
      </c>
      <c r="G1466" s="9" t="n">
        <v>7761.25</v>
      </c>
      <c r="H1466" t="inlineStr">
        <is>
          <t>PAID_ON_TIME</t>
        </is>
      </c>
      <c r="I1466">
        <f>IF(H1466="UNPAID", AsOfDate-D1466, 0)</f>
        <v/>
      </c>
      <c r="J1466">
        <f>IF(F1466&lt;&gt;"", TEXT(F1466, "yyyy-mm"), "")</f>
        <v/>
      </c>
    </row>
    <row r="1467">
      <c r="A1467" t="inlineStr">
        <is>
          <t>RP0001466</t>
        </is>
      </c>
      <c r="B1467" t="inlineStr">
        <is>
          <t>LN200220</t>
        </is>
      </c>
      <c r="C1467" t="n">
        <v>5</v>
      </c>
      <c r="D1467" s="8" t="n">
        <v>45929</v>
      </c>
      <c r="E1467" s="9" t="n">
        <v>7761.25</v>
      </c>
      <c r="F1467" s="8" t="n">
        <v>46013</v>
      </c>
      <c r="G1467" s="9" t="n">
        <v>7761.25</v>
      </c>
      <c r="H1467" t="inlineStr">
        <is>
          <t>PAID_LATE</t>
        </is>
      </c>
      <c r="I1467">
        <f>IF(H1467="UNPAID", AsOfDate-D1467, 0)</f>
        <v/>
      </c>
      <c r="J1467">
        <f>IF(F1467&lt;&gt;"", TEXT(F1467, "yyyy-mm"), "")</f>
        <v/>
      </c>
    </row>
    <row r="1468">
      <c r="A1468" t="inlineStr">
        <is>
          <t>RP0001467</t>
        </is>
      </c>
      <c r="B1468" t="inlineStr">
        <is>
          <t>LN200220</t>
        </is>
      </c>
      <c r="C1468" t="n">
        <v>6</v>
      </c>
      <c r="D1468" s="8" t="n">
        <v>45959</v>
      </c>
      <c r="E1468" s="9" t="n">
        <v>7761.25</v>
      </c>
      <c r="F1468" s="8" t="n">
        <v>45963</v>
      </c>
      <c r="G1468" s="9" t="n">
        <v>7761.25</v>
      </c>
      <c r="H1468" t="inlineStr">
        <is>
          <t>PAID_ON_TIME</t>
        </is>
      </c>
      <c r="I1468">
        <f>IF(H1468="UNPAID", AsOfDate-D1468, 0)</f>
        <v/>
      </c>
      <c r="J1468">
        <f>IF(F1468&lt;&gt;"", TEXT(F1468, "yyyy-mm"), "")</f>
        <v/>
      </c>
    </row>
    <row r="1469">
      <c r="A1469" t="inlineStr">
        <is>
          <t>RP0001468</t>
        </is>
      </c>
      <c r="B1469" t="inlineStr">
        <is>
          <t>LN200220</t>
        </is>
      </c>
      <c r="C1469" t="n">
        <v>7</v>
      </c>
      <c r="D1469" s="8" t="n">
        <v>45990</v>
      </c>
      <c r="E1469" s="9" t="n">
        <v>7761.25</v>
      </c>
      <c r="F1469" s="8" t="n">
        <v>45991</v>
      </c>
      <c r="G1469" s="9" t="n">
        <v>7761.25</v>
      </c>
      <c r="H1469" t="inlineStr">
        <is>
          <t>PAID_ON_TIME</t>
        </is>
      </c>
      <c r="I1469">
        <f>IF(H1469="UNPAID", AsOfDate-D1469, 0)</f>
        <v/>
      </c>
      <c r="J1469">
        <f>IF(F1469&lt;&gt;"", TEXT(F1469, "yyyy-mm"), "")</f>
        <v/>
      </c>
    </row>
    <row r="1470">
      <c r="A1470" t="inlineStr">
        <is>
          <t>RP0001469</t>
        </is>
      </c>
      <c r="B1470" t="inlineStr">
        <is>
          <t>LN200220</t>
        </is>
      </c>
      <c r="C1470" t="n">
        <v>8</v>
      </c>
      <c r="D1470" s="8" t="n">
        <v>46020</v>
      </c>
      <c r="E1470" s="9" t="n">
        <v>7761.25</v>
      </c>
      <c r="F1470" s="8" t="n">
        <v>46023</v>
      </c>
      <c r="G1470" s="9" t="n">
        <v>7761.25</v>
      </c>
      <c r="H1470" t="inlineStr">
        <is>
          <t>PAID_ON_TIME</t>
        </is>
      </c>
      <c r="I1470">
        <f>IF(H1470="UNPAID", AsOfDate-D1470, 0)</f>
        <v/>
      </c>
      <c r="J1470">
        <f>IF(F1470&lt;&gt;"", TEXT(F1470, "yyyy-mm"), "")</f>
        <v/>
      </c>
    </row>
    <row r="1471">
      <c r="A1471" t="inlineStr">
        <is>
          <t>RP0001470</t>
        </is>
      </c>
      <c r="B1471" t="inlineStr">
        <is>
          <t>LN200220</t>
        </is>
      </c>
      <c r="C1471" t="n">
        <v>9</v>
      </c>
      <c r="D1471" s="8" t="n">
        <v>46051</v>
      </c>
      <c r="E1471" s="9" t="n">
        <v>7761.25</v>
      </c>
      <c r="F1471" s="8" t="n">
        <v>46054</v>
      </c>
      <c r="G1471" s="9" t="n">
        <v>7761.25</v>
      </c>
      <c r="H1471" t="inlineStr">
        <is>
          <t>PAID_ON_TIME</t>
        </is>
      </c>
      <c r="I1471">
        <f>IF(H1471="UNPAID", AsOfDate-D1471, 0)</f>
        <v/>
      </c>
      <c r="J1471">
        <f>IF(F1471&lt;&gt;"", TEXT(F1471, "yyyy-mm"), "")</f>
        <v/>
      </c>
    </row>
    <row r="1472">
      <c r="A1472" t="inlineStr">
        <is>
          <t>RP0001471</t>
        </is>
      </c>
      <c r="B1472" t="inlineStr">
        <is>
          <t>LN200221</t>
        </is>
      </c>
      <c r="C1472" t="n">
        <v>1</v>
      </c>
      <c r="D1472" s="8" t="n">
        <v>46254</v>
      </c>
      <c r="E1472" s="9" t="n">
        <v>11789.5</v>
      </c>
      <c r="F1472" s="8" t="n">
        <v>46255</v>
      </c>
      <c r="G1472" s="9" t="n">
        <v>11789.5</v>
      </c>
      <c r="H1472" t="inlineStr">
        <is>
          <t>PAID_ON_TIME</t>
        </is>
      </c>
      <c r="I1472">
        <f>IF(H1472="UNPAID", AsOfDate-D1472, 0)</f>
        <v/>
      </c>
      <c r="J1472">
        <f>IF(F1472&lt;&gt;"", TEXT(F1472, "yyyy-mm"), "")</f>
        <v/>
      </c>
    </row>
    <row r="1473">
      <c r="A1473" t="inlineStr">
        <is>
          <t>RP0001472</t>
        </is>
      </c>
      <c r="B1473" t="inlineStr">
        <is>
          <t>LN200221</t>
        </is>
      </c>
      <c r="C1473" t="n">
        <v>2</v>
      </c>
      <c r="D1473" s="8" t="n">
        <v>46285</v>
      </c>
      <c r="E1473" s="9" t="n">
        <v>11789.5</v>
      </c>
      <c r="F1473" s="8" t="n"/>
      <c r="G1473" s="9" t="n">
        <v>0</v>
      </c>
      <c r="H1473" t="inlineStr">
        <is>
          <t>NOT_DUE</t>
        </is>
      </c>
      <c r="I1473">
        <f>IF(H1473="UNPAID", AsOfDate-D1473, 0)</f>
        <v/>
      </c>
      <c r="J1473">
        <f>IF(F1473&lt;&gt;"", TEXT(F1473, "yyyy-mm"), "")</f>
        <v/>
      </c>
    </row>
    <row r="1474">
      <c r="A1474" t="inlineStr">
        <is>
          <t>RP0001473</t>
        </is>
      </c>
      <c r="B1474" t="inlineStr">
        <is>
          <t>LN200221</t>
        </is>
      </c>
      <c r="C1474" t="n">
        <v>3</v>
      </c>
      <c r="D1474" s="8" t="n">
        <v>46315</v>
      </c>
      <c r="E1474" s="9" t="n">
        <v>11789.5</v>
      </c>
      <c r="F1474" s="8" t="n"/>
      <c r="G1474" s="9" t="n">
        <v>0</v>
      </c>
      <c r="H1474" t="inlineStr">
        <is>
          <t>NOT_DUE</t>
        </is>
      </c>
      <c r="I1474">
        <f>IF(H1474="UNPAID", AsOfDate-D1474, 0)</f>
        <v/>
      </c>
      <c r="J1474">
        <f>IF(F1474&lt;&gt;"", TEXT(F1474, "yyyy-mm"), "")</f>
        <v/>
      </c>
    </row>
    <row r="1475">
      <c r="A1475" t="inlineStr">
        <is>
          <t>RP0001474</t>
        </is>
      </c>
      <c r="B1475" t="inlineStr">
        <is>
          <t>LN200222</t>
        </is>
      </c>
      <c r="C1475" t="n">
        <v>1</v>
      </c>
      <c r="D1475" s="8" t="n">
        <v>46266</v>
      </c>
      <c r="E1475" s="9" t="n">
        <v>39917.25</v>
      </c>
      <c r="F1475" s="8" t="n">
        <v>46267</v>
      </c>
      <c r="G1475" s="9" t="n">
        <v>39917.25</v>
      </c>
      <c r="H1475" t="inlineStr">
        <is>
          <t>PAID_ON_TIME</t>
        </is>
      </c>
      <c r="I1475">
        <f>IF(H1475="UNPAID", AsOfDate-D1475, 0)</f>
        <v/>
      </c>
      <c r="J1475">
        <f>IF(F1475&lt;&gt;"", TEXT(F1475, "yyyy-mm"), "")</f>
        <v/>
      </c>
    </row>
    <row r="1476">
      <c r="A1476" t="inlineStr">
        <is>
          <t>RP0001475</t>
        </is>
      </c>
      <c r="B1476" t="inlineStr">
        <is>
          <t>LN200222</t>
        </is>
      </c>
      <c r="C1476" t="n">
        <v>2</v>
      </c>
      <c r="D1476" s="8" t="n">
        <v>46296</v>
      </c>
      <c r="E1476" s="9" t="n">
        <v>39917.25</v>
      </c>
      <c r="F1476" s="8" t="n"/>
      <c r="G1476" s="9" t="n">
        <v>0</v>
      </c>
      <c r="H1476" t="inlineStr">
        <is>
          <t>NOT_DUE</t>
        </is>
      </c>
      <c r="I1476">
        <f>IF(H1476="UNPAID", AsOfDate-D1476, 0)</f>
        <v/>
      </c>
      <c r="J1476">
        <f>IF(F1476&lt;&gt;"", TEXT(F1476, "yyyy-mm"), "")</f>
        <v/>
      </c>
    </row>
    <row r="1477">
      <c r="A1477" t="inlineStr">
        <is>
          <t>RP0001476</t>
        </is>
      </c>
      <c r="B1477" t="inlineStr">
        <is>
          <t>LN200222</t>
        </is>
      </c>
      <c r="C1477" t="n">
        <v>3</v>
      </c>
      <c r="D1477" s="8" t="n">
        <v>46327</v>
      </c>
      <c r="E1477" s="9" t="n">
        <v>39917.25</v>
      </c>
      <c r="F1477" s="8" t="n"/>
      <c r="G1477" s="9" t="n">
        <v>0</v>
      </c>
      <c r="H1477" t="inlineStr">
        <is>
          <t>NOT_DUE</t>
        </is>
      </c>
      <c r="I1477">
        <f>IF(H1477="UNPAID", AsOfDate-D1477, 0)</f>
        <v/>
      </c>
      <c r="J1477">
        <f>IF(F1477&lt;&gt;"", TEXT(F1477, "yyyy-mm"), "")</f>
        <v/>
      </c>
    </row>
    <row r="1478">
      <c r="A1478" t="inlineStr">
        <is>
          <t>RP0001477</t>
        </is>
      </c>
      <c r="B1478" t="inlineStr">
        <is>
          <t>LN200223</t>
        </is>
      </c>
      <c r="C1478" t="n">
        <v>1</v>
      </c>
      <c r="D1478" s="8" t="n">
        <v>46093</v>
      </c>
      <c r="E1478" s="9" t="n">
        <v>69683.33</v>
      </c>
      <c r="F1478" s="8" t="n">
        <v>46097</v>
      </c>
      <c r="G1478" s="9" t="n">
        <v>69683.33</v>
      </c>
      <c r="H1478" t="inlineStr">
        <is>
          <t>PAID_ON_TIME</t>
        </is>
      </c>
      <c r="I1478">
        <f>IF(H1478="UNPAID", AsOfDate-D1478, 0)</f>
        <v/>
      </c>
      <c r="J1478">
        <f>IF(F1478&lt;&gt;"", TEXT(F1478, "yyyy-mm"), "")</f>
        <v/>
      </c>
    </row>
    <row r="1479">
      <c r="A1479" t="inlineStr">
        <is>
          <t>RP0001478</t>
        </is>
      </c>
      <c r="B1479" t="inlineStr">
        <is>
          <t>LN200223</t>
        </is>
      </c>
      <c r="C1479" t="n">
        <v>2</v>
      </c>
      <c r="D1479" s="8" t="n">
        <v>46124</v>
      </c>
      <c r="E1479" s="9" t="n">
        <v>69683.33</v>
      </c>
      <c r="F1479" s="8" t="n">
        <v>46179</v>
      </c>
      <c r="G1479" s="9" t="n">
        <v>69683.33</v>
      </c>
      <c r="H1479" t="inlineStr">
        <is>
          <t>PAID_LATE</t>
        </is>
      </c>
      <c r="I1479">
        <f>IF(H1479="UNPAID", AsOfDate-D1479, 0)</f>
        <v/>
      </c>
      <c r="J1479">
        <f>IF(F1479&lt;&gt;"", TEXT(F1479, "yyyy-mm"), "")</f>
        <v/>
      </c>
    </row>
    <row r="1480">
      <c r="A1480" t="inlineStr">
        <is>
          <t>RP0001479</t>
        </is>
      </c>
      <c r="B1480" t="inlineStr">
        <is>
          <t>LN200223</t>
        </is>
      </c>
      <c r="C1480" t="n">
        <v>3</v>
      </c>
      <c r="D1480" s="8" t="n">
        <v>46154</v>
      </c>
      <c r="E1480" s="9" t="n">
        <v>69683.33</v>
      </c>
      <c r="F1480" s="8" t="n">
        <v>46156</v>
      </c>
      <c r="G1480" s="9" t="n">
        <v>69683.33</v>
      </c>
      <c r="H1480" t="inlineStr">
        <is>
          <t>PAID_ON_TIME</t>
        </is>
      </c>
      <c r="I1480">
        <f>IF(H1480="UNPAID", AsOfDate-D1480, 0)</f>
        <v/>
      </c>
      <c r="J1480">
        <f>IF(F1480&lt;&gt;"", TEXT(F1480, "yyyy-mm"), "")</f>
        <v/>
      </c>
    </row>
    <row r="1481">
      <c r="A1481" t="inlineStr">
        <is>
          <t>RP0001480</t>
        </is>
      </c>
      <c r="B1481" t="inlineStr">
        <is>
          <t>LN200224</t>
        </is>
      </c>
      <c r="C1481" t="n">
        <v>1</v>
      </c>
      <c r="D1481" s="8" t="n">
        <v>46118</v>
      </c>
      <c r="E1481" s="9" t="n">
        <v>37942.08</v>
      </c>
      <c r="F1481" s="8" t="n">
        <v>46121</v>
      </c>
      <c r="G1481" s="9" t="n">
        <v>37942.08</v>
      </c>
      <c r="H1481" t="inlineStr">
        <is>
          <t>PAID_ON_TIME</t>
        </is>
      </c>
      <c r="I1481">
        <f>IF(H1481="UNPAID", AsOfDate-D1481, 0)</f>
        <v/>
      </c>
      <c r="J1481">
        <f>IF(F1481&lt;&gt;"", TEXT(F1481, "yyyy-mm"), "")</f>
        <v/>
      </c>
    </row>
    <row r="1482">
      <c r="A1482" t="inlineStr">
        <is>
          <t>RP0001481</t>
        </is>
      </c>
      <c r="B1482" t="inlineStr">
        <is>
          <t>LN200224</t>
        </is>
      </c>
      <c r="C1482" t="n">
        <v>2</v>
      </c>
      <c r="D1482" s="8" t="n">
        <v>46148</v>
      </c>
      <c r="E1482" s="9" t="n">
        <v>37942.08</v>
      </c>
      <c r="F1482" s="8" t="n">
        <v>46149</v>
      </c>
      <c r="G1482" s="9" t="n">
        <v>37942.08</v>
      </c>
      <c r="H1482" t="inlineStr">
        <is>
          <t>PAID_ON_TIME</t>
        </is>
      </c>
      <c r="I1482">
        <f>IF(H1482="UNPAID", AsOfDate-D1482, 0)</f>
        <v/>
      </c>
      <c r="J1482">
        <f>IF(F1482&lt;&gt;"", TEXT(F1482, "yyyy-mm"), "")</f>
        <v/>
      </c>
    </row>
    <row r="1483">
      <c r="A1483" t="inlineStr">
        <is>
          <t>RP0001482</t>
        </is>
      </c>
      <c r="B1483" t="inlineStr">
        <is>
          <t>LN200224</t>
        </is>
      </c>
      <c r="C1483" t="n">
        <v>3</v>
      </c>
      <c r="D1483" s="8" t="n">
        <v>46179</v>
      </c>
      <c r="E1483" s="9" t="n">
        <v>37942.08</v>
      </c>
      <c r="F1483" s="8" t="n">
        <v>46177</v>
      </c>
      <c r="G1483" s="9" t="n">
        <v>37942.08</v>
      </c>
      <c r="H1483" t="inlineStr">
        <is>
          <t>PAID_ON_TIME</t>
        </is>
      </c>
      <c r="I1483">
        <f>IF(H1483="UNPAID", AsOfDate-D1483, 0)</f>
        <v/>
      </c>
      <c r="J1483">
        <f>IF(F1483&lt;&gt;"", TEXT(F1483, "yyyy-mm"), "")</f>
        <v/>
      </c>
    </row>
    <row r="1484">
      <c r="A1484" t="inlineStr">
        <is>
          <t>RP0001483</t>
        </is>
      </c>
      <c r="B1484" t="inlineStr">
        <is>
          <t>LN200224</t>
        </is>
      </c>
      <c r="C1484" t="n">
        <v>4</v>
      </c>
      <c r="D1484" s="8" t="n">
        <v>46209</v>
      </c>
      <c r="E1484" s="9" t="n">
        <v>37942.08</v>
      </c>
      <c r="F1484" s="8" t="n">
        <v>46212</v>
      </c>
      <c r="G1484" s="9" t="n">
        <v>37942.08</v>
      </c>
      <c r="H1484" t="inlineStr">
        <is>
          <t>PAID_ON_TIME</t>
        </is>
      </c>
      <c r="I1484">
        <f>IF(H1484="UNPAID", AsOfDate-D1484, 0)</f>
        <v/>
      </c>
      <c r="J1484">
        <f>IF(F1484&lt;&gt;"", TEXT(F1484, "yyyy-mm"), "")</f>
        <v/>
      </c>
    </row>
    <row r="1485">
      <c r="A1485" t="inlineStr">
        <is>
          <t>RP0001484</t>
        </is>
      </c>
      <c r="B1485" t="inlineStr">
        <is>
          <t>LN200224</t>
        </is>
      </c>
      <c r="C1485" t="n">
        <v>5</v>
      </c>
      <c r="D1485" s="8" t="n">
        <v>46240</v>
      </c>
      <c r="E1485" s="9" t="n">
        <v>37942.08</v>
      </c>
      <c r="F1485" s="8" t="n">
        <v>46242</v>
      </c>
      <c r="G1485" s="9" t="n">
        <v>37942.08</v>
      </c>
      <c r="H1485" t="inlineStr">
        <is>
          <t>PAID_ON_TIME</t>
        </is>
      </c>
      <c r="I1485">
        <f>IF(H1485="UNPAID", AsOfDate-D1485, 0)</f>
        <v/>
      </c>
      <c r="J1485">
        <f>IF(F1485&lt;&gt;"", TEXT(F1485, "yyyy-mm"), "")</f>
        <v/>
      </c>
    </row>
    <row r="1486">
      <c r="A1486" t="inlineStr">
        <is>
          <t>RP0001485</t>
        </is>
      </c>
      <c r="B1486" t="inlineStr">
        <is>
          <t>LN200224</t>
        </is>
      </c>
      <c r="C1486" t="n">
        <v>6</v>
      </c>
      <c r="D1486" s="8" t="n">
        <v>46271</v>
      </c>
      <c r="E1486" s="9" t="n">
        <v>37942.08</v>
      </c>
      <c r="F1486" s="8" t="n"/>
      <c r="G1486" s="9" t="n">
        <v>0</v>
      </c>
      <c r="H1486" t="inlineStr">
        <is>
          <t>NOT_DUE</t>
        </is>
      </c>
      <c r="I1486">
        <f>IF(H1486="UNPAID", AsOfDate-D1486, 0)</f>
        <v/>
      </c>
      <c r="J1486">
        <f>IF(F1486&lt;&gt;"", TEXT(F1486, "yyyy-mm"), "")</f>
        <v/>
      </c>
    </row>
    <row r="1487">
      <c r="A1487" t="inlineStr">
        <is>
          <t>RP0001486</t>
        </is>
      </c>
      <c r="B1487" t="inlineStr">
        <is>
          <t>LN200225</t>
        </is>
      </c>
      <c r="C1487" t="n">
        <v>1</v>
      </c>
      <c r="D1487" s="8" t="n">
        <v>45709</v>
      </c>
      <c r="E1487" s="9" t="n">
        <v>3663</v>
      </c>
      <c r="F1487" s="8" t="n">
        <v>45708</v>
      </c>
      <c r="G1487" s="9" t="n">
        <v>3663</v>
      </c>
      <c r="H1487" t="inlineStr">
        <is>
          <t>PAID_ON_TIME</t>
        </is>
      </c>
      <c r="I1487">
        <f>IF(H1487="UNPAID", AsOfDate-D1487, 0)</f>
        <v/>
      </c>
      <c r="J1487">
        <f>IF(F1487&lt;&gt;"", TEXT(F1487, "yyyy-mm"), "")</f>
        <v/>
      </c>
    </row>
    <row r="1488">
      <c r="A1488" t="inlineStr">
        <is>
          <t>RP0001487</t>
        </is>
      </c>
      <c r="B1488" t="inlineStr">
        <is>
          <t>LN200225</t>
        </is>
      </c>
      <c r="C1488" t="n">
        <v>2</v>
      </c>
      <c r="D1488" s="8" t="n">
        <v>45737</v>
      </c>
      <c r="E1488" s="9" t="n">
        <v>3663</v>
      </c>
      <c r="F1488" s="8" t="n">
        <v>45739</v>
      </c>
      <c r="G1488" s="9" t="n">
        <v>3663</v>
      </c>
      <c r="H1488" t="inlineStr">
        <is>
          <t>PAID_ON_TIME</t>
        </is>
      </c>
      <c r="I1488">
        <f>IF(H1488="UNPAID", AsOfDate-D1488, 0)</f>
        <v/>
      </c>
      <c r="J1488">
        <f>IF(F1488&lt;&gt;"", TEXT(F1488, "yyyy-mm"), "")</f>
        <v/>
      </c>
    </row>
    <row r="1489">
      <c r="A1489" t="inlineStr">
        <is>
          <t>RP0001488</t>
        </is>
      </c>
      <c r="B1489" t="inlineStr">
        <is>
          <t>LN200225</t>
        </is>
      </c>
      <c r="C1489" t="n">
        <v>3</v>
      </c>
      <c r="D1489" s="8" t="n">
        <v>45768</v>
      </c>
      <c r="E1489" s="9" t="n">
        <v>3663</v>
      </c>
      <c r="F1489" s="8" t="n">
        <v>45767</v>
      </c>
      <c r="G1489" s="9" t="n">
        <v>3663</v>
      </c>
      <c r="H1489" t="inlineStr">
        <is>
          <t>PAID_ON_TIME</t>
        </is>
      </c>
      <c r="I1489">
        <f>IF(H1489="UNPAID", AsOfDate-D1489, 0)</f>
        <v/>
      </c>
      <c r="J1489">
        <f>IF(F1489&lt;&gt;"", TEXT(F1489, "yyyy-mm"), "")</f>
        <v/>
      </c>
    </row>
    <row r="1490">
      <c r="A1490" t="inlineStr">
        <is>
          <t>RP0001489</t>
        </is>
      </c>
      <c r="B1490" t="inlineStr">
        <is>
          <t>LN200225</t>
        </is>
      </c>
      <c r="C1490" t="n">
        <v>4</v>
      </c>
      <c r="D1490" s="8" t="n">
        <v>45798</v>
      </c>
      <c r="E1490" s="9" t="n">
        <v>3663</v>
      </c>
      <c r="F1490" s="8" t="n">
        <v>45891</v>
      </c>
      <c r="G1490" s="9" t="n">
        <v>3663</v>
      </c>
      <c r="H1490" t="inlineStr">
        <is>
          <t>PAID_LATE</t>
        </is>
      </c>
      <c r="I1490">
        <f>IF(H1490="UNPAID", AsOfDate-D1490, 0)</f>
        <v/>
      </c>
      <c r="J1490">
        <f>IF(F1490&lt;&gt;"", TEXT(F1490, "yyyy-mm"), "")</f>
        <v/>
      </c>
    </row>
    <row r="1491">
      <c r="A1491" t="inlineStr">
        <is>
          <t>RP0001490</t>
        </is>
      </c>
      <c r="B1491" t="inlineStr">
        <is>
          <t>LN200225</t>
        </is>
      </c>
      <c r="C1491" t="n">
        <v>5</v>
      </c>
      <c r="D1491" s="8" t="n">
        <v>45829</v>
      </c>
      <c r="E1491" s="9" t="n">
        <v>3663</v>
      </c>
      <c r="F1491" s="8" t="n">
        <v>45827</v>
      </c>
      <c r="G1491" s="9" t="n">
        <v>3663</v>
      </c>
      <c r="H1491" t="inlineStr">
        <is>
          <t>PAID_ON_TIME</t>
        </is>
      </c>
      <c r="I1491">
        <f>IF(H1491="UNPAID", AsOfDate-D1491, 0)</f>
        <v/>
      </c>
      <c r="J1491">
        <f>IF(F1491&lt;&gt;"", TEXT(F1491, "yyyy-mm"), "")</f>
        <v/>
      </c>
    </row>
    <row r="1492">
      <c r="A1492" t="inlineStr">
        <is>
          <t>RP0001491</t>
        </is>
      </c>
      <c r="B1492" t="inlineStr">
        <is>
          <t>LN200225</t>
        </is>
      </c>
      <c r="C1492" t="n">
        <v>6</v>
      </c>
      <c r="D1492" s="8" t="n">
        <v>45859</v>
      </c>
      <c r="E1492" s="9" t="n">
        <v>3663</v>
      </c>
      <c r="F1492" s="8" t="n">
        <v>45863</v>
      </c>
      <c r="G1492" s="9" t="n">
        <v>3663</v>
      </c>
      <c r="H1492" t="inlineStr">
        <is>
          <t>PAID_ON_TIME</t>
        </is>
      </c>
      <c r="I1492">
        <f>IF(H1492="UNPAID", AsOfDate-D1492, 0)</f>
        <v/>
      </c>
      <c r="J1492">
        <f>IF(F1492&lt;&gt;"", TEXT(F1492, "yyyy-mm"), "")</f>
        <v/>
      </c>
    </row>
    <row r="1493">
      <c r="A1493" t="inlineStr">
        <is>
          <t>RP0001492</t>
        </is>
      </c>
      <c r="B1493" t="inlineStr">
        <is>
          <t>LN200225</t>
        </is>
      </c>
      <c r="C1493" t="n">
        <v>7</v>
      </c>
      <c r="D1493" s="8" t="n">
        <v>45890</v>
      </c>
      <c r="E1493" s="9" t="n">
        <v>3663</v>
      </c>
      <c r="F1493" s="8" t="n">
        <v>45892</v>
      </c>
      <c r="G1493" s="9" t="n">
        <v>3663</v>
      </c>
      <c r="H1493" t="inlineStr">
        <is>
          <t>PAID_ON_TIME</t>
        </is>
      </c>
      <c r="I1493">
        <f>IF(H1493="UNPAID", AsOfDate-D1493, 0)</f>
        <v/>
      </c>
      <c r="J1493">
        <f>IF(F1493&lt;&gt;"", TEXT(F1493, "yyyy-mm"), "")</f>
        <v/>
      </c>
    </row>
    <row r="1494">
      <c r="A1494" t="inlineStr">
        <is>
          <t>RP0001493</t>
        </is>
      </c>
      <c r="B1494" t="inlineStr">
        <is>
          <t>LN200225</t>
        </is>
      </c>
      <c r="C1494" t="n">
        <v>8</v>
      </c>
      <c r="D1494" s="8" t="n">
        <v>45921</v>
      </c>
      <c r="E1494" s="9" t="n">
        <v>3663</v>
      </c>
      <c r="F1494" s="8" t="n">
        <v>45925</v>
      </c>
      <c r="G1494" s="9" t="n">
        <v>3663</v>
      </c>
      <c r="H1494" t="inlineStr">
        <is>
          <t>PAID_ON_TIME</t>
        </is>
      </c>
      <c r="I1494">
        <f>IF(H1494="UNPAID", AsOfDate-D1494, 0)</f>
        <v/>
      </c>
      <c r="J1494">
        <f>IF(F1494&lt;&gt;"", TEXT(F1494, "yyyy-mm"), "")</f>
        <v/>
      </c>
    </row>
    <row r="1495">
      <c r="A1495" t="inlineStr">
        <is>
          <t>RP0001494</t>
        </is>
      </c>
      <c r="B1495" t="inlineStr">
        <is>
          <t>LN200225</t>
        </is>
      </c>
      <c r="C1495" t="n">
        <v>9</v>
      </c>
      <c r="D1495" s="8" t="n">
        <v>45951</v>
      </c>
      <c r="E1495" s="9" t="n">
        <v>3663</v>
      </c>
      <c r="F1495" s="8" t="n">
        <v>45949</v>
      </c>
      <c r="G1495" s="9" t="n">
        <v>3663</v>
      </c>
      <c r="H1495" t="inlineStr">
        <is>
          <t>PAID_ON_TIME</t>
        </is>
      </c>
      <c r="I1495">
        <f>IF(H1495="UNPAID", AsOfDate-D1495, 0)</f>
        <v/>
      </c>
      <c r="J1495">
        <f>IF(F1495&lt;&gt;"", TEXT(F1495, "yyyy-mm"), "")</f>
        <v/>
      </c>
    </row>
    <row r="1496">
      <c r="A1496" t="inlineStr">
        <is>
          <t>RP0001495</t>
        </is>
      </c>
      <c r="B1496" t="inlineStr">
        <is>
          <t>LN200225</t>
        </is>
      </c>
      <c r="C1496" t="n">
        <v>10</v>
      </c>
      <c r="D1496" s="8" t="n">
        <v>45982</v>
      </c>
      <c r="E1496" s="9" t="n">
        <v>3663</v>
      </c>
      <c r="F1496" s="8" t="n">
        <v>46087</v>
      </c>
      <c r="G1496" s="9" t="n">
        <v>3663</v>
      </c>
      <c r="H1496" t="inlineStr">
        <is>
          <t>PAID_LATE</t>
        </is>
      </c>
      <c r="I1496">
        <f>IF(H1496="UNPAID", AsOfDate-D1496, 0)</f>
        <v/>
      </c>
      <c r="J1496">
        <f>IF(F1496&lt;&gt;"", TEXT(F1496, "yyyy-mm"), "")</f>
        <v/>
      </c>
    </row>
    <row r="1497">
      <c r="A1497" t="inlineStr">
        <is>
          <t>RP0001496</t>
        </is>
      </c>
      <c r="B1497" t="inlineStr">
        <is>
          <t>LN200225</t>
        </is>
      </c>
      <c r="C1497" t="n">
        <v>11</v>
      </c>
      <c r="D1497" s="8" t="n">
        <v>46012</v>
      </c>
      <c r="E1497" s="9" t="n">
        <v>3663</v>
      </c>
      <c r="F1497" s="8" t="n">
        <v>46010</v>
      </c>
      <c r="G1497" s="9" t="n">
        <v>3663</v>
      </c>
      <c r="H1497" t="inlineStr">
        <is>
          <t>PAID_ON_TIME</t>
        </is>
      </c>
      <c r="I1497">
        <f>IF(H1497="UNPAID", AsOfDate-D1497, 0)</f>
        <v/>
      </c>
      <c r="J1497">
        <f>IF(F1497&lt;&gt;"", TEXT(F1497, "yyyy-mm"), "")</f>
        <v/>
      </c>
    </row>
    <row r="1498">
      <c r="A1498" t="inlineStr">
        <is>
          <t>RP0001497</t>
        </is>
      </c>
      <c r="B1498" t="inlineStr">
        <is>
          <t>LN200225</t>
        </is>
      </c>
      <c r="C1498" t="n">
        <v>12</v>
      </c>
      <c r="D1498" s="8" t="n">
        <v>46043</v>
      </c>
      <c r="E1498" s="9" t="n">
        <v>3663</v>
      </c>
      <c r="F1498" s="8" t="n"/>
      <c r="G1498" s="9" t="n">
        <v>0</v>
      </c>
      <c r="H1498" t="inlineStr">
        <is>
          <t>UNPAID</t>
        </is>
      </c>
      <c r="I1498">
        <f>IF(H1498="UNPAID", AsOfDate-D1498, 0)</f>
        <v/>
      </c>
      <c r="J1498">
        <f>IF(F1498&lt;&gt;"", TEXT(F1498, "yyyy-mm"), "")</f>
        <v/>
      </c>
    </row>
    <row r="1499">
      <c r="A1499" t="inlineStr">
        <is>
          <t>RP0001498</t>
        </is>
      </c>
      <c r="B1499" t="inlineStr">
        <is>
          <t>LN200226</t>
        </is>
      </c>
      <c r="C1499" t="n">
        <v>1</v>
      </c>
      <c r="D1499" s="8" t="n">
        <v>45849</v>
      </c>
      <c r="E1499" s="9" t="n">
        <v>27307.67</v>
      </c>
      <c r="F1499" s="8" t="n">
        <v>45853</v>
      </c>
      <c r="G1499" s="9" t="n">
        <v>27307.67</v>
      </c>
      <c r="H1499" t="inlineStr">
        <is>
          <t>PAID_ON_TIME</t>
        </is>
      </c>
      <c r="I1499">
        <f>IF(H1499="UNPAID", AsOfDate-D1499, 0)</f>
        <v/>
      </c>
      <c r="J1499">
        <f>IF(F1499&lt;&gt;"", TEXT(F1499, "yyyy-mm"), "")</f>
        <v/>
      </c>
    </row>
    <row r="1500">
      <c r="A1500" t="inlineStr">
        <is>
          <t>RP0001499</t>
        </is>
      </c>
      <c r="B1500" t="inlineStr">
        <is>
          <t>LN200226</t>
        </is>
      </c>
      <c r="C1500" t="n">
        <v>2</v>
      </c>
      <c r="D1500" s="8" t="n">
        <v>45880</v>
      </c>
      <c r="E1500" s="9" t="n">
        <v>27307.67</v>
      </c>
      <c r="F1500" s="8" t="n">
        <v>45884</v>
      </c>
      <c r="G1500" s="9" t="n">
        <v>27307.67</v>
      </c>
      <c r="H1500" t="inlineStr">
        <is>
          <t>PAID_ON_TIME</t>
        </is>
      </c>
      <c r="I1500">
        <f>IF(H1500="UNPAID", AsOfDate-D1500, 0)</f>
        <v/>
      </c>
      <c r="J1500">
        <f>IF(F1500&lt;&gt;"", TEXT(F1500, "yyyy-mm"), "")</f>
        <v/>
      </c>
    </row>
    <row r="1501">
      <c r="A1501" t="inlineStr">
        <is>
          <t>RP0001500</t>
        </is>
      </c>
      <c r="B1501" t="inlineStr">
        <is>
          <t>LN200226</t>
        </is>
      </c>
      <c r="C1501" t="n">
        <v>3</v>
      </c>
      <c r="D1501" s="8" t="n">
        <v>45911</v>
      </c>
      <c r="E1501" s="9" t="n">
        <v>27307.67</v>
      </c>
      <c r="F1501" s="8" t="n">
        <v>45922</v>
      </c>
      <c r="G1501" s="9" t="n">
        <v>27307.67</v>
      </c>
      <c r="H1501" t="inlineStr">
        <is>
          <t>PAID_LATE</t>
        </is>
      </c>
      <c r="I1501">
        <f>IF(H1501="UNPAID", AsOfDate-D1501, 0)</f>
        <v/>
      </c>
      <c r="J1501">
        <f>IF(F1501&lt;&gt;"", TEXT(F1501, "yyyy-mm"), "")</f>
        <v/>
      </c>
    </row>
    <row r="1502">
      <c r="A1502" t="inlineStr">
        <is>
          <t>RP0001501</t>
        </is>
      </c>
      <c r="B1502" t="inlineStr">
        <is>
          <t>LN200227</t>
        </is>
      </c>
      <c r="C1502" t="n">
        <v>1</v>
      </c>
      <c r="D1502" s="8" t="n">
        <v>45752</v>
      </c>
      <c r="E1502" s="9" t="n">
        <v>18971.33</v>
      </c>
      <c r="F1502" s="8" t="n">
        <v>45753</v>
      </c>
      <c r="G1502" s="9" t="n">
        <v>18971.33</v>
      </c>
      <c r="H1502" t="inlineStr">
        <is>
          <t>PAID_ON_TIME</t>
        </is>
      </c>
      <c r="I1502">
        <f>IF(H1502="UNPAID", AsOfDate-D1502, 0)</f>
        <v/>
      </c>
      <c r="J1502">
        <f>IF(F1502&lt;&gt;"", TEXT(F1502, "yyyy-mm"), "")</f>
        <v/>
      </c>
    </row>
    <row r="1503">
      <c r="A1503" t="inlineStr">
        <is>
          <t>RP0001502</t>
        </is>
      </c>
      <c r="B1503" t="inlineStr">
        <is>
          <t>LN200227</t>
        </is>
      </c>
      <c r="C1503" t="n">
        <v>2</v>
      </c>
      <c r="D1503" s="8" t="n">
        <v>45782</v>
      </c>
      <c r="E1503" s="9" t="n">
        <v>18971.33</v>
      </c>
      <c r="F1503" s="8" t="n">
        <v>45786</v>
      </c>
      <c r="G1503" s="9" t="n">
        <v>18971.33</v>
      </c>
      <c r="H1503" t="inlineStr">
        <is>
          <t>PAID_ON_TIME</t>
        </is>
      </c>
      <c r="I1503">
        <f>IF(H1503="UNPAID", AsOfDate-D1503, 0)</f>
        <v/>
      </c>
      <c r="J1503">
        <f>IF(F1503&lt;&gt;"", TEXT(F1503, "yyyy-mm"), "")</f>
        <v/>
      </c>
    </row>
    <row r="1504">
      <c r="A1504" t="inlineStr">
        <is>
          <t>RP0001503</t>
        </is>
      </c>
      <c r="B1504" t="inlineStr">
        <is>
          <t>LN200227</t>
        </is>
      </c>
      <c r="C1504" t="n">
        <v>3</v>
      </c>
      <c r="D1504" s="8" t="n">
        <v>45813</v>
      </c>
      <c r="E1504" s="9" t="n">
        <v>18971.33</v>
      </c>
      <c r="F1504" s="8" t="n">
        <v>45817</v>
      </c>
      <c r="G1504" s="9" t="n">
        <v>18971.33</v>
      </c>
      <c r="H1504" t="inlineStr">
        <is>
          <t>PAID_ON_TIME</t>
        </is>
      </c>
      <c r="I1504">
        <f>IF(H1504="UNPAID", AsOfDate-D1504, 0)</f>
        <v/>
      </c>
      <c r="J1504">
        <f>IF(F1504&lt;&gt;"", TEXT(F1504, "yyyy-mm"), "")</f>
        <v/>
      </c>
    </row>
    <row r="1505">
      <c r="A1505" t="inlineStr">
        <is>
          <t>RP0001504</t>
        </is>
      </c>
      <c r="B1505" t="inlineStr">
        <is>
          <t>LN200227</t>
        </is>
      </c>
      <c r="C1505" t="n">
        <v>4</v>
      </c>
      <c r="D1505" s="8" t="n">
        <v>45843</v>
      </c>
      <c r="E1505" s="9" t="n">
        <v>18971.33</v>
      </c>
      <c r="F1505" s="8" t="n">
        <v>45840</v>
      </c>
      <c r="G1505" s="9" t="n">
        <v>18971.33</v>
      </c>
      <c r="H1505" t="inlineStr">
        <is>
          <t>PAID_ON_TIME</t>
        </is>
      </c>
      <c r="I1505">
        <f>IF(H1505="UNPAID", AsOfDate-D1505, 0)</f>
        <v/>
      </c>
      <c r="J1505">
        <f>IF(F1505&lt;&gt;"", TEXT(F1505, "yyyy-mm"), "")</f>
        <v/>
      </c>
    </row>
    <row r="1506">
      <c r="A1506" t="inlineStr">
        <is>
          <t>RP0001505</t>
        </is>
      </c>
      <c r="B1506" t="inlineStr">
        <is>
          <t>LN200227</t>
        </is>
      </c>
      <c r="C1506" t="n">
        <v>5</v>
      </c>
      <c r="D1506" s="8" t="n">
        <v>45874</v>
      </c>
      <c r="E1506" s="9" t="n">
        <v>18971.33</v>
      </c>
      <c r="F1506" s="8" t="n">
        <v>45873</v>
      </c>
      <c r="G1506" s="9" t="n">
        <v>18971.33</v>
      </c>
      <c r="H1506" t="inlineStr">
        <is>
          <t>PAID_ON_TIME</t>
        </is>
      </c>
      <c r="I1506">
        <f>IF(H1506="UNPAID", AsOfDate-D1506, 0)</f>
        <v/>
      </c>
      <c r="J1506">
        <f>IF(F1506&lt;&gt;"", TEXT(F1506, "yyyy-mm"), "")</f>
        <v/>
      </c>
    </row>
    <row r="1507">
      <c r="A1507" t="inlineStr">
        <is>
          <t>RP0001506</t>
        </is>
      </c>
      <c r="B1507" t="inlineStr">
        <is>
          <t>LN200227</t>
        </is>
      </c>
      <c r="C1507" t="n">
        <v>6</v>
      </c>
      <c r="D1507" s="8" t="n">
        <v>45905</v>
      </c>
      <c r="E1507" s="9" t="n">
        <v>18971.33</v>
      </c>
      <c r="F1507" s="8" t="n">
        <v>45908</v>
      </c>
      <c r="G1507" s="9" t="n">
        <v>18971.33</v>
      </c>
      <c r="H1507" t="inlineStr">
        <is>
          <t>PAID_ON_TIME</t>
        </is>
      </c>
      <c r="I1507">
        <f>IF(H1507="UNPAID", AsOfDate-D1507, 0)</f>
        <v/>
      </c>
      <c r="J1507">
        <f>IF(F1507&lt;&gt;"", TEXT(F1507, "yyyy-mm"), "")</f>
        <v/>
      </c>
    </row>
    <row r="1508">
      <c r="A1508" t="inlineStr">
        <is>
          <t>RP0001507</t>
        </is>
      </c>
      <c r="B1508" t="inlineStr">
        <is>
          <t>LN200228</t>
        </is>
      </c>
      <c r="C1508" t="n">
        <v>1</v>
      </c>
      <c r="D1508" s="8" t="n">
        <v>46124</v>
      </c>
      <c r="E1508" s="9" t="n">
        <v>36001.75</v>
      </c>
      <c r="F1508" s="8" t="n">
        <v>46127</v>
      </c>
      <c r="G1508" s="9" t="n">
        <v>36001.75</v>
      </c>
      <c r="H1508" t="inlineStr">
        <is>
          <t>PAID_ON_TIME</t>
        </is>
      </c>
      <c r="I1508">
        <f>IF(H1508="UNPAID", AsOfDate-D1508, 0)</f>
        <v/>
      </c>
      <c r="J1508">
        <f>IF(F1508&lt;&gt;"", TEXT(F1508, "yyyy-mm"), "")</f>
        <v/>
      </c>
    </row>
    <row r="1509">
      <c r="A1509" t="inlineStr">
        <is>
          <t>RP0001508</t>
        </is>
      </c>
      <c r="B1509" t="inlineStr">
        <is>
          <t>LN200228</t>
        </is>
      </c>
      <c r="C1509" t="n">
        <v>2</v>
      </c>
      <c r="D1509" s="8" t="n">
        <v>46154</v>
      </c>
      <c r="E1509" s="9" t="n">
        <v>36001.75</v>
      </c>
      <c r="F1509" s="8" t="n">
        <v>46151</v>
      </c>
      <c r="G1509" s="9" t="n">
        <v>36001.75</v>
      </c>
      <c r="H1509" t="inlineStr">
        <is>
          <t>PAID_ON_TIME</t>
        </is>
      </c>
      <c r="I1509">
        <f>IF(H1509="UNPAID", AsOfDate-D1509, 0)</f>
        <v/>
      </c>
      <c r="J1509">
        <f>IF(F1509&lt;&gt;"", TEXT(F1509, "yyyy-mm"), "")</f>
        <v/>
      </c>
    </row>
    <row r="1510">
      <c r="A1510" t="inlineStr">
        <is>
          <t>RP0001509</t>
        </is>
      </c>
      <c r="B1510" t="inlineStr">
        <is>
          <t>LN200228</t>
        </is>
      </c>
      <c r="C1510" t="n">
        <v>3</v>
      </c>
      <c r="D1510" s="8" t="n">
        <v>46185</v>
      </c>
      <c r="E1510" s="9" t="n">
        <v>36001.75</v>
      </c>
      <c r="F1510" s="8" t="n">
        <v>46183</v>
      </c>
      <c r="G1510" s="9" t="n">
        <v>36001.75</v>
      </c>
      <c r="H1510" t="inlineStr">
        <is>
          <t>PAID_ON_TIME</t>
        </is>
      </c>
      <c r="I1510">
        <f>IF(H1510="UNPAID", AsOfDate-D1510, 0)</f>
        <v/>
      </c>
      <c r="J1510">
        <f>IF(F1510&lt;&gt;"", TEXT(F1510, "yyyy-mm"), "")</f>
        <v/>
      </c>
    </row>
    <row r="1511">
      <c r="A1511" t="inlineStr">
        <is>
          <t>RP0001510</t>
        </is>
      </c>
      <c r="B1511" t="inlineStr">
        <is>
          <t>LN200228</t>
        </is>
      </c>
      <c r="C1511" t="n">
        <v>4</v>
      </c>
      <c r="D1511" s="8" t="n">
        <v>46215</v>
      </c>
      <c r="E1511" s="9" t="n">
        <v>36001.75</v>
      </c>
      <c r="F1511" s="8" t="n">
        <v>46214</v>
      </c>
      <c r="G1511" s="9" t="n">
        <v>36001.75</v>
      </c>
      <c r="H1511" t="inlineStr">
        <is>
          <t>PAID_ON_TIME</t>
        </is>
      </c>
      <c r="I1511">
        <f>IF(H1511="UNPAID", AsOfDate-D1511, 0)</f>
        <v/>
      </c>
      <c r="J1511">
        <f>IF(F1511&lt;&gt;"", TEXT(F1511, "yyyy-mm"), "")</f>
        <v/>
      </c>
    </row>
    <row r="1512">
      <c r="A1512" t="inlineStr">
        <is>
          <t>RP0001511</t>
        </is>
      </c>
      <c r="B1512" t="inlineStr">
        <is>
          <t>LN200228</t>
        </is>
      </c>
      <c r="C1512" t="n">
        <v>5</v>
      </c>
      <c r="D1512" s="8" t="n">
        <v>46246</v>
      </c>
      <c r="E1512" s="9" t="n">
        <v>36001.75</v>
      </c>
      <c r="F1512" s="8" t="n">
        <v>46246</v>
      </c>
      <c r="G1512" s="9" t="n">
        <v>36001.75</v>
      </c>
      <c r="H1512" t="inlineStr">
        <is>
          <t>PAID_ON_TIME</t>
        </is>
      </c>
      <c r="I1512">
        <f>IF(H1512="UNPAID", AsOfDate-D1512, 0)</f>
        <v/>
      </c>
      <c r="J1512">
        <f>IF(F1512&lt;&gt;"", TEXT(F1512, "yyyy-mm"), "")</f>
        <v/>
      </c>
    </row>
    <row r="1513">
      <c r="A1513" t="inlineStr">
        <is>
          <t>RP0001512</t>
        </is>
      </c>
      <c r="B1513" t="inlineStr">
        <is>
          <t>LN200228</t>
        </is>
      </c>
      <c r="C1513" t="n">
        <v>6</v>
      </c>
      <c r="D1513" s="8" t="n">
        <v>46277</v>
      </c>
      <c r="E1513" s="9" t="n">
        <v>36001.75</v>
      </c>
      <c r="F1513" s="8" t="n"/>
      <c r="G1513" s="9" t="n">
        <v>0</v>
      </c>
      <c r="H1513" t="inlineStr">
        <is>
          <t>NOT_DUE</t>
        </is>
      </c>
      <c r="I1513">
        <f>IF(H1513="UNPAID", AsOfDate-D1513, 0)</f>
        <v/>
      </c>
      <c r="J1513">
        <f>IF(F1513&lt;&gt;"", TEXT(F1513, "yyyy-mm"), "")</f>
        <v/>
      </c>
    </row>
    <row r="1514">
      <c r="A1514" t="inlineStr">
        <is>
          <t>RP0001513</t>
        </is>
      </c>
      <c r="B1514" t="inlineStr">
        <is>
          <t>LN200229</t>
        </is>
      </c>
      <c r="C1514" t="n">
        <v>1</v>
      </c>
      <c r="D1514" s="8" t="n">
        <v>45802</v>
      </c>
      <c r="E1514" s="9" t="n">
        <v>11943</v>
      </c>
      <c r="F1514" s="8" t="n">
        <v>45805</v>
      </c>
      <c r="G1514" s="9" t="n">
        <v>11943</v>
      </c>
      <c r="H1514" t="inlineStr">
        <is>
          <t>PAID_ON_TIME</t>
        </is>
      </c>
      <c r="I1514">
        <f>IF(H1514="UNPAID", AsOfDate-D1514, 0)</f>
        <v/>
      </c>
      <c r="J1514">
        <f>IF(F1514&lt;&gt;"", TEXT(F1514, "yyyy-mm"), "")</f>
        <v/>
      </c>
    </row>
    <row r="1515">
      <c r="A1515" t="inlineStr">
        <is>
          <t>RP0001514</t>
        </is>
      </c>
      <c r="B1515" t="inlineStr">
        <is>
          <t>LN200229</t>
        </is>
      </c>
      <c r="C1515" t="n">
        <v>2</v>
      </c>
      <c r="D1515" s="8" t="n">
        <v>45833</v>
      </c>
      <c r="E1515" s="9" t="n">
        <v>11943</v>
      </c>
      <c r="F1515" s="8" t="n">
        <v>45834</v>
      </c>
      <c r="G1515" s="9" t="n">
        <v>11943</v>
      </c>
      <c r="H1515" t="inlineStr">
        <is>
          <t>PAID_ON_TIME</t>
        </is>
      </c>
      <c r="I1515">
        <f>IF(H1515="UNPAID", AsOfDate-D1515, 0)</f>
        <v/>
      </c>
      <c r="J1515">
        <f>IF(F1515&lt;&gt;"", TEXT(F1515, "yyyy-mm"), "")</f>
        <v/>
      </c>
    </row>
    <row r="1516">
      <c r="A1516" t="inlineStr">
        <is>
          <t>RP0001515</t>
        </is>
      </c>
      <c r="B1516" t="inlineStr">
        <is>
          <t>LN200229</t>
        </is>
      </c>
      <c r="C1516" t="n">
        <v>3</v>
      </c>
      <c r="D1516" s="8" t="n">
        <v>45863</v>
      </c>
      <c r="E1516" s="9" t="n">
        <v>11943</v>
      </c>
      <c r="F1516" s="8" t="n">
        <v>45867</v>
      </c>
      <c r="G1516" s="9" t="n">
        <v>11943</v>
      </c>
      <c r="H1516" t="inlineStr">
        <is>
          <t>PAID_ON_TIME</t>
        </is>
      </c>
      <c r="I1516">
        <f>IF(H1516="UNPAID", AsOfDate-D1516, 0)</f>
        <v/>
      </c>
      <c r="J1516">
        <f>IF(F1516&lt;&gt;"", TEXT(F1516, "yyyy-mm"), "")</f>
        <v/>
      </c>
    </row>
    <row r="1517">
      <c r="A1517" t="inlineStr">
        <is>
          <t>RP0001516</t>
        </is>
      </c>
      <c r="B1517" t="inlineStr">
        <is>
          <t>LN200229</t>
        </is>
      </c>
      <c r="C1517" t="n">
        <v>4</v>
      </c>
      <c r="D1517" s="8" t="n">
        <v>45894</v>
      </c>
      <c r="E1517" s="9" t="n">
        <v>11943</v>
      </c>
      <c r="F1517" s="8" t="n">
        <v>45898</v>
      </c>
      <c r="G1517" s="9" t="n">
        <v>11943</v>
      </c>
      <c r="H1517" t="inlineStr">
        <is>
          <t>PAID_ON_TIME</t>
        </is>
      </c>
      <c r="I1517">
        <f>IF(H1517="UNPAID", AsOfDate-D1517, 0)</f>
        <v/>
      </c>
      <c r="J1517">
        <f>IF(F1517&lt;&gt;"", TEXT(F1517, "yyyy-mm"), "")</f>
        <v/>
      </c>
    </row>
    <row r="1518">
      <c r="A1518" t="inlineStr">
        <is>
          <t>RP0001517</t>
        </is>
      </c>
      <c r="B1518" t="inlineStr">
        <is>
          <t>LN200229</t>
        </is>
      </c>
      <c r="C1518" t="n">
        <v>5</v>
      </c>
      <c r="D1518" s="8" t="n">
        <v>45925</v>
      </c>
      <c r="E1518" s="9" t="n">
        <v>11943</v>
      </c>
      <c r="F1518" s="8" t="n">
        <v>45927</v>
      </c>
      <c r="G1518" s="9" t="n">
        <v>11943</v>
      </c>
      <c r="H1518" t="inlineStr">
        <is>
          <t>PAID_LATE</t>
        </is>
      </c>
      <c r="I1518">
        <f>IF(H1518="UNPAID", AsOfDate-D1518, 0)</f>
        <v/>
      </c>
      <c r="J1518">
        <f>IF(F1518&lt;&gt;"", TEXT(F1518, "yyyy-mm"), "")</f>
        <v/>
      </c>
    </row>
    <row r="1519">
      <c r="A1519" t="inlineStr">
        <is>
          <t>RP0001518</t>
        </is>
      </c>
      <c r="B1519" t="inlineStr">
        <is>
          <t>LN200229</t>
        </is>
      </c>
      <c r="C1519" t="n">
        <v>6</v>
      </c>
      <c r="D1519" s="8" t="n">
        <v>45955</v>
      </c>
      <c r="E1519" s="9" t="n">
        <v>11943</v>
      </c>
      <c r="F1519" s="8" t="n">
        <v>46026</v>
      </c>
      <c r="G1519" s="9" t="n">
        <v>11943</v>
      </c>
      <c r="H1519" t="inlineStr">
        <is>
          <t>PAID_LATE</t>
        </is>
      </c>
      <c r="I1519">
        <f>IF(H1519="UNPAID", AsOfDate-D1519, 0)</f>
        <v/>
      </c>
      <c r="J1519">
        <f>IF(F1519&lt;&gt;"", TEXT(F1519, "yyyy-mm"), "")</f>
        <v/>
      </c>
    </row>
    <row r="1520">
      <c r="A1520" t="inlineStr">
        <is>
          <t>RP0001519</t>
        </is>
      </c>
      <c r="B1520" t="inlineStr">
        <is>
          <t>LN200229</t>
        </is>
      </c>
      <c r="C1520" t="n">
        <v>7</v>
      </c>
      <c r="D1520" s="8" t="n">
        <v>45986</v>
      </c>
      <c r="E1520" s="9" t="n">
        <v>11943</v>
      </c>
      <c r="F1520" s="8" t="n">
        <v>45989</v>
      </c>
      <c r="G1520" s="9" t="n">
        <v>11943</v>
      </c>
      <c r="H1520" t="inlineStr">
        <is>
          <t>PAID_ON_TIME</t>
        </is>
      </c>
      <c r="I1520">
        <f>IF(H1520="UNPAID", AsOfDate-D1520, 0)</f>
        <v/>
      </c>
      <c r="J1520">
        <f>IF(F1520&lt;&gt;"", TEXT(F1520, "yyyy-mm"), "")</f>
        <v/>
      </c>
    </row>
    <row r="1521">
      <c r="A1521" t="inlineStr">
        <is>
          <t>RP0001520</t>
        </is>
      </c>
      <c r="B1521" t="inlineStr">
        <is>
          <t>LN200229</t>
        </is>
      </c>
      <c r="C1521" t="n">
        <v>8</v>
      </c>
      <c r="D1521" s="8" t="n">
        <v>46016</v>
      </c>
      <c r="E1521" s="9" t="n">
        <v>11943</v>
      </c>
      <c r="F1521" s="8" t="n">
        <v>46015</v>
      </c>
      <c r="G1521" s="9" t="n">
        <v>11943</v>
      </c>
      <c r="H1521" t="inlineStr">
        <is>
          <t>PAID_ON_TIME</t>
        </is>
      </c>
      <c r="I1521">
        <f>IF(H1521="UNPAID", AsOfDate-D1521, 0)</f>
        <v/>
      </c>
      <c r="J1521">
        <f>IF(F1521&lt;&gt;"", TEXT(F1521, "yyyy-mm"), "")</f>
        <v/>
      </c>
    </row>
    <row r="1522">
      <c r="A1522" t="inlineStr">
        <is>
          <t>RP0001521</t>
        </is>
      </c>
      <c r="B1522" t="inlineStr">
        <is>
          <t>LN200229</t>
        </is>
      </c>
      <c r="C1522" t="n">
        <v>9</v>
      </c>
      <c r="D1522" s="8" t="n">
        <v>46047</v>
      </c>
      <c r="E1522" s="9" t="n">
        <v>11943</v>
      </c>
      <c r="F1522" s="8" t="n">
        <v>46048</v>
      </c>
      <c r="G1522" s="9" t="n">
        <v>11943</v>
      </c>
      <c r="H1522" t="inlineStr">
        <is>
          <t>PAID_ON_TIME</t>
        </is>
      </c>
      <c r="I1522">
        <f>IF(H1522="UNPAID", AsOfDate-D1522, 0)</f>
        <v/>
      </c>
      <c r="J1522">
        <f>IF(F1522&lt;&gt;"", TEXT(F1522, "yyyy-mm"), "")</f>
        <v/>
      </c>
    </row>
    <row r="1523">
      <c r="A1523" t="inlineStr">
        <is>
          <t>RP0001522</t>
        </is>
      </c>
      <c r="B1523" t="inlineStr">
        <is>
          <t>LN200229</t>
        </is>
      </c>
      <c r="C1523" t="n">
        <v>10</v>
      </c>
      <c r="D1523" s="8" t="n">
        <v>46078</v>
      </c>
      <c r="E1523" s="9" t="n">
        <v>11943</v>
      </c>
      <c r="F1523" s="8" t="n">
        <v>46077</v>
      </c>
      <c r="G1523" s="9" t="n">
        <v>11943</v>
      </c>
      <c r="H1523" t="inlineStr">
        <is>
          <t>PAID_ON_TIME</t>
        </is>
      </c>
      <c r="I1523">
        <f>IF(H1523="UNPAID", AsOfDate-D1523, 0)</f>
        <v/>
      </c>
      <c r="J1523">
        <f>IF(F1523&lt;&gt;"", TEXT(F1523, "yyyy-mm"), "")</f>
        <v/>
      </c>
    </row>
    <row r="1524">
      <c r="A1524" t="inlineStr">
        <is>
          <t>RP0001523</t>
        </is>
      </c>
      <c r="B1524" t="inlineStr">
        <is>
          <t>LN200229</t>
        </is>
      </c>
      <c r="C1524" t="n">
        <v>11</v>
      </c>
      <c r="D1524" s="8" t="n">
        <v>46106</v>
      </c>
      <c r="E1524" s="9" t="n">
        <v>11943</v>
      </c>
      <c r="F1524" s="8" t="n">
        <v>46103</v>
      </c>
      <c r="G1524" s="9" t="n">
        <v>11943</v>
      </c>
      <c r="H1524" t="inlineStr">
        <is>
          <t>PAID_ON_TIME</t>
        </is>
      </c>
      <c r="I1524">
        <f>IF(H1524="UNPAID", AsOfDate-D1524, 0)</f>
        <v/>
      </c>
      <c r="J1524">
        <f>IF(F1524&lt;&gt;"", TEXT(F1524, "yyyy-mm"), "")</f>
        <v/>
      </c>
    </row>
    <row r="1525">
      <c r="A1525" t="inlineStr">
        <is>
          <t>RP0001524</t>
        </is>
      </c>
      <c r="B1525" t="inlineStr">
        <is>
          <t>LN200229</t>
        </is>
      </c>
      <c r="C1525" t="n">
        <v>12</v>
      </c>
      <c r="D1525" s="8" t="n">
        <v>46137</v>
      </c>
      <c r="E1525" s="9" t="n">
        <v>11943</v>
      </c>
      <c r="F1525" s="8" t="n">
        <v>46134</v>
      </c>
      <c r="G1525" s="9" t="n">
        <v>11943</v>
      </c>
      <c r="H1525" t="inlineStr">
        <is>
          <t>PAID_ON_TIME</t>
        </is>
      </c>
      <c r="I1525">
        <f>IF(H1525="UNPAID", AsOfDate-D1525, 0)</f>
        <v/>
      </c>
      <c r="J1525">
        <f>IF(F1525&lt;&gt;"", TEXT(F1525, "yyyy-mm"), "")</f>
        <v/>
      </c>
    </row>
    <row r="1526">
      <c r="A1526" t="inlineStr">
        <is>
          <t>RP0001525</t>
        </is>
      </c>
      <c r="B1526" t="inlineStr">
        <is>
          <t>LN200229</t>
        </is>
      </c>
      <c r="C1526" t="n">
        <v>13</v>
      </c>
      <c r="D1526" s="8" t="n">
        <v>46167</v>
      </c>
      <c r="E1526" s="9" t="n">
        <v>11943</v>
      </c>
      <c r="F1526" s="8" t="n">
        <v>46165</v>
      </c>
      <c r="G1526" s="9" t="n">
        <v>11943</v>
      </c>
      <c r="H1526" t="inlineStr">
        <is>
          <t>PAID_ON_TIME</t>
        </is>
      </c>
      <c r="I1526">
        <f>IF(H1526="UNPAID", AsOfDate-D1526, 0)</f>
        <v/>
      </c>
      <c r="J1526">
        <f>IF(F1526&lt;&gt;"", TEXT(F1526, "yyyy-mm"), "")</f>
        <v/>
      </c>
    </row>
    <row r="1527">
      <c r="A1527" t="inlineStr">
        <is>
          <t>RP0001526</t>
        </is>
      </c>
      <c r="B1527" t="inlineStr">
        <is>
          <t>LN200229</t>
        </is>
      </c>
      <c r="C1527" t="n">
        <v>14</v>
      </c>
      <c r="D1527" s="8" t="n">
        <v>46198</v>
      </c>
      <c r="E1527" s="9" t="n">
        <v>11943</v>
      </c>
      <c r="F1527" s="8" t="n"/>
      <c r="G1527" s="9" t="n">
        <v>0</v>
      </c>
      <c r="H1527" t="inlineStr">
        <is>
          <t>UNPAID</t>
        </is>
      </c>
      <c r="I1527">
        <f>IF(H1527="UNPAID", AsOfDate-D1527, 0)</f>
        <v/>
      </c>
      <c r="J1527">
        <f>IF(F1527&lt;&gt;"", TEXT(F1527, "yyyy-mm"), "")</f>
        <v/>
      </c>
    </row>
    <row r="1528">
      <c r="A1528" t="inlineStr">
        <is>
          <t>RP0001527</t>
        </is>
      </c>
      <c r="B1528" t="inlineStr">
        <is>
          <t>LN200229</t>
        </is>
      </c>
      <c r="C1528" t="n">
        <v>15</v>
      </c>
      <c r="D1528" s="8" t="n">
        <v>46228</v>
      </c>
      <c r="E1528" s="9" t="n">
        <v>11943</v>
      </c>
      <c r="F1528" s="8" t="n">
        <v>46231</v>
      </c>
      <c r="G1528" s="9" t="n">
        <v>11943</v>
      </c>
      <c r="H1528" t="inlineStr">
        <is>
          <t>PAID_ON_TIME</t>
        </is>
      </c>
      <c r="I1528">
        <f>IF(H1528="UNPAID", AsOfDate-D1528, 0)</f>
        <v/>
      </c>
      <c r="J1528">
        <f>IF(F1528&lt;&gt;"", TEXT(F1528, "yyyy-mm"), "")</f>
        <v/>
      </c>
    </row>
    <row r="1529">
      <c r="A1529" t="inlineStr">
        <is>
          <t>RP0001528</t>
        </is>
      </c>
      <c r="B1529" t="inlineStr">
        <is>
          <t>LN200229</t>
        </is>
      </c>
      <c r="C1529" t="n">
        <v>16</v>
      </c>
      <c r="D1529" s="8" t="n">
        <v>46259</v>
      </c>
      <c r="E1529" s="9" t="n">
        <v>11943</v>
      </c>
      <c r="F1529" s="8" t="n"/>
      <c r="G1529" s="9" t="n">
        <v>0</v>
      </c>
      <c r="H1529" t="inlineStr">
        <is>
          <t>UNPAID</t>
        </is>
      </c>
      <c r="I1529">
        <f>IF(H1529="UNPAID", AsOfDate-D1529, 0)</f>
        <v/>
      </c>
      <c r="J1529">
        <f>IF(F1529&lt;&gt;"", TEXT(F1529, "yyyy-mm"), "")</f>
        <v/>
      </c>
    </row>
    <row r="1530">
      <c r="A1530" t="inlineStr">
        <is>
          <t>RP0001529</t>
        </is>
      </c>
      <c r="B1530" t="inlineStr">
        <is>
          <t>LN200229</t>
        </is>
      </c>
      <c r="C1530" t="n">
        <v>17</v>
      </c>
      <c r="D1530" s="8" t="n">
        <v>46290</v>
      </c>
      <c r="E1530" s="9" t="n">
        <v>11943</v>
      </c>
      <c r="F1530" s="8" t="n"/>
      <c r="G1530" s="9" t="n">
        <v>0</v>
      </c>
      <c r="H1530" t="inlineStr">
        <is>
          <t>NOT_DUE</t>
        </is>
      </c>
      <c r="I1530">
        <f>IF(H1530="UNPAID", AsOfDate-D1530, 0)</f>
        <v/>
      </c>
      <c r="J1530">
        <f>IF(F1530&lt;&gt;"", TEXT(F1530, "yyyy-mm"), "")</f>
        <v/>
      </c>
    </row>
    <row r="1531">
      <c r="A1531" t="inlineStr">
        <is>
          <t>RP0001530</t>
        </is>
      </c>
      <c r="B1531" t="inlineStr">
        <is>
          <t>LN200229</t>
        </is>
      </c>
      <c r="C1531" t="n">
        <v>18</v>
      </c>
      <c r="D1531" s="8" t="n">
        <v>46320</v>
      </c>
      <c r="E1531" s="9" t="n">
        <v>11943</v>
      </c>
      <c r="F1531" s="8" t="n"/>
      <c r="G1531" s="9" t="n">
        <v>0</v>
      </c>
      <c r="H1531" t="inlineStr">
        <is>
          <t>NOT_DUE</t>
        </is>
      </c>
      <c r="I1531">
        <f>IF(H1531="UNPAID", AsOfDate-D1531, 0)</f>
        <v/>
      </c>
      <c r="J1531">
        <f>IF(F1531&lt;&gt;"", TEXT(F1531, "yyyy-mm"), "")</f>
        <v/>
      </c>
    </row>
    <row r="1532">
      <c r="A1532" t="inlineStr">
        <is>
          <t>RP0001531</t>
        </is>
      </c>
      <c r="B1532" t="inlineStr">
        <is>
          <t>LN200230</t>
        </is>
      </c>
      <c r="C1532" t="n">
        <v>1</v>
      </c>
      <c r="D1532" s="8" t="n">
        <v>45827</v>
      </c>
      <c r="E1532" s="9" t="n">
        <v>3726.67</v>
      </c>
      <c r="F1532" s="8" t="n">
        <v>45831</v>
      </c>
      <c r="G1532" s="9" t="n">
        <v>3726.67</v>
      </c>
      <c r="H1532" t="inlineStr">
        <is>
          <t>PAID_ON_TIME</t>
        </is>
      </c>
      <c r="I1532">
        <f>IF(H1532="UNPAID", AsOfDate-D1532, 0)</f>
        <v/>
      </c>
      <c r="J1532">
        <f>IF(F1532&lt;&gt;"", TEXT(F1532, "yyyy-mm"), "")</f>
        <v/>
      </c>
    </row>
    <row r="1533">
      <c r="A1533" t="inlineStr">
        <is>
          <t>RP0001532</t>
        </is>
      </c>
      <c r="B1533" t="inlineStr">
        <is>
          <t>LN200230</t>
        </is>
      </c>
      <c r="C1533" t="n">
        <v>2</v>
      </c>
      <c r="D1533" s="8" t="n">
        <v>45857</v>
      </c>
      <c r="E1533" s="9" t="n">
        <v>3726.67</v>
      </c>
      <c r="F1533" s="8" t="n">
        <v>45861</v>
      </c>
      <c r="G1533" s="9" t="n">
        <v>3726.67</v>
      </c>
      <c r="H1533" t="inlineStr">
        <is>
          <t>PAID_ON_TIME</t>
        </is>
      </c>
      <c r="I1533">
        <f>IF(H1533="UNPAID", AsOfDate-D1533, 0)</f>
        <v/>
      </c>
      <c r="J1533">
        <f>IF(F1533&lt;&gt;"", TEXT(F1533, "yyyy-mm"), "")</f>
        <v/>
      </c>
    </row>
    <row r="1534">
      <c r="A1534" t="inlineStr">
        <is>
          <t>RP0001533</t>
        </is>
      </c>
      <c r="B1534" t="inlineStr">
        <is>
          <t>LN200230</t>
        </is>
      </c>
      <c r="C1534" t="n">
        <v>3</v>
      </c>
      <c r="D1534" s="8" t="n">
        <v>45888</v>
      </c>
      <c r="E1534" s="9" t="n">
        <v>3726.67</v>
      </c>
      <c r="F1534" s="8" t="n">
        <v>45889</v>
      </c>
      <c r="G1534" s="9" t="n">
        <v>3726.67</v>
      </c>
      <c r="H1534" t="inlineStr">
        <is>
          <t>PAID_ON_TIME</t>
        </is>
      </c>
      <c r="I1534">
        <f>IF(H1534="UNPAID", AsOfDate-D1534, 0)</f>
        <v/>
      </c>
      <c r="J1534">
        <f>IF(F1534&lt;&gt;"", TEXT(F1534, "yyyy-mm"), "")</f>
        <v/>
      </c>
    </row>
    <row r="1535">
      <c r="A1535" t="inlineStr">
        <is>
          <t>RP0001534</t>
        </is>
      </c>
      <c r="B1535" t="inlineStr">
        <is>
          <t>LN200230</t>
        </is>
      </c>
      <c r="C1535" t="n">
        <v>4</v>
      </c>
      <c r="D1535" s="8" t="n">
        <v>45919</v>
      </c>
      <c r="E1535" s="9" t="n">
        <v>3726.67</v>
      </c>
      <c r="F1535" s="8" t="n">
        <v>45921</v>
      </c>
      <c r="G1535" s="9" t="n">
        <v>3726.67</v>
      </c>
      <c r="H1535" t="inlineStr">
        <is>
          <t>PAID_ON_TIME</t>
        </is>
      </c>
      <c r="I1535">
        <f>IF(H1535="UNPAID", AsOfDate-D1535, 0)</f>
        <v/>
      </c>
      <c r="J1535">
        <f>IF(F1535&lt;&gt;"", TEXT(F1535, "yyyy-mm"), "")</f>
        <v/>
      </c>
    </row>
    <row r="1536">
      <c r="A1536" t="inlineStr">
        <is>
          <t>RP0001535</t>
        </is>
      </c>
      <c r="B1536" t="inlineStr">
        <is>
          <t>LN200230</t>
        </is>
      </c>
      <c r="C1536" t="n">
        <v>5</v>
      </c>
      <c r="D1536" s="8" t="n">
        <v>45949</v>
      </c>
      <c r="E1536" s="9" t="n">
        <v>3726.67</v>
      </c>
      <c r="F1536" s="8" t="n">
        <v>45946</v>
      </c>
      <c r="G1536" s="9" t="n">
        <v>3726.67</v>
      </c>
      <c r="H1536" t="inlineStr">
        <is>
          <t>PAID_ON_TIME</t>
        </is>
      </c>
      <c r="I1536">
        <f>IF(H1536="UNPAID", AsOfDate-D1536, 0)</f>
        <v/>
      </c>
      <c r="J1536">
        <f>IF(F1536&lt;&gt;"", TEXT(F1536, "yyyy-mm"), "")</f>
        <v/>
      </c>
    </row>
    <row r="1537">
      <c r="A1537" t="inlineStr">
        <is>
          <t>RP0001536</t>
        </is>
      </c>
      <c r="B1537" t="inlineStr">
        <is>
          <t>LN200230</t>
        </is>
      </c>
      <c r="C1537" t="n">
        <v>6</v>
      </c>
      <c r="D1537" s="8" t="n">
        <v>45980</v>
      </c>
      <c r="E1537" s="9" t="n">
        <v>3726.67</v>
      </c>
      <c r="F1537" s="8" t="n">
        <v>45984</v>
      </c>
      <c r="G1537" s="9" t="n">
        <v>3726.67</v>
      </c>
      <c r="H1537" t="inlineStr">
        <is>
          <t>PAID_ON_TIME</t>
        </is>
      </c>
      <c r="I1537">
        <f>IF(H1537="UNPAID", AsOfDate-D1537, 0)</f>
        <v/>
      </c>
      <c r="J1537">
        <f>IF(F1537&lt;&gt;"", TEXT(F1537, "yyyy-mm"), "")</f>
        <v/>
      </c>
    </row>
    <row r="1538">
      <c r="A1538" t="inlineStr">
        <is>
          <t>RP0001537</t>
        </is>
      </c>
      <c r="B1538" t="inlineStr">
        <is>
          <t>LN200231</t>
        </is>
      </c>
      <c r="C1538" t="n">
        <v>1</v>
      </c>
      <c r="D1538" s="8" t="n">
        <v>46107</v>
      </c>
      <c r="E1538" s="9" t="n">
        <v>5422.67</v>
      </c>
      <c r="F1538" s="8" t="n">
        <v>46110</v>
      </c>
      <c r="G1538" s="9" t="n">
        <v>5422.67</v>
      </c>
      <c r="H1538" t="inlineStr">
        <is>
          <t>PAID_ON_TIME</t>
        </is>
      </c>
      <c r="I1538">
        <f>IF(H1538="UNPAID", AsOfDate-D1538, 0)</f>
        <v/>
      </c>
      <c r="J1538">
        <f>IF(F1538&lt;&gt;"", TEXT(F1538, "yyyy-mm"), "")</f>
        <v/>
      </c>
    </row>
    <row r="1539">
      <c r="A1539" t="inlineStr">
        <is>
          <t>RP0001538</t>
        </is>
      </c>
      <c r="B1539" t="inlineStr">
        <is>
          <t>LN200231</t>
        </is>
      </c>
      <c r="C1539" t="n">
        <v>2</v>
      </c>
      <c r="D1539" s="8" t="n">
        <v>46138</v>
      </c>
      <c r="E1539" s="9" t="n">
        <v>5422.67</v>
      </c>
      <c r="F1539" s="8" t="n">
        <v>46140</v>
      </c>
      <c r="G1539" s="9" t="n">
        <v>5422.67</v>
      </c>
      <c r="H1539" t="inlineStr">
        <is>
          <t>PAID_ON_TIME</t>
        </is>
      </c>
      <c r="I1539">
        <f>IF(H1539="UNPAID", AsOfDate-D1539, 0)</f>
        <v/>
      </c>
      <c r="J1539">
        <f>IF(F1539&lt;&gt;"", TEXT(F1539, "yyyy-mm"), "")</f>
        <v/>
      </c>
    </row>
    <row r="1540">
      <c r="A1540" t="inlineStr">
        <is>
          <t>RP0001539</t>
        </is>
      </c>
      <c r="B1540" t="inlineStr">
        <is>
          <t>LN200231</t>
        </is>
      </c>
      <c r="C1540" t="n">
        <v>3</v>
      </c>
      <c r="D1540" s="8" t="n">
        <v>46168</v>
      </c>
      <c r="E1540" s="9" t="n">
        <v>5422.67</v>
      </c>
      <c r="F1540" s="8" t="n">
        <v>46172</v>
      </c>
      <c r="G1540" s="9" t="n">
        <v>5422.67</v>
      </c>
      <c r="H1540" t="inlineStr">
        <is>
          <t>PAID_ON_TIME</t>
        </is>
      </c>
      <c r="I1540">
        <f>IF(H1540="UNPAID", AsOfDate-D1540, 0)</f>
        <v/>
      </c>
      <c r="J1540">
        <f>IF(F1540&lt;&gt;"", TEXT(F1540, "yyyy-mm"), "")</f>
        <v/>
      </c>
    </row>
    <row r="1541">
      <c r="A1541" t="inlineStr">
        <is>
          <t>RP0001540</t>
        </is>
      </c>
      <c r="B1541" t="inlineStr">
        <is>
          <t>LN200231</t>
        </is>
      </c>
      <c r="C1541" t="n">
        <v>4</v>
      </c>
      <c r="D1541" s="8" t="n">
        <v>46199</v>
      </c>
      <c r="E1541" s="9" t="n">
        <v>5422.67</v>
      </c>
      <c r="F1541" s="8" t="n">
        <v>46196</v>
      </c>
      <c r="G1541" s="9" t="n">
        <v>5422.67</v>
      </c>
      <c r="H1541" t="inlineStr">
        <is>
          <t>PAID_ON_TIME</t>
        </is>
      </c>
      <c r="I1541">
        <f>IF(H1541="UNPAID", AsOfDate-D1541, 0)</f>
        <v/>
      </c>
      <c r="J1541">
        <f>IF(F1541&lt;&gt;"", TEXT(F1541, "yyyy-mm"), "")</f>
        <v/>
      </c>
    </row>
    <row r="1542">
      <c r="A1542" t="inlineStr">
        <is>
          <t>RP0001541</t>
        </is>
      </c>
      <c r="B1542" t="inlineStr">
        <is>
          <t>LN200231</t>
        </is>
      </c>
      <c r="C1542" t="n">
        <v>5</v>
      </c>
      <c r="D1542" s="8" t="n">
        <v>46229</v>
      </c>
      <c r="E1542" s="9" t="n">
        <v>5422.67</v>
      </c>
      <c r="F1542" s="8" t="n">
        <v>46233</v>
      </c>
      <c r="G1542" s="9" t="n">
        <v>5422.67</v>
      </c>
      <c r="H1542" t="inlineStr">
        <is>
          <t>PAID_ON_TIME</t>
        </is>
      </c>
      <c r="I1542">
        <f>IF(H1542="UNPAID", AsOfDate-D1542, 0)</f>
        <v/>
      </c>
      <c r="J1542">
        <f>IF(F1542&lt;&gt;"", TEXT(F1542, "yyyy-mm"), "")</f>
        <v/>
      </c>
    </row>
    <row r="1543">
      <c r="A1543" t="inlineStr">
        <is>
          <t>RP0001542</t>
        </is>
      </c>
      <c r="B1543" t="inlineStr">
        <is>
          <t>LN200231</t>
        </is>
      </c>
      <c r="C1543" t="n">
        <v>6</v>
      </c>
      <c r="D1543" s="8" t="n">
        <v>46260</v>
      </c>
      <c r="E1543" s="9" t="n">
        <v>5422.67</v>
      </c>
      <c r="F1543" s="8" t="n">
        <v>46263</v>
      </c>
      <c r="G1543" s="9" t="n">
        <v>5422.67</v>
      </c>
      <c r="H1543" t="inlineStr">
        <is>
          <t>PAID_ON_TIME</t>
        </is>
      </c>
      <c r="I1543">
        <f>IF(H1543="UNPAID", AsOfDate-D1543, 0)</f>
        <v/>
      </c>
      <c r="J1543">
        <f>IF(F1543&lt;&gt;"", TEXT(F1543, "yyyy-mm"), "")</f>
        <v/>
      </c>
    </row>
    <row r="1544">
      <c r="A1544" t="inlineStr">
        <is>
          <t>RP0001543</t>
        </is>
      </c>
      <c r="B1544" t="inlineStr">
        <is>
          <t>LN200231</t>
        </is>
      </c>
      <c r="C1544" t="n">
        <v>7</v>
      </c>
      <c r="D1544" s="8" t="n">
        <v>46291</v>
      </c>
      <c r="E1544" s="9" t="n">
        <v>5422.67</v>
      </c>
      <c r="F1544" s="8" t="n"/>
      <c r="G1544" s="9" t="n">
        <v>0</v>
      </c>
      <c r="H1544" t="inlineStr">
        <is>
          <t>NOT_DUE</t>
        </is>
      </c>
      <c r="I1544">
        <f>IF(H1544="UNPAID", AsOfDate-D1544, 0)</f>
        <v/>
      </c>
      <c r="J1544">
        <f>IF(F1544&lt;&gt;"", TEXT(F1544, "yyyy-mm"), "")</f>
        <v/>
      </c>
    </row>
    <row r="1545">
      <c r="A1545" t="inlineStr">
        <is>
          <t>RP0001544</t>
        </is>
      </c>
      <c r="B1545" t="inlineStr">
        <is>
          <t>LN200231</t>
        </is>
      </c>
      <c r="C1545" t="n">
        <v>8</v>
      </c>
      <c r="D1545" s="8" t="n">
        <v>46321</v>
      </c>
      <c r="E1545" s="9" t="n">
        <v>5422.67</v>
      </c>
      <c r="F1545" s="8" t="n"/>
      <c r="G1545" s="9" t="n">
        <v>0</v>
      </c>
      <c r="H1545" t="inlineStr">
        <is>
          <t>NOT_DUE</t>
        </is>
      </c>
      <c r="I1545">
        <f>IF(H1545="UNPAID", AsOfDate-D1545, 0)</f>
        <v/>
      </c>
      <c r="J1545">
        <f>IF(F1545&lt;&gt;"", TEXT(F1545, "yyyy-mm"), "")</f>
        <v/>
      </c>
    </row>
    <row r="1546">
      <c r="A1546" t="inlineStr">
        <is>
          <t>RP0001545</t>
        </is>
      </c>
      <c r="B1546" t="inlineStr">
        <is>
          <t>LN200231</t>
        </is>
      </c>
      <c r="C1546" t="n">
        <v>9</v>
      </c>
      <c r="D1546" s="8" t="n">
        <v>46352</v>
      </c>
      <c r="E1546" s="9" t="n">
        <v>5422.67</v>
      </c>
      <c r="F1546" s="8" t="n"/>
      <c r="G1546" s="9" t="n">
        <v>0</v>
      </c>
      <c r="H1546" t="inlineStr">
        <is>
          <t>NOT_DUE</t>
        </is>
      </c>
      <c r="I1546">
        <f>IF(H1546="UNPAID", AsOfDate-D1546, 0)</f>
        <v/>
      </c>
      <c r="J1546">
        <f>IF(F1546&lt;&gt;"", TEXT(F1546, "yyyy-mm"), "")</f>
        <v/>
      </c>
    </row>
    <row r="1547">
      <c r="A1547" t="inlineStr">
        <is>
          <t>RP0001546</t>
        </is>
      </c>
      <c r="B1547" t="inlineStr">
        <is>
          <t>LN200232</t>
        </is>
      </c>
      <c r="C1547" t="n">
        <v>1</v>
      </c>
      <c r="D1547" s="8" t="n">
        <v>46266</v>
      </c>
      <c r="E1547" s="9" t="n">
        <v>39159</v>
      </c>
      <c r="F1547" s="8" t="n">
        <v>46268</v>
      </c>
      <c r="G1547" s="9" t="n">
        <v>39159</v>
      </c>
      <c r="H1547" t="inlineStr">
        <is>
          <t>PAID_ON_TIME</t>
        </is>
      </c>
      <c r="I1547">
        <f>IF(H1547="UNPAID", AsOfDate-D1547, 0)</f>
        <v/>
      </c>
      <c r="J1547">
        <f>IF(F1547&lt;&gt;"", TEXT(F1547, "yyyy-mm"), "")</f>
        <v/>
      </c>
    </row>
    <row r="1548">
      <c r="A1548" t="inlineStr">
        <is>
          <t>RP0001547</t>
        </is>
      </c>
      <c r="B1548" t="inlineStr">
        <is>
          <t>LN200232</t>
        </is>
      </c>
      <c r="C1548" t="n">
        <v>2</v>
      </c>
      <c r="D1548" s="8" t="n">
        <v>46296</v>
      </c>
      <c r="E1548" s="9" t="n">
        <v>39159</v>
      </c>
      <c r="F1548" s="8" t="n"/>
      <c r="G1548" s="9" t="n">
        <v>0</v>
      </c>
      <c r="H1548" t="inlineStr">
        <is>
          <t>NOT_DUE</t>
        </is>
      </c>
      <c r="I1548">
        <f>IF(H1548="UNPAID", AsOfDate-D1548, 0)</f>
        <v/>
      </c>
      <c r="J1548">
        <f>IF(F1548&lt;&gt;"", TEXT(F1548, "yyyy-mm"), "")</f>
        <v/>
      </c>
    </row>
    <row r="1549">
      <c r="A1549" t="inlineStr">
        <is>
          <t>RP0001548</t>
        </is>
      </c>
      <c r="B1549" t="inlineStr">
        <is>
          <t>LN200232</t>
        </is>
      </c>
      <c r="C1549" t="n">
        <v>3</v>
      </c>
      <c r="D1549" s="8" t="n">
        <v>46327</v>
      </c>
      <c r="E1549" s="9" t="n">
        <v>39159</v>
      </c>
      <c r="F1549" s="8" t="n"/>
      <c r="G1549" s="9" t="n">
        <v>0</v>
      </c>
      <c r="H1549" t="inlineStr">
        <is>
          <t>NOT_DUE</t>
        </is>
      </c>
      <c r="I1549">
        <f>IF(H1549="UNPAID", AsOfDate-D1549, 0)</f>
        <v/>
      </c>
      <c r="J1549">
        <f>IF(F1549&lt;&gt;"", TEXT(F1549, "yyyy-mm"), "")</f>
        <v/>
      </c>
    </row>
    <row r="1550">
      <c r="A1550" t="inlineStr">
        <is>
          <t>RP0001549</t>
        </is>
      </c>
      <c r="B1550" t="inlineStr">
        <is>
          <t>LN200233</t>
        </is>
      </c>
      <c r="C1550" t="n">
        <v>1</v>
      </c>
      <c r="D1550" s="8" t="n">
        <v>45755</v>
      </c>
      <c r="E1550" s="9" t="n">
        <v>74646</v>
      </c>
      <c r="F1550" s="8" t="n">
        <v>45753</v>
      </c>
      <c r="G1550" s="9" t="n">
        <v>74646</v>
      </c>
      <c r="H1550" t="inlineStr">
        <is>
          <t>PAID_ON_TIME</t>
        </is>
      </c>
      <c r="I1550">
        <f>IF(H1550="UNPAID", AsOfDate-D1550, 0)</f>
        <v/>
      </c>
      <c r="J1550">
        <f>IF(F1550&lt;&gt;"", TEXT(F1550, "yyyy-mm"), "")</f>
        <v/>
      </c>
    </row>
    <row r="1551">
      <c r="A1551" t="inlineStr">
        <is>
          <t>RP0001550</t>
        </is>
      </c>
      <c r="B1551" t="inlineStr">
        <is>
          <t>LN200233</t>
        </is>
      </c>
      <c r="C1551" t="n">
        <v>2</v>
      </c>
      <c r="D1551" s="8" t="n">
        <v>45785</v>
      </c>
      <c r="E1551" s="9" t="n">
        <v>74646</v>
      </c>
      <c r="F1551" s="8" t="n">
        <v>45783</v>
      </c>
      <c r="G1551" s="9" t="n">
        <v>74646</v>
      </c>
      <c r="H1551" t="inlineStr">
        <is>
          <t>PAID_ON_TIME</t>
        </is>
      </c>
      <c r="I1551">
        <f>IF(H1551="UNPAID", AsOfDate-D1551, 0)</f>
        <v/>
      </c>
      <c r="J1551">
        <f>IF(F1551&lt;&gt;"", TEXT(F1551, "yyyy-mm"), "")</f>
        <v/>
      </c>
    </row>
    <row r="1552">
      <c r="A1552" t="inlineStr">
        <is>
          <t>RP0001551</t>
        </is>
      </c>
      <c r="B1552" t="inlineStr">
        <is>
          <t>LN200233</t>
        </is>
      </c>
      <c r="C1552" t="n">
        <v>3</v>
      </c>
      <c r="D1552" s="8" t="n">
        <v>45816</v>
      </c>
      <c r="E1552" s="9" t="n">
        <v>74646</v>
      </c>
      <c r="F1552" s="8" t="n">
        <v>45820</v>
      </c>
      <c r="G1552" s="9" t="n">
        <v>74646</v>
      </c>
      <c r="H1552" t="inlineStr">
        <is>
          <t>PAID_ON_TIME</t>
        </is>
      </c>
      <c r="I1552">
        <f>IF(H1552="UNPAID", AsOfDate-D1552, 0)</f>
        <v/>
      </c>
      <c r="J1552">
        <f>IF(F1552&lt;&gt;"", TEXT(F1552, "yyyy-mm"), "")</f>
        <v/>
      </c>
    </row>
    <row r="1553">
      <c r="A1553" t="inlineStr">
        <is>
          <t>RP0001552</t>
        </is>
      </c>
      <c r="B1553" t="inlineStr">
        <is>
          <t>LN200234</t>
        </is>
      </c>
      <c r="C1553" t="n">
        <v>1</v>
      </c>
      <c r="D1553" s="8" t="n">
        <v>45751</v>
      </c>
      <c r="E1553" s="9" t="n">
        <v>10071</v>
      </c>
      <c r="F1553" s="8" t="n">
        <v>45752</v>
      </c>
      <c r="G1553" s="9" t="n">
        <v>10071</v>
      </c>
      <c r="H1553" t="inlineStr">
        <is>
          <t>PAID_ON_TIME</t>
        </is>
      </c>
      <c r="I1553">
        <f>IF(H1553="UNPAID", AsOfDate-D1553, 0)</f>
        <v/>
      </c>
      <c r="J1553">
        <f>IF(F1553&lt;&gt;"", TEXT(F1553, "yyyy-mm"), "")</f>
        <v/>
      </c>
    </row>
    <row r="1554">
      <c r="A1554" t="inlineStr">
        <is>
          <t>RP0001553</t>
        </is>
      </c>
      <c r="B1554" t="inlineStr">
        <is>
          <t>LN200234</t>
        </is>
      </c>
      <c r="C1554" t="n">
        <v>2</v>
      </c>
      <c r="D1554" s="8" t="n">
        <v>45781</v>
      </c>
      <c r="E1554" s="9" t="n">
        <v>10071</v>
      </c>
      <c r="F1554" s="8" t="n">
        <v>45836</v>
      </c>
      <c r="G1554" s="9" t="n">
        <v>10071</v>
      </c>
      <c r="H1554" t="inlineStr">
        <is>
          <t>PAID_LATE</t>
        </is>
      </c>
      <c r="I1554">
        <f>IF(H1554="UNPAID", AsOfDate-D1554, 0)</f>
        <v/>
      </c>
      <c r="J1554">
        <f>IF(F1554&lt;&gt;"", TEXT(F1554, "yyyy-mm"), "")</f>
        <v/>
      </c>
    </row>
    <row r="1555">
      <c r="A1555" t="inlineStr">
        <is>
          <t>RP0001554</t>
        </is>
      </c>
      <c r="B1555" t="inlineStr">
        <is>
          <t>LN200234</t>
        </is>
      </c>
      <c r="C1555" t="n">
        <v>3</v>
      </c>
      <c r="D1555" s="8" t="n">
        <v>45812</v>
      </c>
      <c r="E1555" s="9" t="n">
        <v>10071</v>
      </c>
      <c r="F1555" s="8" t="n">
        <v>45811</v>
      </c>
      <c r="G1555" s="9" t="n">
        <v>10071</v>
      </c>
      <c r="H1555" t="inlineStr">
        <is>
          <t>PAID_ON_TIME</t>
        </is>
      </c>
      <c r="I1555">
        <f>IF(H1555="UNPAID", AsOfDate-D1555, 0)</f>
        <v/>
      </c>
      <c r="J1555">
        <f>IF(F1555&lt;&gt;"", TEXT(F1555, "yyyy-mm"), "")</f>
        <v/>
      </c>
    </row>
    <row r="1556">
      <c r="A1556" t="inlineStr">
        <is>
          <t>RP0001555</t>
        </is>
      </c>
      <c r="B1556" t="inlineStr">
        <is>
          <t>LN200234</t>
        </is>
      </c>
      <c r="C1556" t="n">
        <v>4</v>
      </c>
      <c r="D1556" s="8" t="n">
        <v>45842</v>
      </c>
      <c r="E1556" s="9" t="n">
        <v>10071</v>
      </c>
      <c r="F1556" s="8" t="n">
        <v>45842</v>
      </c>
      <c r="G1556" s="9" t="n">
        <v>10071</v>
      </c>
      <c r="H1556" t="inlineStr">
        <is>
          <t>PAID_ON_TIME</t>
        </is>
      </c>
      <c r="I1556">
        <f>IF(H1556="UNPAID", AsOfDate-D1556, 0)</f>
        <v/>
      </c>
      <c r="J1556">
        <f>IF(F1556&lt;&gt;"", TEXT(F1556, "yyyy-mm"), "")</f>
        <v/>
      </c>
    </row>
    <row r="1557">
      <c r="A1557" t="inlineStr">
        <is>
          <t>RP0001556</t>
        </is>
      </c>
      <c r="B1557" t="inlineStr">
        <is>
          <t>LN200234</t>
        </is>
      </c>
      <c r="C1557" t="n">
        <v>5</v>
      </c>
      <c r="D1557" s="8" t="n">
        <v>45873</v>
      </c>
      <c r="E1557" s="9" t="n">
        <v>10071</v>
      </c>
      <c r="F1557" s="8" t="n">
        <v>45873</v>
      </c>
      <c r="G1557" s="9" t="n">
        <v>10071</v>
      </c>
      <c r="H1557" t="inlineStr">
        <is>
          <t>PAID_ON_TIME</t>
        </is>
      </c>
      <c r="I1557">
        <f>IF(H1557="UNPAID", AsOfDate-D1557, 0)</f>
        <v/>
      </c>
      <c r="J1557">
        <f>IF(F1557&lt;&gt;"", TEXT(F1557, "yyyy-mm"), "")</f>
        <v/>
      </c>
    </row>
    <row r="1558">
      <c r="A1558" t="inlineStr">
        <is>
          <t>RP0001557</t>
        </is>
      </c>
      <c r="B1558" t="inlineStr">
        <is>
          <t>LN200234</t>
        </is>
      </c>
      <c r="C1558" t="n">
        <v>6</v>
      </c>
      <c r="D1558" s="8" t="n">
        <v>45904</v>
      </c>
      <c r="E1558" s="9" t="n">
        <v>10071</v>
      </c>
      <c r="F1558" s="8" t="n">
        <v>45904</v>
      </c>
      <c r="G1558" s="9" t="n">
        <v>10071</v>
      </c>
      <c r="H1558" t="inlineStr">
        <is>
          <t>PAID_ON_TIME</t>
        </is>
      </c>
      <c r="I1558">
        <f>IF(H1558="UNPAID", AsOfDate-D1558, 0)</f>
        <v/>
      </c>
      <c r="J1558">
        <f>IF(F1558&lt;&gt;"", TEXT(F1558, "yyyy-mm"), "")</f>
        <v/>
      </c>
    </row>
    <row r="1559">
      <c r="A1559" t="inlineStr">
        <is>
          <t>RP0001558</t>
        </is>
      </c>
      <c r="B1559" t="inlineStr">
        <is>
          <t>LN200235</t>
        </is>
      </c>
      <c r="C1559" t="n">
        <v>1</v>
      </c>
      <c r="D1559" s="8" t="n">
        <v>45911</v>
      </c>
      <c r="E1559" s="9" t="n">
        <v>26194.83</v>
      </c>
      <c r="F1559" s="8" t="n">
        <v>45962</v>
      </c>
      <c r="G1559" s="9" t="n">
        <v>26194.83</v>
      </c>
      <c r="H1559" t="inlineStr">
        <is>
          <t>PAID_LATE</t>
        </is>
      </c>
      <c r="I1559">
        <f>IF(H1559="UNPAID", AsOfDate-D1559, 0)</f>
        <v/>
      </c>
      <c r="J1559">
        <f>IF(F1559&lt;&gt;"", TEXT(F1559, "yyyy-mm"), "")</f>
        <v/>
      </c>
    </row>
    <row r="1560">
      <c r="A1560" t="inlineStr">
        <is>
          <t>RP0001559</t>
        </is>
      </c>
      <c r="B1560" t="inlineStr">
        <is>
          <t>LN200235</t>
        </is>
      </c>
      <c r="C1560" t="n">
        <v>2</v>
      </c>
      <c r="D1560" s="8" t="n">
        <v>45941</v>
      </c>
      <c r="E1560" s="9" t="n">
        <v>26194.83</v>
      </c>
      <c r="F1560" s="8" t="n">
        <v>45944</v>
      </c>
      <c r="G1560" s="9" t="n">
        <v>26194.83</v>
      </c>
      <c r="H1560" t="inlineStr">
        <is>
          <t>PAID_ON_TIME</t>
        </is>
      </c>
      <c r="I1560">
        <f>IF(H1560="UNPAID", AsOfDate-D1560, 0)</f>
        <v/>
      </c>
      <c r="J1560">
        <f>IF(F1560&lt;&gt;"", TEXT(F1560, "yyyy-mm"), "")</f>
        <v/>
      </c>
    </row>
    <row r="1561">
      <c r="A1561" t="inlineStr">
        <is>
          <t>RP0001560</t>
        </is>
      </c>
      <c r="B1561" t="inlineStr">
        <is>
          <t>LN200235</t>
        </is>
      </c>
      <c r="C1561" t="n">
        <v>3</v>
      </c>
      <c r="D1561" s="8" t="n">
        <v>45972</v>
      </c>
      <c r="E1561" s="9" t="n">
        <v>26194.83</v>
      </c>
      <c r="F1561" s="8" t="n">
        <v>45969</v>
      </c>
      <c r="G1561" s="9" t="n">
        <v>26194.83</v>
      </c>
      <c r="H1561" t="inlineStr">
        <is>
          <t>PAID_ON_TIME</t>
        </is>
      </c>
      <c r="I1561">
        <f>IF(H1561="UNPAID", AsOfDate-D1561, 0)</f>
        <v/>
      </c>
      <c r="J1561">
        <f>IF(F1561&lt;&gt;"", TEXT(F1561, "yyyy-mm"), "")</f>
        <v/>
      </c>
    </row>
    <row r="1562">
      <c r="A1562" t="inlineStr">
        <is>
          <t>RP0001561</t>
        </is>
      </c>
      <c r="B1562" t="inlineStr">
        <is>
          <t>LN200235</t>
        </is>
      </c>
      <c r="C1562" t="n">
        <v>4</v>
      </c>
      <c r="D1562" s="8" t="n">
        <v>46002</v>
      </c>
      <c r="E1562" s="9" t="n">
        <v>26194.83</v>
      </c>
      <c r="F1562" s="8" t="n">
        <v>46005</v>
      </c>
      <c r="G1562" s="9" t="n">
        <v>26194.83</v>
      </c>
      <c r="H1562" t="inlineStr">
        <is>
          <t>PAID_ON_TIME</t>
        </is>
      </c>
      <c r="I1562">
        <f>IF(H1562="UNPAID", AsOfDate-D1562, 0)</f>
        <v/>
      </c>
      <c r="J1562">
        <f>IF(F1562&lt;&gt;"", TEXT(F1562, "yyyy-mm"), "")</f>
        <v/>
      </c>
    </row>
    <row r="1563">
      <c r="A1563" t="inlineStr">
        <is>
          <t>RP0001562</t>
        </is>
      </c>
      <c r="B1563" t="inlineStr">
        <is>
          <t>LN200235</t>
        </is>
      </c>
      <c r="C1563" t="n">
        <v>5</v>
      </c>
      <c r="D1563" s="8" t="n">
        <v>46033</v>
      </c>
      <c r="E1563" s="9" t="n">
        <v>26194.83</v>
      </c>
      <c r="F1563" s="8" t="n">
        <v>46035</v>
      </c>
      <c r="G1563" s="9" t="n">
        <v>26194.83</v>
      </c>
      <c r="H1563" t="inlineStr">
        <is>
          <t>PAID_ON_TIME</t>
        </is>
      </c>
      <c r="I1563">
        <f>IF(H1563="UNPAID", AsOfDate-D1563, 0)</f>
        <v/>
      </c>
      <c r="J1563">
        <f>IF(F1563&lt;&gt;"", TEXT(F1563, "yyyy-mm"), "")</f>
        <v/>
      </c>
    </row>
    <row r="1564">
      <c r="A1564" t="inlineStr">
        <is>
          <t>RP0001563</t>
        </is>
      </c>
      <c r="B1564" t="inlineStr">
        <is>
          <t>LN200235</t>
        </is>
      </c>
      <c r="C1564" t="n">
        <v>6</v>
      </c>
      <c r="D1564" s="8" t="n">
        <v>46064</v>
      </c>
      <c r="E1564" s="9" t="n">
        <v>26194.83</v>
      </c>
      <c r="F1564" s="8" t="n">
        <v>46063</v>
      </c>
      <c r="G1564" s="9" t="n">
        <v>26194.83</v>
      </c>
      <c r="H1564" t="inlineStr">
        <is>
          <t>PAID_ON_TIME</t>
        </is>
      </c>
      <c r="I1564">
        <f>IF(H1564="UNPAID", AsOfDate-D1564, 0)</f>
        <v/>
      </c>
      <c r="J1564">
        <f>IF(F1564&lt;&gt;"", TEXT(F1564, "yyyy-mm"), "")</f>
        <v/>
      </c>
    </row>
    <row r="1565">
      <c r="A1565" t="inlineStr">
        <is>
          <t>RP0001564</t>
        </is>
      </c>
      <c r="B1565" t="inlineStr">
        <is>
          <t>LN200236</t>
        </is>
      </c>
      <c r="C1565" t="n">
        <v>1</v>
      </c>
      <c r="D1565" s="8" t="n">
        <v>46045</v>
      </c>
      <c r="E1565" s="9" t="n">
        <v>15635.11</v>
      </c>
      <c r="F1565" s="8" t="n">
        <v>46049</v>
      </c>
      <c r="G1565" s="9" t="n">
        <v>15635.11</v>
      </c>
      <c r="H1565" t="inlineStr">
        <is>
          <t>PAID_ON_TIME</t>
        </is>
      </c>
      <c r="I1565">
        <f>IF(H1565="UNPAID", AsOfDate-D1565, 0)</f>
        <v/>
      </c>
      <c r="J1565">
        <f>IF(F1565&lt;&gt;"", TEXT(F1565, "yyyy-mm"), "")</f>
        <v/>
      </c>
    </row>
    <row r="1566">
      <c r="A1566" t="inlineStr">
        <is>
          <t>RP0001565</t>
        </is>
      </c>
      <c r="B1566" t="inlineStr">
        <is>
          <t>LN200236</t>
        </is>
      </c>
      <c r="C1566" t="n">
        <v>2</v>
      </c>
      <c r="D1566" s="8" t="n">
        <v>46076</v>
      </c>
      <c r="E1566" s="9" t="n">
        <v>15635.11</v>
      </c>
      <c r="F1566" s="8" t="n">
        <v>46079</v>
      </c>
      <c r="G1566" s="9" t="n">
        <v>15635.11</v>
      </c>
      <c r="H1566" t="inlineStr">
        <is>
          <t>PAID_ON_TIME</t>
        </is>
      </c>
      <c r="I1566">
        <f>IF(H1566="UNPAID", AsOfDate-D1566, 0)</f>
        <v/>
      </c>
      <c r="J1566">
        <f>IF(F1566&lt;&gt;"", TEXT(F1566, "yyyy-mm"), "")</f>
        <v/>
      </c>
    </row>
    <row r="1567">
      <c r="A1567" t="inlineStr">
        <is>
          <t>RP0001566</t>
        </is>
      </c>
      <c r="B1567" t="inlineStr">
        <is>
          <t>LN200236</t>
        </is>
      </c>
      <c r="C1567" t="n">
        <v>3</v>
      </c>
      <c r="D1567" s="8" t="n">
        <v>46104</v>
      </c>
      <c r="E1567" s="9" t="n">
        <v>15635.11</v>
      </c>
      <c r="F1567" s="8" t="n">
        <v>46104</v>
      </c>
      <c r="G1567" s="9" t="n">
        <v>15635.11</v>
      </c>
      <c r="H1567" t="inlineStr">
        <is>
          <t>PAID_ON_TIME</t>
        </is>
      </c>
      <c r="I1567">
        <f>IF(H1567="UNPAID", AsOfDate-D1567, 0)</f>
        <v/>
      </c>
      <c r="J1567">
        <f>IF(F1567&lt;&gt;"", TEXT(F1567, "yyyy-mm"), "")</f>
        <v/>
      </c>
    </row>
    <row r="1568">
      <c r="A1568" t="inlineStr">
        <is>
          <t>RP0001567</t>
        </is>
      </c>
      <c r="B1568" t="inlineStr">
        <is>
          <t>LN200236</t>
        </is>
      </c>
      <c r="C1568" t="n">
        <v>4</v>
      </c>
      <c r="D1568" s="8" t="n">
        <v>46135</v>
      </c>
      <c r="E1568" s="9" t="n">
        <v>15635.11</v>
      </c>
      <c r="F1568" s="8" t="n"/>
      <c r="G1568" s="9" t="n">
        <v>0</v>
      </c>
      <c r="H1568" t="inlineStr">
        <is>
          <t>UNPAID</t>
        </is>
      </c>
      <c r="I1568">
        <f>IF(H1568="UNPAID", AsOfDate-D1568, 0)</f>
        <v/>
      </c>
      <c r="J1568">
        <f>IF(F1568&lt;&gt;"", TEXT(F1568, "yyyy-mm"), "")</f>
        <v/>
      </c>
    </row>
    <row r="1569">
      <c r="A1569" t="inlineStr">
        <is>
          <t>RP0001568</t>
        </is>
      </c>
      <c r="B1569" t="inlineStr">
        <is>
          <t>LN200236</t>
        </is>
      </c>
      <c r="C1569" t="n">
        <v>5</v>
      </c>
      <c r="D1569" s="8" t="n">
        <v>46165</v>
      </c>
      <c r="E1569" s="9" t="n">
        <v>15635.11</v>
      </c>
      <c r="F1569" s="8" t="n">
        <v>46194</v>
      </c>
      <c r="G1569" s="9" t="n">
        <v>15635.11</v>
      </c>
      <c r="H1569" t="inlineStr">
        <is>
          <t>PAID_LATE</t>
        </is>
      </c>
      <c r="I1569">
        <f>IF(H1569="UNPAID", AsOfDate-D1569, 0)</f>
        <v/>
      </c>
      <c r="J1569">
        <f>IF(F1569&lt;&gt;"", TEXT(F1569, "yyyy-mm"), "")</f>
        <v/>
      </c>
    </row>
    <row r="1570">
      <c r="A1570" t="inlineStr">
        <is>
          <t>RP0001569</t>
        </is>
      </c>
      <c r="B1570" t="inlineStr">
        <is>
          <t>LN200236</t>
        </is>
      </c>
      <c r="C1570" t="n">
        <v>6</v>
      </c>
      <c r="D1570" s="8" t="n">
        <v>46196</v>
      </c>
      <c r="E1570" s="9" t="n">
        <v>15635.11</v>
      </c>
      <c r="F1570" s="8" t="n">
        <v>46199</v>
      </c>
      <c r="G1570" s="9" t="n">
        <v>15635.11</v>
      </c>
      <c r="H1570" t="inlineStr">
        <is>
          <t>PAID_ON_TIME</t>
        </is>
      </c>
      <c r="I1570">
        <f>IF(H1570="UNPAID", AsOfDate-D1570, 0)</f>
        <v/>
      </c>
      <c r="J1570">
        <f>IF(F1570&lt;&gt;"", TEXT(F1570, "yyyy-mm"), "")</f>
        <v/>
      </c>
    </row>
    <row r="1571">
      <c r="A1571" t="inlineStr">
        <is>
          <t>RP0001570</t>
        </is>
      </c>
      <c r="B1571" t="inlineStr">
        <is>
          <t>LN200236</t>
        </is>
      </c>
      <c r="C1571" t="n">
        <v>7</v>
      </c>
      <c r="D1571" s="8" t="n">
        <v>46226</v>
      </c>
      <c r="E1571" s="9" t="n">
        <v>15635.11</v>
      </c>
      <c r="F1571" s="8" t="n">
        <v>46226</v>
      </c>
      <c r="G1571" s="9" t="n">
        <v>15635.11</v>
      </c>
      <c r="H1571" t="inlineStr">
        <is>
          <t>PAID_ON_TIME</t>
        </is>
      </c>
      <c r="I1571">
        <f>IF(H1571="UNPAID", AsOfDate-D1571, 0)</f>
        <v/>
      </c>
      <c r="J1571">
        <f>IF(F1571&lt;&gt;"", TEXT(F1571, "yyyy-mm"), "")</f>
        <v/>
      </c>
    </row>
    <row r="1572">
      <c r="A1572" t="inlineStr">
        <is>
          <t>RP0001571</t>
        </is>
      </c>
      <c r="B1572" t="inlineStr">
        <is>
          <t>LN200236</t>
        </is>
      </c>
      <c r="C1572" t="n">
        <v>8</v>
      </c>
      <c r="D1572" s="8" t="n">
        <v>46257</v>
      </c>
      <c r="E1572" s="9" t="n">
        <v>15635.11</v>
      </c>
      <c r="F1572" s="8" t="n">
        <v>46254</v>
      </c>
      <c r="G1572" s="9" t="n">
        <v>15635.11</v>
      </c>
      <c r="H1572" t="inlineStr">
        <is>
          <t>PAID_ON_TIME</t>
        </is>
      </c>
      <c r="I1572">
        <f>IF(H1572="UNPAID", AsOfDate-D1572, 0)</f>
        <v/>
      </c>
      <c r="J1572">
        <f>IF(F1572&lt;&gt;"", TEXT(F1572, "yyyy-mm"), "")</f>
        <v/>
      </c>
    </row>
    <row r="1573">
      <c r="A1573" t="inlineStr">
        <is>
          <t>RP0001572</t>
        </is>
      </c>
      <c r="B1573" t="inlineStr">
        <is>
          <t>LN200236</t>
        </is>
      </c>
      <c r="C1573" t="n">
        <v>9</v>
      </c>
      <c r="D1573" s="8" t="n">
        <v>46288</v>
      </c>
      <c r="E1573" s="9" t="n">
        <v>15635.11</v>
      </c>
      <c r="F1573" s="8" t="n"/>
      <c r="G1573" s="9" t="n">
        <v>0</v>
      </c>
      <c r="H1573" t="inlineStr">
        <is>
          <t>NOT_DUE</t>
        </is>
      </c>
      <c r="I1573">
        <f>IF(H1573="UNPAID", AsOfDate-D1573, 0)</f>
        <v/>
      </c>
      <c r="J1573">
        <f>IF(F1573&lt;&gt;"", TEXT(F1573, "yyyy-mm"), "")</f>
        <v/>
      </c>
    </row>
    <row r="1574">
      <c r="A1574" t="inlineStr">
        <is>
          <t>RP0001573</t>
        </is>
      </c>
      <c r="B1574" t="inlineStr">
        <is>
          <t>LN200237</t>
        </is>
      </c>
      <c r="C1574" t="n">
        <v>1</v>
      </c>
      <c r="D1574" s="8" t="n">
        <v>46040</v>
      </c>
      <c r="E1574" s="9" t="n">
        <v>13986.89</v>
      </c>
      <c r="F1574" s="8" t="n">
        <v>46041</v>
      </c>
      <c r="G1574" s="9" t="n">
        <v>13986.89</v>
      </c>
      <c r="H1574" t="inlineStr">
        <is>
          <t>PAID_ON_TIME</t>
        </is>
      </c>
      <c r="I1574">
        <f>IF(H1574="UNPAID", AsOfDate-D1574, 0)</f>
        <v/>
      </c>
      <c r="J1574">
        <f>IF(F1574&lt;&gt;"", TEXT(F1574, "yyyy-mm"), "")</f>
        <v/>
      </c>
    </row>
    <row r="1575">
      <c r="A1575" t="inlineStr">
        <is>
          <t>RP0001574</t>
        </is>
      </c>
      <c r="B1575" t="inlineStr">
        <is>
          <t>LN200237</t>
        </is>
      </c>
      <c r="C1575" t="n">
        <v>2</v>
      </c>
      <c r="D1575" s="8" t="n">
        <v>46071</v>
      </c>
      <c r="E1575" s="9" t="n">
        <v>13986.89</v>
      </c>
      <c r="F1575" s="8" t="n">
        <v>46072</v>
      </c>
      <c r="G1575" s="9" t="n">
        <v>13986.89</v>
      </c>
      <c r="H1575" t="inlineStr">
        <is>
          <t>PAID_ON_TIME</t>
        </is>
      </c>
      <c r="I1575">
        <f>IF(H1575="UNPAID", AsOfDate-D1575, 0)</f>
        <v/>
      </c>
      <c r="J1575">
        <f>IF(F1575&lt;&gt;"", TEXT(F1575, "yyyy-mm"), "")</f>
        <v/>
      </c>
    </row>
    <row r="1576">
      <c r="A1576" t="inlineStr">
        <is>
          <t>RP0001575</t>
        </is>
      </c>
      <c r="B1576" t="inlineStr">
        <is>
          <t>LN200237</t>
        </is>
      </c>
      <c r="C1576" t="n">
        <v>3</v>
      </c>
      <c r="D1576" s="8" t="n">
        <v>46099</v>
      </c>
      <c r="E1576" s="9" t="n">
        <v>13986.89</v>
      </c>
      <c r="F1576" s="8" t="n">
        <v>46102</v>
      </c>
      <c r="G1576" s="9" t="n">
        <v>13986.89</v>
      </c>
      <c r="H1576" t="inlineStr">
        <is>
          <t>PAID_ON_TIME</t>
        </is>
      </c>
      <c r="I1576">
        <f>IF(H1576="UNPAID", AsOfDate-D1576, 0)</f>
        <v/>
      </c>
      <c r="J1576">
        <f>IF(F1576&lt;&gt;"", TEXT(F1576, "yyyy-mm"), "")</f>
        <v/>
      </c>
    </row>
    <row r="1577">
      <c r="A1577" t="inlineStr">
        <is>
          <t>RP0001576</t>
        </is>
      </c>
      <c r="B1577" t="inlineStr">
        <is>
          <t>LN200237</t>
        </is>
      </c>
      <c r="C1577" t="n">
        <v>4</v>
      </c>
      <c r="D1577" s="8" t="n">
        <v>46130</v>
      </c>
      <c r="E1577" s="9" t="n">
        <v>13986.89</v>
      </c>
      <c r="F1577" s="8" t="n">
        <v>46133</v>
      </c>
      <c r="G1577" s="9" t="n">
        <v>13986.89</v>
      </c>
      <c r="H1577" t="inlineStr">
        <is>
          <t>PAID_ON_TIME</t>
        </is>
      </c>
      <c r="I1577">
        <f>IF(H1577="UNPAID", AsOfDate-D1577, 0)</f>
        <v/>
      </c>
      <c r="J1577">
        <f>IF(F1577&lt;&gt;"", TEXT(F1577, "yyyy-mm"), "")</f>
        <v/>
      </c>
    </row>
    <row r="1578">
      <c r="A1578" t="inlineStr">
        <is>
          <t>RP0001577</t>
        </is>
      </c>
      <c r="B1578" t="inlineStr">
        <is>
          <t>LN200237</t>
        </is>
      </c>
      <c r="C1578" t="n">
        <v>5</v>
      </c>
      <c r="D1578" s="8" t="n">
        <v>46160</v>
      </c>
      <c r="E1578" s="9" t="n">
        <v>13986.89</v>
      </c>
      <c r="F1578" s="8" t="n">
        <v>46162</v>
      </c>
      <c r="G1578" s="9" t="n">
        <v>13986.89</v>
      </c>
      <c r="H1578" t="inlineStr">
        <is>
          <t>PAID_ON_TIME</t>
        </is>
      </c>
      <c r="I1578">
        <f>IF(H1578="UNPAID", AsOfDate-D1578, 0)</f>
        <v/>
      </c>
      <c r="J1578">
        <f>IF(F1578&lt;&gt;"", TEXT(F1578, "yyyy-mm"), "")</f>
        <v/>
      </c>
    </row>
    <row r="1579">
      <c r="A1579" t="inlineStr">
        <is>
          <t>RP0001578</t>
        </is>
      </c>
      <c r="B1579" t="inlineStr">
        <is>
          <t>LN200237</t>
        </is>
      </c>
      <c r="C1579" t="n">
        <v>6</v>
      </c>
      <c r="D1579" s="8" t="n">
        <v>46191</v>
      </c>
      <c r="E1579" s="9" t="n">
        <v>13986.89</v>
      </c>
      <c r="F1579" s="8" t="n">
        <v>46193</v>
      </c>
      <c r="G1579" s="9" t="n">
        <v>13986.89</v>
      </c>
      <c r="H1579" t="inlineStr">
        <is>
          <t>PAID_ON_TIME</t>
        </is>
      </c>
      <c r="I1579">
        <f>IF(H1579="UNPAID", AsOfDate-D1579, 0)</f>
        <v/>
      </c>
      <c r="J1579">
        <f>IF(F1579&lt;&gt;"", TEXT(F1579, "yyyy-mm"), "")</f>
        <v/>
      </c>
    </row>
    <row r="1580">
      <c r="A1580" t="inlineStr">
        <is>
          <t>RP0001579</t>
        </is>
      </c>
      <c r="B1580" t="inlineStr">
        <is>
          <t>LN200237</t>
        </is>
      </c>
      <c r="C1580" t="n">
        <v>7</v>
      </c>
      <c r="D1580" s="8" t="n">
        <v>46221</v>
      </c>
      <c r="E1580" s="9" t="n">
        <v>13986.89</v>
      </c>
      <c r="F1580" s="8" t="n">
        <v>46224</v>
      </c>
      <c r="G1580" s="9" t="n">
        <v>13986.89</v>
      </c>
      <c r="H1580" t="inlineStr">
        <is>
          <t>PAID_ON_TIME</t>
        </is>
      </c>
      <c r="I1580">
        <f>IF(H1580="UNPAID", AsOfDate-D1580, 0)</f>
        <v/>
      </c>
      <c r="J1580">
        <f>IF(F1580&lt;&gt;"", TEXT(F1580, "yyyy-mm"), "")</f>
        <v/>
      </c>
    </row>
    <row r="1581">
      <c r="A1581" t="inlineStr">
        <is>
          <t>RP0001580</t>
        </is>
      </c>
      <c r="B1581" t="inlineStr">
        <is>
          <t>LN200237</t>
        </is>
      </c>
      <c r="C1581" t="n">
        <v>8</v>
      </c>
      <c r="D1581" s="8" t="n">
        <v>46252</v>
      </c>
      <c r="E1581" s="9" t="n">
        <v>13986.89</v>
      </c>
      <c r="F1581" s="8" t="n">
        <v>46256</v>
      </c>
      <c r="G1581" s="9" t="n">
        <v>13986.89</v>
      </c>
      <c r="H1581" t="inlineStr">
        <is>
          <t>PAID_ON_TIME</t>
        </is>
      </c>
      <c r="I1581">
        <f>IF(H1581="UNPAID", AsOfDate-D1581, 0)</f>
        <v/>
      </c>
      <c r="J1581">
        <f>IF(F1581&lt;&gt;"", TEXT(F1581, "yyyy-mm"), "")</f>
        <v/>
      </c>
    </row>
    <row r="1582">
      <c r="A1582" t="inlineStr">
        <is>
          <t>RP0001581</t>
        </is>
      </c>
      <c r="B1582" t="inlineStr">
        <is>
          <t>LN200237</t>
        </is>
      </c>
      <c r="C1582" t="n">
        <v>9</v>
      </c>
      <c r="D1582" s="8" t="n">
        <v>46283</v>
      </c>
      <c r="E1582" s="9" t="n">
        <v>13986.89</v>
      </c>
      <c r="F1582" s="8" t="n"/>
      <c r="G1582" s="9" t="n">
        <v>0</v>
      </c>
      <c r="H1582" t="inlineStr">
        <is>
          <t>NOT_DUE</t>
        </is>
      </c>
      <c r="I1582">
        <f>IF(H1582="UNPAID", AsOfDate-D1582, 0)</f>
        <v/>
      </c>
      <c r="J1582">
        <f>IF(F1582&lt;&gt;"", TEXT(F1582, "yyyy-mm"), "")</f>
        <v/>
      </c>
    </row>
    <row r="1583">
      <c r="A1583" t="inlineStr">
        <is>
          <t>RP0001582</t>
        </is>
      </c>
      <c r="B1583" t="inlineStr">
        <is>
          <t>LN200238</t>
        </is>
      </c>
      <c r="C1583" t="n">
        <v>1</v>
      </c>
      <c r="D1583" s="8" t="n">
        <v>45877</v>
      </c>
      <c r="E1583" s="9" t="n">
        <v>134367.08</v>
      </c>
      <c r="F1583" s="8" t="n">
        <v>45880</v>
      </c>
      <c r="G1583" s="9" t="n">
        <v>134367.08</v>
      </c>
      <c r="H1583" t="inlineStr">
        <is>
          <t>PAID_ON_TIME</t>
        </is>
      </c>
      <c r="I1583">
        <f>IF(H1583="UNPAID", AsOfDate-D1583, 0)</f>
        <v/>
      </c>
      <c r="J1583">
        <f>IF(F1583&lt;&gt;"", TEXT(F1583, "yyyy-mm"), "")</f>
        <v/>
      </c>
    </row>
    <row r="1584">
      <c r="A1584" t="inlineStr">
        <is>
          <t>RP0001583</t>
        </is>
      </c>
      <c r="B1584" t="inlineStr">
        <is>
          <t>LN200238</t>
        </is>
      </c>
      <c r="C1584" t="n">
        <v>2</v>
      </c>
      <c r="D1584" s="8" t="n">
        <v>45908</v>
      </c>
      <c r="E1584" s="9" t="n">
        <v>134367.08</v>
      </c>
      <c r="F1584" s="8" t="n">
        <v>45918</v>
      </c>
      <c r="G1584" s="9" t="n">
        <v>134367.08</v>
      </c>
      <c r="H1584" t="inlineStr">
        <is>
          <t>PAID_LATE</t>
        </is>
      </c>
      <c r="I1584">
        <f>IF(H1584="UNPAID", AsOfDate-D1584, 0)</f>
        <v/>
      </c>
      <c r="J1584">
        <f>IF(F1584&lt;&gt;"", TEXT(F1584, "yyyy-mm"), "")</f>
        <v/>
      </c>
    </row>
    <row r="1585">
      <c r="A1585" t="inlineStr">
        <is>
          <t>RP0001584</t>
        </is>
      </c>
      <c r="B1585" t="inlineStr">
        <is>
          <t>LN200238</t>
        </is>
      </c>
      <c r="C1585" t="n">
        <v>3</v>
      </c>
      <c r="D1585" s="8" t="n">
        <v>45938</v>
      </c>
      <c r="E1585" s="9" t="n">
        <v>134367.08</v>
      </c>
      <c r="F1585" s="8" t="n">
        <v>45990</v>
      </c>
      <c r="G1585" s="9" t="n">
        <v>134367.08</v>
      </c>
      <c r="H1585" t="inlineStr">
        <is>
          <t>PAID_LATE</t>
        </is>
      </c>
      <c r="I1585">
        <f>IF(H1585="UNPAID", AsOfDate-D1585, 0)</f>
        <v/>
      </c>
      <c r="J1585">
        <f>IF(F1585&lt;&gt;"", TEXT(F1585, "yyyy-mm"), "")</f>
        <v/>
      </c>
    </row>
    <row r="1586">
      <c r="A1586" t="inlineStr">
        <is>
          <t>RP0001585</t>
        </is>
      </c>
      <c r="B1586" t="inlineStr">
        <is>
          <t>LN200239</t>
        </is>
      </c>
      <c r="C1586" t="n">
        <v>1</v>
      </c>
      <c r="D1586" s="8" t="n">
        <v>46193</v>
      </c>
      <c r="E1586" s="9" t="n">
        <v>39480</v>
      </c>
      <c r="F1586" s="8" t="n">
        <v>46190</v>
      </c>
      <c r="G1586" s="9" t="n">
        <v>39480</v>
      </c>
      <c r="H1586" t="inlineStr">
        <is>
          <t>PAID_ON_TIME</t>
        </is>
      </c>
      <c r="I1586">
        <f>IF(H1586="UNPAID", AsOfDate-D1586, 0)</f>
        <v/>
      </c>
      <c r="J1586">
        <f>IF(F1586&lt;&gt;"", TEXT(F1586, "yyyy-mm"), "")</f>
        <v/>
      </c>
    </row>
    <row r="1587">
      <c r="A1587" t="inlineStr">
        <is>
          <t>RP0001586</t>
        </is>
      </c>
      <c r="B1587" t="inlineStr">
        <is>
          <t>LN200239</t>
        </is>
      </c>
      <c r="C1587" t="n">
        <v>2</v>
      </c>
      <c r="D1587" s="8" t="n">
        <v>46223</v>
      </c>
      <c r="E1587" s="9" t="n">
        <v>39480</v>
      </c>
      <c r="F1587" s="8" t="n">
        <v>46227</v>
      </c>
      <c r="G1587" s="9" t="n">
        <v>39480</v>
      </c>
      <c r="H1587" t="inlineStr">
        <is>
          <t>PAID_ON_TIME</t>
        </is>
      </c>
      <c r="I1587">
        <f>IF(H1587="UNPAID", AsOfDate-D1587, 0)</f>
        <v/>
      </c>
      <c r="J1587">
        <f>IF(F1587&lt;&gt;"", TEXT(F1587, "yyyy-mm"), "")</f>
        <v/>
      </c>
    </row>
    <row r="1588">
      <c r="A1588" t="inlineStr">
        <is>
          <t>RP0001587</t>
        </is>
      </c>
      <c r="B1588" t="inlineStr">
        <is>
          <t>LN200239</t>
        </is>
      </c>
      <c r="C1588" t="n">
        <v>3</v>
      </c>
      <c r="D1588" s="8" t="n">
        <v>46254</v>
      </c>
      <c r="E1588" s="9" t="n">
        <v>39480</v>
      </c>
      <c r="F1588" s="8" t="n">
        <v>46254</v>
      </c>
      <c r="G1588" s="9" t="n">
        <v>39480</v>
      </c>
      <c r="H1588" t="inlineStr">
        <is>
          <t>PAID_ON_TIME</t>
        </is>
      </c>
      <c r="I1588">
        <f>IF(H1588="UNPAID", AsOfDate-D1588, 0)</f>
        <v/>
      </c>
      <c r="J1588">
        <f>IF(F1588&lt;&gt;"", TEXT(F1588, "yyyy-mm"), "")</f>
        <v/>
      </c>
    </row>
    <row r="1589">
      <c r="A1589" t="inlineStr">
        <is>
          <t>RP0001588</t>
        </is>
      </c>
      <c r="B1589" t="inlineStr">
        <is>
          <t>LN200240</t>
        </is>
      </c>
      <c r="C1589" t="n">
        <v>1</v>
      </c>
      <c r="D1589" s="8" t="n">
        <v>45867</v>
      </c>
      <c r="E1589" s="9" t="n">
        <v>9742.5</v>
      </c>
      <c r="F1589" s="8" t="n">
        <v>45865</v>
      </c>
      <c r="G1589" s="9" t="n">
        <v>9742.5</v>
      </c>
      <c r="H1589" t="inlineStr">
        <is>
          <t>PAID_ON_TIME</t>
        </is>
      </c>
      <c r="I1589">
        <f>IF(H1589="UNPAID", AsOfDate-D1589, 0)</f>
        <v/>
      </c>
      <c r="J1589">
        <f>IF(F1589&lt;&gt;"", TEXT(F1589, "yyyy-mm"), "")</f>
        <v/>
      </c>
    </row>
    <row r="1590">
      <c r="A1590" t="inlineStr">
        <is>
          <t>RP0001589</t>
        </is>
      </c>
      <c r="B1590" t="inlineStr">
        <is>
          <t>LN200240</t>
        </is>
      </c>
      <c r="C1590" t="n">
        <v>2</v>
      </c>
      <c r="D1590" s="8" t="n">
        <v>45898</v>
      </c>
      <c r="E1590" s="9" t="n">
        <v>9742.5</v>
      </c>
      <c r="F1590" s="8" t="n">
        <v>45898</v>
      </c>
      <c r="G1590" s="9" t="n">
        <v>9742.5</v>
      </c>
      <c r="H1590" t="inlineStr">
        <is>
          <t>PAID_ON_TIME</t>
        </is>
      </c>
      <c r="I1590">
        <f>IF(H1590="UNPAID", AsOfDate-D1590, 0)</f>
        <v/>
      </c>
      <c r="J1590">
        <f>IF(F1590&lt;&gt;"", TEXT(F1590, "yyyy-mm"), "")</f>
        <v/>
      </c>
    </row>
    <row r="1591">
      <c r="A1591" t="inlineStr">
        <is>
          <t>RP0001590</t>
        </is>
      </c>
      <c r="B1591" t="inlineStr">
        <is>
          <t>LN200240</t>
        </is>
      </c>
      <c r="C1591" t="n">
        <v>3</v>
      </c>
      <c r="D1591" s="8" t="n">
        <v>45929</v>
      </c>
      <c r="E1591" s="9" t="n">
        <v>9742.5</v>
      </c>
      <c r="F1591" s="8" t="n">
        <v>45931</v>
      </c>
      <c r="G1591" s="9" t="n">
        <v>9742.5</v>
      </c>
      <c r="H1591" t="inlineStr">
        <is>
          <t>PAID_ON_TIME</t>
        </is>
      </c>
      <c r="I1591">
        <f>IF(H1591="UNPAID", AsOfDate-D1591, 0)</f>
        <v/>
      </c>
      <c r="J1591">
        <f>IF(F1591&lt;&gt;"", TEXT(F1591, "yyyy-mm"), "")</f>
        <v/>
      </c>
    </row>
    <row r="1592">
      <c r="A1592" t="inlineStr">
        <is>
          <t>RP0001591</t>
        </is>
      </c>
      <c r="B1592" t="inlineStr">
        <is>
          <t>LN200240</t>
        </is>
      </c>
      <c r="C1592" t="n">
        <v>4</v>
      </c>
      <c r="D1592" s="8" t="n">
        <v>45959</v>
      </c>
      <c r="E1592" s="9" t="n">
        <v>9742.5</v>
      </c>
      <c r="F1592" s="8" t="n">
        <v>45956</v>
      </c>
      <c r="G1592" s="9" t="n">
        <v>9742.5</v>
      </c>
      <c r="H1592" t="inlineStr">
        <is>
          <t>PAID_ON_TIME</t>
        </is>
      </c>
      <c r="I1592">
        <f>IF(H1592="UNPAID", AsOfDate-D1592, 0)</f>
        <v/>
      </c>
      <c r="J1592">
        <f>IF(F1592&lt;&gt;"", TEXT(F1592, "yyyy-mm"), "")</f>
        <v/>
      </c>
    </row>
    <row r="1593">
      <c r="A1593" t="inlineStr">
        <is>
          <t>RP0001592</t>
        </is>
      </c>
      <c r="B1593" t="inlineStr">
        <is>
          <t>LN200240</t>
        </is>
      </c>
      <c r="C1593" t="n">
        <v>5</v>
      </c>
      <c r="D1593" s="8" t="n">
        <v>45990</v>
      </c>
      <c r="E1593" s="9" t="n">
        <v>9742.5</v>
      </c>
      <c r="F1593" s="8" t="n">
        <v>45987</v>
      </c>
      <c r="G1593" s="9" t="n">
        <v>9742.5</v>
      </c>
      <c r="H1593" t="inlineStr">
        <is>
          <t>PAID_ON_TIME</t>
        </is>
      </c>
      <c r="I1593">
        <f>IF(H1593="UNPAID", AsOfDate-D1593, 0)</f>
        <v/>
      </c>
      <c r="J1593">
        <f>IF(F1593&lt;&gt;"", TEXT(F1593, "yyyy-mm"), "")</f>
        <v/>
      </c>
    </row>
    <row r="1594">
      <c r="A1594" t="inlineStr">
        <is>
          <t>RP0001593</t>
        </is>
      </c>
      <c r="B1594" t="inlineStr">
        <is>
          <t>LN200240</t>
        </is>
      </c>
      <c r="C1594" t="n">
        <v>6</v>
      </c>
      <c r="D1594" s="8" t="n">
        <v>46020</v>
      </c>
      <c r="E1594" s="9" t="n">
        <v>9742.5</v>
      </c>
      <c r="F1594" s="8" t="n">
        <v>46123</v>
      </c>
      <c r="G1594" s="9" t="n">
        <v>9742.5</v>
      </c>
      <c r="H1594" t="inlineStr">
        <is>
          <t>PAID_LATE</t>
        </is>
      </c>
      <c r="I1594">
        <f>IF(H1594="UNPAID", AsOfDate-D1594, 0)</f>
        <v/>
      </c>
      <c r="J1594">
        <f>IF(F1594&lt;&gt;"", TEXT(F1594, "yyyy-mm"), "")</f>
        <v/>
      </c>
    </row>
    <row r="1595">
      <c r="A1595" t="inlineStr">
        <is>
          <t>RP0001594</t>
        </is>
      </c>
      <c r="B1595" t="inlineStr">
        <is>
          <t>LN200241</t>
        </is>
      </c>
      <c r="C1595" t="n">
        <v>1</v>
      </c>
      <c r="D1595" s="8" t="n">
        <v>46159</v>
      </c>
      <c r="E1595" s="9" t="n">
        <v>13884</v>
      </c>
      <c r="F1595" s="8" t="n">
        <v>46163</v>
      </c>
      <c r="G1595" s="9" t="n">
        <v>13884</v>
      </c>
      <c r="H1595" t="inlineStr">
        <is>
          <t>PAID_ON_TIME</t>
        </is>
      </c>
      <c r="I1595">
        <f>IF(H1595="UNPAID", AsOfDate-D1595, 0)</f>
        <v/>
      </c>
      <c r="J1595">
        <f>IF(F1595&lt;&gt;"", TEXT(F1595, "yyyy-mm"), "")</f>
        <v/>
      </c>
    </row>
    <row r="1596">
      <c r="A1596" t="inlineStr">
        <is>
          <t>RP0001595</t>
        </is>
      </c>
      <c r="B1596" t="inlineStr">
        <is>
          <t>LN200241</t>
        </is>
      </c>
      <c r="C1596" t="n">
        <v>2</v>
      </c>
      <c r="D1596" s="8" t="n">
        <v>46190</v>
      </c>
      <c r="E1596" s="9" t="n">
        <v>13884</v>
      </c>
      <c r="F1596" s="8" t="n">
        <v>46187</v>
      </c>
      <c r="G1596" s="9" t="n">
        <v>13884</v>
      </c>
      <c r="H1596" t="inlineStr">
        <is>
          <t>PAID_ON_TIME</t>
        </is>
      </c>
      <c r="I1596">
        <f>IF(H1596="UNPAID", AsOfDate-D1596, 0)</f>
        <v/>
      </c>
      <c r="J1596">
        <f>IF(F1596&lt;&gt;"", TEXT(F1596, "yyyy-mm"), "")</f>
        <v/>
      </c>
    </row>
    <row r="1597">
      <c r="A1597" t="inlineStr">
        <is>
          <t>RP0001596</t>
        </is>
      </c>
      <c r="B1597" t="inlineStr">
        <is>
          <t>LN200241</t>
        </is>
      </c>
      <c r="C1597" t="n">
        <v>3</v>
      </c>
      <c r="D1597" s="8" t="n">
        <v>46220</v>
      </c>
      <c r="E1597" s="9" t="n">
        <v>13884</v>
      </c>
      <c r="F1597" s="8" t="n">
        <v>46221</v>
      </c>
      <c r="G1597" s="9" t="n">
        <v>13884</v>
      </c>
      <c r="H1597" t="inlineStr">
        <is>
          <t>PAID_ON_TIME</t>
        </is>
      </c>
      <c r="I1597">
        <f>IF(H1597="UNPAID", AsOfDate-D1597, 0)</f>
        <v/>
      </c>
      <c r="J1597">
        <f>IF(F1597&lt;&gt;"", TEXT(F1597, "yyyy-mm"), "")</f>
        <v/>
      </c>
    </row>
    <row r="1598">
      <c r="A1598" t="inlineStr">
        <is>
          <t>RP0001597</t>
        </is>
      </c>
      <c r="B1598" t="inlineStr">
        <is>
          <t>LN200241</t>
        </is>
      </c>
      <c r="C1598" t="n">
        <v>4</v>
      </c>
      <c r="D1598" s="8" t="n">
        <v>46251</v>
      </c>
      <c r="E1598" s="9" t="n">
        <v>13884</v>
      </c>
      <c r="F1598" s="8" t="n">
        <v>46249</v>
      </c>
      <c r="G1598" s="9" t="n">
        <v>13884</v>
      </c>
      <c r="H1598" t="inlineStr">
        <is>
          <t>PAID_ON_TIME</t>
        </is>
      </c>
      <c r="I1598">
        <f>IF(H1598="UNPAID", AsOfDate-D1598, 0)</f>
        <v/>
      </c>
      <c r="J1598">
        <f>IF(F1598&lt;&gt;"", TEXT(F1598, "yyyy-mm"), "")</f>
        <v/>
      </c>
    </row>
    <row r="1599">
      <c r="A1599" t="inlineStr">
        <is>
          <t>RP0001598</t>
        </is>
      </c>
      <c r="B1599" t="inlineStr">
        <is>
          <t>LN200241</t>
        </is>
      </c>
      <c r="C1599" t="n">
        <v>5</v>
      </c>
      <c r="D1599" s="8" t="n">
        <v>46282</v>
      </c>
      <c r="E1599" s="9" t="n">
        <v>13884</v>
      </c>
      <c r="F1599" s="8" t="n"/>
      <c r="G1599" s="9" t="n">
        <v>0</v>
      </c>
      <c r="H1599" t="inlineStr">
        <is>
          <t>NOT_DUE</t>
        </is>
      </c>
      <c r="I1599">
        <f>IF(H1599="UNPAID", AsOfDate-D1599, 0)</f>
        <v/>
      </c>
      <c r="J1599">
        <f>IF(F1599&lt;&gt;"", TEXT(F1599, "yyyy-mm"), "")</f>
        <v/>
      </c>
    </row>
    <row r="1600">
      <c r="A1600" t="inlineStr">
        <is>
          <t>RP0001599</t>
        </is>
      </c>
      <c r="B1600" t="inlineStr">
        <is>
          <t>LN200241</t>
        </is>
      </c>
      <c r="C1600" t="n">
        <v>6</v>
      </c>
      <c r="D1600" s="8" t="n">
        <v>46312</v>
      </c>
      <c r="E1600" s="9" t="n">
        <v>13884</v>
      </c>
      <c r="F1600" s="8" t="n"/>
      <c r="G1600" s="9" t="n">
        <v>0</v>
      </c>
      <c r="H1600" t="inlineStr">
        <is>
          <t>NOT_DUE</t>
        </is>
      </c>
      <c r="I1600">
        <f>IF(H1600="UNPAID", AsOfDate-D1600, 0)</f>
        <v/>
      </c>
      <c r="J1600">
        <f>IF(F1600&lt;&gt;"", TEXT(F1600, "yyyy-mm"), "")</f>
        <v/>
      </c>
    </row>
    <row r="1601">
      <c r="A1601" t="inlineStr">
        <is>
          <t>RP0001600</t>
        </is>
      </c>
      <c r="B1601" t="inlineStr">
        <is>
          <t>LN200243</t>
        </is>
      </c>
      <c r="C1601" t="n">
        <v>1</v>
      </c>
      <c r="D1601" s="8" t="n">
        <v>45836</v>
      </c>
      <c r="E1601" s="9" t="n">
        <v>7403.33</v>
      </c>
      <c r="F1601" s="8" t="n">
        <v>45838</v>
      </c>
      <c r="G1601" s="9" t="n">
        <v>7403.33</v>
      </c>
      <c r="H1601" t="inlineStr">
        <is>
          <t>PAID_ON_TIME</t>
        </is>
      </c>
      <c r="I1601">
        <f>IF(H1601="UNPAID", AsOfDate-D1601, 0)</f>
        <v/>
      </c>
      <c r="J1601">
        <f>IF(F1601&lt;&gt;"", TEXT(F1601, "yyyy-mm"), "")</f>
        <v/>
      </c>
    </row>
    <row r="1602">
      <c r="A1602" t="inlineStr">
        <is>
          <t>RP0001601</t>
        </is>
      </c>
      <c r="B1602" t="inlineStr">
        <is>
          <t>LN200243</t>
        </is>
      </c>
      <c r="C1602" t="n">
        <v>2</v>
      </c>
      <c r="D1602" s="8" t="n">
        <v>45866</v>
      </c>
      <c r="E1602" s="9" t="n">
        <v>7403.33</v>
      </c>
      <c r="F1602" s="8" t="n">
        <v>45864</v>
      </c>
      <c r="G1602" s="9" t="n">
        <v>7403.33</v>
      </c>
      <c r="H1602" t="inlineStr">
        <is>
          <t>PAID_ON_TIME</t>
        </is>
      </c>
      <c r="I1602">
        <f>IF(H1602="UNPAID", AsOfDate-D1602, 0)</f>
        <v/>
      </c>
      <c r="J1602">
        <f>IF(F1602&lt;&gt;"", TEXT(F1602, "yyyy-mm"), "")</f>
        <v/>
      </c>
    </row>
    <row r="1603">
      <c r="A1603" t="inlineStr">
        <is>
          <t>RP0001602</t>
        </is>
      </c>
      <c r="B1603" t="inlineStr">
        <is>
          <t>LN200243</t>
        </is>
      </c>
      <c r="C1603" t="n">
        <v>3</v>
      </c>
      <c r="D1603" s="8" t="n">
        <v>45897</v>
      </c>
      <c r="E1603" s="9" t="n">
        <v>7403.33</v>
      </c>
      <c r="F1603" s="8" t="n">
        <v>45897</v>
      </c>
      <c r="G1603" s="9" t="n">
        <v>7403.33</v>
      </c>
      <c r="H1603" t="inlineStr">
        <is>
          <t>PAID_ON_TIME</t>
        </is>
      </c>
      <c r="I1603">
        <f>IF(H1603="UNPAID", AsOfDate-D1603, 0)</f>
        <v/>
      </c>
      <c r="J1603">
        <f>IF(F1603&lt;&gt;"", TEXT(F1603, "yyyy-mm"), "")</f>
        <v/>
      </c>
    </row>
    <row r="1604">
      <c r="A1604" t="inlineStr">
        <is>
          <t>RP0001603</t>
        </is>
      </c>
      <c r="B1604" t="inlineStr">
        <is>
          <t>LN200243</t>
        </is>
      </c>
      <c r="C1604" t="n">
        <v>4</v>
      </c>
      <c r="D1604" s="8" t="n">
        <v>45928</v>
      </c>
      <c r="E1604" s="9" t="n">
        <v>7403.33</v>
      </c>
      <c r="F1604" s="8" t="n">
        <v>45929</v>
      </c>
      <c r="G1604" s="9" t="n">
        <v>7403.33</v>
      </c>
      <c r="H1604" t="inlineStr">
        <is>
          <t>PAID_ON_TIME</t>
        </is>
      </c>
      <c r="I1604">
        <f>IF(H1604="UNPAID", AsOfDate-D1604, 0)</f>
        <v/>
      </c>
      <c r="J1604">
        <f>IF(F1604&lt;&gt;"", TEXT(F1604, "yyyy-mm"), "")</f>
        <v/>
      </c>
    </row>
    <row r="1605">
      <c r="A1605" t="inlineStr">
        <is>
          <t>RP0001604</t>
        </is>
      </c>
      <c r="B1605" t="inlineStr">
        <is>
          <t>LN200243</t>
        </is>
      </c>
      <c r="C1605" t="n">
        <v>5</v>
      </c>
      <c r="D1605" s="8" t="n">
        <v>45958</v>
      </c>
      <c r="E1605" s="9" t="n">
        <v>7403.33</v>
      </c>
      <c r="F1605" s="8" t="n">
        <v>45955</v>
      </c>
      <c r="G1605" s="9" t="n">
        <v>7403.33</v>
      </c>
      <c r="H1605" t="inlineStr">
        <is>
          <t>PAID_ON_TIME</t>
        </is>
      </c>
      <c r="I1605">
        <f>IF(H1605="UNPAID", AsOfDate-D1605, 0)</f>
        <v/>
      </c>
      <c r="J1605">
        <f>IF(F1605&lt;&gt;"", TEXT(F1605, "yyyy-mm"), "")</f>
        <v/>
      </c>
    </row>
    <row r="1606">
      <c r="A1606" t="inlineStr">
        <is>
          <t>RP0001605</t>
        </is>
      </c>
      <c r="B1606" t="inlineStr">
        <is>
          <t>LN200243</t>
        </is>
      </c>
      <c r="C1606" t="n">
        <v>6</v>
      </c>
      <c r="D1606" s="8" t="n">
        <v>45989</v>
      </c>
      <c r="E1606" s="9" t="n">
        <v>7403.33</v>
      </c>
      <c r="F1606" s="8" t="n">
        <v>45993</v>
      </c>
      <c r="G1606" s="9" t="n">
        <v>7403.33</v>
      </c>
      <c r="H1606" t="inlineStr">
        <is>
          <t>PAID_ON_TIME</t>
        </is>
      </c>
      <c r="I1606">
        <f>IF(H1606="UNPAID", AsOfDate-D1606, 0)</f>
        <v/>
      </c>
      <c r="J1606">
        <f>IF(F1606&lt;&gt;"", TEXT(F1606, "yyyy-mm"), "")</f>
        <v/>
      </c>
    </row>
    <row r="1607">
      <c r="A1607" t="inlineStr">
        <is>
          <t>RP0001606</t>
        </is>
      </c>
      <c r="B1607" t="inlineStr">
        <is>
          <t>LN200244</t>
        </is>
      </c>
      <c r="C1607" t="n">
        <v>1</v>
      </c>
      <c r="D1607" s="8" t="n">
        <v>46155</v>
      </c>
      <c r="E1607" s="9" t="n">
        <v>4516</v>
      </c>
      <c r="F1607" s="8" t="n">
        <v>46158</v>
      </c>
      <c r="G1607" s="9" t="n">
        <v>4516</v>
      </c>
      <c r="H1607" t="inlineStr">
        <is>
          <t>PAID_ON_TIME</t>
        </is>
      </c>
      <c r="I1607">
        <f>IF(H1607="UNPAID", AsOfDate-D1607, 0)</f>
        <v/>
      </c>
      <c r="J1607">
        <f>IF(F1607&lt;&gt;"", TEXT(F1607, "yyyy-mm"), "")</f>
        <v/>
      </c>
    </row>
    <row r="1608">
      <c r="A1608" t="inlineStr">
        <is>
          <t>RP0001607</t>
        </is>
      </c>
      <c r="B1608" t="inlineStr">
        <is>
          <t>LN200244</t>
        </is>
      </c>
      <c r="C1608" t="n">
        <v>2</v>
      </c>
      <c r="D1608" s="8" t="n">
        <v>46186</v>
      </c>
      <c r="E1608" s="9" t="n">
        <v>4516</v>
      </c>
      <c r="F1608" s="8" t="n">
        <v>46188</v>
      </c>
      <c r="G1608" s="9" t="n">
        <v>4516</v>
      </c>
      <c r="H1608" t="inlineStr">
        <is>
          <t>PAID_ON_TIME</t>
        </is>
      </c>
      <c r="I1608">
        <f>IF(H1608="UNPAID", AsOfDate-D1608, 0)</f>
        <v/>
      </c>
      <c r="J1608">
        <f>IF(F1608&lt;&gt;"", TEXT(F1608, "yyyy-mm"), "")</f>
        <v/>
      </c>
    </row>
    <row r="1609">
      <c r="A1609" t="inlineStr">
        <is>
          <t>RP0001608</t>
        </is>
      </c>
      <c r="B1609" t="inlineStr">
        <is>
          <t>LN200244</t>
        </is>
      </c>
      <c r="C1609" t="n">
        <v>3</v>
      </c>
      <c r="D1609" s="8" t="n">
        <v>46216</v>
      </c>
      <c r="E1609" s="9" t="n">
        <v>4516</v>
      </c>
      <c r="F1609" s="8" t="n">
        <v>46218</v>
      </c>
      <c r="G1609" s="9" t="n">
        <v>4516</v>
      </c>
      <c r="H1609" t="inlineStr">
        <is>
          <t>PAID_ON_TIME</t>
        </is>
      </c>
      <c r="I1609">
        <f>IF(H1609="UNPAID", AsOfDate-D1609, 0)</f>
        <v/>
      </c>
      <c r="J1609">
        <f>IF(F1609&lt;&gt;"", TEXT(F1609, "yyyy-mm"), "")</f>
        <v/>
      </c>
    </row>
    <row r="1610">
      <c r="A1610" t="inlineStr">
        <is>
          <t>RP0001609</t>
        </is>
      </c>
      <c r="B1610" t="inlineStr">
        <is>
          <t>LN200244</t>
        </is>
      </c>
      <c r="C1610" t="n">
        <v>4</v>
      </c>
      <c r="D1610" s="8" t="n">
        <v>46247</v>
      </c>
      <c r="E1610" s="9" t="n">
        <v>4516</v>
      </c>
      <c r="F1610" s="8" t="n">
        <v>46244</v>
      </c>
      <c r="G1610" s="9" t="n">
        <v>4516</v>
      </c>
      <c r="H1610" t="inlineStr">
        <is>
          <t>PAID_ON_TIME</t>
        </is>
      </c>
      <c r="I1610">
        <f>IF(H1610="UNPAID", AsOfDate-D1610, 0)</f>
        <v/>
      </c>
      <c r="J1610">
        <f>IF(F1610&lt;&gt;"", TEXT(F1610, "yyyy-mm"), "")</f>
        <v/>
      </c>
    </row>
    <row r="1611">
      <c r="A1611" t="inlineStr">
        <is>
          <t>RP0001610</t>
        </is>
      </c>
      <c r="B1611" t="inlineStr">
        <is>
          <t>LN200244</t>
        </is>
      </c>
      <c r="C1611" t="n">
        <v>5</v>
      </c>
      <c r="D1611" s="8" t="n">
        <v>46278</v>
      </c>
      <c r="E1611" s="9" t="n">
        <v>4516</v>
      </c>
      <c r="F1611" s="8" t="n"/>
      <c r="G1611" s="9" t="n">
        <v>0</v>
      </c>
      <c r="H1611" t="inlineStr">
        <is>
          <t>NOT_DUE</t>
        </is>
      </c>
      <c r="I1611">
        <f>IF(H1611="UNPAID", AsOfDate-D1611, 0)</f>
        <v/>
      </c>
      <c r="J1611">
        <f>IF(F1611&lt;&gt;"", TEXT(F1611, "yyyy-mm"), "")</f>
        <v/>
      </c>
    </row>
    <row r="1612">
      <c r="A1612" t="inlineStr">
        <is>
          <t>RP0001611</t>
        </is>
      </c>
      <c r="B1612" t="inlineStr">
        <is>
          <t>LN200244</t>
        </is>
      </c>
      <c r="C1612" t="n">
        <v>6</v>
      </c>
      <c r="D1612" s="8" t="n">
        <v>46308</v>
      </c>
      <c r="E1612" s="9" t="n">
        <v>4516</v>
      </c>
      <c r="F1612" s="8" t="n"/>
      <c r="G1612" s="9" t="n">
        <v>0</v>
      </c>
      <c r="H1612" t="inlineStr">
        <is>
          <t>NOT_DUE</t>
        </is>
      </c>
      <c r="I1612">
        <f>IF(H1612="UNPAID", AsOfDate-D1612, 0)</f>
        <v/>
      </c>
      <c r="J1612">
        <f>IF(F1612&lt;&gt;"", TEXT(F1612, "yyyy-mm"), "")</f>
        <v/>
      </c>
    </row>
    <row r="1613">
      <c r="A1613" t="inlineStr">
        <is>
          <t>RP0001612</t>
        </is>
      </c>
      <c r="B1613" t="inlineStr">
        <is>
          <t>LN200244</t>
        </is>
      </c>
      <c r="C1613" t="n">
        <v>7</v>
      </c>
      <c r="D1613" s="8" t="n">
        <v>46339</v>
      </c>
      <c r="E1613" s="9" t="n">
        <v>4516</v>
      </c>
      <c r="F1613" s="8" t="n"/>
      <c r="G1613" s="9" t="n">
        <v>0</v>
      </c>
      <c r="H1613" t="inlineStr">
        <is>
          <t>NOT_DUE</t>
        </is>
      </c>
      <c r="I1613">
        <f>IF(H1613="UNPAID", AsOfDate-D1613, 0)</f>
        <v/>
      </c>
      <c r="J1613">
        <f>IF(F1613&lt;&gt;"", TEXT(F1613, "yyyy-mm"), "")</f>
        <v/>
      </c>
    </row>
    <row r="1614">
      <c r="A1614" t="inlineStr">
        <is>
          <t>RP0001613</t>
        </is>
      </c>
      <c r="B1614" t="inlineStr">
        <is>
          <t>LN200244</t>
        </is>
      </c>
      <c r="C1614" t="n">
        <v>8</v>
      </c>
      <c r="D1614" s="8" t="n">
        <v>46369</v>
      </c>
      <c r="E1614" s="9" t="n">
        <v>4516</v>
      </c>
      <c r="F1614" s="8" t="n"/>
      <c r="G1614" s="9" t="n">
        <v>0</v>
      </c>
      <c r="H1614" t="inlineStr">
        <is>
          <t>NOT_DUE</t>
        </is>
      </c>
      <c r="I1614">
        <f>IF(H1614="UNPAID", AsOfDate-D1614, 0)</f>
        <v/>
      </c>
      <c r="J1614">
        <f>IF(F1614&lt;&gt;"", TEXT(F1614, "yyyy-mm"), "")</f>
        <v/>
      </c>
    </row>
    <row r="1615">
      <c r="A1615" t="inlineStr">
        <is>
          <t>RP0001614</t>
        </is>
      </c>
      <c r="B1615" t="inlineStr">
        <is>
          <t>LN200244</t>
        </is>
      </c>
      <c r="C1615" t="n">
        <v>9</v>
      </c>
      <c r="D1615" s="8" t="n">
        <v>46400</v>
      </c>
      <c r="E1615" s="9" t="n">
        <v>4516</v>
      </c>
      <c r="F1615" s="8" t="n"/>
      <c r="G1615" s="9" t="n">
        <v>0</v>
      </c>
      <c r="H1615" t="inlineStr">
        <is>
          <t>NOT_DUE</t>
        </is>
      </c>
      <c r="I1615">
        <f>IF(H1615="UNPAID", AsOfDate-D1615, 0)</f>
        <v/>
      </c>
      <c r="J1615">
        <f>IF(F1615&lt;&gt;"", TEXT(F1615, "yyyy-mm"), "")</f>
        <v/>
      </c>
    </row>
    <row r="1616">
      <c r="A1616" t="inlineStr">
        <is>
          <t>RP0001615</t>
        </is>
      </c>
      <c r="B1616" t="inlineStr">
        <is>
          <t>LN200245</t>
        </is>
      </c>
      <c r="C1616" t="n">
        <v>1</v>
      </c>
      <c r="D1616" s="8" t="n">
        <v>45744</v>
      </c>
      <c r="E1616" s="9" t="n">
        <v>11275.75</v>
      </c>
      <c r="F1616" s="8" t="n">
        <v>45742</v>
      </c>
      <c r="G1616" s="9" t="n">
        <v>11275.75</v>
      </c>
      <c r="H1616" t="inlineStr">
        <is>
          <t>PAID_ON_TIME</t>
        </is>
      </c>
      <c r="I1616">
        <f>IF(H1616="UNPAID", AsOfDate-D1616, 0)</f>
        <v/>
      </c>
      <c r="J1616">
        <f>IF(F1616&lt;&gt;"", TEXT(F1616, "yyyy-mm"), "")</f>
        <v/>
      </c>
    </row>
    <row r="1617">
      <c r="A1617" t="inlineStr">
        <is>
          <t>RP0001616</t>
        </is>
      </c>
      <c r="B1617" t="inlineStr">
        <is>
          <t>LN200245</t>
        </is>
      </c>
      <c r="C1617" t="n">
        <v>2</v>
      </c>
      <c r="D1617" s="8" t="n">
        <v>45775</v>
      </c>
      <c r="E1617" s="9" t="n">
        <v>11275.75</v>
      </c>
      <c r="F1617" s="8" t="n">
        <v>45776</v>
      </c>
      <c r="G1617" s="9" t="n">
        <v>11275.75</v>
      </c>
      <c r="H1617" t="inlineStr">
        <is>
          <t>PAID_ON_TIME</t>
        </is>
      </c>
      <c r="I1617">
        <f>IF(H1617="UNPAID", AsOfDate-D1617, 0)</f>
        <v/>
      </c>
      <c r="J1617">
        <f>IF(F1617&lt;&gt;"", TEXT(F1617, "yyyy-mm"), "")</f>
        <v/>
      </c>
    </row>
    <row r="1618">
      <c r="A1618" t="inlineStr">
        <is>
          <t>RP0001617</t>
        </is>
      </c>
      <c r="B1618" t="inlineStr">
        <is>
          <t>LN200245</t>
        </is>
      </c>
      <c r="C1618" t="n">
        <v>3</v>
      </c>
      <c r="D1618" s="8" t="n">
        <v>45805</v>
      </c>
      <c r="E1618" s="9" t="n">
        <v>11275.75</v>
      </c>
      <c r="F1618" s="8" t="n">
        <v>45809</v>
      </c>
      <c r="G1618" s="9" t="n">
        <v>11275.75</v>
      </c>
      <c r="H1618" t="inlineStr">
        <is>
          <t>PAID_ON_TIME</t>
        </is>
      </c>
      <c r="I1618">
        <f>IF(H1618="UNPAID", AsOfDate-D1618, 0)</f>
        <v/>
      </c>
      <c r="J1618">
        <f>IF(F1618&lt;&gt;"", TEXT(F1618, "yyyy-mm"), "")</f>
        <v/>
      </c>
    </row>
    <row r="1619">
      <c r="A1619" t="inlineStr">
        <is>
          <t>RP0001618</t>
        </is>
      </c>
      <c r="B1619" t="inlineStr">
        <is>
          <t>LN200245</t>
        </is>
      </c>
      <c r="C1619" t="n">
        <v>4</v>
      </c>
      <c r="D1619" s="8" t="n">
        <v>45836</v>
      </c>
      <c r="E1619" s="9" t="n">
        <v>11275.75</v>
      </c>
      <c r="F1619" s="8" t="n">
        <v>45837</v>
      </c>
      <c r="G1619" s="9" t="n">
        <v>11275.75</v>
      </c>
      <c r="H1619" t="inlineStr">
        <is>
          <t>PAID_ON_TIME</t>
        </is>
      </c>
      <c r="I1619">
        <f>IF(H1619="UNPAID", AsOfDate-D1619, 0)</f>
        <v/>
      </c>
      <c r="J1619">
        <f>IF(F1619&lt;&gt;"", TEXT(F1619, "yyyy-mm"), "")</f>
        <v/>
      </c>
    </row>
    <row r="1620">
      <c r="A1620" t="inlineStr">
        <is>
          <t>RP0001619</t>
        </is>
      </c>
      <c r="B1620" t="inlineStr">
        <is>
          <t>LN200245</t>
        </is>
      </c>
      <c r="C1620" t="n">
        <v>5</v>
      </c>
      <c r="D1620" s="8" t="n">
        <v>45866</v>
      </c>
      <c r="E1620" s="9" t="n">
        <v>11275.75</v>
      </c>
      <c r="F1620" s="8" t="n">
        <v>45867</v>
      </c>
      <c r="G1620" s="9" t="n">
        <v>11275.75</v>
      </c>
      <c r="H1620" t="inlineStr">
        <is>
          <t>PAID_ON_TIME</t>
        </is>
      </c>
      <c r="I1620">
        <f>IF(H1620="UNPAID", AsOfDate-D1620, 0)</f>
        <v/>
      </c>
      <c r="J1620">
        <f>IF(F1620&lt;&gt;"", TEXT(F1620, "yyyy-mm"), "")</f>
        <v/>
      </c>
    </row>
    <row r="1621">
      <c r="A1621" t="inlineStr">
        <is>
          <t>RP0001620</t>
        </is>
      </c>
      <c r="B1621" t="inlineStr">
        <is>
          <t>LN200245</t>
        </is>
      </c>
      <c r="C1621" t="n">
        <v>6</v>
      </c>
      <c r="D1621" s="8" t="n">
        <v>45897</v>
      </c>
      <c r="E1621" s="9" t="n">
        <v>11275.75</v>
      </c>
      <c r="F1621" s="8" t="n">
        <v>45909</v>
      </c>
      <c r="G1621" s="9" t="n">
        <v>11275.75</v>
      </c>
      <c r="H1621" t="inlineStr">
        <is>
          <t>PAID_LATE</t>
        </is>
      </c>
      <c r="I1621">
        <f>IF(H1621="UNPAID", AsOfDate-D1621, 0)</f>
        <v/>
      </c>
      <c r="J1621">
        <f>IF(F1621&lt;&gt;"", TEXT(F1621, "yyyy-mm"), "")</f>
        <v/>
      </c>
    </row>
    <row r="1622">
      <c r="A1622" t="inlineStr">
        <is>
          <t>RP0001621</t>
        </is>
      </c>
      <c r="B1622" t="inlineStr">
        <is>
          <t>LN200245</t>
        </is>
      </c>
      <c r="C1622" t="n">
        <v>7</v>
      </c>
      <c r="D1622" s="8" t="n">
        <v>45928</v>
      </c>
      <c r="E1622" s="9" t="n">
        <v>11275.75</v>
      </c>
      <c r="F1622" s="8" t="n">
        <v>45931</v>
      </c>
      <c r="G1622" s="9" t="n">
        <v>11275.75</v>
      </c>
      <c r="H1622" t="inlineStr">
        <is>
          <t>PAID_ON_TIME</t>
        </is>
      </c>
      <c r="I1622">
        <f>IF(H1622="UNPAID", AsOfDate-D1622, 0)</f>
        <v/>
      </c>
      <c r="J1622">
        <f>IF(F1622&lt;&gt;"", TEXT(F1622, "yyyy-mm"), "")</f>
        <v/>
      </c>
    </row>
    <row r="1623">
      <c r="A1623" t="inlineStr">
        <is>
          <t>RP0001622</t>
        </is>
      </c>
      <c r="B1623" t="inlineStr">
        <is>
          <t>LN200245</t>
        </is>
      </c>
      <c r="C1623" t="n">
        <v>8</v>
      </c>
      <c r="D1623" s="8" t="n">
        <v>45958</v>
      </c>
      <c r="E1623" s="9" t="n">
        <v>11275.75</v>
      </c>
      <c r="F1623" s="8" t="n">
        <v>45959</v>
      </c>
      <c r="G1623" s="9" t="n">
        <v>11275.75</v>
      </c>
      <c r="H1623" t="inlineStr">
        <is>
          <t>PAID_ON_TIME</t>
        </is>
      </c>
      <c r="I1623">
        <f>IF(H1623="UNPAID", AsOfDate-D1623, 0)</f>
        <v/>
      </c>
      <c r="J1623">
        <f>IF(F1623&lt;&gt;"", TEXT(F1623, "yyyy-mm"), "")</f>
        <v/>
      </c>
    </row>
    <row r="1624">
      <c r="A1624" t="inlineStr">
        <is>
          <t>RP0001623</t>
        </is>
      </c>
      <c r="B1624" t="inlineStr">
        <is>
          <t>LN200245</t>
        </is>
      </c>
      <c r="C1624" t="n">
        <v>9</v>
      </c>
      <c r="D1624" s="8" t="n">
        <v>45989</v>
      </c>
      <c r="E1624" s="9" t="n">
        <v>11275.75</v>
      </c>
      <c r="F1624" s="8" t="n">
        <v>45992</v>
      </c>
      <c r="G1624" s="9" t="n">
        <v>11275.75</v>
      </c>
      <c r="H1624" t="inlineStr">
        <is>
          <t>PAID_ON_TIME</t>
        </is>
      </c>
      <c r="I1624">
        <f>IF(H1624="UNPAID", AsOfDate-D1624, 0)</f>
        <v/>
      </c>
      <c r="J1624">
        <f>IF(F1624&lt;&gt;"", TEXT(F1624, "yyyy-mm"), "")</f>
        <v/>
      </c>
    </row>
    <row r="1625">
      <c r="A1625" t="inlineStr">
        <is>
          <t>RP0001624</t>
        </is>
      </c>
      <c r="B1625" t="inlineStr">
        <is>
          <t>LN200245</t>
        </is>
      </c>
      <c r="C1625" t="n">
        <v>10</v>
      </c>
      <c r="D1625" s="8" t="n">
        <v>46019</v>
      </c>
      <c r="E1625" s="9" t="n">
        <v>11275.75</v>
      </c>
      <c r="F1625" s="8" t="n">
        <v>46016</v>
      </c>
      <c r="G1625" s="9" t="n">
        <v>11275.75</v>
      </c>
      <c r="H1625" t="inlineStr">
        <is>
          <t>PAID_ON_TIME</t>
        </is>
      </c>
      <c r="I1625">
        <f>IF(H1625="UNPAID", AsOfDate-D1625, 0)</f>
        <v/>
      </c>
      <c r="J1625">
        <f>IF(F1625&lt;&gt;"", TEXT(F1625, "yyyy-mm"), "")</f>
        <v/>
      </c>
    </row>
    <row r="1626">
      <c r="A1626" t="inlineStr">
        <is>
          <t>RP0001625</t>
        </is>
      </c>
      <c r="B1626" t="inlineStr">
        <is>
          <t>LN200245</t>
        </is>
      </c>
      <c r="C1626" t="n">
        <v>11</v>
      </c>
      <c r="D1626" s="8" t="n">
        <v>46050</v>
      </c>
      <c r="E1626" s="9" t="n">
        <v>11275.75</v>
      </c>
      <c r="F1626" s="8" t="n">
        <v>46052</v>
      </c>
      <c r="G1626" s="9" t="n">
        <v>11275.75</v>
      </c>
      <c r="H1626" t="inlineStr">
        <is>
          <t>PAID_ON_TIME</t>
        </is>
      </c>
      <c r="I1626">
        <f>IF(H1626="UNPAID", AsOfDate-D1626, 0)</f>
        <v/>
      </c>
      <c r="J1626">
        <f>IF(F1626&lt;&gt;"", TEXT(F1626, "yyyy-mm"), "")</f>
        <v/>
      </c>
    </row>
    <row r="1627">
      <c r="A1627" t="inlineStr">
        <is>
          <t>RP0001626</t>
        </is>
      </c>
      <c r="B1627" t="inlineStr">
        <is>
          <t>LN200245</t>
        </is>
      </c>
      <c r="C1627" t="n">
        <v>12</v>
      </c>
      <c r="D1627" s="8" t="n">
        <v>46081</v>
      </c>
      <c r="E1627" s="9" t="n">
        <v>11275.75</v>
      </c>
      <c r="F1627" s="8" t="n">
        <v>46081</v>
      </c>
      <c r="G1627" s="9" t="n">
        <v>11275.75</v>
      </c>
      <c r="H1627" t="inlineStr">
        <is>
          <t>PAID_ON_TIME</t>
        </is>
      </c>
      <c r="I1627">
        <f>IF(H1627="UNPAID", AsOfDate-D1627, 0)</f>
        <v/>
      </c>
      <c r="J1627">
        <f>IF(F1627&lt;&gt;"", TEXT(F1627, "yyyy-mm"), "")</f>
        <v/>
      </c>
    </row>
    <row r="1628">
      <c r="A1628" t="inlineStr">
        <is>
          <t>RP0001627</t>
        </is>
      </c>
      <c r="B1628" t="inlineStr">
        <is>
          <t>LN200246</t>
        </is>
      </c>
      <c r="C1628" t="n">
        <v>1</v>
      </c>
      <c r="D1628" s="8" t="n">
        <v>45704</v>
      </c>
      <c r="E1628" s="9" t="n">
        <v>22233.17</v>
      </c>
      <c r="F1628" s="8" t="n">
        <v>45705</v>
      </c>
      <c r="G1628" s="9" t="n">
        <v>22233.17</v>
      </c>
      <c r="H1628" t="inlineStr">
        <is>
          <t>PAID_ON_TIME</t>
        </is>
      </c>
      <c r="I1628">
        <f>IF(H1628="UNPAID", AsOfDate-D1628, 0)</f>
        <v/>
      </c>
      <c r="J1628">
        <f>IF(F1628&lt;&gt;"", TEXT(F1628, "yyyy-mm"), "")</f>
        <v/>
      </c>
    </row>
    <row r="1629">
      <c r="A1629" t="inlineStr">
        <is>
          <t>RP0001628</t>
        </is>
      </c>
      <c r="B1629" t="inlineStr">
        <is>
          <t>LN200246</t>
        </is>
      </c>
      <c r="C1629" t="n">
        <v>2</v>
      </c>
      <c r="D1629" s="8" t="n">
        <v>45732</v>
      </c>
      <c r="E1629" s="9" t="n">
        <v>22233.17</v>
      </c>
      <c r="F1629" s="8" t="n">
        <v>45734</v>
      </c>
      <c r="G1629" s="9" t="n">
        <v>22233.17</v>
      </c>
      <c r="H1629" t="inlineStr">
        <is>
          <t>PAID_ON_TIME</t>
        </is>
      </c>
      <c r="I1629">
        <f>IF(H1629="UNPAID", AsOfDate-D1629, 0)</f>
        <v/>
      </c>
      <c r="J1629">
        <f>IF(F1629&lt;&gt;"", TEXT(F1629, "yyyy-mm"), "")</f>
        <v/>
      </c>
    </row>
    <row r="1630">
      <c r="A1630" t="inlineStr">
        <is>
          <t>RP0001629</t>
        </is>
      </c>
      <c r="B1630" t="inlineStr">
        <is>
          <t>LN200246</t>
        </is>
      </c>
      <c r="C1630" t="n">
        <v>3</v>
      </c>
      <c r="D1630" s="8" t="n">
        <v>45763</v>
      </c>
      <c r="E1630" s="9" t="n">
        <v>22233.17</v>
      </c>
      <c r="F1630" s="8" t="n">
        <v>45763</v>
      </c>
      <c r="G1630" s="9" t="n">
        <v>22233.17</v>
      </c>
      <c r="H1630" t="inlineStr">
        <is>
          <t>PAID_ON_TIME</t>
        </is>
      </c>
      <c r="I1630">
        <f>IF(H1630="UNPAID", AsOfDate-D1630, 0)</f>
        <v/>
      </c>
      <c r="J1630">
        <f>IF(F1630&lt;&gt;"", TEXT(F1630, "yyyy-mm"), "")</f>
        <v/>
      </c>
    </row>
    <row r="1631">
      <c r="A1631" t="inlineStr">
        <is>
          <t>RP0001630</t>
        </is>
      </c>
      <c r="B1631" t="inlineStr">
        <is>
          <t>LN200246</t>
        </is>
      </c>
      <c r="C1631" t="n">
        <v>4</v>
      </c>
      <c r="D1631" s="8" t="n">
        <v>45793</v>
      </c>
      <c r="E1631" s="9" t="n">
        <v>22233.17</v>
      </c>
      <c r="F1631" s="8" t="n">
        <v>45795</v>
      </c>
      <c r="G1631" s="9" t="n">
        <v>22233.17</v>
      </c>
      <c r="H1631" t="inlineStr">
        <is>
          <t>PAID_ON_TIME</t>
        </is>
      </c>
      <c r="I1631">
        <f>IF(H1631="UNPAID", AsOfDate-D1631, 0)</f>
        <v/>
      </c>
      <c r="J1631">
        <f>IF(F1631&lt;&gt;"", TEXT(F1631, "yyyy-mm"), "")</f>
        <v/>
      </c>
    </row>
    <row r="1632">
      <c r="A1632" t="inlineStr">
        <is>
          <t>RP0001631</t>
        </is>
      </c>
      <c r="B1632" t="inlineStr">
        <is>
          <t>LN200246</t>
        </is>
      </c>
      <c r="C1632" t="n">
        <v>5</v>
      </c>
      <c r="D1632" s="8" t="n">
        <v>45824</v>
      </c>
      <c r="E1632" s="9" t="n">
        <v>22233.17</v>
      </c>
      <c r="F1632" s="8" t="n">
        <v>45827</v>
      </c>
      <c r="G1632" s="9" t="n">
        <v>22233.17</v>
      </c>
      <c r="H1632" t="inlineStr">
        <is>
          <t>PAID_ON_TIME</t>
        </is>
      </c>
      <c r="I1632">
        <f>IF(H1632="UNPAID", AsOfDate-D1632, 0)</f>
        <v/>
      </c>
      <c r="J1632">
        <f>IF(F1632&lt;&gt;"", TEXT(F1632, "yyyy-mm"), "")</f>
        <v/>
      </c>
    </row>
    <row r="1633">
      <c r="A1633" t="inlineStr">
        <is>
          <t>RP0001632</t>
        </is>
      </c>
      <c r="B1633" t="inlineStr">
        <is>
          <t>LN200246</t>
        </is>
      </c>
      <c r="C1633" t="n">
        <v>6</v>
      </c>
      <c r="D1633" s="8" t="n">
        <v>45854</v>
      </c>
      <c r="E1633" s="9" t="n">
        <v>22233.17</v>
      </c>
      <c r="F1633" s="8" t="n">
        <v>45858</v>
      </c>
      <c r="G1633" s="9" t="n">
        <v>22233.17</v>
      </c>
      <c r="H1633" t="inlineStr">
        <is>
          <t>PAID_ON_TIME</t>
        </is>
      </c>
      <c r="I1633">
        <f>IF(H1633="UNPAID", AsOfDate-D1633, 0)</f>
        <v/>
      </c>
      <c r="J1633">
        <f>IF(F1633&lt;&gt;"", TEXT(F1633, "yyyy-mm"), "")</f>
        <v/>
      </c>
    </row>
    <row r="1634">
      <c r="A1634" t="inlineStr">
        <is>
          <t>RP0001633</t>
        </is>
      </c>
      <c r="B1634" t="inlineStr">
        <is>
          <t>LN200246</t>
        </is>
      </c>
      <c r="C1634" t="n">
        <v>7</v>
      </c>
      <c r="D1634" s="8" t="n">
        <v>45885</v>
      </c>
      <c r="E1634" s="9" t="n">
        <v>22233.17</v>
      </c>
      <c r="F1634" s="8" t="n">
        <v>45883</v>
      </c>
      <c r="G1634" s="9" t="n">
        <v>22233.17</v>
      </c>
      <c r="H1634" t="inlineStr">
        <is>
          <t>PAID_ON_TIME</t>
        </is>
      </c>
      <c r="I1634">
        <f>IF(H1634="UNPAID", AsOfDate-D1634, 0)</f>
        <v/>
      </c>
      <c r="J1634">
        <f>IF(F1634&lt;&gt;"", TEXT(F1634, "yyyy-mm"), "")</f>
        <v/>
      </c>
    </row>
    <row r="1635">
      <c r="A1635" t="inlineStr">
        <is>
          <t>RP0001634</t>
        </is>
      </c>
      <c r="B1635" t="inlineStr">
        <is>
          <t>LN200246</t>
        </is>
      </c>
      <c r="C1635" t="n">
        <v>8</v>
      </c>
      <c r="D1635" s="8" t="n">
        <v>45916</v>
      </c>
      <c r="E1635" s="9" t="n">
        <v>22233.17</v>
      </c>
      <c r="F1635" s="8" t="n">
        <v>45920</v>
      </c>
      <c r="G1635" s="9" t="n">
        <v>22233.17</v>
      </c>
      <c r="H1635" t="inlineStr">
        <is>
          <t>PAID_ON_TIME</t>
        </is>
      </c>
      <c r="I1635">
        <f>IF(H1635="UNPAID", AsOfDate-D1635, 0)</f>
        <v/>
      </c>
      <c r="J1635">
        <f>IF(F1635&lt;&gt;"", TEXT(F1635, "yyyy-mm"), "")</f>
        <v/>
      </c>
    </row>
    <row r="1636">
      <c r="A1636" t="inlineStr">
        <is>
          <t>RP0001635</t>
        </is>
      </c>
      <c r="B1636" t="inlineStr">
        <is>
          <t>LN200246</t>
        </is>
      </c>
      <c r="C1636" t="n">
        <v>9</v>
      </c>
      <c r="D1636" s="8" t="n">
        <v>45946</v>
      </c>
      <c r="E1636" s="9" t="n">
        <v>22233.17</v>
      </c>
      <c r="F1636" s="8" t="n">
        <v>45948</v>
      </c>
      <c r="G1636" s="9" t="n">
        <v>22233.17</v>
      </c>
      <c r="H1636" t="inlineStr">
        <is>
          <t>PAID_ON_TIME</t>
        </is>
      </c>
      <c r="I1636">
        <f>IF(H1636="UNPAID", AsOfDate-D1636, 0)</f>
        <v/>
      </c>
      <c r="J1636">
        <f>IF(F1636&lt;&gt;"", TEXT(F1636, "yyyy-mm"), "")</f>
        <v/>
      </c>
    </row>
    <row r="1637">
      <c r="A1637" t="inlineStr">
        <is>
          <t>RP0001636</t>
        </is>
      </c>
      <c r="B1637" t="inlineStr">
        <is>
          <t>LN200247</t>
        </is>
      </c>
      <c r="C1637" t="n">
        <v>1</v>
      </c>
      <c r="D1637" s="8" t="n">
        <v>46198</v>
      </c>
      <c r="E1637" s="9" t="n">
        <v>4981.67</v>
      </c>
      <c r="F1637" s="8" t="n">
        <v>46198</v>
      </c>
      <c r="G1637" s="9" t="n">
        <v>4981.67</v>
      </c>
      <c r="H1637" t="inlineStr">
        <is>
          <t>PAID_ON_TIME</t>
        </is>
      </c>
      <c r="I1637">
        <f>IF(H1637="UNPAID", AsOfDate-D1637, 0)</f>
        <v/>
      </c>
      <c r="J1637">
        <f>IF(F1637&lt;&gt;"", TEXT(F1637, "yyyy-mm"), "")</f>
        <v/>
      </c>
    </row>
    <row r="1638">
      <c r="A1638" t="inlineStr">
        <is>
          <t>RP0001637</t>
        </is>
      </c>
      <c r="B1638" t="inlineStr">
        <is>
          <t>LN200247</t>
        </is>
      </c>
      <c r="C1638" t="n">
        <v>2</v>
      </c>
      <c r="D1638" s="8" t="n">
        <v>46228</v>
      </c>
      <c r="E1638" s="9" t="n">
        <v>4981.67</v>
      </c>
      <c r="F1638" s="8" t="n"/>
      <c r="G1638" s="9" t="n">
        <v>0</v>
      </c>
      <c r="H1638" t="inlineStr">
        <is>
          <t>UNPAID</t>
        </is>
      </c>
      <c r="I1638">
        <f>IF(H1638="UNPAID", AsOfDate-D1638, 0)</f>
        <v/>
      </c>
      <c r="J1638">
        <f>IF(F1638&lt;&gt;"", TEXT(F1638, "yyyy-mm"), "")</f>
        <v/>
      </c>
    </row>
    <row r="1639">
      <c r="A1639" t="inlineStr">
        <is>
          <t>RP0001638</t>
        </is>
      </c>
      <c r="B1639" t="inlineStr">
        <is>
          <t>LN200247</t>
        </is>
      </c>
      <c r="C1639" t="n">
        <v>3</v>
      </c>
      <c r="D1639" s="8" t="n">
        <v>46259</v>
      </c>
      <c r="E1639" s="9" t="n">
        <v>4981.67</v>
      </c>
      <c r="F1639" s="8" t="n">
        <v>46263</v>
      </c>
      <c r="G1639" s="9" t="n">
        <v>4981.67</v>
      </c>
      <c r="H1639" t="inlineStr">
        <is>
          <t>PAID_ON_TIME</t>
        </is>
      </c>
      <c r="I1639">
        <f>IF(H1639="UNPAID", AsOfDate-D1639, 0)</f>
        <v/>
      </c>
      <c r="J1639">
        <f>IF(F1639&lt;&gt;"", TEXT(F1639, "yyyy-mm"), "")</f>
        <v/>
      </c>
    </row>
    <row r="1640">
      <c r="A1640" t="inlineStr">
        <is>
          <t>RP0001639</t>
        </is>
      </c>
      <c r="B1640" t="inlineStr">
        <is>
          <t>LN200247</t>
        </is>
      </c>
      <c r="C1640" t="n">
        <v>4</v>
      </c>
      <c r="D1640" s="8" t="n">
        <v>46290</v>
      </c>
      <c r="E1640" s="9" t="n">
        <v>4981.67</v>
      </c>
      <c r="F1640" s="8" t="n"/>
      <c r="G1640" s="9" t="n">
        <v>0</v>
      </c>
      <c r="H1640" t="inlineStr">
        <is>
          <t>NOT_DUE</t>
        </is>
      </c>
      <c r="I1640">
        <f>IF(H1640="UNPAID", AsOfDate-D1640, 0)</f>
        <v/>
      </c>
      <c r="J1640">
        <f>IF(F1640&lt;&gt;"", TEXT(F1640, "yyyy-mm"), "")</f>
        <v/>
      </c>
    </row>
    <row r="1641">
      <c r="A1641" t="inlineStr">
        <is>
          <t>RP0001640</t>
        </is>
      </c>
      <c r="B1641" t="inlineStr">
        <is>
          <t>LN200247</t>
        </is>
      </c>
      <c r="C1641" t="n">
        <v>5</v>
      </c>
      <c r="D1641" s="8" t="n">
        <v>46320</v>
      </c>
      <c r="E1641" s="9" t="n">
        <v>4981.67</v>
      </c>
      <c r="F1641" s="8" t="n"/>
      <c r="G1641" s="9" t="n">
        <v>0</v>
      </c>
      <c r="H1641" t="inlineStr">
        <is>
          <t>NOT_DUE</t>
        </is>
      </c>
      <c r="I1641">
        <f>IF(H1641="UNPAID", AsOfDate-D1641, 0)</f>
        <v/>
      </c>
      <c r="J1641">
        <f>IF(F1641&lt;&gt;"", TEXT(F1641, "yyyy-mm"), "")</f>
        <v/>
      </c>
    </row>
    <row r="1642">
      <c r="A1642" t="inlineStr">
        <is>
          <t>RP0001641</t>
        </is>
      </c>
      <c r="B1642" t="inlineStr">
        <is>
          <t>LN200247</t>
        </is>
      </c>
      <c r="C1642" t="n">
        <v>6</v>
      </c>
      <c r="D1642" s="8" t="n">
        <v>46351</v>
      </c>
      <c r="E1642" s="9" t="n">
        <v>4981.67</v>
      </c>
      <c r="F1642" s="8" t="n"/>
      <c r="G1642" s="9" t="n">
        <v>0</v>
      </c>
      <c r="H1642" t="inlineStr">
        <is>
          <t>NOT_DUE</t>
        </is>
      </c>
      <c r="I1642">
        <f>IF(H1642="UNPAID", AsOfDate-D1642, 0)</f>
        <v/>
      </c>
      <c r="J1642">
        <f>IF(F1642&lt;&gt;"", TEXT(F1642, "yyyy-mm"), "")</f>
        <v/>
      </c>
    </row>
    <row r="1643">
      <c r="A1643" t="inlineStr">
        <is>
          <t>RP0001642</t>
        </is>
      </c>
      <c r="B1643" t="inlineStr">
        <is>
          <t>LN200249</t>
        </is>
      </c>
      <c r="C1643" t="n">
        <v>1</v>
      </c>
      <c r="D1643" s="8" t="n">
        <v>46009</v>
      </c>
      <c r="E1643" s="9" t="n">
        <v>1472.92</v>
      </c>
      <c r="F1643" s="8" t="n">
        <v>46012</v>
      </c>
      <c r="G1643" s="9" t="n">
        <v>1472.92</v>
      </c>
      <c r="H1643" t="inlineStr">
        <is>
          <t>PAID_ON_TIME</t>
        </is>
      </c>
      <c r="I1643">
        <f>IF(H1643="UNPAID", AsOfDate-D1643, 0)</f>
        <v/>
      </c>
      <c r="J1643">
        <f>IF(F1643&lt;&gt;"", TEXT(F1643, "yyyy-mm"), "")</f>
        <v/>
      </c>
    </row>
    <row r="1644">
      <c r="A1644" t="inlineStr">
        <is>
          <t>RP0001643</t>
        </is>
      </c>
      <c r="B1644" t="inlineStr">
        <is>
          <t>LN200249</t>
        </is>
      </c>
      <c r="C1644" t="n">
        <v>2</v>
      </c>
      <c r="D1644" s="8" t="n">
        <v>46040</v>
      </c>
      <c r="E1644" s="9" t="n">
        <v>1472.92</v>
      </c>
      <c r="F1644" s="8" t="n">
        <v>46039</v>
      </c>
      <c r="G1644" s="9" t="n">
        <v>1472.92</v>
      </c>
      <c r="H1644" t="inlineStr">
        <is>
          <t>PAID_ON_TIME</t>
        </is>
      </c>
      <c r="I1644">
        <f>IF(H1644="UNPAID", AsOfDate-D1644, 0)</f>
        <v/>
      </c>
      <c r="J1644">
        <f>IF(F1644&lt;&gt;"", TEXT(F1644, "yyyy-mm"), "")</f>
        <v/>
      </c>
    </row>
    <row r="1645">
      <c r="A1645" t="inlineStr">
        <is>
          <t>RP0001644</t>
        </is>
      </c>
      <c r="B1645" t="inlineStr">
        <is>
          <t>LN200249</t>
        </is>
      </c>
      <c r="C1645" t="n">
        <v>3</v>
      </c>
      <c r="D1645" s="8" t="n">
        <v>46071</v>
      </c>
      <c r="E1645" s="9" t="n">
        <v>1472.92</v>
      </c>
      <c r="F1645" s="8" t="n">
        <v>46073</v>
      </c>
      <c r="G1645" s="9" t="n">
        <v>1472.92</v>
      </c>
      <c r="H1645" t="inlineStr">
        <is>
          <t>PAID_ON_TIME</t>
        </is>
      </c>
      <c r="I1645">
        <f>IF(H1645="UNPAID", AsOfDate-D1645, 0)</f>
        <v/>
      </c>
      <c r="J1645">
        <f>IF(F1645&lt;&gt;"", TEXT(F1645, "yyyy-mm"), "")</f>
        <v/>
      </c>
    </row>
    <row r="1646">
      <c r="A1646" t="inlineStr">
        <is>
          <t>RP0001645</t>
        </is>
      </c>
      <c r="B1646" t="inlineStr">
        <is>
          <t>LN200249</t>
        </is>
      </c>
      <c r="C1646" t="n">
        <v>4</v>
      </c>
      <c r="D1646" s="8" t="n">
        <v>46099</v>
      </c>
      <c r="E1646" s="9" t="n">
        <v>1472.92</v>
      </c>
      <c r="F1646" s="8" t="n">
        <v>46097</v>
      </c>
      <c r="G1646" s="9" t="n">
        <v>1472.92</v>
      </c>
      <c r="H1646" t="inlineStr">
        <is>
          <t>PAID_ON_TIME</t>
        </is>
      </c>
      <c r="I1646">
        <f>IF(H1646="UNPAID", AsOfDate-D1646, 0)</f>
        <v/>
      </c>
      <c r="J1646">
        <f>IF(F1646&lt;&gt;"", TEXT(F1646, "yyyy-mm"), "")</f>
        <v/>
      </c>
    </row>
    <row r="1647">
      <c r="A1647" t="inlineStr">
        <is>
          <t>RP0001646</t>
        </is>
      </c>
      <c r="B1647" t="inlineStr">
        <is>
          <t>LN200249</t>
        </is>
      </c>
      <c r="C1647" t="n">
        <v>5</v>
      </c>
      <c r="D1647" s="8" t="n">
        <v>46130</v>
      </c>
      <c r="E1647" s="9" t="n">
        <v>1472.92</v>
      </c>
      <c r="F1647" s="8" t="n">
        <v>46134</v>
      </c>
      <c r="G1647" s="9" t="n">
        <v>1472.92</v>
      </c>
      <c r="H1647" t="inlineStr">
        <is>
          <t>PAID_ON_TIME</t>
        </is>
      </c>
      <c r="I1647">
        <f>IF(H1647="UNPAID", AsOfDate-D1647, 0)</f>
        <v/>
      </c>
      <c r="J1647">
        <f>IF(F1647&lt;&gt;"", TEXT(F1647, "yyyy-mm"), "")</f>
        <v/>
      </c>
    </row>
    <row r="1648">
      <c r="A1648" t="inlineStr">
        <is>
          <t>RP0001647</t>
        </is>
      </c>
      <c r="B1648" t="inlineStr">
        <is>
          <t>LN200249</t>
        </is>
      </c>
      <c r="C1648" t="n">
        <v>6</v>
      </c>
      <c r="D1648" s="8" t="n">
        <v>46160</v>
      </c>
      <c r="E1648" s="9" t="n">
        <v>1472.92</v>
      </c>
      <c r="F1648" s="8" t="n">
        <v>46158</v>
      </c>
      <c r="G1648" s="9" t="n">
        <v>1472.92</v>
      </c>
      <c r="H1648" t="inlineStr">
        <is>
          <t>PAID_ON_TIME</t>
        </is>
      </c>
      <c r="I1648">
        <f>IF(H1648="UNPAID", AsOfDate-D1648, 0)</f>
        <v/>
      </c>
      <c r="J1648">
        <f>IF(F1648&lt;&gt;"", TEXT(F1648, "yyyy-mm"), "")</f>
        <v/>
      </c>
    </row>
    <row r="1649">
      <c r="A1649" t="inlineStr">
        <is>
          <t>RP0001648</t>
        </is>
      </c>
      <c r="B1649" t="inlineStr">
        <is>
          <t>LN200249</t>
        </is>
      </c>
      <c r="C1649" t="n">
        <v>7</v>
      </c>
      <c r="D1649" s="8" t="n">
        <v>46191</v>
      </c>
      <c r="E1649" s="9" t="n">
        <v>1472.92</v>
      </c>
      <c r="F1649" s="8" t="n">
        <v>46195</v>
      </c>
      <c r="G1649" s="9" t="n">
        <v>1472.92</v>
      </c>
      <c r="H1649" t="inlineStr">
        <is>
          <t>PAID_ON_TIME</t>
        </is>
      </c>
      <c r="I1649">
        <f>IF(H1649="UNPAID", AsOfDate-D1649, 0)</f>
        <v/>
      </c>
      <c r="J1649">
        <f>IF(F1649&lt;&gt;"", TEXT(F1649, "yyyy-mm"), "")</f>
        <v/>
      </c>
    </row>
    <row r="1650">
      <c r="A1650" t="inlineStr">
        <is>
          <t>RP0001649</t>
        </is>
      </c>
      <c r="B1650" t="inlineStr">
        <is>
          <t>LN200249</t>
        </is>
      </c>
      <c r="C1650" t="n">
        <v>8</v>
      </c>
      <c r="D1650" s="8" t="n">
        <v>46221</v>
      </c>
      <c r="E1650" s="9" t="n">
        <v>1472.92</v>
      </c>
      <c r="F1650" s="8" t="n">
        <v>46223</v>
      </c>
      <c r="G1650" s="9" t="n">
        <v>1472.92</v>
      </c>
      <c r="H1650" t="inlineStr">
        <is>
          <t>PAID_ON_TIME</t>
        </is>
      </c>
      <c r="I1650">
        <f>IF(H1650="UNPAID", AsOfDate-D1650, 0)</f>
        <v/>
      </c>
      <c r="J1650">
        <f>IF(F1650&lt;&gt;"", TEXT(F1650, "yyyy-mm"), "")</f>
        <v/>
      </c>
    </row>
    <row r="1651">
      <c r="A1651" t="inlineStr">
        <is>
          <t>RP0001650</t>
        </is>
      </c>
      <c r="B1651" t="inlineStr">
        <is>
          <t>LN200249</t>
        </is>
      </c>
      <c r="C1651" t="n">
        <v>9</v>
      </c>
      <c r="D1651" s="8" t="n">
        <v>46252</v>
      </c>
      <c r="E1651" s="9" t="n">
        <v>1472.92</v>
      </c>
      <c r="F1651" s="8" t="n">
        <v>46265</v>
      </c>
      <c r="G1651" s="9" t="n">
        <v>1472.92</v>
      </c>
      <c r="H1651" t="inlineStr">
        <is>
          <t>PAID_LATE</t>
        </is>
      </c>
      <c r="I1651">
        <f>IF(H1651="UNPAID", AsOfDate-D1651, 0)</f>
        <v/>
      </c>
      <c r="J1651">
        <f>IF(F1651&lt;&gt;"", TEXT(F1651, "yyyy-mm"), "")</f>
        <v/>
      </c>
    </row>
    <row r="1652">
      <c r="A1652" t="inlineStr">
        <is>
          <t>RP0001651</t>
        </is>
      </c>
      <c r="B1652" t="inlineStr">
        <is>
          <t>LN200249</t>
        </is>
      </c>
      <c r="C1652" t="n">
        <v>10</v>
      </c>
      <c r="D1652" s="8" t="n">
        <v>46283</v>
      </c>
      <c r="E1652" s="9" t="n">
        <v>1472.92</v>
      </c>
      <c r="F1652" s="8" t="n"/>
      <c r="G1652" s="9" t="n">
        <v>0</v>
      </c>
      <c r="H1652" t="inlineStr">
        <is>
          <t>NOT_DUE</t>
        </is>
      </c>
      <c r="I1652">
        <f>IF(H1652="UNPAID", AsOfDate-D1652, 0)</f>
        <v/>
      </c>
      <c r="J1652">
        <f>IF(F1652&lt;&gt;"", TEXT(F1652, "yyyy-mm"), "")</f>
        <v/>
      </c>
    </row>
    <row r="1653">
      <c r="A1653" t="inlineStr">
        <is>
          <t>RP0001652</t>
        </is>
      </c>
      <c r="B1653" t="inlineStr">
        <is>
          <t>LN200249</t>
        </is>
      </c>
      <c r="C1653" t="n">
        <v>11</v>
      </c>
      <c r="D1653" s="8" t="n">
        <v>46313</v>
      </c>
      <c r="E1653" s="9" t="n">
        <v>1472.92</v>
      </c>
      <c r="F1653" s="8" t="n"/>
      <c r="G1653" s="9" t="n">
        <v>0</v>
      </c>
      <c r="H1653" t="inlineStr">
        <is>
          <t>NOT_DUE</t>
        </is>
      </c>
      <c r="I1653">
        <f>IF(H1653="UNPAID", AsOfDate-D1653, 0)</f>
        <v/>
      </c>
      <c r="J1653">
        <f>IF(F1653&lt;&gt;"", TEXT(F1653, "yyyy-mm"), "")</f>
        <v/>
      </c>
    </row>
    <row r="1654">
      <c r="A1654" t="inlineStr">
        <is>
          <t>RP0001653</t>
        </is>
      </c>
      <c r="B1654" t="inlineStr">
        <is>
          <t>LN200249</t>
        </is>
      </c>
      <c r="C1654" t="n">
        <v>12</v>
      </c>
      <c r="D1654" s="8" t="n">
        <v>46344</v>
      </c>
      <c r="E1654" s="9" t="n">
        <v>1472.92</v>
      </c>
      <c r="F1654" s="8" t="n"/>
      <c r="G1654" s="9" t="n">
        <v>0</v>
      </c>
      <c r="H1654" t="inlineStr">
        <is>
          <t>NOT_DUE</t>
        </is>
      </c>
      <c r="I1654">
        <f>IF(H1654="UNPAID", AsOfDate-D1654, 0)</f>
        <v/>
      </c>
      <c r="J1654">
        <f>IF(F1654&lt;&gt;"", TEXT(F1654, "yyyy-mm"), "")</f>
        <v/>
      </c>
    </row>
    <row r="1655">
      <c r="A1655" t="inlineStr">
        <is>
          <t>RP0001654</t>
        </is>
      </c>
      <c r="B1655" t="inlineStr">
        <is>
          <t>LN200249</t>
        </is>
      </c>
      <c r="C1655" t="n">
        <v>13</v>
      </c>
      <c r="D1655" s="8" t="n">
        <v>46374</v>
      </c>
      <c r="E1655" s="9" t="n">
        <v>1472.92</v>
      </c>
      <c r="F1655" s="8" t="n"/>
      <c r="G1655" s="9" t="n">
        <v>0</v>
      </c>
      <c r="H1655" t="inlineStr">
        <is>
          <t>NOT_DUE</t>
        </is>
      </c>
      <c r="I1655">
        <f>IF(H1655="UNPAID", AsOfDate-D1655, 0)</f>
        <v/>
      </c>
      <c r="J1655">
        <f>IF(F1655&lt;&gt;"", TEXT(F1655, "yyyy-mm"), "")</f>
        <v/>
      </c>
    </row>
    <row r="1656">
      <c r="A1656" t="inlineStr">
        <is>
          <t>RP0001655</t>
        </is>
      </c>
      <c r="B1656" t="inlineStr">
        <is>
          <t>LN200249</t>
        </is>
      </c>
      <c r="C1656" t="n">
        <v>14</v>
      </c>
      <c r="D1656" s="8" t="n">
        <v>46405</v>
      </c>
      <c r="E1656" s="9" t="n">
        <v>1472.92</v>
      </c>
      <c r="F1656" s="8" t="n"/>
      <c r="G1656" s="9" t="n">
        <v>0</v>
      </c>
      <c r="H1656" t="inlineStr">
        <is>
          <t>NOT_DUE</t>
        </is>
      </c>
      <c r="I1656">
        <f>IF(H1656="UNPAID", AsOfDate-D1656, 0)</f>
        <v/>
      </c>
      <c r="J1656">
        <f>IF(F1656&lt;&gt;"", TEXT(F1656, "yyyy-mm"), "")</f>
        <v/>
      </c>
    </row>
    <row r="1657">
      <c r="A1657" t="inlineStr">
        <is>
          <t>RP0001656</t>
        </is>
      </c>
      <c r="B1657" t="inlineStr">
        <is>
          <t>LN200249</t>
        </is>
      </c>
      <c r="C1657" t="n">
        <v>15</v>
      </c>
      <c r="D1657" s="8" t="n">
        <v>46436</v>
      </c>
      <c r="E1657" s="9" t="n">
        <v>1472.92</v>
      </c>
      <c r="F1657" s="8" t="n"/>
      <c r="G1657" s="9" t="n">
        <v>0</v>
      </c>
      <c r="H1657" t="inlineStr">
        <is>
          <t>NOT_DUE</t>
        </is>
      </c>
      <c r="I1657">
        <f>IF(H1657="UNPAID", AsOfDate-D1657, 0)</f>
        <v/>
      </c>
      <c r="J1657">
        <f>IF(F1657&lt;&gt;"", TEXT(F1657, "yyyy-mm"), "")</f>
        <v/>
      </c>
    </row>
    <row r="1658">
      <c r="A1658" t="inlineStr">
        <is>
          <t>RP0001657</t>
        </is>
      </c>
      <c r="B1658" t="inlineStr">
        <is>
          <t>LN200249</t>
        </is>
      </c>
      <c r="C1658" t="n">
        <v>16</v>
      </c>
      <c r="D1658" s="8" t="n">
        <v>46464</v>
      </c>
      <c r="E1658" s="9" t="n">
        <v>1472.92</v>
      </c>
      <c r="F1658" s="8" t="n"/>
      <c r="G1658" s="9" t="n">
        <v>0</v>
      </c>
      <c r="H1658" t="inlineStr">
        <is>
          <t>NOT_DUE</t>
        </is>
      </c>
      <c r="I1658">
        <f>IF(H1658="UNPAID", AsOfDate-D1658, 0)</f>
        <v/>
      </c>
      <c r="J1658">
        <f>IF(F1658&lt;&gt;"", TEXT(F1658, "yyyy-mm"), "")</f>
        <v/>
      </c>
    </row>
    <row r="1659">
      <c r="A1659" t="inlineStr">
        <is>
          <t>RP0001658</t>
        </is>
      </c>
      <c r="B1659" t="inlineStr">
        <is>
          <t>LN200249</t>
        </is>
      </c>
      <c r="C1659" t="n">
        <v>17</v>
      </c>
      <c r="D1659" s="8" t="n">
        <v>46495</v>
      </c>
      <c r="E1659" s="9" t="n">
        <v>1472.92</v>
      </c>
      <c r="F1659" s="8" t="n"/>
      <c r="G1659" s="9" t="n">
        <v>0</v>
      </c>
      <c r="H1659" t="inlineStr">
        <is>
          <t>NOT_DUE</t>
        </is>
      </c>
      <c r="I1659">
        <f>IF(H1659="UNPAID", AsOfDate-D1659, 0)</f>
        <v/>
      </c>
      <c r="J1659">
        <f>IF(F1659&lt;&gt;"", TEXT(F1659, "yyyy-mm"), "")</f>
        <v/>
      </c>
    </row>
    <row r="1660">
      <c r="A1660" t="inlineStr">
        <is>
          <t>RP0001659</t>
        </is>
      </c>
      <c r="B1660" t="inlineStr">
        <is>
          <t>LN200249</t>
        </is>
      </c>
      <c r="C1660" t="n">
        <v>18</v>
      </c>
      <c r="D1660" s="8" t="n">
        <v>46525</v>
      </c>
      <c r="E1660" s="9" t="n">
        <v>1472.92</v>
      </c>
      <c r="F1660" s="8" t="n"/>
      <c r="G1660" s="9" t="n">
        <v>0</v>
      </c>
      <c r="H1660" t="inlineStr">
        <is>
          <t>NOT_DUE</t>
        </is>
      </c>
      <c r="I1660">
        <f>IF(H1660="UNPAID", AsOfDate-D1660, 0)</f>
        <v/>
      </c>
      <c r="J1660">
        <f>IF(F1660&lt;&gt;"", TEXT(F1660, "yyyy-mm"), "")</f>
        <v/>
      </c>
    </row>
    <row r="1661">
      <c r="A1661" t="inlineStr">
        <is>
          <t>RP0001660</t>
        </is>
      </c>
      <c r="B1661" t="inlineStr">
        <is>
          <t>LN200250</t>
        </is>
      </c>
      <c r="C1661" t="n">
        <v>1</v>
      </c>
      <c r="D1661" s="8" t="n">
        <v>45974</v>
      </c>
      <c r="E1661" s="9" t="n">
        <v>7038.33</v>
      </c>
      <c r="F1661" s="8" t="n">
        <v>45978</v>
      </c>
      <c r="G1661" s="9" t="n">
        <v>7038.33</v>
      </c>
      <c r="H1661" t="inlineStr">
        <is>
          <t>PAID_ON_TIME</t>
        </is>
      </c>
      <c r="I1661">
        <f>IF(H1661="UNPAID", AsOfDate-D1661, 0)</f>
        <v/>
      </c>
      <c r="J1661">
        <f>IF(F1661&lt;&gt;"", TEXT(F1661, "yyyy-mm"), "")</f>
        <v/>
      </c>
    </row>
    <row r="1662">
      <c r="A1662" t="inlineStr">
        <is>
          <t>RP0001661</t>
        </is>
      </c>
      <c r="B1662" t="inlineStr">
        <is>
          <t>LN200250</t>
        </is>
      </c>
      <c r="C1662" t="n">
        <v>2</v>
      </c>
      <c r="D1662" s="8" t="n">
        <v>46004</v>
      </c>
      <c r="E1662" s="9" t="n">
        <v>7038.33</v>
      </c>
      <c r="F1662" s="8" t="n">
        <v>46003</v>
      </c>
      <c r="G1662" s="9" t="n">
        <v>7038.33</v>
      </c>
      <c r="H1662" t="inlineStr">
        <is>
          <t>PAID_ON_TIME</t>
        </is>
      </c>
      <c r="I1662">
        <f>IF(H1662="UNPAID", AsOfDate-D1662, 0)</f>
        <v/>
      </c>
      <c r="J1662">
        <f>IF(F1662&lt;&gt;"", TEXT(F1662, "yyyy-mm"), "")</f>
        <v/>
      </c>
    </row>
    <row r="1663">
      <c r="A1663" t="inlineStr">
        <is>
          <t>RP0001662</t>
        </is>
      </c>
      <c r="B1663" t="inlineStr">
        <is>
          <t>LN200250</t>
        </is>
      </c>
      <c r="C1663" t="n">
        <v>3</v>
      </c>
      <c r="D1663" s="8" t="n">
        <v>46035</v>
      </c>
      <c r="E1663" s="9" t="n">
        <v>7038.33</v>
      </c>
      <c r="F1663" s="8" t="n">
        <v>46033</v>
      </c>
      <c r="G1663" s="9" t="n">
        <v>7038.33</v>
      </c>
      <c r="H1663" t="inlineStr">
        <is>
          <t>PAID_ON_TIME</t>
        </is>
      </c>
      <c r="I1663">
        <f>IF(H1663="UNPAID", AsOfDate-D1663, 0)</f>
        <v/>
      </c>
      <c r="J1663">
        <f>IF(F1663&lt;&gt;"", TEXT(F1663, "yyyy-mm"), "")</f>
        <v/>
      </c>
    </row>
    <row r="1664">
      <c r="A1664" t="inlineStr">
        <is>
          <t>RP0001663</t>
        </is>
      </c>
      <c r="B1664" t="inlineStr">
        <is>
          <t>LN200251</t>
        </is>
      </c>
      <c r="C1664" t="n">
        <v>1</v>
      </c>
      <c r="D1664" s="8" t="n">
        <v>45867</v>
      </c>
      <c r="E1664" s="9" t="n">
        <v>18340</v>
      </c>
      <c r="F1664" s="8" t="n">
        <v>45871</v>
      </c>
      <c r="G1664" s="9" t="n">
        <v>18340</v>
      </c>
      <c r="H1664" t="inlineStr">
        <is>
          <t>PAID_ON_TIME</t>
        </is>
      </c>
      <c r="I1664">
        <f>IF(H1664="UNPAID", AsOfDate-D1664, 0)</f>
        <v/>
      </c>
      <c r="J1664">
        <f>IF(F1664&lt;&gt;"", TEXT(F1664, "yyyy-mm"), "")</f>
        <v/>
      </c>
    </row>
    <row r="1665">
      <c r="A1665" t="inlineStr">
        <is>
          <t>RP0001664</t>
        </is>
      </c>
      <c r="B1665" t="inlineStr">
        <is>
          <t>LN200251</t>
        </is>
      </c>
      <c r="C1665" t="n">
        <v>2</v>
      </c>
      <c r="D1665" s="8" t="n">
        <v>45898</v>
      </c>
      <c r="E1665" s="9" t="n">
        <v>18340</v>
      </c>
      <c r="F1665" s="8" t="n">
        <v>45988</v>
      </c>
      <c r="G1665" s="9" t="n">
        <v>18340</v>
      </c>
      <c r="H1665" t="inlineStr">
        <is>
          <t>PAID_LATE</t>
        </is>
      </c>
      <c r="I1665">
        <f>IF(H1665="UNPAID", AsOfDate-D1665, 0)</f>
        <v/>
      </c>
      <c r="J1665">
        <f>IF(F1665&lt;&gt;"", TEXT(F1665, "yyyy-mm"), "")</f>
        <v/>
      </c>
    </row>
    <row r="1666">
      <c r="A1666" t="inlineStr">
        <is>
          <t>RP0001665</t>
        </is>
      </c>
      <c r="B1666" t="inlineStr">
        <is>
          <t>LN200251</t>
        </is>
      </c>
      <c r="C1666" t="n">
        <v>3</v>
      </c>
      <c r="D1666" s="8" t="n">
        <v>45929</v>
      </c>
      <c r="E1666" s="9" t="n">
        <v>18340</v>
      </c>
      <c r="F1666" s="8" t="n">
        <v>45931</v>
      </c>
      <c r="G1666" s="9" t="n">
        <v>18340</v>
      </c>
      <c r="H1666" t="inlineStr">
        <is>
          <t>PAID_ON_TIME</t>
        </is>
      </c>
      <c r="I1666">
        <f>IF(H1666="UNPAID", AsOfDate-D1666, 0)</f>
        <v/>
      </c>
      <c r="J1666">
        <f>IF(F1666&lt;&gt;"", TEXT(F1666, "yyyy-mm"), "")</f>
        <v/>
      </c>
    </row>
    <row r="1667">
      <c r="A1667" t="inlineStr">
        <is>
          <t>RP0001666</t>
        </is>
      </c>
      <c r="B1667" t="inlineStr">
        <is>
          <t>LN200251</t>
        </is>
      </c>
      <c r="C1667" t="n">
        <v>4</v>
      </c>
      <c r="D1667" s="8" t="n">
        <v>45959</v>
      </c>
      <c r="E1667" s="9" t="n">
        <v>18340</v>
      </c>
      <c r="F1667" s="8" t="n">
        <v>45958</v>
      </c>
      <c r="G1667" s="9" t="n">
        <v>18340</v>
      </c>
      <c r="H1667" t="inlineStr">
        <is>
          <t>PAID_ON_TIME</t>
        </is>
      </c>
      <c r="I1667">
        <f>IF(H1667="UNPAID", AsOfDate-D1667, 0)</f>
        <v/>
      </c>
      <c r="J1667">
        <f>IF(F1667&lt;&gt;"", TEXT(F1667, "yyyy-mm"), "")</f>
        <v/>
      </c>
    </row>
    <row r="1668">
      <c r="A1668" t="inlineStr">
        <is>
          <t>RP0001667</t>
        </is>
      </c>
      <c r="B1668" t="inlineStr">
        <is>
          <t>LN200251</t>
        </is>
      </c>
      <c r="C1668" t="n">
        <v>5</v>
      </c>
      <c r="D1668" s="8" t="n">
        <v>45990</v>
      </c>
      <c r="E1668" s="9" t="n">
        <v>18340</v>
      </c>
      <c r="F1668" s="8" t="n">
        <v>45988</v>
      </c>
      <c r="G1668" s="9" t="n">
        <v>18340</v>
      </c>
      <c r="H1668" t="inlineStr">
        <is>
          <t>PAID_ON_TIME</t>
        </is>
      </c>
      <c r="I1668">
        <f>IF(H1668="UNPAID", AsOfDate-D1668, 0)</f>
        <v/>
      </c>
      <c r="J1668">
        <f>IF(F1668&lt;&gt;"", TEXT(F1668, "yyyy-mm"), "")</f>
        <v/>
      </c>
    </row>
    <row r="1669">
      <c r="A1669" t="inlineStr">
        <is>
          <t>RP0001668</t>
        </is>
      </c>
      <c r="B1669" t="inlineStr">
        <is>
          <t>LN200251</t>
        </is>
      </c>
      <c r="C1669" t="n">
        <v>6</v>
      </c>
      <c r="D1669" s="8" t="n">
        <v>46020</v>
      </c>
      <c r="E1669" s="9" t="n">
        <v>18340</v>
      </c>
      <c r="F1669" s="8" t="n">
        <v>46119</v>
      </c>
      <c r="G1669" s="9" t="n">
        <v>18340</v>
      </c>
      <c r="H1669" t="inlineStr">
        <is>
          <t>PAID_LATE</t>
        </is>
      </c>
      <c r="I1669">
        <f>IF(H1669="UNPAID", AsOfDate-D1669, 0)</f>
        <v/>
      </c>
      <c r="J1669">
        <f>IF(F1669&lt;&gt;"", TEXT(F1669, "yyyy-mm"), "")</f>
        <v/>
      </c>
    </row>
    <row r="1670">
      <c r="A1670" t="inlineStr">
        <is>
          <t>RP0001669</t>
        </is>
      </c>
      <c r="B1670" t="inlineStr">
        <is>
          <t>LN200251</t>
        </is>
      </c>
      <c r="C1670" t="n">
        <v>7</v>
      </c>
      <c r="D1670" s="8" t="n">
        <v>46051</v>
      </c>
      <c r="E1670" s="9" t="n">
        <v>18340</v>
      </c>
      <c r="F1670" s="8" t="n">
        <v>46049</v>
      </c>
      <c r="G1670" s="9" t="n">
        <v>18340</v>
      </c>
      <c r="H1670" t="inlineStr">
        <is>
          <t>PAID_ON_TIME</t>
        </is>
      </c>
      <c r="I1670">
        <f>IF(H1670="UNPAID", AsOfDate-D1670, 0)</f>
        <v/>
      </c>
      <c r="J1670">
        <f>IF(F1670&lt;&gt;"", TEXT(F1670, "yyyy-mm"), "")</f>
        <v/>
      </c>
    </row>
    <row r="1671">
      <c r="A1671" t="inlineStr">
        <is>
          <t>RP0001670</t>
        </is>
      </c>
      <c r="B1671" t="inlineStr">
        <is>
          <t>LN200251</t>
        </is>
      </c>
      <c r="C1671" t="n">
        <v>8</v>
      </c>
      <c r="D1671" s="8" t="n">
        <v>46081</v>
      </c>
      <c r="E1671" s="9" t="n">
        <v>18340</v>
      </c>
      <c r="F1671" s="8" t="n">
        <v>46083</v>
      </c>
      <c r="G1671" s="9" t="n">
        <v>18340</v>
      </c>
      <c r="H1671" t="inlineStr">
        <is>
          <t>PAID_ON_TIME</t>
        </is>
      </c>
      <c r="I1671">
        <f>IF(H1671="UNPAID", AsOfDate-D1671, 0)</f>
        <v/>
      </c>
      <c r="J1671">
        <f>IF(F1671&lt;&gt;"", TEXT(F1671, "yyyy-mm"), "")</f>
        <v/>
      </c>
    </row>
    <row r="1672">
      <c r="A1672" t="inlineStr">
        <is>
          <t>RP0001671</t>
        </is>
      </c>
      <c r="B1672" t="inlineStr">
        <is>
          <t>LN200251</t>
        </is>
      </c>
      <c r="C1672" t="n">
        <v>9</v>
      </c>
      <c r="D1672" s="8" t="n">
        <v>46110</v>
      </c>
      <c r="E1672" s="9" t="n">
        <v>18340</v>
      </c>
      <c r="F1672" s="8" t="n">
        <v>46112</v>
      </c>
      <c r="G1672" s="9" t="n">
        <v>18340</v>
      </c>
      <c r="H1672" t="inlineStr">
        <is>
          <t>PAID_ON_TIME</t>
        </is>
      </c>
      <c r="I1672">
        <f>IF(H1672="UNPAID", AsOfDate-D1672, 0)</f>
        <v/>
      </c>
      <c r="J1672">
        <f>IF(F1672&lt;&gt;"", TEXT(F1672, "yyyy-mm"), "")</f>
        <v/>
      </c>
    </row>
    <row r="1673">
      <c r="A1673" t="inlineStr">
        <is>
          <t>RP0001672</t>
        </is>
      </c>
      <c r="B1673" t="inlineStr">
        <is>
          <t>LN200252</t>
        </is>
      </c>
      <c r="C1673" t="n">
        <v>1</v>
      </c>
      <c r="D1673" s="8" t="n">
        <v>45947</v>
      </c>
      <c r="E1673" s="9" t="n">
        <v>14237.25</v>
      </c>
      <c r="F1673" s="8" t="n">
        <v>45950</v>
      </c>
      <c r="G1673" s="9" t="n">
        <v>14237.25</v>
      </c>
      <c r="H1673" t="inlineStr">
        <is>
          <t>PAID_ON_TIME</t>
        </is>
      </c>
      <c r="I1673">
        <f>IF(H1673="UNPAID", AsOfDate-D1673, 0)</f>
        <v/>
      </c>
      <c r="J1673">
        <f>IF(F1673&lt;&gt;"", TEXT(F1673, "yyyy-mm"), "")</f>
        <v/>
      </c>
    </row>
    <row r="1674">
      <c r="A1674" t="inlineStr">
        <is>
          <t>RP0001673</t>
        </is>
      </c>
      <c r="B1674" t="inlineStr">
        <is>
          <t>LN200252</t>
        </is>
      </c>
      <c r="C1674" t="n">
        <v>2</v>
      </c>
      <c r="D1674" s="8" t="n">
        <v>45978</v>
      </c>
      <c r="E1674" s="9" t="n">
        <v>14237.25</v>
      </c>
      <c r="F1674" s="8" t="n">
        <v>45981</v>
      </c>
      <c r="G1674" s="9" t="n">
        <v>14237.25</v>
      </c>
      <c r="H1674" t="inlineStr">
        <is>
          <t>PAID_ON_TIME</t>
        </is>
      </c>
      <c r="I1674">
        <f>IF(H1674="UNPAID", AsOfDate-D1674, 0)</f>
        <v/>
      </c>
      <c r="J1674">
        <f>IF(F1674&lt;&gt;"", TEXT(F1674, "yyyy-mm"), "")</f>
        <v/>
      </c>
    </row>
    <row r="1675">
      <c r="A1675" t="inlineStr">
        <is>
          <t>RP0001674</t>
        </is>
      </c>
      <c r="B1675" t="inlineStr">
        <is>
          <t>LN200252</t>
        </is>
      </c>
      <c r="C1675" t="n">
        <v>3</v>
      </c>
      <c r="D1675" s="8" t="n">
        <v>46008</v>
      </c>
      <c r="E1675" s="9" t="n">
        <v>14237.25</v>
      </c>
      <c r="F1675" s="8" t="n">
        <v>46072</v>
      </c>
      <c r="G1675" s="9" t="n">
        <v>14237.25</v>
      </c>
      <c r="H1675" t="inlineStr">
        <is>
          <t>PAID_LATE</t>
        </is>
      </c>
      <c r="I1675">
        <f>IF(H1675="UNPAID", AsOfDate-D1675, 0)</f>
        <v/>
      </c>
      <c r="J1675">
        <f>IF(F1675&lt;&gt;"", TEXT(F1675, "yyyy-mm"), "")</f>
        <v/>
      </c>
    </row>
    <row r="1676">
      <c r="A1676" t="inlineStr">
        <is>
          <t>RP0001675</t>
        </is>
      </c>
      <c r="B1676" t="inlineStr">
        <is>
          <t>LN200253</t>
        </is>
      </c>
      <c r="C1676" t="n">
        <v>1</v>
      </c>
      <c r="D1676" s="8" t="n">
        <v>45708</v>
      </c>
      <c r="E1676" s="9" t="n">
        <v>8146.67</v>
      </c>
      <c r="F1676" s="8" t="n">
        <v>45777</v>
      </c>
      <c r="G1676" s="9" t="n">
        <v>8146.67</v>
      </c>
      <c r="H1676" t="inlineStr">
        <is>
          <t>PAID_LATE</t>
        </is>
      </c>
      <c r="I1676">
        <f>IF(H1676="UNPAID", AsOfDate-D1676, 0)</f>
        <v/>
      </c>
      <c r="J1676">
        <f>IF(F1676&lt;&gt;"", TEXT(F1676, "yyyy-mm"), "")</f>
        <v/>
      </c>
    </row>
    <row r="1677">
      <c r="A1677" t="inlineStr">
        <is>
          <t>RP0001676</t>
        </is>
      </c>
      <c r="B1677" t="inlineStr">
        <is>
          <t>LN200253</t>
        </is>
      </c>
      <c r="C1677" t="n">
        <v>2</v>
      </c>
      <c r="D1677" s="8" t="n">
        <v>45736</v>
      </c>
      <c r="E1677" s="9" t="n">
        <v>8146.67</v>
      </c>
      <c r="F1677" s="8" t="n">
        <v>45751</v>
      </c>
      <c r="G1677" s="9" t="n">
        <v>8146.67</v>
      </c>
      <c r="H1677" t="inlineStr">
        <is>
          <t>PAID_LATE</t>
        </is>
      </c>
      <c r="I1677">
        <f>IF(H1677="UNPAID", AsOfDate-D1677, 0)</f>
        <v/>
      </c>
      <c r="J1677">
        <f>IF(F1677&lt;&gt;"", TEXT(F1677, "yyyy-mm"), "")</f>
        <v/>
      </c>
    </row>
    <row r="1678">
      <c r="A1678" t="inlineStr">
        <is>
          <t>RP0001677</t>
        </is>
      </c>
      <c r="B1678" t="inlineStr">
        <is>
          <t>LN200253</t>
        </is>
      </c>
      <c r="C1678" t="n">
        <v>3</v>
      </c>
      <c r="D1678" s="8" t="n">
        <v>45767</v>
      </c>
      <c r="E1678" s="9" t="n">
        <v>8146.67</v>
      </c>
      <c r="F1678" s="8" t="n">
        <v>45766</v>
      </c>
      <c r="G1678" s="9" t="n">
        <v>8146.67</v>
      </c>
      <c r="H1678" t="inlineStr">
        <is>
          <t>PAID_ON_TIME</t>
        </is>
      </c>
      <c r="I1678">
        <f>IF(H1678="UNPAID", AsOfDate-D1678, 0)</f>
        <v/>
      </c>
      <c r="J1678">
        <f>IF(F1678&lt;&gt;"", TEXT(F1678, "yyyy-mm"), "")</f>
        <v/>
      </c>
    </row>
    <row r="1679">
      <c r="A1679" t="inlineStr">
        <is>
          <t>RP0001678</t>
        </is>
      </c>
      <c r="B1679" t="inlineStr">
        <is>
          <t>LN200253</t>
        </is>
      </c>
      <c r="C1679" t="n">
        <v>4</v>
      </c>
      <c r="D1679" s="8" t="n">
        <v>45797</v>
      </c>
      <c r="E1679" s="9" t="n">
        <v>8146.67</v>
      </c>
      <c r="F1679" s="8" t="n">
        <v>45800</v>
      </c>
      <c r="G1679" s="9" t="n">
        <v>8146.67</v>
      </c>
      <c r="H1679" t="inlineStr">
        <is>
          <t>PAID_ON_TIME</t>
        </is>
      </c>
      <c r="I1679">
        <f>IF(H1679="UNPAID", AsOfDate-D1679, 0)</f>
        <v/>
      </c>
      <c r="J1679">
        <f>IF(F1679&lt;&gt;"", TEXT(F1679, "yyyy-mm"), "")</f>
        <v/>
      </c>
    </row>
    <row r="1680">
      <c r="A1680" t="inlineStr">
        <is>
          <t>RP0001679</t>
        </is>
      </c>
      <c r="B1680" t="inlineStr">
        <is>
          <t>LN200253</t>
        </is>
      </c>
      <c r="C1680" t="n">
        <v>5</v>
      </c>
      <c r="D1680" s="8" t="n">
        <v>45828</v>
      </c>
      <c r="E1680" s="9" t="n">
        <v>8146.67</v>
      </c>
      <c r="F1680" s="8" t="n">
        <v>45830</v>
      </c>
      <c r="G1680" s="9" t="n">
        <v>8146.67</v>
      </c>
      <c r="H1680" t="inlineStr">
        <is>
          <t>PAID_ON_TIME</t>
        </is>
      </c>
      <c r="I1680">
        <f>IF(H1680="UNPAID", AsOfDate-D1680, 0)</f>
        <v/>
      </c>
      <c r="J1680">
        <f>IF(F1680&lt;&gt;"", TEXT(F1680, "yyyy-mm"), "")</f>
        <v/>
      </c>
    </row>
    <row r="1681">
      <c r="A1681" t="inlineStr">
        <is>
          <t>RP0001680</t>
        </is>
      </c>
      <c r="B1681" t="inlineStr">
        <is>
          <t>LN200253</t>
        </is>
      </c>
      <c r="C1681" t="n">
        <v>6</v>
      </c>
      <c r="D1681" s="8" t="n">
        <v>45858</v>
      </c>
      <c r="E1681" s="9" t="n">
        <v>8146.67</v>
      </c>
      <c r="F1681" s="8" t="n">
        <v>45858</v>
      </c>
      <c r="G1681" s="9" t="n">
        <v>8146.67</v>
      </c>
      <c r="H1681" t="inlineStr">
        <is>
          <t>PAID_ON_TIME</t>
        </is>
      </c>
      <c r="I1681">
        <f>IF(H1681="UNPAID", AsOfDate-D1681, 0)</f>
        <v/>
      </c>
      <c r="J1681">
        <f>IF(F1681&lt;&gt;"", TEXT(F1681, "yyyy-mm"), "")</f>
        <v/>
      </c>
    </row>
    <row r="1682">
      <c r="A1682" t="inlineStr">
        <is>
          <t>RP0001681</t>
        </is>
      </c>
      <c r="B1682" t="inlineStr">
        <is>
          <t>LN200253</t>
        </is>
      </c>
      <c r="C1682" t="n">
        <v>7</v>
      </c>
      <c r="D1682" s="8" t="n">
        <v>45889</v>
      </c>
      <c r="E1682" s="9" t="n">
        <v>8146.67</v>
      </c>
      <c r="F1682" s="8" t="n">
        <v>45888</v>
      </c>
      <c r="G1682" s="9" t="n">
        <v>8146.67</v>
      </c>
      <c r="H1682" t="inlineStr">
        <is>
          <t>PAID_ON_TIME</t>
        </is>
      </c>
      <c r="I1682">
        <f>IF(H1682="UNPAID", AsOfDate-D1682, 0)</f>
        <v/>
      </c>
      <c r="J1682">
        <f>IF(F1682&lt;&gt;"", TEXT(F1682, "yyyy-mm"), "")</f>
        <v/>
      </c>
    </row>
    <row r="1683">
      <c r="A1683" t="inlineStr">
        <is>
          <t>RP0001682</t>
        </is>
      </c>
      <c r="B1683" t="inlineStr">
        <is>
          <t>LN200253</t>
        </is>
      </c>
      <c r="C1683" t="n">
        <v>8</v>
      </c>
      <c r="D1683" s="8" t="n">
        <v>45920</v>
      </c>
      <c r="E1683" s="9" t="n">
        <v>8146.67</v>
      </c>
      <c r="F1683" s="8" t="n">
        <v>45920</v>
      </c>
      <c r="G1683" s="9" t="n">
        <v>8146.67</v>
      </c>
      <c r="H1683" t="inlineStr">
        <is>
          <t>PAID_ON_TIME</t>
        </is>
      </c>
      <c r="I1683">
        <f>IF(H1683="UNPAID", AsOfDate-D1683, 0)</f>
        <v/>
      </c>
      <c r="J1683">
        <f>IF(F1683&lt;&gt;"", TEXT(F1683, "yyyy-mm"), "")</f>
        <v/>
      </c>
    </row>
    <row r="1684">
      <c r="A1684" t="inlineStr">
        <is>
          <t>RP0001683</t>
        </is>
      </c>
      <c r="B1684" t="inlineStr">
        <is>
          <t>LN200253</t>
        </is>
      </c>
      <c r="C1684" t="n">
        <v>9</v>
      </c>
      <c r="D1684" s="8" t="n">
        <v>45950</v>
      </c>
      <c r="E1684" s="9" t="n">
        <v>8146.67</v>
      </c>
      <c r="F1684" s="8" t="n">
        <v>45966</v>
      </c>
      <c r="G1684" s="9" t="n">
        <v>8146.67</v>
      </c>
      <c r="H1684" t="inlineStr">
        <is>
          <t>PAID_LATE</t>
        </is>
      </c>
      <c r="I1684">
        <f>IF(H1684="UNPAID", AsOfDate-D1684, 0)</f>
        <v/>
      </c>
      <c r="J1684">
        <f>IF(F1684&lt;&gt;"", TEXT(F1684, "yyyy-mm"), "")</f>
        <v/>
      </c>
    </row>
    <row r="1685">
      <c r="A1685" t="inlineStr">
        <is>
          <t>RP0001684</t>
        </is>
      </c>
      <c r="B1685" t="inlineStr">
        <is>
          <t>LN200253</t>
        </is>
      </c>
      <c r="C1685" t="n">
        <v>10</v>
      </c>
      <c r="D1685" s="8" t="n">
        <v>45981</v>
      </c>
      <c r="E1685" s="9" t="n">
        <v>8146.67</v>
      </c>
      <c r="F1685" s="8" t="n">
        <v>45984</v>
      </c>
      <c r="G1685" s="9" t="n">
        <v>8146.67</v>
      </c>
      <c r="H1685" t="inlineStr">
        <is>
          <t>PAID_ON_TIME</t>
        </is>
      </c>
      <c r="I1685">
        <f>IF(H1685="UNPAID", AsOfDate-D1685, 0)</f>
        <v/>
      </c>
      <c r="J1685">
        <f>IF(F1685&lt;&gt;"", TEXT(F1685, "yyyy-mm"), "")</f>
        <v/>
      </c>
    </row>
    <row r="1686">
      <c r="A1686" t="inlineStr">
        <is>
          <t>RP0001685</t>
        </is>
      </c>
      <c r="B1686" t="inlineStr">
        <is>
          <t>LN200253</t>
        </is>
      </c>
      <c r="C1686" t="n">
        <v>11</v>
      </c>
      <c r="D1686" s="8" t="n">
        <v>46011</v>
      </c>
      <c r="E1686" s="9" t="n">
        <v>8146.67</v>
      </c>
      <c r="F1686" s="8" t="n">
        <v>46015</v>
      </c>
      <c r="G1686" s="9" t="n">
        <v>8146.67</v>
      </c>
      <c r="H1686" t="inlineStr">
        <is>
          <t>PAID_ON_TIME</t>
        </is>
      </c>
      <c r="I1686">
        <f>IF(H1686="UNPAID", AsOfDate-D1686, 0)</f>
        <v/>
      </c>
      <c r="J1686">
        <f>IF(F1686&lt;&gt;"", TEXT(F1686, "yyyy-mm"), "")</f>
        <v/>
      </c>
    </row>
    <row r="1687">
      <c r="A1687" t="inlineStr">
        <is>
          <t>RP0001686</t>
        </is>
      </c>
      <c r="B1687" t="inlineStr">
        <is>
          <t>LN200253</t>
        </is>
      </c>
      <c r="C1687" t="n">
        <v>12</v>
      </c>
      <c r="D1687" s="8" t="n">
        <v>46042</v>
      </c>
      <c r="E1687" s="9" t="n">
        <v>8146.67</v>
      </c>
      <c r="F1687" s="8" t="n"/>
      <c r="G1687" s="9" t="n">
        <v>0</v>
      </c>
      <c r="H1687" t="inlineStr">
        <is>
          <t>UNPAID</t>
        </is>
      </c>
      <c r="I1687">
        <f>IF(H1687="UNPAID", AsOfDate-D1687, 0)</f>
        <v/>
      </c>
      <c r="J1687">
        <f>IF(F1687&lt;&gt;"", TEXT(F1687, "yyyy-mm"), "")</f>
        <v/>
      </c>
    </row>
    <row r="1688">
      <c r="A1688" t="inlineStr">
        <is>
          <t>RP0001687</t>
        </is>
      </c>
      <c r="B1688" t="inlineStr">
        <is>
          <t>LN200254</t>
        </is>
      </c>
      <c r="C1688" t="n">
        <v>1</v>
      </c>
      <c r="D1688" s="8" t="n">
        <v>46129</v>
      </c>
      <c r="E1688" s="9" t="n">
        <v>12817.78</v>
      </c>
      <c r="F1688" s="8" t="n"/>
      <c r="G1688" s="9" t="n">
        <v>0</v>
      </c>
      <c r="H1688" t="inlineStr">
        <is>
          <t>UNPAID</t>
        </is>
      </c>
      <c r="I1688">
        <f>IF(H1688="UNPAID", AsOfDate-D1688, 0)</f>
        <v/>
      </c>
      <c r="J1688">
        <f>IF(F1688&lt;&gt;"", TEXT(F1688, "yyyy-mm"), "")</f>
        <v/>
      </c>
    </row>
    <row r="1689">
      <c r="A1689" t="inlineStr">
        <is>
          <t>RP0001688</t>
        </is>
      </c>
      <c r="B1689" t="inlineStr">
        <is>
          <t>LN200254</t>
        </is>
      </c>
      <c r="C1689" t="n">
        <v>2</v>
      </c>
      <c r="D1689" s="8" t="n">
        <v>46159</v>
      </c>
      <c r="E1689" s="9" t="n">
        <v>12817.78</v>
      </c>
      <c r="F1689" s="8" t="n">
        <v>46156</v>
      </c>
      <c r="G1689" s="9" t="n">
        <v>12817.78</v>
      </c>
      <c r="H1689" t="inlineStr">
        <is>
          <t>PAID_ON_TIME</t>
        </is>
      </c>
      <c r="I1689">
        <f>IF(H1689="UNPAID", AsOfDate-D1689, 0)</f>
        <v/>
      </c>
      <c r="J1689">
        <f>IF(F1689&lt;&gt;"", TEXT(F1689, "yyyy-mm"), "")</f>
        <v/>
      </c>
    </row>
    <row r="1690">
      <c r="A1690" t="inlineStr">
        <is>
          <t>RP0001689</t>
        </is>
      </c>
      <c r="B1690" t="inlineStr">
        <is>
          <t>LN200254</t>
        </is>
      </c>
      <c r="C1690" t="n">
        <v>3</v>
      </c>
      <c r="D1690" s="8" t="n">
        <v>46190</v>
      </c>
      <c r="E1690" s="9" t="n">
        <v>12817.78</v>
      </c>
      <c r="F1690" s="8" t="n">
        <v>46193</v>
      </c>
      <c r="G1690" s="9" t="n">
        <v>12817.78</v>
      </c>
      <c r="H1690" t="inlineStr">
        <is>
          <t>PAID_ON_TIME</t>
        </is>
      </c>
      <c r="I1690">
        <f>IF(H1690="UNPAID", AsOfDate-D1690, 0)</f>
        <v/>
      </c>
      <c r="J1690">
        <f>IF(F1690&lt;&gt;"", TEXT(F1690, "yyyy-mm"), "")</f>
        <v/>
      </c>
    </row>
    <row r="1691">
      <c r="A1691" t="inlineStr">
        <is>
          <t>RP0001690</t>
        </is>
      </c>
      <c r="B1691" t="inlineStr">
        <is>
          <t>LN200254</t>
        </is>
      </c>
      <c r="C1691" t="n">
        <v>4</v>
      </c>
      <c r="D1691" s="8" t="n">
        <v>46220</v>
      </c>
      <c r="E1691" s="9" t="n">
        <v>12817.78</v>
      </c>
      <c r="F1691" s="8" t="n">
        <v>46223</v>
      </c>
      <c r="G1691" s="9" t="n">
        <v>12817.78</v>
      </c>
      <c r="H1691" t="inlineStr">
        <is>
          <t>PAID_ON_TIME</t>
        </is>
      </c>
      <c r="I1691">
        <f>IF(H1691="UNPAID", AsOfDate-D1691, 0)</f>
        <v/>
      </c>
      <c r="J1691">
        <f>IF(F1691&lt;&gt;"", TEXT(F1691, "yyyy-mm"), "")</f>
        <v/>
      </c>
    </row>
    <row r="1692">
      <c r="A1692" t="inlineStr">
        <is>
          <t>RP0001691</t>
        </is>
      </c>
      <c r="B1692" t="inlineStr">
        <is>
          <t>LN200254</t>
        </is>
      </c>
      <c r="C1692" t="n">
        <v>5</v>
      </c>
      <c r="D1692" s="8" t="n">
        <v>46251</v>
      </c>
      <c r="E1692" s="9" t="n">
        <v>12817.78</v>
      </c>
      <c r="F1692" s="8" t="n">
        <v>46248</v>
      </c>
      <c r="G1692" s="9" t="n">
        <v>12817.78</v>
      </c>
      <c r="H1692" t="inlineStr">
        <is>
          <t>PAID_ON_TIME</t>
        </is>
      </c>
      <c r="I1692">
        <f>IF(H1692="UNPAID", AsOfDate-D1692, 0)</f>
        <v/>
      </c>
      <c r="J1692">
        <f>IF(F1692&lt;&gt;"", TEXT(F1692, "yyyy-mm"), "")</f>
        <v/>
      </c>
    </row>
    <row r="1693">
      <c r="A1693" t="inlineStr">
        <is>
          <t>RP0001692</t>
        </is>
      </c>
      <c r="B1693" t="inlineStr">
        <is>
          <t>LN200254</t>
        </is>
      </c>
      <c r="C1693" t="n">
        <v>6</v>
      </c>
      <c r="D1693" s="8" t="n">
        <v>46282</v>
      </c>
      <c r="E1693" s="9" t="n">
        <v>12817.78</v>
      </c>
      <c r="F1693" s="8" t="n"/>
      <c r="G1693" s="9" t="n">
        <v>0</v>
      </c>
      <c r="H1693" t="inlineStr">
        <is>
          <t>NOT_DUE</t>
        </is>
      </c>
      <c r="I1693">
        <f>IF(H1693="UNPAID", AsOfDate-D1693, 0)</f>
        <v/>
      </c>
      <c r="J1693">
        <f>IF(F1693&lt;&gt;"", TEXT(F1693, "yyyy-mm"), "")</f>
        <v/>
      </c>
    </row>
    <row r="1694">
      <c r="A1694" t="inlineStr">
        <is>
          <t>RP0001693</t>
        </is>
      </c>
      <c r="B1694" t="inlineStr">
        <is>
          <t>LN200254</t>
        </is>
      </c>
      <c r="C1694" t="n">
        <v>7</v>
      </c>
      <c r="D1694" s="8" t="n">
        <v>46312</v>
      </c>
      <c r="E1694" s="9" t="n">
        <v>12817.78</v>
      </c>
      <c r="F1694" s="8" t="n"/>
      <c r="G1694" s="9" t="n">
        <v>0</v>
      </c>
      <c r="H1694" t="inlineStr">
        <is>
          <t>NOT_DUE</t>
        </is>
      </c>
      <c r="I1694">
        <f>IF(H1694="UNPAID", AsOfDate-D1694, 0)</f>
        <v/>
      </c>
      <c r="J1694">
        <f>IF(F1694&lt;&gt;"", TEXT(F1694, "yyyy-mm"), "")</f>
        <v/>
      </c>
    </row>
    <row r="1695">
      <c r="A1695" t="inlineStr">
        <is>
          <t>RP0001694</t>
        </is>
      </c>
      <c r="B1695" t="inlineStr">
        <is>
          <t>LN200254</t>
        </is>
      </c>
      <c r="C1695" t="n">
        <v>8</v>
      </c>
      <c r="D1695" s="8" t="n">
        <v>46343</v>
      </c>
      <c r="E1695" s="9" t="n">
        <v>12817.78</v>
      </c>
      <c r="F1695" s="8" t="n"/>
      <c r="G1695" s="9" t="n">
        <v>0</v>
      </c>
      <c r="H1695" t="inlineStr">
        <is>
          <t>NOT_DUE</t>
        </is>
      </c>
      <c r="I1695">
        <f>IF(H1695="UNPAID", AsOfDate-D1695, 0)</f>
        <v/>
      </c>
      <c r="J1695">
        <f>IF(F1695&lt;&gt;"", TEXT(F1695, "yyyy-mm"), "")</f>
        <v/>
      </c>
    </row>
    <row r="1696">
      <c r="A1696" t="inlineStr">
        <is>
          <t>RP0001695</t>
        </is>
      </c>
      <c r="B1696" t="inlineStr">
        <is>
          <t>LN200254</t>
        </is>
      </c>
      <c r="C1696" t="n">
        <v>9</v>
      </c>
      <c r="D1696" s="8" t="n">
        <v>46373</v>
      </c>
      <c r="E1696" s="9" t="n">
        <v>12817.78</v>
      </c>
      <c r="F1696" s="8" t="n"/>
      <c r="G1696" s="9" t="n">
        <v>0</v>
      </c>
      <c r="H1696" t="inlineStr">
        <is>
          <t>NOT_DUE</t>
        </is>
      </c>
      <c r="I1696">
        <f>IF(H1696="UNPAID", AsOfDate-D1696, 0)</f>
        <v/>
      </c>
      <c r="J1696">
        <f>IF(F1696&lt;&gt;"", TEXT(F1696, "yyyy-mm"), "")</f>
        <v/>
      </c>
    </row>
    <row r="1697">
      <c r="A1697" t="inlineStr">
        <is>
          <t>RP0001696</t>
        </is>
      </c>
      <c r="B1697" t="inlineStr">
        <is>
          <t>LN200255</t>
        </is>
      </c>
      <c r="C1697" t="n">
        <v>1</v>
      </c>
      <c r="D1697" s="8" t="n">
        <v>45864</v>
      </c>
      <c r="E1697" s="9" t="n">
        <v>27254.5</v>
      </c>
      <c r="F1697" s="8" t="n">
        <v>45862</v>
      </c>
      <c r="G1697" s="9" t="n">
        <v>27254.5</v>
      </c>
      <c r="H1697" t="inlineStr">
        <is>
          <t>PAID_ON_TIME</t>
        </is>
      </c>
      <c r="I1697">
        <f>IF(H1697="UNPAID", AsOfDate-D1697, 0)</f>
        <v/>
      </c>
      <c r="J1697">
        <f>IF(F1697&lt;&gt;"", TEXT(F1697, "yyyy-mm"), "")</f>
        <v/>
      </c>
    </row>
    <row r="1698">
      <c r="A1698" t="inlineStr">
        <is>
          <t>RP0001697</t>
        </is>
      </c>
      <c r="B1698" t="inlineStr">
        <is>
          <t>LN200255</t>
        </is>
      </c>
      <c r="C1698" t="n">
        <v>2</v>
      </c>
      <c r="D1698" s="8" t="n">
        <v>45895</v>
      </c>
      <c r="E1698" s="9" t="n">
        <v>27254.5</v>
      </c>
      <c r="F1698" s="8" t="n">
        <v>45898</v>
      </c>
      <c r="G1698" s="9" t="n">
        <v>27254.5</v>
      </c>
      <c r="H1698" t="inlineStr">
        <is>
          <t>PAID_ON_TIME</t>
        </is>
      </c>
      <c r="I1698">
        <f>IF(H1698="UNPAID", AsOfDate-D1698, 0)</f>
        <v/>
      </c>
      <c r="J1698">
        <f>IF(F1698&lt;&gt;"", TEXT(F1698, "yyyy-mm"), "")</f>
        <v/>
      </c>
    </row>
    <row r="1699">
      <c r="A1699" t="inlineStr">
        <is>
          <t>RP0001698</t>
        </is>
      </c>
      <c r="B1699" t="inlineStr">
        <is>
          <t>LN200255</t>
        </is>
      </c>
      <c r="C1699" t="n">
        <v>3</v>
      </c>
      <c r="D1699" s="8" t="n">
        <v>45926</v>
      </c>
      <c r="E1699" s="9" t="n">
        <v>27254.5</v>
      </c>
      <c r="F1699" s="8" t="n">
        <v>45925</v>
      </c>
      <c r="G1699" s="9" t="n">
        <v>27254.5</v>
      </c>
      <c r="H1699" t="inlineStr">
        <is>
          <t>PAID_ON_TIME</t>
        </is>
      </c>
      <c r="I1699">
        <f>IF(H1699="UNPAID", AsOfDate-D1699, 0)</f>
        <v/>
      </c>
      <c r="J1699">
        <f>IF(F1699&lt;&gt;"", TEXT(F1699, "yyyy-mm"), "")</f>
        <v/>
      </c>
    </row>
    <row r="1700">
      <c r="A1700" t="inlineStr">
        <is>
          <t>RP0001699</t>
        </is>
      </c>
      <c r="B1700" t="inlineStr">
        <is>
          <t>LN200256</t>
        </is>
      </c>
      <c r="C1700" t="n">
        <v>1</v>
      </c>
      <c r="D1700" s="8" t="n">
        <v>45753</v>
      </c>
      <c r="E1700" s="9" t="n">
        <v>15788.75</v>
      </c>
      <c r="F1700" s="8" t="n">
        <v>45755</v>
      </c>
      <c r="G1700" s="9" t="n">
        <v>15788.75</v>
      </c>
      <c r="H1700" t="inlineStr">
        <is>
          <t>PAID_ON_TIME</t>
        </is>
      </c>
      <c r="I1700">
        <f>IF(H1700="UNPAID", AsOfDate-D1700, 0)</f>
        <v/>
      </c>
      <c r="J1700">
        <f>IF(F1700&lt;&gt;"", TEXT(F1700, "yyyy-mm"), "")</f>
        <v/>
      </c>
    </row>
    <row r="1701">
      <c r="A1701" t="inlineStr">
        <is>
          <t>RP0001700</t>
        </is>
      </c>
      <c r="B1701" t="inlineStr">
        <is>
          <t>LN200256</t>
        </is>
      </c>
      <c r="C1701" t="n">
        <v>2</v>
      </c>
      <c r="D1701" s="8" t="n">
        <v>45783</v>
      </c>
      <c r="E1701" s="9" t="n">
        <v>15788.75</v>
      </c>
      <c r="F1701" s="8" t="n">
        <v>45786</v>
      </c>
      <c r="G1701" s="9" t="n">
        <v>15788.75</v>
      </c>
      <c r="H1701" t="inlineStr">
        <is>
          <t>PAID_ON_TIME</t>
        </is>
      </c>
      <c r="I1701">
        <f>IF(H1701="UNPAID", AsOfDate-D1701, 0)</f>
        <v/>
      </c>
      <c r="J1701">
        <f>IF(F1701&lt;&gt;"", TEXT(F1701, "yyyy-mm"), "")</f>
        <v/>
      </c>
    </row>
    <row r="1702">
      <c r="A1702" t="inlineStr">
        <is>
          <t>RP0001701</t>
        </is>
      </c>
      <c r="B1702" t="inlineStr">
        <is>
          <t>LN200256</t>
        </is>
      </c>
      <c r="C1702" t="n">
        <v>3</v>
      </c>
      <c r="D1702" s="8" t="n">
        <v>45814</v>
      </c>
      <c r="E1702" s="9" t="n">
        <v>15788.75</v>
      </c>
      <c r="F1702" s="8" t="n">
        <v>45811</v>
      </c>
      <c r="G1702" s="9" t="n">
        <v>15788.75</v>
      </c>
      <c r="H1702" t="inlineStr">
        <is>
          <t>PAID_ON_TIME</t>
        </is>
      </c>
      <c r="I1702">
        <f>IF(H1702="UNPAID", AsOfDate-D1702, 0)</f>
        <v/>
      </c>
      <c r="J1702">
        <f>IF(F1702&lt;&gt;"", TEXT(F1702, "yyyy-mm"), "")</f>
        <v/>
      </c>
    </row>
    <row r="1703">
      <c r="A1703" t="inlineStr">
        <is>
          <t>RP0001702</t>
        </is>
      </c>
      <c r="B1703" t="inlineStr">
        <is>
          <t>LN200256</t>
        </is>
      </c>
      <c r="C1703" t="n">
        <v>4</v>
      </c>
      <c r="D1703" s="8" t="n">
        <v>45844</v>
      </c>
      <c r="E1703" s="9" t="n">
        <v>15788.75</v>
      </c>
      <c r="F1703" s="8" t="n">
        <v>45844</v>
      </c>
      <c r="G1703" s="9" t="n">
        <v>15788.75</v>
      </c>
      <c r="H1703" t="inlineStr">
        <is>
          <t>PAID_ON_TIME</t>
        </is>
      </c>
      <c r="I1703">
        <f>IF(H1703="UNPAID", AsOfDate-D1703, 0)</f>
        <v/>
      </c>
      <c r="J1703">
        <f>IF(F1703&lt;&gt;"", TEXT(F1703, "yyyy-mm"), "")</f>
        <v/>
      </c>
    </row>
    <row r="1704">
      <c r="A1704" t="inlineStr">
        <is>
          <t>RP0001703</t>
        </is>
      </c>
      <c r="B1704" t="inlineStr">
        <is>
          <t>LN200256</t>
        </is>
      </c>
      <c r="C1704" t="n">
        <v>5</v>
      </c>
      <c r="D1704" s="8" t="n">
        <v>45875</v>
      </c>
      <c r="E1704" s="9" t="n">
        <v>15788.75</v>
      </c>
      <c r="F1704" s="8" t="n">
        <v>45879</v>
      </c>
      <c r="G1704" s="9" t="n">
        <v>15788.75</v>
      </c>
      <c r="H1704" t="inlineStr">
        <is>
          <t>PAID_ON_TIME</t>
        </is>
      </c>
      <c r="I1704">
        <f>IF(H1704="UNPAID", AsOfDate-D1704, 0)</f>
        <v/>
      </c>
      <c r="J1704">
        <f>IF(F1704&lt;&gt;"", TEXT(F1704, "yyyy-mm"), "")</f>
        <v/>
      </c>
    </row>
    <row r="1705">
      <c r="A1705" t="inlineStr">
        <is>
          <t>RP0001704</t>
        </is>
      </c>
      <c r="B1705" t="inlineStr">
        <is>
          <t>LN200256</t>
        </is>
      </c>
      <c r="C1705" t="n">
        <v>6</v>
      </c>
      <c r="D1705" s="8" t="n">
        <v>45906</v>
      </c>
      <c r="E1705" s="9" t="n">
        <v>15788.75</v>
      </c>
      <c r="F1705" s="8" t="n">
        <v>45906</v>
      </c>
      <c r="G1705" s="9" t="n">
        <v>15788.75</v>
      </c>
      <c r="H1705" t="inlineStr">
        <is>
          <t>PAID_ON_TIME</t>
        </is>
      </c>
      <c r="I1705">
        <f>IF(H1705="UNPAID", AsOfDate-D1705, 0)</f>
        <v/>
      </c>
      <c r="J1705">
        <f>IF(F1705&lt;&gt;"", TEXT(F1705, "yyyy-mm"), "")</f>
        <v/>
      </c>
    </row>
    <row r="1706">
      <c r="A1706" t="inlineStr">
        <is>
          <t>RP0001705</t>
        </is>
      </c>
      <c r="B1706" t="inlineStr">
        <is>
          <t>LN200257</t>
        </is>
      </c>
      <c r="C1706" t="n">
        <v>1</v>
      </c>
      <c r="D1706" s="8" t="n">
        <v>45898</v>
      </c>
      <c r="E1706" s="9" t="n">
        <v>13989.58</v>
      </c>
      <c r="F1706" s="8" t="n">
        <v>45900</v>
      </c>
      <c r="G1706" s="9" t="n">
        <v>13989.58</v>
      </c>
      <c r="H1706" t="inlineStr">
        <is>
          <t>PAID_ON_TIME</t>
        </is>
      </c>
      <c r="I1706">
        <f>IF(H1706="UNPAID", AsOfDate-D1706, 0)</f>
        <v/>
      </c>
      <c r="J1706">
        <f>IF(F1706&lt;&gt;"", TEXT(F1706, "yyyy-mm"), "")</f>
        <v/>
      </c>
    </row>
    <row r="1707">
      <c r="A1707" t="inlineStr">
        <is>
          <t>RP0001706</t>
        </is>
      </c>
      <c r="B1707" t="inlineStr">
        <is>
          <t>LN200257</t>
        </is>
      </c>
      <c r="C1707" t="n">
        <v>2</v>
      </c>
      <c r="D1707" s="8" t="n">
        <v>45929</v>
      </c>
      <c r="E1707" s="9" t="n">
        <v>13989.58</v>
      </c>
      <c r="F1707" s="8" t="n">
        <v>45926</v>
      </c>
      <c r="G1707" s="9" t="n">
        <v>13989.58</v>
      </c>
      <c r="H1707" t="inlineStr">
        <is>
          <t>PAID_ON_TIME</t>
        </is>
      </c>
      <c r="I1707">
        <f>IF(H1707="UNPAID", AsOfDate-D1707, 0)</f>
        <v/>
      </c>
      <c r="J1707">
        <f>IF(F1707&lt;&gt;"", TEXT(F1707, "yyyy-mm"), "")</f>
        <v/>
      </c>
    </row>
    <row r="1708">
      <c r="A1708" t="inlineStr">
        <is>
          <t>RP0001707</t>
        </is>
      </c>
      <c r="B1708" t="inlineStr">
        <is>
          <t>LN200257</t>
        </is>
      </c>
      <c r="C1708" t="n">
        <v>3</v>
      </c>
      <c r="D1708" s="8" t="n">
        <v>45959</v>
      </c>
      <c r="E1708" s="9" t="n">
        <v>13989.58</v>
      </c>
      <c r="F1708" s="8" t="n">
        <v>46068</v>
      </c>
      <c r="G1708" s="9" t="n">
        <v>13989.58</v>
      </c>
      <c r="H1708" t="inlineStr">
        <is>
          <t>PAID_LATE</t>
        </is>
      </c>
      <c r="I1708">
        <f>IF(H1708="UNPAID", AsOfDate-D1708, 0)</f>
        <v/>
      </c>
      <c r="J1708">
        <f>IF(F1708&lt;&gt;"", TEXT(F1708, "yyyy-mm"), "")</f>
        <v/>
      </c>
    </row>
    <row r="1709">
      <c r="A1709" t="inlineStr">
        <is>
          <t>RP0001708</t>
        </is>
      </c>
      <c r="B1709" t="inlineStr">
        <is>
          <t>LN200257</t>
        </is>
      </c>
      <c r="C1709" t="n">
        <v>4</v>
      </c>
      <c r="D1709" s="8" t="n">
        <v>45990</v>
      </c>
      <c r="E1709" s="9" t="n">
        <v>13989.58</v>
      </c>
      <c r="F1709" s="8" t="n">
        <v>45987</v>
      </c>
      <c r="G1709" s="9" t="n">
        <v>13989.58</v>
      </c>
      <c r="H1709" t="inlineStr">
        <is>
          <t>PAID_ON_TIME</t>
        </is>
      </c>
      <c r="I1709">
        <f>IF(H1709="UNPAID", AsOfDate-D1709, 0)</f>
        <v/>
      </c>
      <c r="J1709">
        <f>IF(F1709&lt;&gt;"", TEXT(F1709, "yyyy-mm"), "")</f>
        <v/>
      </c>
    </row>
    <row r="1710">
      <c r="A1710" t="inlineStr">
        <is>
          <t>RP0001709</t>
        </is>
      </c>
      <c r="B1710" t="inlineStr">
        <is>
          <t>LN200257</t>
        </is>
      </c>
      <c r="C1710" t="n">
        <v>5</v>
      </c>
      <c r="D1710" s="8" t="n">
        <v>46020</v>
      </c>
      <c r="E1710" s="9" t="n">
        <v>13989.58</v>
      </c>
      <c r="F1710" s="8" t="n">
        <v>46020</v>
      </c>
      <c r="G1710" s="9" t="n">
        <v>13989.58</v>
      </c>
      <c r="H1710" t="inlineStr">
        <is>
          <t>PAID_ON_TIME</t>
        </is>
      </c>
      <c r="I1710">
        <f>IF(H1710="UNPAID", AsOfDate-D1710, 0)</f>
        <v/>
      </c>
      <c r="J1710">
        <f>IF(F1710&lt;&gt;"", TEXT(F1710, "yyyy-mm"), "")</f>
        <v/>
      </c>
    </row>
    <row r="1711">
      <c r="A1711" t="inlineStr">
        <is>
          <t>RP0001710</t>
        </is>
      </c>
      <c r="B1711" t="inlineStr">
        <is>
          <t>LN200257</t>
        </is>
      </c>
      <c r="C1711" t="n">
        <v>6</v>
      </c>
      <c r="D1711" s="8" t="n">
        <v>46051</v>
      </c>
      <c r="E1711" s="9" t="n">
        <v>13989.58</v>
      </c>
      <c r="F1711" s="8" t="n">
        <v>46054</v>
      </c>
      <c r="G1711" s="9" t="n">
        <v>13989.58</v>
      </c>
      <c r="H1711" t="inlineStr">
        <is>
          <t>PAID_ON_TIME</t>
        </is>
      </c>
      <c r="I1711">
        <f>IF(H1711="UNPAID", AsOfDate-D1711, 0)</f>
        <v/>
      </c>
      <c r="J1711">
        <f>IF(F1711&lt;&gt;"", TEXT(F1711, "yyyy-mm"), "")</f>
        <v/>
      </c>
    </row>
    <row r="1712">
      <c r="A1712" t="inlineStr">
        <is>
          <t>RP0001711</t>
        </is>
      </c>
      <c r="B1712" t="inlineStr">
        <is>
          <t>LN200258</t>
        </is>
      </c>
      <c r="C1712" t="n">
        <v>1</v>
      </c>
      <c r="D1712" s="8" t="n">
        <v>46243</v>
      </c>
      <c r="E1712" s="9" t="n">
        <v>14348.17</v>
      </c>
      <c r="F1712" s="8" t="n">
        <v>46245</v>
      </c>
      <c r="G1712" s="9" t="n">
        <v>14348.17</v>
      </c>
      <c r="H1712" t="inlineStr">
        <is>
          <t>PAID_ON_TIME</t>
        </is>
      </c>
      <c r="I1712">
        <f>IF(H1712="UNPAID", AsOfDate-D1712, 0)</f>
        <v/>
      </c>
      <c r="J1712">
        <f>IF(F1712&lt;&gt;"", TEXT(F1712, "yyyy-mm"), "")</f>
        <v/>
      </c>
    </row>
    <row r="1713">
      <c r="A1713" t="inlineStr">
        <is>
          <t>RP0001712</t>
        </is>
      </c>
      <c r="B1713" t="inlineStr">
        <is>
          <t>LN200258</t>
        </is>
      </c>
      <c r="C1713" t="n">
        <v>2</v>
      </c>
      <c r="D1713" s="8" t="n">
        <v>46274</v>
      </c>
      <c r="E1713" s="9" t="n">
        <v>14348.17</v>
      </c>
      <c r="F1713" s="8" t="n"/>
      <c r="G1713" s="9" t="n">
        <v>0</v>
      </c>
      <c r="H1713" t="inlineStr">
        <is>
          <t>NOT_DUE</t>
        </is>
      </c>
      <c r="I1713">
        <f>IF(H1713="UNPAID", AsOfDate-D1713, 0)</f>
        <v/>
      </c>
      <c r="J1713">
        <f>IF(F1713&lt;&gt;"", TEXT(F1713, "yyyy-mm"), "")</f>
        <v/>
      </c>
    </row>
    <row r="1714">
      <c r="A1714" t="inlineStr">
        <is>
          <t>RP0001713</t>
        </is>
      </c>
      <c r="B1714" t="inlineStr">
        <is>
          <t>LN200258</t>
        </is>
      </c>
      <c r="C1714" t="n">
        <v>3</v>
      </c>
      <c r="D1714" s="8" t="n">
        <v>46304</v>
      </c>
      <c r="E1714" s="9" t="n">
        <v>14348.17</v>
      </c>
      <c r="F1714" s="8" t="n"/>
      <c r="G1714" s="9" t="n">
        <v>0</v>
      </c>
      <c r="H1714" t="inlineStr">
        <is>
          <t>NOT_DUE</t>
        </is>
      </c>
      <c r="I1714">
        <f>IF(H1714="UNPAID", AsOfDate-D1714, 0)</f>
        <v/>
      </c>
      <c r="J1714">
        <f>IF(F1714&lt;&gt;"", TEXT(F1714, "yyyy-mm"), "")</f>
        <v/>
      </c>
    </row>
    <row r="1715">
      <c r="A1715" t="inlineStr">
        <is>
          <t>RP0001714</t>
        </is>
      </c>
      <c r="B1715" t="inlineStr">
        <is>
          <t>LN200258</t>
        </is>
      </c>
      <c r="C1715" t="n">
        <v>4</v>
      </c>
      <c r="D1715" s="8" t="n">
        <v>46335</v>
      </c>
      <c r="E1715" s="9" t="n">
        <v>14348.17</v>
      </c>
      <c r="F1715" s="8" t="n"/>
      <c r="G1715" s="9" t="n">
        <v>0</v>
      </c>
      <c r="H1715" t="inlineStr">
        <is>
          <t>NOT_DUE</t>
        </is>
      </c>
      <c r="I1715">
        <f>IF(H1715="UNPAID", AsOfDate-D1715, 0)</f>
        <v/>
      </c>
      <c r="J1715">
        <f>IF(F1715&lt;&gt;"", TEXT(F1715, "yyyy-mm"), "")</f>
        <v/>
      </c>
    </row>
    <row r="1716">
      <c r="A1716" t="inlineStr">
        <is>
          <t>RP0001715</t>
        </is>
      </c>
      <c r="B1716" t="inlineStr">
        <is>
          <t>LN200258</t>
        </is>
      </c>
      <c r="C1716" t="n">
        <v>5</v>
      </c>
      <c r="D1716" s="8" t="n">
        <v>46365</v>
      </c>
      <c r="E1716" s="9" t="n">
        <v>14348.17</v>
      </c>
      <c r="F1716" s="8" t="n"/>
      <c r="G1716" s="9" t="n">
        <v>0</v>
      </c>
      <c r="H1716" t="inlineStr">
        <is>
          <t>NOT_DUE</t>
        </is>
      </c>
      <c r="I1716">
        <f>IF(H1716="UNPAID", AsOfDate-D1716, 0)</f>
        <v/>
      </c>
      <c r="J1716">
        <f>IF(F1716&lt;&gt;"", TEXT(F1716, "yyyy-mm"), "")</f>
        <v/>
      </c>
    </row>
    <row r="1717">
      <c r="A1717" t="inlineStr">
        <is>
          <t>RP0001716</t>
        </is>
      </c>
      <c r="B1717" t="inlineStr">
        <is>
          <t>LN200258</t>
        </is>
      </c>
      <c r="C1717" t="n">
        <v>6</v>
      </c>
      <c r="D1717" s="8" t="n">
        <v>46396</v>
      </c>
      <c r="E1717" s="9" t="n">
        <v>14348.17</v>
      </c>
      <c r="F1717" s="8" t="n"/>
      <c r="G1717" s="9" t="n">
        <v>0</v>
      </c>
      <c r="H1717" t="inlineStr">
        <is>
          <t>NOT_DUE</t>
        </is>
      </c>
      <c r="I1717">
        <f>IF(H1717="UNPAID", AsOfDate-D1717, 0)</f>
        <v/>
      </c>
      <c r="J1717">
        <f>IF(F1717&lt;&gt;"", TEXT(F1717, "yyyy-mm"), "")</f>
        <v/>
      </c>
    </row>
    <row r="1718">
      <c r="A1718" t="inlineStr">
        <is>
          <t>RP0001717</t>
        </is>
      </c>
      <c r="B1718" t="inlineStr">
        <is>
          <t>LN200258</t>
        </is>
      </c>
      <c r="C1718" t="n">
        <v>7</v>
      </c>
      <c r="D1718" s="8" t="n">
        <v>46427</v>
      </c>
      <c r="E1718" s="9" t="n">
        <v>14348.17</v>
      </c>
      <c r="F1718" s="8" t="n"/>
      <c r="G1718" s="9" t="n">
        <v>0</v>
      </c>
      <c r="H1718" t="inlineStr">
        <is>
          <t>NOT_DUE</t>
        </is>
      </c>
      <c r="I1718">
        <f>IF(H1718="UNPAID", AsOfDate-D1718, 0)</f>
        <v/>
      </c>
      <c r="J1718">
        <f>IF(F1718&lt;&gt;"", TEXT(F1718, "yyyy-mm"), "")</f>
        <v/>
      </c>
    </row>
    <row r="1719">
      <c r="A1719" t="inlineStr">
        <is>
          <t>RP0001718</t>
        </is>
      </c>
      <c r="B1719" t="inlineStr">
        <is>
          <t>LN200258</t>
        </is>
      </c>
      <c r="C1719" t="n">
        <v>8</v>
      </c>
      <c r="D1719" s="8" t="n">
        <v>46455</v>
      </c>
      <c r="E1719" s="9" t="n">
        <v>14348.17</v>
      </c>
      <c r="F1719" s="8" t="n"/>
      <c r="G1719" s="9" t="n">
        <v>0</v>
      </c>
      <c r="H1719" t="inlineStr">
        <is>
          <t>NOT_DUE</t>
        </is>
      </c>
      <c r="I1719">
        <f>IF(H1719="UNPAID", AsOfDate-D1719, 0)</f>
        <v/>
      </c>
      <c r="J1719">
        <f>IF(F1719&lt;&gt;"", TEXT(F1719, "yyyy-mm"), "")</f>
        <v/>
      </c>
    </row>
    <row r="1720">
      <c r="A1720" t="inlineStr">
        <is>
          <t>RP0001719</t>
        </is>
      </c>
      <c r="B1720" t="inlineStr">
        <is>
          <t>LN200258</t>
        </is>
      </c>
      <c r="C1720" t="n">
        <v>9</v>
      </c>
      <c r="D1720" s="8" t="n">
        <v>46486</v>
      </c>
      <c r="E1720" s="9" t="n">
        <v>14348.17</v>
      </c>
      <c r="F1720" s="8" t="n"/>
      <c r="G1720" s="9" t="n">
        <v>0</v>
      </c>
      <c r="H1720" t="inlineStr">
        <is>
          <t>NOT_DUE</t>
        </is>
      </c>
      <c r="I1720">
        <f>IF(H1720="UNPAID", AsOfDate-D1720, 0)</f>
        <v/>
      </c>
      <c r="J1720">
        <f>IF(F1720&lt;&gt;"", TEXT(F1720, "yyyy-mm"), "")</f>
        <v/>
      </c>
    </row>
    <row r="1721">
      <c r="A1721" t="inlineStr">
        <is>
          <t>RP0001720</t>
        </is>
      </c>
      <c r="B1721" t="inlineStr">
        <is>
          <t>LN200260</t>
        </is>
      </c>
      <c r="C1721" t="n">
        <v>1</v>
      </c>
      <c r="D1721" s="8" t="n">
        <v>45915</v>
      </c>
      <c r="E1721" s="9" t="n">
        <v>46003.83</v>
      </c>
      <c r="F1721" s="8" t="n">
        <v>45914</v>
      </c>
      <c r="G1721" s="9" t="n">
        <v>46003.83</v>
      </c>
      <c r="H1721" t="inlineStr">
        <is>
          <t>PAID_ON_TIME</t>
        </is>
      </c>
      <c r="I1721">
        <f>IF(H1721="UNPAID", AsOfDate-D1721, 0)</f>
        <v/>
      </c>
      <c r="J1721">
        <f>IF(F1721&lt;&gt;"", TEXT(F1721, "yyyy-mm"), "")</f>
        <v/>
      </c>
    </row>
    <row r="1722">
      <c r="A1722" t="inlineStr">
        <is>
          <t>RP0001721</t>
        </is>
      </c>
      <c r="B1722" t="inlineStr">
        <is>
          <t>LN200260</t>
        </is>
      </c>
      <c r="C1722" t="n">
        <v>2</v>
      </c>
      <c r="D1722" s="8" t="n">
        <v>45945</v>
      </c>
      <c r="E1722" s="9" t="n">
        <v>46003.83</v>
      </c>
      <c r="F1722" s="8" t="n">
        <v>45949</v>
      </c>
      <c r="G1722" s="9" t="n">
        <v>46003.83</v>
      </c>
      <c r="H1722" t="inlineStr">
        <is>
          <t>PAID_ON_TIME</t>
        </is>
      </c>
      <c r="I1722">
        <f>IF(H1722="UNPAID", AsOfDate-D1722, 0)</f>
        <v/>
      </c>
      <c r="J1722">
        <f>IF(F1722&lt;&gt;"", TEXT(F1722, "yyyy-mm"), "")</f>
        <v/>
      </c>
    </row>
    <row r="1723">
      <c r="A1723" t="inlineStr">
        <is>
          <t>RP0001722</t>
        </is>
      </c>
      <c r="B1723" t="inlineStr">
        <is>
          <t>LN200260</t>
        </is>
      </c>
      <c r="C1723" t="n">
        <v>3</v>
      </c>
      <c r="D1723" s="8" t="n">
        <v>45976</v>
      </c>
      <c r="E1723" s="9" t="n">
        <v>46003.83</v>
      </c>
      <c r="F1723" s="8" t="n">
        <v>45978</v>
      </c>
      <c r="G1723" s="9" t="n">
        <v>46003.83</v>
      </c>
      <c r="H1723" t="inlineStr">
        <is>
          <t>PAID_ON_TIME</t>
        </is>
      </c>
      <c r="I1723">
        <f>IF(H1723="UNPAID", AsOfDate-D1723, 0)</f>
        <v/>
      </c>
      <c r="J1723">
        <f>IF(F1723&lt;&gt;"", TEXT(F1723, "yyyy-mm"), "")</f>
        <v/>
      </c>
    </row>
    <row r="1724">
      <c r="A1724" t="inlineStr">
        <is>
          <t>RP0001723</t>
        </is>
      </c>
      <c r="B1724" t="inlineStr">
        <is>
          <t>LN200260</t>
        </is>
      </c>
      <c r="C1724" t="n">
        <v>4</v>
      </c>
      <c r="D1724" s="8" t="n">
        <v>46006</v>
      </c>
      <c r="E1724" s="9" t="n">
        <v>46003.83</v>
      </c>
      <c r="F1724" s="8" t="n">
        <v>46008</v>
      </c>
      <c r="G1724" s="9" t="n">
        <v>46003.83</v>
      </c>
      <c r="H1724" t="inlineStr">
        <is>
          <t>PAID_ON_TIME</t>
        </is>
      </c>
      <c r="I1724">
        <f>IF(H1724="UNPAID", AsOfDate-D1724, 0)</f>
        <v/>
      </c>
      <c r="J1724">
        <f>IF(F1724&lt;&gt;"", TEXT(F1724, "yyyy-mm"), "")</f>
        <v/>
      </c>
    </row>
    <row r="1725">
      <c r="A1725" t="inlineStr">
        <is>
          <t>RP0001724</t>
        </is>
      </c>
      <c r="B1725" t="inlineStr">
        <is>
          <t>LN200260</t>
        </is>
      </c>
      <c r="C1725" t="n">
        <v>5</v>
      </c>
      <c r="D1725" s="8" t="n">
        <v>46037</v>
      </c>
      <c r="E1725" s="9" t="n">
        <v>46003.83</v>
      </c>
      <c r="F1725" s="8" t="n">
        <v>46036</v>
      </c>
      <c r="G1725" s="9" t="n">
        <v>46003.83</v>
      </c>
      <c r="H1725" t="inlineStr">
        <is>
          <t>PAID_ON_TIME</t>
        </is>
      </c>
      <c r="I1725">
        <f>IF(H1725="UNPAID", AsOfDate-D1725, 0)</f>
        <v/>
      </c>
      <c r="J1725">
        <f>IF(F1725&lt;&gt;"", TEXT(F1725, "yyyy-mm"), "")</f>
        <v/>
      </c>
    </row>
    <row r="1726">
      <c r="A1726" t="inlineStr">
        <is>
          <t>RP0001725</t>
        </is>
      </c>
      <c r="B1726" t="inlineStr">
        <is>
          <t>LN200260</t>
        </is>
      </c>
      <c r="C1726" t="n">
        <v>6</v>
      </c>
      <c r="D1726" s="8" t="n">
        <v>46068</v>
      </c>
      <c r="E1726" s="9" t="n">
        <v>46003.83</v>
      </c>
      <c r="F1726" s="8" t="n"/>
      <c r="G1726" s="9" t="n">
        <v>0</v>
      </c>
      <c r="H1726" t="inlineStr">
        <is>
          <t>UNPAID</t>
        </is>
      </c>
      <c r="I1726">
        <f>IF(H1726="UNPAID", AsOfDate-D1726, 0)</f>
        <v/>
      </c>
      <c r="J1726">
        <f>IF(F1726&lt;&gt;"", TEXT(F1726, "yyyy-mm"), "")</f>
        <v/>
      </c>
    </row>
    <row r="1727">
      <c r="A1727" t="inlineStr">
        <is>
          <t>RP0001726</t>
        </is>
      </c>
      <c r="B1727" t="inlineStr">
        <is>
          <t>LN200261</t>
        </is>
      </c>
      <c r="C1727" t="n">
        <v>1</v>
      </c>
      <c r="D1727" s="8" t="n">
        <v>45911</v>
      </c>
      <c r="E1727" s="9" t="n">
        <v>14618.5</v>
      </c>
      <c r="F1727" s="8" t="n">
        <v>45912</v>
      </c>
      <c r="G1727" s="9" t="n">
        <v>14618.5</v>
      </c>
      <c r="H1727" t="inlineStr">
        <is>
          <t>PAID_ON_TIME</t>
        </is>
      </c>
      <c r="I1727">
        <f>IF(H1727="UNPAID", AsOfDate-D1727, 0)</f>
        <v/>
      </c>
      <c r="J1727">
        <f>IF(F1727&lt;&gt;"", TEXT(F1727, "yyyy-mm"), "")</f>
        <v/>
      </c>
    </row>
    <row r="1728">
      <c r="A1728" t="inlineStr">
        <is>
          <t>RP0001727</t>
        </is>
      </c>
      <c r="B1728" t="inlineStr">
        <is>
          <t>LN200261</t>
        </is>
      </c>
      <c r="C1728" t="n">
        <v>2</v>
      </c>
      <c r="D1728" s="8" t="n">
        <v>45941</v>
      </c>
      <c r="E1728" s="9" t="n">
        <v>14618.5</v>
      </c>
      <c r="F1728" s="8" t="n">
        <v>45940</v>
      </c>
      <c r="G1728" s="9" t="n">
        <v>14618.5</v>
      </c>
      <c r="H1728" t="inlineStr">
        <is>
          <t>PAID_ON_TIME</t>
        </is>
      </c>
      <c r="I1728">
        <f>IF(H1728="UNPAID", AsOfDate-D1728, 0)</f>
        <v/>
      </c>
      <c r="J1728">
        <f>IF(F1728&lt;&gt;"", TEXT(F1728, "yyyy-mm"), "")</f>
        <v/>
      </c>
    </row>
    <row r="1729">
      <c r="A1729" t="inlineStr">
        <is>
          <t>RP0001728</t>
        </is>
      </c>
      <c r="B1729" t="inlineStr">
        <is>
          <t>LN200261</t>
        </is>
      </c>
      <c r="C1729" t="n">
        <v>3</v>
      </c>
      <c r="D1729" s="8" t="n">
        <v>45972</v>
      </c>
      <c r="E1729" s="9" t="n">
        <v>14618.5</v>
      </c>
      <c r="F1729" s="8" t="n">
        <v>45971</v>
      </c>
      <c r="G1729" s="9" t="n">
        <v>14618.5</v>
      </c>
      <c r="H1729" t="inlineStr">
        <is>
          <t>PAID_ON_TIME</t>
        </is>
      </c>
      <c r="I1729">
        <f>IF(H1729="UNPAID", AsOfDate-D1729, 0)</f>
        <v/>
      </c>
      <c r="J1729">
        <f>IF(F1729&lt;&gt;"", TEXT(F1729, "yyyy-mm"), "")</f>
        <v/>
      </c>
    </row>
    <row r="1730">
      <c r="A1730" t="inlineStr">
        <is>
          <t>RP0001729</t>
        </is>
      </c>
      <c r="B1730" t="inlineStr">
        <is>
          <t>LN200261</t>
        </is>
      </c>
      <c r="C1730" t="n">
        <v>4</v>
      </c>
      <c r="D1730" s="8" t="n">
        <v>46002</v>
      </c>
      <c r="E1730" s="9" t="n">
        <v>14618.5</v>
      </c>
      <c r="F1730" s="8" t="n">
        <v>45999</v>
      </c>
      <c r="G1730" s="9" t="n">
        <v>14618.5</v>
      </c>
      <c r="H1730" t="inlineStr">
        <is>
          <t>PAID_ON_TIME</t>
        </is>
      </c>
      <c r="I1730">
        <f>IF(H1730="UNPAID", AsOfDate-D1730, 0)</f>
        <v/>
      </c>
      <c r="J1730">
        <f>IF(F1730&lt;&gt;"", TEXT(F1730, "yyyy-mm"), "")</f>
        <v/>
      </c>
    </row>
    <row r="1731">
      <c r="A1731" t="inlineStr">
        <is>
          <t>RP0001730</t>
        </is>
      </c>
      <c r="B1731" t="inlineStr">
        <is>
          <t>LN200261</t>
        </is>
      </c>
      <c r="C1731" t="n">
        <v>5</v>
      </c>
      <c r="D1731" s="8" t="n">
        <v>46033</v>
      </c>
      <c r="E1731" s="9" t="n">
        <v>14618.5</v>
      </c>
      <c r="F1731" s="8" t="n">
        <v>46037</v>
      </c>
      <c r="G1731" s="9" t="n">
        <v>14618.5</v>
      </c>
      <c r="H1731" t="inlineStr">
        <is>
          <t>PAID_ON_TIME</t>
        </is>
      </c>
      <c r="I1731">
        <f>IF(H1731="UNPAID", AsOfDate-D1731, 0)</f>
        <v/>
      </c>
      <c r="J1731">
        <f>IF(F1731&lt;&gt;"", TEXT(F1731, "yyyy-mm"), "")</f>
        <v/>
      </c>
    </row>
    <row r="1732">
      <c r="A1732" t="inlineStr">
        <is>
          <t>RP0001731</t>
        </is>
      </c>
      <c r="B1732" t="inlineStr">
        <is>
          <t>LN200261</t>
        </is>
      </c>
      <c r="C1732" t="n">
        <v>6</v>
      </c>
      <c r="D1732" s="8" t="n">
        <v>46064</v>
      </c>
      <c r="E1732" s="9" t="n">
        <v>14618.5</v>
      </c>
      <c r="F1732" s="8" t="n">
        <v>46066</v>
      </c>
      <c r="G1732" s="9" t="n">
        <v>14618.5</v>
      </c>
      <c r="H1732" t="inlineStr">
        <is>
          <t>PAID_ON_TIME</t>
        </is>
      </c>
      <c r="I1732">
        <f>IF(H1732="UNPAID", AsOfDate-D1732, 0)</f>
        <v/>
      </c>
      <c r="J1732">
        <f>IF(F1732&lt;&gt;"", TEXT(F1732, "yyyy-mm"), "")</f>
        <v/>
      </c>
    </row>
    <row r="1733">
      <c r="A1733" t="inlineStr">
        <is>
          <t>RP0001732</t>
        </is>
      </c>
      <c r="B1733" t="inlineStr">
        <is>
          <t>LN200261</t>
        </is>
      </c>
      <c r="C1733" t="n">
        <v>7</v>
      </c>
      <c r="D1733" s="8" t="n">
        <v>46092</v>
      </c>
      <c r="E1733" s="9" t="n">
        <v>14618.5</v>
      </c>
      <c r="F1733" s="8" t="n">
        <v>46096</v>
      </c>
      <c r="G1733" s="9" t="n">
        <v>14618.5</v>
      </c>
      <c r="H1733" t="inlineStr">
        <is>
          <t>PAID_ON_TIME</t>
        </is>
      </c>
      <c r="I1733">
        <f>IF(H1733="UNPAID", AsOfDate-D1733, 0)</f>
        <v/>
      </c>
      <c r="J1733">
        <f>IF(F1733&lt;&gt;"", TEXT(F1733, "yyyy-mm"), "")</f>
        <v/>
      </c>
    </row>
    <row r="1734">
      <c r="A1734" t="inlineStr">
        <is>
          <t>RP0001733</t>
        </is>
      </c>
      <c r="B1734" t="inlineStr">
        <is>
          <t>LN200261</t>
        </is>
      </c>
      <c r="C1734" t="n">
        <v>8</v>
      </c>
      <c r="D1734" s="8" t="n">
        <v>46123</v>
      </c>
      <c r="E1734" s="9" t="n">
        <v>14618.5</v>
      </c>
      <c r="F1734" s="8" t="n">
        <v>46120</v>
      </c>
      <c r="G1734" s="9" t="n">
        <v>14618.5</v>
      </c>
      <c r="H1734" t="inlineStr">
        <is>
          <t>PAID_ON_TIME</t>
        </is>
      </c>
      <c r="I1734">
        <f>IF(H1734="UNPAID", AsOfDate-D1734, 0)</f>
        <v/>
      </c>
      <c r="J1734">
        <f>IF(F1734&lt;&gt;"", TEXT(F1734, "yyyy-mm"), "")</f>
        <v/>
      </c>
    </row>
    <row r="1735">
      <c r="A1735" t="inlineStr">
        <is>
          <t>RP0001734</t>
        </is>
      </c>
      <c r="B1735" t="inlineStr">
        <is>
          <t>LN200261</t>
        </is>
      </c>
      <c r="C1735" t="n">
        <v>9</v>
      </c>
      <c r="D1735" s="8" t="n">
        <v>46153</v>
      </c>
      <c r="E1735" s="9" t="n">
        <v>14618.5</v>
      </c>
      <c r="F1735" s="8" t="n">
        <v>46179</v>
      </c>
      <c r="G1735" s="9" t="n">
        <v>14618.5</v>
      </c>
      <c r="H1735" t="inlineStr">
        <is>
          <t>PAID_LATE</t>
        </is>
      </c>
      <c r="I1735">
        <f>IF(H1735="UNPAID", AsOfDate-D1735, 0)</f>
        <v/>
      </c>
      <c r="J1735">
        <f>IF(F1735&lt;&gt;"", TEXT(F1735, "yyyy-mm"), "")</f>
        <v/>
      </c>
    </row>
    <row r="1736">
      <c r="A1736" t="inlineStr">
        <is>
          <t>RP0001735</t>
        </is>
      </c>
      <c r="B1736" t="inlineStr">
        <is>
          <t>LN200262</t>
        </is>
      </c>
      <c r="C1736" t="n">
        <v>1</v>
      </c>
      <c r="D1736" s="8" t="n">
        <v>46045</v>
      </c>
      <c r="E1736" s="9" t="n">
        <v>14371.5</v>
      </c>
      <c r="F1736" s="8" t="n">
        <v>46049</v>
      </c>
      <c r="G1736" s="9" t="n">
        <v>14371.5</v>
      </c>
      <c r="H1736" t="inlineStr">
        <is>
          <t>PAID_ON_TIME</t>
        </is>
      </c>
      <c r="I1736">
        <f>IF(H1736="UNPAID", AsOfDate-D1736, 0)</f>
        <v/>
      </c>
      <c r="J1736">
        <f>IF(F1736&lt;&gt;"", TEXT(F1736, "yyyy-mm"), "")</f>
        <v/>
      </c>
    </row>
    <row r="1737">
      <c r="A1737" t="inlineStr">
        <is>
          <t>RP0001736</t>
        </is>
      </c>
      <c r="B1737" t="inlineStr">
        <is>
          <t>LN200262</t>
        </is>
      </c>
      <c r="C1737" t="n">
        <v>2</v>
      </c>
      <c r="D1737" s="8" t="n">
        <v>46076</v>
      </c>
      <c r="E1737" s="9" t="n">
        <v>14371.5</v>
      </c>
      <c r="F1737" s="8" t="n">
        <v>46080</v>
      </c>
      <c r="G1737" s="9" t="n">
        <v>14371.5</v>
      </c>
      <c r="H1737" t="inlineStr">
        <is>
          <t>PAID_ON_TIME</t>
        </is>
      </c>
      <c r="I1737">
        <f>IF(H1737="UNPAID", AsOfDate-D1737, 0)</f>
        <v/>
      </c>
      <c r="J1737">
        <f>IF(F1737&lt;&gt;"", TEXT(F1737, "yyyy-mm"), "")</f>
        <v/>
      </c>
    </row>
    <row r="1738">
      <c r="A1738" t="inlineStr">
        <is>
          <t>RP0001737</t>
        </is>
      </c>
      <c r="B1738" t="inlineStr">
        <is>
          <t>LN200262</t>
        </is>
      </c>
      <c r="C1738" t="n">
        <v>3</v>
      </c>
      <c r="D1738" s="8" t="n">
        <v>46104</v>
      </c>
      <c r="E1738" s="9" t="n">
        <v>14371.5</v>
      </c>
      <c r="F1738" s="8" t="n">
        <v>46105</v>
      </c>
      <c r="G1738" s="9" t="n">
        <v>14371.5</v>
      </c>
      <c r="H1738" t="inlineStr">
        <is>
          <t>PAID_ON_TIME</t>
        </is>
      </c>
      <c r="I1738">
        <f>IF(H1738="UNPAID", AsOfDate-D1738, 0)</f>
        <v/>
      </c>
      <c r="J1738">
        <f>IF(F1738&lt;&gt;"", TEXT(F1738, "yyyy-mm"), "")</f>
        <v/>
      </c>
    </row>
    <row r="1739">
      <c r="A1739" t="inlineStr">
        <is>
          <t>RP0001738</t>
        </is>
      </c>
      <c r="B1739" t="inlineStr">
        <is>
          <t>LN200262</t>
        </is>
      </c>
      <c r="C1739" t="n">
        <v>4</v>
      </c>
      <c r="D1739" s="8" t="n">
        <v>46135</v>
      </c>
      <c r="E1739" s="9" t="n">
        <v>14371.5</v>
      </c>
      <c r="F1739" s="8" t="n">
        <v>46139</v>
      </c>
      <c r="G1739" s="9" t="n">
        <v>14371.5</v>
      </c>
      <c r="H1739" t="inlineStr">
        <is>
          <t>PAID_ON_TIME</t>
        </is>
      </c>
      <c r="I1739">
        <f>IF(H1739="UNPAID", AsOfDate-D1739, 0)</f>
        <v/>
      </c>
      <c r="J1739">
        <f>IF(F1739&lt;&gt;"", TEXT(F1739, "yyyy-mm"), "")</f>
        <v/>
      </c>
    </row>
    <row r="1740">
      <c r="A1740" t="inlineStr">
        <is>
          <t>RP0001739</t>
        </is>
      </c>
      <c r="B1740" t="inlineStr">
        <is>
          <t>LN200262</t>
        </is>
      </c>
      <c r="C1740" t="n">
        <v>5</v>
      </c>
      <c r="D1740" s="8" t="n">
        <v>46165</v>
      </c>
      <c r="E1740" s="9" t="n">
        <v>14371.5</v>
      </c>
      <c r="F1740" s="8" t="n">
        <v>46168</v>
      </c>
      <c r="G1740" s="9" t="n">
        <v>14371.5</v>
      </c>
      <c r="H1740" t="inlineStr">
        <is>
          <t>PAID_ON_TIME</t>
        </is>
      </c>
      <c r="I1740">
        <f>IF(H1740="UNPAID", AsOfDate-D1740, 0)</f>
        <v/>
      </c>
      <c r="J1740">
        <f>IF(F1740&lt;&gt;"", TEXT(F1740, "yyyy-mm"), "")</f>
        <v/>
      </c>
    </row>
    <row r="1741">
      <c r="A1741" t="inlineStr">
        <is>
          <t>RP0001740</t>
        </is>
      </c>
      <c r="B1741" t="inlineStr">
        <is>
          <t>LN200262</t>
        </is>
      </c>
      <c r="C1741" t="n">
        <v>6</v>
      </c>
      <c r="D1741" s="8" t="n">
        <v>46196</v>
      </c>
      <c r="E1741" s="9" t="n">
        <v>14371.5</v>
      </c>
      <c r="F1741" s="8" t="n">
        <v>46199</v>
      </c>
      <c r="G1741" s="9" t="n">
        <v>14371.5</v>
      </c>
      <c r="H1741" t="inlineStr">
        <is>
          <t>PAID_ON_TIME</t>
        </is>
      </c>
      <c r="I1741">
        <f>IF(H1741="UNPAID", AsOfDate-D1741, 0)</f>
        <v/>
      </c>
      <c r="J1741">
        <f>IF(F1741&lt;&gt;"", TEXT(F1741, "yyyy-mm"), "")</f>
        <v/>
      </c>
    </row>
    <row r="1742">
      <c r="A1742" t="inlineStr">
        <is>
          <t>RP0001741</t>
        </is>
      </c>
      <c r="B1742" t="inlineStr">
        <is>
          <t>LN200263</t>
        </is>
      </c>
      <c r="C1742" t="n">
        <v>1</v>
      </c>
      <c r="D1742" s="8" t="n">
        <v>46178</v>
      </c>
      <c r="E1742" s="9" t="n">
        <v>12922.83</v>
      </c>
      <c r="F1742" s="8" t="n">
        <v>46176</v>
      </c>
      <c r="G1742" s="9" t="n">
        <v>12922.83</v>
      </c>
      <c r="H1742" t="inlineStr">
        <is>
          <t>PAID_ON_TIME</t>
        </is>
      </c>
      <c r="I1742">
        <f>IF(H1742="UNPAID", AsOfDate-D1742, 0)</f>
        <v/>
      </c>
      <c r="J1742">
        <f>IF(F1742&lt;&gt;"", TEXT(F1742, "yyyy-mm"), "")</f>
        <v/>
      </c>
    </row>
    <row r="1743">
      <c r="A1743" t="inlineStr">
        <is>
          <t>RP0001742</t>
        </is>
      </c>
      <c r="B1743" t="inlineStr">
        <is>
          <t>LN200263</t>
        </is>
      </c>
      <c r="C1743" t="n">
        <v>2</v>
      </c>
      <c r="D1743" s="8" t="n">
        <v>46208</v>
      </c>
      <c r="E1743" s="9" t="n">
        <v>12922.83</v>
      </c>
      <c r="F1743" s="8" t="n">
        <v>46205</v>
      </c>
      <c r="G1743" s="9" t="n">
        <v>12922.83</v>
      </c>
      <c r="H1743" t="inlineStr">
        <is>
          <t>PAID_ON_TIME</t>
        </is>
      </c>
      <c r="I1743">
        <f>IF(H1743="UNPAID", AsOfDate-D1743, 0)</f>
        <v/>
      </c>
      <c r="J1743">
        <f>IF(F1743&lt;&gt;"", TEXT(F1743, "yyyy-mm"), "")</f>
        <v/>
      </c>
    </row>
    <row r="1744">
      <c r="A1744" t="inlineStr">
        <is>
          <t>RP0001743</t>
        </is>
      </c>
      <c r="B1744" t="inlineStr">
        <is>
          <t>LN200263</t>
        </is>
      </c>
      <c r="C1744" t="n">
        <v>3</v>
      </c>
      <c r="D1744" s="8" t="n">
        <v>46239</v>
      </c>
      <c r="E1744" s="9" t="n">
        <v>12922.83</v>
      </c>
      <c r="F1744" s="8" t="n">
        <v>46240</v>
      </c>
      <c r="G1744" s="9" t="n">
        <v>12922.83</v>
      </c>
      <c r="H1744" t="inlineStr">
        <is>
          <t>PAID_ON_TIME</t>
        </is>
      </c>
      <c r="I1744">
        <f>IF(H1744="UNPAID", AsOfDate-D1744, 0)</f>
        <v/>
      </c>
      <c r="J1744">
        <f>IF(F1744&lt;&gt;"", TEXT(F1744, "yyyy-mm"), "")</f>
        <v/>
      </c>
    </row>
    <row r="1745">
      <c r="A1745" t="inlineStr">
        <is>
          <t>RP0001744</t>
        </is>
      </c>
      <c r="B1745" t="inlineStr">
        <is>
          <t>LN200263</t>
        </is>
      </c>
      <c r="C1745" t="n">
        <v>4</v>
      </c>
      <c r="D1745" s="8" t="n">
        <v>46270</v>
      </c>
      <c r="E1745" s="9" t="n">
        <v>12922.83</v>
      </c>
      <c r="F1745" s="8" t="n"/>
      <c r="G1745" s="9" t="n">
        <v>0</v>
      </c>
      <c r="H1745" t="inlineStr">
        <is>
          <t>NOT_DUE</t>
        </is>
      </c>
      <c r="I1745">
        <f>IF(H1745="UNPAID", AsOfDate-D1745, 0)</f>
        <v/>
      </c>
      <c r="J1745">
        <f>IF(F1745&lt;&gt;"", TEXT(F1745, "yyyy-mm"), "")</f>
        <v/>
      </c>
    </row>
    <row r="1746">
      <c r="A1746" t="inlineStr">
        <is>
          <t>RP0001745</t>
        </is>
      </c>
      <c r="B1746" t="inlineStr">
        <is>
          <t>LN200263</t>
        </is>
      </c>
      <c r="C1746" t="n">
        <v>5</v>
      </c>
      <c r="D1746" s="8" t="n">
        <v>46300</v>
      </c>
      <c r="E1746" s="9" t="n">
        <v>12922.83</v>
      </c>
      <c r="F1746" s="8" t="n"/>
      <c r="G1746" s="9" t="n">
        <v>0</v>
      </c>
      <c r="H1746" t="inlineStr">
        <is>
          <t>NOT_DUE</t>
        </is>
      </c>
      <c r="I1746">
        <f>IF(H1746="UNPAID", AsOfDate-D1746, 0)</f>
        <v/>
      </c>
      <c r="J1746">
        <f>IF(F1746&lt;&gt;"", TEXT(F1746, "yyyy-mm"), "")</f>
        <v/>
      </c>
    </row>
    <row r="1747">
      <c r="A1747" t="inlineStr">
        <is>
          <t>RP0001746</t>
        </is>
      </c>
      <c r="B1747" t="inlineStr">
        <is>
          <t>LN200263</t>
        </is>
      </c>
      <c r="C1747" t="n">
        <v>6</v>
      </c>
      <c r="D1747" s="8" t="n">
        <v>46331</v>
      </c>
      <c r="E1747" s="9" t="n">
        <v>12922.83</v>
      </c>
      <c r="F1747" s="8" t="n"/>
      <c r="G1747" s="9" t="n">
        <v>0</v>
      </c>
      <c r="H1747" t="inlineStr">
        <is>
          <t>NOT_DUE</t>
        </is>
      </c>
      <c r="I1747">
        <f>IF(H1747="UNPAID", AsOfDate-D1747, 0)</f>
        <v/>
      </c>
      <c r="J1747">
        <f>IF(F1747&lt;&gt;"", TEXT(F1747, "yyyy-mm"), "")</f>
        <v/>
      </c>
    </row>
    <row r="1748">
      <c r="A1748" t="inlineStr">
        <is>
          <t>RP0001747</t>
        </is>
      </c>
      <c r="B1748" t="inlineStr">
        <is>
          <t>LN200263</t>
        </is>
      </c>
      <c r="C1748" t="n">
        <v>7</v>
      </c>
      <c r="D1748" s="8" t="n">
        <v>46361</v>
      </c>
      <c r="E1748" s="9" t="n">
        <v>12922.83</v>
      </c>
      <c r="F1748" s="8" t="n"/>
      <c r="G1748" s="9" t="n">
        <v>0</v>
      </c>
      <c r="H1748" t="inlineStr">
        <is>
          <t>NOT_DUE</t>
        </is>
      </c>
      <c r="I1748">
        <f>IF(H1748="UNPAID", AsOfDate-D1748, 0)</f>
        <v/>
      </c>
      <c r="J1748">
        <f>IF(F1748&lt;&gt;"", TEXT(F1748, "yyyy-mm"), "")</f>
        <v/>
      </c>
    </row>
    <row r="1749">
      <c r="A1749" t="inlineStr">
        <is>
          <t>RP0001748</t>
        </is>
      </c>
      <c r="B1749" t="inlineStr">
        <is>
          <t>LN200263</t>
        </is>
      </c>
      <c r="C1749" t="n">
        <v>8</v>
      </c>
      <c r="D1749" s="8" t="n">
        <v>46392</v>
      </c>
      <c r="E1749" s="9" t="n">
        <v>12922.83</v>
      </c>
      <c r="F1749" s="8" t="n"/>
      <c r="G1749" s="9" t="n">
        <v>0</v>
      </c>
      <c r="H1749" t="inlineStr">
        <is>
          <t>NOT_DUE</t>
        </is>
      </c>
      <c r="I1749">
        <f>IF(H1749="UNPAID", AsOfDate-D1749, 0)</f>
        <v/>
      </c>
      <c r="J1749">
        <f>IF(F1749&lt;&gt;"", TEXT(F1749, "yyyy-mm"), "")</f>
        <v/>
      </c>
    </row>
    <row r="1750">
      <c r="A1750" t="inlineStr">
        <is>
          <t>RP0001749</t>
        </is>
      </c>
      <c r="B1750" t="inlineStr">
        <is>
          <t>LN200263</t>
        </is>
      </c>
      <c r="C1750" t="n">
        <v>9</v>
      </c>
      <c r="D1750" s="8" t="n">
        <v>46423</v>
      </c>
      <c r="E1750" s="9" t="n">
        <v>12922.83</v>
      </c>
      <c r="F1750" s="8" t="n"/>
      <c r="G1750" s="9" t="n">
        <v>0</v>
      </c>
      <c r="H1750" t="inlineStr">
        <is>
          <t>NOT_DUE</t>
        </is>
      </c>
      <c r="I1750">
        <f>IF(H1750="UNPAID", AsOfDate-D1750, 0)</f>
        <v/>
      </c>
      <c r="J1750">
        <f>IF(F1750&lt;&gt;"", TEXT(F1750, "yyyy-mm"), "")</f>
        <v/>
      </c>
    </row>
    <row r="1751">
      <c r="A1751" t="inlineStr">
        <is>
          <t>RP0001750</t>
        </is>
      </c>
      <c r="B1751" t="inlineStr">
        <is>
          <t>LN200264</t>
        </is>
      </c>
      <c r="C1751" t="n">
        <v>1</v>
      </c>
      <c r="D1751" s="8" t="n">
        <v>46135</v>
      </c>
      <c r="E1751" s="9" t="n">
        <v>44851.08</v>
      </c>
      <c r="F1751" s="8" t="n">
        <v>46140</v>
      </c>
      <c r="G1751" s="9" t="n">
        <v>44851.08</v>
      </c>
      <c r="H1751" t="inlineStr">
        <is>
          <t>PAID_LATE</t>
        </is>
      </c>
      <c r="I1751">
        <f>IF(H1751="UNPAID", AsOfDate-D1751, 0)</f>
        <v/>
      </c>
      <c r="J1751">
        <f>IF(F1751&lt;&gt;"", TEXT(F1751, "yyyy-mm"), "")</f>
        <v/>
      </c>
    </row>
    <row r="1752">
      <c r="A1752" t="inlineStr">
        <is>
          <t>RP0001751</t>
        </is>
      </c>
      <c r="B1752" t="inlineStr">
        <is>
          <t>LN200264</t>
        </is>
      </c>
      <c r="C1752" t="n">
        <v>2</v>
      </c>
      <c r="D1752" s="8" t="n">
        <v>46165</v>
      </c>
      <c r="E1752" s="9" t="n">
        <v>44851.08</v>
      </c>
      <c r="F1752" s="8" t="n">
        <v>46167</v>
      </c>
      <c r="G1752" s="9" t="n">
        <v>44851.08</v>
      </c>
      <c r="H1752" t="inlineStr">
        <is>
          <t>PAID_ON_TIME</t>
        </is>
      </c>
      <c r="I1752">
        <f>IF(H1752="UNPAID", AsOfDate-D1752, 0)</f>
        <v/>
      </c>
      <c r="J1752">
        <f>IF(F1752&lt;&gt;"", TEXT(F1752, "yyyy-mm"), "")</f>
        <v/>
      </c>
    </row>
    <row r="1753">
      <c r="A1753" t="inlineStr">
        <is>
          <t>RP0001752</t>
        </is>
      </c>
      <c r="B1753" t="inlineStr">
        <is>
          <t>LN200264</t>
        </is>
      </c>
      <c r="C1753" t="n">
        <v>3</v>
      </c>
      <c r="D1753" s="8" t="n">
        <v>46196</v>
      </c>
      <c r="E1753" s="9" t="n">
        <v>44851.08</v>
      </c>
      <c r="F1753" s="8" t="n">
        <v>46193</v>
      </c>
      <c r="G1753" s="9" t="n">
        <v>44851.08</v>
      </c>
      <c r="H1753" t="inlineStr">
        <is>
          <t>PAID_ON_TIME</t>
        </is>
      </c>
      <c r="I1753">
        <f>IF(H1753="UNPAID", AsOfDate-D1753, 0)</f>
        <v/>
      </c>
      <c r="J1753">
        <f>IF(F1753&lt;&gt;"", TEXT(F1753, "yyyy-mm"), "")</f>
        <v/>
      </c>
    </row>
    <row r="1754">
      <c r="A1754" t="inlineStr">
        <is>
          <t>RP0001753</t>
        </is>
      </c>
      <c r="B1754" t="inlineStr">
        <is>
          <t>LN200264</t>
        </is>
      </c>
      <c r="C1754" t="n">
        <v>4</v>
      </c>
      <c r="D1754" s="8" t="n">
        <v>46226</v>
      </c>
      <c r="E1754" s="9" t="n">
        <v>44851.08</v>
      </c>
      <c r="F1754" s="8" t="n">
        <v>46227</v>
      </c>
      <c r="G1754" s="9" t="n">
        <v>44851.08</v>
      </c>
      <c r="H1754" t="inlineStr">
        <is>
          <t>PAID_ON_TIME</t>
        </is>
      </c>
      <c r="I1754">
        <f>IF(H1754="UNPAID", AsOfDate-D1754, 0)</f>
        <v/>
      </c>
      <c r="J1754">
        <f>IF(F1754&lt;&gt;"", TEXT(F1754, "yyyy-mm"), "")</f>
        <v/>
      </c>
    </row>
    <row r="1755">
      <c r="A1755" t="inlineStr">
        <is>
          <t>RP0001754</t>
        </is>
      </c>
      <c r="B1755" t="inlineStr">
        <is>
          <t>LN200264</t>
        </is>
      </c>
      <c r="C1755" t="n">
        <v>5</v>
      </c>
      <c r="D1755" s="8" t="n">
        <v>46257</v>
      </c>
      <c r="E1755" s="9" t="n">
        <v>44851.08</v>
      </c>
      <c r="F1755" s="8" t="n">
        <v>46258</v>
      </c>
      <c r="G1755" s="9" t="n">
        <v>44851.08</v>
      </c>
      <c r="H1755" t="inlineStr">
        <is>
          <t>PAID_ON_TIME</t>
        </is>
      </c>
      <c r="I1755">
        <f>IF(H1755="UNPAID", AsOfDate-D1755, 0)</f>
        <v/>
      </c>
      <c r="J1755">
        <f>IF(F1755&lt;&gt;"", TEXT(F1755, "yyyy-mm"), "")</f>
        <v/>
      </c>
    </row>
    <row r="1756">
      <c r="A1756" t="inlineStr">
        <is>
          <t>RP0001755</t>
        </is>
      </c>
      <c r="B1756" t="inlineStr">
        <is>
          <t>LN200264</t>
        </is>
      </c>
      <c r="C1756" t="n">
        <v>6</v>
      </c>
      <c r="D1756" s="8" t="n">
        <v>46288</v>
      </c>
      <c r="E1756" s="9" t="n">
        <v>44851.08</v>
      </c>
      <c r="F1756" s="8" t="n"/>
      <c r="G1756" s="9" t="n">
        <v>0</v>
      </c>
      <c r="H1756" t="inlineStr">
        <is>
          <t>NOT_DUE</t>
        </is>
      </c>
      <c r="I1756">
        <f>IF(H1756="UNPAID", AsOfDate-D1756, 0)</f>
        <v/>
      </c>
      <c r="J1756">
        <f>IF(F1756&lt;&gt;"", TEXT(F1756, "yyyy-mm"), "")</f>
        <v/>
      </c>
    </row>
    <row r="1757">
      <c r="A1757" t="inlineStr">
        <is>
          <t>RP0001756</t>
        </is>
      </c>
      <c r="B1757" t="inlineStr">
        <is>
          <t>LN200265</t>
        </is>
      </c>
      <c r="C1757" t="n">
        <v>1</v>
      </c>
      <c r="D1757" s="8" t="n">
        <v>45908</v>
      </c>
      <c r="E1757" s="9" t="n">
        <v>8669.719999999999</v>
      </c>
      <c r="F1757" s="8" t="n">
        <v>45908</v>
      </c>
      <c r="G1757" s="9" t="n">
        <v>8669.719999999999</v>
      </c>
      <c r="H1757" t="inlineStr">
        <is>
          <t>PAID_ON_TIME</t>
        </is>
      </c>
      <c r="I1757">
        <f>IF(H1757="UNPAID", AsOfDate-D1757, 0)</f>
        <v/>
      </c>
      <c r="J1757">
        <f>IF(F1757&lt;&gt;"", TEXT(F1757, "yyyy-mm"), "")</f>
        <v/>
      </c>
    </row>
    <row r="1758">
      <c r="A1758" t="inlineStr">
        <is>
          <t>RP0001757</t>
        </is>
      </c>
      <c r="B1758" t="inlineStr">
        <is>
          <t>LN200265</t>
        </is>
      </c>
      <c r="C1758" t="n">
        <v>2</v>
      </c>
      <c r="D1758" s="8" t="n">
        <v>45938</v>
      </c>
      <c r="E1758" s="9" t="n">
        <v>8669.719999999999</v>
      </c>
      <c r="F1758" s="8" t="n">
        <v>45936</v>
      </c>
      <c r="G1758" s="9" t="n">
        <v>8669.719999999999</v>
      </c>
      <c r="H1758" t="inlineStr">
        <is>
          <t>PAID_ON_TIME</t>
        </is>
      </c>
      <c r="I1758">
        <f>IF(H1758="UNPAID", AsOfDate-D1758, 0)</f>
        <v/>
      </c>
      <c r="J1758">
        <f>IF(F1758&lt;&gt;"", TEXT(F1758, "yyyy-mm"), "")</f>
        <v/>
      </c>
    </row>
    <row r="1759">
      <c r="A1759" t="inlineStr">
        <is>
          <t>RP0001758</t>
        </is>
      </c>
      <c r="B1759" t="inlineStr">
        <is>
          <t>LN200265</t>
        </is>
      </c>
      <c r="C1759" t="n">
        <v>3</v>
      </c>
      <c r="D1759" s="8" t="n">
        <v>45969</v>
      </c>
      <c r="E1759" s="9" t="n">
        <v>8669.719999999999</v>
      </c>
      <c r="F1759" s="8" t="n">
        <v>45971</v>
      </c>
      <c r="G1759" s="9" t="n">
        <v>8669.719999999999</v>
      </c>
      <c r="H1759" t="inlineStr">
        <is>
          <t>PAID_ON_TIME</t>
        </is>
      </c>
      <c r="I1759">
        <f>IF(H1759="UNPAID", AsOfDate-D1759, 0)</f>
        <v/>
      </c>
      <c r="J1759">
        <f>IF(F1759&lt;&gt;"", TEXT(F1759, "yyyy-mm"), "")</f>
        <v/>
      </c>
    </row>
    <row r="1760">
      <c r="A1760" t="inlineStr">
        <is>
          <t>RP0001759</t>
        </is>
      </c>
      <c r="B1760" t="inlineStr">
        <is>
          <t>LN200265</t>
        </is>
      </c>
      <c r="C1760" t="n">
        <v>4</v>
      </c>
      <c r="D1760" s="8" t="n">
        <v>45999</v>
      </c>
      <c r="E1760" s="9" t="n">
        <v>8669.719999999999</v>
      </c>
      <c r="F1760" s="8" t="n">
        <v>46003</v>
      </c>
      <c r="G1760" s="9" t="n">
        <v>8669.719999999999</v>
      </c>
      <c r="H1760" t="inlineStr">
        <is>
          <t>PAID_ON_TIME</t>
        </is>
      </c>
      <c r="I1760">
        <f>IF(H1760="UNPAID", AsOfDate-D1760, 0)</f>
        <v/>
      </c>
      <c r="J1760">
        <f>IF(F1760&lt;&gt;"", TEXT(F1760, "yyyy-mm"), "")</f>
        <v/>
      </c>
    </row>
    <row r="1761">
      <c r="A1761" t="inlineStr">
        <is>
          <t>RP0001760</t>
        </is>
      </c>
      <c r="B1761" t="inlineStr">
        <is>
          <t>LN200265</t>
        </is>
      </c>
      <c r="C1761" t="n">
        <v>5</v>
      </c>
      <c r="D1761" s="8" t="n">
        <v>46030</v>
      </c>
      <c r="E1761" s="9" t="n">
        <v>8669.719999999999</v>
      </c>
      <c r="F1761" s="8" t="n">
        <v>46030</v>
      </c>
      <c r="G1761" s="9" t="n">
        <v>8669.719999999999</v>
      </c>
      <c r="H1761" t="inlineStr">
        <is>
          <t>PAID_ON_TIME</t>
        </is>
      </c>
      <c r="I1761">
        <f>IF(H1761="UNPAID", AsOfDate-D1761, 0)</f>
        <v/>
      </c>
      <c r="J1761">
        <f>IF(F1761&lt;&gt;"", TEXT(F1761, "yyyy-mm"), "")</f>
        <v/>
      </c>
    </row>
    <row r="1762">
      <c r="A1762" t="inlineStr">
        <is>
          <t>RP0001761</t>
        </is>
      </c>
      <c r="B1762" t="inlineStr">
        <is>
          <t>LN200265</t>
        </is>
      </c>
      <c r="C1762" t="n">
        <v>6</v>
      </c>
      <c r="D1762" s="8" t="n">
        <v>46061</v>
      </c>
      <c r="E1762" s="9" t="n">
        <v>8669.719999999999</v>
      </c>
      <c r="F1762" s="8" t="n">
        <v>46063</v>
      </c>
      <c r="G1762" s="9" t="n">
        <v>8669.719999999999</v>
      </c>
      <c r="H1762" t="inlineStr">
        <is>
          <t>PAID_ON_TIME</t>
        </is>
      </c>
      <c r="I1762">
        <f>IF(H1762="UNPAID", AsOfDate-D1762, 0)</f>
        <v/>
      </c>
      <c r="J1762">
        <f>IF(F1762&lt;&gt;"", TEXT(F1762, "yyyy-mm"), "")</f>
        <v/>
      </c>
    </row>
    <row r="1763">
      <c r="A1763" t="inlineStr">
        <is>
          <t>RP0001762</t>
        </is>
      </c>
      <c r="B1763" t="inlineStr">
        <is>
          <t>LN200265</t>
        </is>
      </c>
      <c r="C1763" t="n">
        <v>7</v>
      </c>
      <c r="D1763" s="8" t="n">
        <v>46089</v>
      </c>
      <c r="E1763" s="9" t="n">
        <v>8669.719999999999</v>
      </c>
      <c r="F1763" s="8" t="n">
        <v>46087</v>
      </c>
      <c r="G1763" s="9" t="n">
        <v>8669.719999999999</v>
      </c>
      <c r="H1763" t="inlineStr">
        <is>
          <t>PAID_ON_TIME</t>
        </is>
      </c>
      <c r="I1763">
        <f>IF(H1763="UNPAID", AsOfDate-D1763, 0)</f>
        <v/>
      </c>
      <c r="J1763">
        <f>IF(F1763&lt;&gt;"", TEXT(F1763, "yyyy-mm"), "")</f>
        <v/>
      </c>
    </row>
    <row r="1764">
      <c r="A1764" t="inlineStr">
        <is>
          <t>RP0001763</t>
        </is>
      </c>
      <c r="B1764" t="inlineStr">
        <is>
          <t>LN200265</t>
        </is>
      </c>
      <c r="C1764" t="n">
        <v>8</v>
      </c>
      <c r="D1764" s="8" t="n">
        <v>46120</v>
      </c>
      <c r="E1764" s="9" t="n">
        <v>8669.719999999999</v>
      </c>
      <c r="F1764" s="8" t="n">
        <v>46118</v>
      </c>
      <c r="G1764" s="9" t="n">
        <v>8669.719999999999</v>
      </c>
      <c r="H1764" t="inlineStr">
        <is>
          <t>PAID_ON_TIME</t>
        </is>
      </c>
      <c r="I1764">
        <f>IF(H1764="UNPAID", AsOfDate-D1764, 0)</f>
        <v/>
      </c>
      <c r="J1764">
        <f>IF(F1764&lt;&gt;"", TEXT(F1764, "yyyy-mm"), "")</f>
        <v/>
      </c>
    </row>
    <row r="1765">
      <c r="A1765" t="inlineStr">
        <is>
          <t>RP0001764</t>
        </is>
      </c>
      <c r="B1765" t="inlineStr">
        <is>
          <t>LN200265</t>
        </is>
      </c>
      <c r="C1765" t="n">
        <v>9</v>
      </c>
      <c r="D1765" s="8" t="n">
        <v>46150</v>
      </c>
      <c r="E1765" s="9" t="n">
        <v>8669.719999999999</v>
      </c>
      <c r="F1765" s="8" t="n">
        <v>46147</v>
      </c>
      <c r="G1765" s="9" t="n">
        <v>8669.719999999999</v>
      </c>
      <c r="H1765" t="inlineStr">
        <is>
          <t>PAID_ON_TIME</t>
        </is>
      </c>
      <c r="I1765">
        <f>IF(H1765="UNPAID", AsOfDate-D1765, 0)</f>
        <v/>
      </c>
      <c r="J1765">
        <f>IF(F1765&lt;&gt;"", TEXT(F1765, "yyyy-mm"), "")</f>
        <v/>
      </c>
    </row>
    <row r="1766">
      <c r="A1766" t="inlineStr">
        <is>
          <t>RP0001765</t>
        </is>
      </c>
      <c r="B1766" t="inlineStr">
        <is>
          <t>LN200265</t>
        </is>
      </c>
      <c r="C1766" t="n">
        <v>10</v>
      </c>
      <c r="D1766" s="8" t="n">
        <v>46181</v>
      </c>
      <c r="E1766" s="9" t="n">
        <v>8669.719999999999</v>
      </c>
      <c r="F1766" s="8" t="n">
        <v>46185</v>
      </c>
      <c r="G1766" s="9" t="n">
        <v>8669.719999999999</v>
      </c>
      <c r="H1766" t="inlineStr">
        <is>
          <t>PAID_ON_TIME</t>
        </is>
      </c>
      <c r="I1766">
        <f>IF(H1766="UNPAID", AsOfDate-D1766, 0)</f>
        <v/>
      </c>
      <c r="J1766">
        <f>IF(F1766&lt;&gt;"", TEXT(F1766, "yyyy-mm"), "")</f>
        <v/>
      </c>
    </row>
    <row r="1767">
      <c r="A1767" t="inlineStr">
        <is>
          <t>RP0001766</t>
        </is>
      </c>
      <c r="B1767" t="inlineStr">
        <is>
          <t>LN200265</t>
        </is>
      </c>
      <c r="C1767" t="n">
        <v>11</v>
      </c>
      <c r="D1767" s="8" t="n">
        <v>46211</v>
      </c>
      <c r="E1767" s="9" t="n">
        <v>8669.719999999999</v>
      </c>
      <c r="F1767" s="8" t="n">
        <v>46209</v>
      </c>
      <c r="G1767" s="9" t="n">
        <v>8669.719999999999</v>
      </c>
      <c r="H1767" t="inlineStr">
        <is>
          <t>PAID_ON_TIME</t>
        </is>
      </c>
      <c r="I1767">
        <f>IF(H1767="UNPAID", AsOfDate-D1767, 0)</f>
        <v/>
      </c>
      <c r="J1767">
        <f>IF(F1767&lt;&gt;"", TEXT(F1767, "yyyy-mm"), "")</f>
        <v/>
      </c>
    </row>
    <row r="1768">
      <c r="A1768" t="inlineStr">
        <is>
          <t>RP0001767</t>
        </is>
      </c>
      <c r="B1768" t="inlineStr">
        <is>
          <t>LN200265</t>
        </is>
      </c>
      <c r="C1768" t="n">
        <v>12</v>
      </c>
      <c r="D1768" s="8" t="n">
        <v>46242</v>
      </c>
      <c r="E1768" s="9" t="n">
        <v>8669.719999999999</v>
      </c>
      <c r="F1768" s="8" t="n">
        <v>46240</v>
      </c>
      <c r="G1768" s="9" t="n">
        <v>8669.719999999999</v>
      </c>
      <c r="H1768" t="inlineStr">
        <is>
          <t>PAID_ON_TIME</t>
        </is>
      </c>
      <c r="I1768">
        <f>IF(H1768="UNPAID", AsOfDate-D1768, 0)</f>
        <v/>
      </c>
      <c r="J1768">
        <f>IF(F1768&lt;&gt;"", TEXT(F1768, "yyyy-mm"), "")</f>
        <v/>
      </c>
    </row>
    <row r="1769">
      <c r="A1769" t="inlineStr">
        <is>
          <t>RP0001768</t>
        </is>
      </c>
      <c r="B1769" t="inlineStr">
        <is>
          <t>LN200265</t>
        </is>
      </c>
      <c r="C1769" t="n">
        <v>13</v>
      </c>
      <c r="D1769" s="8" t="n">
        <v>46273</v>
      </c>
      <c r="E1769" s="9" t="n">
        <v>8669.719999999999</v>
      </c>
      <c r="F1769" s="8" t="n"/>
      <c r="G1769" s="9" t="n">
        <v>0</v>
      </c>
      <c r="H1769" t="inlineStr">
        <is>
          <t>NOT_DUE</t>
        </is>
      </c>
      <c r="I1769">
        <f>IF(H1769="UNPAID", AsOfDate-D1769, 0)</f>
        <v/>
      </c>
      <c r="J1769">
        <f>IF(F1769&lt;&gt;"", TEXT(F1769, "yyyy-mm"), "")</f>
        <v/>
      </c>
    </row>
    <row r="1770">
      <c r="A1770" t="inlineStr">
        <is>
          <t>RP0001769</t>
        </is>
      </c>
      <c r="B1770" t="inlineStr">
        <is>
          <t>LN200265</t>
        </is>
      </c>
      <c r="C1770" t="n">
        <v>14</v>
      </c>
      <c r="D1770" s="8" t="n">
        <v>46303</v>
      </c>
      <c r="E1770" s="9" t="n">
        <v>8669.719999999999</v>
      </c>
      <c r="F1770" s="8" t="n"/>
      <c r="G1770" s="9" t="n">
        <v>0</v>
      </c>
      <c r="H1770" t="inlineStr">
        <is>
          <t>NOT_DUE</t>
        </is>
      </c>
      <c r="I1770">
        <f>IF(H1770="UNPAID", AsOfDate-D1770, 0)</f>
        <v/>
      </c>
      <c r="J1770">
        <f>IF(F1770&lt;&gt;"", TEXT(F1770, "yyyy-mm"), "")</f>
        <v/>
      </c>
    </row>
    <row r="1771">
      <c r="A1771" t="inlineStr">
        <is>
          <t>RP0001770</t>
        </is>
      </c>
      <c r="B1771" t="inlineStr">
        <is>
          <t>LN200265</t>
        </is>
      </c>
      <c r="C1771" t="n">
        <v>15</v>
      </c>
      <c r="D1771" s="8" t="n">
        <v>46334</v>
      </c>
      <c r="E1771" s="9" t="n">
        <v>8669.719999999999</v>
      </c>
      <c r="F1771" s="8" t="n"/>
      <c r="G1771" s="9" t="n">
        <v>0</v>
      </c>
      <c r="H1771" t="inlineStr">
        <is>
          <t>NOT_DUE</t>
        </is>
      </c>
      <c r="I1771">
        <f>IF(H1771="UNPAID", AsOfDate-D1771, 0)</f>
        <v/>
      </c>
      <c r="J1771">
        <f>IF(F1771&lt;&gt;"", TEXT(F1771, "yyyy-mm"), "")</f>
        <v/>
      </c>
    </row>
    <row r="1772">
      <c r="A1772" t="inlineStr">
        <is>
          <t>RP0001771</t>
        </is>
      </c>
      <c r="B1772" t="inlineStr">
        <is>
          <t>LN200265</t>
        </is>
      </c>
      <c r="C1772" t="n">
        <v>16</v>
      </c>
      <c r="D1772" s="8" t="n">
        <v>46364</v>
      </c>
      <c r="E1772" s="9" t="n">
        <v>8669.719999999999</v>
      </c>
      <c r="F1772" s="8" t="n"/>
      <c r="G1772" s="9" t="n">
        <v>0</v>
      </c>
      <c r="H1772" t="inlineStr">
        <is>
          <t>NOT_DUE</t>
        </is>
      </c>
      <c r="I1772">
        <f>IF(H1772="UNPAID", AsOfDate-D1772, 0)</f>
        <v/>
      </c>
      <c r="J1772">
        <f>IF(F1772&lt;&gt;"", TEXT(F1772, "yyyy-mm"), "")</f>
        <v/>
      </c>
    </row>
    <row r="1773">
      <c r="A1773" t="inlineStr">
        <is>
          <t>RP0001772</t>
        </is>
      </c>
      <c r="B1773" t="inlineStr">
        <is>
          <t>LN200265</t>
        </is>
      </c>
      <c r="C1773" t="n">
        <v>17</v>
      </c>
      <c r="D1773" s="8" t="n">
        <v>46395</v>
      </c>
      <c r="E1773" s="9" t="n">
        <v>8669.719999999999</v>
      </c>
      <c r="F1773" s="8" t="n"/>
      <c r="G1773" s="9" t="n">
        <v>0</v>
      </c>
      <c r="H1773" t="inlineStr">
        <is>
          <t>NOT_DUE</t>
        </is>
      </c>
      <c r="I1773">
        <f>IF(H1773="UNPAID", AsOfDate-D1773, 0)</f>
        <v/>
      </c>
      <c r="J1773">
        <f>IF(F1773&lt;&gt;"", TEXT(F1773, "yyyy-mm"), "")</f>
        <v/>
      </c>
    </row>
    <row r="1774">
      <c r="A1774" t="inlineStr">
        <is>
          <t>RP0001773</t>
        </is>
      </c>
      <c r="B1774" t="inlineStr">
        <is>
          <t>LN200265</t>
        </is>
      </c>
      <c r="C1774" t="n">
        <v>18</v>
      </c>
      <c r="D1774" s="8" t="n">
        <v>46426</v>
      </c>
      <c r="E1774" s="9" t="n">
        <v>8669.719999999999</v>
      </c>
      <c r="F1774" s="8" t="n"/>
      <c r="G1774" s="9" t="n">
        <v>0</v>
      </c>
      <c r="H1774" t="inlineStr">
        <is>
          <t>NOT_DUE</t>
        </is>
      </c>
      <c r="I1774">
        <f>IF(H1774="UNPAID", AsOfDate-D1774, 0)</f>
        <v/>
      </c>
      <c r="J1774">
        <f>IF(F1774&lt;&gt;"", TEXT(F1774, "yyyy-mm"), "")</f>
        <v/>
      </c>
    </row>
    <row r="1775">
      <c r="A1775" t="inlineStr">
        <is>
          <t>RP0001774</t>
        </is>
      </c>
      <c r="B1775" t="inlineStr">
        <is>
          <t>LN200266</t>
        </is>
      </c>
      <c r="C1775" t="n">
        <v>1</v>
      </c>
      <c r="D1775" s="8" t="n">
        <v>46018</v>
      </c>
      <c r="E1775" s="9" t="n">
        <v>14640</v>
      </c>
      <c r="F1775" s="8" t="n">
        <v>46021</v>
      </c>
      <c r="G1775" s="9" t="n">
        <v>14640</v>
      </c>
      <c r="H1775" t="inlineStr">
        <is>
          <t>PAID_ON_TIME</t>
        </is>
      </c>
      <c r="I1775">
        <f>IF(H1775="UNPAID", AsOfDate-D1775, 0)</f>
        <v/>
      </c>
      <c r="J1775">
        <f>IF(F1775&lt;&gt;"", TEXT(F1775, "yyyy-mm"), "")</f>
        <v/>
      </c>
    </row>
    <row r="1776">
      <c r="A1776" t="inlineStr">
        <is>
          <t>RP0001775</t>
        </is>
      </c>
      <c r="B1776" t="inlineStr">
        <is>
          <t>LN200266</t>
        </is>
      </c>
      <c r="C1776" t="n">
        <v>2</v>
      </c>
      <c r="D1776" s="8" t="n">
        <v>46049</v>
      </c>
      <c r="E1776" s="9" t="n">
        <v>14640</v>
      </c>
      <c r="F1776" s="8" t="n">
        <v>46046</v>
      </c>
      <c r="G1776" s="9" t="n">
        <v>14640</v>
      </c>
      <c r="H1776" t="inlineStr">
        <is>
          <t>PAID_ON_TIME</t>
        </is>
      </c>
      <c r="I1776">
        <f>IF(H1776="UNPAID", AsOfDate-D1776, 0)</f>
        <v/>
      </c>
      <c r="J1776">
        <f>IF(F1776&lt;&gt;"", TEXT(F1776, "yyyy-mm"), "")</f>
        <v/>
      </c>
    </row>
    <row r="1777">
      <c r="A1777" t="inlineStr">
        <is>
          <t>RP0001776</t>
        </is>
      </c>
      <c r="B1777" t="inlineStr">
        <is>
          <t>LN200266</t>
        </is>
      </c>
      <c r="C1777" t="n">
        <v>3</v>
      </c>
      <c r="D1777" s="8" t="n">
        <v>46080</v>
      </c>
      <c r="E1777" s="9" t="n">
        <v>14640</v>
      </c>
      <c r="F1777" s="8" t="n">
        <v>46083</v>
      </c>
      <c r="G1777" s="9" t="n">
        <v>14640</v>
      </c>
      <c r="H1777" t="inlineStr">
        <is>
          <t>PAID_ON_TIME</t>
        </is>
      </c>
      <c r="I1777">
        <f>IF(H1777="UNPAID", AsOfDate-D1777, 0)</f>
        <v/>
      </c>
      <c r="J1777">
        <f>IF(F1777&lt;&gt;"", TEXT(F1777, "yyyy-mm"), "")</f>
        <v/>
      </c>
    </row>
    <row r="1778">
      <c r="A1778" t="inlineStr">
        <is>
          <t>RP0001777</t>
        </is>
      </c>
      <c r="B1778" t="inlineStr">
        <is>
          <t>LN200266</t>
        </is>
      </c>
      <c r="C1778" t="n">
        <v>4</v>
      </c>
      <c r="D1778" s="8" t="n">
        <v>46108</v>
      </c>
      <c r="E1778" s="9" t="n">
        <v>14640</v>
      </c>
      <c r="F1778" s="8" t="n">
        <v>46111</v>
      </c>
      <c r="G1778" s="9" t="n">
        <v>14640</v>
      </c>
      <c r="H1778" t="inlineStr">
        <is>
          <t>PAID_ON_TIME</t>
        </is>
      </c>
      <c r="I1778">
        <f>IF(H1778="UNPAID", AsOfDate-D1778, 0)</f>
        <v/>
      </c>
      <c r="J1778">
        <f>IF(F1778&lt;&gt;"", TEXT(F1778, "yyyy-mm"), "")</f>
        <v/>
      </c>
    </row>
    <row r="1779">
      <c r="A1779" t="inlineStr">
        <is>
          <t>RP0001778</t>
        </is>
      </c>
      <c r="B1779" t="inlineStr">
        <is>
          <t>LN200266</t>
        </is>
      </c>
      <c r="C1779" t="n">
        <v>5</v>
      </c>
      <c r="D1779" s="8" t="n">
        <v>46139</v>
      </c>
      <c r="E1779" s="9" t="n">
        <v>14640</v>
      </c>
      <c r="F1779" s="8" t="n">
        <v>46139</v>
      </c>
      <c r="G1779" s="9" t="n">
        <v>14640</v>
      </c>
      <c r="H1779" t="inlineStr">
        <is>
          <t>PAID_ON_TIME</t>
        </is>
      </c>
      <c r="I1779">
        <f>IF(H1779="UNPAID", AsOfDate-D1779, 0)</f>
        <v/>
      </c>
      <c r="J1779">
        <f>IF(F1779&lt;&gt;"", TEXT(F1779, "yyyy-mm"), "")</f>
        <v/>
      </c>
    </row>
    <row r="1780">
      <c r="A1780" t="inlineStr">
        <is>
          <t>RP0001779</t>
        </is>
      </c>
      <c r="B1780" t="inlineStr">
        <is>
          <t>LN200266</t>
        </is>
      </c>
      <c r="C1780" t="n">
        <v>6</v>
      </c>
      <c r="D1780" s="8" t="n">
        <v>46169</v>
      </c>
      <c r="E1780" s="9" t="n">
        <v>14640</v>
      </c>
      <c r="F1780" s="8" t="n">
        <v>46171</v>
      </c>
      <c r="G1780" s="9" t="n">
        <v>14640</v>
      </c>
      <c r="H1780" t="inlineStr">
        <is>
          <t>PAID_ON_TIME</t>
        </is>
      </c>
      <c r="I1780">
        <f>IF(H1780="UNPAID", AsOfDate-D1780, 0)</f>
        <v/>
      </c>
      <c r="J1780">
        <f>IF(F1780&lt;&gt;"", TEXT(F1780, "yyyy-mm"), "")</f>
        <v/>
      </c>
    </row>
    <row r="1781">
      <c r="A1781" t="inlineStr">
        <is>
          <t>RP0001780</t>
        </is>
      </c>
      <c r="B1781" t="inlineStr">
        <is>
          <t>LN200267</t>
        </is>
      </c>
      <c r="C1781" t="n">
        <v>1</v>
      </c>
      <c r="D1781" s="8" t="n">
        <v>45703</v>
      </c>
      <c r="E1781" s="9" t="n">
        <v>2437.89</v>
      </c>
      <c r="F1781" s="8" t="n">
        <v>45701</v>
      </c>
      <c r="G1781" s="9" t="n">
        <v>2437.89</v>
      </c>
      <c r="H1781" t="inlineStr">
        <is>
          <t>PAID_ON_TIME</t>
        </is>
      </c>
      <c r="I1781">
        <f>IF(H1781="UNPAID", AsOfDate-D1781, 0)</f>
        <v/>
      </c>
      <c r="J1781">
        <f>IF(F1781&lt;&gt;"", TEXT(F1781, "yyyy-mm"), "")</f>
        <v/>
      </c>
    </row>
    <row r="1782">
      <c r="A1782" t="inlineStr">
        <is>
          <t>RP0001781</t>
        </is>
      </c>
      <c r="B1782" t="inlineStr">
        <is>
          <t>LN200267</t>
        </is>
      </c>
      <c r="C1782" t="n">
        <v>2</v>
      </c>
      <c r="D1782" s="8" t="n">
        <v>45731</v>
      </c>
      <c r="E1782" s="9" t="n">
        <v>2437.89</v>
      </c>
      <c r="F1782" s="8" t="n">
        <v>45730</v>
      </c>
      <c r="G1782" s="9" t="n">
        <v>2437.89</v>
      </c>
      <c r="H1782" t="inlineStr">
        <is>
          <t>PAID_ON_TIME</t>
        </is>
      </c>
      <c r="I1782">
        <f>IF(H1782="UNPAID", AsOfDate-D1782, 0)</f>
        <v/>
      </c>
      <c r="J1782">
        <f>IF(F1782&lt;&gt;"", TEXT(F1782, "yyyy-mm"), "")</f>
        <v/>
      </c>
    </row>
    <row r="1783">
      <c r="A1783" t="inlineStr">
        <is>
          <t>RP0001782</t>
        </is>
      </c>
      <c r="B1783" t="inlineStr">
        <is>
          <t>LN200267</t>
        </is>
      </c>
      <c r="C1783" t="n">
        <v>3</v>
      </c>
      <c r="D1783" s="8" t="n">
        <v>45762</v>
      </c>
      <c r="E1783" s="9" t="n">
        <v>2437.89</v>
      </c>
      <c r="F1783" s="8" t="n">
        <v>45764</v>
      </c>
      <c r="G1783" s="9" t="n">
        <v>2437.89</v>
      </c>
      <c r="H1783" t="inlineStr">
        <is>
          <t>PAID_ON_TIME</t>
        </is>
      </c>
      <c r="I1783">
        <f>IF(H1783="UNPAID", AsOfDate-D1783, 0)</f>
        <v/>
      </c>
      <c r="J1783">
        <f>IF(F1783&lt;&gt;"", TEXT(F1783, "yyyy-mm"), "")</f>
        <v/>
      </c>
    </row>
    <row r="1784">
      <c r="A1784" t="inlineStr">
        <is>
          <t>RP0001783</t>
        </is>
      </c>
      <c r="B1784" t="inlineStr">
        <is>
          <t>LN200267</t>
        </is>
      </c>
      <c r="C1784" t="n">
        <v>4</v>
      </c>
      <c r="D1784" s="8" t="n">
        <v>45792</v>
      </c>
      <c r="E1784" s="9" t="n">
        <v>2437.89</v>
      </c>
      <c r="F1784" s="8" t="n">
        <v>45796</v>
      </c>
      <c r="G1784" s="9" t="n">
        <v>2437.89</v>
      </c>
      <c r="H1784" t="inlineStr">
        <is>
          <t>PAID_ON_TIME</t>
        </is>
      </c>
      <c r="I1784">
        <f>IF(H1784="UNPAID", AsOfDate-D1784, 0)</f>
        <v/>
      </c>
      <c r="J1784">
        <f>IF(F1784&lt;&gt;"", TEXT(F1784, "yyyy-mm"), "")</f>
        <v/>
      </c>
    </row>
    <row r="1785">
      <c r="A1785" t="inlineStr">
        <is>
          <t>RP0001784</t>
        </is>
      </c>
      <c r="B1785" t="inlineStr">
        <is>
          <t>LN200267</t>
        </is>
      </c>
      <c r="C1785" t="n">
        <v>5</v>
      </c>
      <c r="D1785" s="8" t="n">
        <v>45823</v>
      </c>
      <c r="E1785" s="9" t="n">
        <v>2437.89</v>
      </c>
      <c r="F1785" s="8" t="n">
        <v>45821</v>
      </c>
      <c r="G1785" s="9" t="n">
        <v>2437.89</v>
      </c>
      <c r="H1785" t="inlineStr">
        <is>
          <t>PAID_ON_TIME</t>
        </is>
      </c>
      <c r="I1785">
        <f>IF(H1785="UNPAID", AsOfDate-D1785, 0)</f>
        <v/>
      </c>
      <c r="J1785">
        <f>IF(F1785&lt;&gt;"", TEXT(F1785, "yyyy-mm"), "")</f>
        <v/>
      </c>
    </row>
    <row r="1786">
      <c r="A1786" t="inlineStr">
        <is>
          <t>RP0001785</t>
        </is>
      </c>
      <c r="B1786" t="inlineStr">
        <is>
          <t>LN200267</t>
        </is>
      </c>
      <c r="C1786" t="n">
        <v>6</v>
      </c>
      <c r="D1786" s="8" t="n">
        <v>45853</v>
      </c>
      <c r="E1786" s="9" t="n">
        <v>2437.89</v>
      </c>
      <c r="F1786" s="8" t="n">
        <v>45962</v>
      </c>
      <c r="G1786" s="9" t="n">
        <v>2437.89</v>
      </c>
      <c r="H1786" t="inlineStr">
        <is>
          <t>PAID_LATE</t>
        </is>
      </c>
      <c r="I1786">
        <f>IF(H1786="UNPAID", AsOfDate-D1786, 0)</f>
        <v/>
      </c>
      <c r="J1786">
        <f>IF(F1786&lt;&gt;"", TEXT(F1786, "yyyy-mm"), "")</f>
        <v/>
      </c>
    </row>
    <row r="1787">
      <c r="A1787" t="inlineStr">
        <is>
          <t>RP0001786</t>
        </is>
      </c>
      <c r="B1787" t="inlineStr">
        <is>
          <t>LN200267</t>
        </is>
      </c>
      <c r="C1787" t="n">
        <v>7</v>
      </c>
      <c r="D1787" s="8" t="n">
        <v>45884</v>
      </c>
      <c r="E1787" s="9" t="n">
        <v>2437.89</v>
      </c>
      <c r="F1787" s="8" t="n">
        <v>45886</v>
      </c>
      <c r="G1787" s="9" t="n">
        <v>2437.89</v>
      </c>
      <c r="H1787" t="inlineStr">
        <is>
          <t>PAID_ON_TIME</t>
        </is>
      </c>
      <c r="I1787">
        <f>IF(H1787="UNPAID", AsOfDate-D1787, 0)</f>
        <v/>
      </c>
      <c r="J1787">
        <f>IF(F1787&lt;&gt;"", TEXT(F1787, "yyyy-mm"), "")</f>
        <v/>
      </c>
    </row>
    <row r="1788">
      <c r="A1788" t="inlineStr">
        <is>
          <t>RP0001787</t>
        </is>
      </c>
      <c r="B1788" t="inlineStr">
        <is>
          <t>LN200267</t>
        </is>
      </c>
      <c r="C1788" t="n">
        <v>8</v>
      </c>
      <c r="D1788" s="8" t="n">
        <v>45915</v>
      </c>
      <c r="E1788" s="9" t="n">
        <v>2437.89</v>
      </c>
      <c r="F1788" s="8" t="n">
        <v>45913</v>
      </c>
      <c r="G1788" s="9" t="n">
        <v>2437.89</v>
      </c>
      <c r="H1788" t="inlineStr">
        <is>
          <t>PAID_ON_TIME</t>
        </is>
      </c>
      <c r="I1788">
        <f>IF(H1788="UNPAID", AsOfDate-D1788, 0)</f>
        <v/>
      </c>
      <c r="J1788">
        <f>IF(F1788&lt;&gt;"", TEXT(F1788, "yyyy-mm"), "")</f>
        <v/>
      </c>
    </row>
    <row r="1789">
      <c r="A1789" t="inlineStr">
        <is>
          <t>RP0001788</t>
        </is>
      </c>
      <c r="B1789" t="inlineStr">
        <is>
          <t>LN200267</t>
        </is>
      </c>
      <c r="C1789" t="n">
        <v>9</v>
      </c>
      <c r="D1789" s="8" t="n">
        <v>45945</v>
      </c>
      <c r="E1789" s="9" t="n">
        <v>2437.89</v>
      </c>
      <c r="F1789" s="8" t="n">
        <v>45946</v>
      </c>
      <c r="G1789" s="9" t="n">
        <v>2437.89</v>
      </c>
      <c r="H1789" t="inlineStr">
        <is>
          <t>PAID_ON_TIME</t>
        </is>
      </c>
      <c r="I1789">
        <f>IF(H1789="UNPAID", AsOfDate-D1789, 0)</f>
        <v/>
      </c>
      <c r="J1789">
        <f>IF(F1789&lt;&gt;"", TEXT(F1789, "yyyy-mm"), "")</f>
        <v/>
      </c>
    </row>
    <row r="1790">
      <c r="A1790" t="inlineStr">
        <is>
          <t>RP0001789</t>
        </is>
      </c>
      <c r="B1790" t="inlineStr">
        <is>
          <t>LN200267</t>
        </is>
      </c>
      <c r="C1790" t="n">
        <v>10</v>
      </c>
      <c r="D1790" s="8" t="n">
        <v>45976</v>
      </c>
      <c r="E1790" s="9" t="n">
        <v>2437.89</v>
      </c>
      <c r="F1790" s="8" t="n">
        <v>45978</v>
      </c>
      <c r="G1790" s="9" t="n">
        <v>2437.89</v>
      </c>
      <c r="H1790" t="inlineStr">
        <is>
          <t>PAID_ON_TIME</t>
        </is>
      </c>
      <c r="I1790">
        <f>IF(H1790="UNPAID", AsOfDate-D1790, 0)</f>
        <v/>
      </c>
      <c r="J1790">
        <f>IF(F1790&lt;&gt;"", TEXT(F1790, "yyyy-mm"), "")</f>
        <v/>
      </c>
    </row>
    <row r="1791">
      <c r="A1791" t="inlineStr">
        <is>
          <t>RP0001790</t>
        </is>
      </c>
      <c r="B1791" t="inlineStr">
        <is>
          <t>LN200267</t>
        </is>
      </c>
      <c r="C1791" t="n">
        <v>11</v>
      </c>
      <c r="D1791" s="8" t="n">
        <v>46006</v>
      </c>
      <c r="E1791" s="9" t="n">
        <v>2437.89</v>
      </c>
      <c r="F1791" s="8" t="n">
        <v>46005</v>
      </c>
      <c r="G1791" s="9" t="n">
        <v>2437.89</v>
      </c>
      <c r="H1791" t="inlineStr">
        <is>
          <t>PAID_ON_TIME</t>
        </is>
      </c>
      <c r="I1791">
        <f>IF(H1791="UNPAID", AsOfDate-D1791, 0)</f>
        <v/>
      </c>
      <c r="J1791">
        <f>IF(F1791&lt;&gt;"", TEXT(F1791, "yyyy-mm"), "")</f>
        <v/>
      </c>
    </row>
    <row r="1792">
      <c r="A1792" t="inlineStr">
        <is>
          <t>RP0001791</t>
        </is>
      </c>
      <c r="B1792" t="inlineStr">
        <is>
          <t>LN200267</t>
        </is>
      </c>
      <c r="C1792" t="n">
        <v>12</v>
      </c>
      <c r="D1792" s="8" t="n">
        <v>46037</v>
      </c>
      <c r="E1792" s="9" t="n">
        <v>2437.89</v>
      </c>
      <c r="F1792" s="8" t="n">
        <v>46038</v>
      </c>
      <c r="G1792" s="9" t="n">
        <v>2437.89</v>
      </c>
      <c r="H1792" t="inlineStr">
        <is>
          <t>PAID_ON_TIME</t>
        </is>
      </c>
      <c r="I1792">
        <f>IF(H1792="UNPAID", AsOfDate-D1792, 0)</f>
        <v/>
      </c>
      <c r="J1792">
        <f>IF(F1792&lt;&gt;"", TEXT(F1792, "yyyy-mm"), "")</f>
        <v/>
      </c>
    </row>
    <row r="1793">
      <c r="A1793" t="inlineStr">
        <is>
          <t>RP0001792</t>
        </is>
      </c>
      <c r="B1793" t="inlineStr">
        <is>
          <t>LN200267</t>
        </is>
      </c>
      <c r="C1793" t="n">
        <v>13</v>
      </c>
      <c r="D1793" s="8" t="n">
        <v>46068</v>
      </c>
      <c r="E1793" s="9" t="n">
        <v>2437.89</v>
      </c>
      <c r="F1793" s="8" t="n">
        <v>46070</v>
      </c>
      <c r="G1793" s="9" t="n">
        <v>2437.89</v>
      </c>
      <c r="H1793" t="inlineStr">
        <is>
          <t>PAID_ON_TIME</t>
        </is>
      </c>
      <c r="I1793">
        <f>IF(H1793="UNPAID", AsOfDate-D1793, 0)</f>
        <v/>
      </c>
      <c r="J1793">
        <f>IF(F1793&lt;&gt;"", TEXT(F1793, "yyyy-mm"), "")</f>
        <v/>
      </c>
    </row>
    <row r="1794">
      <c r="A1794" t="inlineStr">
        <is>
          <t>RP0001793</t>
        </is>
      </c>
      <c r="B1794" t="inlineStr">
        <is>
          <t>LN200267</t>
        </is>
      </c>
      <c r="C1794" t="n">
        <v>14</v>
      </c>
      <c r="D1794" s="8" t="n">
        <v>46096</v>
      </c>
      <c r="E1794" s="9" t="n">
        <v>2437.89</v>
      </c>
      <c r="F1794" s="8" t="n">
        <v>46099</v>
      </c>
      <c r="G1794" s="9" t="n">
        <v>2437.89</v>
      </c>
      <c r="H1794" t="inlineStr">
        <is>
          <t>PAID_ON_TIME</t>
        </is>
      </c>
      <c r="I1794">
        <f>IF(H1794="UNPAID", AsOfDate-D1794, 0)</f>
        <v/>
      </c>
      <c r="J1794">
        <f>IF(F1794&lt;&gt;"", TEXT(F1794, "yyyy-mm"), "")</f>
        <v/>
      </c>
    </row>
    <row r="1795">
      <c r="A1795" t="inlineStr">
        <is>
          <t>RP0001794</t>
        </is>
      </c>
      <c r="B1795" t="inlineStr">
        <is>
          <t>LN200267</t>
        </is>
      </c>
      <c r="C1795" t="n">
        <v>15</v>
      </c>
      <c r="D1795" s="8" t="n">
        <v>46127</v>
      </c>
      <c r="E1795" s="9" t="n">
        <v>2437.89</v>
      </c>
      <c r="F1795" s="8" t="n">
        <v>46127</v>
      </c>
      <c r="G1795" s="9" t="n">
        <v>2437.89</v>
      </c>
      <c r="H1795" t="inlineStr">
        <is>
          <t>PAID_ON_TIME</t>
        </is>
      </c>
      <c r="I1795">
        <f>IF(H1795="UNPAID", AsOfDate-D1795, 0)</f>
        <v/>
      </c>
      <c r="J1795">
        <f>IF(F1795&lt;&gt;"", TEXT(F1795, "yyyy-mm"), "")</f>
        <v/>
      </c>
    </row>
    <row r="1796">
      <c r="A1796" t="inlineStr">
        <is>
          <t>RP0001795</t>
        </is>
      </c>
      <c r="B1796" t="inlineStr">
        <is>
          <t>LN200267</t>
        </is>
      </c>
      <c r="C1796" t="n">
        <v>16</v>
      </c>
      <c r="D1796" s="8" t="n">
        <v>46157</v>
      </c>
      <c r="E1796" s="9" t="n">
        <v>2437.89</v>
      </c>
      <c r="F1796" s="8" t="n">
        <v>46159</v>
      </c>
      <c r="G1796" s="9" t="n">
        <v>2437.89</v>
      </c>
      <c r="H1796" t="inlineStr">
        <is>
          <t>PAID_ON_TIME</t>
        </is>
      </c>
      <c r="I1796">
        <f>IF(H1796="UNPAID", AsOfDate-D1796, 0)</f>
        <v/>
      </c>
      <c r="J1796">
        <f>IF(F1796&lt;&gt;"", TEXT(F1796, "yyyy-mm"), "")</f>
        <v/>
      </c>
    </row>
    <row r="1797">
      <c r="A1797" t="inlineStr">
        <is>
          <t>RP0001796</t>
        </is>
      </c>
      <c r="B1797" t="inlineStr">
        <is>
          <t>LN200267</t>
        </is>
      </c>
      <c r="C1797" t="n">
        <v>17</v>
      </c>
      <c r="D1797" s="8" t="n">
        <v>46188</v>
      </c>
      <c r="E1797" s="9" t="n">
        <v>2437.89</v>
      </c>
      <c r="F1797" s="8" t="n"/>
      <c r="G1797" s="9" t="n">
        <v>0</v>
      </c>
      <c r="H1797" t="inlineStr">
        <is>
          <t>UNPAID</t>
        </is>
      </c>
      <c r="I1797">
        <f>IF(H1797="UNPAID", AsOfDate-D1797, 0)</f>
        <v/>
      </c>
      <c r="J1797">
        <f>IF(F1797&lt;&gt;"", TEXT(F1797, "yyyy-mm"), "")</f>
        <v/>
      </c>
    </row>
    <row r="1798">
      <c r="A1798" t="inlineStr">
        <is>
          <t>RP0001797</t>
        </is>
      </c>
      <c r="B1798" t="inlineStr">
        <is>
          <t>LN200267</t>
        </is>
      </c>
      <c r="C1798" t="n">
        <v>18</v>
      </c>
      <c r="D1798" s="8" t="n">
        <v>46218</v>
      </c>
      <c r="E1798" s="9" t="n">
        <v>2437.89</v>
      </c>
      <c r="F1798" s="8" t="n">
        <v>46220</v>
      </c>
      <c r="G1798" s="9" t="n">
        <v>2437.89</v>
      </c>
      <c r="H1798" t="inlineStr">
        <is>
          <t>PAID_ON_TIME</t>
        </is>
      </c>
      <c r="I1798">
        <f>IF(H1798="UNPAID", AsOfDate-D1798, 0)</f>
        <v/>
      </c>
      <c r="J1798">
        <f>IF(F1798&lt;&gt;"", TEXT(F1798, "yyyy-mm"), "")</f>
        <v/>
      </c>
    </row>
    <row r="1799">
      <c r="A1799" t="inlineStr">
        <is>
          <t>RP0001798</t>
        </is>
      </c>
      <c r="B1799" t="inlineStr">
        <is>
          <t>LN200268</t>
        </is>
      </c>
      <c r="C1799" t="n">
        <v>1</v>
      </c>
      <c r="D1799" s="8" t="n">
        <v>46114</v>
      </c>
      <c r="E1799" s="9" t="n">
        <v>25709.67</v>
      </c>
      <c r="F1799" s="8" t="n">
        <v>46113</v>
      </c>
      <c r="G1799" s="9" t="n">
        <v>25709.67</v>
      </c>
      <c r="H1799" t="inlineStr">
        <is>
          <t>PAID_ON_TIME</t>
        </is>
      </c>
      <c r="I1799">
        <f>IF(H1799="UNPAID", AsOfDate-D1799, 0)</f>
        <v/>
      </c>
      <c r="J1799">
        <f>IF(F1799&lt;&gt;"", TEXT(F1799, "yyyy-mm"), "")</f>
        <v/>
      </c>
    </row>
    <row r="1800">
      <c r="A1800" t="inlineStr">
        <is>
          <t>RP0001799</t>
        </is>
      </c>
      <c r="B1800" t="inlineStr">
        <is>
          <t>LN200268</t>
        </is>
      </c>
      <c r="C1800" t="n">
        <v>2</v>
      </c>
      <c r="D1800" s="8" t="n">
        <v>46144</v>
      </c>
      <c r="E1800" s="9" t="n">
        <v>25709.67</v>
      </c>
      <c r="F1800" s="8" t="n">
        <v>46184</v>
      </c>
      <c r="G1800" s="9" t="n">
        <v>25709.67</v>
      </c>
      <c r="H1800" t="inlineStr">
        <is>
          <t>PAID_LATE</t>
        </is>
      </c>
      <c r="I1800">
        <f>IF(H1800="UNPAID", AsOfDate-D1800, 0)</f>
        <v/>
      </c>
      <c r="J1800">
        <f>IF(F1800&lt;&gt;"", TEXT(F1800, "yyyy-mm"), "")</f>
        <v/>
      </c>
    </row>
    <row r="1801">
      <c r="A1801" t="inlineStr">
        <is>
          <t>RP0001800</t>
        </is>
      </c>
      <c r="B1801" t="inlineStr">
        <is>
          <t>LN200268</t>
        </is>
      </c>
      <c r="C1801" t="n">
        <v>3</v>
      </c>
      <c r="D1801" s="8" t="n">
        <v>46175</v>
      </c>
      <c r="E1801" s="9" t="n">
        <v>25709.67</v>
      </c>
      <c r="F1801" s="8" t="n">
        <v>46174</v>
      </c>
      <c r="G1801" s="9" t="n">
        <v>25709.67</v>
      </c>
      <c r="H1801" t="inlineStr">
        <is>
          <t>PAID_ON_TIME</t>
        </is>
      </c>
      <c r="I1801">
        <f>IF(H1801="UNPAID", AsOfDate-D1801, 0)</f>
        <v/>
      </c>
      <c r="J1801">
        <f>IF(F1801&lt;&gt;"", TEXT(F1801, "yyyy-mm"), "")</f>
        <v/>
      </c>
    </row>
    <row r="1802">
      <c r="A1802" t="inlineStr">
        <is>
          <t>RP0001801</t>
        </is>
      </c>
      <c r="B1802" t="inlineStr">
        <is>
          <t>LN200268</t>
        </is>
      </c>
      <c r="C1802" t="n">
        <v>4</v>
      </c>
      <c r="D1802" s="8" t="n">
        <v>46205</v>
      </c>
      <c r="E1802" s="9" t="n">
        <v>25709.67</v>
      </c>
      <c r="F1802" s="8" t="n">
        <v>46206</v>
      </c>
      <c r="G1802" s="9" t="n">
        <v>25709.67</v>
      </c>
      <c r="H1802" t="inlineStr">
        <is>
          <t>PAID_ON_TIME</t>
        </is>
      </c>
      <c r="I1802">
        <f>IF(H1802="UNPAID", AsOfDate-D1802, 0)</f>
        <v/>
      </c>
      <c r="J1802">
        <f>IF(F1802&lt;&gt;"", TEXT(F1802, "yyyy-mm"), "")</f>
        <v/>
      </c>
    </row>
    <row r="1803">
      <c r="A1803" t="inlineStr">
        <is>
          <t>RP0001802</t>
        </is>
      </c>
      <c r="B1803" t="inlineStr">
        <is>
          <t>LN200268</t>
        </is>
      </c>
      <c r="C1803" t="n">
        <v>5</v>
      </c>
      <c r="D1803" s="8" t="n">
        <v>46236</v>
      </c>
      <c r="E1803" s="9" t="n">
        <v>25709.67</v>
      </c>
      <c r="F1803" s="8" t="n">
        <v>46234</v>
      </c>
      <c r="G1803" s="9" t="n">
        <v>25709.67</v>
      </c>
      <c r="H1803" t="inlineStr">
        <is>
          <t>PAID_ON_TIME</t>
        </is>
      </c>
      <c r="I1803">
        <f>IF(H1803="UNPAID", AsOfDate-D1803, 0)</f>
        <v/>
      </c>
      <c r="J1803">
        <f>IF(F1803&lt;&gt;"", TEXT(F1803, "yyyy-mm"), "")</f>
        <v/>
      </c>
    </row>
    <row r="1804">
      <c r="A1804" t="inlineStr">
        <is>
          <t>RP0001803</t>
        </is>
      </c>
      <c r="B1804" t="inlineStr">
        <is>
          <t>LN200268</t>
        </is>
      </c>
      <c r="C1804" t="n">
        <v>6</v>
      </c>
      <c r="D1804" s="8" t="n">
        <v>46267</v>
      </c>
      <c r="E1804" s="9" t="n">
        <v>25709.67</v>
      </c>
      <c r="F1804" s="8" t="n"/>
      <c r="G1804" s="9" t="n">
        <v>0</v>
      </c>
      <c r="H1804" t="inlineStr">
        <is>
          <t>NOT_DUE</t>
        </is>
      </c>
      <c r="I1804">
        <f>IF(H1804="UNPAID", AsOfDate-D1804, 0)</f>
        <v/>
      </c>
      <c r="J1804">
        <f>IF(F1804&lt;&gt;"", TEXT(F1804, "yyyy-mm"), "")</f>
        <v/>
      </c>
    </row>
    <row r="1805">
      <c r="A1805" t="inlineStr">
        <is>
          <t>RP0001804</t>
        </is>
      </c>
      <c r="B1805" t="inlineStr">
        <is>
          <t>LN200268</t>
        </is>
      </c>
      <c r="C1805" t="n">
        <v>7</v>
      </c>
      <c r="D1805" s="8" t="n">
        <v>46297</v>
      </c>
      <c r="E1805" s="9" t="n">
        <v>25709.67</v>
      </c>
      <c r="F1805" s="8" t="n"/>
      <c r="G1805" s="9" t="n">
        <v>0</v>
      </c>
      <c r="H1805" t="inlineStr">
        <is>
          <t>NOT_DUE</t>
        </is>
      </c>
      <c r="I1805">
        <f>IF(H1805="UNPAID", AsOfDate-D1805, 0)</f>
        <v/>
      </c>
      <c r="J1805">
        <f>IF(F1805&lt;&gt;"", TEXT(F1805, "yyyy-mm"), "")</f>
        <v/>
      </c>
    </row>
    <row r="1806">
      <c r="A1806" t="inlineStr">
        <is>
          <t>RP0001805</t>
        </is>
      </c>
      <c r="B1806" t="inlineStr">
        <is>
          <t>LN200268</t>
        </is>
      </c>
      <c r="C1806" t="n">
        <v>8</v>
      </c>
      <c r="D1806" s="8" t="n">
        <v>46328</v>
      </c>
      <c r="E1806" s="9" t="n">
        <v>25709.67</v>
      </c>
      <c r="F1806" s="8" t="n"/>
      <c r="G1806" s="9" t="n">
        <v>0</v>
      </c>
      <c r="H1806" t="inlineStr">
        <is>
          <t>NOT_DUE</t>
        </is>
      </c>
      <c r="I1806">
        <f>IF(H1806="UNPAID", AsOfDate-D1806, 0)</f>
        <v/>
      </c>
      <c r="J1806">
        <f>IF(F1806&lt;&gt;"", TEXT(F1806, "yyyy-mm"), "")</f>
        <v/>
      </c>
    </row>
    <row r="1807">
      <c r="A1807" t="inlineStr">
        <is>
          <t>RP0001806</t>
        </is>
      </c>
      <c r="B1807" t="inlineStr">
        <is>
          <t>LN200268</t>
        </is>
      </c>
      <c r="C1807" t="n">
        <v>9</v>
      </c>
      <c r="D1807" s="8" t="n">
        <v>46358</v>
      </c>
      <c r="E1807" s="9" t="n">
        <v>25709.67</v>
      </c>
      <c r="F1807" s="8" t="n"/>
      <c r="G1807" s="9" t="n">
        <v>0</v>
      </c>
      <c r="H1807" t="inlineStr">
        <is>
          <t>NOT_DUE</t>
        </is>
      </c>
      <c r="I1807">
        <f>IF(H1807="UNPAID", AsOfDate-D1807, 0)</f>
        <v/>
      </c>
      <c r="J1807">
        <f>IF(F1807&lt;&gt;"", TEXT(F1807, "yyyy-mm"), "")</f>
        <v/>
      </c>
    </row>
    <row r="1808">
      <c r="A1808" t="inlineStr">
        <is>
          <t>RP0001807</t>
        </is>
      </c>
      <c r="B1808" t="inlineStr">
        <is>
          <t>LN200269</t>
        </is>
      </c>
      <c r="C1808" t="n">
        <v>1</v>
      </c>
      <c r="D1808" s="8" t="n">
        <v>46145</v>
      </c>
      <c r="E1808" s="9" t="n">
        <v>6993.33</v>
      </c>
      <c r="F1808" s="8" t="n">
        <v>46144</v>
      </c>
      <c r="G1808" s="9" t="n">
        <v>6993.33</v>
      </c>
      <c r="H1808" t="inlineStr">
        <is>
          <t>PAID_ON_TIME</t>
        </is>
      </c>
      <c r="I1808">
        <f>IF(H1808="UNPAID", AsOfDate-D1808, 0)</f>
        <v/>
      </c>
      <c r="J1808">
        <f>IF(F1808&lt;&gt;"", TEXT(F1808, "yyyy-mm"), "")</f>
        <v/>
      </c>
    </row>
    <row r="1809">
      <c r="A1809" t="inlineStr">
        <is>
          <t>RP0001808</t>
        </is>
      </c>
      <c r="B1809" t="inlineStr">
        <is>
          <t>LN200269</t>
        </is>
      </c>
      <c r="C1809" t="n">
        <v>2</v>
      </c>
      <c r="D1809" s="8" t="n">
        <v>46176</v>
      </c>
      <c r="E1809" s="9" t="n">
        <v>6993.33</v>
      </c>
      <c r="F1809" s="8" t="n">
        <v>46178</v>
      </c>
      <c r="G1809" s="9" t="n">
        <v>6993.33</v>
      </c>
      <c r="H1809" t="inlineStr">
        <is>
          <t>PAID_ON_TIME</t>
        </is>
      </c>
      <c r="I1809">
        <f>IF(H1809="UNPAID", AsOfDate-D1809, 0)</f>
        <v/>
      </c>
      <c r="J1809">
        <f>IF(F1809&lt;&gt;"", TEXT(F1809, "yyyy-mm"), "")</f>
        <v/>
      </c>
    </row>
    <row r="1810">
      <c r="A1810" t="inlineStr">
        <is>
          <t>RP0001809</t>
        </is>
      </c>
      <c r="B1810" t="inlineStr">
        <is>
          <t>LN200269</t>
        </is>
      </c>
      <c r="C1810" t="n">
        <v>3</v>
      </c>
      <c r="D1810" s="8" t="n">
        <v>46206</v>
      </c>
      <c r="E1810" s="9" t="n">
        <v>6993.33</v>
      </c>
      <c r="F1810" s="8" t="n"/>
      <c r="G1810" s="9" t="n">
        <v>0</v>
      </c>
      <c r="H1810" t="inlineStr">
        <is>
          <t>UNPAID</t>
        </is>
      </c>
      <c r="I1810">
        <f>IF(H1810="UNPAID", AsOfDate-D1810, 0)</f>
        <v/>
      </c>
      <c r="J1810">
        <f>IF(F1810&lt;&gt;"", TEXT(F1810, "yyyy-mm"), "")</f>
        <v/>
      </c>
    </row>
    <row r="1811">
      <c r="A1811" t="inlineStr">
        <is>
          <t>RP0001810</t>
        </is>
      </c>
      <c r="B1811" t="inlineStr">
        <is>
          <t>LN200270</t>
        </is>
      </c>
      <c r="C1811" t="n">
        <v>1</v>
      </c>
      <c r="D1811" s="8" t="n">
        <v>46105</v>
      </c>
      <c r="E1811" s="9" t="n">
        <v>26947.56</v>
      </c>
      <c r="F1811" s="8" t="n">
        <v>46108</v>
      </c>
      <c r="G1811" s="9" t="n">
        <v>26947.56</v>
      </c>
      <c r="H1811" t="inlineStr">
        <is>
          <t>PAID_ON_TIME</t>
        </is>
      </c>
      <c r="I1811">
        <f>IF(H1811="UNPAID", AsOfDate-D1811, 0)</f>
        <v/>
      </c>
      <c r="J1811">
        <f>IF(F1811&lt;&gt;"", TEXT(F1811, "yyyy-mm"), "")</f>
        <v/>
      </c>
    </row>
    <row r="1812">
      <c r="A1812" t="inlineStr">
        <is>
          <t>RP0001811</t>
        </is>
      </c>
      <c r="B1812" t="inlineStr">
        <is>
          <t>LN200270</t>
        </is>
      </c>
      <c r="C1812" t="n">
        <v>2</v>
      </c>
      <c r="D1812" s="8" t="n">
        <v>46136</v>
      </c>
      <c r="E1812" s="9" t="n">
        <v>26947.56</v>
      </c>
      <c r="F1812" s="8" t="n">
        <v>46138</v>
      </c>
      <c r="G1812" s="9" t="n">
        <v>26947.56</v>
      </c>
      <c r="H1812" t="inlineStr">
        <is>
          <t>PAID_ON_TIME</t>
        </is>
      </c>
      <c r="I1812">
        <f>IF(H1812="UNPAID", AsOfDate-D1812, 0)</f>
        <v/>
      </c>
      <c r="J1812">
        <f>IF(F1812&lt;&gt;"", TEXT(F1812, "yyyy-mm"), "")</f>
        <v/>
      </c>
    </row>
    <row r="1813">
      <c r="A1813" t="inlineStr">
        <is>
          <t>RP0001812</t>
        </is>
      </c>
      <c r="B1813" t="inlineStr">
        <is>
          <t>LN200270</t>
        </is>
      </c>
      <c r="C1813" t="n">
        <v>3</v>
      </c>
      <c r="D1813" s="8" t="n">
        <v>46166</v>
      </c>
      <c r="E1813" s="9" t="n">
        <v>26947.56</v>
      </c>
      <c r="F1813" s="8" t="n">
        <v>46192</v>
      </c>
      <c r="G1813" s="9" t="n">
        <v>26947.56</v>
      </c>
      <c r="H1813" t="inlineStr">
        <is>
          <t>PAID_LATE</t>
        </is>
      </c>
      <c r="I1813">
        <f>IF(H1813="UNPAID", AsOfDate-D1813, 0)</f>
        <v/>
      </c>
      <c r="J1813">
        <f>IF(F1813&lt;&gt;"", TEXT(F1813, "yyyy-mm"), "")</f>
        <v/>
      </c>
    </row>
    <row r="1814">
      <c r="A1814" t="inlineStr">
        <is>
          <t>RP0001813</t>
        </is>
      </c>
      <c r="B1814" t="inlineStr">
        <is>
          <t>LN200270</t>
        </is>
      </c>
      <c r="C1814" t="n">
        <v>4</v>
      </c>
      <c r="D1814" s="8" t="n">
        <v>46197</v>
      </c>
      <c r="E1814" s="9" t="n">
        <v>26947.56</v>
      </c>
      <c r="F1814" s="8" t="n">
        <v>46199</v>
      </c>
      <c r="G1814" s="9" t="n">
        <v>26947.56</v>
      </c>
      <c r="H1814" t="inlineStr">
        <is>
          <t>PAID_ON_TIME</t>
        </is>
      </c>
      <c r="I1814">
        <f>IF(H1814="UNPAID", AsOfDate-D1814, 0)</f>
        <v/>
      </c>
      <c r="J1814">
        <f>IF(F1814&lt;&gt;"", TEXT(F1814, "yyyy-mm"), "")</f>
        <v/>
      </c>
    </row>
    <row r="1815">
      <c r="A1815" t="inlineStr">
        <is>
          <t>RP0001814</t>
        </is>
      </c>
      <c r="B1815" t="inlineStr">
        <is>
          <t>LN200270</t>
        </is>
      </c>
      <c r="C1815" t="n">
        <v>5</v>
      </c>
      <c r="D1815" s="8" t="n">
        <v>46227</v>
      </c>
      <c r="E1815" s="9" t="n">
        <v>26947.56</v>
      </c>
      <c r="F1815" s="8" t="n">
        <v>46230</v>
      </c>
      <c r="G1815" s="9" t="n">
        <v>26947.56</v>
      </c>
      <c r="H1815" t="inlineStr">
        <is>
          <t>PAID_ON_TIME</t>
        </is>
      </c>
      <c r="I1815">
        <f>IF(H1815="UNPAID", AsOfDate-D1815, 0)</f>
        <v/>
      </c>
      <c r="J1815">
        <f>IF(F1815&lt;&gt;"", TEXT(F1815, "yyyy-mm"), "")</f>
        <v/>
      </c>
    </row>
    <row r="1816">
      <c r="A1816" t="inlineStr">
        <is>
          <t>RP0001815</t>
        </is>
      </c>
      <c r="B1816" t="inlineStr">
        <is>
          <t>LN200270</t>
        </is>
      </c>
      <c r="C1816" t="n">
        <v>6</v>
      </c>
      <c r="D1816" s="8" t="n">
        <v>46258</v>
      </c>
      <c r="E1816" s="9" t="n">
        <v>26947.56</v>
      </c>
      <c r="F1816" s="8" t="n">
        <v>46262</v>
      </c>
      <c r="G1816" s="9" t="n">
        <v>26947.56</v>
      </c>
      <c r="H1816" t="inlineStr">
        <is>
          <t>PAID_ON_TIME</t>
        </is>
      </c>
      <c r="I1816">
        <f>IF(H1816="UNPAID", AsOfDate-D1816, 0)</f>
        <v/>
      </c>
      <c r="J1816">
        <f>IF(F1816&lt;&gt;"", TEXT(F1816, "yyyy-mm"), "")</f>
        <v/>
      </c>
    </row>
    <row r="1817">
      <c r="A1817" t="inlineStr">
        <is>
          <t>RP0001816</t>
        </is>
      </c>
      <c r="B1817" t="inlineStr">
        <is>
          <t>LN200270</t>
        </is>
      </c>
      <c r="C1817" t="n">
        <v>7</v>
      </c>
      <c r="D1817" s="8" t="n">
        <v>46289</v>
      </c>
      <c r="E1817" s="9" t="n">
        <v>26947.56</v>
      </c>
      <c r="F1817" s="8" t="n"/>
      <c r="G1817" s="9" t="n">
        <v>0</v>
      </c>
      <c r="H1817" t="inlineStr">
        <is>
          <t>NOT_DUE</t>
        </is>
      </c>
      <c r="I1817">
        <f>IF(H1817="UNPAID", AsOfDate-D1817, 0)</f>
        <v/>
      </c>
      <c r="J1817">
        <f>IF(F1817&lt;&gt;"", TEXT(F1817, "yyyy-mm"), "")</f>
        <v/>
      </c>
    </row>
    <row r="1818">
      <c r="A1818" t="inlineStr">
        <is>
          <t>RP0001817</t>
        </is>
      </c>
      <c r="B1818" t="inlineStr">
        <is>
          <t>LN200270</t>
        </is>
      </c>
      <c r="C1818" t="n">
        <v>8</v>
      </c>
      <c r="D1818" s="8" t="n">
        <v>46319</v>
      </c>
      <c r="E1818" s="9" t="n">
        <v>26947.56</v>
      </c>
      <c r="F1818" s="8" t="n"/>
      <c r="G1818" s="9" t="n">
        <v>0</v>
      </c>
      <c r="H1818" t="inlineStr">
        <is>
          <t>NOT_DUE</t>
        </is>
      </c>
      <c r="I1818">
        <f>IF(H1818="UNPAID", AsOfDate-D1818, 0)</f>
        <v/>
      </c>
      <c r="J1818">
        <f>IF(F1818&lt;&gt;"", TEXT(F1818, "yyyy-mm"), "")</f>
        <v/>
      </c>
    </row>
    <row r="1819">
      <c r="A1819" t="inlineStr">
        <is>
          <t>RP0001818</t>
        </is>
      </c>
      <c r="B1819" t="inlineStr">
        <is>
          <t>LN200270</t>
        </is>
      </c>
      <c r="C1819" t="n">
        <v>9</v>
      </c>
      <c r="D1819" s="8" t="n">
        <v>46350</v>
      </c>
      <c r="E1819" s="9" t="n">
        <v>26947.56</v>
      </c>
      <c r="F1819" s="8" t="n"/>
      <c r="G1819" s="9" t="n">
        <v>0</v>
      </c>
      <c r="H1819" t="inlineStr">
        <is>
          <t>NOT_DUE</t>
        </is>
      </c>
      <c r="I1819">
        <f>IF(H1819="UNPAID", AsOfDate-D1819, 0)</f>
        <v/>
      </c>
      <c r="J1819">
        <f>IF(F1819&lt;&gt;"", TEXT(F1819, "yyyy-mm"), "")</f>
        <v/>
      </c>
    </row>
    <row r="1820">
      <c r="A1820" t="inlineStr">
        <is>
          <t>RP0001819</t>
        </is>
      </c>
      <c r="B1820" t="inlineStr">
        <is>
          <t>LN200272</t>
        </is>
      </c>
      <c r="C1820" t="n">
        <v>1</v>
      </c>
      <c r="D1820" s="8" t="n">
        <v>45817</v>
      </c>
      <c r="E1820" s="9" t="n">
        <v>22732.22</v>
      </c>
      <c r="F1820" s="8" t="n">
        <v>45819</v>
      </c>
      <c r="G1820" s="9" t="n">
        <v>22732.22</v>
      </c>
      <c r="H1820" t="inlineStr">
        <is>
          <t>PAID_ON_TIME</t>
        </is>
      </c>
      <c r="I1820">
        <f>IF(H1820="UNPAID", AsOfDate-D1820, 0)</f>
        <v/>
      </c>
      <c r="J1820">
        <f>IF(F1820&lt;&gt;"", TEXT(F1820, "yyyy-mm"), "")</f>
        <v/>
      </c>
    </row>
    <row r="1821">
      <c r="A1821" t="inlineStr">
        <is>
          <t>RP0001820</t>
        </is>
      </c>
      <c r="B1821" t="inlineStr">
        <is>
          <t>LN200272</t>
        </is>
      </c>
      <c r="C1821" t="n">
        <v>2</v>
      </c>
      <c r="D1821" s="8" t="n">
        <v>45847</v>
      </c>
      <c r="E1821" s="9" t="n">
        <v>22732.22</v>
      </c>
      <c r="F1821" s="8" t="n">
        <v>45850</v>
      </c>
      <c r="G1821" s="9" t="n">
        <v>22732.22</v>
      </c>
      <c r="H1821" t="inlineStr">
        <is>
          <t>PAID_ON_TIME</t>
        </is>
      </c>
      <c r="I1821">
        <f>IF(H1821="UNPAID", AsOfDate-D1821, 0)</f>
        <v/>
      </c>
      <c r="J1821">
        <f>IF(F1821&lt;&gt;"", TEXT(F1821, "yyyy-mm"), "")</f>
        <v/>
      </c>
    </row>
    <row r="1822">
      <c r="A1822" t="inlineStr">
        <is>
          <t>RP0001821</t>
        </is>
      </c>
      <c r="B1822" t="inlineStr">
        <is>
          <t>LN200272</t>
        </is>
      </c>
      <c r="C1822" t="n">
        <v>3</v>
      </c>
      <c r="D1822" s="8" t="n">
        <v>45878</v>
      </c>
      <c r="E1822" s="9" t="n">
        <v>22732.22</v>
      </c>
      <c r="F1822" s="8" t="n">
        <v>45880</v>
      </c>
      <c r="G1822" s="9" t="n">
        <v>22732.22</v>
      </c>
      <c r="H1822" t="inlineStr">
        <is>
          <t>PAID_ON_TIME</t>
        </is>
      </c>
      <c r="I1822">
        <f>IF(H1822="UNPAID", AsOfDate-D1822, 0)</f>
        <v/>
      </c>
      <c r="J1822">
        <f>IF(F1822&lt;&gt;"", TEXT(F1822, "yyyy-mm"), "")</f>
        <v/>
      </c>
    </row>
    <row r="1823">
      <c r="A1823" t="inlineStr">
        <is>
          <t>RP0001822</t>
        </is>
      </c>
      <c r="B1823" t="inlineStr">
        <is>
          <t>LN200272</t>
        </is>
      </c>
      <c r="C1823" t="n">
        <v>4</v>
      </c>
      <c r="D1823" s="8" t="n">
        <v>45909</v>
      </c>
      <c r="E1823" s="9" t="n">
        <v>22732.22</v>
      </c>
      <c r="F1823" s="8" t="n">
        <v>45909</v>
      </c>
      <c r="G1823" s="9" t="n">
        <v>22732.22</v>
      </c>
      <c r="H1823" t="inlineStr">
        <is>
          <t>PAID_ON_TIME</t>
        </is>
      </c>
      <c r="I1823">
        <f>IF(H1823="UNPAID", AsOfDate-D1823, 0)</f>
        <v/>
      </c>
      <c r="J1823">
        <f>IF(F1823&lt;&gt;"", TEXT(F1823, "yyyy-mm"), "")</f>
        <v/>
      </c>
    </row>
    <row r="1824">
      <c r="A1824" t="inlineStr">
        <is>
          <t>RP0001823</t>
        </is>
      </c>
      <c r="B1824" t="inlineStr">
        <is>
          <t>LN200272</t>
        </is>
      </c>
      <c r="C1824" t="n">
        <v>5</v>
      </c>
      <c r="D1824" s="8" t="n">
        <v>45939</v>
      </c>
      <c r="E1824" s="9" t="n">
        <v>22732.22</v>
      </c>
      <c r="F1824" s="8" t="n">
        <v>45941</v>
      </c>
      <c r="G1824" s="9" t="n">
        <v>22732.22</v>
      </c>
      <c r="H1824" t="inlineStr">
        <is>
          <t>PAID_ON_TIME</t>
        </is>
      </c>
      <c r="I1824">
        <f>IF(H1824="UNPAID", AsOfDate-D1824, 0)</f>
        <v/>
      </c>
      <c r="J1824">
        <f>IF(F1824&lt;&gt;"", TEXT(F1824, "yyyy-mm"), "")</f>
        <v/>
      </c>
    </row>
    <row r="1825">
      <c r="A1825" t="inlineStr">
        <is>
          <t>RP0001824</t>
        </is>
      </c>
      <c r="B1825" t="inlineStr">
        <is>
          <t>LN200272</t>
        </is>
      </c>
      <c r="C1825" t="n">
        <v>6</v>
      </c>
      <c r="D1825" s="8" t="n">
        <v>45970</v>
      </c>
      <c r="E1825" s="9" t="n">
        <v>22732.22</v>
      </c>
      <c r="F1825" s="8" t="n">
        <v>45967</v>
      </c>
      <c r="G1825" s="9" t="n">
        <v>22732.22</v>
      </c>
      <c r="H1825" t="inlineStr">
        <is>
          <t>PAID_ON_TIME</t>
        </is>
      </c>
      <c r="I1825">
        <f>IF(H1825="UNPAID", AsOfDate-D1825, 0)</f>
        <v/>
      </c>
      <c r="J1825">
        <f>IF(F1825&lt;&gt;"", TEXT(F1825, "yyyy-mm"), "")</f>
        <v/>
      </c>
    </row>
    <row r="1826">
      <c r="A1826" t="inlineStr">
        <is>
          <t>RP0001825</t>
        </is>
      </c>
      <c r="B1826" t="inlineStr">
        <is>
          <t>LN200272</t>
        </is>
      </c>
      <c r="C1826" t="n">
        <v>7</v>
      </c>
      <c r="D1826" s="8" t="n">
        <v>46000</v>
      </c>
      <c r="E1826" s="9" t="n">
        <v>22732.22</v>
      </c>
      <c r="F1826" s="8" t="n">
        <v>45999</v>
      </c>
      <c r="G1826" s="9" t="n">
        <v>22732.22</v>
      </c>
      <c r="H1826" t="inlineStr">
        <is>
          <t>PAID_ON_TIME</t>
        </is>
      </c>
      <c r="I1826">
        <f>IF(H1826="UNPAID", AsOfDate-D1826, 0)</f>
        <v/>
      </c>
      <c r="J1826">
        <f>IF(F1826&lt;&gt;"", TEXT(F1826, "yyyy-mm"), "")</f>
        <v/>
      </c>
    </row>
    <row r="1827">
      <c r="A1827" t="inlineStr">
        <is>
          <t>RP0001826</t>
        </is>
      </c>
      <c r="B1827" t="inlineStr">
        <is>
          <t>LN200272</t>
        </is>
      </c>
      <c r="C1827" t="n">
        <v>8</v>
      </c>
      <c r="D1827" s="8" t="n">
        <v>46031</v>
      </c>
      <c r="E1827" s="9" t="n">
        <v>22732.22</v>
      </c>
      <c r="F1827" s="8" t="n">
        <v>46035</v>
      </c>
      <c r="G1827" s="9" t="n">
        <v>22732.22</v>
      </c>
      <c r="H1827" t="inlineStr">
        <is>
          <t>PAID_ON_TIME</t>
        </is>
      </c>
      <c r="I1827">
        <f>IF(H1827="UNPAID", AsOfDate-D1827, 0)</f>
        <v/>
      </c>
      <c r="J1827">
        <f>IF(F1827&lt;&gt;"", TEXT(F1827, "yyyy-mm"), "")</f>
        <v/>
      </c>
    </row>
    <row r="1828">
      <c r="A1828" t="inlineStr">
        <is>
          <t>RP0001827</t>
        </is>
      </c>
      <c r="B1828" t="inlineStr">
        <is>
          <t>LN200272</t>
        </is>
      </c>
      <c r="C1828" t="n">
        <v>9</v>
      </c>
      <c r="D1828" s="8" t="n">
        <v>46062</v>
      </c>
      <c r="E1828" s="9" t="n">
        <v>22732.22</v>
      </c>
      <c r="F1828" s="8" t="n">
        <v>46064</v>
      </c>
      <c r="G1828" s="9" t="n">
        <v>22732.22</v>
      </c>
      <c r="H1828" t="inlineStr">
        <is>
          <t>PAID_ON_TIME</t>
        </is>
      </c>
      <c r="I1828">
        <f>IF(H1828="UNPAID", AsOfDate-D1828, 0)</f>
        <v/>
      </c>
      <c r="J1828">
        <f>IF(F1828&lt;&gt;"", TEXT(F1828, "yyyy-mm"), "")</f>
        <v/>
      </c>
    </row>
    <row r="1829">
      <c r="A1829" t="inlineStr">
        <is>
          <t>RP0001828</t>
        </is>
      </c>
      <c r="B1829" t="inlineStr">
        <is>
          <t>LN200272</t>
        </is>
      </c>
      <c r="C1829" t="n">
        <v>10</v>
      </c>
      <c r="D1829" s="8" t="n">
        <v>46090</v>
      </c>
      <c r="E1829" s="9" t="n">
        <v>22732.22</v>
      </c>
      <c r="F1829" s="8" t="n">
        <v>46093</v>
      </c>
      <c r="G1829" s="9" t="n">
        <v>22732.22</v>
      </c>
      <c r="H1829" t="inlineStr">
        <is>
          <t>PAID_ON_TIME</t>
        </is>
      </c>
      <c r="I1829">
        <f>IF(H1829="UNPAID", AsOfDate-D1829, 0)</f>
        <v/>
      </c>
      <c r="J1829">
        <f>IF(F1829&lt;&gt;"", TEXT(F1829, "yyyy-mm"), "")</f>
        <v/>
      </c>
    </row>
    <row r="1830">
      <c r="A1830" t="inlineStr">
        <is>
          <t>RP0001829</t>
        </is>
      </c>
      <c r="B1830" t="inlineStr">
        <is>
          <t>LN200272</t>
        </is>
      </c>
      <c r="C1830" t="n">
        <v>11</v>
      </c>
      <c r="D1830" s="8" t="n">
        <v>46121</v>
      </c>
      <c r="E1830" s="9" t="n">
        <v>22732.22</v>
      </c>
      <c r="F1830" s="8" t="n">
        <v>46121</v>
      </c>
      <c r="G1830" s="9" t="n">
        <v>22732.22</v>
      </c>
      <c r="H1830" t="inlineStr">
        <is>
          <t>PAID_ON_TIME</t>
        </is>
      </c>
      <c r="I1830">
        <f>IF(H1830="UNPAID", AsOfDate-D1830, 0)</f>
        <v/>
      </c>
      <c r="J1830">
        <f>IF(F1830&lt;&gt;"", TEXT(F1830, "yyyy-mm"), "")</f>
        <v/>
      </c>
    </row>
    <row r="1831">
      <c r="A1831" t="inlineStr">
        <is>
          <t>RP0001830</t>
        </is>
      </c>
      <c r="B1831" t="inlineStr">
        <is>
          <t>LN200272</t>
        </is>
      </c>
      <c r="C1831" t="n">
        <v>12</v>
      </c>
      <c r="D1831" s="8" t="n">
        <v>46151</v>
      </c>
      <c r="E1831" s="9" t="n">
        <v>22732.22</v>
      </c>
      <c r="F1831" s="8" t="n">
        <v>46148</v>
      </c>
      <c r="G1831" s="9" t="n">
        <v>22732.22</v>
      </c>
      <c r="H1831" t="inlineStr">
        <is>
          <t>PAID_ON_TIME</t>
        </is>
      </c>
      <c r="I1831">
        <f>IF(H1831="UNPAID", AsOfDate-D1831, 0)</f>
        <v/>
      </c>
      <c r="J1831">
        <f>IF(F1831&lt;&gt;"", TEXT(F1831, "yyyy-mm"), "")</f>
        <v/>
      </c>
    </row>
    <row r="1832">
      <c r="A1832" t="inlineStr">
        <is>
          <t>RP0001831</t>
        </is>
      </c>
      <c r="B1832" t="inlineStr">
        <is>
          <t>LN200272</t>
        </is>
      </c>
      <c r="C1832" t="n">
        <v>13</v>
      </c>
      <c r="D1832" s="8" t="n">
        <v>46182</v>
      </c>
      <c r="E1832" s="9" t="n">
        <v>22732.22</v>
      </c>
      <c r="F1832" s="8" t="n">
        <v>46179</v>
      </c>
      <c r="G1832" s="9" t="n">
        <v>22732.22</v>
      </c>
      <c r="H1832" t="inlineStr">
        <is>
          <t>PAID_ON_TIME</t>
        </is>
      </c>
      <c r="I1832">
        <f>IF(H1832="UNPAID", AsOfDate-D1832, 0)</f>
        <v/>
      </c>
      <c r="J1832">
        <f>IF(F1832&lt;&gt;"", TEXT(F1832, "yyyy-mm"), "")</f>
        <v/>
      </c>
    </row>
    <row r="1833">
      <c r="A1833" t="inlineStr">
        <is>
          <t>RP0001832</t>
        </is>
      </c>
      <c r="B1833" t="inlineStr">
        <is>
          <t>LN200272</t>
        </is>
      </c>
      <c r="C1833" t="n">
        <v>14</v>
      </c>
      <c r="D1833" s="8" t="n">
        <v>46212</v>
      </c>
      <c r="E1833" s="9" t="n">
        <v>22732.22</v>
      </c>
      <c r="F1833" s="8" t="n">
        <v>46211</v>
      </c>
      <c r="G1833" s="9" t="n">
        <v>22732.22</v>
      </c>
      <c r="H1833" t="inlineStr">
        <is>
          <t>PAID_ON_TIME</t>
        </is>
      </c>
      <c r="I1833">
        <f>IF(H1833="UNPAID", AsOfDate-D1833, 0)</f>
        <v/>
      </c>
      <c r="J1833">
        <f>IF(F1833&lt;&gt;"", TEXT(F1833, "yyyy-mm"), "")</f>
        <v/>
      </c>
    </row>
    <row r="1834">
      <c r="A1834" t="inlineStr">
        <is>
          <t>RP0001833</t>
        </is>
      </c>
      <c r="B1834" t="inlineStr">
        <is>
          <t>LN200272</t>
        </is>
      </c>
      <c r="C1834" t="n">
        <v>15</v>
      </c>
      <c r="D1834" s="8" t="n">
        <v>46243</v>
      </c>
      <c r="E1834" s="9" t="n">
        <v>22732.22</v>
      </c>
      <c r="F1834" s="8" t="n">
        <v>46242</v>
      </c>
      <c r="G1834" s="9" t="n">
        <v>22732.22</v>
      </c>
      <c r="H1834" t="inlineStr">
        <is>
          <t>PAID_ON_TIME</t>
        </is>
      </c>
      <c r="I1834">
        <f>IF(H1834="UNPAID", AsOfDate-D1834, 0)</f>
        <v/>
      </c>
      <c r="J1834">
        <f>IF(F1834&lt;&gt;"", TEXT(F1834, "yyyy-mm"), "")</f>
        <v/>
      </c>
    </row>
    <row r="1835">
      <c r="A1835" t="inlineStr">
        <is>
          <t>RP0001834</t>
        </is>
      </c>
      <c r="B1835" t="inlineStr">
        <is>
          <t>LN200272</t>
        </is>
      </c>
      <c r="C1835" t="n">
        <v>16</v>
      </c>
      <c r="D1835" s="8" t="n">
        <v>46274</v>
      </c>
      <c r="E1835" s="9" t="n">
        <v>22732.22</v>
      </c>
      <c r="F1835" s="8" t="n"/>
      <c r="G1835" s="9" t="n">
        <v>0</v>
      </c>
      <c r="H1835" t="inlineStr">
        <is>
          <t>NOT_DUE</t>
        </is>
      </c>
      <c r="I1835">
        <f>IF(H1835="UNPAID", AsOfDate-D1835, 0)</f>
        <v/>
      </c>
      <c r="J1835">
        <f>IF(F1835&lt;&gt;"", TEXT(F1835, "yyyy-mm"), "")</f>
        <v/>
      </c>
    </row>
    <row r="1836">
      <c r="A1836" t="inlineStr">
        <is>
          <t>RP0001835</t>
        </is>
      </c>
      <c r="B1836" t="inlineStr">
        <is>
          <t>LN200272</t>
        </is>
      </c>
      <c r="C1836" t="n">
        <v>17</v>
      </c>
      <c r="D1836" s="8" t="n">
        <v>46304</v>
      </c>
      <c r="E1836" s="9" t="n">
        <v>22732.22</v>
      </c>
      <c r="F1836" s="8" t="n"/>
      <c r="G1836" s="9" t="n">
        <v>0</v>
      </c>
      <c r="H1836" t="inlineStr">
        <is>
          <t>NOT_DUE</t>
        </is>
      </c>
      <c r="I1836">
        <f>IF(H1836="UNPAID", AsOfDate-D1836, 0)</f>
        <v/>
      </c>
      <c r="J1836">
        <f>IF(F1836&lt;&gt;"", TEXT(F1836, "yyyy-mm"), "")</f>
        <v/>
      </c>
    </row>
    <row r="1837">
      <c r="A1837" t="inlineStr">
        <is>
          <t>RP0001836</t>
        </is>
      </c>
      <c r="B1837" t="inlineStr">
        <is>
          <t>LN200272</t>
        </is>
      </c>
      <c r="C1837" t="n">
        <v>18</v>
      </c>
      <c r="D1837" s="8" t="n">
        <v>46335</v>
      </c>
      <c r="E1837" s="9" t="n">
        <v>22732.22</v>
      </c>
      <c r="F1837" s="8" t="n"/>
      <c r="G1837" s="9" t="n">
        <v>0</v>
      </c>
      <c r="H1837" t="inlineStr">
        <is>
          <t>NOT_DUE</t>
        </is>
      </c>
      <c r="I1837">
        <f>IF(H1837="UNPAID", AsOfDate-D1837, 0)</f>
        <v/>
      </c>
      <c r="J1837">
        <f>IF(F1837&lt;&gt;"", TEXT(F1837, "yyyy-mm"), "")</f>
        <v/>
      </c>
    </row>
    <row r="1838">
      <c r="A1838" t="inlineStr">
        <is>
          <t>RP0001837</t>
        </is>
      </c>
      <c r="B1838" t="inlineStr">
        <is>
          <t>LN200273</t>
        </is>
      </c>
      <c r="C1838" t="n">
        <v>1</v>
      </c>
      <c r="D1838" s="8" t="n">
        <v>46095</v>
      </c>
      <c r="E1838" s="9" t="n">
        <v>32822.5</v>
      </c>
      <c r="F1838" s="8" t="n">
        <v>46097</v>
      </c>
      <c r="G1838" s="9" t="n">
        <v>32822.5</v>
      </c>
      <c r="H1838" t="inlineStr">
        <is>
          <t>PAID_ON_TIME</t>
        </is>
      </c>
      <c r="I1838">
        <f>IF(H1838="UNPAID", AsOfDate-D1838, 0)</f>
        <v/>
      </c>
      <c r="J1838">
        <f>IF(F1838&lt;&gt;"", TEXT(F1838, "yyyy-mm"), "")</f>
        <v/>
      </c>
    </row>
    <row r="1839">
      <c r="A1839" t="inlineStr">
        <is>
          <t>RP0001838</t>
        </is>
      </c>
      <c r="B1839" t="inlineStr">
        <is>
          <t>LN200273</t>
        </is>
      </c>
      <c r="C1839" t="n">
        <v>2</v>
      </c>
      <c r="D1839" s="8" t="n">
        <v>46126</v>
      </c>
      <c r="E1839" s="9" t="n">
        <v>32822.5</v>
      </c>
      <c r="F1839" s="8" t="n">
        <v>46129</v>
      </c>
      <c r="G1839" s="9" t="n">
        <v>32822.5</v>
      </c>
      <c r="H1839" t="inlineStr">
        <is>
          <t>PAID_ON_TIME</t>
        </is>
      </c>
      <c r="I1839">
        <f>IF(H1839="UNPAID", AsOfDate-D1839, 0)</f>
        <v/>
      </c>
      <c r="J1839">
        <f>IF(F1839&lt;&gt;"", TEXT(F1839, "yyyy-mm"), "")</f>
        <v/>
      </c>
    </row>
    <row r="1840">
      <c r="A1840" t="inlineStr">
        <is>
          <t>RP0001839</t>
        </is>
      </c>
      <c r="B1840" t="inlineStr">
        <is>
          <t>LN200273</t>
        </is>
      </c>
      <c r="C1840" t="n">
        <v>3</v>
      </c>
      <c r="D1840" s="8" t="n">
        <v>46156</v>
      </c>
      <c r="E1840" s="9" t="n">
        <v>32822.5</v>
      </c>
      <c r="F1840" s="8" t="n"/>
      <c r="G1840" s="9" t="n">
        <v>0</v>
      </c>
      <c r="H1840" t="inlineStr">
        <is>
          <t>UNPAID</t>
        </is>
      </c>
      <c r="I1840">
        <f>IF(H1840="UNPAID", AsOfDate-D1840, 0)</f>
        <v/>
      </c>
      <c r="J1840">
        <f>IF(F1840&lt;&gt;"", TEXT(F1840, "yyyy-mm"), "")</f>
        <v/>
      </c>
    </row>
    <row r="1841">
      <c r="A1841" t="inlineStr">
        <is>
          <t>RP0001840</t>
        </is>
      </c>
      <c r="B1841" t="inlineStr">
        <is>
          <t>LN200274</t>
        </is>
      </c>
      <c r="C1841" t="n">
        <v>1</v>
      </c>
      <c r="D1841" s="8" t="n">
        <v>45753</v>
      </c>
      <c r="E1841" s="9" t="n">
        <v>20548.5</v>
      </c>
      <c r="F1841" s="8" t="n">
        <v>45866</v>
      </c>
      <c r="G1841" s="9" t="n">
        <v>20548.5</v>
      </c>
      <c r="H1841" t="inlineStr">
        <is>
          <t>PAID_LATE</t>
        </is>
      </c>
      <c r="I1841">
        <f>IF(H1841="UNPAID", AsOfDate-D1841, 0)</f>
        <v/>
      </c>
      <c r="J1841">
        <f>IF(F1841&lt;&gt;"", TEXT(F1841, "yyyy-mm"), "")</f>
        <v/>
      </c>
    </row>
    <row r="1842">
      <c r="A1842" t="inlineStr">
        <is>
          <t>RP0001841</t>
        </is>
      </c>
      <c r="B1842" t="inlineStr">
        <is>
          <t>LN200274</t>
        </is>
      </c>
      <c r="C1842" t="n">
        <v>2</v>
      </c>
      <c r="D1842" s="8" t="n">
        <v>45783</v>
      </c>
      <c r="E1842" s="9" t="n">
        <v>20548.5</v>
      </c>
      <c r="F1842" s="8" t="n">
        <v>45882</v>
      </c>
      <c r="G1842" s="9" t="n">
        <v>20548.5</v>
      </c>
      <c r="H1842" t="inlineStr">
        <is>
          <t>PAID_LATE</t>
        </is>
      </c>
      <c r="I1842">
        <f>IF(H1842="UNPAID", AsOfDate-D1842, 0)</f>
        <v/>
      </c>
      <c r="J1842">
        <f>IF(F1842&lt;&gt;"", TEXT(F1842, "yyyy-mm"), "")</f>
        <v/>
      </c>
    </row>
    <row r="1843">
      <c r="A1843" t="inlineStr">
        <is>
          <t>RP0001842</t>
        </is>
      </c>
      <c r="B1843" t="inlineStr">
        <is>
          <t>LN200274</t>
        </is>
      </c>
      <c r="C1843" t="n">
        <v>3</v>
      </c>
      <c r="D1843" s="8" t="n">
        <v>45814</v>
      </c>
      <c r="E1843" s="9" t="n">
        <v>20548.5</v>
      </c>
      <c r="F1843" s="8" t="n">
        <v>45811</v>
      </c>
      <c r="G1843" s="9" t="n">
        <v>20548.5</v>
      </c>
      <c r="H1843" t="inlineStr">
        <is>
          <t>PAID_ON_TIME</t>
        </is>
      </c>
      <c r="I1843">
        <f>IF(H1843="UNPAID", AsOfDate-D1843, 0)</f>
        <v/>
      </c>
      <c r="J1843">
        <f>IF(F1843&lt;&gt;"", TEXT(F1843, "yyyy-mm"), "")</f>
        <v/>
      </c>
    </row>
    <row r="1844">
      <c r="A1844" t="inlineStr">
        <is>
          <t>RP0001843</t>
        </is>
      </c>
      <c r="B1844" t="inlineStr">
        <is>
          <t>LN200274</t>
        </is>
      </c>
      <c r="C1844" t="n">
        <v>4</v>
      </c>
      <c r="D1844" s="8" t="n">
        <v>45844</v>
      </c>
      <c r="E1844" s="9" t="n">
        <v>20548.5</v>
      </c>
      <c r="F1844" s="8" t="n">
        <v>45844</v>
      </c>
      <c r="G1844" s="9" t="n">
        <v>20548.5</v>
      </c>
      <c r="H1844" t="inlineStr">
        <is>
          <t>PAID_ON_TIME</t>
        </is>
      </c>
      <c r="I1844">
        <f>IF(H1844="UNPAID", AsOfDate-D1844, 0)</f>
        <v/>
      </c>
      <c r="J1844">
        <f>IF(F1844&lt;&gt;"", TEXT(F1844, "yyyy-mm"), "")</f>
        <v/>
      </c>
    </row>
    <row r="1845">
      <c r="A1845" t="inlineStr">
        <is>
          <t>RP0001844</t>
        </is>
      </c>
      <c r="B1845" t="inlineStr">
        <is>
          <t>LN200274</t>
        </is>
      </c>
      <c r="C1845" t="n">
        <v>5</v>
      </c>
      <c r="D1845" s="8" t="n">
        <v>45875</v>
      </c>
      <c r="E1845" s="9" t="n">
        <v>20548.5</v>
      </c>
      <c r="F1845" s="8" t="n">
        <v>45874</v>
      </c>
      <c r="G1845" s="9" t="n">
        <v>20548.5</v>
      </c>
      <c r="H1845" t="inlineStr">
        <is>
          <t>PAID_ON_TIME</t>
        </is>
      </c>
      <c r="I1845">
        <f>IF(H1845="UNPAID", AsOfDate-D1845, 0)</f>
        <v/>
      </c>
      <c r="J1845">
        <f>IF(F1845&lt;&gt;"", TEXT(F1845, "yyyy-mm"), "")</f>
        <v/>
      </c>
    </row>
    <row r="1846">
      <c r="A1846" t="inlineStr">
        <is>
          <t>RP0001845</t>
        </is>
      </c>
      <c r="B1846" t="inlineStr">
        <is>
          <t>LN200274</t>
        </is>
      </c>
      <c r="C1846" t="n">
        <v>6</v>
      </c>
      <c r="D1846" s="8" t="n">
        <v>45906</v>
      </c>
      <c r="E1846" s="9" t="n">
        <v>20548.5</v>
      </c>
      <c r="F1846" s="8" t="n">
        <v>45906</v>
      </c>
      <c r="G1846" s="9" t="n">
        <v>20548.5</v>
      </c>
      <c r="H1846" t="inlineStr">
        <is>
          <t>PAID_ON_TIME</t>
        </is>
      </c>
      <c r="I1846">
        <f>IF(H1846="UNPAID", AsOfDate-D1846, 0)</f>
        <v/>
      </c>
      <c r="J1846">
        <f>IF(F1846&lt;&gt;"", TEXT(F1846, "yyyy-mm"), "")</f>
        <v/>
      </c>
    </row>
    <row r="1847">
      <c r="A1847" t="inlineStr">
        <is>
          <t>RP0001846</t>
        </is>
      </c>
      <c r="B1847" t="inlineStr">
        <is>
          <t>LN200275</t>
        </is>
      </c>
      <c r="C1847" t="n">
        <v>1</v>
      </c>
      <c r="D1847" s="8" t="n">
        <v>46078</v>
      </c>
      <c r="E1847" s="9" t="n">
        <v>14937.81</v>
      </c>
      <c r="F1847" s="8" t="n">
        <v>46078</v>
      </c>
      <c r="G1847" s="9" t="n">
        <v>14937.81</v>
      </c>
      <c r="H1847" t="inlineStr">
        <is>
          <t>PAID_ON_TIME</t>
        </is>
      </c>
      <c r="I1847">
        <f>IF(H1847="UNPAID", AsOfDate-D1847, 0)</f>
        <v/>
      </c>
      <c r="J1847">
        <f>IF(F1847&lt;&gt;"", TEXT(F1847, "yyyy-mm"), "")</f>
        <v/>
      </c>
    </row>
    <row r="1848">
      <c r="A1848" t="inlineStr">
        <is>
          <t>RP0001847</t>
        </is>
      </c>
      <c r="B1848" t="inlineStr">
        <is>
          <t>LN200275</t>
        </is>
      </c>
      <c r="C1848" t="n">
        <v>2</v>
      </c>
      <c r="D1848" s="8" t="n">
        <v>46106</v>
      </c>
      <c r="E1848" s="9" t="n">
        <v>14937.81</v>
      </c>
      <c r="F1848" s="8" t="n">
        <v>46192</v>
      </c>
      <c r="G1848" s="9" t="n">
        <v>14937.81</v>
      </c>
      <c r="H1848" t="inlineStr">
        <is>
          <t>PAID_LATE</t>
        </is>
      </c>
      <c r="I1848">
        <f>IF(H1848="UNPAID", AsOfDate-D1848, 0)</f>
        <v/>
      </c>
      <c r="J1848">
        <f>IF(F1848&lt;&gt;"", TEXT(F1848, "yyyy-mm"), "")</f>
        <v/>
      </c>
    </row>
    <row r="1849">
      <c r="A1849" t="inlineStr">
        <is>
          <t>RP0001848</t>
        </is>
      </c>
      <c r="B1849" t="inlineStr">
        <is>
          <t>LN200275</t>
        </is>
      </c>
      <c r="C1849" t="n">
        <v>3</v>
      </c>
      <c r="D1849" s="8" t="n">
        <v>46137</v>
      </c>
      <c r="E1849" s="9" t="n">
        <v>14937.81</v>
      </c>
      <c r="F1849" s="8" t="n">
        <v>46138</v>
      </c>
      <c r="G1849" s="9" t="n">
        <v>14937.81</v>
      </c>
      <c r="H1849" t="inlineStr">
        <is>
          <t>PAID_ON_TIME</t>
        </is>
      </c>
      <c r="I1849">
        <f>IF(H1849="UNPAID", AsOfDate-D1849, 0)</f>
        <v/>
      </c>
      <c r="J1849">
        <f>IF(F1849&lt;&gt;"", TEXT(F1849, "yyyy-mm"), "")</f>
        <v/>
      </c>
    </row>
    <row r="1850">
      <c r="A1850" t="inlineStr">
        <is>
          <t>RP0001849</t>
        </is>
      </c>
      <c r="B1850" t="inlineStr">
        <is>
          <t>LN200275</t>
        </is>
      </c>
      <c r="C1850" t="n">
        <v>4</v>
      </c>
      <c r="D1850" s="8" t="n">
        <v>46167</v>
      </c>
      <c r="E1850" s="9" t="n">
        <v>14937.81</v>
      </c>
      <c r="F1850" s="8" t="n">
        <v>46170</v>
      </c>
      <c r="G1850" s="9" t="n">
        <v>14937.81</v>
      </c>
      <c r="H1850" t="inlineStr">
        <is>
          <t>PAID_ON_TIME</t>
        </is>
      </c>
      <c r="I1850">
        <f>IF(H1850="UNPAID", AsOfDate-D1850, 0)</f>
        <v/>
      </c>
      <c r="J1850">
        <f>IF(F1850&lt;&gt;"", TEXT(F1850, "yyyy-mm"), "")</f>
        <v/>
      </c>
    </row>
    <row r="1851">
      <c r="A1851" t="inlineStr">
        <is>
          <t>RP0001850</t>
        </is>
      </c>
      <c r="B1851" t="inlineStr">
        <is>
          <t>LN200275</t>
        </is>
      </c>
      <c r="C1851" t="n">
        <v>5</v>
      </c>
      <c r="D1851" s="8" t="n">
        <v>46198</v>
      </c>
      <c r="E1851" s="9" t="n">
        <v>14937.81</v>
      </c>
      <c r="F1851" s="8" t="n">
        <v>46198</v>
      </c>
      <c r="G1851" s="9" t="n">
        <v>14937.81</v>
      </c>
      <c r="H1851" t="inlineStr">
        <is>
          <t>PAID_ON_TIME</t>
        </is>
      </c>
      <c r="I1851">
        <f>IF(H1851="UNPAID", AsOfDate-D1851, 0)</f>
        <v/>
      </c>
      <c r="J1851">
        <f>IF(F1851&lt;&gt;"", TEXT(F1851, "yyyy-mm"), "")</f>
        <v/>
      </c>
    </row>
    <row r="1852">
      <c r="A1852" t="inlineStr">
        <is>
          <t>RP0001851</t>
        </is>
      </c>
      <c r="B1852" t="inlineStr">
        <is>
          <t>LN200275</t>
        </is>
      </c>
      <c r="C1852" t="n">
        <v>6</v>
      </c>
      <c r="D1852" s="8" t="n">
        <v>46228</v>
      </c>
      <c r="E1852" s="9" t="n">
        <v>14937.81</v>
      </c>
      <c r="F1852" s="8" t="n">
        <v>46230</v>
      </c>
      <c r="G1852" s="9" t="n">
        <v>14937.81</v>
      </c>
      <c r="H1852" t="inlineStr">
        <is>
          <t>PAID_ON_TIME</t>
        </is>
      </c>
      <c r="I1852">
        <f>IF(H1852="UNPAID", AsOfDate-D1852, 0)</f>
        <v/>
      </c>
      <c r="J1852">
        <f>IF(F1852&lt;&gt;"", TEXT(F1852, "yyyy-mm"), "")</f>
        <v/>
      </c>
    </row>
    <row r="1853">
      <c r="A1853" t="inlineStr">
        <is>
          <t>RP0001852</t>
        </is>
      </c>
      <c r="B1853" t="inlineStr">
        <is>
          <t>LN200275</t>
        </is>
      </c>
      <c r="C1853" t="n">
        <v>7</v>
      </c>
      <c r="D1853" s="8" t="n">
        <v>46259</v>
      </c>
      <c r="E1853" s="9" t="n">
        <v>14937.81</v>
      </c>
      <c r="F1853" s="8" t="n">
        <v>46262</v>
      </c>
      <c r="G1853" s="9" t="n">
        <v>14937.81</v>
      </c>
      <c r="H1853" t="inlineStr">
        <is>
          <t>PAID_ON_TIME</t>
        </is>
      </c>
      <c r="I1853">
        <f>IF(H1853="UNPAID", AsOfDate-D1853, 0)</f>
        <v/>
      </c>
      <c r="J1853">
        <f>IF(F1853&lt;&gt;"", TEXT(F1853, "yyyy-mm"), "")</f>
        <v/>
      </c>
    </row>
    <row r="1854">
      <c r="A1854" t="inlineStr">
        <is>
          <t>RP0001853</t>
        </is>
      </c>
      <c r="B1854" t="inlineStr">
        <is>
          <t>LN200275</t>
        </is>
      </c>
      <c r="C1854" t="n">
        <v>8</v>
      </c>
      <c r="D1854" s="8" t="n">
        <v>46290</v>
      </c>
      <c r="E1854" s="9" t="n">
        <v>14937.81</v>
      </c>
      <c r="F1854" s="8" t="n"/>
      <c r="G1854" s="9" t="n">
        <v>0</v>
      </c>
      <c r="H1854" t="inlineStr">
        <is>
          <t>NOT_DUE</t>
        </is>
      </c>
      <c r="I1854">
        <f>IF(H1854="UNPAID", AsOfDate-D1854, 0)</f>
        <v/>
      </c>
      <c r="J1854">
        <f>IF(F1854&lt;&gt;"", TEXT(F1854, "yyyy-mm"), "")</f>
        <v/>
      </c>
    </row>
    <row r="1855">
      <c r="A1855" t="inlineStr">
        <is>
          <t>RP0001854</t>
        </is>
      </c>
      <c r="B1855" t="inlineStr">
        <is>
          <t>LN200275</t>
        </is>
      </c>
      <c r="C1855" t="n">
        <v>9</v>
      </c>
      <c r="D1855" s="8" t="n">
        <v>46320</v>
      </c>
      <c r="E1855" s="9" t="n">
        <v>14937.81</v>
      </c>
      <c r="F1855" s="8" t="n"/>
      <c r="G1855" s="9" t="n">
        <v>0</v>
      </c>
      <c r="H1855" t="inlineStr">
        <is>
          <t>NOT_DUE</t>
        </is>
      </c>
      <c r="I1855">
        <f>IF(H1855="UNPAID", AsOfDate-D1855, 0)</f>
        <v/>
      </c>
      <c r="J1855">
        <f>IF(F1855&lt;&gt;"", TEXT(F1855, "yyyy-mm"), "")</f>
        <v/>
      </c>
    </row>
    <row r="1856">
      <c r="A1856" t="inlineStr">
        <is>
          <t>RP0001855</t>
        </is>
      </c>
      <c r="B1856" t="inlineStr">
        <is>
          <t>LN200276</t>
        </is>
      </c>
      <c r="C1856" t="n">
        <v>1</v>
      </c>
      <c r="D1856" s="8" t="n">
        <v>45930</v>
      </c>
      <c r="E1856" s="9" t="n">
        <v>18486</v>
      </c>
      <c r="F1856" s="8" t="n">
        <v>45928</v>
      </c>
      <c r="G1856" s="9" t="n">
        <v>18486</v>
      </c>
      <c r="H1856" t="inlineStr">
        <is>
          <t>PAID_ON_TIME</t>
        </is>
      </c>
      <c r="I1856">
        <f>IF(H1856="UNPAID", AsOfDate-D1856, 0)</f>
        <v/>
      </c>
      <c r="J1856">
        <f>IF(F1856&lt;&gt;"", TEXT(F1856, "yyyy-mm"), "")</f>
        <v/>
      </c>
    </row>
    <row r="1857">
      <c r="A1857" t="inlineStr">
        <is>
          <t>RP0001856</t>
        </is>
      </c>
      <c r="B1857" t="inlineStr">
        <is>
          <t>LN200276</t>
        </is>
      </c>
      <c r="C1857" t="n">
        <v>2</v>
      </c>
      <c r="D1857" s="8" t="n">
        <v>45961</v>
      </c>
      <c r="E1857" s="9" t="n">
        <v>18486</v>
      </c>
      <c r="F1857" s="8" t="n">
        <v>45961</v>
      </c>
      <c r="G1857" s="9" t="n">
        <v>18486</v>
      </c>
      <c r="H1857" t="inlineStr">
        <is>
          <t>PAID_ON_TIME</t>
        </is>
      </c>
      <c r="I1857">
        <f>IF(H1857="UNPAID", AsOfDate-D1857, 0)</f>
        <v/>
      </c>
      <c r="J1857">
        <f>IF(F1857&lt;&gt;"", TEXT(F1857, "yyyy-mm"), "")</f>
        <v/>
      </c>
    </row>
    <row r="1858">
      <c r="A1858" t="inlineStr">
        <is>
          <t>RP0001857</t>
        </is>
      </c>
      <c r="B1858" t="inlineStr">
        <is>
          <t>LN200276</t>
        </is>
      </c>
      <c r="C1858" t="n">
        <v>3</v>
      </c>
      <c r="D1858" s="8" t="n">
        <v>45991</v>
      </c>
      <c r="E1858" s="9" t="n">
        <v>18486</v>
      </c>
      <c r="F1858" s="8" t="n">
        <v>45995</v>
      </c>
      <c r="G1858" s="9" t="n">
        <v>18486</v>
      </c>
      <c r="H1858" t="inlineStr">
        <is>
          <t>PAID_ON_TIME</t>
        </is>
      </c>
      <c r="I1858">
        <f>IF(H1858="UNPAID", AsOfDate-D1858, 0)</f>
        <v/>
      </c>
      <c r="J1858">
        <f>IF(F1858&lt;&gt;"", TEXT(F1858, "yyyy-mm"), "")</f>
        <v/>
      </c>
    </row>
    <row r="1859">
      <c r="A1859" t="inlineStr">
        <is>
          <t>RP0001858</t>
        </is>
      </c>
      <c r="B1859" t="inlineStr">
        <is>
          <t>LN200276</t>
        </is>
      </c>
      <c r="C1859" t="n">
        <v>4</v>
      </c>
      <c r="D1859" s="8" t="n">
        <v>46022</v>
      </c>
      <c r="E1859" s="9" t="n">
        <v>18486</v>
      </c>
      <c r="F1859" s="8" t="n">
        <v>46021</v>
      </c>
      <c r="G1859" s="9" t="n">
        <v>18486</v>
      </c>
      <c r="H1859" t="inlineStr">
        <is>
          <t>PAID_ON_TIME</t>
        </is>
      </c>
      <c r="I1859">
        <f>IF(H1859="UNPAID", AsOfDate-D1859, 0)</f>
        <v/>
      </c>
      <c r="J1859">
        <f>IF(F1859&lt;&gt;"", TEXT(F1859, "yyyy-mm"), "")</f>
        <v/>
      </c>
    </row>
    <row r="1860">
      <c r="A1860" t="inlineStr">
        <is>
          <t>RP0001859</t>
        </is>
      </c>
      <c r="B1860" t="inlineStr">
        <is>
          <t>LN200276</t>
        </is>
      </c>
      <c r="C1860" t="n">
        <v>5</v>
      </c>
      <c r="D1860" s="8" t="n">
        <v>46053</v>
      </c>
      <c r="E1860" s="9" t="n">
        <v>18486</v>
      </c>
      <c r="F1860" s="8" t="n">
        <v>46051</v>
      </c>
      <c r="G1860" s="9" t="n">
        <v>18486</v>
      </c>
      <c r="H1860" t="inlineStr">
        <is>
          <t>PAID_ON_TIME</t>
        </is>
      </c>
      <c r="I1860">
        <f>IF(H1860="UNPAID", AsOfDate-D1860, 0)</f>
        <v/>
      </c>
      <c r="J1860">
        <f>IF(F1860&lt;&gt;"", TEXT(F1860, "yyyy-mm"), "")</f>
        <v/>
      </c>
    </row>
    <row r="1861">
      <c r="A1861" t="inlineStr">
        <is>
          <t>RP0001860</t>
        </is>
      </c>
      <c r="B1861" t="inlineStr">
        <is>
          <t>LN200276</t>
        </is>
      </c>
      <c r="C1861" t="n">
        <v>6</v>
      </c>
      <c r="D1861" s="8" t="n">
        <v>46081</v>
      </c>
      <c r="E1861" s="9" t="n">
        <v>18486</v>
      </c>
      <c r="F1861" s="8" t="n">
        <v>46079</v>
      </c>
      <c r="G1861" s="9" t="n">
        <v>18486</v>
      </c>
      <c r="H1861" t="inlineStr">
        <is>
          <t>PAID_ON_TIME</t>
        </is>
      </c>
      <c r="I1861">
        <f>IF(H1861="UNPAID", AsOfDate-D1861, 0)</f>
        <v/>
      </c>
      <c r="J1861">
        <f>IF(F1861&lt;&gt;"", TEXT(F1861, "yyyy-mm"), "")</f>
        <v/>
      </c>
    </row>
    <row r="1862">
      <c r="A1862" t="inlineStr">
        <is>
          <t>RP0001861</t>
        </is>
      </c>
      <c r="B1862" t="inlineStr">
        <is>
          <t>LN200277</t>
        </is>
      </c>
      <c r="C1862" t="n">
        <v>1</v>
      </c>
      <c r="D1862" s="8" t="n">
        <v>45967</v>
      </c>
      <c r="E1862" s="9" t="n">
        <v>17451.39</v>
      </c>
      <c r="F1862" s="8" t="n">
        <v>45965</v>
      </c>
      <c r="G1862" s="9" t="n">
        <v>17451.39</v>
      </c>
      <c r="H1862" t="inlineStr">
        <is>
          <t>PAID_ON_TIME</t>
        </is>
      </c>
      <c r="I1862">
        <f>IF(H1862="UNPAID", AsOfDate-D1862, 0)</f>
        <v/>
      </c>
      <c r="J1862">
        <f>IF(F1862&lt;&gt;"", TEXT(F1862, "yyyy-mm"), "")</f>
        <v/>
      </c>
    </row>
    <row r="1863">
      <c r="A1863" t="inlineStr">
        <is>
          <t>RP0001862</t>
        </is>
      </c>
      <c r="B1863" t="inlineStr">
        <is>
          <t>LN200277</t>
        </is>
      </c>
      <c r="C1863" t="n">
        <v>2</v>
      </c>
      <c r="D1863" s="8" t="n">
        <v>45997</v>
      </c>
      <c r="E1863" s="9" t="n">
        <v>17451.39</v>
      </c>
      <c r="F1863" s="8" t="n">
        <v>45999</v>
      </c>
      <c r="G1863" s="9" t="n">
        <v>17451.39</v>
      </c>
      <c r="H1863" t="inlineStr">
        <is>
          <t>PAID_ON_TIME</t>
        </is>
      </c>
      <c r="I1863">
        <f>IF(H1863="UNPAID", AsOfDate-D1863, 0)</f>
        <v/>
      </c>
      <c r="J1863">
        <f>IF(F1863&lt;&gt;"", TEXT(F1863, "yyyy-mm"), "")</f>
        <v/>
      </c>
    </row>
    <row r="1864">
      <c r="A1864" t="inlineStr">
        <is>
          <t>RP0001863</t>
        </is>
      </c>
      <c r="B1864" t="inlineStr">
        <is>
          <t>LN200277</t>
        </is>
      </c>
      <c r="C1864" t="n">
        <v>3</v>
      </c>
      <c r="D1864" s="8" t="n">
        <v>46028</v>
      </c>
      <c r="E1864" s="9" t="n">
        <v>17451.39</v>
      </c>
      <c r="F1864" s="8" t="n">
        <v>46032</v>
      </c>
      <c r="G1864" s="9" t="n">
        <v>17451.39</v>
      </c>
      <c r="H1864" t="inlineStr">
        <is>
          <t>PAID_ON_TIME</t>
        </is>
      </c>
      <c r="I1864">
        <f>IF(H1864="UNPAID", AsOfDate-D1864, 0)</f>
        <v/>
      </c>
      <c r="J1864">
        <f>IF(F1864&lt;&gt;"", TEXT(F1864, "yyyy-mm"), "")</f>
        <v/>
      </c>
    </row>
    <row r="1865">
      <c r="A1865" t="inlineStr">
        <is>
          <t>RP0001864</t>
        </is>
      </c>
      <c r="B1865" t="inlineStr">
        <is>
          <t>LN200277</t>
        </is>
      </c>
      <c r="C1865" t="n">
        <v>4</v>
      </c>
      <c r="D1865" s="8" t="n">
        <v>46059</v>
      </c>
      <c r="E1865" s="9" t="n">
        <v>17451.39</v>
      </c>
      <c r="F1865" s="8" t="n">
        <v>46056</v>
      </c>
      <c r="G1865" s="9" t="n">
        <v>17451.39</v>
      </c>
      <c r="H1865" t="inlineStr">
        <is>
          <t>PAID_ON_TIME</t>
        </is>
      </c>
      <c r="I1865">
        <f>IF(H1865="UNPAID", AsOfDate-D1865, 0)</f>
        <v/>
      </c>
      <c r="J1865">
        <f>IF(F1865&lt;&gt;"", TEXT(F1865, "yyyy-mm"), "")</f>
        <v/>
      </c>
    </row>
    <row r="1866">
      <c r="A1866" t="inlineStr">
        <is>
          <t>RP0001865</t>
        </is>
      </c>
      <c r="B1866" t="inlineStr">
        <is>
          <t>LN200277</t>
        </is>
      </c>
      <c r="C1866" t="n">
        <v>5</v>
      </c>
      <c r="D1866" s="8" t="n">
        <v>46087</v>
      </c>
      <c r="E1866" s="9" t="n">
        <v>17451.39</v>
      </c>
      <c r="F1866" s="8" t="n">
        <v>46084</v>
      </c>
      <c r="G1866" s="9" t="n">
        <v>17451.39</v>
      </c>
      <c r="H1866" t="inlineStr">
        <is>
          <t>PAID_ON_TIME</t>
        </is>
      </c>
      <c r="I1866">
        <f>IF(H1866="UNPAID", AsOfDate-D1866, 0)</f>
        <v/>
      </c>
      <c r="J1866">
        <f>IF(F1866&lt;&gt;"", TEXT(F1866, "yyyy-mm"), "")</f>
        <v/>
      </c>
    </row>
    <row r="1867">
      <c r="A1867" t="inlineStr">
        <is>
          <t>RP0001866</t>
        </is>
      </c>
      <c r="B1867" t="inlineStr">
        <is>
          <t>LN200277</t>
        </is>
      </c>
      <c r="C1867" t="n">
        <v>6</v>
      </c>
      <c r="D1867" s="8" t="n">
        <v>46118</v>
      </c>
      <c r="E1867" s="9" t="n">
        <v>17451.39</v>
      </c>
      <c r="F1867" s="8" t="n">
        <v>46214</v>
      </c>
      <c r="G1867" s="9" t="n">
        <v>17451.39</v>
      </c>
      <c r="H1867" t="inlineStr">
        <is>
          <t>PAID_LATE</t>
        </is>
      </c>
      <c r="I1867">
        <f>IF(H1867="UNPAID", AsOfDate-D1867, 0)</f>
        <v/>
      </c>
      <c r="J1867">
        <f>IF(F1867&lt;&gt;"", TEXT(F1867, "yyyy-mm"), "")</f>
        <v/>
      </c>
    </row>
    <row r="1868">
      <c r="A1868" t="inlineStr">
        <is>
          <t>RP0001867</t>
        </is>
      </c>
      <c r="B1868" t="inlineStr">
        <is>
          <t>LN200277</t>
        </is>
      </c>
      <c r="C1868" t="n">
        <v>7</v>
      </c>
      <c r="D1868" s="8" t="n">
        <v>46148</v>
      </c>
      <c r="E1868" s="9" t="n">
        <v>17451.39</v>
      </c>
      <c r="F1868" s="8" t="n">
        <v>46147</v>
      </c>
      <c r="G1868" s="9" t="n">
        <v>17451.39</v>
      </c>
      <c r="H1868" t="inlineStr">
        <is>
          <t>PAID_ON_TIME</t>
        </is>
      </c>
      <c r="I1868">
        <f>IF(H1868="UNPAID", AsOfDate-D1868, 0)</f>
        <v/>
      </c>
      <c r="J1868">
        <f>IF(F1868&lt;&gt;"", TEXT(F1868, "yyyy-mm"), "")</f>
        <v/>
      </c>
    </row>
    <row r="1869">
      <c r="A1869" t="inlineStr">
        <is>
          <t>RP0001868</t>
        </is>
      </c>
      <c r="B1869" t="inlineStr">
        <is>
          <t>LN200277</t>
        </is>
      </c>
      <c r="C1869" t="n">
        <v>8</v>
      </c>
      <c r="D1869" s="8" t="n">
        <v>46179</v>
      </c>
      <c r="E1869" s="9" t="n">
        <v>17451.39</v>
      </c>
      <c r="F1869" s="8" t="n">
        <v>46181</v>
      </c>
      <c r="G1869" s="9" t="n">
        <v>17451.39</v>
      </c>
      <c r="H1869" t="inlineStr">
        <is>
          <t>PAID_ON_TIME</t>
        </is>
      </c>
      <c r="I1869">
        <f>IF(H1869="UNPAID", AsOfDate-D1869, 0)</f>
        <v/>
      </c>
      <c r="J1869">
        <f>IF(F1869&lt;&gt;"", TEXT(F1869, "yyyy-mm"), "")</f>
        <v/>
      </c>
    </row>
    <row r="1870">
      <c r="A1870" t="inlineStr">
        <is>
          <t>RP0001869</t>
        </is>
      </c>
      <c r="B1870" t="inlineStr">
        <is>
          <t>LN200277</t>
        </is>
      </c>
      <c r="C1870" t="n">
        <v>9</v>
      </c>
      <c r="D1870" s="8" t="n">
        <v>46209</v>
      </c>
      <c r="E1870" s="9" t="n">
        <v>17451.39</v>
      </c>
      <c r="F1870" s="8" t="n">
        <v>46211</v>
      </c>
      <c r="G1870" s="9" t="n">
        <v>17451.39</v>
      </c>
      <c r="H1870" t="inlineStr">
        <is>
          <t>PAID_ON_TIME</t>
        </is>
      </c>
      <c r="I1870">
        <f>IF(H1870="UNPAID", AsOfDate-D1870, 0)</f>
        <v/>
      </c>
      <c r="J1870">
        <f>IF(F1870&lt;&gt;"", TEXT(F1870, "yyyy-mm"), "")</f>
        <v/>
      </c>
    </row>
    <row r="1871">
      <c r="A1871" t="inlineStr">
        <is>
          <t>RP0001870</t>
        </is>
      </c>
      <c r="B1871" t="inlineStr">
        <is>
          <t>LN200277</t>
        </is>
      </c>
      <c r="C1871" t="n">
        <v>10</v>
      </c>
      <c r="D1871" s="8" t="n">
        <v>46240</v>
      </c>
      <c r="E1871" s="9" t="n">
        <v>17451.39</v>
      </c>
      <c r="F1871" s="8" t="n">
        <v>46239</v>
      </c>
      <c r="G1871" s="9" t="n">
        <v>17451.39</v>
      </c>
      <c r="H1871" t="inlineStr">
        <is>
          <t>PAID_ON_TIME</t>
        </is>
      </c>
      <c r="I1871">
        <f>IF(H1871="UNPAID", AsOfDate-D1871, 0)</f>
        <v/>
      </c>
      <c r="J1871">
        <f>IF(F1871&lt;&gt;"", TEXT(F1871, "yyyy-mm"), "")</f>
        <v/>
      </c>
    </row>
    <row r="1872">
      <c r="A1872" t="inlineStr">
        <is>
          <t>RP0001871</t>
        </is>
      </c>
      <c r="B1872" t="inlineStr">
        <is>
          <t>LN200277</t>
        </is>
      </c>
      <c r="C1872" t="n">
        <v>11</v>
      </c>
      <c r="D1872" s="8" t="n">
        <v>46271</v>
      </c>
      <c r="E1872" s="9" t="n">
        <v>17451.39</v>
      </c>
      <c r="F1872" s="8" t="n"/>
      <c r="G1872" s="9" t="n">
        <v>0</v>
      </c>
      <c r="H1872" t="inlineStr">
        <is>
          <t>NOT_DUE</t>
        </is>
      </c>
      <c r="I1872">
        <f>IF(H1872="UNPAID", AsOfDate-D1872, 0)</f>
        <v/>
      </c>
      <c r="J1872">
        <f>IF(F1872&lt;&gt;"", TEXT(F1872, "yyyy-mm"), "")</f>
        <v/>
      </c>
    </row>
    <row r="1873">
      <c r="A1873" t="inlineStr">
        <is>
          <t>RP0001872</t>
        </is>
      </c>
      <c r="B1873" t="inlineStr">
        <is>
          <t>LN200277</t>
        </is>
      </c>
      <c r="C1873" t="n">
        <v>12</v>
      </c>
      <c r="D1873" s="8" t="n">
        <v>46301</v>
      </c>
      <c r="E1873" s="9" t="n">
        <v>17451.39</v>
      </c>
      <c r="F1873" s="8" t="n"/>
      <c r="G1873" s="9" t="n">
        <v>0</v>
      </c>
      <c r="H1873" t="inlineStr">
        <is>
          <t>NOT_DUE</t>
        </is>
      </c>
      <c r="I1873">
        <f>IF(H1873="UNPAID", AsOfDate-D1873, 0)</f>
        <v/>
      </c>
      <c r="J1873">
        <f>IF(F1873&lt;&gt;"", TEXT(F1873, "yyyy-mm"), "")</f>
        <v/>
      </c>
    </row>
    <row r="1874">
      <c r="A1874" t="inlineStr">
        <is>
          <t>RP0001873</t>
        </is>
      </c>
      <c r="B1874" t="inlineStr">
        <is>
          <t>LN200277</t>
        </is>
      </c>
      <c r="C1874" t="n">
        <v>13</v>
      </c>
      <c r="D1874" s="8" t="n">
        <v>46332</v>
      </c>
      <c r="E1874" s="9" t="n">
        <v>17451.39</v>
      </c>
      <c r="F1874" s="8" t="n"/>
      <c r="G1874" s="9" t="n">
        <v>0</v>
      </c>
      <c r="H1874" t="inlineStr">
        <is>
          <t>NOT_DUE</t>
        </is>
      </c>
      <c r="I1874">
        <f>IF(H1874="UNPAID", AsOfDate-D1874, 0)</f>
        <v/>
      </c>
      <c r="J1874">
        <f>IF(F1874&lt;&gt;"", TEXT(F1874, "yyyy-mm"), "")</f>
        <v/>
      </c>
    </row>
    <row r="1875">
      <c r="A1875" t="inlineStr">
        <is>
          <t>RP0001874</t>
        </is>
      </c>
      <c r="B1875" t="inlineStr">
        <is>
          <t>LN200277</t>
        </is>
      </c>
      <c r="C1875" t="n">
        <v>14</v>
      </c>
      <c r="D1875" s="8" t="n">
        <v>46362</v>
      </c>
      <c r="E1875" s="9" t="n">
        <v>17451.39</v>
      </c>
      <c r="F1875" s="8" t="n"/>
      <c r="G1875" s="9" t="n">
        <v>0</v>
      </c>
      <c r="H1875" t="inlineStr">
        <is>
          <t>NOT_DUE</t>
        </is>
      </c>
      <c r="I1875">
        <f>IF(H1875="UNPAID", AsOfDate-D1875, 0)</f>
        <v/>
      </c>
      <c r="J1875">
        <f>IF(F1875&lt;&gt;"", TEXT(F1875, "yyyy-mm"), "")</f>
        <v/>
      </c>
    </row>
    <row r="1876">
      <c r="A1876" t="inlineStr">
        <is>
          <t>RP0001875</t>
        </is>
      </c>
      <c r="B1876" t="inlineStr">
        <is>
          <t>LN200277</t>
        </is>
      </c>
      <c r="C1876" t="n">
        <v>15</v>
      </c>
      <c r="D1876" s="8" t="n">
        <v>46393</v>
      </c>
      <c r="E1876" s="9" t="n">
        <v>17451.39</v>
      </c>
      <c r="F1876" s="8" t="n"/>
      <c r="G1876" s="9" t="n">
        <v>0</v>
      </c>
      <c r="H1876" t="inlineStr">
        <is>
          <t>NOT_DUE</t>
        </is>
      </c>
      <c r="I1876">
        <f>IF(H1876="UNPAID", AsOfDate-D1876, 0)</f>
        <v/>
      </c>
      <c r="J1876">
        <f>IF(F1876&lt;&gt;"", TEXT(F1876, "yyyy-mm"), "")</f>
        <v/>
      </c>
    </row>
    <row r="1877">
      <c r="A1877" t="inlineStr">
        <is>
          <t>RP0001876</t>
        </is>
      </c>
      <c r="B1877" t="inlineStr">
        <is>
          <t>LN200277</t>
        </is>
      </c>
      <c r="C1877" t="n">
        <v>16</v>
      </c>
      <c r="D1877" s="8" t="n">
        <v>46424</v>
      </c>
      <c r="E1877" s="9" t="n">
        <v>17451.39</v>
      </c>
      <c r="F1877" s="8" t="n"/>
      <c r="G1877" s="9" t="n">
        <v>0</v>
      </c>
      <c r="H1877" t="inlineStr">
        <is>
          <t>NOT_DUE</t>
        </is>
      </c>
      <c r="I1877">
        <f>IF(H1877="UNPAID", AsOfDate-D1877, 0)</f>
        <v/>
      </c>
      <c r="J1877">
        <f>IF(F1877&lt;&gt;"", TEXT(F1877, "yyyy-mm"), "")</f>
        <v/>
      </c>
    </row>
    <row r="1878">
      <c r="A1878" t="inlineStr">
        <is>
          <t>RP0001877</t>
        </is>
      </c>
      <c r="B1878" t="inlineStr">
        <is>
          <t>LN200277</t>
        </is>
      </c>
      <c r="C1878" t="n">
        <v>17</v>
      </c>
      <c r="D1878" s="8" t="n">
        <v>46452</v>
      </c>
      <c r="E1878" s="9" t="n">
        <v>17451.39</v>
      </c>
      <c r="F1878" s="8" t="n"/>
      <c r="G1878" s="9" t="n">
        <v>0</v>
      </c>
      <c r="H1878" t="inlineStr">
        <is>
          <t>NOT_DUE</t>
        </is>
      </c>
      <c r="I1878">
        <f>IF(H1878="UNPAID", AsOfDate-D1878, 0)</f>
        <v/>
      </c>
      <c r="J1878">
        <f>IF(F1878&lt;&gt;"", TEXT(F1878, "yyyy-mm"), "")</f>
        <v/>
      </c>
    </row>
    <row r="1879">
      <c r="A1879" t="inlineStr">
        <is>
          <t>RP0001878</t>
        </is>
      </c>
      <c r="B1879" t="inlineStr">
        <is>
          <t>LN200277</t>
        </is>
      </c>
      <c r="C1879" t="n">
        <v>18</v>
      </c>
      <c r="D1879" s="8" t="n">
        <v>46483</v>
      </c>
      <c r="E1879" s="9" t="n">
        <v>17451.39</v>
      </c>
      <c r="F1879" s="8" t="n"/>
      <c r="G1879" s="9" t="n">
        <v>0</v>
      </c>
      <c r="H1879" t="inlineStr">
        <is>
          <t>NOT_DUE</t>
        </is>
      </c>
      <c r="I1879">
        <f>IF(H1879="UNPAID", AsOfDate-D1879, 0)</f>
        <v/>
      </c>
      <c r="J1879">
        <f>IF(F1879&lt;&gt;"", TEXT(F1879, "yyyy-mm"), "")</f>
        <v/>
      </c>
    </row>
    <row r="1880">
      <c r="A1880" t="inlineStr">
        <is>
          <t>RP0001879</t>
        </is>
      </c>
      <c r="B1880" t="inlineStr">
        <is>
          <t>LN200278</t>
        </is>
      </c>
      <c r="C1880" t="n">
        <v>1</v>
      </c>
      <c r="D1880" s="8" t="n">
        <v>45942</v>
      </c>
      <c r="E1880" s="9" t="n">
        <v>6077.5</v>
      </c>
      <c r="F1880" s="8" t="n">
        <v>45946</v>
      </c>
      <c r="G1880" s="9" t="n">
        <v>6077.5</v>
      </c>
      <c r="H1880" t="inlineStr">
        <is>
          <t>PAID_ON_TIME</t>
        </is>
      </c>
      <c r="I1880">
        <f>IF(H1880="UNPAID", AsOfDate-D1880, 0)</f>
        <v/>
      </c>
      <c r="J1880">
        <f>IF(F1880&lt;&gt;"", TEXT(F1880, "yyyy-mm"), "")</f>
        <v/>
      </c>
    </row>
    <row r="1881">
      <c r="A1881" t="inlineStr">
        <is>
          <t>RP0001880</t>
        </is>
      </c>
      <c r="B1881" t="inlineStr">
        <is>
          <t>LN200278</t>
        </is>
      </c>
      <c r="C1881" t="n">
        <v>2</v>
      </c>
      <c r="D1881" s="8" t="n">
        <v>45973</v>
      </c>
      <c r="E1881" s="9" t="n">
        <v>6077.5</v>
      </c>
      <c r="F1881" s="8" t="n">
        <v>46048</v>
      </c>
      <c r="G1881" s="9" t="n">
        <v>6077.5</v>
      </c>
      <c r="H1881" t="inlineStr">
        <is>
          <t>PAID_LATE</t>
        </is>
      </c>
      <c r="I1881">
        <f>IF(H1881="UNPAID", AsOfDate-D1881, 0)</f>
        <v/>
      </c>
      <c r="J1881">
        <f>IF(F1881&lt;&gt;"", TEXT(F1881, "yyyy-mm"), "")</f>
        <v/>
      </c>
    </row>
    <row r="1882">
      <c r="A1882" t="inlineStr">
        <is>
          <t>RP0001881</t>
        </is>
      </c>
      <c r="B1882" t="inlineStr">
        <is>
          <t>LN200278</t>
        </is>
      </c>
      <c r="C1882" t="n">
        <v>3</v>
      </c>
      <c r="D1882" s="8" t="n">
        <v>46003</v>
      </c>
      <c r="E1882" s="9" t="n">
        <v>6077.5</v>
      </c>
      <c r="F1882" s="8" t="n">
        <v>46004</v>
      </c>
      <c r="G1882" s="9" t="n">
        <v>6077.5</v>
      </c>
      <c r="H1882" t="inlineStr">
        <is>
          <t>PAID_ON_TIME</t>
        </is>
      </c>
      <c r="I1882">
        <f>IF(H1882="UNPAID", AsOfDate-D1882, 0)</f>
        <v/>
      </c>
      <c r="J1882">
        <f>IF(F1882&lt;&gt;"", TEXT(F1882, "yyyy-mm"), "")</f>
        <v/>
      </c>
    </row>
    <row r="1883">
      <c r="A1883" t="inlineStr">
        <is>
          <t>RP0001882</t>
        </is>
      </c>
      <c r="B1883" t="inlineStr">
        <is>
          <t>LN200278</t>
        </is>
      </c>
      <c r="C1883" t="n">
        <v>4</v>
      </c>
      <c r="D1883" s="8" t="n">
        <v>46034</v>
      </c>
      <c r="E1883" s="9" t="n">
        <v>6077.5</v>
      </c>
      <c r="F1883" s="8" t="n">
        <v>46125</v>
      </c>
      <c r="G1883" s="9" t="n">
        <v>6077.5</v>
      </c>
      <c r="H1883" t="inlineStr">
        <is>
          <t>PAID_LATE</t>
        </is>
      </c>
      <c r="I1883">
        <f>IF(H1883="UNPAID", AsOfDate-D1883, 0)</f>
        <v/>
      </c>
      <c r="J1883">
        <f>IF(F1883&lt;&gt;"", TEXT(F1883, "yyyy-mm"), "")</f>
        <v/>
      </c>
    </row>
    <row r="1884">
      <c r="A1884" t="inlineStr">
        <is>
          <t>RP0001883</t>
        </is>
      </c>
      <c r="B1884" t="inlineStr">
        <is>
          <t>LN200278</t>
        </is>
      </c>
      <c r="C1884" t="n">
        <v>5</v>
      </c>
      <c r="D1884" s="8" t="n">
        <v>46065</v>
      </c>
      <c r="E1884" s="9" t="n">
        <v>6077.5</v>
      </c>
      <c r="F1884" s="8" t="n">
        <v>46064</v>
      </c>
      <c r="G1884" s="9" t="n">
        <v>6077.5</v>
      </c>
      <c r="H1884" t="inlineStr">
        <is>
          <t>PAID_ON_TIME</t>
        </is>
      </c>
      <c r="I1884">
        <f>IF(H1884="UNPAID", AsOfDate-D1884, 0)</f>
        <v/>
      </c>
      <c r="J1884">
        <f>IF(F1884&lt;&gt;"", TEXT(F1884, "yyyy-mm"), "")</f>
        <v/>
      </c>
    </row>
    <row r="1885">
      <c r="A1885" t="inlineStr">
        <is>
          <t>RP0001884</t>
        </is>
      </c>
      <c r="B1885" t="inlineStr">
        <is>
          <t>LN200278</t>
        </is>
      </c>
      <c r="C1885" t="n">
        <v>6</v>
      </c>
      <c r="D1885" s="8" t="n">
        <v>46093</v>
      </c>
      <c r="E1885" s="9" t="n">
        <v>6077.5</v>
      </c>
      <c r="F1885" s="8" t="n">
        <v>46091</v>
      </c>
      <c r="G1885" s="9" t="n">
        <v>6077.5</v>
      </c>
      <c r="H1885" t="inlineStr">
        <is>
          <t>PAID_ON_TIME</t>
        </is>
      </c>
      <c r="I1885">
        <f>IF(H1885="UNPAID", AsOfDate-D1885, 0)</f>
        <v/>
      </c>
      <c r="J1885">
        <f>IF(F1885&lt;&gt;"", TEXT(F1885, "yyyy-mm"), "")</f>
        <v/>
      </c>
    </row>
    <row r="1886">
      <c r="A1886" t="inlineStr">
        <is>
          <t>RP0001885</t>
        </is>
      </c>
      <c r="B1886" t="inlineStr">
        <is>
          <t>LN200279</t>
        </is>
      </c>
      <c r="C1886" t="n">
        <v>1</v>
      </c>
      <c r="D1886" s="8" t="n">
        <v>46169</v>
      </c>
      <c r="E1886" s="9" t="n">
        <v>22694.39</v>
      </c>
      <c r="F1886" s="8" t="n">
        <v>46171</v>
      </c>
      <c r="G1886" s="9" t="n">
        <v>22694.39</v>
      </c>
      <c r="H1886" t="inlineStr">
        <is>
          <t>PAID_ON_TIME</t>
        </is>
      </c>
      <c r="I1886">
        <f>IF(H1886="UNPAID", AsOfDate-D1886, 0)</f>
        <v/>
      </c>
      <c r="J1886">
        <f>IF(F1886&lt;&gt;"", TEXT(F1886, "yyyy-mm"), "")</f>
        <v/>
      </c>
    </row>
    <row r="1887">
      <c r="A1887" t="inlineStr">
        <is>
          <t>RP0001886</t>
        </is>
      </c>
      <c r="B1887" t="inlineStr">
        <is>
          <t>LN200279</t>
        </is>
      </c>
      <c r="C1887" t="n">
        <v>2</v>
      </c>
      <c r="D1887" s="8" t="n">
        <v>46200</v>
      </c>
      <c r="E1887" s="9" t="n">
        <v>22694.39</v>
      </c>
      <c r="F1887" s="8" t="n">
        <v>46204</v>
      </c>
      <c r="G1887" s="9" t="n">
        <v>22694.39</v>
      </c>
      <c r="H1887" t="inlineStr">
        <is>
          <t>PAID_ON_TIME</t>
        </is>
      </c>
      <c r="I1887">
        <f>IF(H1887="UNPAID", AsOfDate-D1887, 0)</f>
        <v/>
      </c>
      <c r="J1887">
        <f>IF(F1887&lt;&gt;"", TEXT(F1887, "yyyy-mm"), "")</f>
        <v/>
      </c>
    </row>
    <row r="1888">
      <c r="A1888" t="inlineStr">
        <is>
          <t>RP0001887</t>
        </is>
      </c>
      <c r="B1888" t="inlineStr">
        <is>
          <t>LN200279</t>
        </is>
      </c>
      <c r="C1888" t="n">
        <v>3</v>
      </c>
      <c r="D1888" s="8" t="n">
        <v>46230</v>
      </c>
      <c r="E1888" s="9" t="n">
        <v>22694.39</v>
      </c>
      <c r="F1888" s="8" t="n"/>
      <c r="G1888" s="9" t="n">
        <v>0</v>
      </c>
      <c r="H1888" t="inlineStr">
        <is>
          <t>UNPAID</t>
        </is>
      </c>
      <c r="I1888">
        <f>IF(H1888="UNPAID", AsOfDate-D1888, 0)</f>
        <v/>
      </c>
      <c r="J1888">
        <f>IF(F1888&lt;&gt;"", TEXT(F1888, "yyyy-mm"), "")</f>
        <v/>
      </c>
    </row>
    <row r="1889">
      <c r="A1889" t="inlineStr">
        <is>
          <t>RP0001888</t>
        </is>
      </c>
      <c r="B1889" t="inlineStr">
        <is>
          <t>LN200279</t>
        </is>
      </c>
      <c r="C1889" t="n">
        <v>4</v>
      </c>
      <c r="D1889" s="8" t="n">
        <v>46261</v>
      </c>
      <c r="E1889" s="9" t="n">
        <v>22694.39</v>
      </c>
      <c r="F1889" s="8" t="n">
        <v>46258</v>
      </c>
      <c r="G1889" s="9" t="n">
        <v>22694.39</v>
      </c>
      <c r="H1889" t="inlineStr">
        <is>
          <t>PAID_ON_TIME</t>
        </is>
      </c>
      <c r="I1889">
        <f>IF(H1889="UNPAID", AsOfDate-D1889, 0)</f>
        <v/>
      </c>
      <c r="J1889">
        <f>IF(F1889&lt;&gt;"", TEXT(F1889, "yyyy-mm"), "")</f>
        <v/>
      </c>
    </row>
    <row r="1890">
      <c r="A1890" t="inlineStr">
        <is>
          <t>RP0001889</t>
        </is>
      </c>
      <c r="B1890" t="inlineStr">
        <is>
          <t>LN200279</t>
        </is>
      </c>
      <c r="C1890" t="n">
        <v>5</v>
      </c>
      <c r="D1890" s="8" t="n">
        <v>46292</v>
      </c>
      <c r="E1890" s="9" t="n">
        <v>22694.39</v>
      </c>
      <c r="F1890" s="8" t="n"/>
      <c r="G1890" s="9" t="n">
        <v>0</v>
      </c>
      <c r="H1890" t="inlineStr">
        <is>
          <t>NOT_DUE</t>
        </is>
      </c>
      <c r="I1890">
        <f>IF(H1890="UNPAID", AsOfDate-D1890, 0)</f>
        <v/>
      </c>
      <c r="J1890">
        <f>IF(F1890&lt;&gt;"", TEXT(F1890, "yyyy-mm"), "")</f>
        <v/>
      </c>
    </row>
    <row r="1891">
      <c r="A1891" t="inlineStr">
        <is>
          <t>RP0001890</t>
        </is>
      </c>
      <c r="B1891" t="inlineStr">
        <is>
          <t>LN200279</t>
        </is>
      </c>
      <c r="C1891" t="n">
        <v>6</v>
      </c>
      <c r="D1891" s="8" t="n">
        <v>46322</v>
      </c>
      <c r="E1891" s="9" t="n">
        <v>22694.39</v>
      </c>
      <c r="F1891" s="8" t="n"/>
      <c r="G1891" s="9" t="n">
        <v>0</v>
      </c>
      <c r="H1891" t="inlineStr">
        <is>
          <t>NOT_DUE</t>
        </is>
      </c>
      <c r="I1891">
        <f>IF(H1891="UNPAID", AsOfDate-D1891, 0)</f>
        <v/>
      </c>
      <c r="J1891">
        <f>IF(F1891&lt;&gt;"", TEXT(F1891, "yyyy-mm"), "")</f>
        <v/>
      </c>
    </row>
    <row r="1892">
      <c r="A1892" t="inlineStr">
        <is>
          <t>RP0001891</t>
        </is>
      </c>
      <c r="B1892" t="inlineStr">
        <is>
          <t>LN200279</t>
        </is>
      </c>
      <c r="C1892" t="n">
        <v>7</v>
      </c>
      <c r="D1892" s="8" t="n">
        <v>46353</v>
      </c>
      <c r="E1892" s="9" t="n">
        <v>22694.39</v>
      </c>
      <c r="F1892" s="8" t="n"/>
      <c r="G1892" s="9" t="n">
        <v>0</v>
      </c>
      <c r="H1892" t="inlineStr">
        <is>
          <t>NOT_DUE</t>
        </is>
      </c>
      <c r="I1892">
        <f>IF(H1892="UNPAID", AsOfDate-D1892, 0)</f>
        <v/>
      </c>
      <c r="J1892">
        <f>IF(F1892&lt;&gt;"", TEXT(F1892, "yyyy-mm"), "")</f>
        <v/>
      </c>
    </row>
    <row r="1893">
      <c r="A1893" t="inlineStr">
        <is>
          <t>RP0001892</t>
        </is>
      </c>
      <c r="B1893" t="inlineStr">
        <is>
          <t>LN200279</t>
        </is>
      </c>
      <c r="C1893" t="n">
        <v>8</v>
      </c>
      <c r="D1893" s="8" t="n">
        <v>46383</v>
      </c>
      <c r="E1893" s="9" t="n">
        <v>22694.39</v>
      </c>
      <c r="F1893" s="8" t="n"/>
      <c r="G1893" s="9" t="n">
        <v>0</v>
      </c>
      <c r="H1893" t="inlineStr">
        <is>
          <t>NOT_DUE</t>
        </is>
      </c>
      <c r="I1893">
        <f>IF(H1893="UNPAID", AsOfDate-D1893, 0)</f>
        <v/>
      </c>
      <c r="J1893">
        <f>IF(F1893&lt;&gt;"", TEXT(F1893, "yyyy-mm"), "")</f>
        <v/>
      </c>
    </row>
    <row r="1894">
      <c r="A1894" t="inlineStr">
        <is>
          <t>RP0001893</t>
        </is>
      </c>
      <c r="B1894" t="inlineStr">
        <is>
          <t>LN200279</t>
        </is>
      </c>
      <c r="C1894" t="n">
        <v>9</v>
      </c>
      <c r="D1894" s="8" t="n">
        <v>46414</v>
      </c>
      <c r="E1894" s="9" t="n">
        <v>22694.39</v>
      </c>
      <c r="F1894" s="8" t="n"/>
      <c r="G1894" s="9" t="n">
        <v>0</v>
      </c>
      <c r="H1894" t="inlineStr">
        <is>
          <t>NOT_DUE</t>
        </is>
      </c>
      <c r="I1894">
        <f>IF(H1894="UNPAID", AsOfDate-D1894, 0)</f>
        <v/>
      </c>
      <c r="J1894">
        <f>IF(F1894&lt;&gt;"", TEXT(F1894, "yyyy-mm"), "")</f>
        <v/>
      </c>
    </row>
    <row r="1895">
      <c r="A1895" t="inlineStr">
        <is>
          <t>RP0001894</t>
        </is>
      </c>
      <c r="B1895" t="inlineStr">
        <is>
          <t>LN200280</t>
        </is>
      </c>
      <c r="C1895" t="n">
        <v>1</v>
      </c>
      <c r="D1895" s="8" t="n">
        <v>46174</v>
      </c>
      <c r="E1895" s="9" t="n">
        <v>24137.17</v>
      </c>
      <c r="F1895" s="8" t="n">
        <v>46174</v>
      </c>
      <c r="G1895" s="9" t="n">
        <v>24137.17</v>
      </c>
      <c r="H1895" t="inlineStr">
        <is>
          <t>PAID_ON_TIME</t>
        </is>
      </c>
      <c r="I1895">
        <f>IF(H1895="UNPAID", AsOfDate-D1895, 0)</f>
        <v/>
      </c>
      <c r="J1895">
        <f>IF(F1895&lt;&gt;"", TEXT(F1895, "yyyy-mm"), "")</f>
        <v/>
      </c>
    </row>
    <row r="1896">
      <c r="A1896" t="inlineStr">
        <is>
          <t>RP0001895</t>
        </is>
      </c>
      <c r="B1896" t="inlineStr">
        <is>
          <t>LN200280</t>
        </is>
      </c>
      <c r="C1896" t="n">
        <v>2</v>
      </c>
      <c r="D1896" s="8" t="n">
        <v>46204</v>
      </c>
      <c r="E1896" s="9" t="n">
        <v>24137.17</v>
      </c>
      <c r="F1896" s="8" t="n">
        <v>46207</v>
      </c>
      <c r="G1896" s="9" t="n">
        <v>24137.17</v>
      </c>
      <c r="H1896" t="inlineStr">
        <is>
          <t>PAID_ON_TIME</t>
        </is>
      </c>
      <c r="I1896">
        <f>IF(H1896="UNPAID", AsOfDate-D1896, 0)</f>
        <v/>
      </c>
      <c r="J1896">
        <f>IF(F1896&lt;&gt;"", TEXT(F1896, "yyyy-mm"), "")</f>
        <v/>
      </c>
    </row>
    <row r="1897">
      <c r="A1897" t="inlineStr">
        <is>
          <t>RP0001896</t>
        </is>
      </c>
      <c r="B1897" t="inlineStr">
        <is>
          <t>LN200280</t>
        </is>
      </c>
      <c r="C1897" t="n">
        <v>3</v>
      </c>
      <c r="D1897" s="8" t="n">
        <v>46235</v>
      </c>
      <c r="E1897" s="9" t="n">
        <v>24137.17</v>
      </c>
      <c r="F1897" s="8" t="n">
        <v>46237</v>
      </c>
      <c r="G1897" s="9" t="n">
        <v>24137.17</v>
      </c>
      <c r="H1897" t="inlineStr">
        <is>
          <t>PAID_ON_TIME</t>
        </is>
      </c>
      <c r="I1897">
        <f>IF(H1897="UNPAID", AsOfDate-D1897, 0)</f>
        <v/>
      </c>
      <c r="J1897">
        <f>IF(F1897&lt;&gt;"", TEXT(F1897, "yyyy-mm"), "")</f>
        <v/>
      </c>
    </row>
    <row r="1898">
      <c r="A1898" t="inlineStr">
        <is>
          <t>RP0001897</t>
        </is>
      </c>
      <c r="B1898" t="inlineStr">
        <is>
          <t>LN200280</t>
        </is>
      </c>
      <c r="C1898" t="n">
        <v>4</v>
      </c>
      <c r="D1898" s="8" t="n">
        <v>46266</v>
      </c>
      <c r="E1898" s="9" t="n">
        <v>24137.17</v>
      </c>
      <c r="F1898" s="8" t="n">
        <v>46263</v>
      </c>
      <c r="G1898" s="9" t="n">
        <v>24137.17</v>
      </c>
      <c r="H1898" t="inlineStr">
        <is>
          <t>PAID_ON_TIME</t>
        </is>
      </c>
      <c r="I1898">
        <f>IF(H1898="UNPAID", AsOfDate-D1898, 0)</f>
        <v/>
      </c>
      <c r="J1898">
        <f>IF(F1898&lt;&gt;"", TEXT(F1898, "yyyy-mm"), "")</f>
        <v/>
      </c>
    </row>
    <row r="1899">
      <c r="A1899" t="inlineStr">
        <is>
          <t>RP0001898</t>
        </is>
      </c>
      <c r="B1899" t="inlineStr">
        <is>
          <t>LN200280</t>
        </is>
      </c>
      <c r="C1899" t="n">
        <v>5</v>
      </c>
      <c r="D1899" s="8" t="n">
        <v>46296</v>
      </c>
      <c r="E1899" s="9" t="n">
        <v>24137.17</v>
      </c>
      <c r="F1899" s="8" t="n"/>
      <c r="G1899" s="9" t="n">
        <v>0</v>
      </c>
      <c r="H1899" t="inlineStr">
        <is>
          <t>NOT_DUE</t>
        </is>
      </c>
      <c r="I1899">
        <f>IF(H1899="UNPAID", AsOfDate-D1899, 0)</f>
        <v/>
      </c>
      <c r="J1899">
        <f>IF(F1899&lt;&gt;"", TEXT(F1899, "yyyy-mm"), "")</f>
        <v/>
      </c>
    </row>
    <row r="1900">
      <c r="A1900" t="inlineStr">
        <is>
          <t>RP0001899</t>
        </is>
      </c>
      <c r="B1900" t="inlineStr">
        <is>
          <t>LN200280</t>
        </is>
      </c>
      <c r="C1900" t="n">
        <v>6</v>
      </c>
      <c r="D1900" s="8" t="n">
        <v>46327</v>
      </c>
      <c r="E1900" s="9" t="n">
        <v>24137.17</v>
      </c>
      <c r="F1900" s="8" t="n"/>
      <c r="G1900" s="9" t="n">
        <v>0</v>
      </c>
      <c r="H1900" t="inlineStr">
        <is>
          <t>NOT_DUE</t>
        </is>
      </c>
      <c r="I1900">
        <f>IF(H1900="UNPAID", AsOfDate-D1900, 0)</f>
        <v/>
      </c>
      <c r="J1900">
        <f>IF(F1900&lt;&gt;"", TEXT(F1900, "yyyy-mm"), "")</f>
        <v/>
      </c>
    </row>
    <row r="1901">
      <c r="A1901" t="inlineStr">
        <is>
          <t>RP0001900</t>
        </is>
      </c>
      <c r="B1901" t="inlineStr">
        <is>
          <t>LN200280</t>
        </is>
      </c>
      <c r="C1901" t="n">
        <v>7</v>
      </c>
      <c r="D1901" s="8" t="n">
        <v>46357</v>
      </c>
      <c r="E1901" s="9" t="n">
        <v>24137.17</v>
      </c>
      <c r="F1901" s="8" t="n"/>
      <c r="G1901" s="9" t="n">
        <v>0</v>
      </c>
      <c r="H1901" t="inlineStr">
        <is>
          <t>NOT_DUE</t>
        </is>
      </c>
      <c r="I1901">
        <f>IF(H1901="UNPAID", AsOfDate-D1901, 0)</f>
        <v/>
      </c>
      <c r="J1901">
        <f>IF(F1901&lt;&gt;"", TEXT(F1901, "yyyy-mm"), "")</f>
        <v/>
      </c>
    </row>
    <row r="1902">
      <c r="A1902" t="inlineStr">
        <is>
          <t>RP0001901</t>
        </is>
      </c>
      <c r="B1902" t="inlineStr">
        <is>
          <t>LN200280</t>
        </is>
      </c>
      <c r="C1902" t="n">
        <v>8</v>
      </c>
      <c r="D1902" s="8" t="n">
        <v>46388</v>
      </c>
      <c r="E1902" s="9" t="n">
        <v>24137.17</v>
      </c>
      <c r="F1902" s="8" t="n"/>
      <c r="G1902" s="9" t="n">
        <v>0</v>
      </c>
      <c r="H1902" t="inlineStr">
        <is>
          <t>NOT_DUE</t>
        </is>
      </c>
      <c r="I1902">
        <f>IF(H1902="UNPAID", AsOfDate-D1902, 0)</f>
        <v/>
      </c>
      <c r="J1902">
        <f>IF(F1902&lt;&gt;"", TEXT(F1902, "yyyy-mm"), "")</f>
        <v/>
      </c>
    </row>
    <row r="1903">
      <c r="A1903" t="inlineStr">
        <is>
          <t>RP0001902</t>
        </is>
      </c>
      <c r="B1903" t="inlineStr">
        <is>
          <t>LN200280</t>
        </is>
      </c>
      <c r="C1903" t="n">
        <v>9</v>
      </c>
      <c r="D1903" s="8" t="n">
        <v>46419</v>
      </c>
      <c r="E1903" s="9" t="n">
        <v>24137.17</v>
      </c>
      <c r="F1903" s="8" t="n"/>
      <c r="G1903" s="9" t="n">
        <v>0</v>
      </c>
      <c r="H1903" t="inlineStr">
        <is>
          <t>NOT_DUE</t>
        </is>
      </c>
      <c r="I1903">
        <f>IF(H1903="UNPAID", AsOfDate-D1903, 0)</f>
        <v/>
      </c>
      <c r="J1903">
        <f>IF(F1903&lt;&gt;"", TEXT(F1903, "yyyy-mm"), "")</f>
        <v/>
      </c>
    </row>
    <row r="1904">
      <c r="A1904" t="inlineStr">
        <is>
          <t>RP0001903</t>
        </is>
      </c>
      <c r="B1904" t="inlineStr">
        <is>
          <t>LN200280</t>
        </is>
      </c>
      <c r="C1904" t="n">
        <v>10</v>
      </c>
      <c r="D1904" s="8" t="n">
        <v>46447</v>
      </c>
      <c r="E1904" s="9" t="n">
        <v>24137.17</v>
      </c>
      <c r="F1904" s="8" t="n"/>
      <c r="G1904" s="9" t="n">
        <v>0</v>
      </c>
      <c r="H1904" t="inlineStr">
        <is>
          <t>NOT_DUE</t>
        </is>
      </c>
      <c r="I1904">
        <f>IF(H1904="UNPAID", AsOfDate-D1904, 0)</f>
        <v/>
      </c>
      <c r="J1904">
        <f>IF(F1904&lt;&gt;"", TEXT(F1904, "yyyy-mm"), "")</f>
        <v/>
      </c>
    </row>
    <row r="1905">
      <c r="A1905" t="inlineStr">
        <is>
          <t>RP0001904</t>
        </is>
      </c>
      <c r="B1905" t="inlineStr">
        <is>
          <t>LN200280</t>
        </is>
      </c>
      <c r="C1905" t="n">
        <v>11</v>
      </c>
      <c r="D1905" s="8" t="n">
        <v>46478</v>
      </c>
      <c r="E1905" s="9" t="n">
        <v>24137.17</v>
      </c>
      <c r="F1905" s="8" t="n"/>
      <c r="G1905" s="9" t="n">
        <v>0</v>
      </c>
      <c r="H1905" t="inlineStr">
        <is>
          <t>NOT_DUE</t>
        </is>
      </c>
      <c r="I1905">
        <f>IF(H1905="UNPAID", AsOfDate-D1905, 0)</f>
        <v/>
      </c>
      <c r="J1905">
        <f>IF(F1905&lt;&gt;"", TEXT(F1905, "yyyy-mm"), "")</f>
        <v/>
      </c>
    </row>
    <row r="1906">
      <c r="A1906" t="inlineStr">
        <is>
          <t>RP0001905</t>
        </is>
      </c>
      <c r="B1906" t="inlineStr">
        <is>
          <t>LN200280</t>
        </is>
      </c>
      <c r="C1906" t="n">
        <v>12</v>
      </c>
      <c r="D1906" s="8" t="n">
        <v>46508</v>
      </c>
      <c r="E1906" s="9" t="n">
        <v>24137.17</v>
      </c>
      <c r="F1906" s="8" t="n"/>
      <c r="G1906" s="9" t="n">
        <v>0</v>
      </c>
      <c r="H1906" t="inlineStr">
        <is>
          <t>NOT_DUE</t>
        </is>
      </c>
      <c r="I1906">
        <f>IF(H1906="UNPAID", AsOfDate-D1906, 0)</f>
        <v/>
      </c>
      <c r="J1906">
        <f>IF(F1906&lt;&gt;"", TEXT(F1906, "yyyy-mm"), "")</f>
        <v/>
      </c>
    </row>
    <row r="1907">
      <c r="A1907" t="inlineStr">
        <is>
          <t>RP0001906</t>
        </is>
      </c>
      <c r="B1907" t="inlineStr">
        <is>
          <t>LN200281</t>
        </is>
      </c>
      <c r="C1907" t="n">
        <v>1</v>
      </c>
      <c r="D1907" s="8" t="n">
        <v>45940</v>
      </c>
      <c r="E1907" s="9" t="n">
        <v>11189.17</v>
      </c>
      <c r="F1907" s="8" t="n">
        <v>45942</v>
      </c>
      <c r="G1907" s="9" t="n">
        <v>11189.17</v>
      </c>
      <c r="H1907" t="inlineStr">
        <is>
          <t>PAID_ON_TIME</t>
        </is>
      </c>
      <c r="I1907">
        <f>IF(H1907="UNPAID", AsOfDate-D1907, 0)</f>
        <v/>
      </c>
      <c r="J1907">
        <f>IF(F1907&lt;&gt;"", TEXT(F1907, "yyyy-mm"), "")</f>
        <v/>
      </c>
    </row>
    <row r="1908">
      <c r="A1908" t="inlineStr">
        <is>
          <t>RP0001907</t>
        </is>
      </c>
      <c r="B1908" t="inlineStr">
        <is>
          <t>LN200281</t>
        </is>
      </c>
      <c r="C1908" t="n">
        <v>2</v>
      </c>
      <c r="D1908" s="8" t="n">
        <v>45971</v>
      </c>
      <c r="E1908" s="9" t="n">
        <v>11189.17</v>
      </c>
      <c r="F1908" s="8" t="n">
        <v>45971</v>
      </c>
      <c r="G1908" s="9" t="n">
        <v>11189.17</v>
      </c>
      <c r="H1908" t="inlineStr">
        <is>
          <t>PAID_ON_TIME</t>
        </is>
      </c>
      <c r="I1908">
        <f>IF(H1908="UNPAID", AsOfDate-D1908, 0)</f>
        <v/>
      </c>
      <c r="J1908">
        <f>IF(F1908&lt;&gt;"", TEXT(F1908, "yyyy-mm"), "")</f>
        <v/>
      </c>
    </row>
    <row r="1909">
      <c r="A1909" t="inlineStr">
        <is>
          <t>RP0001908</t>
        </is>
      </c>
      <c r="B1909" t="inlineStr">
        <is>
          <t>LN200281</t>
        </is>
      </c>
      <c r="C1909" t="n">
        <v>3</v>
      </c>
      <c r="D1909" s="8" t="n">
        <v>46001</v>
      </c>
      <c r="E1909" s="9" t="n">
        <v>11189.17</v>
      </c>
      <c r="F1909" s="8" t="n">
        <v>46002</v>
      </c>
      <c r="G1909" s="9" t="n">
        <v>11189.17</v>
      </c>
      <c r="H1909" t="inlineStr">
        <is>
          <t>PAID_ON_TIME</t>
        </is>
      </c>
      <c r="I1909">
        <f>IF(H1909="UNPAID", AsOfDate-D1909, 0)</f>
        <v/>
      </c>
      <c r="J1909">
        <f>IF(F1909&lt;&gt;"", TEXT(F1909, "yyyy-mm"), "")</f>
        <v/>
      </c>
    </row>
    <row r="1910">
      <c r="A1910" t="inlineStr">
        <is>
          <t>RP0001909</t>
        </is>
      </c>
      <c r="B1910" t="inlineStr">
        <is>
          <t>LN200281</t>
        </is>
      </c>
      <c r="C1910" t="n">
        <v>4</v>
      </c>
      <c r="D1910" s="8" t="n">
        <v>46032</v>
      </c>
      <c r="E1910" s="9" t="n">
        <v>11189.17</v>
      </c>
      <c r="F1910" s="8" t="n">
        <v>46031</v>
      </c>
      <c r="G1910" s="9" t="n">
        <v>11189.17</v>
      </c>
      <c r="H1910" t="inlineStr">
        <is>
          <t>PAID_ON_TIME</t>
        </is>
      </c>
      <c r="I1910">
        <f>IF(H1910="UNPAID", AsOfDate-D1910, 0)</f>
        <v/>
      </c>
      <c r="J1910">
        <f>IF(F1910&lt;&gt;"", TEXT(F1910, "yyyy-mm"), "")</f>
        <v/>
      </c>
    </row>
    <row r="1911">
      <c r="A1911" t="inlineStr">
        <is>
          <t>RP0001910</t>
        </is>
      </c>
      <c r="B1911" t="inlineStr">
        <is>
          <t>LN200281</t>
        </is>
      </c>
      <c r="C1911" t="n">
        <v>5</v>
      </c>
      <c r="D1911" s="8" t="n">
        <v>46063</v>
      </c>
      <c r="E1911" s="9" t="n">
        <v>11189.17</v>
      </c>
      <c r="F1911" s="8" t="n">
        <v>46064</v>
      </c>
      <c r="G1911" s="9" t="n">
        <v>11189.17</v>
      </c>
      <c r="H1911" t="inlineStr">
        <is>
          <t>PAID_ON_TIME</t>
        </is>
      </c>
      <c r="I1911">
        <f>IF(H1911="UNPAID", AsOfDate-D1911, 0)</f>
        <v/>
      </c>
      <c r="J1911">
        <f>IF(F1911&lt;&gt;"", TEXT(F1911, "yyyy-mm"), "")</f>
        <v/>
      </c>
    </row>
    <row r="1912">
      <c r="A1912" t="inlineStr">
        <is>
          <t>RP0001911</t>
        </is>
      </c>
      <c r="B1912" t="inlineStr">
        <is>
          <t>LN200281</t>
        </is>
      </c>
      <c r="C1912" t="n">
        <v>6</v>
      </c>
      <c r="D1912" s="8" t="n">
        <v>46091</v>
      </c>
      <c r="E1912" s="9" t="n">
        <v>11189.17</v>
      </c>
      <c r="F1912" s="8" t="n">
        <v>46094</v>
      </c>
      <c r="G1912" s="9" t="n">
        <v>11189.17</v>
      </c>
      <c r="H1912" t="inlineStr">
        <is>
          <t>PAID_ON_TIME</t>
        </is>
      </c>
      <c r="I1912">
        <f>IF(H1912="UNPAID", AsOfDate-D1912, 0)</f>
        <v/>
      </c>
      <c r="J1912">
        <f>IF(F1912&lt;&gt;"", TEXT(F1912, "yyyy-mm"), "")</f>
        <v/>
      </c>
    </row>
    <row r="1913">
      <c r="A1913" t="inlineStr">
        <is>
          <t>RP0001912</t>
        </is>
      </c>
      <c r="B1913" t="inlineStr">
        <is>
          <t>LN200281</t>
        </is>
      </c>
      <c r="C1913" t="n">
        <v>7</v>
      </c>
      <c r="D1913" s="8" t="n">
        <v>46122</v>
      </c>
      <c r="E1913" s="9" t="n">
        <v>11189.17</v>
      </c>
      <c r="F1913" s="8" t="n">
        <v>46121</v>
      </c>
      <c r="G1913" s="9" t="n">
        <v>11189.17</v>
      </c>
      <c r="H1913" t="inlineStr">
        <is>
          <t>PAID_ON_TIME</t>
        </is>
      </c>
      <c r="I1913">
        <f>IF(H1913="UNPAID", AsOfDate-D1913, 0)</f>
        <v/>
      </c>
      <c r="J1913">
        <f>IF(F1913&lt;&gt;"", TEXT(F1913, "yyyy-mm"), "")</f>
        <v/>
      </c>
    </row>
    <row r="1914">
      <c r="A1914" t="inlineStr">
        <is>
          <t>RP0001913</t>
        </is>
      </c>
      <c r="B1914" t="inlineStr">
        <is>
          <t>LN200281</t>
        </is>
      </c>
      <c r="C1914" t="n">
        <v>8</v>
      </c>
      <c r="D1914" s="8" t="n">
        <v>46152</v>
      </c>
      <c r="E1914" s="9" t="n">
        <v>11189.17</v>
      </c>
      <c r="F1914" s="8" t="n">
        <v>46156</v>
      </c>
      <c r="G1914" s="9" t="n">
        <v>11189.17</v>
      </c>
      <c r="H1914" t="inlineStr">
        <is>
          <t>PAID_ON_TIME</t>
        </is>
      </c>
      <c r="I1914">
        <f>IF(H1914="UNPAID", AsOfDate-D1914, 0)</f>
        <v/>
      </c>
      <c r="J1914">
        <f>IF(F1914&lt;&gt;"", TEXT(F1914, "yyyy-mm"), "")</f>
        <v/>
      </c>
    </row>
    <row r="1915">
      <c r="A1915" t="inlineStr">
        <is>
          <t>RP0001914</t>
        </is>
      </c>
      <c r="B1915" t="inlineStr">
        <is>
          <t>LN200281</t>
        </is>
      </c>
      <c r="C1915" t="n">
        <v>9</v>
      </c>
      <c r="D1915" s="8" t="n">
        <v>46183</v>
      </c>
      <c r="E1915" s="9" t="n">
        <v>11189.17</v>
      </c>
      <c r="F1915" s="8" t="n"/>
      <c r="G1915" s="9" t="n">
        <v>0</v>
      </c>
      <c r="H1915" t="inlineStr">
        <is>
          <t>UNPAID</t>
        </is>
      </c>
      <c r="I1915">
        <f>IF(H1915="UNPAID", AsOfDate-D1915, 0)</f>
        <v/>
      </c>
      <c r="J1915">
        <f>IF(F1915&lt;&gt;"", TEXT(F1915, "yyyy-mm"), "")</f>
        <v/>
      </c>
    </row>
    <row r="1916">
      <c r="A1916" t="inlineStr">
        <is>
          <t>RP0001915</t>
        </is>
      </c>
      <c r="B1916" t="inlineStr">
        <is>
          <t>LN200282</t>
        </is>
      </c>
      <c r="C1916" t="n">
        <v>1</v>
      </c>
      <c r="D1916" s="8" t="n">
        <v>45715</v>
      </c>
      <c r="E1916" s="9" t="n">
        <v>10838.33</v>
      </c>
      <c r="F1916" s="8" t="n">
        <v>45717</v>
      </c>
      <c r="G1916" s="9" t="n">
        <v>10838.33</v>
      </c>
      <c r="H1916" t="inlineStr">
        <is>
          <t>PAID_ON_TIME</t>
        </is>
      </c>
      <c r="I1916">
        <f>IF(H1916="UNPAID", AsOfDate-D1916, 0)</f>
        <v/>
      </c>
      <c r="J1916">
        <f>IF(F1916&lt;&gt;"", TEXT(F1916, "yyyy-mm"), "")</f>
        <v/>
      </c>
    </row>
    <row r="1917">
      <c r="A1917" t="inlineStr">
        <is>
          <t>RP0001916</t>
        </is>
      </c>
      <c r="B1917" t="inlineStr">
        <is>
          <t>LN200282</t>
        </is>
      </c>
      <c r="C1917" t="n">
        <v>2</v>
      </c>
      <c r="D1917" s="8" t="n">
        <v>45743</v>
      </c>
      <c r="E1917" s="9" t="n">
        <v>10838.33</v>
      </c>
      <c r="F1917" s="8" t="n">
        <v>45747</v>
      </c>
      <c r="G1917" s="9" t="n">
        <v>10838.33</v>
      </c>
      <c r="H1917" t="inlineStr">
        <is>
          <t>PAID_ON_TIME</t>
        </is>
      </c>
      <c r="I1917">
        <f>IF(H1917="UNPAID", AsOfDate-D1917, 0)</f>
        <v/>
      </c>
      <c r="J1917">
        <f>IF(F1917&lt;&gt;"", TEXT(F1917, "yyyy-mm"), "")</f>
        <v/>
      </c>
    </row>
    <row r="1918">
      <c r="A1918" t="inlineStr">
        <is>
          <t>RP0001917</t>
        </is>
      </c>
      <c r="B1918" t="inlineStr">
        <is>
          <t>LN200282</t>
        </is>
      </c>
      <c r="C1918" t="n">
        <v>3</v>
      </c>
      <c r="D1918" s="8" t="n">
        <v>45774</v>
      </c>
      <c r="E1918" s="9" t="n">
        <v>10838.33</v>
      </c>
      <c r="F1918" s="8" t="n">
        <v>45771</v>
      </c>
      <c r="G1918" s="9" t="n">
        <v>10838.33</v>
      </c>
      <c r="H1918" t="inlineStr">
        <is>
          <t>PAID_ON_TIME</t>
        </is>
      </c>
      <c r="I1918">
        <f>IF(H1918="UNPAID", AsOfDate-D1918, 0)</f>
        <v/>
      </c>
      <c r="J1918">
        <f>IF(F1918&lt;&gt;"", TEXT(F1918, "yyyy-mm"), "")</f>
        <v/>
      </c>
    </row>
    <row r="1919">
      <c r="A1919" t="inlineStr">
        <is>
          <t>RP0001918</t>
        </is>
      </c>
      <c r="B1919" t="inlineStr">
        <is>
          <t>LN200282</t>
        </is>
      </c>
      <c r="C1919" t="n">
        <v>4</v>
      </c>
      <c r="D1919" s="8" t="n">
        <v>45804</v>
      </c>
      <c r="E1919" s="9" t="n">
        <v>10838.33</v>
      </c>
      <c r="F1919" s="8" t="n">
        <v>45803</v>
      </c>
      <c r="G1919" s="9" t="n">
        <v>10838.33</v>
      </c>
      <c r="H1919" t="inlineStr">
        <is>
          <t>PAID_ON_TIME</t>
        </is>
      </c>
      <c r="I1919">
        <f>IF(H1919="UNPAID", AsOfDate-D1919, 0)</f>
        <v/>
      </c>
      <c r="J1919">
        <f>IF(F1919&lt;&gt;"", TEXT(F1919, "yyyy-mm"), "")</f>
        <v/>
      </c>
    </row>
    <row r="1920">
      <c r="A1920" t="inlineStr">
        <is>
          <t>RP0001919</t>
        </is>
      </c>
      <c r="B1920" t="inlineStr">
        <is>
          <t>LN200282</t>
        </is>
      </c>
      <c r="C1920" t="n">
        <v>5</v>
      </c>
      <c r="D1920" s="8" t="n">
        <v>45835</v>
      </c>
      <c r="E1920" s="9" t="n">
        <v>10838.33</v>
      </c>
      <c r="F1920" s="8" t="n"/>
      <c r="G1920" s="9" t="n">
        <v>0</v>
      </c>
      <c r="H1920" t="inlineStr">
        <is>
          <t>UNPAID</t>
        </is>
      </c>
      <c r="I1920">
        <f>IF(H1920="UNPAID", AsOfDate-D1920, 0)</f>
        <v/>
      </c>
      <c r="J1920">
        <f>IF(F1920&lt;&gt;"", TEXT(F1920, "yyyy-mm"), "")</f>
        <v/>
      </c>
    </row>
    <row r="1921">
      <c r="A1921" t="inlineStr">
        <is>
          <t>RP0001920</t>
        </is>
      </c>
      <c r="B1921" t="inlineStr">
        <is>
          <t>LN200282</t>
        </is>
      </c>
      <c r="C1921" t="n">
        <v>6</v>
      </c>
      <c r="D1921" s="8" t="n">
        <v>45865</v>
      </c>
      <c r="E1921" s="9" t="n">
        <v>10838.33</v>
      </c>
      <c r="F1921" s="8" t="n">
        <v>45869</v>
      </c>
      <c r="G1921" s="9" t="n">
        <v>10838.33</v>
      </c>
      <c r="H1921" t="inlineStr">
        <is>
          <t>PAID_ON_TIME</t>
        </is>
      </c>
      <c r="I1921">
        <f>IF(H1921="UNPAID", AsOfDate-D1921, 0)</f>
        <v/>
      </c>
      <c r="J1921">
        <f>IF(F1921&lt;&gt;"", TEXT(F1921, "yyyy-mm"), "")</f>
        <v/>
      </c>
    </row>
    <row r="1922">
      <c r="A1922" t="inlineStr">
        <is>
          <t>RP0001921</t>
        </is>
      </c>
      <c r="B1922" t="inlineStr">
        <is>
          <t>LN200282</t>
        </is>
      </c>
      <c r="C1922" t="n">
        <v>7</v>
      </c>
      <c r="D1922" s="8" t="n">
        <v>45896</v>
      </c>
      <c r="E1922" s="9" t="n">
        <v>10838.33</v>
      </c>
      <c r="F1922" s="8" t="n">
        <v>45896</v>
      </c>
      <c r="G1922" s="9" t="n">
        <v>10838.33</v>
      </c>
      <c r="H1922" t="inlineStr">
        <is>
          <t>PAID_ON_TIME</t>
        </is>
      </c>
      <c r="I1922">
        <f>IF(H1922="UNPAID", AsOfDate-D1922, 0)</f>
        <v/>
      </c>
      <c r="J1922">
        <f>IF(F1922&lt;&gt;"", TEXT(F1922, "yyyy-mm"), "")</f>
        <v/>
      </c>
    </row>
    <row r="1923">
      <c r="A1923" t="inlineStr">
        <is>
          <t>RP0001922</t>
        </is>
      </c>
      <c r="B1923" t="inlineStr">
        <is>
          <t>LN200282</t>
        </is>
      </c>
      <c r="C1923" t="n">
        <v>8</v>
      </c>
      <c r="D1923" s="8" t="n">
        <v>45927</v>
      </c>
      <c r="E1923" s="9" t="n">
        <v>10838.33</v>
      </c>
      <c r="F1923" s="8" t="n">
        <v>45926</v>
      </c>
      <c r="G1923" s="9" t="n">
        <v>10838.33</v>
      </c>
      <c r="H1923" t="inlineStr">
        <is>
          <t>PAID_ON_TIME</t>
        </is>
      </c>
      <c r="I1923">
        <f>IF(H1923="UNPAID", AsOfDate-D1923, 0)</f>
        <v/>
      </c>
      <c r="J1923">
        <f>IF(F1923&lt;&gt;"", TEXT(F1923, "yyyy-mm"), "")</f>
        <v/>
      </c>
    </row>
    <row r="1924">
      <c r="A1924" t="inlineStr">
        <is>
          <t>RP0001923</t>
        </is>
      </c>
      <c r="B1924" t="inlineStr">
        <is>
          <t>LN200282</t>
        </is>
      </c>
      <c r="C1924" t="n">
        <v>9</v>
      </c>
      <c r="D1924" s="8" t="n">
        <v>45957</v>
      </c>
      <c r="E1924" s="9" t="n">
        <v>10838.33</v>
      </c>
      <c r="F1924" s="8" t="n">
        <v>45984</v>
      </c>
      <c r="G1924" s="9" t="n">
        <v>10838.33</v>
      </c>
      <c r="H1924" t="inlineStr">
        <is>
          <t>PAID_LATE</t>
        </is>
      </c>
      <c r="I1924">
        <f>IF(H1924="UNPAID", AsOfDate-D1924, 0)</f>
        <v/>
      </c>
      <c r="J1924">
        <f>IF(F1924&lt;&gt;"", TEXT(F1924, "yyyy-mm"), "")</f>
        <v/>
      </c>
    </row>
    <row r="1925">
      <c r="A1925" t="inlineStr">
        <is>
          <t>RP0001924</t>
        </is>
      </c>
      <c r="B1925" t="inlineStr">
        <is>
          <t>LN200283</t>
        </is>
      </c>
      <c r="C1925" t="n">
        <v>1</v>
      </c>
      <c r="D1925" s="8" t="n">
        <v>46006</v>
      </c>
      <c r="E1925" s="9" t="n">
        <v>11683.75</v>
      </c>
      <c r="F1925" s="8" t="n">
        <v>46121</v>
      </c>
      <c r="G1925" s="9" t="n">
        <v>11683.75</v>
      </c>
      <c r="H1925" t="inlineStr">
        <is>
          <t>PAID_LATE</t>
        </is>
      </c>
      <c r="I1925">
        <f>IF(H1925="UNPAID", AsOfDate-D1925, 0)</f>
        <v/>
      </c>
      <c r="J1925">
        <f>IF(F1925&lt;&gt;"", TEXT(F1925, "yyyy-mm"), "")</f>
        <v/>
      </c>
    </row>
    <row r="1926">
      <c r="A1926" t="inlineStr">
        <is>
          <t>RP0001925</t>
        </is>
      </c>
      <c r="B1926" t="inlineStr">
        <is>
          <t>LN200283</t>
        </is>
      </c>
      <c r="C1926" t="n">
        <v>2</v>
      </c>
      <c r="D1926" s="8" t="n">
        <v>46037</v>
      </c>
      <c r="E1926" s="9" t="n">
        <v>11683.75</v>
      </c>
      <c r="F1926" s="8" t="n">
        <v>46096</v>
      </c>
      <c r="G1926" s="9" t="n">
        <v>11683.75</v>
      </c>
      <c r="H1926" t="inlineStr">
        <is>
          <t>PAID_LATE</t>
        </is>
      </c>
      <c r="I1926">
        <f>IF(H1926="UNPAID", AsOfDate-D1926, 0)</f>
        <v/>
      </c>
      <c r="J1926">
        <f>IF(F1926&lt;&gt;"", TEXT(F1926, "yyyy-mm"), "")</f>
        <v/>
      </c>
    </row>
    <row r="1927">
      <c r="A1927" t="inlineStr">
        <is>
          <t>RP0001926</t>
        </is>
      </c>
      <c r="B1927" t="inlineStr">
        <is>
          <t>LN200283</t>
        </is>
      </c>
      <c r="C1927" t="n">
        <v>3</v>
      </c>
      <c r="D1927" s="8" t="n">
        <v>46068</v>
      </c>
      <c r="E1927" s="9" t="n">
        <v>11683.75</v>
      </c>
      <c r="F1927" s="8" t="n">
        <v>46070</v>
      </c>
      <c r="G1927" s="9" t="n">
        <v>11683.75</v>
      </c>
      <c r="H1927" t="inlineStr">
        <is>
          <t>PAID_ON_TIME</t>
        </is>
      </c>
      <c r="I1927">
        <f>IF(H1927="UNPAID", AsOfDate-D1927, 0)</f>
        <v/>
      </c>
      <c r="J1927">
        <f>IF(F1927&lt;&gt;"", TEXT(F1927, "yyyy-mm"), "")</f>
        <v/>
      </c>
    </row>
    <row r="1928">
      <c r="A1928" t="inlineStr">
        <is>
          <t>RP0001927</t>
        </is>
      </c>
      <c r="B1928" t="inlineStr">
        <is>
          <t>LN200283</t>
        </is>
      </c>
      <c r="C1928" t="n">
        <v>4</v>
      </c>
      <c r="D1928" s="8" t="n">
        <v>46096</v>
      </c>
      <c r="E1928" s="9" t="n">
        <v>11683.75</v>
      </c>
      <c r="F1928" s="8" t="n">
        <v>46095</v>
      </c>
      <c r="G1928" s="9" t="n">
        <v>11683.75</v>
      </c>
      <c r="H1928" t="inlineStr">
        <is>
          <t>PAID_ON_TIME</t>
        </is>
      </c>
      <c r="I1928">
        <f>IF(H1928="UNPAID", AsOfDate-D1928, 0)</f>
        <v/>
      </c>
      <c r="J1928">
        <f>IF(F1928&lt;&gt;"", TEXT(F1928, "yyyy-mm"), "")</f>
        <v/>
      </c>
    </row>
    <row r="1929">
      <c r="A1929" t="inlineStr">
        <is>
          <t>RP0001928</t>
        </is>
      </c>
      <c r="B1929" t="inlineStr">
        <is>
          <t>LN200283</t>
        </is>
      </c>
      <c r="C1929" t="n">
        <v>5</v>
      </c>
      <c r="D1929" s="8" t="n">
        <v>46127</v>
      </c>
      <c r="E1929" s="9" t="n">
        <v>11683.75</v>
      </c>
      <c r="F1929" s="8" t="n">
        <v>46124</v>
      </c>
      <c r="G1929" s="9" t="n">
        <v>11683.75</v>
      </c>
      <c r="H1929" t="inlineStr">
        <is>
          <t>PAID_ON_TIME</t>
        </is>
      </c>
      <c r="I1929">
        <f>IF(H1929="UNPAID", AsOfDate-D1929, 0)</f>
        <v/>
      </c>
      <c r="J1929">
        <f>IF(F1929&lt;&gt;"", TEXT(F1929, "yyyy-mm"), "")</f>
        <v/>
      </c>
    </row>
    <row r="1930">
      <c r="A1930" t="inlineStr">
        <is>
          <t>RP0001929</t>
        </is>
      </c>
      <c r="B1930" t="inlineStr">
        <is>
          <t>LN200283</t>
        </is>
      </c>
      <c r="C1930" t="n">
        <v>6</v>
      </c>
      <c r="D1930" s="8" t="n">
        <v>46157</v>
      </c>
      <c r="E1930" s="9" t="n">
        <v>11683.75</v>
      </c>
      <c r="F1930" s="8" t="n">
        <v>46156</v>
      </c>
      <c r="G1930" s="9" t="n">
        <v>11683.75</v>
      </c>
      <c r="H1930" t="inlineStr">
        <is>
          <t>PAID_ON_TIME</t>
        </is>
      </c>
      <c r="I1930">
        <f>IF(H1930="UNPAID", AsOfDate-D1930, 0)</f>
        <v/>
      </c>
      <c r="J1930">
        <f>IF(F1930&lt;&gt;"", TEXT(F1930, "yyyy-mm"), "")</f>
        <v/>
      </c>
    </row>
    <row r="1931">
      <c r="A1931" t="inlineStr">
        <is>
          <t>RP0001930</t>
        </is>
      </c>
      <c r="B1931" t="inlineStr">
        <is>
          <t>LN200284</t>
        </is>
      </c>
      <c r="C1931" t="n">
        <v>1</v>
      </c>
      <c r="D1931" s="8" t="n">
        <v>45928</v>
      </c>
      <c r="E1931" s="9" t="n">
        <v>7050.69</v>
      </c>
      <c r="F1931" s="8" t="n">
        <v>45927</v>
      </c>
      <c r="G1931" s="9" t="n">
        <v>7050.69</v>
      </c>
      <c r="H1931" t="inlineStr">
        <is>
          <t>PAID_ON_TIME</t>
        </is>
      </c>
      <c r="I1931">
        <f>IF(H1931="UNPAID", AsOfDate-D1931, 0)</f>
        <v/>
      </c>
      <c r="J1931">
        <f>IF(F1931&lt;&gt;"", TEXT(F1931, "yyyy-mm"), "")</f>
        <v/>
      </c>
    </row>
    <row r="1932">
      <c r="A1932" t="inlineStr">
        <is>
          <t>RP0001931</t>
        </is>
      </c>
      <c r="B1932" t="inlineStr">
        <is>
          <t>LN200284</t>
        </is>
      </c>
      <c r="C1932" t="n">
        <v>2</v>
      </c>
      <c r="D1932" s="8" t="n">
        <v>45958</v>
      </c>
      <c r="E1932" s="9" t="n">
        <v>7050.69</v>
      </c>
      <c r="F1932" s="8" t="n">
        <v>45956</v>
      </c>
      <c r="G1932" s="9" t="n">
        <v>7050.69</v>
      </c>
      <c r="H1932" t="inlineStr">
        <is>
          <t>PAID_ON_TIME</t>
        </is>
      </c>
      <c r="I1932">
        <f>IF(H1932="UNPAID", AsOfDate-D1932, 0)</f>
        <v/>
      </c>
      <c r="J1932">
        <f>IF(F1932&lt;&gt;"", TEXT(F1932, "yyyy-mm"), "")</f>
        <v/>
      </c>
    </row>
    <row r="1933">
      <c r="A1933" t="inlineStr">
        <is>
          <t>RP0001932</t>
        </is>
      </c>
      <c r="B1933" t="inlineStr">
        <is>
          <t>LN200284</t>
        </is>
      </c>
      <c r="C1933" t="n">
        <v>3</v>
      </c>
      <c r="D1933" s="8" t="n">
        <v>45989</v>
      </c>
      <c r="E1933" s="9" t="n">
        <v>7050.69</v>
      </c>
      <c r="F1933" s="8" t="n"/>
      <c r="G1933" s="9" t="n">
        <v>0</v>
      </c>
      <c r="H1933" t="inlineStr">
        <is>
          <t>UNPAID</t>
        </is>
      </c>
      <c r="I1933">
        <f>IF(H1933="UNPAID", AsOfDate-D1933, 0)</f>
        <v/>
      </c>
      <c r="J1933">
        <f>IF(F1933&lt;&gt;"", TEXT(F1933, "yyyy-mm"), "")</f>
        <v/>
      </c>
    </row>
    <row r="1934">
      <c r="A1934" t="inlineStr">
        <is>
          <t>RP0001933</t>
        </is>
      </c>
      <c r="B1934" t="inlineStr">
        <is>
          <t>LN200284</t>
        </is>
      </c>
      <c r="C1934" t="n">
        <v>4</v>
      </c>
      <c r="D1934" s="8" t="n">
        <v>46019</v>
      </c>
      <c r="E1934" s="9" t="n">
        <v>7050.69</v>
      </c>
      <c r="F1934" s="8" t="n">
        <v>46022</v>
      </c>
      <c r="G1934" s="9" t="n">
        <v>7050.69</v>
      </c>
      <c r="H1934" t="inlineStr">
        <is>
          <t>PAID_ON_TIME</t>
        </is>
      </c>
      <c r="I1934">
        <f>IF(H1934="UNPAID", AsOfDate-D1934, 0)</f>
        <v/>
      </c>
      <c r="J1934">
        <f>IF(F1934&lt;&gt;"", TEXT(F1934, "yyyy-mm"), "")</f>
        <v/>
      </c>
    </row>
    <row r="1935">
      <c r="A1935" t="inlineStr">
        <is>
          <t>RP0001934</t>
        </is>
      </c>
      <c r="B1935" t="inlineStr">
        <is>
          <t>LN200284</t>
        </is>
      </c>
      <c r="C1935" t="n">
        <v>5</v>
      </c>
      <c r="D1935" s="8" t="n">
        <v>46050</v>
      </c>
      <c r="E1935" s="9" t="n">
        <v>7050.69</v>
      </c>
      <c r="F1935" s="8" t="n">
        <v>46051</v>
      </c>
      <c r="G1935" s="9" t="n">
        <v>7050.69</v>
      </c>
      <c r="H1935" t="inlineStr">
        <is>
          <t>PAID_ON_TIME</t>
        </is>
      </c>
      <c r="I1935">
        <f>IF(H1935="UNPAID", AsOfDate-D1935, 0)</f>
        <v/>
      </c>
      <c r="J1935">
        <f>IF(F1935&lt;&gt;"", TEXT(F1935, "yyyy-mm"), "")</f>
        <v/>
      </c>
    </row>
    <row r="1936">
      <c r="A1936" t="inlineStr">
        <is>
          <t>RP0001935</t>
        </is>
      </c>
      <c r="B1936" t="inlineStr">
        <is>
          <t>LN200284</t>
        </is>
      </c>
      <c r="C1936" t="n">
        <v>6</v>
      </c>
      <c r="D1936" s="8" t="n">
        <v>46081</v>
      </c>
      <c r="E1936" s="9" t="n">
        <v>7050.69</v>
      </c>
      <c r="F1936" s="8" t="n">
        <v>46082</v>
      </c>
      <c r="G1936" s="9" t="n">
        <v>7050.69</v>
      </c>
      <c r="H1936" t="inlineStr">
        <is>
          <t>PAID_ON_TIME</t>
        </is>
      </c>
      <c r="I1936">
        <f>IF(H1936="UNPAID", AsOfDate-D1936, 0)</f>
        <v/>
      </c>
      <c r="J1936">
        <f>IF(F1936&lt;&gt;"", TEXT(F1936, "yyyy-mm"), "")</f>
        <v/>
      </c>
    </row>
    <row r="1937">
      <c r="A1937" t="inlineStr">
        <is>
          <t>RP0001936</t>
        </is>
      </c>
      <c r="B1937" t="inlineStr">
        <is>
          <t>LN200284</t>
        </is>
      </c>
      <c r="C1937" t="n">
        <v>7</v>
      </c>
      <c r="D1937" s="8" t="n">
        <v>46109</v>
      </c>
      <c r="E1937" s="9" t="n">
        <v>7050.69</v>
      </c>
      <c r="F1937" s="8" t="n">
        <v>46106</v>
      </c>
      <c r="G1937" s="9" t="n">
        <v>7050.69</v>
      </c>
      <c r="H1937" t="inlineStr">
        <is>
          <t>PAID_ON_TIME</t>
        </is>
      </c>
      <c r="I1937">
        <f>IF(H1937="UNPAID", AsOfDate-D1937, 0)</f>
        <v/>
      </c>
      <c r="J1937">
        <f>IF(F1937&lt;&gt;"", TEXT(F1937, "yyyy-mm"), "")</f>
        <v/>
      </c>
    </row>
    <row r="1938">
      <c r="A1938" t="inlineStr">
        <is>
          <t>RP0001937</t>
        </is>
      </c>
      <c r="B1938" t="inlineStr">
        <is>
          <t>LN200284</t>
        </is>
      </c>
      <c r="C1938" t="n">
        <v>8</v>
      </c>
      <c r="D1938" s="8" t="n">
        <v>46140</v>
      </c>
      <c r="E1938" s="9" t="n">
        <v>7050.69</v>
      </c>
      <c r="F1938" s="8" t="n">
        <v>46137</v>
      </c>
      <c r="G1938" s="9" t="n">
        <v>7050.69</v>
      </c>
      <c r="H1938" t="inlineStr">
        <is>
          <t>PAID_ON_TIME</t>
        </is>
      </c>
      <c r="I1938">
        <f>IF(H1938="UNPAID", AsOfDate-D1938, 0)</f>
        <v/>
      </c>
      <c r="J1938">
        <f>IF(F1938&lt;&gt;"", TEXT(F1938, "yyyy-mm"), "")</f>
        <v/>
      </c>
    </row>
    <row r="1939">
      <c r="A1939" t="inlineStr">
        <is>
          <t>RP0001938</t>
        </is>
      </c>
      <c r="B1939" t="inlineStr">
        <is>
          <t>LN200284</t>
        </is>
      </c>
      <c r="C1939" t="n">
        <v>9</v>
      </c>
      <c r="D1939" s="8" t="n">
        <v>46170</v>
      </c>
      <c r="E1939" s="9" t="n">
        <v>7050.69</v>
      </c>
      <c r="F1939" s="8" t="n">
        <v>46174</v>
      </c>
      <c r="G1939" s="9" t="n">
        <v>7050.69</v>
      </c>
      <c r="H1939" t="inlineStr">
        <is>
          <t>PAID_ON_TIME</t>
        </is>
      </c>
      <c r="I1939">
        <f>IF(H1939="UNPAID", AsOfDate-D1939, 0)</f>
        <v/>
      </c>
      <c r="J1939">
        <f>IF(F1939&lt;&gt;"", TEXT(F1939, "yyyy-mm"), "")</f>
        <v/>
      </c>
    </row>
    <row r="1940">
      <c r="A1940" t="inlineStr">
        <is>
          <t>RP0001939</t>
        </is>
      </c>
      <c r="B1940" t="inlineStr">
        <is>
          <t>LN200285</t>
        </is>
      </c>
      <c r="C1940" t="n">
        <v>1</v>
      </c>
      <c r="D1940" s="8" t="n">
        <v>46062</v>
      </c>
      <c r="E1940" s="9" t="n">
        <v>3418.5</v>
      </c>
      <c r="F1940" s="8" t="n">
        <v>46060</v>
      </c>
      <c r="G1940" s="9" t="n">
        <v>3418.5</v>
      </c>
      <c r="H1940" t="inlineStr">
        <is>
          <t>PAID_ON_TIME</t>
        </is>
      </c>
      <c r="I1940">
        <f>IF(H1940="UNPAID", AsOfDate-D1940, 0)</f>
        <v/>
      </c>
      <c r="J1940">
        <f>IF(F1940&lt;&gt;"", TEXT(F1940, "yyyy-mm"), "")</f>
        <v/>
      </c>
    </row>
    <row r="1941">
      <c r="A1941" t="inlineStr">
        <is>
          <t>RP0001940</t>
        </is>
      </c>
      <c r="B1941" t="inlineStr">
        <is>
          <t>LN200285</t>
        </is>
      </c>
      <c r="C1941" t="n">
        <v>2</v>
      </c>
      <c r="D1941" s="8" t="n">
        <v>46090</v>
      </c>
      <c r="E1941" s="9" t="n">
        <v>3418.5</v>
      </c>
      <c r="F1941" s="8" t="n">
        <v>46093</v>
      </c>
      <c r="G1941" s="9" t="n">
        <v>3418.5</v>
      </c>
      <c r="H1941" t="inlineStr">
        <is>
          <t>PAID_ON_TIME</t>
        </is>
      </c>
      <c r="I1941">
        <f>IF(H1941="UNPAID", AsOfDate-D1941, 0)</f>
        <v/>
      </c>
      <c r="J1941">
        <f>IF(F1941&lt;&gt;"", TEXT(F1941, "yyyy-mm"), "")</f>
        <v/>
      </c>
    </row>
    <row r="1942">
      <c r="A1942" t="inlineStr">
        <is>
          <t>RP0001941</t>
        </is>
      </c>
      <c r="B1942" t="inlineStr">
        <is>
          <t>LN200285</t>
        </is>
      </c>
      <c r="C1942" t="n">
        <v>3</v>
      </c>
      <c r="D1942" s="8" t="n">
        <v>46121</v>
      </c>
      <c r="E1942" s="9" t="n">
        <v>3418.5</v>
      </c>
      <c r="F1942" s="8" t="n">
        <v>46121</v>
      </c>
      <c r="G1942" s="9" t="n">
        <v>3418.5</v>
      </c>
      <c r="H1942" t="inlineStr">
        <is>
          <t>PAID_ON_TIME</t>
        </is>
      </c>
      <c r="I1942">
        <f>IF(H1942="UNPAID", AsOfDate-D1942, 0)</f>
        <v/>
      </c>
      <c r="J1942">
        <f>IF(F1942&lt;&gt;"", TEXT(F1942, "yyyy-mm"), "")</f>
        <v/>
      </c>
    </row>
    <row r="1943">
      <c r="A1943" t="inlineStr">
        <is>
          <t>RP0001942</t>
        </is>
      </c>
      <c r="B1943" t="inlineStr">
        <is>
          <t>LN200285</t>
        </is>
      </c>
      <c r="C1943" t="n">
        <v>4</v>
      </c>
      <c r="D1943" s="8" t="n">
        <v>46151</v>
      </c>
      <c r="E1943" s="9" t="n">
        <v>3418.5</v>
      </c>
      <c r="F1943" s="8" t="n">
        <v>46151</v>
      </c>
      <c r="G1943" s="9" t="n">
        <v>3418.5</v>
      </c>
      <c r="H1943" t="inlineStr">
        <is>
          <t>PAID_ON_TIME</t>
        </is>
      </c>
      <c r="I1943">
        <f>IF(H1943="UNPAID", AsOfDate-D1943, 0)</f>
        <v/>
      </c>
      <c r="J1943">
        <f>IF(F1943&lt;&gt;"", TEXT(F1943, "yyyy-mm"), "")</f>
        <v/>
      </c>
    </row>
    <row r="1944">
      <c r="A1944" t="inlineStr">
        <is>
          <t>RP0001943</t>
        </is>
      </c>
      <c r="B1944" t="inlineStr">
        <is>
          <t>LN200285</t>
        </is>
      </c>
      <c r="C1944" t="n">
        <v>5</v>
      </c>
      <c r="D1944" s="8" t="n">
        <v>46182</v>
      </c>
      <c r="E1944" s="9" t="n">
        <v>3418.5</v>
      </c>
      <c r="F1944" s="8" t="n">
        <v>46182</v>
      </c>
      <c r="G1944" s="9" t="n">
        <v>3418.5</v>
      </c>
      <c r="H1944" t="inlineStr">
        <is>
          <t>PAID_ON_TIME</t>
        </is>
      </c>
      <c r="I1944">
        <f>IF(H1944="UNPAID", AsOfDate-D1944, 0)</f>
        <v/>
      </c>
      <c r="J1944">
        <f>IF(F1944&lt;&gt;"", TEXT(F1944, "yyyy-mm"), "")</f>
        <v/>
      </c>
    </row>
    <row r="1945">
      <c r="A1945" t="inlineStr">
        <is>
          <t>RP0001944</t>
        </is>
      </c>
      <c r="B1945" t="inlineStr">
        <is>
          <t>LN200285</t>
        </is>
      </c>
      <c r="C1945" t="n">
        <v>6</v>
      </c>
      <c r="D1945" s="8" t="n">
        <v>46212</v>
      </c>
      <c r="E1945" s="9" t="n">
        <v>3418.5</v>
      </c>
      <c r="F1945" s="8" t="n">
        <v>46209</v>
      </c>
      <c r="G1945" s="9" t="n">
        <v>3418.5</v>
      </c>
      <c r="H1945" t="inlineStr">
        <is>
          <t>PAID_ON_TIME</t>
        </is>
      </c>
      <c r="I1945">
        <f>IF(H1945="UNPAID", AsOfDate-D1945, 0)</f>
        <v/>
      </c>
      <c r="J1945">
        <f>IF(F1945&lt;&gt;"", TEXT(F1945, "yyyy-mm"), "")</f>
        <v/>
      </c>
    </row>
    <row r="1946">
      <c r="A1946" t="inlineStr">
        <is>
          <t>RP0001945</t>
        </is>
      </c>
      <c r="B1946" t="inlineStr">
        <is>
          <t>LN200285</t>
        </is>
      </c>
      <c r="C1946" t="n">
        <v>7</v>
      </c>
      <c r="D1946" s="8" t="n">
        <v>46243</v>
      </c>
      <c r="E1946" s="9" t="n">
        <v>3418.5</v>
      </c>
      <c r="F1946" s="8" t="n">
        <v>46242</v>
      </c>
      <c r="G1946" s="9" t="n">
        <v>3418.5</v>
      </c>
      <c r="H1946" t="inlineStr">
        <is>
          <t>PAID_ON_TIME</t>
        </is>
      </c>
      <c r="I1946">
        <f>IF(H1946="UNPAID", AsOfDate-D1946, 0)</f>
        <v/>
      </c>
      <c r="J1946">
        <f>IF(F1946&lt;&gt;"", TEXT(F1946, "yyyy-mm"), "")</f>
        <v/>
      </c>
    </row>
    <row r="1947">
      <c r="A1947" t="inlineStr">
        <is>
          <t>RP0001946</t>
        </is>
      </c>
      <c r="B1947" t="inlineStr">
        <is>
          <t>LN200285</t>
        </is>
      </c>
      <c r="C1947" t="n">
        <v>8</v>
      </c>
      <c r="D1947" s="8" t="n">
        <v>46274</v>
      </c>
      <c r="E1947" s="9" t="n">
        <v>3418.5</v>
      </c>
      <c r="F1947" s="8" t="n"/>
      <c r="G1947" s="9" t="n">
        <v>0</v>
      </c>
      <c r="H1947" t="inlineStr">
        <is>
          <t>NOT_DUE</t>
        </is>
      </c>
      <c r="I1947">
        <f>IF(H1947="UNPAID", AsOfDate-D1947, 0)</f>
        <v/>
      </c>
      <c r="J1947">
        <f>IF(F1947&lt;&gt;"", TEXT(F1947, "yyyy-mm"), "")</f>
        <v/>
      </c>
    </row>
    <row r="1948">
      <c r="A1948" t="inlineStr">
        <is>
          <t>RP0001947</t>
        </is>
      </c>
      <c r="B1948" t="inlineStr">
        <is>
          <t>LN200285</t>
        </is>
      </c>
      <c r="C1948" t="n">
        <v>9</v>
      </c>
      <c r="D1948" s="8" t="n">
        <v>46304</v>
      </c>
      <c r="E1948" s="9" t="n">
        <v>3418.5</v>
      </c>
      <c r="F1948" s="8" t="n"/>
      <c r="G1948" s="9" t="n">
        <v>0</v>
      </c>
      <c r="H1948" t="inlineStr">
        <is>
          <t>NOT_DUE</t>
        </is>
      </c>
      <c r="I1948">
        <f>IF(H1948="UNPAID", AsOfDate-D1948, 0)</f>
        <v/>
      </c>
      <c r="J1948">
        <f>IF(F1948&lt;&gt;"", TEXT(F1948, "yyyy-mm"), "")</f>
        <v/>
      </c>
    </row>
    <row r="1949">
      <c r="A1949" t="inlineStr">
        <is>
          <t>RP0001948</t>
        </is>
      </c>
      <c r="B1949" t="inlineStr">
        <is>
          <t>LN200286</t>
        </is>
      </c>
      <c r="C1949" t="n">
        <v>1</v>
      </c>
      <c r="D1949" s="8" t="n">
        <v>46135</v>
      </c>
      <c r="E1949" s="9" t="n">
        <v>27175.81</v>
      </c>
      <c r="F1949" s="8" t="n">
        <v>46132</v>
      </c>
      <c r="G1949" s="9" t="n">
        <v>27175.81</v>
      </c>
      <c r="H1949" t="inlineStr">
        <is>
          <t>PAID_ON_TIME</t>
        </is>
      </c>
      <c r="I1949">
        <f>IF(H1949="UNPAID", AsOfDate-D1949, 0)</f>
        <v/>
      </c>
      <c r="J1949">
        <f>IF(F1949&lt;&gt;"", TEXT(F1949, "yyyy-mm"), "")</f>
        <v/>
      </c>
    </row>
    <row r="1950">
      <c r="A1950" t="inlineStr">
        <is>
          <t>RP0001949</t>
        </is>
      </c>
      <c r="B1950" t="inlineStr">
        <is>
          <t>LN200286</t>
        </is>
      </c>
      <c r="C1950" t="n">
        <v>2</v>
      </c>
      <c r="D1950" s="8" t="n">
        <v>46165</v>
      </c>
      <c r="E1950" s="9" t="n">
        <v>27175.81</v>
      </c>
      <c r="F1950" s="8" t="n">
        <v>46247</v>
      </c>
      <c r="G1950" s="9" t="n">
        <v>27175.81</v>
      </c>
      <c r="H1950" t="inlineStr">
        <is>
          <t>PAID_LATE</t>
        </is>
      </c>
      <c r="I1950">
        <f>IF(H1950="UNPAID", AsOfDate-D1950, 0)</f>
        <v/>
      </c>
      <c r="J1950">
        <f>IF(F1950&lt;&gt;"", TEXT(F1950, "yyyy-mm"), "")</f>
        <v/>
      </c>
    </row>
    <row r="1951">
      <c r="A1951" t="inlineStr">
        <is>
          <t>RP0001950</t>
        </is>
      </c>
      <c r="B1951" t="inlineStr">
        <is>
          <t>LN200286</t>
        </is>
      </c>
      <c r="C1951" t="n">
        <v>3</v>
      </c>
      <c r="D1951" s="8" t="n">
        <v>46196</v>
      </c>
      <c r="E1951" s="9" t="n">
        <v>27175.81</v>
      </c>
      <c r="F1951" s="8" t="n">
        <v>46197</v>
      </c>
      <c r="G1951" s="9" t="n">
        <v>27175.81</v>
      </c>
      <c r="H1951" t="inlineStr">
        <is>
          <t>PAID_ON_TIME</t>
        </is>
      </c>
      <c r="I1951">
        <f>IF(H1951="UNPAID", AsOfDate-D1951, 0)</f>
        <v/>
      </c>
      <c r="J1951">
        <f>IF(F1951&lt;&gt;"", TEXT(F1951, "yyyy-mm"), "")</f>
        <v/>
      </c>
    </row>
    <row r="1952">
      <c r="A1952" t="inlineStr">
        <is>
          <t>RP0001951</t>
        </is>
      </c>
      <c r="B1952" t="inlineStr">
        <is>
          <t>LN200286</t>
        </is>
      </c>
      <c r="C1952" t="n">
        <v>4</v>
      </c>
      <c r="D1952" s="8" t="n">
        <v>46226</v>
      </c>
      <c r="E1952" s="9" t="n">
        <v>27175.81</v>
      </c>
      <c r="F1952" s="8" t="n">
        <v>46225</v>
      </c>
      <c r="G1952" s="9" t="n">
        <v>27175.81</v>
      </c>
      <c r="H1952" t="inlineStr">
        <is>
          <t>PAID_ON_TIME</t>
        </is>
      </c>
      <c r="I1952">
        <f>IF(H1952="UNPAID", AsOfDate-D1952, 0)</f>
        <v/>
      </c>
      <c r="J1952">
        <f>IF(F1952&lt;&gt;"", TEXT(F1952, "yyyy-mm"), "")</f>
        <v/>
      </c>
    </row>
    <row r="1953">
      <c r="A1953" t="inlineStr">
        <is>
          <t>RP0001952</t>
        </is>
      </c>
      <c r="B1953" t="inlineStr">
        <is>
          <t>LN200286</t>
        </is>
      </c>
      <c r="C1953" t="n">
        <v>5</v>
      </c>
      <c r="D1953" s="8" t="n">
        <v>46257</v>
      </c>
      <c r="E1953" s="9" t="n">
        <v>27175.81</v>
      </c>
      <c r="F1953" s="8" t="n">
        <v>46254</v>
      </c>
      <c r="G1953" s="9" t="n">
        <v>27175.81</v>
      </c>
      <c r="H1953" t="inlineStr">
        <is>
          <t>PAID_ON_TIME</t>
        </is>
      </c>
      <c r="I1953">
        <f>IF(H1953="UNPAID", AsOfDate-D1953, 0)</f>
        <v/>
      </c>
      <c r="J1953">
        <f>IF(F1953&lt;&gt;"", TEXT(F1953, "yyyy-mm"), "")</f>
        <v/>
      </c>
    </row>
    <row r="1954">
      <c r="A1954" t="inlineStr">
        <is>
          <t>RP0001953</t>
        </is>
      </c>
      <c r="B1954" t="inlineStr">
        <is>
          <t>LN200286</t>
        </is>
      </c>
      <c r="C1954" t="n">
        <v>6</v>
      </c>
      <c r="D1954" s="8" t="n">
        <v>46288</v>
      </c>
      <c r="E1954" s="9" t="n">
        <v>27175.81</v>
      </c>
      <c r="F1954" s="8" t="n"/>
      <c r="G1954" s="9" t="n">
        <v>0</v>
      </c>
      <c r="H1954" t="inlineStr">
        <is>
          <t>NOT_DUE</t>
        </is>
      </c>
      <c r="I1954">
        <f>IF(H1954="UNPAID", AsOfDate-D1954, 0)</f>
        <v/>
      </c>
      <c r="J1954">
        <f>IF(F1954&lt;&gt;"", TEXT(F1954, "yyyy-mm"), "")</f>
        <v/>
      </c>
    </row>
    <row r="1955">
      <c r="A1955" t="inlineStr">
        <is>
          <t>RP0001954</t>
        </is>
      </c>
      <c r="B1955" t="inlineStr">
        <is>
          <t>LN200286</t>
        </is>
      </c>
      <c r="C1955" t="n">
        <v>7</v>
      </c>
      <c r="D1955" s="8" t="n">
        <v>46318</v>
      </c>
      <c r="E1955" s="9" t="n">
        <v>27175.81</v>
      </c>
      <c r="F1955" s="8" t="n"/>
      <c r="G1955" s="9" t="n">
        <v>0</v>
      </c>
      <c r="H1955" t="inlineStr">
        <is>
          <t>NOT_DUE</t>
        </is>
      </c>
      <c r="I1955">
        <f>IF(H1955="UNPAID", AsOfDate-D1955, 0)</f>
        <v/>
      </c>
      <c r="J1955">
        <f>IF(F1955&lt;&gt;"", TEXT(F1955, "yyyy-mm"), "")</f>
        <v/>
      </c>
    </row>
    <row r="1956">
      <c r="A1956" t="inlineStr">
        <is>
          <t>RP0001955</t>
        </is>
      </c>
      <c r="B1956" t="inlineStr">
        <is>
          <t>LN200286</t>
        </is>
      </c>
      <c r="C1956" t="n">
        <v>8</v>
      </c>
      <c r="D1956" s="8" t="n">
        <v>46349</v>
      </c>
      <c r="E1956" s="9" t="n">
        <v>27175.81</v>
      </c>
      <c r="F1956" s="8" t="n"/>
      <c r="G1956" s="9" t="n">
        <v>0</v>
      </c>
      <c r="H1956" t="inlineStr">
        <is>
          <t>NOT_DUE</t>
        </is>
      </c>
      <c r="I1956">
        <f>IF(H1956="UNPAID", AsOfDate-D1956, 0)</f>
        <v/>
      </c>
      <c r="J1956">
        <f>IF(F1956&lt;&gt;"", TEXT(F1956, "yyyy-mm"), "")</f>
        <v/>
      </c>
    </row>
    <row r="1957">
      <c r="A1957" t="inlineStr">
        <is>
          <t>RP0001956</t>
        </is>
      </c>
      <c r="B1957" t="inlineStr">
        <is>
          <t>LN200286</t>
        </is>
      </c>
      <c r="C1957" t="n">
        <v>9</v>
      </c>
      <c r="D1957" s="8" t="n">
        <v>46379</v>
      </c>
      <c r="E1957" s="9" t="n">
        <v>27175.81</v>
      </c>
      <c r="F1957" s="8" t="n"/>
      <c r="G1957" s="9" t="n">
        <v>0</v>
      </c>
      <c r="H1957" t="inlineStr">
        <is>
          <t>NOT_DUE</t>
        </is>
      </c>
      <c r="I1957">
        <f>IF(H1957="UNPAID", AsOfDate-D1957, 0)</f>
        <v/>
      </c>
      <c r="J1957">
        <f>IF(F1957&lt;&gt;"", TEXT(F1957, "yyyy-mm"), "")</f>
        <v/>
      </c>
    </row>
    <row r="1958">
      <c r="A1958" t="inlineStr">
        <is>
          <t>RP0001957</t>
        </is>
      </c>
      <c r="B1958" t="inlineStr">
        <is>
          <t>LN200287</t>
        </is>
      </c>
      <c r="C1958" t="n">
        <v>1</v>
      </c>
      <c r="D1958" s="8" t="n">
        <v>45908</v>
      </c>
      <c r="E1958" s="9" t="n">
        <v>42169.44</v>
      </c>
      <c r="F1958" s="8" t="n">
        <v>45908</v>
      </c>
      <c r="G1958" s="9" t="n">
        <v>42169.44</v>
      </c>
      <c r="H1958" t="inlineStr">
        <is>
          <t>PAID_ON_TIME</t>
        </is>
      </c>
      <c r="I1958">
        <f>IF(H1958="UNPAID", AsOfDate-D1958, 0)</f>
        <v/>
      </c>
      <c r="J1958">
        <f>IF(F1958&lt;&gt;"", TEXT(F1958, "yyyy-mm"), "")</f>
        <v/>
      </c>
    </row>
    <row r="1959">
      <c r="A1959" t="inlineStr">
        <is>
          <t>RP0001958</t>
        </is>
      </c>
      <c r="B1959" t="inlineStr">
        <is>
          <t>LN200287</t>
        </is>
      </c>
      <c r="C1959" t="n">
        <v>2</v>
      </c>
      <c r="D1959" s="8" t="n">
        <v>45938</v>
      </c>
      <c r="E1959" s="9" t="n">
        <v>42169.44</v>
      </c>
      <c r="F1959" s="8" t="n">
        <v>45937</v>
      </c>
      <c r="G1959" s="9" t="n">
        <v>42169.44</v>
      </c>
      <c r="H1959" t="inlineStr">
        <is>
          <t>PAID_ON_TIME</t>
        </is>
      </c>
      <c r="I1959">
        <f>IF(H1959="UNPAID", AsOfDate-D1959, 0)</f>
        <v/>
      </c>
      <c r="J1959">
        <f>IF(F1959&lt;&gt;"", TEXT(F1959, "yyyy-mm"), "")</f>
        <v/>
      </c>
    </row>
    <row r="1960">
      <c r="A1960" t="inlineStr">
        <is>
          <t>RP0001959</t>
        </is>
      </c>
      <c r="B1960" t="inlineStr">
        <is>
          <t>LN200287</t>
        </is>
      </c>
      <c r="C1960" t="n">
        <v>3</v>
      </c>
      <c r="D1960" s="8" t="n">
        <v>45969</v>
      </c>
      <c r="E1960" s="9" t="n">
        <v>42169.44</v>
      </c>
      <c r="F1960" s="8" t="n"/>
      <c r="G1960" s="9" t="n">
        <v>0</v>
      </c>
      <c r="H1960" t="inlineStr">
        <is>
          <t>UNPAID</t>
        </is>
      </c>
      <c r="I1960">
        <f>IF(H1960="UNPAID", AsOfDate-D1960, 0)</f>
        <v/>
      </c>
      <c r="J1960">
        <f>IF(F1960&lt;&gt;"", TEXT(F1960, "yyyy-mm"), "")</f>
        <v/>
      </c>
    </row>
    <row r="1961">
      <c r="A1961" t="inlineStr">
        <is>
          <t>RP0001960</t>
        </is>
      </c>
      <c r="B1961" t="inlineStr">
        <is>
          <t>LN200287</t>
        </is>
      </c>
      <c r="C1961" t="n">
        <v>4</v>
      </c>
      <c r="D1961" s="8" t="n">
        <v>45999</v>
      </c>
      <c r="E1961" s="9" t="n">
        <v>42169.44</v>
      </c>
      <c r="F1961" s="8" t="n">
        <v>45999</v>
      </c>
      <c r="G1961" s="9" t="n">
        <v>42169.44</v>
      </c>
      <c r="H1961" t="inlineStr">
        <is>
          <t>PAID_ON_TIME</t>
        </is>
      </c>
      <c r="I1961">
        <f>IF(H1961="UNPAID", AsOfDate-D1961, 0)</f>
        <v/>
      </c>
      <c r="J1961">
        <f>IF(F1961&lt;&gt;"", TEXT(F1961, "yyyy-mm"), "")</f>
        <v/>
      </c>
    </row>
    <row r="1962">
      <c r="A1962" t="inlineStr">
        <is>
          <t>RP0001961</t>
        </is>
      </c>
      <c r="B1962" t="inlineStr">
        <is>
          <t>LN200287</t>
        </is>
      </c>
      <c r="C1962" t="n">
        <v>5</v>
      </c>
      <c r="D1962" s="8" t="n">
        <v>46030</v>
      </c>
      <c r="E1962" s="9" t="n">
        <v>42169.44</v>
      </c>
      <c r="F1962" s="8" t="n">
        <v>46030</v>
      </c>
      <c r="G1962" s="9" t="n">
        <v>42169.44</v>
      </c>
      <c r="H1962" t="inlineStr">
        <is>
          <t>PAID_ON_TIME</t>
        </is>
      </c>
      <c r="I1962">
        <f>IF(H1962="UNPAID", AsOfDate-D1962, 0)</f>
        <v/>
      </c>
      <c r="J1962">
        <f>IF(F1962&lt;&gt;"", TEXT(F1962, "yyyy-mm"), "")</f>
        <v/>
      </c>
    </row>
    <row r="1963">
      <c r="A1963" t="inlineStr">
        <is>
          <t>RP0001962</t>
        </is>
      </c>
      <c r="B1963" t="inlineStr">
        <is>
          <t>LN200287</t>
        </is>
      </c>
      <c r="C1963" t="n">
        <v>6</v>
      </c>
      <c r="D1963" s="8" t="n">
        <v>46061</v>
      </c>
      <c r="E1963" s="9" t="n">
        <v>42169.44</v>
      </c>
      <c r="F1963" s="8" t="n">
        <v>46060</v>
      </c>
      <c r="G1963" s="9" t="n">
        <v>42169.44</v>
      </c>
      <c r="H1963" t="inlineStr">
        <is>
          <t>PAID_ON_TIME</t>
        </is>
      </c>
      <c r="I1963">
        <f>IF(H1963="UNPAID", AsOfDate-D1963, 0)</f>
        <v/>
      </c>
      <c r="J1963">
        <f>IF(F1963&lt;&gt;"", TEXT(F1963, "yyyy-mm"), "")</f>
        <v/>
      </c>
    </row>
    <row r="1964">
      <c r="A1964" t="inlineStr">
        <is>
          <t>RP0001963</t>
        </is>
      </c>
      <c r="B1964" t="inlineStr">
        <is>
          <t>LN200287</t>
        </is>
      </c>
      <c r="C1964" t="n">
        <v>7</v>
      </c>
      <c r="D1964" s="8" t="n">
        <v>46089</v>
      </c>
      <c r="E1964" s="9" t="n">
        <v>42169.44</v>
      </c>
      <c r="F1964" s="8" t="n">
        <v>46090</v>
      </c>
      <c r="G1964" s="9" t="n">
        <v>42169.44</v>
      </c>
      <c r="H1964" t="inlineStr">
        <is>
          <t>PAID_ON_TIME</t>
        </is>
      </c>
      <c r="I1964">
        <f>IF(H1964="UNPAID", AsOfDate-D1964, 0)</f>
        <v/>
      </c>
      <c r="J1964">
        <f>IF(F1964&lt;&gt;"", TEXT(F1964, "yyyy-mm"), "")</f>
        <v/>
      </c>
    </row>
    <row r="1965">
      <c r="A1965" t="inlineStr">
        <is>
          <t>RP0001964</t>
        </is>
      </c>
      <c r="B1965" t="inlineStr">
        <is>
          <t>LN200287</t>
        </is>
      </c>
      <c r="C1965" t="n">
        <v>8</v>
      </c>
      <c r="D1965" s="8" t="n">
        <v>46120</v>
      </c>
      <c r="E1965" s="9" t="n">
        <v>42169.44</v>
      </c>
      <c r="F1965" s="8" t="n">
        <v>46178</v>
      </c>
      <c r="G1965" s="9" t="n">
        <v>42169.44</v>
      </c>
      <c r="H1965" t="inlineStr">
        <is>
          <t>PAID_LATE</t>
        </is>
      </c>
      <c r="I1965">
        <f>IF(H1965="UNPAID", AsOfDate-D1965, 0)</f>
        <v/>
      </c>
      <c r="J1965">
        <f>IF(F1965&lt;&gt;"", TEXT(F1965, "yyyy-mm"), "")</f>
        <v/>
      </c>
    </row>
    <row r="1966">
      <c r="A1966" t="inlineStr">
        <is>
          <t>RP0001965</t>
        </is>
      </c>
      <c r="B1966" t="inlineStr">
        <is>
          <t>LN200287</t>
        </is>
      </c>
      <c r="C1966" t="n">
        <v>9</v>
      </c>
      <c r="D1966" s="8" t="n">
        <v>46150</v>
      </c>
      <c r="E1966" s="9" t="n">
        <v>42169.44</v>
      </c>
      <c r="F1966" s="8" t="n">
        <v>46151</v>
      </c>
      <c r="G1966" s="9" t="n">
        <v>42169.44</v>
      </c>
      <c r="H1966" t="inlineStr">
        <is>
          <t>PAID_ON_TIME</t>
        </is>
      </c>
      <c r="I1966">
        <f>IF(H1966="UNPAID", AsOfDate-D1966, 0)</f>
        <v/>
      </c>
      <c r="J1966">
        <f>IF(F1966&lt;&gt;"", TEXT(F1966, "yyyy-mm"), "")</f>
        <v/>
      </c>
    </row>
    <row r="1967">
      <c r="A1967" t="inlineStr">
        <is>
          <t>RP0001966</t>
        </is>
      </c>
      <c r="B1967" t="inlineStr">
        <is>
          <t>LN200288</t>
        </is>
      </c>
      <c r="C1967" t="n">
        <v>1</v>
      </c>
      <c r="D1967" s="8" t="n">
        <v>46089</v>
      </c>
      <c r="E1967" s="9" t="n">
        <v>37760.25</v>
      </c>
      <c r="F1967" s="8" t="n">
        <v>46088</v>
      </c>
      <c r="G1967" s="9" t="n">
        <v>37760.25</v>
      </c>
      <c r="H1967" t="inlineStr">
        <is>
          <t>PAID_ON_TIME</t>
        </is>
      </c>
      <c r="I1967">
        <f>IF(H1967="UNPAID", AsOfDate-D1967, 0)</f>
        <v/>
      </c>
      <c r="J1967">
        <f>IF(F1967&lt;&gt;"", TEXT(F1967, "yyyy-mm"), "")</f>
        <v/>
      </c>
    </row>
    <row r="1968">
      <c r="A1968" t="inlineStr">
        <is>
          <t>RP0001967</t>
        </is>
      </c>
      <c r="B1968" t="inlineStr">
        <is>
          <t>LN200288</t>
        </is>
      </c>
      <c r="C1968" t="n">
        <v>2</v>
      </c>
      <c r="D1968" s="8" t="n">
        <v>46120</v>
      </c>
      <c r="E1968" s="9" t="n">
        <v>37760.25</v>
      </c>
      <c r="F1968" s="8" t="n">
        <v>46123</v>
      </c>
      <c r="G1968" s="9" t="n">
        <v>37760.25</v>
      </c>
      <c r="H1968" t="inlineStr">
        <is>
          <t>PAID_ON_TIME</t>
        </is>
      </c>
      <c r="I1968">
        <f>IF(H1968="UNPAID", AsOfDate-D1968, 0)</f>
        <v/>
      </c>
      <c r="J1968">
        <f>IF(F1968&lt;&gt;"", TEXT(F1968, "yyyy-mm"), "")</f>
        <v/>
      </c>
    </row>
    <row r="1969">
      <c r="A1969" t="inlineStr">
        <is>
          <t>RP0001968</t>
        </is>
      </c>
      <c r="B1969" t="inlineStr">
        <is>
          <t>LN200288</t>
        </is>
      </c>
      <c r="C1969" t="n">
        <v>3</v>
      </c>
      <c r="D1969" s="8" t="n">
        <v>46150</v>
      </c>
      <c r="E1969" s="9" t="n">
        <v>37760.25</v>
      </c>
      <c r="F1969" s="8" t="n">
        <v>46195</v>
      </c>
      <c r="G1969" s="9" t="n">
        <v>37760.25</v>
      </c>
      <c r="H1969" t="inlineStr">
        <is>
          <t>PAID_LATE</t>
        </is>
      </c>
      <c r="I1969">
        <f>IF(H1969="UNPAID", AsOfDate-D1969, 0)</f>
        <v/>
      </c>
      <c r="J1969">
        <f>IF(F1969&lt;&gt;"", TEXT(F1969, "yyyy-mm"), "")</f>
        <v/>
      </c>
    </row>
    <row r="1970">
      <c r="A1970" t="inlineStr">
        <is>
          <t>RP0001969</t>
        </is>
      </c>
      <c r="B1970" t="inlineStr">
        <is>
          <t>LN200288</t>
        </is>
      </c>
      <c r="C1970" t="n">
        <v>4</v>
      </c>
      <c r="D1970" s="8" t="n">
        <v>46181</v>
      </c>
      <c r="E1970" s="9" t="n">
        <v>37760.25</v>
      </c>
      <c r="F1970" s="8" t="n">
        <v>46181</v>
      </c>
      <c r="G1970" s="9" t="n">
        <v>37760.25</v>
      </c>
      <c r="H1970" t="inlineStr">
        <is>
          <t>PAID_ON_TIME</t>
        </is>
      </c>
      <c r="I1970">
        <f>IF(H1970="UNPAID", AsOfDate-D1970, 0)</f>
        <v/>
      </c>
      <c r="J1970">
        <f>IF(F1970&lt;&gt;"", TEXT(F1970, "yyyy-mm"), "")</f>
        <v/>
      </c>
    </row>
    <row r="1971">
      <c r="A1971" t="inlineStr">
        <is>
          <t>RP0001970</t>
        </is>
      </c>
      <c r="B1971" t="inlineStr">
        <is>
          <t>LN200288</t>
        </is>
      </c>
      <c r="C1971" t="n">
        <v>5</v>
      </c>
      <c r="D1971" s="8" t="n">
        <v>46211</v>
      </c>
      <c r="E1971" s="9" t="n">
        <v>37760.25</v>
      </c>
      <c r="F1971" s="8" t="n">
        <v>46214</v>
      </c>
      <c r="G1971" s="9" t="n">
        <v>37760.25</v>
      </c>
      <c r="H1971" t="inlineStr">
        <is>
          <t>PAID_ON_TIME</t>
        </is>
      </c>
      <c r="I1971">
        <f>IF(H1971="UNPAID", AsOfDate-D1971, 0)</f>
        <v/>
      </c>
      <c r="J1971">
        <f>IF(F1971&lt;&gt;"", TEXT(F1971, "yyyy-mm"), "")</f>
        <v/>
      </c>
    </row>
    <row r="1972">
      <c r="A1972" t="inlineStr">
        <is>
          <t>RP0001971</t>
        </is>
      </c>
      <c r="B1972" t="inlineStr">
        <is>
          <t>LN200288</t>
        </is>
      </c>
      <c r="C1972" t="n">
        <v>6</v>
      </c>
      <c r="D1972" s="8" t="n">
        <v>46242</v>
      </c>
      <c r="E1972" s="9" t="n">
        <v>37760.25</v>
      </c>
      <c r="F1972" s="8" t="n">
        <v>46243</v>
      </c>
      <c r="G1972" s="9" t="n">
        <v>37760.25</v>
      </c>
      <c r="H1972" t="inlineStr">
        <is>
          <t>PAID_ON_TIME</t>
        </is>
      </c>
      <c r="I1972">
        <f>IF(H1972="UNPAID", AsOfDate-D1972, 0)</f>
        <v/>
      </c>
      <c r="J1972">
        <f>IF(F1972&lt;&gt;"", TEXT(F1972, "yyyy-mm"), "")</f>
        <v/>
      </c>
    </row>
    <row r="1973">
      <c r="A1973" t="inlineStr">
        <is>
          <t>RP0001972</t>
        </is>
      </c>
      <c r="B1973" t="inlineStr">
        <is>
          <t>LN200289</t>
        </is>
      </c>
      <c r="C1973" t="n">
        <v>1</v>
      </c>
      <c r="D1973" s="8" t="n">
        <v>46263</v>
      </c>
      <c r="E1973" s="9" t="n">
        <v>137157</v>
      </c>
      <c r="F1973" s="8" t="n">
        <v>46264</v>
      </c>
      <c r="G1973" s="9" t="n">
        <v>137157</v>
      </c>
      <c r="H1973" t="inlineStr">
        <is>
          <t>PAID_ON_TIME</t>
        </is>
      </c>
      <c r="I1973">
        <f>IF(H1973="UNPAID", AsOfDate-D1973, 0)</f>
        <v/>
      </c>
      <c r="J1973">
        <f>IF(F1973&lt;&gt;"", TEXT(F1973, "yyyy-mm"), "")</f>
        <v/>
      </c>
    </row>
    <row r="1974">
      <c r="A1974" t="inlineStr">
        <is>
          <t>RP0001973</t>
        </is>
      </c>
      <c r="B1974" t="inlineStr">
        <is>
          <t>LN200289</t>
        </is>
      </c>
      <c r="C1974" t="n">
        <v>2</v>
      </c>
      <c r="D1974" s="8" t="n">
        <v>46294</v>
      </c>
      <c r="E1974" s="9" t="n">
        <v>137157</v>
      </c>
      <c r="F1974" s="8" t="n"/>
      <c r="G1974" s="9" t="n">
        <v>0</v>
      </c>
      <c r="H1974" t="inlineStr">
        <is>
          <t>NOT_DUE</t>
        </is>
      </c>
      <c r="I1974">
        <f>IF(H1974="UNPAID", AsOfDate-D1974, 0)</f>
        <v/>
      </c>
      <c r="J1974">
        <f>IF(F1974&lt;&gt;"", TEXT(F1974, "yyyy-mm"), "")</f>
        <v/>
      </c>
    </row>
    <row r="1975">
      <c r="A1975" t="inlineStr">
        <is>
          <t>RP0001974</t>
        </is>
      </c>
      <c r="B1975" t="inlineStr">
        <is>
          <t>LN200289</t>
        </is>
      </c>
      <c r="C1975" t="n">
        <v>3</v>
      </c>
      <c r="D1975" s="8" t="n">
        <v>46324</v>
      </c>
      <c r="E1975" s="9" t="n">
        <v>137157</v>
      </c>
      <c r="F1975" s="8" t="n"/>
      <c r="G1975" s="9" t="n">
        <v>0</v>
      </c>
      <c r="H1975" t="inlineStr">
        <is>
          <t>NOT_DUE</t>
        </is>
      </c>
      <c r="I1975">
        <f>IF(H1975="UNPAID", AsOfDate-D1975, 0)</f>
        <v/>
      </c>
      <c r="J1975">
        <f>IF(F1975&lt;&gt;"", TEXT(F1975, "yyyy-mm"), "")</f>
        <v/>
      </c>
    </row>
    <row r="1976">
      <c r="A1976" t="inlineStr">
        <is>
          <t>RP0001975</t>
        </is>
      </c>
      <c r="B1976" t="inlineStr">
        <is>
          <t>LN200290</t>
        </is>
      </c>
      <c r="C1976" t="n">
        <v>1</v>
      </c>
      <c r="D1976" s="8" t="n">
        <v>46092</v>
      </c>
      <c r="E1976" s="9" t="n">
        <v>13962</v>
      </c>
      <c r="F1976" s="8" t="n">
        <v>46092</v>
      </c>
      <c r="G1976" s="9" t="n">
        <v>13962</v>
      </c>
      <c r="H1976" t="inlineStr">
        <is>
          <t>PAID_ON_TIME</t>
        </is>
      </c>
      <c r="I1976">
        <f>IF(H1976="UNPAID", AsOfDate-D1976, 0)</f>
        <v/>
      </c>
      <c r="J1976">
        <f>IF(F1976&lt;&gt;"", TEXT(F1976, "yyyy-mm"), "")</f>
        <v/>
      </c>
    </row>
    <row r="1977">
      <c r="A1977" t="inlineStr">
        <is>
          <t>RP0001976</t>
        </is>
      </c>
      <c r="B1977" t="inlineStr">
        <is>
          <t>LN200290</t>
        </is>
      </c>
      <c r="C1977" t="n">
        <v>2</v>
      </c>
      <c r="D1977" s="8" t="n">
        <v>46123</v>
      </c>
      <c r="E1977" s="9" t="n">
        <v>13962</v>
      </c>
      <c r="F1977" s="8" t="n">
        <v>46121</v>
      </c>
      <c r="G1977" s="9" t="n">
        <v>13962</v>
      </c>
      <c r="H1977" t="inlineStr">
        <is>
          <t>PAID_ON_TIME</t>
        </is>
      </c>
      <c r="I1977">
        <f>IF(H1977="UNPAID", AsOfDate-D1977, 0)</f>
        <v/>
      </c>
      <c r="J1977">
        <f>IF(F1977&lt;&gt;"", TEXT(F1977, "yyyy-mm"), "")</f>
        <v/>
      </c>
    </row>
    <row r="1978">
      <c r="A1978" t="inlineStr">
        <is>
          <t>RP0001977</t>
        </is>
      </c>
      <c r="B1978" t="inlineStr">
        <is>
          <t>LN200290</t>
        </is>
      </c>
      <c r="C1978" t="n">
        <v>3</v>
      </c>
      <c r="D1978" s="8" t="n">
        <v>46153</v>
      </c>
      <c r="E1978" s="9" t="n">
        <v>13962</v>
      </c>
      <c r="F1978" s="8" t="n">
        <v>46150</v>
      </c>
      <c r="G1978" s="9" t="n">
        <v>13962</v>
      </c>
      <c r="H1978" t="inlineStr">
        <is>
          <t>PAID_ON_TIME</t>
        </is>
      </c>
      <c r="I1978">
        <f>IF(H1978="UNPAID", AsOfDate-D1978, 0)</f>
        <v/>
      </c>
      <c r="J1978">
        <f>IF(F1978&lt;&gt;"", TEXT(F1978, "yyyy-mm"), "")</f>
        <v/>
      </c>
    </row>
    <row r="1979">
      <c r="A1979" t="inlineStr">
        <is>
          <t>RP0001978</t>
        </is>
      </c>
      <c r="B1979" t="inlineStr">
        <is>
          <t>LN200290</t>
        </is>
      </c>
      <c r="C1979" t="n">
        <v>4</v>
      </c>
      <c r="D1979" s="8" t="n">
        <v>46184</v>
      </c>
      <c r="E1979" s="9" t="n">
        <v>13962</v>
      </c>
      <c r="F1979" s="8" t="n">
        <v>46188</v>
      </c>
      <c r="G1979" s="9" t="n">
        <v>13962</v>
      </c>
      <c r="H1979" t="inlineStr">
        <is>
          <t>PAID_ON_TIME</t>
        </is>
      </c>
      <c r="I1979">
        <f>IF(H1979="UNPAID", AsOfDate-D1979, 0)</f>
        <v/>
      </c>
      <c r="J1979">
        <f>IF(F1979&lt;&gt;"", TEXT(F1979, "yyyy-mm"), "")</f>
        <v/>
      </c>
    </row>
    <row r="1980">
      <c r="A1980" t="inlineStr">
        <is>
          <t>RP0001979</t>
        </is>
      </c>
      <c r="B1980" t="inlineStr">
        <is>
          <t>LN200290</t>
        </is>
      </c>
      <c r="C1980" t="n">
        <v>5</v>
      </c>
      <c r="D1980" s="8" t="n">
        <v>46214</v>
      </c>
      <c r="E1980" s="9" t="n">
        <v>13962</v>
      </c>
      <c r="F1980" s="8" t="n">
        <v>46213</v>
      </c>
      <c r="G1980" s="9" t="n">
        <v>13962</v>
      </c>
      <c r="H1980" t="inlineStr">
        <is>
          <t>PAID_ON_TIME</t>
        </is>
      </c>
      <c r="I1980">
        <f>IF(H1980="UNPAID", AsOfDate-D1980, 0)</f>
        <v/>
      </c>
      <c r="J1980">
        <f>IF(F1980&lt;&gt;"", TEXT(F1980, "yyyy-mm"), "")</f>
        <v/>
      </c>
    </row>
    <row r="1981">
      <c r="A1981" t="inlineStr">
        <is>
          <t>RP0001980</t>
        </is>
      </c>
      <c r="B1981" t="inlineStr">
        <is>
          <t>LN200290</t>
        </is>
      </c>
      <c r="C1981" t="n">
        <v>6</v>
      </c>
      <c r="D1981" s="8" t="n">
        <v>46245</v>
      </c>
      <c r="E1981" s="9" t="n">
        <v>13962</v>
      </c>
      <c r="F1981" s="8" t="n">
        <v>46255</v>
      </c>
      <c r="G1981" s="9" t="n">
        <v>13962</v>
      </c>
      <c r="H1981" t="inlineStr">
        <is>
          <t>PAID_LATE</t>
        </is>
      </c>
      <c r="I1981">
        <f>IF(H1981="UNPAID", AsOfDate-D1981, 0)</f>
        <v/>
      </c>
      <c r="J1981">
        <f>IF(F1981&lt;&gt;"", TEXT(F1981, "yyyy-mm"), "")</f>
        <v/>
      </c>
    </row>
    <row r="1982">
      <c r="A1982" t="inlineStr">
        <is>
          <t>RP0001981</t>
        </is>
      </c>
      <c r="B1982" t="inlineStr">
        <is>
          <t>LN200290</t>
        </is>
      </c>
      <c r="C1982" t="n">
        <v>7</v>
      </c>
      <c r="D1982" s="8" t="n">
        <v>46276</v>
      </c>
      <c r="E1982" s="9" t="n">
        <v>13962</v>
      </c>
      <c r="F1982" s="8" t="n"/>
      <c r="G1982" s="9" t="n">
        <v>0</v>
      </c>
      <c r="H1982" t="inlineStr">
        <is>
          <t>NOT_DUE</t>
        </is>
      </c>
      <c r="I1982">
        <f>IF(H1982="UNPAID", AsOfDate-D1982, 0)</f>
        <v/>
      </c>
      <c r="J1982">
        <f>IF(F1982&lt;&gt;"", TEXT(F1982, "yyyy-mm"), "")</f>
        <v/>
      </c>
    </row>
    <row r="1983">
      <c r="A1983" t="inlineStr">
        <is>
          <t>RP0001982</t>
        </is>
      </c>
      <c r="B1983" t="inlineStr">
        <is>
          <t>LN200290</t>
        </is>
      </c>
      <c r="C1983" t="n">
        <v>8</v>
      </c>
      <c r="D1983" s="8" t="n">
        <v>46306</v>
      </c>
      <c r="E1983" s="9" t="n">
        <v>13962</v>
      </c>
      <c r="F1983" s="8" t="n"/>
      <c r="G1983" s="9" t="n">
        <v>0</v>
      </c>
      <c r="H1983" t="inlineStr">
        <is>
          <t>NOT_DUE</t>
        </is>
      </c>
      <c r="I1983">
        <f>IF(H1983="UNPAID", AsOfDate-D1983, 0)</f>
        <v/>
      </c>
      <c r="J1983">
        <f>IF(F1983&lt;&gt;"", TEXT(F1983, "yyyy-mm"), "")</f>
        <v/>
      </c>
    </row>
    <row r="1984">
      <c r="A1984" t="inlineStr">
        <is>
          <t>RP0001983</t>
        </is>
      </c>
      <c r="B1984" t="inlineStr">
        <is>
          <t>LN200290</t>
        </is>
      </c>
      <c r="C1984" t="n">
        <v>9</v>
      </c>
      <c r="D1984" s="8" t="n">
        <v>46337</v>
      </c>
      <c r="E1984" s="9" t="n">
        <v>13962</v>
      </c>
      <c r="F1984" s="8" t="n"/>
      <c r="G1984" s="9" t="n">
        <v>0</v>
      </c>
      <c r="H1984" t="inlineStr">
        <is>
          <t>NOT_DUE</t>
        </is>
      </c>
      <c r="I1984">
        <f>IF(H1984="UNPAID", AsOfDate-D1984, 0)</f>
        <v/>
      </c>
      <c r="J1984">
        <f>IF(F1984&lt;&gt;"", TEXT(F1984, "yyyy-mm"), "")</f>
        <v/>
      </c>
    </row>
    <row r="1985">
      <c r="A1985" t="inlineStr">
        <is>
          <t>RP0001984</t>
        </is>
      </c>
      <c r="B1985" t="inlineStr">
        <is>
          <t>LN200291</t>
        </is>
      </c>
      <c r="C1985" t="n">
        <v>1</v>
      </c>
      <c r="D1985" s="8" t="n">
        <v>45690</v>
      </c>
      <c r="E1985" s="9" t="n">
        <v>1684.11</v>
      </c>
      <c r="F1985" s="8" t="n">
        <v>45688</v>
      </c>
      <c r="G1985" s="9" t="n">
        <v>1684.11</v>
      </c>
      <c r="H1985" t="inlineStr">
        <is>
          <t>PAID_ON_TIME</t>
        </is>
      </c>
      <c r="I1985">
        <f>IF(H1985="UNPAID", AsOfDate-D1985, 0)</f>
        <v/>
      </c>
      <c r="J1985">
        <f>IF(F1985&lt;&gt;"", TEXT(F1985, "yyyy-mm"), "")</f>
        <v/>
      </c>
    </row>
    <row r="1986">
      <c r="A1986" t="inlineStr">
        <is>
          <t>RP0001985</t>
        </is>
      </c>
      <c r="B1986" t="inlineStr">
        <is>
          <t>LN200291</t>
        </is>
      </c>
      <c r="C1986" t="n">
        <v>2</v>
      </c>
      <c r="D1986" s="8" t="n">
        <v>45718</v>
      </c>
      <c r="E1986" s="9" t="n">
        <v>1684.11</v>
      </c>
      <c r="F1986" s="8" t="n">
        <v>45718</v>
      </c>
      <c r="G1986" s="9" t="n">
        <v>1684.11</v>
      </c>
      <c r="H1986" t="inlineStr">
        <is>
          <t>PAID_ON_TIME</t>
        </is>
      </c>
      <c r="I1986">
        <f>IF(H1986="UNPAID", AsOfDate-D1986, 0)</f>
        <v/>
      </c>
      <c r="J1986">
        <f>IF(F1986&lt;&gt;"", TEXT(F1986, "yyyy-mm"), "")</f>
        <v/>
      </c>
    </row>
    <row r="1987">
      <c r="A1987" t="inlineStr">
        <is>
          <t>RP0001986</t>
        </is>
      </c>
      <c r="B1987" t="inlineStr">
        <is>
          <t>LN200291</t>
        </is>
      </c>
      <c r="C1987" t="n">
        <v>3</v>
      </c>
      <c r="D1987" s="8" t="n">
        <v>45749</v>
      </c>
      <c r="E1987" s="9" t="n">
        <v>1684.11</v>
      </c>
      <c r="F1987" s="8" t="n">
        <v>45747</v>
      </c>
      <c r="G1987" s="9" t="n">
        <v>1684.11</v>
      </c>
      <c r="H1987" t="inlineStr">
        <is>
          <t>PAID_ON_TIME</t>
        </is>
      </c>
      <c r="I1987">
        <f>IF(H1987="UNPAID", AsOfDate-D1987, 0)</f>
        <v/>
      </c>
      <c r="J1987">
        <f>IF(F1987&lt;&gt;"", TEXT(F1987, "yyyy-mm"), "")</f>
        <v/>
      </c>
    </row>
    <row r="1988">
      <c r="A1988" t="inlineStr">
        <is>
          <t>RP0001987</t>
        </is>
      </c>
      <c r="B1988" t="inlineStr">
        <is>
          <t>LN200291</t>
        </is>
      </c>
      <c r="C1988" t="n">
        <v>4</v>
      </c>
      <c r="D1988" s="8" t="n">
        <v>45779</v>
      </c>
      <c r="E1988" s="9" t="n">
        <v>1684.11</v>
      </c>
      <c r="F1988" s="8" t="n">
        <v>45783</v>
      </c>
      <c r="G1988" s="9" t="n">
        <v>1684.11</v>
      </c>
      <c r="H1988" t="inlineStr">
        <is>
          <t>PAID_ON_TIME</t>
        </is>
      </c>
      <c r="I1988">
        <f>IF(H1988="UNPAID", AsOfDate-D1988, 0)</f>
        <v/>
      </c>
      <c r="J1988">
        <f>IF(F1988&lt;&gt;"", TEXT(F1988, "yyyy-mm"), "")</f>
        <v/>
      </c>
    </row>
    <row r="1989">
      <c r="A1989" t="inlineStr">
        <is>
          <t>RP0001988</t>
        </is>
      </c>
      <c r="B1989" t="inlineStr">
        <is>
          <t>LN200291</t>
        </is>
      </c>
      <c r="C1989" t="n">
        <v>5</v>
      </c>
      <c r="D1989" s="8" t="n">
        <v>45810</v>
      </c>
      <c r="E1989" s="9" t="n">
        <v>1684.11</v>
      </c>
      <c r="F1989" s="8" t="n">
        <v>45812</v>
      </c>
      <c r="G1989" s="9" t="n">
        <v>1684.11</v>
      </c>
      <c r="H1989" t="inlineStr">
        <is>
          <t>PAID_ON_TIME</t>
        </is>
      </c>
      <c r="I1989">
        <f>IF(H1989="UNPAID", AsOfDate-D1989, 0)</f>
        <v/>
      </c>
      <c r="J1989">
        <f>IF(F1989&lt;&gt;"", TEXT(F1989, "yyyy-mm"), "")</f>
        <v/>
      </c>
    </row>
    <row r="1990">
      <c r="A1990" t="inlineStr">
        <is>
          <t>RP0001989</t>
        </is>
      </c>
      <c r="B1990" t="inlineStr">
        <is>
          <t>LN200291</t>
        </is>
      </c>
      <c r="C1990" t="n">
        <v>6</v>
      </c>
      <c r="D1990" s="8" t="n">
        <v>45840</v>
      </c>
      <c r="E1990" s="9" t="n">
        <v>1684.11</v>
      </c>
      <c r="F1990" s="8" t="n">
        <v>45841</v>
      </c>
      <c r="G1990" s="9" t="n">
        <v>1684.11</v>
      </c>
      <c r="H1990" t="inlineStr">
        <is>
          <t>PAID_ON_TIME</t>
        </is>
      </c>
      <c r="I1990">
        <f>IF(H1990="UNPAID", AsOfDate-D1990, 0)</f>
        <v/>
      </c>
      <c r="J1990">
        <f>IF(F1990&lt;&gt;"", TEXT(F1990, "yyyy-mm"), "")</f>
        <v/>
      </c>
    </row>
    <row r="1991">
      <c r="A1991" t="inlineStr">
        <is>
          <t>RP0001990</t>
        </is>
      </c>
      <c r="B1991" t="inlineStr">
        <is>
          <t>LN200291</t>
        </is>
      </c>
      <c r="C1991" t="n">
        <v>7</v>
      </c>
      <c r="D1991" s="8" t="n">
        <v>45871</v>
      </c>
      <c r="E1991" s="9" t="n">
        <v>1684.11</v>
      </c>
      <c r="F1991" s="8" t="n">
        <v>45872</v>
      </c>
      <c r="G1991" s="9" t="n">
        <v>1684.11</v>
      </c>
      <c r="H1991" t="inlineStr">
        <is>
          <t>PAID_ON_TIME</t>
        </is>
      </c>
      <c r="I1991">
        <f>IF(H1991="UNPAID", AsOfDate-D1991, 0)</f>
        <v/>
      </c>
      <c r="J1991">
        <f>IF(F1991&lt;&gt;"", TEXT(F1991, "yyyy-mm"), "")</f>
        <v/>
      </c>
    </row>
    <row r="1992">
      <c r="A1992" t="inlineStr">
        <is>
          <t>RP0001991</t>
        </is>
      </c>
      <c r="B1992" t="inlineStr">
        <is>
          <t>LN200291</t>
        </is>
      </c>
      <c r="C1992" t="n">
        <v>8</v>
      </c>
      <c r="D1992" s="8" t="n">
        <v>45902</v>
      </c>
      <c r="E1992" s="9" t="n">
        <v>1684.11</v>
      </c>
      <c r="F1992" s="8" t="n">
        <v>45905</v>
      </c>
      <c r="G1992" s="9" t="n">
        <v>1684.11</v>
      </c>
      <c r="H1992" t="inlineStr">
        <is>
          <t>PAID_ON_TIME</t>
        </is>
      </c>
      <c r="I1992">
        <f>IF(H1992="UNPAID", AsOfDate-D1992, 0)</f>
        <v/>
      </c>
      <c r="J1992">
        <f>IF(F1992&lt;&gt;"", TEXT(F1992, "yyyy-mm"), "")</f>
        <v/>
      </c>
    </row>
    <row r="1993">
      <c r="A1993" t="inlineStr">
        <is>
          <t>RP0001992</t>
        </is>
      </c>
      <c r="B1993" t="inlineStr">
        <is>
          <t>LN200291</t>
        </is>
      </c>
      <c r="C1993" t="n">
        <v>9</v>
      </c>
      <c r="D1993" s="8" t="n">
        <v>45932</v>
      </c>
      <c r="E1993" s="9" t="n">
        <v>1684.11</v>
      </c>
      <c r="F1993" s="8" t="n">
        <v>45930</v>
      </c>
      <c r="G1993" s="9" t="n">
        <v>1684.11</v>
      </c>
      <c r="H1993" t="inlineStr">
        <is>
          <t>PAID_ON_TIME</t>
        </is>
      </c>
      <c r="I1993">
        <f>IF(H1993="UNPAID", AsOfDate-D1993, 0)</f>
        <v/>
      </c>
      <c r="J1993">
        <f>IF(F1993&lt;&gt;"", TEXT(F1993, "yyyy-mm"), "")</f>
        <v/>
      </c>
    </row>
    <row r="1994">
      <c r="A1994" t="inlineStr">
        <is>
          <t>RP0001993</t>
        </is>
      </c>
      <c r="B1994" t="inlineStr">
        <is>
          <t>LN200291</t>
        </is>
      </c>
      <c r="C1994" t="n">
        <v>10</v>
      </c>
      <c r="D1994" s="8" t="n">
        <v>45963</v>
      </c>
      <c r="E1994" s="9" t="n">
        <v>1684.11</v>
      </c>
      <c r="F1994" s="8" t="n">
        <v>45962</v>
      </c>
      <c r="G1994" s="9" t="n">
        <v>1684.11</v>
      </c>
      <c r="H1994" t="inlineStr">
        <is>
          <t>PAID_ON_TIME</t>
        </is>
      </c>
      <c r="I1994">
        <f>IF(H1994="UNPAID", AsOfDate-D1994, 0)</f>
        <v/>
      </c>
      <c r="J1994">
        <f>IF(F1994&lt;&gt;"", TEXT(F1994, "yyyy-mm"), "")</f>
        <v/>
      </c>
    </row>
    <row r="1995">
      <c r="A1995" t="inlineStr">
        <is>
          <t>RP0001994</t>
        </is>
      </c>
      <c r="B1995" t="inlineStr">
        <is>
          <t>LN200291</t>
        </is>
      </c>
      <c r="C1995" t="n">
        <v>11</v>
      </c>
      <c r="D1995" s="8" t="n">
        <v>45993</v>
      </c>
      <c r="E1995" s="9" t="n">
        <v>1684.11</v>
      </c>
      <c r="F1995" s="8" t="n">
        <v>45995</v>
      </c>
      <c r="G1995" s="9" t="n">
        <v>1684.11</v>
      </c>
      <c r="H1995" t="inlineStr">
        <is>
          <t>PAID_ON_TIME</t>
        </is>
      </c>
      <c r="I1995">
        <f>IF(H1995="UNPAID", AsOfDate-D1995, 0)</f>
        <v/>
      </c>
      <c r="J1995">
        <f>IF(F1995&lt;&gt;"", TEXT(F1995, "yyyy-mm"), "")</f>
        <v/>
      </c>
    </row>
    <row r="1996">
      <c r="A1996" t="inlineStr">
        <is>
          <t>RP0001995</t>
        </is>
      </c>
      <c r="B1996" t="inlineStr">
        <is>
          <t>LN200291</t>
        </is>
      </c>
      <c r="C1996" t="n">
        <v>12</v>
      </c>
      <c r="D1996" s="8" t="n">
        <v>46024</v>
      </c>
      <c r="E1996" s="9" t="n">
        <v>1684.11</v>
      </c>
      <c r="F1996" s="8" t="n">
        <v>46025</v>
      </c>
      <c r="G1996" s="9" t="n">
        <v>1684.11</v>
      </c>
      <c r="H1996" t="inlineStr">
        <is>
          <t>PAID_ON_TIME</t>
        </is>
      </c>
      <c r="I1996">
        <f>IF(H1996="UNPAID", AsOfDate-D1996, 0)</f>
        <v/>
      </c>
      <c r="J1996">
        <f>IF(F1996&lt;&gt;"", TEXT(F1996, "yyyy-mm"), "")</f>
        <v/>
      </c>
    </row>
    <row r="1997">
      <c r="A1997" t="inlineStr">
        <is>
          <t>RP0001996</t>
        </is>
      </c>
      <c r="B1997" t="inlineStr">
        <is>
          <t>LN200291</t>
        </is>
      </c>
      <c r="C1997" t="n">
        <v>13</v>
      </c>
      <c r="D1997" s="8" t="n">
        <v>46055</v>
      </c>
      <c r="E1997" s="9" t="n">
        <v>1684.11</v>
      </c>
      <c r="F1997" s="8" t="n">
        <v>46053</v>
      </c>
      <c r="G1997" s="9" t="n">
        <v>1684.11</v>
      </c>
      <c r="H1997" t="inlineStr">
        <is>
          <t>PAID_ON_TIME</t>
        </is>
      </c>
      <c r="I1997">
        <f>IF(H1997="UNPAID", AsOfDate-D1997, 0)</f>
        <v/>
      </c>
      <c r="J1997">
        <f>IF(F1997&lt;&gt;"", TEXT(F1997, "yyyy-mm"), "")</f>
        <v/>
      </c>
    </row>
    <row r="1998">
      <c r="A1998" t="inlineStr">
        <is>
          <t>RP0001997</t>
        </is>
      </c>
      <c r="B1998" t="inlineStr">
        <is>
          <t>LN200291</t>
        </is>
      </c>
      <c r="C1998" t="n">
        <v>14</v>
      </c>
      <c r="D1998" s="8" t="n">
        <v>46083</v>
      </c>
      <c r="E1998" s="9" t="n">
        <v>1684.11</v>
      </c>
      <c r="F1998" s="8" t="n">
        <v>46085</v>
      </c>
      <c r="G1998" s="9" t="n">
        <v>1684.11</v>
      </c>
      <c r="H1998" t="inlineStr">
        <is>
          <t>PAID_ON_TIME</t>
        </is>
      </c>
      <c r="I1998">
        <f>IF(H1998="UNPAID", AsOfDate-D1998, 0)</f>
        <v/>
      </c>
      <c r="J1998">
        <f>IF(F1998&lt;&gt;"", TEXT(F1998, "yyyy-mm"), "")</f>
        <v/>
      </c>
    </row>
    <row r="1999">
      <c r="A1999" t="inlineStr">
        <is>
          <t>RP0001998</t>
        </is>
      </c>
      <c r="B1999" t="inlineStr">
        <is>
          <t>LN200291</t>
        </is>
      </c>
      <c r="C1999" t="n">
        <v>15</v>
      </c>
      <c r="D1999" s="8" t="n">
        <v>46114</v>
      </c>
      <c r="E1999" s="9" t="n">
        <v>1684.11</v>
      </c>
      <c r="F1999" s="8" t="n">
        <v>46111</v>
      </c>
      <c r="G1999" s="9" t="n">
        <v>1684.11</v>
      </c>
      <c r="H1999" t="inlineStr">
        <is>
          <t>PAID_ON_TIME</t>
        </is>
      </c>
      <c r="I1999">
        <f>IF(H1999="UNPAID", AsOfDate-D1999, 0)</f>
        <v/>
      </c>
      <c r="J1999">
        <f>IF(F1999&lt;&gt;"", TEXT(F1999, "yyyy-mm"), "")</f>
        <v/>
      </c>
    </row>
    <row r="2000">
      <c r="A2000" t="inlineStr">
        <is>
          <t>RP0001999</t>
        </is>
      </c>
      <c r="B2000" t="inlineStr">
        <is>
          <t>LN200291</t>
        </is>
      </c>
      <c r="C2000" t="n">
        <v>16</v>
      </c>
      <c r="D2000" s="8" t="n">
        <v>46144</v>
      </c>
      <c r="E2000" s="9" t="n">
        <v>1684.11</v>
      </c>
      <c r="F2000" s="8" t="n">
        <v>46146</v>
      </c>
      <c r="G2000" s="9" t="n">
        <v>1684.11</v>
      </c>
      <c r="H2000" t="inlineStr">
        <is>
          <t>PAID_ON_TIME</t>
        </is>
      </c>
      <c r="I2000">
        <f>IF(H2000="UNPAID", AsOfDate-D2000, 0)</f>
        <v/>
      </c>
      <c r="J2000">
        <f>IF(F2000&lt;&gt;"", TEXT(F2000, "yyyy-mm"), "")</f>
        <v/>
      </c>
    </row>
    <row r="2001">
      <c r="A2001" t="inlineStr">
        <is>
          <t>RP0002000</t>
        </is>
      </c>
      <c r="B2001" t="inlineStr">
        <is>
          <t>LN200291</t>
        </is>
      </c>
      <c r="C2001" t="n">
        <v>17</v>
      </c>
      <c r="D2001" s="8" t="n">
        <v>46175</v>
      </c>
      <c r="E2001" s="9" t="n">
        <v>1684.11</v>
      </c>
      <c r="F2001" s="8" t="n">
        <v>46176</v>
      </c>
      <c r="G2001" s="9" t="n">
        <v>1684.11</v>
      </c>
      <c r="H2001" t="inlineStr">
        <is>
          <t>PAID_ON_TIME</t>
        </is>
      </c>
      <c r="I2001">
        <f>IF(H2001="UNPAID", AsOfDate-D2001, 0)</f>
        <v/>
      </c>
      <c r="J2001">
        <f>IF(F2001&lt;&gt;"", TEXT(F2001, "yyyy-mm"), "")</f>
        <v/>
      </c>
    </row>
    <row r="2002">
      <c r="A2002" t="inlineStr">
        <is>
          <t>RP0002001</t>
        </is>
      </c>
      <c r="B2002" t="inlineStr">
        <is>
          <t>LN200291</t>
        </is>
      </c>
      <c r="C2002" t="n">
        <v>18</v>
      </c>
      <c r="D2002" s="8" t="n">
        <v>46205</v>
      </c>
      <c r="E2002" s="9" t="n">
        <v>1684.11</v>
      </c>
      <c r="F2002" s="8" t="n">
        <v>46209</v>
      </c>
      <c r="G2002" s="9" t="n">
        <v>1684.11</v>
      </c>
      <c r="H2002" t="inlineStr">
        <is>
          <t>PAID_ON_TIME</t>
        </is>
      </c>
      <c r="I2002">
        <f>IF(H2002="UNPAID", AsOfDate-D2002, 0)</f>
        <v/>
      </c>
      <c r="J2002">
        <f>IF(F2002&lt;&gt;"", TEXT(F2002, "yyyy-mm"), "")</f>
        <v/>
      </c>
    </row>
    <row r="2003">
      <c r="A2003" t="inlineStr">
        <is>
          <t>RP0002002</t>
        </is>
      </c>
      <c r="B2003" t="inlineStr">
        <is>
          <t>LN200292</t>
        </is>
      </c>
      <c r="C2003" t="n">
        <v>1</v>
      </c>
      <c r="D2003" s="8" t="n">
        <v>46140</v>
      </c>
      <c r="E2003" s="9" t="n">
        <v>6878.33</v>
      </c>
      <c r="F2003" s="8" t="n">
        <v>46141</v>
      </c>
      <c r="G2003" s="9" t="n">
        <v>6878.33</v>
      </c>
      <c r="H2003" t="inlineStr">
        <is>
          <t>PAID_ON_TIME</t>
        </is>
      </c>
      <c r="I2003">
        <f>IF(H2003="UNPAID", AsOfDate-D2003, 0)</f>
        <v/>
      </c>
      <c r="J2003">
        <f>IF(F2003&lt;&gt;"", TEXT(F2003, "yyyy-mm"), "")</f>
        <v/>
      </c>
    </row>
    <row r="2004">
      <c r="A2004" t="inlineStr">
        <is>
          <t>RP0002003</t>
        </is>
      </c>
      <c r="B2004" t="inlineStr">
        <is>
          <t>LN200292</t>
        </is>
      </c>
      <c r="C2004" t="n">
        <v>2</v>
      </c>
      <c r="D2004" s="8" t="n">
        <v>46170</v>
      </c>
      <c r="E2004" s="9" t="n">
        <v>6878.33</v>
      </c>
      <c r="F2004" s="8" t="n">
        <v>46172</v>
      </c>
      <c r="G2004" s="9" t="n">
        <v>6878.33</v>
      </c>
      <c r="H2004" t="inlineStr">
        <is>
          <t>PAID_ON_TIME</t>
        </is>
      </c>
      <c r="I2004">
        <f>IF(H2004="UNPAID", AsOfDate-D2004, 0)</f>
        <v/>
      </c>
      <c r="J2004">
        <f>IF(F2004&lt;&gt;"", TEXT(F2004, "yyyy-mm"), "")</f>
        <v/>
      </c>
    </row>
    <row r="2005">
      <c r="A2005" t="inlineStr">
        <is>
          <t>RP0002004</t>
        </is>
      </c>
      <c r="B2005" t="inlineStr">
        <is>
          <t>LN200292</t>
        </is>
      </c>
      <c r="C2005" t="n">
        <v>3</v>
      </c>
      <c r="D2005" s="8" t="n">
        <v>46201</v>
      </c>
      <c r="E2005" s="9" t="n">
        <v>6878.33</v>
      </c>
      <c r="F2005" s="8" t="n">
        <v>46201</v>
      </c>
      <c r="G2005" s="9" t="n">
        <v>6878.33</v>
      </c>
      <c r="H2005" t="inlineStr">
        <is>
          <t>PAID_ON_TIME</t>
        </is>
      </c>
      <c r="I2005">
        <f>IF(H2005="UNPAID", AsOfDate-D2005, 0)</f>
        <v/>
      </c>
      <c r="J2005">
        <f>IF(F2005&lt;&gt;"", TEXT(F2005, "yyyy-mm"), "")</f>
        <v/>
      </c>
    </row>
    <row r="2006">
      <c r="A2006" t="inlineStr">
        <is>
          <t>RP0002005</t>
        </is>
      </c>
      <c r="B2006" t="inlineStr">
        <is>
          <t>LN200293</t>
        </is>
      </c>
      <c r="C2006" t="n">
        <v>1</v>
      </c>
      <c r="D2006" s="8" t="n">
        <v>45762</v>
      </c>
      <c r="E2006" s="9" t="n">
        <v>23556</v>
      </c>
      <c r="F2006" s="8" t="n"/>
      <c r="G2006" s="9" t="n">
        <v>0</v>
      </c>
      <c r="H2006" t="inlineStr">
        <is>
          <t>UNPAID</t>
        </is>
      </c>
      <c r="I2006">
        <f>IF(H2006="UNPAID", AsOfDate-D2006, 0)</f>
        <v/>
      </c>
      <c r="J2006">
        <f>IF(F2006&lt;&gt;"", TEXT(F2006, "yyyy-mm"), "")</f>
        <v/>
      </c>
    </row>
    <row r="2007">
      <c r="A2007" t="inlineStr">
        <is>
          <t>RP0002006</t>
        </is>
      </c>
      <c r="B2007" t="inlineStr">
        <is>
          <t>LN200293</t>
        </is>
      </c>
      <c r="C2007" t="n">
        <v>2</v>
      </c>
      <c r="D2007" s="8" t="n">
        <v>45792</v>
      </c>
      <c r="E2007" s="9" t="n">
        <v>23556</v>
      </c>
      <c r="F2007" s="8" t="n">
        <v>45793</v>
      </c>
      <c r="G2007" s="9" t="n">
        <v>23556</v>
      </c>
      <c r="H2007" t="inlineStr">
        <is>
          <t>PAID_ON_TIME</t>
        </is>
      </c>
      <c r="I2007">
        <f>IF(H2007="UNPAID", AsOfDate-D2007, 0)</f>
        <v/>
      </c>
      <c r="J2007">
        <f>IF(F2007&lt;&gt;"", TEXT(F2007, "yyyy-mm"), "")</f>
        <v/>
      </c>
    </row>
    <row r="2008">
      <c r="A2008" t="inlineStr">
        <is>
          <t>RP0002007</t>
        </is>
      </c>
      <c r="B2008" t="inlineStr">
        <is>
          <t>LN200293</t>
        </is>
      </c>
      <c r="C2008" t="n">
        <v>3</v>
      </c>
      <c r="D2008" s="8" t="n">
        <v>45823</v>
      </c>
      <c r="E2008" s="9" t="n">
        <v>23556</v>
      </c>
      <c r="F2008" s="8" t="n">
        <v>45834</v>
      </c>
      <c r="G2008" s="9" t="n">
        <v>23556</v>
      </c>
      <c r="H2008" t="inlineStr">
        <is>
          <t>PAID_LATE</t>
        </is>
      </c>
      <c r="I2008">
        <f>IF(H2008="UNPAID", AsOfDate-D2008, 0)</f>
        <v/>
      </c>
      <c r="J2008">
        <f>IF(F2008&lt;&gt;"", TEXT(F2008, "yyyy-mm"), "")</f>
        <v/>
      </c>
    </row>
    <row r="2009">
      <c r="A2009" t="inlineStr">
        <is>
          <t>RP0002008</t>
        </is>
      </c>
      <c r="B2009" t="inlineStr">
        <is>
          <t>LN200293</t>
        </is>
      </c>
      <c r="C2009" t="n">
        <v>4</v>
      </c>
      <c r="D2009" s="8" t="n">
        <v>45853</v>
      </c>
      <c r="E2009" s="9" t="n">
        <v>23556</v>
      </c>
      <c r="F2009" s="8" t="n">
        <v>45853</v>
      </c>
      <c r="G2009" s="9" t="n">
        <v>23556</v>
      </c>
      <c r="H2009" t="inlineStr">
        <is>
          <t>PAID_ON_TIME</t>
        </is>
      </c>
      <c r="I2009">
        <f>IF(H2009="UNPAID", AsOfDate-D2009, 0)</f>
        <v/>
      </c>
      <c r="J2009">
        <f>IF(F2009&lt;&gt;"", TEXT(F2009, "yyyy-mm"), "")</f>
        <v/>
      </c>
    </row>
    <row r="2010">
      <c r="A2010" t="inlineStr">
        <is>
          <t>RP0002009</t>
        </is>
      </c>
      <c r="B2010" t="inlineStr">
        <is>
          <t>LN200293</t>
        </is>
      </c>
      <c r="C2010" t="n">
        <v>5</v>
      </c>
      <c r="D2010" s="8" t="n">
        <v>45884</v>
      </c>
      <c r="E2010" s="9" t="n">
        <v>23556</v>
      </c>
      <c r="F2010" s="8" t="n">
        <v>45886</v>
      </c>
      <c r="G2010" s="9" t="n">
        <v>23556</v>
      </c>
      <c r="H2010" t="inlineStr">
        <is>
          <t>PAID_ON_TIME</t>
        </is>
      </c>
      <c r="I2010">
        <f>IF(H2010="UNPAID", AsOfDate-D2010, 0)</f>
        <v/>
      </c>
      <c r="J2010">
        <f>IF(F2010&lt;&gt;"", TEXT(F2010, "yyyy-mm"), "")</f>
        <v/>
      </c>
    </row>
    <row r="2011">
      <c r="A2011" t="inlineStr">
        <is>
          <t>RP0002010</t>
        </is>
      </c>
      <c r="B2011" t="inlineStr">
        <is>
          <t>LN200293</t>
        </is>
      </c>
      <c r="C2011" t="n">
        <v>6</v>
      </c>
      <c r="D2011" s="8" t="n">
        <v>45915</v>
      </c>
      <c r="E2011" s="9" t="n">
        <v>23556</v>
      </c>
      <c r="F2011" s="8" t="n">
        <v>45915</v>
      </c>
      <c r="G2011" s="9" t="n">
        <v>23556</v>
      </c>
      <c r="H2011" t="inlineStr">
        <is>
          <t>PAID_ON_TIME</t>
        </is>
      </c>
      <c r="I2011">
        <f>IF(H2011="UNPAID", AsOfDate-D2011, 0)</f>
        <v/>
      </c>
      <c r="J2011">
        <f>IF(F2011&lt;&gt;"", TEXT(F2011, "yyyy-mm"), "")</f>
        <v/>
      </c>
    </row>
    <row r="2012">
      <c r="A2012" t="inlineStr">
        <is>
          <t>RP0002011</t>
        </is>
      </c>
      <c r="B2012" t="inlineStr">
        <is>
          <t>LN200293</t>
        </is>
      </c>
      <c r="C2012" t="n">
        <v>7</v>
      </c>
      <c r="D2012" s="8" t="n">
        <v>45945</v>
      </c>
      <c r="E2012" s="9" t="n">
        <v>23556</v>
      </c>
      <c r="F2012" s="8" t="n">
        <v>45948</v>
      </c>
      <c r="G2012" s="9" t="n">
        <v>23556</v>
      </c>
      <c r="H2012" t="inlineStr">
        <is>
          <t>PAID_ON_TIME</t>
        </is>
      </c>
      <c r="I2012">
        <f>IF(H2012="UNPAID", AsOfDate-D2012, 0)</f>
        <v/>
      </c>
      <c r="J2012">
        <f>IF(F2012&lt;&gt;"", TEXT(F2012, "yyyy-mm"), "")</f>
        <v/>
      </c>
    </row>
    <row r="2013">
      <c r="A2013" t="inlineStr">
        <is>
          <t>RP0002012</t>
        </is>
      </c>
      <c r="B2013" t="inlineStr">
        <is>
          <t>LN200293</t>
        </is>
      </c>
      <c r="C2013" t="n">
        <v>8</v>
      </c>
      <c r="D2013" s="8" t="n">
        <v>45976</v>
      </c>
      <c r="E2013" s="9" t="n">
        <v>23556</v>
      </c>
      <c r="F2013" s="8" t="n">
        <v>45976</v>
      </c>
      <c r="G2013" s="9" t="n">
        <v>23556</v>
      </c>
      <c r="H2013" t="inlineStr">
        <is>
          <t>PAID_ON_TIME</t>
        </is>
      </c>
      <c r="I2013">
        <f>IF(H2013="UNPAID", AsOfDate-D2013, 0)</f>
        <v/>
      </c>
      <c r="J2013">
        <f>IF(F2013&lt;&gt;"", TEXT(F2013, "yyyy-mm"), "")</f>
        <v/>
      </c>
    </row>
    <row r="2014">
      <c r="A2014" t="inlineStr">
        <is>
          <t>RP0002013</t>
        </is>
      </c>
      <c r="B2014" t="inlineStr">
        <is>
          <t>LN200293</t>
        </is>
      </c>
      <c r="C2014" t="n">
        <v>9</v>
      </c>
      <c r="D2014" s="8" t="n">
        <v>46006</v>
      </c>
      <c r="E2014" s="9" t="n">
        <v>23556</v>
      </c>
      <c r="F2014" s="8" t="n">
        <v>46049</v>
      </c>
      <c r="G2014" s="9" t="n">
        <v>23556</v>
      </c>
      <c r="H2014" t="inlineStr">
        <is>
          <t>PAID_LATE</t>
        </is>
      </c>
      <c r="I2014">
        <f>IF(H2014="UNPAID", AsOfDate-D2014, 0)</f>
        <v/>
      </c>
      <c r="J2014">
        <f>IF(F2014&lt;&gt;"", TEXT(F2014, "yyyy-mm"), "")</f>
        <v/>
      </c>
    </row>
    <row r="2015">
      <c r="A2015" t="inlineStr">
        <is>
          <t>RP0002014</t>
        </is>
      </c>
      <c r="B2015" t="inlineStr">
        <is>
          <t>LN200293</t>
        </is>
      </c>
      <c r="C2015" t="n">
        <v>10</v>
      </c>
      <c r="D2015" s="8" t="n">
        <v>46037</v>
      </c>
      <c r="E2015" s="9" t="n">
        <v>23556</v>
      </c>
      <c r="F2015" s="8" t="n">
        <v>46041</v>
      </c>
      <c r="G2015" s="9" t="n">
        <v>23556</v>
      </c>
      <c r="H2015" t="inlineStr">
        <is>
          <t>PAID_ON_TIME</t>
        </is>
      </c>
      <c r="I2015">
        <f>IF(H2015="UNPAID", AsOfDate-D2015, 0)</f>
        <v/>
      </c>
      <c r="J2015">
        <f>IF(F2015&lt;&gt;"", TEXT(F2015, "yyyy-mm"), "")</f>
        <v/>
      </c>
    </row>
    <row r="2016">
      <c r="A2016" t="inlineStr">
        <is>
          <t>RP0002015</t>
        </is>
      </c>
      <c r="B2016" t="inlineStr">
        <is>
          <t>LN200293</t>
        </is>
      </c>
      <c r="C2016" t="n">
        <v>11</v>
      </c>
      <c r="D2016" s="8" t="n">
        <v>46068</v>
      </c>
      <c r="E2016" s="9" t="n">
        <v>23556</v>
      </c>
      <c r="F2016" s="8" t="n">
        <v>46068</v>
      </c>
      <c r="G2016" s="9" t="n">
        <v>23556</v>
      </c>
      <c r="H2016" t="inlineStr">
        <is>
          <t>PAID_ON_TIME</t>
        </is>
      </c>
      <c r="I2016">
        <f>IF(H2016="UNPAID", AsOfDate-D2016, 0)</f>
        <v/>
      </c>
      <c r="J2016">
        <f>IF(F2016&lt;&gt;"", TEXT(F2016, "yyyy-mm"), "")</f>
        <v/>
      </c>
    </row>
    <row r="2017">
      <c r="A2017" t="inlineStr">
        <is>
          <t>RP0002016</t>
        </is>
      </c>
      <c r="B2017" t="inlineStr">
        <is>
          <t>LN200293</t>
        </is>
      </c>
      <c r="C2017" t="n">
        <v>12</v>
      </c>
      <c r="D2017" s="8" t="n">
        <v>46096</v>
      </c>
      <c r="E2017" s="9" t="n">
        <v>23556</v>
      </c>
      <c r="F2017" s="8" t="n">
        <v>46105</v>
      </c>
      <c r="G2017" s="9" t="n">
        <v>23556</v>
      </c>
      <c r="H2017" t="inlineStr">
        <is>
          <t>PAID_LATE</t>
        </is>
      </c>
      <c r="I2017">
        <f>IF(H2017="UNPAID", AsOfDate-D2017, 0)</f>
        <v/>
      </c>
      <c r="J2017">
        <f>IF(F2017&lt;&gt;"", TEXT(F2017, "yyyy-mm"), "")</f>
        <v/>
      </c>
    </row>
    <row r="2018">
      <c r="A2018" t="inlineStr">
        <is>
          <t>RP0002017</t>
        </is>
      </c>
      <c r="B2018" t="inlineStr">
        <is>
          <t>LN200294</t>
        </is>
      </c>
      <c r="C2018" t="n">
        <v>1</v>
      </c>
      <c r="D2018" s="8" t="n">
        <v>46083</v>
      </c>
      <c r="E2018" s="9" t="n">
        <v>18139.33</v>
      </c>
      <c r="F2018" s="8" t="n">
        <v>46080</v>
      </c>
      <c r="G2018" s="9" t="n">
        <v>18139.33</v>
      </c>
      <c r="H2018" t="inlineStr">
        <is>
          <t>PAID_ON_TIME</t>
        </is>
      </c>
      <c r="I2018">
        <f>IF(H2018="UNPAID", AsOfDate-D2018, 0)</f>
        <v/>
      </c>
      <c r="J2018">
        <f>IF(F2018&lt;&gt;"", TEXT(F2018, "yyyy-mm"), "")</f>
        <v/>
      </c>
    </row>
    <row r="2019">
      <c r="A2019" t="inlineStr">
        <is>
          <t>RP0002018</t>
        </is>
      </c>
      <c r="B2019" t="inlineStr">
        <is>
          <t>LN200294</t>
        </is>
      </c>
      <c r="C2019" t="n">
        <v>2</v>
      </c>
      <c r="D2019" s="8" t="n">
        <v>46114</v>
      </c>
      <c r="E2019" s="9" t="n">
        <v>18139.33</v>
      </c>
      <c r="F2019" s="8" t="n">
        <v>46118</v>
      </c>
      <c r="G2019" s="9" t="n">
        <v>18139.33</v>
      </c>
      <c r="H2019" t="inlineStr">
        <is>
          <t>PAID_ON_TIME</t>
        </is>
      </c>
      <c r="I2019">
        <f>IF(H2019="UNPAID", AsOfDate-D2019, 0)</f>
        <v/>
      </c>
      <c r="J2019">
        <f>IF(F2019&lt;&gt;"", TEXT(F2019, "yyyy-mm"), "")</f>
        <v/>
      </c>
    </row>
    <row r="2020">
      <c r="A2020" t="inlineStr">
        <is>
          <t>RP0002019</t>
        </is>
      </c>
      <c r="B2020" t="inlineStr">
        <is>
          <t>LN200294</t>
        </is>
      </c>
      <c r="C2020" t="n">
        <v>3</v>
      </c>
      <c r="D2020" s="8" t="n">
        <v>46144</v>
      </c>
      <c r="E2020" s="9" t="n">
        <v>18139.33</v>
      </c>
      <c r="F2020" s="8" t="n">
        <v>46192</v>
      </c>
      <c r="G2020" s="9" t="n">
        <v>18139.33</v>
      </c>
      <c r="H2020" t="inlineStr">
        <is>
          <t>PAID_LATE</t>
        </is>
      </c>
      <c r="I2020">
        <f>IF(H2020="UNPAID", AsOfDate-D2020, 0)</f>
        <v/>
      </c>
      <c r="J2020">
        <f>IF(F2020&lt;&gt;"", TEXT(F2020, "yyyy-mm"), "")</f>
        <v/>
      </c>
    </row>
    <row r="2021">
      <c r="A2021" t="inlineStr">
        <is>
          <t>RP0002020</t>
        </is>
      </c>
      <c r="B2021" t="inlineStr">
        <is>
          <t>LN200294</t>
        </is>
      </c>
      <c r="C2021" t="n">
        <v>4</v>
      </c>
      <c r="D2021" s="8" t="n">
        <v>46175</v>
      </c>
      <c r="E2021" s="9" t="n">
        <v>18139.33</v>
      </c>
      <c r="F2021" s="8" t="n">
        <v>46179</v>
      </c>
      <c r="G2021" s="9" t="n">
        <v>18139.33</v>
      </c>
      <c r="H2021" t="inlineStr">
        <is>
          <t>PAID_ON_TIME</t>
        </is>
      </c>
      <c r="I2021">
        <f>IF(H2021="UNPAID", AsOfDate-D2021, 0)</f>
        <v/>
      </c>
      <c r="J2021">
        <f>IF(F2021&lt;&gt;"", TEXT(F2021, "yyyy-mm"), "")</f>
        <v/>
      </c>
    </row>
    <row r="2022">
      <c r="A2022" t="inlineStr">
        <is>
          <t>RP0002021</t>
        </is>
      </c>
      <c r="B2022" t="inlineStr">
        <is>
          <t>LN200294</t>
        </is>
      </c>
      <c r="C2022" t="n">
        <v>5</v>
      </c>
      <c r="D2022" s="8" t="n">
        <v>46205</v>
      </c>
      <c r="E2022" s="9" t="n">
        <v>18139.33</v>
      </c>
      <c r="F2022" s="8" t="n">
        <v>46204</v>
      </c>
      <c r="G2022" s="9" t="n">
        <v>18139.33</v>
      </c>
      <c r="H2022" t="inlineStr">
        <is>
          <t>PAID_ON_TIME</t>
        </is>
      </c>
      <c r="I2022">
        <f>IF(H2022="UNPAID", AsOfDate-D2022, 0)</f>
        <v/>
      </c>
      <c r="J2022">
        <f>IF(F2022&lt;&gt;"", TEXT(F2022, "yyyy-mm"), "")</f>
        <v/>
      </c>
    </row>
    <row r="2023">
      <c r="A2023" t="inlineStr">
        <is>
          <t>RP0002022</t>
        </is>
      </c>
      <c r="B2023" t="inlineStr">
        <is>
          <t>LN200294</t>
        </is>
      </c>
      <c r="C2023" t="n">
        <v>6</v>
      </c>
      <c r="D2023" s="8" t="n">
        <v>46236</v>
      </c>
      <c r="E2023" s="9" t="n">
        <v>18139.33</v>
      </c>
      <c r="F2023" s="8" t="n">
        <v>46235</v>
      </c>
      <c r="G2023" s="9" t="n">
        <v>18139.33</v>
      </c>
      <c r="H2023" t="inlineStr">
        <is>
          <t>PAID_ON_TIME</t>
        </is>
      </c>
      <c r="I2023">
        <f>IF(H2023="UNPAID", AsOfDate-D2023, 0)</f>
        <v/>
      </c>
      <c r="J2023">
        <f>IF(F2023&lt;&gt;"", TEXT(F2023, "yyyy-mm"), "")</f>
        <v/>
      </c>
    </row>
    <row r="2024">
      <c r="A2024" t="inlineStr">
        <is>
          <t>RP0002023</t>
        </is>
      </c>
      <c r="B2024" t="inlineStr">
        <is>
          <t>LN200294</t>
        </is>
      </c>
      <c r="C2024" t="n">
        <v>7</v>
      </c>
      <c r="D2024" s="8" t="n">
        <v>46267</v>
      </c>
      <c r="E2024" s="9" t="n">
        <v>18139.33</v>
      </c>
      <c r="F2024" s="8" t="n"/>
      <c r="G2024" s="9" t="n">
        <v>0</v>
      </c>
      <c r="H2024" t="inlineStr">
        <is>
          <t>NOT_DUE</t>
        </is>
      </c>
      <c r="I2024">
        <f>IF(H2024="UNPAID", AsOfDate-D2024, 0)</f>
        <v/>
      </c>
      <c r="J2024">
        <f>IF(F2024&lt;&gt;"", TEXT(F2024, "yyyy-mm"), "")</f>
        <v/>
      </c>
    </row>
    <row r="2025">
      <c r="A2025" t="inlineStr">
        <is>
          <t>RP0002024</t>
        </is>
      </c>
      <c r="B2025" t="inlineStr">
        <is>
          <t>LN200294</t>
        </is>
      </c>
      <c r="C2025" t="n">
        <v>8</v>
      </c>
      <c r="D2025" s="8" t="n">
        <v>46297</v>
      </c>
      <c r="E2025" s="9" t="n">
        <v>18139.33</v>
      </c>
      <c r="F2025" s="8" t="n"/>
      <c r="G2025" s="9" t="n">
        <v>0</v>
      </c>
      <c r="H2025" t="inlineStr">
        <is>
          <t>NOT_DUE</t>
        </is>
      </c>
      <c r="I2025">
        <f>IF(H2025="UNPAID", AsOfDate-D2025, 0)</f>
        <v/>
      </c>
      <c r="J2025">
        <f>IF(F2025&lt;&gt;"", TEXT(F2025, "yyyy-mm"), "")</f>
        <v/>
      </c>
    </row>
    <row r="2026">
      <c r="A2026" t="inlineStr">
        <is>
          <t>RP0002025</t>
        </is>
      </c>
      <c r="B2026" t="inlineStr">
        <is>
          <t>LN200294</t>
        </is>
      </c>
      <c r="C2026" t="n">
        <v>9</v>
      </c>
      <c r="D2026" s="8" t="n">
        <v>46328</v>
      </c>
      <c r="E2026" s="9" t="n">
        <v>18139.33</v>
      </c>
      <c r="F2026" s="8" t="n"/>
      <c r="G2026" s="9" t="n">
        <v>0</v>
      </c>
      <c r="H2026" t="inlineStr">
        <is>
          <t>NOT_DUE</t>
        </is>
      </c>
      <c r="I2026">
        <f>IF(H2026="UNPAID", AsOfDate-D2026, 0)</f>
        <v/>
      </c>
      <c r="J2026">
        <f>IF(F2026&lt;&gt;"", TEXT(F2026, "yyyy-mm"), "")</f>
        <v/>
      </c>
    </row>
    <row r="2027">
      <c r="A2027" t="inlineStr">
        <is>
          <t>RP0002026</t>
        </is>
      </c>
      <c r="B2027" t="inlineStr">
        <is>
          <t>LN200294</t>
        </is>
      </c>
      <c r="C2027" t="n">
        <v>10</v>
      </c>
      <c r="D2027" s="8" t="n">
        <v>46358</v>
      </c>
      <c r="E2027" s="9" t="n">
        <v>18139.33</v>
      </c>
      <c r="F2027" s="8" t="n"/>
      <c r="G2027" s="9" t="n">
        <v>0</v>
      </c>
      <c r="H2027" t="inlineStr">
        <is>
          <t>NOT_DUE</t>
        </is>
      </c>
      <c r="I2027">
        <f>IF(H2027="UNPAID", AsOfDate-D2027, 0)</f>
        <v/>
      </c>
      <c r="J2027">
        <f>IF(F2027&lt;&gt;"", TEXT(F2027, "yyyy-mm"), "")</f>
        <v/>
      </c>
    </row>
    <row r="2028">
      <c r="A2028" t="inlineStr">
        <is>
          <t>RP0002027</t>
        </is>
      </c>
      <c r="B2028" t="inlineStr">
        <is>
          <t>LN200294</t>
        </is>
      </c>
      <c r="C2028" t="n">
        <v>11</v>
      </c>
      <c r="D2028" s="8" t="n">
        <v>46389</v>
      </c>
      <c r="E2028" s="9" t="n">
        <v>18139.33</v>
      </c>
      <c r="F2028" s="8" t="n"/>
      <c r="G2028" s="9" t="n">
        <v>0</v>
      </c>
      <c r="H2028" t="inlineStr">
        <is>
          <t>NOT_DUE</t>
        </is>
      </c>
      <c r="I2028">
        <f>IF(H2028="UNPAID", AsOfDate-D2028, 0)</f>
        <v/>
      </c>
      <c r="J2028">
        <f>IF(F2028&lt;&gt;"", TEXT(F2028, "yyyy-mm"), "")</f>
        <v/>
      </c>
    </row>
    <row r="2029">
      <c r="A2029" t="inlineStr">
        <is>
          <t>RP0002028</t>
        </is>
      </c>
      <c r="B2029" t="inlineStr">
        <is>
          <t>LN200294</t>
        </is>
      </c>
      <c r="C2029" t="n">
        <v>12</v>
      </c>
      <c r="D2029" s="8" t="n">
        <v>46420</v>
      </c>
      <c r="E2029" s="9" t="n">
        <v>18139.33</v>
      </c>
      <c r="F2029" s="8" t="n"/>
      <c r="G2029" s="9" t="n">
        <v>0</v>
      </c>
      <c r="H2029" t="inlineStr">
        <is>
          <t>NOT_DUE</t>
        </is>
      </c>
      <c r="I2029">
        <f>IF(H2029="UNPAID", AsOfDate-D2029, 0)</f>
        <v/>
      </c>
      <c r="J2029">
        <f>IF(F2029&lt;&gt;"", TEXT(F2029, "yyyy-mm"), "")</f>
        <v/>
      </c>
    </row>
    <row r="2030">
      <c r="A2030" t="inlineStr">
        <is>
          <t>RP0002029</t>
        </is>
      </c>
      <c r="B2030" t="inlineStr">
        <is>
          <t>LN200295</t>
        </is>
      </c>
      <c r="C2030" t="n">
        <v>1</v>
      </c>
      <c r="D2030" s="8" t="n">
        <v>46171</v>
      </c>
      <c r="E2030" s="9" t="n">
        <v>95311.08</v>
      </c>
      <c r="F2030" s="8" t="n">
        <v>46168</v>
      </c>
      <c r="G2030" s="9" t="n">
        <v>95311.08</v>
      </c>
      <c r="H2030" t="inlineStr">
        <is>
          <t>PAID_ON_TIME</t>
        </is>
      </c>
      <c r="I2030">
        <f>IF(H2030="UNPAID", AsOfDate-D2030, 0)</f>
        <v/>
      </c>
      <c r="J2030">
        <f>IF(F2030&lt;&gt;"", TEXT(F2030, "yyyy-mm"), "")</f>
        <v/>
      </c>
    </row>
    <row r="2031">
      <c r="A2031" t="inlineStr">
        <is>
          <t>RP0002030</t>
        </is>
      </c>
      <c r="B2031" t="inlineStr">
        <is>
          <t>LN200295</t>
        </is>
      </c>
      <c r="C2031" t="n">
        <v>2</v>
      </c>
      <c r="D2031" s="8" t="n">
        <v>46202</v>
      </c>
      <c r="E2031" s="9" t="n">
        <v>95311.08</v>
      </c>
      <c r="F2031" s="8" t="n">
        <v>46202</v>
      </c>
      <c r="G2031" s="9" t="n">
        <v>95311.08</v>
      </c>
      <c r="H2031" t="inlineStr">
        <is>
          <t>PAID_ON_TIME</t>
        </is>
      </c>
      <c r="I2031">
        <f>IF(H2031="UNPAID", AsOfDate-D2031, 0)</f>
        <v/>
      </c>
      <c r="J2031">
        <f>IF(F2031&lt;&gt;"", TEXT(F2031, "yyyy-mm"), "")</f>
        <v/>
      </c>
    </row>
    <row r="2032">
      <c r="A2032" t="inlineStr">
        <is>
          <t>RP0002031</t>
        </is>
      </c>
      <c r="B2032" t="inlineStr">
        <is>
          <t>LN200295</t>
        </is>
      </c>
      <c r="C2032" t="n">
        <v>3</v>
      </c>
      <c r="D2032" s="8" t="n">
        <v>46232</v>
      </c>
      <c r="E2032" s="9" t="n">
        <v>95311.08</v>
      </c>
      <c r="F2032" s="8" t="n">
        <v>46232</v>
      </c>
      <c r="G2032" s="9" t="n">
        <v>95311.08</v>
      </c>
      <c r="H2032" t="inlineStr">
        <is>
          <t>PAID_ON_TIME</t>
        </is>
      </c>
      <c r="I2032">
        <f>IF(H2032="UNPAID", AsOfDate-D2032, 0)</f>
        <v/>
      </c>
      <c r="J2032">
        <f>IF(F2032&lt;&gt;"", TEXT(F2032, "yyyy-mm"), "")</f>
        <v/>
      </c>
    </row>
    <row r="2033">
      <c r="A2033" t="inlineStr">
        <is>
          <t>RP0002032</t>
        </is>
      </c>
      <c r="B2033" t="inlineStr">
        <is>
          <t>LN200296</t>
        </is>
      </c>
      <c r="C2033" t="n">
        <v>1</v>
      </c>
      <c r="D2033" s="8" t="n">
        <v>45917</v>
      </c>
      <c r="E2033" s="9" t="n">
        <v>4014.14</v>
      </c>
      <c r="F2033" s="8" t="n">
        <v>46029</v>
      </c>
      <c r="G2033" s="9" t="n">
        <v>4014.14</v>
      </c>
      <c r="H2033" t="inlineStr">
        <is>
          <t>PAID_LATE</t>
        </is>
      </c>
      <c r="I2033">
        <f>IF(H2033="UNPAID", AsOfDate-D2033, 0)</f>
        <v/>
      </c>
      <c r="J2033">
        <f>IF(F2033&lt;&gt;"", TEXT(F2033, "yyyy-mm"), "")</f>
        <v/>
      </c>
    </row>
    <row r="2034">
      <c r="A2034" t="inlineStr">
        <is>
          <t>RP0002033</t>
        </is>
      </c>
      <c r="B2034" t="inlineStr">
        <is>
          <t>LN200296</t>
        </is>
      </c>
      <c r="C2034" t="n">
        <v>2</v>
      </c>
      <c r="D2034" s="8" t="n">
        <v>45947</v>
      </c>
      <c r="E2034" s="9" t="n">
        <v>4014.14</v>
      </c>
      <c r="F2034" s="8" t="n">
        <v>45945</v>
      </c>
      <c r="G2034" s="9" t="n">
        <v>4014.14</v>
      </c>
      <c r="H2034" t="inlineStr">
        <is>
          <t>PAID_ON_TIME</t>
        </is>
      </c>
      <c r="I2034">
        <f>IF(H2034="UNPAID", AsOfDate-D2034, 0)</f>
        <v/>
      </c>
      <c r="J2034">
        <f>IF(F2034&lt;&gt;"", TEXT(F2034, "yyyy-mm"), "")</f>
        <v/>
      </c>
    </row>
    <row r="2035">
      <c r="A2035" t="inlineStr">
        <is>
          <t>RP0002034</t>
        </is>
      </c>
      <c r="B2035" t="inlineStr">
        <is>
          <t>LN200296</t>
        </is>
      </c>
      <c r="C2035" t="n">
        <v>3</v>
      </c>
      <c r="D2035" s="8" t="n">
        <v>45978</v>
      </c>
      <c r="E2035" s="9" t="n">
        <v>4014.14</v>
      </c>
      <c r="F2035" s="8" t="n">
        <v>45978</v>
      </c>
      <c r="G2035" s="9" t="n">
        <v>4014.14</v>
      </c>
      <c r="H2035" t="inlineStr">
        <is>
          <t>PAID_ON_TIME</t>
        </is>
      </c>
      <c r="I2035">
        <f>IF(H2035="UNPAID", AsOfDate-D2035, 0)</f>
        <v/>
      </c>
      <c r="J2035">
        <f>IF(F2035&lt;&gt;"", TEXT(F2035, "yyyy-mm"), "")</f>
        <v/>
      </c>
    </row>
    <row r="2036">
      <c r="A2036" t="inlineStr">
        <is>
          <t>RP0002035</t>
        </is>
      </c>
      <c r="B2036" t="inlineStr">
        <is>
          <t>LN200296</t>
        </is>
      </c>
      <c r="C2036" t="n">
        <v>4</v>
      </c>
      <c r="D2036" s="8" t="n">
        <v>46008</v>
      </c>
      <c r="E2036" s="9" t="n">
        <v>4014.14</v>
      </c>
      <c r="F2036" s="8" t="n">
        <v>46011</v>
      </c>
      <c r="G2036" s="9" t="n">
        <v>4014.14</v>
      </c>
      <c r="H2036" t="inlineStr">
        <is>
          <t>PAID_ON_TIME</t>
        </is>
      </c>
      <c r="I2036">
        <f>IF(H2036="UNPAID", AsOfDate-D2036, 0)</f>
        <v/>
      </c>
      <c r="J2036">
        <f>IF(F2036&lt;&gt;"", TEXT(F2036, "yyyy-mm"), "")</f>
        <v/>
      </c>
    </row>
    <row r="2037">
      <c r="A2037" t="inlineStr">
        <is>
          <t>RP0002036</t>
        </is>
      </c>
      <c r="B2037" t="inlineStr">
        <is>
          <t>LN200296</t>
        </is>
      </c>
      <c r="C2037" t="n">
        <v>5</v>
      </c>
      <c r="D2037" s="8" t="n">
        <v>46039</v>
      </c>
      <c r="E2037" s="9" t="n">
        <v>4014.14</v>
      </c>
      <c r="F2037" s="8" t="n">
        <v>46043</v>
      </c>
      <c r="G2037" s="9" t="n">
        <v>4014.14</v>
      </c>
      <c r="H2037" t="inlineStr">
        <is>
          <t>PAID_ON_TIME</t>
        </is>
      </c>
      <c r="I2037">
        <f>IF(H2037="UNPAID", AsOfDate-D2037, 0)</f>
        <v/>
      </c>
      <c r="J2037">
        <f>IF(F2037&lt;&gt;"", TEXT(F2037, "yyyy-mm"), "")</f>
        <v/>
      </c>
    </row>
    <row r="2038">
      <c r="A2038" t="inlineStr">
        <is>
          <t>RP0002037</t>
        </is>
      </c>
      <c r="B2038" t="inlineStr">
        <is>
          <t>LN200296</t>
        </is>
      </c>
      <c r="C2038" t="n">
        <v>6</v>
      </c>
      <c r="D2038" s="8" t="n">
        <v>46070</v>
      </c>
      <c r="E2038" s="9" t="n">
        <v>4014.14</v>
      </c>
      <c r="F2038" s="8" t="n">
        <v>46073</v>
      </c>
      <c r="G2038" s="9" t="n">
        <v>4014.14</v>
      </c>
      <c r="H2038" t="inlineStr">
        <is>
          <t>PAID_ON_TIME</t>
        </is>
      </c>
      <c r="I2038">
        <f>IF(H2038="UNPAID", AsOfDate-D2038, 0)</f>
        <v/>
      </c>
      <c r="J2038">
        <f>IF(F2038&lt;&gt;"", TEXT(F2038, "yyyy-mm"), "")</f>
        <v/>
      </c>
    </row>
    <row r="2039">
      <c r="A2039" t="inlineStr">
        <is>
          <t>RP0002038</t>
        </is>
      </c>
      <c r="B2039" t="inlineStr">
        <is>
          <t>LN200296</t>
        </is>
      </c>
      <c r="C2039" t="n">
        <v>7</v>
      </c>
      <c r="D2039" s="8" t="n">
        <v>46098</v>
      </c>
      <c r="E2039" s="9" t="n">
        <v>4014.14</v>
      </c>
      <c r="F2039" s="8" t="n">
        <v>46095</v>
      </c>
      <c r="G2039" s="9" t="n">
        <v>4014.14</v>
      </c>
      <c r="H2039" t="inlineStr">
        <is>
          <t>PAID_ON_TIME</t>
        </is>
      </c>
      <c r="I2039">
        <f>IF(H2039="UNPAID", AsOfDate-D2039, 0)</f>
        <v/>
      </c>
      <c r="J2039">
        <f>IF(F2039&lt;&gt;"", TEXT(F2039, "yyyy-mm"), "")</f>
        <v/>
      </c>
    </row>
    <row r="2040">
      <c r="A2040" t="inlineStr">
        <is>
          <t>RP0002039</t>
        </is>
      </c>
      <c r="B2040" t="inlineStr">
        <is>
          <t>LN200296</t>
        </is>
      </c>
      <c r="C2040" t="n">
        <v>8</v>
      </c>
      <c r="D2040" s="8" t="n">
        <v>46129</v>
      </c>
      <c r="E2040" s="9" t="n">
        <v>4014.14</v>
      </c>
      <c r="F2040" s="8" t="n">
        <v>46126</v>
      </c>
      <c r="G2040" s="9" t="n">
        <v>4014.14</v>
      </c>
      <c r="H2040" t="inlineStr">
        <is>
          <t>PAID_ON_TIME</t>
        </is>
      </c>
      <c r="I2040">
        <f>IF(H2040="UNPAID", AsOfDate-D2040, 0)</f>
        <v/>
      </c>
      <c r="J2040">
        <f>IF(F2040&lt;&gt;"", TEXT(F2040, "yyyy-mm"), "")</f>
        <v/>
      </c>
    </row>
    <row r="2041">
      <c r="A2041" t="inlineStr">
        <is>
          <t>RP0002040</t>
        </is>
      </c>
      <c r="B2041" t="inlineStr">
        <is>
          <t>LN200296</t>
        </is>
      </c>
      <c r="C2041" t="n">
        <v>9</v>
      </c>
      <c r="D2041" s="8" t="n">
        <v>46159</v>
      </c>
      <c r="E2041" s="9" t="n">
        <v>4014.14</v>
      </c>
      <c r="F2041" s="8" t="n">
        <v>46162</v>
      </c>
      <c r="G2041" s="9" t="n">
        <v>4014.14</v>
      </c>
      <c r="H2041" t="inlineStr">
        <is>
          <t>PAID_ON_TIME</t>
        </is>
      </c>
      <c r="I2041">
        <f>IF(H2041="UNPAID", AsOfDate-D2041, 0)</f>
        <v/>
      </c>
      <c r="J2041">
        <f>IF(F2041&lt;&gt;"", TEXT(F2041, "yyyy-mm"), "")</f>
        <v/>
      </c>
    </row>
    <row r="2042">
      <c r="A2042" t="inlineStr">
        <is>
          <t>RP0002041</t>
        </is>
      </c>
      <c r="B2042" t="inlineStr">
        <is>
          <t>LN200296</t>
        </is>
      </c>
      <c r="C2042" t="n">
        <v>10</v>
      </c>
      <c r="D2042" s="8" t="n">
        <v>46190</v>
      </c>
      <c r="E2042" s="9" t="n">
        <v>4014.14</v>
      </c>
      <c r="F2042" s="8" t="n">
        <v>46193</v>
      </c>
      <c r="G2042" s="9" t="n">
        <v>4014.14</v>
      </c>
      <c r="H2042" t="inlineStr">
        <is>
          <t>PAID_ON_TIME</t>
        </is>
      </c>
      <c r="I2042">
        <f>IF(H2042="UNPAID", AsOfDate-D2042, 0)</f>
        <v/>
      </c>
      <c r="J2042">
        <f>IF(F2042&lt;&gt;"", TEXT(F2042, "yyyy-mm"), "")</f>
        <v/>
      </c>
    </row>
    <row r="2043">
      <c r="A2043" t="inlineStr">
        <is>
          <t>RP0002042</t>
        </is>
      </c>
      <c r="B2043" t="inlineStr">
        <is>
          <t>LN200296</t>
        </is>
      </c>
      <c r="C2043" t="n">
        <v>11</v>
      </c>
      <c r="D2043" s="8" t="n">
        <v>46220</v>
      </c>
      <c r="E2043" s="9" t="n">
        <v>4014.14</v>
      </c>
      <c r="F2043" s="8" t="n">
        <v>46220</v>
      </c>
      <c r="G2043" s="9" t="n">
        <v>4014.14</v>
      </c>
      <c r="H2043" t="inlineStr">
        <is>
          <t>PAID_ON_TIME</t>
        </is>
      </c>
      <c r="I2043">
        <f>IF(H2043="UNPAID", AsOfDate-D2043, 0)</f>
        <v/>
      </c>
      <c r="J2043">
        <f>IF(F2043&lt;&gt;"", TEXT(F2043, "yyyy-mm"), "")</f>
        <v/>
      </c>
    </row>
    <row r="2044">
      <c r="A2044" t="inlineStr">
        <is>
          <t>RP0002043</t>
        </is>
      </c>
      <c r="B2044" t="inlineStr">
        <is>
          <t>LN200296</t>
        </is>
      </c>
      <c r="C2044" t="n">
        <v>12</v>
      </c>
      <c r="D2044" s="8" t="n">
        <v>46251</v>
      </c>
      <c r="E2044" s="9" t="n">
        <v>4014.14</v>
      </c>
      <c r="F2044" s="8" t="n">
        <v>46250</v>
      </c>
      <c r="G2044" s="9" t="n">
        <v>4014.14</v>
      </c>
      <c r="H2044" t="inlineStr">
        <is>
          <t>PAID_ON_TIME</t>
        </is>
      </c>
      <c r="I2044">
        <f>IF(H2044="UNPAID", AsOfDate-D2044, 0)</f>
        <v/>
      </c>
      <c r="J2044">
        <f>IF(F2044&lt;&gt;"", TEXT(F2044, "yyyy-mm"), "")</f>
        <v/>
      </c>
    </row>
    <row r="2045">
      <c r="A2045" t="inlineStr">
        <is>
          <t>RP0002044</t>
        </is>
      </c>
      <c r="B2045" t="inlineStr">
        <is>
          <t>LN200296</t>
        </is>
      </c>
      <c r="C2045" t="n">
        <v>13</v>
      </c>
      <c r="D2045" s="8" t="n">
        <v>46282</v>
      </c>
      <c r="E2045" s="9" t="n">
        <v>4014.14</v>
      </c>
      <c r="F2045" s="8" t="n"/>
      <c r="G2045" s="9" t="n">
        <v>0</v>
      </c>
      <c r="H2045" t="inlineStr">
        <is>
          <t>NOT_DUE</t>
        </is>
      </c>
      <c r="I2045">
        <f>IF(H2045="UNPAID", AsOfDate-D2045, 0)</f>
        <v/>
      </c>
      <c r="J2045">
        <f>IF(F2045&lt;&gt;"", TEXT(F2045, "yyyy-mm"), "")</f>
        <v/>
      </c>
    </row>
    <row r="2046">
      <c r="A2046" t="inlineStr">
        <is>
          <t>RP0002045</t>
        </is>
      </c>
      <c r="B2046" t="inlineStr">
        <is>
          <t>LN200296</t>
        </is>
      </c>
      <c r="C2046" t="n">
        <v>14</v>
      </c>
      <c r="D2046" s="8" t="n">
        <v>46312</v>
      </c>
      <c r="E2046" s="9" t="n">
        <v>4014.14</v>
      </c>
      <c r="F2046" s="8" t="n"/>
      <c r="G2046" s="9" t="n">
        <v>0</v>
      </c>
      <c r="H2046" t="inlineStr">
        <is>
          <t>NOT_DUE</t>
        </is>
      </c>
      <c r="I2046">
        <f>IF(H2046="UNPAID", AsOfDate-D2046, 0)</f>
        <v/>
      </c>
      <c r="J2046">
        <f>IF(F2046&lt;&gt;"", TEXT(F2046, "yyyy-mm"), "")</f>
        <v/>
      </c>
    </row>
    <row r="2047">
      <c r="A2047" t="inlineStr">
        <is>
          <t>RP0002046</t>
        </is>
      </c>
      <c r="B2047" t="inlineStr">
        <is>
          <t>LN200296</t>
        </is>
      </c>
      <c r="C2047" t="n">
        <v>15</v>
      </c>
      <c r="D2047" s="8" t="n">
        <v>46343</v>
      </c>
      <c r="E2047" s="9" t="n">
        <v>4014.14</v>
      </c>
      <c r="F2047" s="8" t="n"/>
      <c r="G2047" s="9" t="n">
        <v>0</v>
      </c>
      <c r="H2047" t="inlineStr">
        <is>
          <t>NOT_DUE</t>
        </is>
      </c>
      <c r="I2047">
        <f>IF(H2047="UNPAID", AsOfDate-D2047, 0)</f>
        <v/>
      </c>
      <c r="J2047">
        <f>IF(F2047&lt;&gt;"", TEXT(F2047, "yyyy-mm"), "")</f>
        <v/>
      </c>
    </row>
    <row r="2048">
      <c r="A2048" t="inlineStr">
        <is>
          <t>RP0002047</t>
        </is>
      </c>
      <c r="B2048" t="inlineStr">
        <is>
          <t>LN200296</t>
        </is>
      </c>
      <c r="C2048" t="n">
        <v>16</v>
      </c>
      <c r="D2048" s="8" t="n">
        <v>46373</v>
      </c>
      <c r="E2048" s="9" t="n">
        <v>4014.14</v>
      </c>
      <c r="F2048" s="8" t="n"/>
      <c r="G2048" s="9" t="n">
        <v>0</v>
      </c>
      <c r="H2048" t="inlineStr">
        <is>
          <t>NOT_DUE</t>
        </is>
      </c>
      <c r="I2048">
        <f>IF(H2048="UNPAID", AsOfDate-D2048, 0)</f>
        <v/>
      </c>
      <c r="J2048">
        <f>IF(F2048&lt;&gt;"", TEXT(F2048, "yyyy-mm"), "")</f>
        <v/>
      </c>
    </row>
    <row r="2049">
      <c r="A2049" t="inlineStr">
        <is>
          <t>RP0002048</t>
        </is>
      </c>
      <c r="B2049" t="inlineStr">
        <is>
          <t>LN200296</t>
        </is>
      </c>
      <c r="C2049" t="n">
        <v>17</v>
      </c>
      <c r="D2049" s="8" t="n">
        <v>46404</v>
      </c>
      <c r="E2049" s="9" t="n">
        <v>4014.14</v>
      </c>
      <c r="F2049" s="8" t="n"/>
      <c r="G2049" s="9" t="n">
        <v>0</v>
      </c>
      <c r="H2049" t="inlineStr">
        <is>
          <t>NOT_DUE</t>
        </is>
      </c>
      <c r="I2049">
        <f>IF(H2049="UNPAID", AsOfDate-D2049, 0)</f>
        <v/>
      </c>
      <c r="J2049">
        <f>IF(F2049&lt;&gt;"", TEXT(F2049, "yyyy-mm"), "")</f>
        <v/>
      </c>
    </row>
    <row r="2050">
      <c r="A2050" t="inlineStr">
        <is>
          <t>RP0002049</t>
        </is>
      </c>
      <c r="B2050" t="inlineStr">
        <is>
          <t>LN200296</t>
        </is>
      </c>
      <c r="C2050" t="n">
        <v>18</v>
      </c>
      <c r="D2050" s="8" t="n">
        <v>46435</v>
      </c>
      <c r="E2050" s="9" t="n">
        <v>4014.14</v>
      </c>
      <c r="F2050" s="8" t="n"/>
      <c r="G2050" s="9" t="n">
        <v>0</v>
      </c>
      <c r="H2050" t="inlineStr">
        <is>
          <t>NOT_DUE</t>
        </is>
      </c>
      <c r="I2050">
        <f>IF(H2050="UNPAID", AsOfDate-D2050, 0)</f>
        <v/>
      </c>
      <c r="J2050">
        <f>IF(F2050&lt;&gt;"", TEXT(F2050, "yyyy-mm"), "")</f>
        <v/>
      </c>
    </row>
    <row r="2051">
      <c r="A2051" t="inlineStr">
        <is>
          <t>RP0002050</t>
        </is>
      </c>
      <c r="B2051" t="inlineStr">
        <is>
          <t>LN200297</t>
        </is>
      </c>
      <c r="C2051" t="n">
        <v>1</v>
      </c>
      <c r="D2051" s="8" t="n">
        <v>45984</v>
      </c>
      <c r="E2051" s="9" t="n">
        <v>18477.33</v>
      </c>
      <c r="F2051" s="8" t="n">
        <v>46057</v>
      </c>
      <c r="G2051" s="9" t="n">
        <v>18477.33</v>
      </c>
      <c r="H2051" t="inlineStr">
        <is>
          <t>PAID_LATE</t>
        </is>
      </c>
      <c r="I2051">
        <f>IF(H2051="UNPAID", AsOfDate-D2051, 0)</f>
        <v/>
      </c>
      <c r="J2051">
        <f>IF(F2051&lt;&gt;"", TEXT(F2051, "yyyy-mm"), "")</f>
        <v/>
      </c>
    </row>
    <row r="2052">
      <c r="A2052" t="inlineStr">
        <is>
          <t>RP0002051</t>
        </is>
      </c>
      <c r="B2052" t="inlineStr">
        <is>
          <t>LN200297</t>
        </is>
      </c>
      <c r="C2052" t="n">
        <v>2</v>
      </c>
      <c r="D2052" s="8" t="n">
        <v>46014</v>
      </c>
      <c r="E2052" s="9" t="n">
        <v>18477.33</v>
      </c>
      <c r="F2052" s="8" t="n">
        <v>46122</v>
      </c>
      <c r="G2052" s="9" t="n">
        <v>18477.33</v>
      </c>
      <c r="H2052" t="inlineStr">
        <is>
          <t>PAID_LATE</t>
        </is>
      </c>
      <c r="I2052">
        <f>IF(H2052="UNPAID", AsOfDate-D2052, 0)</f>
        <v/>
      </c>
      <c r="J2052">
        <f>IF(F2052&lt;&gt;"", TEXT(F2052, "yyyy-mm"), "")</f>
        <v/>
      </c>
    </row>
    <row r="2053">
      <c r="A2053" t="inlineStr">
        <is>
          <t>RP0002052</t>
        </is>
      </c>
      <c r="B2053" t="inlineStr">
        <is>
          <t>LN200297</t>
        </is>
      </c>
      <c r="C2053" t="n">
        <v>3</v>
      </c>
      <c r="D2053" s="8" t="n">
        <v>46045</v>
      </c>
      <c r="E2053" s="9" t="n">
        <v>18477.33</v>
      </c>
      <c r="F2053" s="8" t="n">
        <v>46048</v>
      </c>
      <c r="G2053" s="9" t="n">
        <v>18477.33</v>
      </c>
      <c r="H2053" t="inlineStr">
        <is>
          <t>PAID_ON_TIME</t>
        </is>
      </c>
      <c r="I2053">
        <f>IF(H2053="UNPAID", AsOfDate-D2053, 0)</f>
        <v/>
      </c>
      <c r="J2053">
        <f>IF(F2053&lt;&gt;"", TEXT(F2053, "yyyy-mm"), "")</f>
        <v/>
      </c>
    </row>
    <row r="2054">
      <c r="A2054" t="inlineStr">
        <is>
          <t>RP0002053</t>
        </is>
      </c>
      <c r="B2054" t="inlineStr">
        <is>
          <t>LN200297</t>
        </is>
      </c>
      <c r="C2054" t="n">
        <v>4</v>
      </c>
      <c r="D2054" s="8" t="n">
        <v>46076</v>
      </c>
      <c r="E2054" s="9" t="n">
        <v>18477.33</v>
      </c>
      <c r="F2054" s="8" t="n">
        <v>46073</v>
      </c>
      <c r="G2054" s="9" t="n">
        <v>18477.33</v>
      </c>
      <c r="H2054" t="inlineStr">
        <is>
          <t>PAID_ON_TIME</t>
        </is>
      </c>
      <c r="I2054">
        <f>IF(H2054="UNPAID", AsOfDate-D2054, 0)</f>
        <v/>
      </c>
      <c r="J2054">
        <f>IF(F2054&lt;&gt;"", TEXT(F2054, "yyyy-mm"), "")</f>
        <v/>
      </c>
    </row>
    <row r="2055">
      <c r="A2055" t="inlineStr">
        <is>
          <t>RP0002054</t>
        </is>
      </c>
      <c r="B2055" t="inlineStr">
        <is>
          <t>LN200297</t>
        </is>
      </c>
      <c r="C2055" t="n">
        <v>5</v>
      </c>
      <c r="D2055" s="8" t="n">
        <v>46104</v>
      </c>
      <c r="E2055" s="9" t="n">
        <v>18477.33</v>
      </c>
      <c r="F2055" s="8" t="n">
        <v>46101</v>
      </c>
      <c r="G2055" s="9" t="n">
        <v>18477.33</v>
      </c>
      <c r="H2055" t="inlineStr">
        <is>
          <t>PAID_ON_TIME</t>
        </is>
      </c>
      <c r="I2055">
        <f>IF(H2055="UNPAID", AsOfDate-D2055, 0)</f>
        <v/>
      </c>
      <c r="J2055">
        <f>IF(F2055&lt;&gt;"", TEXT(F2055, "yyyy-mm"), "")</f>
        <v/>
      </c>
    </row>
    <row r="2056">
      <c r="A2056" t="inlineStr">
        <is>
          <t>RP0002055</t>
        </is>
      </c>
      <c r="B2056" t="inlineStr">
        <is>
          <t>LN200297</t>
        </is>
      </c>
      <c r="C2056" t="n">
        <v>6</v>
      </c>
      <c r="D2056" s="8" t="n">
        <v>46135</v>
      </c>
      <c r="E2056" s="9" t="n">
        <v>18477.33</v>
      </c>
      <c r="F2056" s="8" t="n">
        <v>46136</v>
      </c>
      <c r="G2056" s="9" t="n">
        <v>18477.33</v>
      </c>
      <c r="H2056" t="inlineStr">
        <is>
          <t>PAID_ON_TIME</t>
        </is>
      </c>
      <c r="I2056">
        <f>IF(H2056="UNPAID", AsOfDate-D2056, 0)</f>
        <v/>
      </c>
      <c r="J2056">
        <f>IF(F2056&lt;&gt;"", TEXT(F2056, "yyyy-mm"), "")</f>
        <v/>
      </c>
    </row>
    <row r="2057">
      <c r="A2057" t="inlineStr">
        <is>
          <t>RP0002056</t>
        </is>
      </c>
      <c r="B2057" t="inlineStr">
        <is>
          <t>LN200298</t>
        </is>
      </c>
      <c r="C2057" t="n">
        <v>1</v>
      </c>
      <c r="D2057" s="8" t="n">
        <v>45732</v>
      </c>
      <c r="E2057" s="9" t="n">
        <v>1911.67</v>
      </c>
      <c r="F2057" s="8" t="n">
        <v>45731</v>
      </c>
      <c r="G2057" s="9" t="n">
        <v>1911.67</v>
      </c>
      <c r="H2057" t="inlineStr">
        <is>
          <t>PAID_ON_TIME</t>
        </is>
      </c>
      <c r="I2057">
        <f>IF(H2057="UNPAID", AsOfDate-D2057, 0)</f>
        <v/>
      </c>
      <c r="J2057">
        <f>IF(F2057&lt;&gt;"", TEXT(F2057, "yyyy-mm"), "")</f>
        <v/>
      </c>
    </row>
    <row r="2058">
      <c r="A2058" t="inlineStr">
        <is>
          <t>RP0002057</t>
        </is>
      </c>
      <c r="B2058" t="inlineStr">
        <is>
          <t>LN200298</t>
        </is>
      </c>
      <c r="C2058" t="n">
        <v>2</v>
      </c>
      <c r="D2058" s="8" t="n">
        <v>45763</v>
      </c>
      <c r="E2058" s="9" t="n">
        <v>1911.67</v>
      </c>
      <c r="F2058" s="8" t="n">
        <v>45766</v>
      </c>
      <c r="G2058" s="9" t="n">
        <v>1911.67</v>
      </c>
      <c r="H2058" t="inlineStr">
        <is>
          <t>PAID_ON_TIME</t>
        </is>
      </c>
      <c r="I2058">
        <f>IF(H2058="UNPAID", AsOfDate-D2058, 0)</f>
        <v/>
      </c>
      <c r="J2058">
        <f>IF(F2058&lt;&gt;"", TEXT(F2058, "yyyy-mm"), "")</f>
        <v/>
      </c>
    </row>
    <row r="2059">
      <c r="A2059" t="inlineStr">
        <is>
          <t>RP0002058</t>
        </is>
      </c>
      <c r="B2059" t="inlineStr">
        <is>
          <t>LN200298</t>
        </is>
      </c>
      <c r="C2059" t="n">
        <v>3</v>
      </c>
      <c r="D2059" s="8" t="n">
        <v>45793</v>
      </c>
      <c r="E2059" s="9" t="n">
        <v>1911.67</v>
      </c>
      <c r="F2059" s="8" t="n"/>
      <c r="G2059" s="9" t="n">
        <v>0</v>
      </c>
      <c r="H2059" t="inlineStr">
        <is>
          <t>UNPAID</t>
        </is>
      </c>
      <c r="I2059">
        <f>IF(H2059="UNPAID", AsOfDate-D2059, 0)</f>
        <v/>
      </c>
      <c r="J2059">
        <f>IF(F2059&lt;&gt;"", TEXT(F2059, "yyyy-mm"), "")</f>
        <v/>
      </c>
    </row>
    <row r="2060">
      <c r="A2060" t="inlineStr">
        <is>
          <t>RP0002059</t>
        </is>
      </c>
      <c r="B2060" t="inlineStr">
        <is>
          <t>LN200298</t>
        </is>
      </c>
      <c r="C2060" t="n">
        <v>4</v>
      </c>
      <c r="D2060" s="8" t="n">
        <v>45824</v>
      </c>
      <c r="E2060" s="9" t="n">
        <v>1911.67</v>
      </c>
      <c r="F2060" s="8" t="n">
        <v>45823</v>
      </c>
      <c r="G2060" s="9" t="n">
        <v>1911.67</v>
      </c>
      <c r="H2060" t="inlineStr">
        <is>
          <t>PAID_ON_TIME</t>
        </is>
      </c>
      <c r="I2060">
        <f>IF(H2060="UNPAID", AsOfDate-D2060, 0)</f>
        <v/>
      </c>
      <c r="J2060">
        <f>IF(F2060&lt;&gt;"", TEXT(F2060, "yyyy-mm"), "")</f>
        <v/>
      </c>
    </row>
    <row r="2061">
      <c r="A2061" t="inlineStr">
        <is>
          <t>RP0002060</t>
        </is>
      </c>
      <c r="B2061" t="inlineStr">
        <is>
          <t>LN200298</t>
        </is>
      </c>
      <c r="C2061" t="n">
        <v>5</v>
      </c>
      <c r="D2061" s="8" t="n">
        <v>45854</v>
      </c>
      <c r="E2061" s="9" t="n">
        <v>1911.67</v>
      </c>
      <c r="F2061" s="8" t="n">
        <v>45857</v>
      </c>
      <c r="G2061" s="9" t="n">
        <v>1911.67</v>
      </c>
      <c r="H2061" t="inlineStr">
        <is>
          <t>PAID_ON_TIME</t>
        </is>
      </c>
      <c r="I2061">
        <f>IF(H2061="UNPAID", AsOfDate-D2061, 0)</f>
        <v/>
      </c>
      <c r="J2061">
        <f>IF(F2061&lt;&gt;"", TEXT(F2061, "yyyy-mm"), "")</f>
        <v/>
      </c>
    </row>
    <row r="2062">
      <c r="A2062" t="inlineStr">
        <is>
          <t>RP0002061</t>
        </is>
      </c>
      <c r="B2062" t="inlineStr">
        <is>
          <t>LN200298</t>
        </is>
      </c>
      <c r="C2062" t="n">
        <v>6</v>
      </c>
      <c r="D2062" s="8" t="n">
        <v>45885</v>
      </c>
      <c r="E2062" s="9" t="n">
        <v>1911.67</v>
      </c>
      <c r="F2062" s="8" t="n">
        <v>45886</v>
      </c>
      <c r="G2062" s="9" t="n">
        <v>1911.67</v>
      </c>
      <c r="H2062" t="inlineStr">
        <is>
          <t>PAID_ON_TIME</t>
        </is>
      </c>
      <c r="I2062">
        <f>IF(H2062="UNPAID", AsOfDate-D2062, 0)</f>
        <v/>
      </c>
      <c r="J2062">
        <f>IF(F2062&lt;&gt;"", TEXT(F2062, "yyyy-mm"), "")</f>
        <v/>
      </c>
    </row>
    <row r="2063">
      <c r="A2063" t="inlineStr">
        <is>
          <t>RP0002062</t>
        </is>
      </c>
      <c r="B2063" t="inlineStr">
        <is>
          <t>LN200298</t>
        </is>
      </c>
      <c r="C2063" t="n">
        <v>7</v>
      </c>
      <c r="D2063" s="8" t="n">
        <v>45916</v>
      </c>
      <c r="E2063" s="9" t="n">
        <v>1911.67</v>
      </c>
      <c r="F2063" s="8" t="n">
        <v>45918</v>
      </c>
      <c r="G2063" s="9" t="n">
        <v>1911.67</v>
      </c>
      <c r="H2063" t="inlineStr">
        <is>
          <t>PAID_ON_TIME</t>
        </is>
      </c>
      <c r="I2063">
        <f>IF(H2063="UNPAID", AsOfDate-D2063, 0)</f>
        <v/>
      </c>
      <c r="J2063">
        <f>IF(F2063&lt;&gt;"", TEXT(F2063, "yyyy-mm"), "")</f>
        <v/>
      </c>
    </row>
    <row r="2064">
      <c r="A2064" t="inlineStr">
        <is>
          <t>RP0002063</t>
        </is>
      </c>
      <c r="B2064" t="inlineStr">
        <is>
          <t>LN200298</t>
        </is>
      </c>
      <c r="C2064" t="n">
        <v>8</v>
      </c>
      <c r="D2064" s="8" t="n">
        <v>45946</v>
      </c>
      <c r="E2064" s="9" t="n">
        <v>1911.67</v>
      </c>
      <c r="F2064" s="8" t="n">
        <v>45950</v>
      </c>
      <c r="G2064" s="9" t="n">
        <v>1911.67</v>
      </c>
      <c r="H2064" t="inlineStr">
        <is>
          <t>PAID_ON_TIME</t>
        </is>
      </c>
      <c r="I2064">
        <f>IF(H2064="UNPAID", AsOfDate-D2064, 0)</f>
        <v/>
      </c>
      <c r="J2064">
        <f>IF(F2064&lt;&gt;"", TEXT(F2064, "yyyy-mm"), "")</f>
        <v/>
      </c>
    </row>
    <row r="2065">
      <c r="A2065" t="inlineStr">
        <is>
          <t>RP0002064</t>
        </is>
      </c>
      <c r="B2065" t="inlineStr">
        <is>
          <t>LN200298</t>
        </is>
      </c>
      <c r="C2065" t="n">
        <v>9</v>
      </c>
      <c r="D2065" s="8" t="n">
        <v>45977</v>
      </c>
      <c r="E2065" s="9" t="n">
        <v>1911.67</v>
      </c>
      <c r="F2065" s="8" t="n">
        <v>45979</v>
      </c>
      <c r="G2065" s="9" t="n">
        <v>1911.67</v>
      </c>
      <c r="H2065" t="inlineStr">
        <is>
          <t>PAID_ON_TIME</t>
        </is>
      </c>
      <c r="I2065">
        <f>IF(H2065="UNPAID", AsOfDate-D2065, 0)</f>
        <v/>
      </c>
      <c r="J2065">
        <f>IF(F2065&lt;&gt;"", TEXT(F2065, "yyyy-mm"), "")</f>
        <v/>
      </c>
    </row>
    <row r="2066">
      <c r="A2066" t="inlineStr">
        <is>
          <t>RP0002065</t>
        </is>
      </c>
      <c r="B2066" t="inlineStr">
        <is>
          <t>LN200298</t>
        </is>
      </c>
      <c r="C2066" t="n">
        <v>10</v>
      </c>
      <c r="D2066" s="8" t="n">
        <v>46007</v>
      </c>
      <c r="E2066" s="9" t="n">
        <v>1911.67</v>
      </c>
      <c r="F2066" s="8" t="n">
        <v>46010</v>
      </c>
      <c r="G2066" s="9" t="n">
        <v>1911.67</v>
      </c>
      <c r="H2066" t="inlineStr">
        <is>
          <t>PAID_ON_TIME</t>
        </is>
      </c>
      <c r="I2066">
        <f>IF(H2066="UNPAID", AsOfDate-D2066, 0)</f>
        <v/>
      </c>
      <c r="J2066">
        <f>IF(F2066&lt;&gt;"", TEXT(F2066, "yyyy-mm"), "")</f>
        <v/>
      </c>
    </row>
    <row r="2067">
      <c r="A2067" t="inlineStr">
        <is>
          <t>RP0002066</t>
        </is>
      </c>
      <c r="B2067" t="inlineStr">
        <is>
          <t>LN200298</t>
        </is>
      </c>
      <c r="C2067" t="n">
        <v>11</v>
      </c>
      <c r="D2067" s="8" t="n">
        <v>46038</v>
      </c>
      <c r="E2067" s="9" t="n">
        <v>1911.67</v>
      </c>
      <c r="F2067" s="8" t="n">
        <v>46037</v>
      </c>
      <c r="G2067" s="9" t="n">
        <v>1911.67</v>
      </c>
      <c r="H2067" t="inlineStr">
        <is>
          <t>PAID_ON_TIME</t>
        </is>
      </c>
      <c r="I2067">
        <f>IF(H2067="UNPAID", AsOfDate-D2067, 0)</f>
        <v/>
      </c>
      <c r="J2067">
        <f>IF(F2067&lt;&gt;"", TEXT(F2067, "yyyy-mm"), "")</f>
        <v/>
      </c>
    </row>
    <row r="2068">
      <c r="A2068" t="inlineStr">
        <is>
          <t>RP0002067</t>
        </is>
      </c>
      <c r="B2068" t="inlineStr">
        <is>
          <t>LN200298</t>
        </is>
      </c>
      <c r="C2068" t="n">
        <v>12</v>
      </c>
      <c r="D2068" s="8" t="n">
        <v>46069</v>
      </c>
      <c r="E2068" s="9" t="n">
        <v>1911.67</v>
      </c>
      <c r="F2068" s="8" t="n">
        <v>46066</v>
      </c>
      <c r="G2068" s="9" t="n">
        <v>1911.67</v>
      </c>
      <c r="H2068" t="inlineStr">
        <is>
          <t>PAID_ON_TIME</t>
        </is>
      </c>
      <c r="I2068">
        <f>IF(H2068="UNPAID", AsOfDate-D2068, 0)</f>
        <v/>
      </c>
      <c r="J2068">
        <f>IF(F2068&lt;&gt;"", TEXT(F2068, "yyyy-mm"), "")</f>
        <v/>
      </c>
    </row>
    <row r="2069">
      <c r="A2069" t="inlineStr">
        <is>
          <t>RP0002068</t>
        </is>
      </c>
      <c r="B2069" t="inlineStr">
        <is>
          <t>LN200299</t>
        </is>
      </c>
      <c r="C2069" t="n">
        <v>1</v>
      </c>
      <c r="D2069" s="8" t="n">
        <v>45995</v>
      </c>
      <c r="E2069" s="9" t="n">
        <v>54585.83</v>
      </c>
      <c r="F2069" s="8" t="n">
        <v>46023</v>
      </c>
      <c r="G2069" s="9" t="n">
        <v>54585.83</v>
      </c>
      <c r="H2069" t="inlineStr">
        <is>
          <t>PAID_LATE</t>
        </is>
      </c>
      <c r="I2069">
        <f>IF(H2069="UNPAID", AsOfDate-D2069, 0)</f>
        <v/>
      </c>
      <c r="J2069">
        <f>IF(F2069&lt;&gt;"", TEXT(F2069, "yyyy-mm"), "")</f>
        <v/>
      </c>
    </row>
    <row r="2070">
      <c r="A2070" t="inlineStr">
        <is>
          <t>RP0002069</t>
        </is>
      </c>
      <c r="B2070" t="inlineStr">
        <is>
          <t>LN200299</t>
        </is>
      </c>
      <c r="C2070" t="n">
        <v>2</v>
      </c>
      <c r="D2070" s="8" t="n">
        <v>46026</v>
      </c>
      <c r="E2070" s="9" t="n">
        <v>54585.83</v>
      </c>
      <c r="F2070" s="8" t="n">
        <v>46025</v>
      </c>
      <c r="G2070" s="9" t="n">
        <v>54585.83</v>
      </c>
      <c r="H2070" t="inlineStr">
        <is>
          <t>PAID_ON_TIME</t>
        </is>
      </c>
      <c r="I2070">
        <f>IF(H2070="UNPAID", AsOfDate-D2070, 0)</f>
        <v/>
      </c>
      <c r="J2070">
        <f>IF(F2070&lt;&gt;"", TEXT(F2070, "yyyy-mm"), "")</f>
        <v/>
      </c>
    </row>
    <row r="2071">
      <c r="A2071" t="inlineStr">
        <is>
          <t>RP0002070</t>
        </is>
      </c>
      <c r="B2071" t="inlineStr">
        <is>
          <t>LN200299</t>
        </is>
      </c>
      <c r="C2071" t="n">
        <v>3</v>
      </c>
      <c r="D2071" s="8" t="n">
        <v>46057</v>
      </c>
      <c r="E2071" s="9" t="n">
        <v>54585.83</v>
      </c>
      <c r="F2071" s="8" t="n">
        <v>46058</v>
      </c>
      <c r="G2071" s="9" t="n">
        <v>54585.83</v>
      </c>
      <c r="H2071" t="inlineStr">
        <is>
          <t>PAID_ON_TIME</t>
        </is>
      </c>
      <c r="I2071">
        <f>IF(H2071="UNPAID", AsOfDate-D2071, 0)</f>
        <v/>
      </c>
      <c r="J2071">
        <f>IF(F2071&lt;&gt;"", TEXT(F2071, "yyyy-mm"), "")</f>
        <v/>
      </c>
    </row>
    <row r="2072">
      <c r="A2072" t="inlineStr">
        <is>
          <t>RP0002071</t>
        </is>
      </c>
      <c r="B2072" t="inlineStr">
        <is>
          <t>LN200300</t>
        </is>
      </c>
      <c r="C2072" t="n">
        <v>1</v>
      </c>
      <c r="D2072" s="8" t="n">
        <v>45700</v>
      </c>
      <c r="E2072" s="9" t="n">
        <v>26115.83</v>
      </c>
      <c r="F2072" s="8" t="n">
        <v>45702</v>
      </c>
      <c r="G2072" s="9" t="n">
        <v>26115.83</v>
      </c>
      <c r="H2072" t="inlineStr">
        <is>
          <t>PAID_ON_TIME</t>
        </is>
      </c>
      <c r="I2072">
        <f>IF(H2072="UNPAID", AsOfDate-D2072, 0)</f>
        <v/>
      </c>
      <c r="J2072">
        <f>IF(F2072&lt;&gt;"", TEXT(F2072, "yyyy-mm"), "")</f>
        <v/>
      </c>
    </row>
    <row r="2073">
      <c r="A2073" t="inlineStr">
        <is>
          <t>RP0002072</t>
        </is>
      </c>
      <c r="B2073" t="inlineStr">
        <is>
          <t>LN200300</t>
        </is>
      </c>
      <c r="C2073" t="n">
        <v>2</v>
      </c>
      <c r="D2073" s="8" t="n">
        <v>45728</v>
      </c>
      <c r="E2073" s="9" t="n">
        <v>26115.83</v>
      </c>
      <c r="F2073" s="8" t="n">
        <v>45731</v>
      </c>
      <c r="G2073" s="9" t="n">
        <v>26115.83</v>
      </c>
      <c r="H2073" t="inlineStr">
        <is>
          <t>PAID_ON_TIME</t>
        </is>
      </c>
      <c r="I2073">
        <f>IF(H2073="UNPAID", AsOfDate-D2073, 0)</f>
        <v/>
      </c>
      <c r="J2073">
        <f>IF(F2073&lt;&gt;"", TEXT(F2073, "yyyy-mm"), "")</f>
        <v/>
      </c>
    </row>
    <row r="2074">
      <c r="A2074" t="inlineStr">
        <is>
          <t>RP0002073</t>
        </is>
      </c>
      <c r="B2074" t="inlineStr">
        <is>
          <t>LN200300</t>
        </is>
      </c>
      <c r="C2074" t="n">
        <v>3</v>
      </c>
      <c r="D2074" s="8" t="n">
        <v>45759</v>
      </c>
      <c r="E2074" s="9" t="n">
        <v>26115.83</v>
      </c>
      <c r="F2074" s="8" t="n">
        <v>45759</v>
      </c>
      <c r="G2074" s="9" t="n">
        <v>26115.83</v>
      </c>
      <c r="H2074" t="inlineStr">
        <is>
          <t>PAID_ON_TIME</t>
        </is>
      </c>
      <c r="I2074">
        <f>IF(H2074="UNPAID", AsOfDate-D2074, 0)</f>
        <v/>
      </c>
      <c r="J2074">
        <f>IF(F2074&lt;&gt;"", TEXT(F2074, "yyyy-mm"), "")</f>
        <v/>
      </c>
    </row>
    <row r="2075">
      <c r="A2075" t="inlineStr">
        <is>
          <t>RP0002074</t>
        </is>
      </c>
      <c r="B2075" t="inlineStr">
        <is>
          <t>LN200301</t>
        </is>
      </c>
      <c r="C2075" t="n">
        <v>1</v>
      </c>
      <c r="D2075" s="8" t="n">
        <v>45929</v>
      </c>
      <c r="E2075" s="9" t="n">
        <v>5122.44</v>
      </c>
      <c r="F2075" s="8" t="n">
        <v>45931</v>
      </c>
      <c r="G2075" s="9" t="n">
        <v>5122.44</v>
      </c>
      <c r="H2075" t="inlineStr">
        <is>
          <t>PAID_ON_TIME</t>
        </is>
      </c>
      <c r="I2075">
        <f>IF(H2075="UNPAID", AsOfDate-D2075, 0)</f>
        <v/>
      </c>
      <c r="J2075">
        <f>IF(F2075&lt;&gt;"", TEXT(F2075, "yyyy-mm"), "")</f>
        <v/>
      </c>
    </row>
    <row r="2076">
      <c r="A2076" t="inlineStr">
        <is>
          <t>RP0002075</t>
        </is>
      </c>
      <c r="B2076" t="inlineStr">
        <is>
          <t>LN200301</t>
        </is>
      </c>
      <c r="C2076" t="n">
        <v>2</v>
      </c>
      <c r="D2076" s="8" t="n">
        <v>45959</v>
      </c>
      <c r="E2076" s="9" t="n">
        <v>5122.44</v>
      </c>
      <c r="F2076" s="8" t="n">
        <v>46010</v>
      </c>
      <c r="G2076" s="9" t="n">
        <v>5122.44</v>
      </c>
      <c r="H2076" t="inlineStr">
        <is>
          <t>PAID_LATE</t>
        </is>
      </c>
      <c r="I2076">
        <f>IF(H2076="UNPAID", AsOfDate-D2076, 0)</f>
        <v/>
      </c>
      <c r="J2076">
        <f>IF(F2076&lt;&gt;"", TEXT(F2076, "yyyy-mm"), "")</f>
        <v/>
      </c>
    </row>
    <row r="2077">
      <c r="A2077" t="inlineStr">
        <is>
          <t>RP0002076</t>
        </is>
      </c>
      <c r="B2077" t="inlineStr">
        <is>
          <t>LN200301</t>
        </is>
      </c>
      <c r="C2077" t="n">
        <v>3</v>
      </c>
      <c r="D2077" s="8" t="n">
        <v>45990</v>
      </c>
      <c r="E2077" s="9" t="n">
        <v>5122.44</v>
      </c>
      <c r="F2077" s="8" t="n">
        <v>45992</v>
      </c>
      <c r="G2077" s="9" t="n">
        <v>5122.44</v>
      </c>
      <c r="H2077" t="inlineStr">
        <is>
          <t>PAID_ON_TIME</t>
        </is>
      </c>
      <c r="I2077">
        <f>IF(H2077="UNPAID", AsOfDate-D2077, 0)</f>
        <v/>
      </c>
      <c r="J2077">
        <f>IF(F2077&lt;&gt;"", TEXT(F2077, "yyyy-mm"), "")</f>
        <v/>
      </c>
    </row>
    <row r="2078">
      <c r="A2078" t="inlineStr">
        <is>
          <t>RP0002077</t>
        </is>
      </c>
      <c r="B2078" t="inlineStr">
        <is>
          <t>LN200301</t>
        </is>
      </c>
      <c r="C2078" t="n">
        <v>4</v>
      </c>
      <c r="D2078" s="8" t="n">
        <v>46020</v>
      </c>
      <c r="E2078" s="9" t="n">
        <v>5122.44</v>
      </c>
      <c r="F2078" s="8" t="n">
        <v>46018</v>
      </c>
      <c r="G2078" s="9" t="n">
        <v>5122.44</v>
      </c>
      <c r="H2078" t="inlineStr">
        <is>
          <t>PAID_ON_TIME</t>
        </is>
      </c>
      <c r="I2078">
        <f>IF(H2078="UNPAID", AsOfDate-D2078, 0)</f>
        <v/>
      </c>
      <c r="J2078">
        <f>IF(F2078&lt;&gt;"", TEXT(F2078, "yyyy-mm"), "")</f>
        <v/>
      </c>
    </row>
    <row r="2079">
      <c r="A2079" t="inlineStr">
        <is>
          <t>RP0002078</t>
        </is>
      </c>
      <c r="B2079" t="inlineStr">
        <is>
          <t>LN200301</t>
        </is>
      </c>
      <c r="C2079" t="n">
        <v>5</v>
      </c>
      <c r="D2079" s="8" t="n">
        <v>46051</v>
      </c>
      <c r="E2079" s="9" t="n">
        <v>5122.44</v>
      </c>
      <c r="F2079" s="8" t="n">
        <v>46055</v>
      </c>
      <c r="G2079" s="9" t="n">
        <v>5122.44</v>
      </c>
      <c r="H2079" t="inlineStr">
        <is>
          <t>PAID_ON_TIME</t>
        </is>
      </c>
      <c r="I2079">
        <f>IF(H2079="UNPAID", AsOfDate-D2079, 0)</f>
        <v/>
      </c>
      <c r="J2079">
        <f>IF(F2079&lt;&gt;"", TEXT(F2079, "yyyy-mm"), "")</f>
        <v/>
      </c>
    </row>
    <row r="2080">
      <c r="A2080" t="inlineStr">
        <is>
          <t>RP0002079</t>
        </is>
      </c>
      <c r="B2080" t="inlineStr">
        <is>
          <t>LN200301</t>
        </is>
      </c>
      <c r="C2080" t="n">
        <v>6</v>
      </c>
      <c r="D2080" s="8" t="n">
        <v>46081</v>
      </c>
      <c r="E2080" s="9" t="n">
        <v>5122.44</v>
      </c>
      <c r="F2080" s="8" t="n"/>
      <c r="G2080" s="9" t="n">
        <v>0</v>
      </c>
      <c r="H2080" t="inlineStr">
        <is>
          <t>UNPAID</t>
        </is>
      </c>
      <c r="I2080">
        <f>IF(H2080="UNPAID", AsOfDate-D2080, 0)</f>
        <v/>
      </c>
      <c r="J2080">
        <f>IF(F2080&lt;&gt;"", TEXT(F2080, "yyyy-mm"), "")</f>
        <v/>
      </c>
    </row>
    <row r="2081">
      <c r="A2081" t="inlineStr">
        <is>
          <t>RP0002080</t>
        </is>
      </c>
      <c r="B2081" t="inlineStr">
        <is>
          <t>LN200301</t>
        </is>
      </c>
      <c r="C2081" t="n">
        <v>7</v>
      </c>
      <c r="D2081" s="8" t="n">
        <v>46110</v>
      </c>
      <c r="E2081" s="9" t="n">
        <v>5122.44</v>
      </c>
      <c r="F2081" s="8" t="n">
        <v>46109</v>
      </c>
      <c r="G2081" s="9" t="n">
        <v>5122.44</v>
      </c>
      <c r="H2081" t="inlineStr">
        <is>
          <t>PAID_ON_TIME</t>
        </is>
      </c>
      <c r="I2081">
        <f>IF(H2081="UNPAID", AsOfDate-D2081, 0)</f>
        <v/>
      </c>
      <c r="J2081">
        <f>IF(F2081&lt;&gt;"", TEXT(F2081, "yyyy-mm"), "")</f>
        <v/>
      </c>
    </row>
    <row r="2082">
      <c r="A2082" t="inlineStr">
        <is>
          <t>RP0002081</t>
        </is>
      </c>
      <c r="B2082" t="inlineStr">
        <is>
          <t>LN200301</t>
        </is>
      </c>
      <c r="C2082" t="n">
        <v>8</v>
      </c>
      <c r="D2082" s="8" t="n">
        <v>46141</v>
      </c>
      <c r="E2082" s="9" t="n">
        <v>5122.44</v>
      </c>
      <c r="F2082" s="8" t="n">
        <v>46145</v>
      </c>
      <c r="G2082" s="9" t="n">
        <v>5122.44</v>
      </c>
      <c r="H2082" t="inlineStr">
        <is>
          <t>PAID_ON_TIME</t>
        </is>
      </c>
      <c r="I2082">
        <f>IF(H2082="UNPAID", AsOfDate-D2082, 0)</f>
        <v/>
      </c>
      <c r="J2082">
        <f>IF(F2082&lt;&gt;"", TEXT(F2082, "yyyy-mm"), "")</f>
        <v/>
      </c>
    </row>
    <row r="2083">
      <c r="A2083" t="inlineStr">
        <is>
          <t>RP0002082</t>
        </is>
      </c>
      <c r="B2083" t="inlineStr">
        <is>
          <t>LN200301</t>
        </is>
      </c>
      <c r="C2083" t="n">
        <v>9</v>
      </c>
      <c r="D2083" s="8" t="n">
        <v>46171</v>
      </c>
      <c r="E2083" s="9" t="n">
        <v>5122.44</v>
      </c>
      <c r="F2083" s="8" t="n">
        <v>46173</v>
      </c>
      <c r="G2083" s="9" t="n">
        <v>5122.44</v>
      </c>
      <c r="H2083" t="inlineStr">
        <is>
          <t>PAID_ON_TIME</t>
        </is>
      </c>
      <c r="I2083">
        <f>IF(H2083="UNPAID", AsOfDate-D2083, 0)</f>
        <v/>
      </c>
      <c r="J2083">
        <f>IF(F2083&lt;&gt;"", TEXT(F2083, "yyyy-mm"), "")</f>
        <v/>
      </c>
    </row>
    <row r="2084">
      <c r="A2084" t="inlineStr">
        <is>
          <t>RP0002083</t>
        </is>
      </c>
      <c r="B2084" t="inlineStr">
        <is>
          <t>LN200301</t>
        </is>
      </c>
      <c r="C2084" t="n">
        <v>10</v>
      </c>
      <c r="D2084" s="8" t="n">
        <v>46202</v>
      </c>
      <c r="E2084" s="9" t="n">
        <v>5122.44</v>
      </c>
      <c r="F2084" s="8" t="n">
        <v>46205</v>
      </c>
      <c r="G2084" s="9" t="n">
        <v>5122.44</v>
      </c>
      <c r="H2084" t="inlineStr">
        <is>
          <t>PAID_ON_TIME</t>
        </is>
      </c>
      <c r="I2084">
        <f>IF(H2084="UNPAID", AsOfDate-D2084, 0)</f>
        <v/>
      </c>
      <c r="J2084">
        <f>IF(F2084&lt;&gt;"", TEXT(F2084, "yyyy-mm"), "")</f>
        <v/>
      </c>
    </row>
    <row r="2085">
      <c r="A2085" t="inlineStr">
        <is>
          <t>RP0002084</t>
        </is>
      </c>
      <c r="B2085" t="inlineStr">
        <is>
          <t>LN200301</t>
        </is>
      </c>
      <c r="C2085" t="n">
        <v>11</v>
      </c>
      <c r="D2085" s="8" t="n">
        <v>46232</v>
      </c>
      <c r="E2085" s="9" t="n">
        <v>5122.44</v>
      </c>
      <c r="F2085" s="8" t="n">
        <v>46236</v>
      </c>
      <c r="G2085" s="9" t="n">
        <v>5122.44</v>
      </c>
      <c r="H2085" t="inlineStr">
        <is>
          <t>PAID_ON_TIME</t>
        </is>
      </c>
      <c r="I2085">
        <f>IF(H2085="UNPAID", AsOfDate-D2085, 0)</f>
        <v/>
      </c>
      <c r="J2085">
        <f>IF(F2085&lt;&gt;"", TEXT(F2085, "yyyy-mm"), "")</f>
        <v/>
      </c>
    </row>
    <row r="2086">
      <c r="A2086" t="inlineStr">
        <is>
          <t>RP0002085</t>
        </is>
      </c>
      <c r="B2086" t="inlineStr">
        <is>
          <t>LN200301</t>
        </is>
      </c>
      <c r="C2086" t="n">
        <v>12</v>
      </c>
      <c r="D2086" s="8" t="n">
        <v>46263</v>
      </c>
      <c r="E2086" s="9" t="n">
        <v>5122.44</v>
      </c>
      <c r="F2086" s="8" t="n">
        <v>46263</v>
      </c>
      <c r="G2086" s="9" t="n">
        <v>5122.44</v>
      </c>
      <c r="H2086" t="inlineStr">
        <is>
          <t>PAID_ON_TIME</t>
        </is>
      </c>
      <c r="I2086">
        <f>IF(H2086="UNPAID", AsOfDate-D2086, 0)</f>
        <v/>
      </c>
      <c r="J2086">
        <f>IF(F2086&lt;&gt;"", TEXT(F2086, "yyyy-mm"), "")</f>
        <v/>
      </c>
    </row>
    <row r="2087">
      <c r="A2087" t="inlineStr">
        <is>
          <t>RP0002086</t>
        </is>
      </c>
      <c r="B2087" t="inlineStr">
        <is>
          <t>LN200301</t>
        </is>
      </c>
      <c r="C2087" t="n">
        <v>13</v>
      </c>
      <c r="D2087" s="8" t="n">
        <v>46294</v>
      </c>
      <c r="E2087" s="9" t="n">
        <v>5122.44</v>
      </c>
      <c r="F2087" s="8" t="n"/>
      <c r="G2087" s="9" t="n">
        <v>0</v>
      </c>
      <c r="H2087" t="inlineStr">
        <is>
          <t>NOT_DUE</t>
        </is>
      </c>
      <c r="I2087">
        <f>IF(H2087="UNPAID", AsOfDate-D2087, 0)</f>
        <v/>
      </c>
      <c r="J2087">
        <f>IF(F2087&lt;&gt;"", TEXT(F2087, "yyyy-mm"), "")</f>
        <v/>
      </c>
    </row>
    <row r="2088">
      <c r="A2088" t="inlineStr">
        <is>
          <t>RP0002087</t>
        </is>
      </c>
      <c r="B2088" t="inlineStr">
        <is>
          <t>LN200301</t>
        </is>
      </c>
      <c r="C2088" t="n">
        <v>14</v>
      </c>
      <c r="D2088" s="8" t="n">
        <v>46324</v>
      </c>
      <c r="E2088" s="9" t="n">
        <v>5122.44</v>
      </c>
      <c r="F2088" s="8" t="n"/>
      <c r="G2088" s="9" t="n">
        <v>0</v>
      </c>
      <c r="H2088" t="inlineStr">
        <is>
          <t>NOT_DUE</t>
        </is>
      </c>
      <c r="I2088">
        <f>IF(H2088="UNPAID", AsOfDate-D2088, 0)</f>
        <v/>
      </c>
      <c r="J2088">
        <f>IF(F2088&lt;&gt;"", TEXT(F2088, "yyyy-mm"), "")</f>
        <v/>
      </c>
    </row>
    <row r="2089">
      <c r="A2089" t="inlineStr">
        <is>
          <t>RP0002088</t>
        </is>
      </c>
      <c r="B2089" t="inlineStr">
        <is>
          <t>LN200301</t>
        </is>
      </c>
      <c r="C2089" t="n">
        <v>15</v>
      </c>
      <c r="D2089" s="8" t="n">
        <v>46355</v>
      </c>
      <c r="E2089" s="9" t="n">
        <v>5122.44</v>
      </c>
      <c r="F2089" s="8" t="n"/>
      <c r="G2089" s="9" t="n">
        <v>0</v>
      </c>
      <c r="H2089" t="inlineStr">
        <is>
          <t>NOT_DUE</t>
        </is>
      </c>
      <c r="I2089">
        <f>IF(H2089="UNPAID", AsOfDate-D2089, 0)</f>
        <v/>
      </c>
      <c r="J2089">
        <f>IF(F2089&lt;&gt;"", TEXT(F2089, "yyyy-mm"), "")</f>
        <v/>
      </c>
    </row>
    <row r="2090">
      <c r="A2090" t="inlineStr">
        <is>
          <t>RP0002089</t>
        </is>
      </c>
      <c r="B2090" t="inlineStr">
        <is>
          <t>LN200301</t>
        </is>
      </c>
      <c r="C2090" t="n">
        <v>16</v>
      </c>
      <c r="D2090" s="8" t="n">
        <v>46385</v>
      </c>
      <c r="E2090" s="9" t="n">
        <v>5122.44</v>
      </c>
      <c r="F2090" s="8" t="n"/>
      <c r="G2090" s="9" t="n">
        <v>0</v>
      </c>
      <c r="H2090" t="inlineStr">
        <is>
          <t>NOT_DUE</t>
        </is>
      </c>
      <c r="I2090">
        <f>IF(H2090="UNPAID", AsOfDate-D2090, 0)</f>
        <v/>
      </c>
      <c r="J2090">
        <f>IF(F2090&lt;&gt;"", TEXT(F2090, "yyyy-mm"), "")</f>
        <v/>
      </c>
    </row>
    <row r="2091">
      <c r="A2091" t="inlineStr">
        <is>
          <t>RP0002090</t>
        </is>
      </c>
      <c r="B2091" t="inlineStr">
        <is>
          <t>LN200301</t>
        </is>
      </c>
      <c r="C2091" t="n">
        <v>17</v>
      </c>
      <c r="D2091" s="8" t="n">
        <v>46416</v>
      </c>
      <c r="E2091" s="9" t="n">
        <v>5122.44</v>
      </c>
      <c r="F2091" s="8" t="n"/>
      <c r="G2091" s="9" t="n">
        <v>0</v>
      </c>
      <c r="H2091" t="inlineStr">
        <is>
          <t>NOT_DUE</t>
        </is>
      </c>
      <c r="I2091">
        <f>IF(H2091="UNPAID", AsOfDate-D2091, 0)</f>
        <v/>
      </c>
      <c r="J2091">
        <f>IF(F2091&lt;&gt;"", TEXT(F2091, "yyyy-mm"), "")</f>
        <v/>
      </c>
    </row>
    <row r="2092">
      <c r="A2092" t="inlineStr">
        <is>
          <t>RP0002091</t>
        </is>
      </c>
      <c r="B2092" t="inlineStr">
        <is>
          <t>LN200301</t>
        </is>
      </c>
      <c r="C2092" t="n">
        <v>18</v>
      </c>
      <c r="D2092" s="8" t="n">
        <v>46446</v>
      </c>
      <c r="E2092" s="9" t="n">
        <v>5122.44</v>
      </c>
      <c r="F2092" s="8" t="n"/>
      <c r="G2092" s="9" t="n">
        <v>0</v>
      </c>
      <c r="H2092" t="inlineStr">
        <is>
          <t>NOT_DUE</t>
        </is>
      </c>
      <c r="I2092">
        <f>IF(H2092="UNPAID", AsOfDate-D2092, 0)</f>
        <v/>
      </c>
      <c r="J2092">
        <f>IF(F2092&lt;&gt;"", TEXT(F2092, "yyyy-mm"), "")</f>
        <v/>
      </c>
    </row>
    <row r="2093">
      <c r="A2093" t="inlineStr">
        <is>
          <t>RP0002092</t>
        </is>
      </c>
      <c r="B2093" t="inlineStr">
        <is>
          <t>LN200302</t>
        </is>
      </c>
      <c r="C2093" t="n">
        <v>1</v>
      </c>
      <c r="D2093" s="8" t="n">
        <v>45729</v>
      </c>
      <c r="E2093" s="9" t="n">
        <v>12854.42</v>
      </c>
      <c r="F2093" s="8" t="n">
        <v>45790</v>
      </c>
      <c r="G2093" s="9" t="n">
        <v>12854.42</v>
      </c>
      <c r="H2093" t="inlineStr">
        <is>
          <t>PAID_LATE</t>
        </is>
      </c>
      <c r="I2093">
        <f>IF(H2093="UNPAID", AsOfDate-D2093, 0)</f>
        <v/>
      </c>
      <c r="J2093">
        <f>IF(F2093&lt;&gt;"", TEXT(F2093, "yyyy-mm"), "")</f>
        <v/>
      </c>
    </row>
    <row r="2094">
      <c r="A2094" t="inlineStr">
        <is>
          <t>RP0002093</t>
        </is>
      </c>
      <c r="B2094" t="inlineStr">
        <is>
          <t>LN200302</t>
        </is>
      </c>
      <c r="C2094" t="n">
        <v>2</v>
      </c>
      <c r="D2094" s="8" t="n">
        <v>45760</v>
      </c>
      <c r="E2094" s="9" t="n">
        <v>12854.42</v>
      </c>
      <c r="F2094" s="8" t="n">
        <v>45758</v>
      </c>
      <c r="G2094" s="9" t="n">
        <v>12854.42</v>
      </c>
      <c r="H2094" t="inlineStr">
        <is>
          <t>PAID_ON_TIME</t>
        </is>
      </c>
      <c r="I2094">
        <f>IF(H2094="UNPAID", AsOfDate-D2094, 0)</f>
        <v/>
      </c>
      <c r="J2094">
        <f>IF(F2094&lt;&gt;"", TEXT(F2094, "yyyy-mm"), "")</f>
        <v/>
      </c>
    </row>
    <row r="2095">
      <c r="A2095" t="inlineStr">
        <is>
          <t>RP0002094</t>
        </is>
      </c>
      <c r="B2095" t="inlineStr">
        <is>
          <t>LN200302</t>
        </is>
      </c>
      <c r="C2095" t="n">
        <v>3</v>
      </c>
      <c r="D2095" s="8" t="n">
        <v>45790</v>
      </c>
      <c r="E2095" s="9" t="n">
        <v>12854.42</v>
      </c>
      <c r="F2095" s="8" t="n">
        <v>45787</v>
      </c>
      <c r="G2095" s="9" t="n">
        <v>12854.42</v>
      </c>
      <c r="H2095" t="inlineStr">
        <is>
          <t>PAID_ON_TIME</t>
        </is>
      </c>
      <c r="I2095">
        <f>IF(H2095="UNPAID", AsOfDate-D2095, 0)</f>
        <v/>
      </c>
      <c r="J2095">
        <f>IF(F2095&lt;&gt;"", TEXT(F2095, "yyyy-mm"), "")</f>
        <v/>
      </c>
    </row>
    <row r="2096">
      <c r="A2096" t="inlineStr">
        <is>
          <t>RP0002095</t>
        </is>
      </c>
      <c r="B2096" t="inlineStr">
        <is>
          <t>LN200303</t>
        </is>
      </c>
      <c r="C2096" t="n">
        <v>1</v>
      </c>
      <c r="D2096" s="8" t="n">
        <v>45726</v>
      </c>
      <c r="E2096" s="9" t="n">
        <v>36950.5</v>
      </c>
      <c r="F2096" s="8" t="n">
        <v>45831</v>
      </c>
      <c r="G2096" s="9" t="n">
        <v>36950.5</v>
      </c>
      <c r="H2096" t="inlineStr">
        <is>
          <t>PAID_LATE</t>
        </is>
      </c>
      <c r="I2096">
        <f>IF(H2096="UNPAID", AsOfDate-D2096, 0)</f>
        <v/>
      </c>
      <c r="J2096">
        <f>IF(F2096&lt;&gt;"", TEXT(F2096, "yyyy-mm"), "")</f>
        <v/>
      </c>
    </row>
    <row r="2097">
      <c r="A2097" t="inlineStr">
        <is>
          <t>RP0002096</t>
        </is>
      </c>
      <c r="B2097" t="inlineStr">
        <is>
          <t>LN200303</t>
        </is>
      </c>
      <c r="C2097" t="n">
        <v>2</v>
      </c>
      <c r="D2097" s="8" t="n">
        <v>45757</v>
      </c>
      <c r="E2097" s="9" t="n">
        <v>36950.5</v>
      </c>
      <c r="F2097" s="8" t="n">
        <v>45759</v>
      </c>
      <c r="G2097" s="9" t="n">
        <v>36950.5</v>
      </c>
      <c r="H2097" t="inlineStr">
        <is>
          <t>PAID_ON_TIME</t>
        </is>
      </c>
      <c r="I2097">
        <f>IF(H2097="UNPAID", AsOfDate-D2097, 0)</f>
        <v/>
      </c>
      <c r="J2097">
        <f>IF(F2097&lt;&gt;"", TEXT(F2097, "yyyy-mm"), "")</f>
        <v/>
      </c>
    </row>
    <row r="2098">
      <c r="A2098" t="inlineStr">
        <is>
          <t>RP0002097</t>
        </is>
      </c>
      <c r="B2098" t="inlineStr">
        <is>
          <t>LN200303</t>
        </is>
      </c>
      <c r="C2098" t="n">
        <v>3</v>
      </c>
      <c r="D2098" s="8" t="n">
        <v>45787</v>
      </c>
      <c r="E2098" s="9" t="n">
        <v>36950.5</v>
      </c>
      <c r="F2098" s="8" t="n">
        <v>45790</v>
      </c>
      <c r="G2098" s="9" t="n">
        <v>36950.5</v>
      </c>
      <c r="H2098" t="inlineStr">
        <is>
          <t>PAID_ON_TIME</t>
        </is>
      </c>
      <c r="I2098">
        <f>IF(H2098="UNPAID", AsOfDate-D2098, 0)</f>
        <v/>
      </c>
      <c r="J2098">
        <f>IF(F2098&lt;&gt;"", TEXT(F2098, "yyyy-mm"), "")</f>
        <v/>
      </c>
    </row>
    <row r="2099">
      <c r="A2099" t="inlineStr">
        <is>
          <t>RP0002098</t>
        </is>
      </c>
      <c r="B2099" t="inlineStr">
        <is>
          <t>LN200303</t>
        </is>
      </c>
      <c r="C2099" t="n">
        <v>4</v>
      </c>
      <c r="D2099" s="8" t="n">
        <v>45818</v>
      </c>
      <c r="E2099" s="9" t="n">
        <v>36950.5</v>
      </c>
      <c r="F2099" s="8" t="n">
        <v>45831</v>
      </c>
      <c r="G2099" s="9" t="n">
        <v>36950.5</v>
      </c>
      <c r="H2099" t="inlineStr">
        <is>
          <t>PAID_LATE</t>
        </is>
      </c>
      <c r="I2099">
        <f>IF(H2099="UNPAID", AsOfDate-D2099, 0)</f>
        <v/>
      </c>
      <c r="J2099">
        <f>IF(F2099&lt;&gt;"", TEXT(F2099, "yyyy-mm"), "")</f>
        <v/>
      </c>
    </row>
    <row r="2100">
      <c r="A2100" t="inlineStr">
        <is>
          <t>RP0002099</t>
        </is>
      </c>
      <c r="B2100" t="inlineStr">
        <is>
          <t>LN200303</t>
        </is>
      </c>
      <c r="C2100" t="n">
        <v>5</v>
      </c>
      <c r="D2100" s="8" t="n">
        <v>45848</v>
      </c>
      <c r="E2100" s="9" t="n">
        <v>36950.5</v>
      </c>
      <c r="F2100" s="8" t="n">
        <v>45847</v>
      </c>
      <c r="G2100" s="9" t="n">
        <v>36950.5</v>
      </c>
      <c r="H2100" t="inlineStr">
        <is>
          <t>PAID_ON_TIME</t>
        </is>
      </c>
      <c r="I2100">
        <f>IF(H2100="UNPAID", AsOfDate-D2100, 0)</f>
        <v/>
      </c>
      <c r="J2100">
        <f>IF(F2100&lt;&gt;"", TEXT(F2100, "yyyy-mm"), "")</f>
        <v/>
      </c>
    </row>
    <row r="2101">
      <c r="A2101" t="inlineStr">
        <is>
          <t>RP0002100</t>
        </is>
      </c>
      <c r="B2101" t="inlineStr">
        <is>
          <t>LN200303</t>
        </is>
      </c>
      <c r="C2101" t="n">
        <v>6</v>
      </c>
      <c r="D2101" s="8" t="n">
        <v>45879</v>
      </c>
      <c r="E2101" s="9" t="n">
        <v>36950.5</v>
      </c>
      <c r="F2101" s="8" t="n">
        <v>45882</v>
      </c>
      <c r="G2101" s="9" t="n">
        <v>36950.5</v>
      </c>
      <c r="H2101" t="inlineStr">
        <is>
          <t>PAID_ON_TIME</t>
        </is>
      </c>
      <c r="I2101">
        <f>IF(H2101="UNPAID", AsOfDate-D2101, 0)</f>
        <v/>
      </c>
      <c r="J2101">
        <f>IF(F2101&lt;&gt;"", TEXT(F2101, "yyyy-mm"), "")</f>
        <v/>
      </c>
    </row>
    <row r="2102">
      <c r="A2102" t="inlineStr">
        <is>
          <t>RP0002101</t>
        </is>
      </c>
      <c r="B2102" t="inlineStr">
        <is>
          <t>LN200304</t>
        </is>
      </c>
      <c r="C2102" t="n">
        <v>1</v>
      </c>
      <c r="D2102" s="8" t="n">
        <v>45697</v>
      </c>
      <c r="E2102" s="9" t="n">
        <v>52997.33</v>
      </c>
      <c r="F2102" s="8" t="n">
        <v>45695</v>
      </c>
      <c r="G2102" s="9" t="n">
        <v>52997.33</v>
      </c>
      <c r="H2102" t="inlineStr">
        <is>
          <t>PAID_ON_TIME</t>
        </is>
      </c>
      <c r="I2102">
        <f>IF(H2102="UNPAID", AsOfDate-D2102, 0)</f>
        <v/>
      </c>
      <c r="J2102">
        <f>IF(F2102&lt;&gt;"", TEXT(F2102, "yyyy-mm"), "")</f>
        <v/>
      </c>
    </row>
    <row r="2103">
      <c r="A2103" t="inlineStr">
        <is>
          <t>RP0002102</t>
        </is>
      </c>
      <c r="B2103" t="inlineStr">
        <is>
          <t>LN200304</t>
        </is>
      </c>
      <c r="C2103" t="n">
        <v>2</v>
      </c>
      <c r="D2103" s="8" t="n">
        <v>45725</v>
      </c>
      <c r="E2103" s="9" t="n">
        <v>52997.33</v>
      </c>
      <c r="F2103" s="8" t="n">
        <v>45724</v>
      </c>
      <c r="G2103" s="9" t="n">
        <v>52997.33</v>
      </c>
      <c r="H2103" t="inlineStr">
        <is>
          <t>PAID_ON_TIME</t>
        </is>
      </c>
      <c r="I2103">
        <f>IF(H2103="UNPAID", AsOfDate-D2103, 0)</f>
        <v/>
      </c>
      <c r="J2103">
        <f>IF(F2103&lt;&gt;"", TEXT(F2103, "yyyy-mm"), "")</f>
        <v/>
      </c>
    </row>
    <row r="2104">
      <c r="A2104" t="inlineStr">
        <is>
          <t>RP0002103</t>
        </is>
      </c>
      <c r="B2104" t="inlineStr">
        <is>
          <t>LN200304</t>
        </is>
      </c>
      <c r="C2104" t="n">
        <v>3</v>
      </c>
      <c r="D2104" s="8" t="n">
        <v>45756</v>
      </c>
      <c r="E2104" s="9" t="n">
        <v>52997.33</v>
      </c>
      <c r="F2104" s="8" t="n">
        <v>45756</v>
      </c>
      <c r="G2104" s="9" t="n">
        <v>52997.33</v>
      </c>
      <c r="H2104" t="inlineStr">
        <is>
          <t>PAID_ON_TIME</t>
        </is>
      </c>
      <c r="I2104">
        <f>IF(H2104="UNPAID", AsOfDate-D2104, 0)</f>
        <v/>
      </c>
      <c r="J2104">
        <f>IF(F2104&lt;&gt;"", TEXT(F2104, "yyyy-mm"), "")</f>
        <v/>
      </c>
    </row>
    <row r="2105">
      <c r="A2105" t="inlineStr">
        <is>
          <t>RP0002104</t>
        </is>
      </c>
      <c r="B2105" t="inlineStr">
        <is>
          <t>LN200305</t>
        </is>
      </c>
      <c r="C2105" t="n">
        <v>1</v>
      </c>
      <c r="D2105" s="8" t="n">
        <v>46158</v>
      </c>
      <c r="E2105" s="9" t="n">
        <v>31627.5</v>
      </c>
      <c r="F2105" s="8" t="n">
        <v>46156</v>
      </c>
      <c r="G2105" s="9" t="n">
        <v>31627.5</v>
      </c>
      <c r="H2105" t="inlineStr">
        <is>
          <t>PAID_ON_TIME</t>
        </is>
      </c>
      <c r="I2105">
        <f>IF(H2105="UNPAID", AsOfDate-D2105, 0)</f>
        <v/>
      </c>
      <c r="J2105">
        <f>IF(F2105&lt;&gt;"", TEXT(F2105, "yyyy-mm"), "")</f>
        <v/>
      </c>
    </row>
    <row r="2106">
      <c r="A2106" t="inlineStr">
        <is>
          <t>RP0002105</t>
        </is>
      </c>
      <c r="B2106" t="inlineStr">
        <is>
          <t>LN200305</t>
        </is>
      </c>
      <c r="C2106" t="n">
        <v>2</v>
      </c>
      <c r="D2106" s="8" t="n">
        <v>46189</v>
      </c>
      <c r="E2106" s="9" t="n">
        <v>31627.5</v>
      </c>
      <c r="F2106" s="8" t="n">
        <v>46192</v>
      </c>
      <c r="G2106" s="9" t="n">
        <v>31627.5</v>
      </c>
      <c r="H2106" t="inlineStr">
        <is>
          <t>PAID_ON_TIME</t>
        </is>
      </c>
      <c r="I2106">
        <f>IF(H2106="UNPAID", AsOfDate-D2106, 0)</f>
        <v/>
      </c>
      <c r="J2106">
        <f>IF(F2106&lt;&gt;"", TEXT(F2106, "yyyy-mm"), "")</f>
        <v/>
      </c>
    </row>
    <row r="2107">
      <c r="A2107" t="inlineStr">
        <is>
          <t>RP0002106</t>
        </is>
      </c>
      <c r="B2107" t="inlineStr">
        <is>
          <t>LN200305</t>
        </is>
      </c>
      <c r="C2107" t="n">
        <v>3</v>
      </c>
      <c r="D2107" s="8" t="n">
        <v>46219</v>
      </c>
      <c r="E2107" s="9" t="n">
        <v>31627.5</v>
      </c>
      <c r="F2107" s="8" t="n">
        <v>46222</v>
      </c>
      <c r="G2107" s="9" t="n">
        <v>31627.5</v>
      </c>
      <c r="H2107" t="inlineStr">
        <is>
          <t>PAID_ON_TIME</t>
        </is>
      </c>
      <c r="I2107">
        <f>IF(H2107="UNPAID", AsOfDate-D2107, 0)</f>
        <v/>
      </c>
      <c r="J2107">
        <f>IF(F2107&lt;&gt;"", TEXT(F2107, "yyyy-mm"), "")</f>
        <v/>
      </c>
    </row>
    <row r="2108">
      <c r="A2108" t="inlineStr">
        <is>
          <t>RP0002107</t>
        </is>
      </c>
      <c r="B2108" t="inlineStr">
        <is>
          <t>LN200306</t>
        </is>
      </c>
      <c r="C2108" t="n">
        <v>1</v>
      </c>
      <c r="D2108" s="8" t="n">
        <v>46198</v>
      </c>
      <c r="E2108" s="9" t="n">
        <v>5572.83</v>
      </c>
      <c r="F2108" s="8" t="n">
        <v>46244</v>
      </c>
      <c r="G2108" s="9" t="n">
        <v>5572.83</v>
      </c>
      <c r="H2108" t="inlineStr">
        <is>
          <t>PAID_LATE</t>
        </is>
      </c>
      <c r="I2108">
        <f>IF(H2108="UNPAID", AsOfDate-D2108, 0)</f>
        <v/>
      </c>
      <c r="J2108">
        <f>IF(F2108&lt;&gt;"", TEXT(F2108, "yyyy-mm"), "")</f>
        <v/>
      </c>
    </row>
    <row r="2109">
      <c r="A2109" t="inlineStr">
        <is>
          <t>RP0002108</t>
        </is>
      </c>
      <c r="B2109" t="inlineStr">
        <is>
          <t>LN200306</t>
        </is>
      </c>
      <c r="C2109" t="n">
        <v>2</v>
      </c>
      <c r="D2109" s="8" t="n">
        <v>46228</v>
      </c>
      <c r="E2109" s="9" t="n">
        <v>5572.83</v>
      </c>
      <c r="F2109" s="8" t="n">
        <v>46232</v>
      </c>
      <c r="G2109" s="9" t="n">
        <v>5572.83</v>
      </c>
      <c r="H2109" t="inlineStr">
        <is>
          <t>PAID_ON_TIME</t>
        </is>
      </c>
      <c r="I2109">
        <f>IF(H2109="UNPAID", AsOfDate-D2109, 0)</f>
        <v/>
      </c>
      <c r="J2109">
        <f>IF(F2109&lt;&gt;"", TEXT(F2109, "yyyy-mm"), "")</f>
        <v/>
      </c>
    </row>
    <row r="2110">
      <c r="A2110" t="inlineStr">
        <is>
          <t>RP0002109</t>
        </is>
      </c>
      <c r="B2110" t="inlineStr">
        <is>
          <t>LN200306</t>
        </is>
      </c>
      <c r="C2110" t="n">
        <v>3</v>
      </c>
      <c r="D2110" s="8" t="n">
        <v>46259</v>
      </c>
      <c r="E2110" s="9" t="n">
        <v>5572.83</v>
      </c>
      <c r="F2110" s="8" t="n">
        <v>46262</v>
      </c>
      <c r="G2110" s="9" t="n">
        <v>5572.83</v>
      </c>
      <c r="H2110" t="inlineStr">
        <is>
          <t>PAID_ON_TIME</t>
        </is>
      </c>
      <c r="I2110">
        <f>IF(H2110="UNPAID", AsOfDate-D2110, 0)</f>
        <v/>
      </c>
      <c r="J2110">
        <f>IF(F2110&lt;&gt;"", TEXT(F2110, "yyyy-mm"), "")</f>
        <v/>
      </c>
    </row>
    <row r="2111">
      <c r="A2111" t="inlineStr">
        <is>
          <t>RP0002110</t>
        </is>
      </c>
      <c r="B2111" t="inlineStr">
        <is>
          <t>LN200306</t>
        </is>
      </c>
      <c r="C2111" t="n">
        <v>4</v>
      </c>
      <c r="D2111" s="8" t="n">
        <v>46290</v>
      </c>
      <c r="E2111" s="9" t="n">
        <v>5572.83</v>
      </c>
      <c r="F2111" s="8" t="n"/>
      <c r="G2111" s="9" t="n">
        <v>0</v>
      </c>
      <c r="H2111" t="inlineStr">
        <is>
          <t>NOT_DUE</t>
        </is>
      </c>
      <c r="I2111">
        <f>IF(H2111="UNPAID", AsOfDate-D2111, 0)</f>
        <v/>
      </c>
      <c r="J2111">
        <f>IF(F2111&lt;&gt;"", TEXT(F2111, "yyyy-mm"), "")</f>
        <v/>
      </c>
    </row>
    <row r="2112">
      <c r="A2112" t="inlineStr">
        <is>
          <t>RP0002111</t>
        </is>
      </c>
      <c r="B2112" t="inlineStr">
        <is>
          <t>LN200306</t>
        </is>
      </c>
      <c r="C2112" t="n">
        <v>5</v>
      </c>
      <c r="D2112" s="8" t="n">
        <v>46320</v>
      </c>
      <c r="E2112" s="9" t="n">
        <v>5572.83</v>
      </c>
      <c r="F2112" s="8" t="n"/>
      <c r="G2112" s="9" t="n">
        <v>0</v>
      </c>
      <c r="H2112" t="inlineStr">
        <is>
          <t>NOT_DUE</t>
        </is>
      </c>
      <c r="I2112">
        <f>IF(H2112="UNPAID", AsOfDate-D2112, 0)</f>
        <v/>
      </c>
      <c r="J2112">
        <f>IF(F2112&lt;&gt;"", TEXT(F2112, "yyyy-mm"), "")</f>
        <v/>
      </c>
    </row>
    <row r="2113">
      <c r="A2113" t="inlineStr">
        <is>
          <t>RP0002112</t>
        </is>
      </c>
      <c r="B2113" t="inlineStr">
        <is>
          <t>LN200306</t>
        </is>
      </c>
      <c r="C2113" t="n">
        <v>6</v>
      </c>
      <c r="D2113" s="8" t="n">
        <v>46351</v>
      </c>
      <c r="E2113" s="9" t="n">
        <v>5572.83</v>
      </c>
      <c r="F2113" s="8" t="n"/>
      <c r="G2113" s="9" t="n">
        <v>0</v>
      </c>
      <c r="H2113" t="inlineStr">
        <is>
          <t>NOT_DUE</t>
        </is>
      </c>
      <c r="I2113">
        <f>IF(H2113="UNPAID", AsOfDate-D2113, 0)</f>
        <v/>
      </c>
      <c r="J2113">
        <f>IF(F2113&lt;&gt;"", TEXT(F2113, "yyyy-mm"), "")</f>
        <v/>
      </c>
    </row>
    <row r="2114">
      <c r="A2114" t="inlineStr">
        <is>
          <t>RP0002113</t>
        </is>
      </c>
      <c r="B2114" t="inlineStr">
        <is>
          <t>LN200306</t>
        </is>
      </c>
      <c r="C2114" t="n">
        <v>7</v>
      </c>
      <c r="D2114" s="8" t="n">
        <v>46381</v>
      </c>
      <c r="E2114" s="9" t="n">
        <v>5572.83</v>
      </c>
      <c r="F2114" s="8" t="n"/>
      <c r="G2114" s="9" t="n">
        <v>0</v>
      </c>
      <c r="H2114" t="inlineStr">
        <is>
          <t>NOT_DUE</t>
        </is>
      </c>
      <c r="I2114">
        <f>IF(H2114="UNPAID", AsOfDate-D2114, 0)</f>
        <v/>
      </c>
      <c r="J2114">
        <f>IF(F2114&lt;&gt;"", TEXT(F2114, "yyyy-mm"), "")</f>
        <v/>
      </c>
    </row>
    <row r="2115">
      <c r="A2115" t="inlineStr">
        <is>
          <t>RP0002114</t>
        </is>
      </c>
      <c r="B2115" t="inlineStr">
        <is>
          <t>LN200306</t>
        </is>
      </c>
      <c r="C2115" t="n">
        <v>8</v>
      </c>
      <c r="D2115" s="8" t="n">
        <v>46412</v>
      </c>
      <c r="E2115" s="9" t="n">
        <v>5572.83</v>
      </c>
      <c r="F2115" s="8" t="n"/>
      <c r="G2115" s="9" t="n">
        <v>0</v>
      </c>
      <c r="H2115" t="inlineStr">
        <is>
          <t>NOT_DUE</t>
        </is>
      </c>
      <c r="I2115">
        <f>IF(H2115="UNPAID", AsOfDate-D2115, 0)</f>
        <v/>
      </c>
      <c r="J2115">
        <f>IF(F2115&lt;&gt;"", TEXT(F2115, "yyyy-mm"), "")</f>
        <v/>
      </c>
    </row>
    <row r="2116">
      <c r="A2116" t="inlineStr">
        <is>
          <t>RP0002115</t>
        </is>
      </c>
      <c r="B2116" t="inlineStr">
        <is>
          <t>LN200306</t>
        </is>
      </c>
      <c r="C2116" t="n">
        <v>9</v>
      </c>
      <c r="D2116" s="8" t="n">
        <v>46443</v>
      </c>
      <c r="E2116" s="9" t="n">
        <v>5572.83</v>
      </c>
      <c r="F2116" s="8" t="n"/>
      <c r="G2116" s="9" t="n">
        <v>0</v>
      </c>
      <c r="H2116" t="inlineStr">
        <is>
          <t>NOT_DUE</t>
        </is>
      </c>
      <c r="I2116">
        <f>IF(H2116="UNPAID", AsOfDate-D2116, 0)</f>
        <v/>
      </c>
      <c r="J2116">
        <f>IF(F2116&lt;&gt;"", TEXT(F2116, "yyyy-mm"), "")</f>
        <v/>
      </c>
    </row>
    <row r="2117">
      <c r="A2117" t="inlineStr">
        <is>
          <t>RP0002116</t>
        </is>
      </c>
      <c r="B2117" t="inlineStr">
        <is>
          <t>LN200306</t>
        </is>
      </c>
      <c r="C2117" t="n">
        <v>10</v>
      </c>
      <c r="D2117" s="8" t="n">
        <v>46471</v>
      </c>
      <c r="E2117" s="9" t="n">
        <v>5572.83</v>
      </c>
      <c r="F2117" s="8" t="n"/>
      <c r="G2117" s="9" t="n">
        <v>0</v>
      </c>
      <c r="H2117" t="inlineStr">
        <is>
          <t>NOT_DUE</t>
        </is>
      </c>
      <c r="I2117">
        <f>IF(H2117="UNPAID", AsOfDate-D2117, 0)</f>
        <v/>
      </c>
      <c r="J2117">
        <f>IF(F2117&lt;&gt;"", TEXT(F2117, "yyyy-mm"), "")</f>
        <v/>
      </c>
    </row>
    <row r="2118">
      <c r="A2118" t="inlineStr">
        <is>
          <t>RP0002117</t>
        </is>
      </c>
      <c r="B2118" t="inlineStr">
        <is>
          <t>LN200306</t>
        </is>
      </c>
      <c r="C2118" t="n">
        <v>11</v>
      </c>
      <c r="D2118" s="8" t="n">
        <v>46502</v>
      </c>
      <c r="E2118" s="9" t="n">
        <v>5572.83</v>
      </c>
      <c r="F2118" s="8" t="n"/>
      <c r="G2118" s="9" t="n">
        <v>0</v>
      </c>
      <c r="H2118" t="inlineStr">
        <is>
          <t>NOT_DUE</t>
        </is>
      </c>
      <c r="I2118">
        <f>IF(H2118="UNPAID", AsOfDate-D2118, 0)</f>
        <v/>
      </c>
      <c r="J2118">
        <f>IF(F2118&lt;&gt;"", TEXT(F2118, "yyyy-mm"), "")</f>
        <v/>
      </c>
    </row>
    <row r="2119">
      <c r="A2119" t="inlineStr">
        <is>
          <t>RP0002118</t>
        </is>
      </c>
      <c r="B2119" t="inlineStr">
        <is>
          <t>LN200306</t>
        </is>
      </c>
      <c r="C2119" t="n">
        <v>12</v>
      </c>
      <c r="D2119" s="8" t="n">
        <v>46532</v>
      </c>
      <c r="E2119" s="9" t="n">
        <v>5572.83</v>
      </c>
      <c r="F2119" s="8" t="n"/>
      <c r="G2119" s="9" t="n">
        <v>0</v>
      </c>
      <c r="H2119" t="inlineStr">
        <is>
          <t>NOT_DUE</t>
        </is>
      </c>
      <c r="I2119">
        <f>IF(H2119="UNPAID", AsOfDate-D2119, 0)</f>
        <v/>
      </c>
      <c r="J2119">
        <f>IF(F2119&lt;&gt;"", TEXT(F2119, "yyyy-mm"), "")</f>
        <v/>
      </c>
    </row>
    <row r="2120">
      <c r="A2120" t="inlineStr">
        <is>
          <t>RP0002119</t>
        </is>
      </c>
      <c r="B2120" t="inlineStr">
        <is>
          <t>LN200308</t>
        </is>
      </c>
      <c r="C2120" t="n">
        <v>1</v>
      </c>
      <c r="D2120" s="8" t="n">
        <v>45878</v>
      </c>
      <c r="E2120" s="9" t="n">
        <v>2902.42</v>
      </c>
      <c r="F2120" s="8" t="n">
        <v>45881</v>
      </c>
      <c r="G2120" s="9" t="n">
        <v>2902.42</v>
      </c>
      <c r="H2120" t="inlineStr">
        <is>
          <t>PAID_ON_TIME</t>
        </is>
      </c>
      <c r="I2120">
        <f>IF(H2120="UNPAID", AsOfDate-D2120, 0)</f>
        <v/>
      </c>
      <c r="J2120">
        <f>IF(F2120&lt;&gt;"", TEXT(F2120, "yyyy-mm"), "")</f>
        <v/>
      </c>
    </row>
    <row r="2121">
      <c r="A2121" t="inlineStr">
        <is>
          <t>RP0002120</t>
        </is>
      </c>
      <c r="B2121" t="inlineStr">
        <is>
          <t>LN200308</t>
        </is>
      </c>
      <c r="C2121" t="n">
        <v>2</v>
      </c>
      <c r="D2121" s="8" t="n">
        <v>45909</v>
      </c>
      <c r="E2121" s="9" t="n">
        <v>2902.42</v>
      </c>
      <c r="F2121" s="8" t="n">
        <v>45912</v>
      </c>
      <c r="G2121" s="9" t="n">
        <v>2902.42</v>
      </c>
      <c r="H2121" t="inlineStr">
        <is>
          <t>PAID_ON_TIME</t>
        </is>
      </c>
      <c r="I2121">
        <f>IF(H2121="UNPAID", AsOfDate-D2121, 0)</f>
        <v/>
      </c>
      <c r="J2121">
        <f>IF(F2121&lt;&gt;"", TEXT(F2121, "yyyy-mm"), "")</f>
        <v/>
      </c>
    </row>
    <row r="2122">
      <c r="A2122" t="inlineStr">
        <is>
          <t>RP0002121</t>
        </is>
      </c>
      <c r="B2122" t="inlineStr">
        <is>
          <t>LN200308</t>
        </is>
      </c>
      <c r="C2122" t="n">
        <v>3</v>
      </c>
      <c r="D2122" s="8" t="n">
        <v>45939</v>
      </c>
      <c r="E2122" s="9" t="n">
        <v>2902.42</v>
      </c>
      <c r="F2122" s="8" t="n">
        <v>45941</v>
      </c>
      <c r="G2122" s="9" t="n">
        <v>2902.42</v>
      </c>
      <c r="H2122" t="inlineStr">
        <is>
          <t>PAID_ON_TIME</t>
        </is>
      </c>
      <c r="I2122">
        <f>IF(H2122="UNPAID", AsOfDate-D2122, 0)</f>
        <v/>
      </c>
      <c r="J2122">
        <f>IF(F2122&lt;&gt;"", TEXT(F2122, "yyyy-mm"), "")</f>
        <v/>
      </c>
    </row>
    <row r="2123">
      <c r="A2123" t="inlineStr">
        <is>
          <t>RP0002122</t>
        </is>
      </c>
      <c r="B2123" t="inlineStr">
        <is>
          <t>LN200308</t>
        </is>
      </c>
      <c r="C2123" t="n">
        <v>4</v>
      </c>
      <c r="D2123" s="8" t="n">
        <v>45970</v>
      </c>
      <c r="E2123" s="9" t="n">
        <v>2902.42</v>
      </c>
      <c r="F2123" s="8" t="n">
        <v>45970</v>
      </c>
      <c r="G2123" s="9" t="n">
        <v>2902.42</v>
      </c>
      <c r="H2123" t="inlineStr">
        <is>
          <t>PAID_ON_TIME</t>
        </is>
      </c>
      <c r="I2123">
        <f>IF(H2123="UNPAID", AsOfDate-D2123, 0)</f>
        <v/>
      </c>
      <c r="J2123">
        <f>IF(F2123&lt;&gt;"", TEXT(F2123, "yyyy-mm"), "")</f>
        <v/>
      </c>
    </row>
    <row r="2124">
      <c r="A2124" t="inlineStr">
        <is>
          <t>RP0002123</t>
        </is>
      </c>
      <c r="B2124" t="inlineStr">
        <is>
          <t>LN200308</t>
        </is>
      </c>
      <c r="C2124" t="n">
        <v>5</v>
      </c>
      <c r="D2124" s="8" t="n">
        <v>46000</v>
      </c>
      <c r="E2124" s="9" t="n">
        <v>2902.42</v>
      </c>
      <c r="F2124" s="8" t="n">
        <v>45999</v>
      </c>
      <c r="G2124" s="9" t="n">
        <v>2902.42</v>
      </c>
      <c r="H2124" t="inlineStr">
        <is>
          <t>PAID_ON_TIME</t>
        </is>
      </c>
      <c r="I2124">
        <f>IF(H2124="UNPAID", AsOfDate-D2124, 0)</f>
        <v/>
      </c>
      <c r="J2124">
        <f>IF(F2124&lt;&gt;"", TEXT(F2124, "yyyy-mm"), "")</f>
        <v/>
      </c>
    </row>
    <row r="2125">
      <c r="A2125" t="inlineStr">
        <is>
          <t>RP0002124</t>
        </is>
      </c>
      <c r="B2125" t="inlineStr">
        <is>
          <t>LN200308</t>
        </is>
      </c>
      <c r="C2125" t="n">
        <v>6</v>
      </c>
      <c r="D2125" s="8" t="n">
        <v>46031</v>
      </c>
      <c r="E2125" s="9" t="n">
        <v>2902.42</v>
      </c>
      <c r="F2125" s="8" t="n">
        <v>46035</v>
      </c>
      <c r="G2125" s="9" t="n">
        <v>2902.42</v>
      </c>
      <c r="H2125" t="inlineStr">
        <is>
          <t>PAID_ON_TIME</t>
        </is>
      </c>
      <c r="I2125">
        <f>IF(H2125="UNPAID", AsOfDate-D2125, 0)</f>
        <v/>
      </c>
      <c r="J2125">
        <f>IF(F2125&lt;&gt;"", TEXT(F2125, "yyyy-mm"), "")</f>
        <v/>
      </c>
    </row>
    <row r="2126">
      <c r="A2126" t="inlineStr">
        <is>
          <t>RP0002125</t>
        </is>
      </c>
      <c r="B2126" t="inlineStr">
        <is>
          <t>LN200308</t>
        </is>
      </c>
      <c r="C2126" t="n">
        <v>7</v>
      </c>
      <c r="D2126" s="8" t="n">
        <v>46062</v>
      </c>
      <c r="E2126" s="9" t="n">
        <v>2902.42</v>
      </c>
      <c r="F2126" s="8" t="n">
        <v>46066</v>
      </c>
      <c r="G2126" s="9" t="n">
        <v>2902.42</v>
      </c>
      <c r="H2126" t="inlineStr">
        <is>
          <t>PAID_ON_TIME</t>
        </is>
      </c>
      <c r="I2126">
        <f>IF(H2126="UNPAID", AsOfDate-D2126, 0)</f>
        <v/>
      </c>
      <c r="J2126">
        <f>IF(F2126&lt;&gt;"", TEXT(F2126, "yyyy-mm"), "")</f>
        <v/>
      </c>
    </row>
    <row r="2127">
      <c r="A2127" t="inlineStr">
        <is>
          <t>RP0002126</t>
        </is>
      </c>
      <c r="B2127" t="inlineStr">
        <is>
          <t>LN200308</t>
        </is>
      </c>
      <c r="C2127" t="n">
        <v>8</v>
      </c>
      <c r="D2127" s="8" t="n">
        <v>46090</v>
      </c>
      <c r="E2127" s="9" t="n">
        <v>2902.42</v>
      </c>
      <c r="F2127" s="8" t="n">
        <v>46088</v>
      </c>
      <c r="G2127" s="9" t="n">
        <v>2902.42</v>
      </c>
      <c r="H2127" t="inlineStr">
        <is>
          <t>PAID_ON_TIME</t>
        </is>
      </c>
      <c r="I2127">
        <f>IF(H2127="UNPAID", AsOfDate-D2127, 0)</f>
        <v/>
      </c>
      <c r="J2127">
        <f>IF(F2127&lt;&gt;"", TEXT(F2127, "yyyy-mm"), "")</f>
        <v/>
      </c>
    </row>
    <row r="2128">
      <c r="A2128" t="inlineStr">
        <is>
          <t>RP0002127</t>
        </is>
      </c>
      <c r="B2128" t="inlineStr">
        <is>
          <t>LN200308</t>
        </is>
      </c>
      <c r="C2128" t="n">
        <v>9</v>
      </c>
      <c r="D2128" s="8" t="n">
        <v>46121</v>
      </c>
      <c r="E2128" s="9" t="n">
        <v>2902.42</v>
      </c>
      <c r="F2128" s="8" t="n"/>
      <c r="G2128" s="9" t="n">
        <v>0</v>
      </c>
      <c r="H2128" t="inlineStr">
        <is>
          <t>UNPAID</t>
        </is>
      </c>
      <c r="I2128">
        <f>IF(H2128="UNPAID", AsOfDate-D2128, 0)</f>
        <v/>
      </c>
      <c r="J2128">
        <f>IF(F2128&lt;&gt;"", TEXT(F2128, "yyyy-mm"), "")</f>
        <v/>
      </c>
    </row>
    <row r="2129">
      <c r="A2129" t="inlineStr">
        <is>
          <t>RP0002128</t>
        </is>
      </c>
      <c r="B2129" t="inlineStr">
        <is>
          <t>LN200308</t>
        </is>
      </c>
      <c r="C2129" t="n">
        <v>10</v>
      </c>
      <c r="D2129" s="8" t="n">
        <v>46151</v>
      </c>
      <c r="E2129" s="9" t="n">
        <v>2902.42</v>
      </c>
      <c r="F2129" s="8" t="n">
        <v>46153</v>
      </c>
      <c r="G2129" s="9" t="n">
        <v>2902.42</v>
      </c>
      <c r="H2129" t="inlineStr">
        <is>
          <t>PAID_ON_TIME</t>
        </is>
      </c>
      <c r="I2129">
        <f>IF(H2129="UNPAID", AsOfDate-D2129, 0)</f>
        <v/>
      </c>
      <c r="J2129">
        <f>IF(F2129&lt;&gt;"", TEXT(F2129, "yyyy-mm"), "")</f>
        <v/>
      </c>
    </row>
    <row r="2130">
      <c r="A2130" t="inlineStr">
        <is>
          <t>RP0002129</t>
        </is>
      </c>
      <c r="B2130" t="inlineStr">
        <is>
          <t>LN200308</t>
        </is>
      </c>
      <c r="C2130" t="n">
        <v>11</v>
      </c>
      <c r="D2130" s="8" t="n">
        <v>46182</v>
      </c>
      <c r="E2130" s="9" t="n">
        <v>2902.42</v>
      </c>
      <c r="F2130" s="8" t="n">
        <v>46179</v>
      </c>
      <c r="G2130" s="9" t="n">
        <v>2902.42</v>
      </c>
      <c r="H2130" t="inlineStr">
        <is>
          <t>PAID_ON_TIME</t>
        </is>
      </c>
      <c r="I2130">
        <f>IF(H2130="UNPAID", AsOfDate-D2130, 0)</f>
        <v/>
      </c>
      <c r="J2130">
        <f>IF(F2130&lt;&gt;"", TEXT(F2130, "yyyy-mm"), "")</f>
        <v/>
      </c>
    </row>
    <row r="2131">
      <c r="A2131" t="inlineStr">
        <is>
          <t>RP0002130</t>
        </is>
      </c>
      <c r="B2131" t="inlineStr">
        <is>
          <t>LN200308</t>
        </is>
      </c>
      <c r="C2131" t="n">
        <v>12</v>
      </c>
      <c r="D2131" s="8" t="n">
        <v>46212</v>
      </c>
      <c r="E2131" s="9" t="n">
        <v>2902.42</v>
      </c>
      <c r="F2131" s="8" t="n">
        <v>46215</v>
      </c>
      <c r="G2131" s="9" t="n">
        <v>2902.42</v>
      </c>
      <c r="H2131" t="inlineStr">
        <is>
          <t>PAID_ON_TIME</t>
        </is>
      </c>
      <c r="I2131">
        <f>IF(H2131="UNPAID", AsOfDate-D2131, 0)</f>
        <v/>
      </c>
      <c r="J2131">
        <f>IF(F2131&lt;&gt;"", TEXT(F2131, "yyyy-mm"), "")</f>
        <v/>
      </c>
    </row>
    <row r="2132">
      <c r="A2132" t="inlineStr">
        <is>
          <t>RP0002131</t>
        </is>
      </c>
      <c r="B2132" t="inlineStr">
        <is>
          <t>LN200309</t>
        </is>
      </c>
      <c r="C2132" t="n">
        <v>1</v>
      </c>
      <c r="D2132" s="8" t="n">
        <v>45840</v>
      </c>
      <c r="E2132" s="9" t="n">
        <v>22484.58</v>
      </c>
      <c r="F2132" s="8" t="n">
        <v>45889</v>
      </c>
      <c r="G2132" s="9" t="n">
        <v>22484.58</v>
      </c>
      <c r="H2132" t="inlineStr">
        <is>
          <t>PAID_LATE</t>
        </is>
      </c>
      <c r="I2132">
        <f>IF(H2132="UNPAID", AsOfDate-D2132, 0)</f>
        <v/>
      </c>
      <c r="J2132">
        <f>IF(F2132&lt;&gt;"", TEXT(F2132, "yyyy-mm"), "")</f>
        <v/>
      </c>
    </row>
    <row r="2133">
      <c r="A2133" t="inlineStr">
        <is>
          <t>RP0002132</t>
        </is>
      </c>
      <c r="B2133" t="inlineStr">
        <is>
          <t>LN200309</t>
        </is>
      </c>
      <c r="C2133" t="n">
        <v>2</v>
      </c>
      <c r="D2133" s="8" t="n">
        <v>45871</v>
      </c>
      <c r="E2133" s="9" t="n">
        <v>22484.58</v>
      </c>
      <c r="F2133" s="8" t="n">
        <v>45868</v>
      </c>
      <c r="G2133" s="9" t="n">
        <v>22484.58</v>
      </c>
      <c r="H2133" t="inlineStr">
        <is>
          <t>PAID_ON_TIME</t>
        </is>
      </c>
      <c r="I2133">
        <f>IF(H2133="UNPAID", AsOfDate-D2133, 0)</f>
        <v/>
      </c>
      <c r="J2133">
        <f>IF(F2133&lt;&gt;"", TEXT(F2133, "yyyy-mm"), "")</f>
        <v/>
      </c>
    </row>
    <row r="2134">
      <c r="A2134" t="inlineStr">
        <is>
          <t>RP0002133</t>
        </is>
      </c>
      <c r="B2134" t="inlineStr">
        <is>
          <t>LN200309</t>
        </is>
      </c>
      <c r="C2134" t="n">
        <v>3</v>
      </c>
      <c r="D2134" s="8" t="n">
        <v>45902</v>
      </c>
      <c r="E2134" s="9" t="n">
        <v>22484.58</v>
      </c>
      <c r="F2134" s="8" t="n">
        <v>45903</v>
      </c>
      <c r="G2134" s="9" t="n">
        <v>22484.58</v>
      </c>
      <c r="H2134" t="inlineStr">
        <is>
          <t>PAID_ON_TIME</t>
        </is>
      </c>
      <c r="I2134">
        <f>IF(H2134="UNPAID", AsOfDate-D2134, 0)</f>
        <v/>
      </c>
      <c r="J2134">
        <f>IF(F2134&lt;&gt;"", TEXT(F2134, "yyyy-mm"), "")</f>
        <v/>
      </c>
    </row>
    <row r="2135">
      <c r="A2135" t="inlineStr">
        <is>
          <t>RP0002134</t>
        </is>
      </c>
      <c r="B2135" t="inlineStr">
        <is>
          <t>LN200310</t>
        </is>
      </c>
      <c r="C2135" t="n">
        <v>1</v>
      </c>
      <c r="D2135" s="8" t="n">
        <v>46018</v>
      </c>
      <c r="E2135" s="9" t="n">
        <v>8835.559999999999</v>
      </c>
      <c r="F2135" s="8" t="n">
        <v>46017</v>
      </c>
      <c r="G2135" s="9" t="n">
        <v>8835.559999999999</v>
      </c>
      <c r="H2135" t="inlineStr">
        <is>
          <t>PAID_ON_TIME</t>
        </is>
      </c>
      <c r="I2135">
        <f>IF(H2135="UNPAID", AsOfDate-D2135, 0)</f>
        <v/>
      </c>
      <c r="J2135">
        <f>IF(F2135&lt;&gt;"", TEXT(F2135, "yyyy-mm"), "")</f>
        <v/>
      </c>
    </row>
    <row r="2136">
      <c r="A2136" t="inlineStr">
        <is>
          <t>RP0002135</t>
        </is>
      </c>
      <c r="B2136" t="inlineStr">
        <is>
          <t>LN200310</t>
        </is>
      </c>
      <c r="C2136" t="n">
        <v>2</v>
      </c>
      <c r="D2136" s="8" t="n">
        <v>46049</v>
      </c>
      <c r="E2136" s="9" t="n">
        <v>8835.559999999999</v>
      </c>
      <c r="F2136" s="8" t="n">
        <v>46051</v>
      </c>
      <c r="G2136" s="9" t="n">
        <v>8835.559999999999</v>
      </c>
      <c r="H2136" t="inlineStr">
        <is>
          <t>PAID_ON_TIME</t>
        </is>
      </c>
      <c r="I2136">
        <f>IF(H2136="UNPAID", AsOfDate-D2136, 0)</f>
        <v/>
      </c>
      <c r="J2136">
        <f>IF(F2136&lt;&gt;"", TEXT(F2136, "yyyy-mm"), "")</f>
        <v/>
      </c>
    </row>
    <row r="2137">
      <c r="A2137" t="inlineStr">
        <is>
          <t>RP0002136</t>
        </is>
      </c>
      <c r="B2137" t="inlineStr">
        <is>
          <t>LN200310</t>
        </is>
      </c>
      <c r="C2137" t="n">
        <v>3</v>
      </c>
      <c r="D2137" s="8" t="n">
        <v>46080</v>
      </c>
      <c r="E2137" s="9" t="n">
        <v>8835.559999999999</v>
      </c>
      <c r="F2137" s="8" t="n">
        <v>46078</v>
      </c>
      <c r="G2137" s="9" t="n">
        <v>8835.559999999999</v>
      </c>
      <c r="H2137" t="inlineStr">
        <is>
          <t>PAID_ON_TIME</t>
        </is>
      </c>
      <c r="I2137">
        <f>IF(H2137="UNPAID", AsOfDate-D2137, 0)</f>
        <v/>
      </c>
      <c r="J2137">
        <f>IF(F2137&lt;&gt;"", TEXT(F2137, "yyyy-mm"), "")</f>
        <v/>
      </c>
    </row>
    <row r="2138">
      <c r="A2138" t="inlineStr">
        <is>
          <t>RP0002137</t>
        </is>
      </c>
      <c r="B2138" t="inlineStr">
        <is>
          <t>LN200310</t>
        </is>
      </c>
      <c r="C2138" t="n">
        <v>4</v>
      </c>
      <c r="D2138" s="8" t="n">
        <v>46108</v>
      </c>
      <c r="E2138" s="9" t="n">
        <v>8835.559999999999</v>
      </c>
      <c r="F2138" s="8" t="n">
        <v>46111</v>
      </c>
      <c r="G2138" s="9" t="n">
        <v>8835.559999999999</v>
      </c>
      <c r="H2138" t="inlineStr">
        <is>
          <t>PAID_ON_TIME</t>
        </is>
      </c>
      <c r="I2138">
        <f>IF(H2138="UNPAID", AsOfDate-D2138, 0)</f>
        <v/>
      </c>
      <c r="J2138">
        <f>IF(F2138&lt;&gt;"", TEXT(F2138, "yyyy-mm"), "")</f>
        <v/>
      </c>
    </row>
    <row r="2139">
      <c r="A2139" t="inlineStr">
        <is>
          <t>RP0002138</t>
        </is>
      </c>
      <c r="B2139" t="inlineStr">
        <is>
          <t>LN200310</t>
        </is>
      </c>
      <c r="C2139" t="n">
        <v>5</v>
      </c>
      <c r="D2139" s="8" t="n">
        <v>46139</v>
      </c>
      <c r="E2139" s="9" t="n">
        <v>8835.559999999999</v>
      </c>
      <c r="F2139" s="8" t="n">
        <v>46136</v>
      </c>
      <c r="G2139" s="9" t="n">
        <v>8835.559999999999</v>
      </c>
      <c r="H2139" t="inlineStr">
        <is>
          <t>PAID_ON_TIME</t>
        </is>
      </c>
      <c r="I2139">
        <f>IF(H2139="UNPAID", AsOfDate-D2139, 0)</f>
        <v/>
      </c>
      <c r="J2139">
        <f>IF(F2139&lt;&gt;"", TEXT(F2139, "yyyy-mm"), "")</f>
        <v/>
      </c>
    </row>
    <row r="2140">
      <c r="A2140" t="inlineStr">
        <is>
          <t>RP0002139</t>
        </is>
      </c>
      <c r="B2140" t="inlineStr">
        <is>
          <t>LN200310</t>
        </is>
      </c>
      <c r="C2140" t="n">
        <v>6</v>
      </c>
      <c r="D2140" s="8" t="n">
        <v>46169</v>
      </c>
      <c r="E2140" s="9" t="n">
        <v>8835.559999999999</v>
      </c>
      <c r="F2140" s="8" t="n">
        <v>46172</v>
      </c>
      <c r="G2140" s="9" t="n">
        <v>8835.559999999999</v>
      </c>
      <c r="H2140" t="inlineStr">
        <is>
          <t>PAID_ON_TIME</t>
        </is>
      </c>
      <c r="I2140">
        <f>IF(H2140="UNPAID", AsOfDate-D2140, 0)</f>
        <v/>
      </c>
      <c r="J2140">
        <f>IF(F2140&lt;&gt;"", TEXT(F2140, "yyyy-mm"), "")</f>
        <v/>
      </c>
    </row>
    <row r="2141">
      <c r="A2141" t="inlineStr">
        <is>
          <t>RP0002140</t>
        </is>
      </c>
      <c r="B2141" t="inlineStr">
        <is>
          <t>LN200310</t>
        </is>
      </c>
      <c r="C2141" t="n">
        <v>7</v>
      </c>
      <c r="D2141" s="8" t="n">
        <v>46200</v>
      </c>
      <c r="E2141" s="9" t="n">
        <v>8835.559999999999</v>
      </c>
      <c r="F2141" s="8" t="n">
        <v>46199</v>
      </c>
      <c r="G2141" s="9" t="n">
        <v>8835.559999999999</v>
      </c>
      <c r="H2141" t="inlineStr">
        <is>
          <t>PAID_ON_TIME</t>
        </is>
      </c>
      <c r="I2141">
        <f>IF(H2141="UNPAID", AsOfDate-D2141, 0)</f>
        <v/>
      </c>
      <c r="J2141">
        <f>IF(F2141&lt;&gt;"", TEXT(F2141, "yyyy-mm"), "")</f>
        <v/>
      </c>
    </row>
    <row r="2142">
      <c r="A2142" t="inlineStr">
        <is>
          <t>RP0002141</t>
        </is>
      </c>
      <c r="B2142" t="inlineStr">
        <is>
          <t>LN200310</t>
        </is>
      </c>
      <c r="C2142" t="n">
        <v>8</v>
      </c>
      <c r="D2142" s="8" t="n">
        <v>46230</v>
      </c>
      <c r="E2142" s="9" t="n">
        <v>8835.559999999999</v>
      </c>
      <c r="F2142" s="8" t="n">
        <v>46233</v>
      </c>
      <c r="G2142" s="9" t="n">
        <v>8835.559999999999</v>
      </c>
      <c r="H2142" t="inlineStr">
        <is>
          <t>PAID_ON_TIME</t>
        </is>
      </c>
      <c r="I2142">
        <f>IF(H2142="UNPAID", AsOfDate-D2142, 0)</f>
        <v/>
      </c>
      <c r="J2142">
        <f>IF(F2142&lt;&gt;"", TEXT(F2142, "yyyy-mm"), "")</f>
        <v/>
      </c>
    </row>
    <row r="2143">
      <c r="A2143" t="inlineStr">
        <is>
          <t>RP0002142</t>
        </is>
      </c>
      <c r="B2143" t="inlineStr">
        <is>
          <t>LN200310</t>
        </is>
      </c>
      <c r="C2143" t="n">
        <v>9</v>
      </c>
      <c r="D2143" s="8" t="n">
        <v>46261</v>
      </c>
      <c r="E2143" s="9" t="n">
        <v>8835.559999999999</v>
      </c>
      <c r="F2143" s="8" t="n"/>
      <c r="G2143" s="9" t="n">
        <v>0</v>
      </c>
      <c r="H2143" t="inlineStr">
        <is>
          <t>UNPAID</t>
        </is>
      </c>
      <c r="I2143">
        <f>IF(H2143="UNPAID", AsOfDate-D2143, 0)</f>
        <v/>
      </c>
      <c r="J2143">
        <f>IF(F2143&lt;&gt;"", TEXT(F2143, "yyyy-mm"), "")</f>
        <v/>
      </c>
    </row>
    <row r="2144">
      <c r="A2144" t="inlineStr">
        <is>
          <t>RP0002143</t>
        </is>
      </c>
      <c r="B2144" t="inlineStr">
        <is>
          <t>LN200311</t>
        </is>
      </c>
      <c r="C2144" t="n">
        <v>1</v>
      </c>
      <c r="D2144" s="8" t="n">
        <v>45774</v>
      </c>
      <c r="E2144" s="9" t="n">
        <v>8540.67</v>
      </c>
      <c r="F2144" s="8" t="n">
        <v>45773</v>
      </c>
      <c r="G2144" s="9" t="n">
        <v>8540.67</v>
      </c>
      <c r="H2144" t="inlineStr">
        <is>
          <t>PAID_ON_TIME</t>
        </is>
      </c>
      <c r="I2144">
        <f>IF(H2144="UNPAID", AsOfDate-D2144, 0)</f>
        <v/>
      </c>
      <c r="J2144">
        <f>IF(F2144&lt;&gt;"", TEXT(F2144, "yyyy-mm"), "")</f>
        <v/>
      </c>
    </row>
    <row r="2145">
      <c r="A2145" t="inlineStr">
        <is>
          <t>RP0002144</t>
        </is>
      </c>
      <c r="B2145" t="inlineStr">
        <is>
          <t>LN200311</t>
        </is>
      </c>
      <c r="C2145" t="n">
        <v>2</v>
      </c>
      <c r="D2145" s="8" t="n">
        <v>45804</v>
      </c>
      <c r="E2145" s="9" t="n">
        <v>8540.67</v>
      </c>
      <c r="F2145" s="8" t="n">
        <v>45883</v>
      </c>
      <c r="G2145" s="9" t="n">
        <v>8540.67</v>
      </c>
      <c r="H2145" t="inlineStr">
        <is>
          <t>PAID_LATE</t>
        </is>
      </c>
      <c r="I2145">
        <f>IF(H2145="UNPAID", AsOfDate-D2145, 0)</f>
        <v/>
      </c>
      <c r="J2145">
        <f>IF(F2145&lt;&gt;"", TEXT(F2145, "yyyy-mm"), "")</f>
        <v/>
      </c>
    </row>
    <row r="2146">
      <c r="A2146" t="inlineStr">
        <is>
          <t>RP0002145</t>
        </is>
      </c>
      <c r="B2146" t="inlineStr">
        <is>
          <t>LN200311</t>
        </is>
      </c>
      <c r="C2146" t="n">
        <v>3</v>
      </c>
      <c r="D2146" s="8" t="n">
        <v>45835</v>
      </c>
      <c r="E2146" s="9" t="n">
        <v>8540.67</v>
      </c>
      <c r="F2146" s="8" t="n">
        <v>45836</v>
      </c>
      <c r="G2146" s="9" t="n">
        <v>8540.67</v>
      </c>
      <c r="H2146" t="inlineStr">
        <is>
          <t>PAID_ON_TIME</t>
        </is>
      </c>
      <c r="I2146">
        <f>IF(H2146="UNPAID", AsOfDate-D2146, 0)</f>
        <v/>
      </c>
      <c r="J2146">
        <f>IF(F2146&lt;&gt;"", TEXT(F2146, "yyyy-mm"), "")</f>
        <v/>
      </c>
    </row>
    <row r="2147">
      <c r="A2147" t="inlineStr">
        <is>
          <t>RP0002146</t>
        </is>
      </c>
      <c r="B2147" t="inlineStr">
        <is>
          <t>LN200311</t>
        </is>
      </c>
      <c r="C2147" t="n">
        <v>4</v>
      </c>
      <c r="D2147" s="8" t="n">
        <v>45865</v>
      </c>
      <c r="E2147" s="9" t="n">
        <v>8540.67</v>
      </c>
      <c r="F2147" s="8" t="n">
        <v>45868</v>
      </c>
      <c r="G2147" s="9" t="n">
        <v>8540.67</v>
      </c>
      <c r="H2147" t="inlineStr">
        <is>
          <t>PAID_ON_TIME</t>
        </is>
      </c>
      <c r="I2147">
        <f>IF(H2147="UNPAID", AsOfDate-D2147, 0)</f>
        <v/>
      </c>
      <c r="J2147">
        <f>IF(F2147&lt;&gt;"", TEXT(F2147, "yyyy-mm"), "")</f>
        <v/>
      </c>
    </row>
    <row r="2148">
      <c r="A2148" t="inlineStr">
        <is>
          <t>RP0002147</t>
        </is>
      </c>
      <c r="B2148" t="inlineStr">
        <is>
          <t>LN200311</t>
        </is>
      </c>
      <c r="C2148" t="n">
        <v>5</v>
      </c>
      <c r="D2148" s="8" t="n">
        <v>45896</v>
      </c>
      <c r="E2148" s="9" t="n">
        <v>8540.67</v>
      </c>
      <c r="F2148" s="8" t="n"/>
      <c r="G2148" s="9" t="n">
        <v>0</v>
      </c>
      <c r="H2148" t="inlineStr">
        <is>
          <t>UNPAID</t>
        </is>
      </c>
      <c r="I2148">
        <f>IF(H2148="UNPAID", AsOfDate-D2148, 0)</f>
        <v/>
      </c>
      <c r="J2148">
        <f>IF(F2148&lt;&gt;"", TEXT(F2148, "yyyy-mm"), "")</f>
        <v/>
      </c>
    </row>
    <row r="2149">
      <c r="A2149" t="inlineStr">
        <is>
          <t>RP0002148</t>
        </is>
      </c>
      <c r="B2149" t="inlineStr">
        <is>
          <t>LN200311</t>
        </is>
      </c>
      <c r="C2149" t="n">
        <v>6</v>
      </c>
      <c r="D2149" s="8" t="n">
        <v>45927</v>
      </c>
      <c r="E2149" s="9" t="n">
        <v>8540.67</v>
      </c>
      <c r="F2149" s="8" t="n">
        <v>45930</v>
      </c>
      <c r="G2149" s="9" t="n">
        <v>8540.67</v>
      </c>
      <c r="H2149" t="inlineStr">
        <is>
          <t>PAID_ON_TIME</t>
        </is>
      </c>
      <c r="I2149">
        <f>IF(H2149="UNPAID", AsOfDate-D2149, 0)</f>
        <v/>
      </c>
      <c r="J2149">
        <f>IF(F2149&lt;&gt;"", TEXT(F2149, "yyyy-mm"), "")</f>
        <v/>
      </c>
    </row>
    <row r="2150">
      <c r="A2150" t="inlineStr">
        <is>
          <t>RP0002149</t>
        </is>
      </c>
      <c r="B2150" t="inlineStr">
        <is>
          <t>LN200312</t>
        </is>
      </c>
      <c r="C2150" t="n">
        <v>1</v>
      </c>
      <c r="D2150" s="8" t="n">
        <v>45910</v>
      </c>
      <c r="E2150" s="9" t="n">
        <v>9498.75</v>
      </c>
      <c r="F2150" s="8" t="n">
        <v>45914</v>
      </c>
      <c r="G2150" s="9" t="n">
        <v>9498.75</v>
      </c>
      <c r="H2150" t="inlineStr">
        <is>
          <t>PAID_ON_TIME</t>
        </is>
      </c>
      <c r="I2150">
        <f>IF(H2150="UNPAID", AsOfDate-D2150, 0)</f>
        <v/>
      </c>
      <c r="J2150">
        <f>IF(F2150&lt;&gt;"", TEXT(F2150, "yyyy-mm"), "")</f>
        <v/>
      </c>
    </row>
    <row r="2151">
      <c r="A2151" t="inlineStr">
        <is>
          <t>RP0002150</t>
        </is>
      </c>
      <c r="B2151" t="inlineStr">
        <is>
          <t>LN200312</t>
        </is>
      </c>
      <c r="C2151" t="n">
        <v>2</v>
      </c>
      <c r="D2151" s="8" t="n">
        <v>45940</v>
      </c>
      <c r="E2151" s="9" t="n">
        <v>9498.75</v>
      </c>
      <c r="F2151" s="8" t="n">
        <v>45938</v>
      </c>
      <c r="G2151" s="9" t="n">
        <v>9498.75</v>
      </c>
      <c r="H2151" t="inlineStr">
        <is>
          <t>PAID_ON_TIME</t>
        </is>
      </c>
      <c r="I2151">
        <f>IF(H2151="UNPAID", AsOfDate-D2151, 0)</f>
        <v/>
      </c>
      <c r="J2151">
        <f>IF(F2151&lt;&gt;"", TEXT(F2151, "yyyy-mm"), "")</f>
        <v/>
      </c>
    </row>
    <row r="2152">
      <c r="A2152" t="inlineStr">
        <is>
          <t>RP0002151</t>
        </is>
      </c>
      <c r="B2152" t="inlineStr">
        <is>
          <t>LN200312</t>
        </is>
      </c>
      <c r="C2152" t="n">
        <v>3</v>
      </c>
      <c r="D2152" s="8" t="n">
        <v>45971</v>
      </c>
      <c r="E2152" s="9" t="n">
        <v>9498.75</v>
      </c>
      <c r="F2152" s="8" t="n">
        <v>45971</v>
      </c>
      <c r="G2152" s="9" t="n">
        <v>9498.75</v>
      </c>
      <c r="H2152" t="inlineStr">
        <is>
          <t>PAID_ON_TIME</t>
        </is>
      </c>
      <c r="I2152">
        <f>IF(H2152="UNPAID", AsOfDate-D2152, 0)</f>
        <v/>
      </c>
      <c r="J2152">
        <f>IF(F2152&lt;&gt;"", TEXT(F2152, "yyyy-mm"), "")</f>
        <v/>
      </c>
    </row>
    <row r="2153">
      <c r="A2153" t="inlineStr">
        <is>
          <t>RP0002152</t>
        </is>
      </c>
      <c r="B2153" t="inlineStr">
        <is>
          <t>LN200312</t>
        </is>
      </c>
      <c r="C2153" t="n">
        <v>4</v>
      </c>
      <c r="D2153" s="8" t="n">
        <v>46001</v>
      </c>
      <c r="E2153" s="9" t="n">
        <v>9498.75</v>
      </c>
      <c r="F2153" s="8" t="n">
        <v>46003</v>
      </c>
      <c r="G2153" s="9" t="n">
        <v>9498.75</v>
      </c>
      <c r="H2153" t="inlineStr">
        <is>
          <t>PAID_ON_TIME</t>
        </is>
      </c>
      <c r="I2153">
        <f>IF(H2153="UNPAID", AsOfDate-D2153, 0)</f>
        <v/>
      </c>
      <c r="J2153">
        <f>IF(F2153&lt;&gt;"", TEXT(F2153, "yyyy-mm"), "")</f>
        <v/>
      </c>
    </row>
    <row r="2154">
      <c r="A2154" t="inlineStr">
        <is>
          <t>RP0002153</t>
        </is>
      </c>
      <c r="B2154" t="inlineStr">
        <is>
          <t>LN200312</t>
        </is>
      </c>
      <c r="C2154" t="n">
        <v>5</v>
      </c>
      <c r="D2154" s="8" t="n">
        <v>46032</v>
      </c>
      <c r="E2154" s="9" t="n">
        <v>9498.75</v>
      </c>
      <c r="F2154" s="8" t="n">
        <v>46035</v>
      </c>
      <c r="G2154" s="9" t="n">
        <v>9498.75</v>
      </c>
      <c r="H2154" t="inlineStr">
        <is>
          <t>PAID_ON_TIME</t>
        </is>
      </c>
      <c r="I2154">
        <f>IF(H2154="UNPAID", AsOfDate-D2154, 0)</f>
        <v/>
      </c>
      <c r="J2154">
        <f>IF(F2154&lt;&gt;"", TEXT(F2154, "yyyy-mm"), "")</f>
        <v/>
      </c>
    </row>
    <row r="2155">
      <c r="A2155" t="inlineStr">
        <is>
          <t>RP0002154</t>
        </is>
      </c>
      <c r="B2155" t="inlineStr">
        <is>
          <t>LN200312</t>
        </is>
      </c>
      <c r="C2155" t="n">
        <v>6</v>
      </c>
      <c r="D2155" s="8" t="n">
        <v>46063</v>
      </c>
      <c r="E2155" s="9" t="n">
        <v>9498.75</v>
      </c>
      <c r="F2155" s="8" t="n">
        <v>46138</v>
      </c>
      <c r="G2155" s="9" t="n">
        <v>9498.75</v>
      </c>
      <c r="H2155" t="inlineStr">
        <is>
          <t>PAID_LATE</t>
        </is>
      </c>
      <c r="I2155">
        <f>IF(H2155="UNPAID", AsOfDate-D2155, 0)</f>
        <v/>
      </c>
      <c r="J2155">
        <f>IF(F2155&lt;&gt;"", TEXT(F2155, "yyyy-mm"), "")</f>
        <v/>
      </c>
    </row>
    <row r="2156">
      <c r="A2156" t="inlineStr">
        <is>
          <t>RP0002155</t>
        </is>
      </c>
      <c r="B2156" t="inlineStr">
        <is>
          <t>LN200313</t>
        </is>
      </c>
      <c r="C2156" t="n">
        <v>1</v>
      </c>
      <c r="D2156" s="8" t="n">
        <v>46190</v>
      </c>
      <c r="E2156" s="9" t="n">
        <v>18694</v>
      </c>
      <c r="F2156" s="8" t="n">
        <v>46194</v>
      </c>
      <c r="G2156" s="9" t="n">
        <v>18694</v>
      </c>
      <c r="H2156" t="inlineStr">
        <is>
          <t>PAID_ON_TIME</t>
        </is>
      </c>
      <c r="I2156">
        <f>IF(H2156="UNPAID", AsOfDate-D2156, 0)</f>
        <v/>
      </c>
      <c r="J2156">
        <f>IF(F2156&lt;&gt;"", TEXT(F2156, "yyyy-mm"), "")</f>
        <v/>
      </c>
    </row>
    <row r="2157">
      <c r="A2157" t="inlineStr">
        <is>
          <t>RP0002156</t>
        </is>
      </c>
      <c r="B2157" t="inlineStr">
        <is>
          <t>LN200313</t>
        </is>
      </c>
      <c r="C2157" t="n">
        <v>2</v>
      </c>
      <c r="D2157" s="8" t="n">
        <v>46220</v>
      </c>
      <c r="E2157" s="9" t="n">
        <v>18694</v>
      </c>
      <c r="F2157" s="8" t="n">
        <v>46219</v>
      </c>
      <c r="G2157" s="9" t="n">
        <v>18694</v>
      </c>
      <c r="H2157" t="inlineStr">
        <is>
          <t>PAID_ON_TIME</t>
        </is>
      </c>
      <c r="I2157">
        <f>IF(H2157="UNPAID", AsOfDate-D2157, 0)</f>
        <v/>
      </c>
      <c r="J2157">
        <f>IF(F2157&lt;&gt;"", TEXT(F2157, "yyyy-mm"), "")</f>
        <v/>
      </c>
    </row>
    <row r="2158">
      <c r="A2158" t="inlineStr">
        <is>
          <t>RP0002157</t>
        </is>
      </c>
      <c r="B2158" t="inlineStr">
        <is>
          <t>LN200313</t>
        </is>
      </c>
      <c r="C2158" t="n">
        <v>3</v>
      </c>
      <c r="D2158" s="8" t="n">
        <v>46251</v>
      </c>
      <c r="E2158" s="9" t="n">
        <v>18694</v>
      </c>
      <c r="F2158" s="8" t="n">
        <v>46250</v>
      </c>
      <c r="G2158" s="9" t="n">
        <v>18694</v>
      </c>
      <c r="H2158" t="inlineStr">
        <is>
          <t>PAID_ON_TIME</t>
        </is>
      </c>
      <c r="I2158">
        <f>IF(H2158="UNPAID", AsOfDate-D2158, 0)</f>
        <v/>
      </c>
      <c r="J2158">
        <f>IF(F2158&lt;&gt;"", TEXT(F2158, "yyyy-mm"), "")</f>
        <v/>
      </c>
    </row>
    <row r="2159">
      <c r="A2159" t="inlineStr">
        <is>
          <t>RP0002158</t>
        </is>
      </c>
      <c r="B2159" t="inlineStr">
        <is>
          <t>LN200313</t>
        </is>
      </c>
      <c r="C2159" t="n">
        <v>4</v>
      </c>
      <c r="D2159" s="8" t="n">
        <v>46282</v>
      </c>
      <c r="E2159" s="9" t="n">
        <v>18694</v>
      </c>
      <c r="F2159" s="8" t="n"/>
      <c r="G2159" s="9" t="n">
        <v>0</v>
      </c>
      <c r="H2159" t="inlineStr">
        <is>
          <t>NOT_DUE</t>
        </is>
      </c>
      <c r="I2159">
        <f>IF(H2159="UNPAID", AsOfDate-D2159, 0)</f>
        <v/>
      </c>
      <c r="J2159">
        <f>IF(F2159&lt;&gt;"", TEXT(F2159, "yyyy-mm"), "")</f>
        <v/>
      </c>
    </row>
    <row r="2160">
      <c r="A2160" t="inlineStr">
        <is>
          <t>RP0002159</t>
        </is>
      </c>
      <c r="B2160" t="inlineStr">
        <is>
          <t>LN200313</t>
        </is>
      </c>
      <c r="C2160" t="n">
        <v>5</v>
      </c>
      <c r="D2160" s="8" t="n">
        <v>46312</v>
      </c>
      <c r="E2160" s="9" t="n">
        <v>18694</v>
      </c>
      <c r="F2160" s="8" t="n"/>
      <c r="G2160" s="9" t="n">
        <v>0</v>
      </c>
      <c r="H2160" t="inlineStr">
        <is>
          <t>NOT_DUE</t>
        </is>
      </c>
      <c r="I2160">
        <f>IF(H2160="UNPAID", AsOfDate-D2160, 0)</f>
        <v/>
      </c>
      <c r="J2160">
        <f>IF(F2160&lt;&gt;"", TEXT(F2160, "yyyy-mm"), "")</f>
        <v/>
      </c>
    </row>
    <row r="2161">
      <c r="A2161" t="inlineStr">
        <is>
          <t>RP0002160</t>
        </is>
      </c>
      <c r="B2161" t="inlineStr">
        <is>
          <t>LN200313</t>
        </is>
      </c>
      <c r="C2161" t="n">
        <v>6</v>
      </c>
      <c r="D2161" s="8" t="n">
        <v>46343</v>
      </c>
      <c r="E2161" s="9" t="n">
        <v>18694</v>
      </c>
      <c r="F2161" s="8" t="n"/>
      <c r="G2161" s="9" t="n">
        <v>0</v>
      </c>
      <c r="H2161" t="inlineStr">
        <is>
          <t>NOT_DUE</t>
        </is>
      </c>
      <c r="I2161">
        <f>IF(H2161="UNPAID", AsOfDate-D2161, 0)</f>
        <v/>
      </c>
      <c r="J2161">
        <f>IF(F2161&lt;&gt;"", TEXT(F2161, "yyyy-mm"), "")</f>
        <v/>
      </c>
    </row>
    <row r="2162">
      <c r="A2162" t="inlineStr">
        <is>
          <t>RP0002161</t>
        </is>
      </c>
      <c r="B2162" t="inlineStr">
        <is>
          <t>LN200315</t>
        </is>
      </c>
      <c r="C2162" t="n">
        <v>1</v>
      </c>
      <c r="D2162" s="8" t="n">
        <v>46258</v>
      </c>
      <c r="E2162" s="9" t="n">
        <v>3086.11</v>
      </c>
      <c r="F2162" s="8" t="n">
        <v>46261</v>
      </c>
      <c r="G2162" s="9" t="n">
        <v>3086.11</v>
      </c>
      <c r="H2162" t="inlineStr">
        <is>
          <t>PAID_ON_TIME</t>
        </is>
      </c>
      <c r="I2162">
        <f>IF(H2162="UNPAID", AsOfDate-D2162, 0)</f>
        <v/>
      </c>
      <c r="J2162">
        <f>IF(F2162&lt;&gt;"", TEXT(F2162, "yyyy-mm"), "")</f>
        <v/>
      </c>
    </row>
    <row r="2163">
      <c r="A2163" t="inlineStr">
        <is>
          <t>RP0002162</t>
        </is>
      </c>
      <c r="B2163" t="inlineStr">
        <is>
          <t>LN200315</t>
        </is>
      </c>
      <c r="C2163" t="n">
        <v>2</v>
      </c>
      <c r="D2163" s="8" t="n">
        <v>46289</v>
      </c>
      <c r="E2163" s="9" t="n">
        <v>3086.11</v>
      </c>
      <c r="F2163" s="8" t="n"/>
      <c r="G2163" s="9" t="n">
        <v>0</v>
      </c>
      <c r="H2163" t="inlineStr">
        <is>
          <t>NOT_DUE</t>
        </is>
      </c>
      <c r="I2163">
        <f>IF(H2163="UNPAID", AsOfDate-D2163, 0)</f>
        <v/>
      </c>
      <c r="J2163">
        <f>IF(F2163&lt;&gt;"", TEXT(F2163, "yyyy-mm"), "")</f>
        <v/>
      </c>
    </row>
    <row r="2164">
      <c r="A2164" t="inlineStr">
        <is>
          <t>RP0002163</t>
        </is>
      </c>
      <c r="B2164" t="inlineStr">
        <is>
          <t>LN200315</t>
        </is>
      </c>
      <c r="C2164" t="n">
        <v>3</v>
      </c>
      <c r="D2164" s="8" t="n">
        <v>46319</v>
      </c>
      <c r="E2164" s="9" t="n">
        <v>3086.11</v>
      </c>
      <c r="F2164" s="8" t="n"/>
      <c r="G2164" s="9" t="n">
        <v>0</v>
      </c>
      <c r="H2164" t="inlineStr">
        <is>
          <t>NOT_DUE</t>
        </is>
      </c>
      <c r="I2164">
        <f>IF(H2164="UNPAID", AsOfDate-D2164, 0)</f>
        <v/>
      </c>
      <c r="J2164">
        <f>IF(F2164&lt;&gt;"", TEXT(F2164, "yyyy-mm"), "")</f>
        <v/>
      </c>
    </row>
    <row r="2165">
      <c r="A2165" t="inlineStr">
        <is>
          <t>RP0002164</t>
        </is>
      </c>
      <c r="B2165" t="inlineStr">
        <is>
          <t>LN200315</t>
        </is>
      </c>
      <c r="C2165" t="n">
        <v>4</v>
      </c>
      <c r="D2165" s="8" t="n">
        <v>46350</v>
      </c>
      <c r="E2165" s="9" t="n">
        <v>3086.11</v>
      </c>
      <c r="F2165" s="8" t="n"/>
      <c r="G2165" s="9" t="n">
        <v>0</v>
      </c>
      <c r="H2165" t="inlineStr">
        <is>
          <t>NOT_DUE</t>
        </is>
      </c>
      <c r="I2165">
        <f>IF(H2165="UNPAID", AsOfDate-D2165, 0)</f>
        <v/>
      </c>
      <c r="J2165">
        <f>IF(F2165&lt;&gt;"", TEXT(F2165, "yyyy-mm"), "")</f>
        <v/>
      </c>
    </row>
    <row r="2166">
      <c r="A2166" t="inlineStr">
        <is>
          <t>RP0002165</t>
        </is>
      </c>
      <c r="B2166" t="inlineStr">
        <is>
          <t>LN200315</t>
        </is>
      </c>
      <c r="C2166" t="n">
        <v>5</v>
      </c>
      <c r="D2166" s="8" t="n">
        <v>46380</v>
      </c>
      <c r="E2166" s="9" t="n">
        <v>3086.11</v>
      </c>
      <c r="F2166" s="8" t="n"/>
      <c r="G2166" s="9" t="n">
        <v>0</v>
      </c>
      <c r="H2166" t="inlineStr">
        <is>
          <t>NOT_DUE</t>
        </is>
      </c>
      <c r="I2166">
        <f>IF(H2166="UNPAID", AsOfDate-D2166, 0)</f>
        <v/>
      </c>
      <c r="J2166">
        <f>IF(F2166&lt;&gt;"", TEXT(F2166, "yyyy-mm"), "")</f>
        <v/>
      </c>
    </row>
    <row r="2167">
      <c r="A2167" t="inlineStr">
        <is>
          <t>RP0002166</t>
        </is>
      </c>
      <c r="B2167" t="inlineStr">
        <is>
          <t>LN200315</t>
        </is>
      </c>
      <c r="C2167" t="n">
        <v>6</v>
      </c>
      <c r="D2167" s="8" t="n">
        <v>46411</v>
      </c>
      <c r="E2167" s="9" t="n">
        <v>3086.11</v>
      </c>
      <c r="F2167" s="8" t="n"/>
      <c r="G2167" s="9" t="n">
        <v>0</v>
      </c>
      <c r="H2167" t="inlineStr">
        <is>
          <t>NOT_DUE</t>
        </is>
      </c>
      <c r="I2167">
        <f>IF(H2167="UNPAID", AsOfDate-D2167, 0)</f>
        <v/>
      </c>
      <c r="J2167">
        <f>IF(F2167&lt;&gt;"", TEXT(F2167, "yyyy-mm"), "")</f>
        <v/>
      </c>
    </row>
    <row r="2168">
      <c r="A2168" t="inlineStr">
        <is>
          <t>RP0002167</t>
        </is>
      </c>
      <c r="B2168" t="inlineStr">
        <is>
          <t>LN200315</t>
        </is>
      </c>
      <c r="C2168" t="n">
        <v>7</v>
      </c>
      <c r="D2168" s="8" t="n">
        <v>46442</v>
      </c>
      <c r="E2168" s="9" t="n">
        <v>3086.11</v>
      </c>
      <c r="F2168" s="8" t="n"/>
      <c r="G2168" s="9" t="n">
        <v>0</v>
      </c>
      <c r="H2168" t="inlineStr">
        <is>
          <t>NOT_DUE</t>
        </is>
      </c>
      <c r="I2168">
        <f>IF(H2168="UNPAID", AsOfDate-D2168, 0)</f>
        <v/>
      </c>
      <c r="J2168">
        <f>IF(F2168&lt;&gt;"", TEXT(F2168, "yyyy-mm"), "")</f>
        <v/>
      </c>
    </row>
    <row r="2169">
      <c r="A2169" t="inlineStr">
        <is>
          <t>RP0002168</t>
        </is>
      </c>
      <c r="B2169" t="inlineStr">
        <is>
          <t>LN200315</t>
        </is>
      </c>
      <c r="C2169" t="n">
        <v>8</v>
      </c>
      <c r="D2169" s="8" t="n">
        <v>46470</v>
      </c>
      <c r="E2169" s="9" t="n">
        <v>3086.11</v>
      </c>
      <c r="F2169" s="8" t="n"/>
      <c r="G2169" s="9" t="n">
        <v>0</v>
      </c>
      <c r="H2169" t="inlineStr">
        <is>
          <t>NOT_DUE</t>
        </is>
      </c>
      <c r="I2169">
        <f>IF(H2169="UNPAID", AsOfDate-D2169, 0)</f>
        <v/>
      </c>
      <c r="J2169">
        <f>IF(F2169&lt;&gt;"", TEXT(F2169, "yyyy-mm"), "")</f>
        <v/>
      </c>
    </row>
    <row r="2170">
      <c r="A2170" t="inlineStr">
        <is>
          <t>RP0002169</t>
        </is>
      </c>
      <c r="B2170" t="inlineStr">
        <is>
          <t>LN200315</t>
        </is>
      </c>
      <c r="C2170" t="n">
        <v>9</v>
      </c>
      <c r="D2170" s="8" t="n">
        <v>46501</v>
      </c>
      <c r="E2170" s="9" t="n">
        <v>3086.11</v>
      </c>
      <c r="F2170" s="8" t="n"/>
      <c r="G2170" s="9" t="n">
        <v>0</v>
      </c>
      <c r="H2170" t="inlineStr">
        <is>
          <t>NOT_DUE</t>
        </is>
      </c>
      <c r="I2170">
        <f>IF(H2170="UNPAID", AsOfDate-D2170, 0)</f>
        <v/>
      </c>
      <c r="J2170">
        <f>IF(F2170&lt;&gt;"", TEXT(F2170, "yyyy-mm"), "")</f>
        <v/>
      </c>
    </row>
    <row r="2171">
      <c r="A2171" t="inlineStr">
        <is>
          <t>RP0002170</t>
        </is>
      </c>
      <c r="B2171" t="inlineStr">
        <is>
          <t>LN200316</t>
        </is>
      </c>
      <c r="C2171" t="n">
        <v>1</v>
      </c>
      <c r="D2171" s="8" t="n">
        <v>46037</v>
      </c>
      <c r="E2171" s="9" t="n">
        <v>3360.5</v>
      </c>
      <c r="F2171" s="8" t="n">
        <v>46037</v>
      </c>
      <c r="G2171" s="9" t="n">
        <v>3360.5</v>
      </c>
      <c r="H2171" t="inlineStr">
        <is>
          <t>PAID_ON_TIME</t>
        </is>
      </c>
      <c r="I2171">
        <f>IF(H2171="UNPAID", AsOfDate-D2171, 0)</f>
        <v/>
      </c>
      <c r="J2171">
        <f>IF(F2171&lt;&gt;"", TEXT(F2171, "yyyy-mm"), "")</f>
        <v/>
      </c>
    </row>
    <row r="2172">
      <c r="A2172" t="inlineStr">
        <is>
          <t>RP0002171</t>
        </is>
      </c>
      <c r="B2172" t="inlineStr">
        <is>
          <t>LN200316</t>
        </is>
      </c>
      <c r="C2172" t="n">
        <v>2</v>
      </c>
      <c r="D2172" s="8" t="n">
        <v>46068</v>
      </c>
      <c r="E2172" s="9" t="n">
        <v>3360.5</v>
      </c>
      <c r="F2172" s="8" t="n">
        <v>46067</v>
      </c>
      <c r="G2172" s="9" t="n">
        <v>3360.5</v>
      </c>
      <c r="H2172" t="inlineStr">
        <is>
          <t>PAID_ON_TIME</t>
        </is>
      </c>
      <c r="I2172">
        <f>IF(H2172="UNPAID", AsOfDate-D2172, 0)</f>
        <v/>
      </c>
      <c r="J2172">
        <f>IF(F2172&lt;&gt;"", TEXT(F2172, "yyyy-mm"), "")</f>
        <v/>
      </c>
    </row>
    <row r="2173">
      <c r="A2173" t="inlineStr">
        <is>
          <t>RP0002172</t>
        </is>
      </c>
      <c r="B2173" t="inlineStr">
        <is>
          <t>LN200316</t>
        </is>
      </c>
      <c r="C2173" t="n">
        <v>3</v>
      </c>
      <c r="D2173" s="8" t="n">
        <v>46096</v>
      </c>
      <c r="E2173" s="9" t="n">
        <v>3360.5</v>
      </c>
      <c r="F2173" s="8" t="n">
        <v>46098</v>
      </c>
      <c r="G2173" s="9" t="n">
        <v>3360.5</v>
      </c>
      <c r="H2173" t="inlineStr">
        <is>
          <t>PAID_ON_TIME</t>
        </is>
      </c>
      <c r="I2173">
        <f>IF(H2173="UNPAID", AsOfDate-D2173, 0)</f>
        <v/>
      </c>
      <c r="J2173">
        <f>IF(F2173&lt;&gt;"", TEXT(F2173, "yyyy-mm"), "")</f>
        <v/>
      </c>
    </row>
    <row r="2174">
      <c r="A2174" t="inlineStr">
        <is>
          <t>RP0002173</t>
        </is>
      </c>
      <c r="B2174" t="inlineStr">
        <is>
          <t>LN200316</t>
        </is>
      </c>
      <c r="C2174" t="n">
        <v>4</v>
      </c>
      <c r="D2174" s="8" t="n">
        <v>46127</v>
      </c>
      <c r="E2174" s="9" t="n">
        <v>3360.5</v>
      </c>
      <c r="F2174" s="8" t="n">
        <v>46130</v>
      </c>
      <c r="G2174" s="9" t="n">
        <v>3360.5</v>
      </c>
      <c r="H2174" t="inlineStr">
        <is>
          <t>PAID_ON_TIME</t>
        </is>
      </c>
      <c r="I2174">
        <f>IF(H2174="UNPAID", AsOfDate-D2174, 0)</f>
        <v/>
      </c>
      <c r="J2174">
        <f>IF(F2174&lt;&gt;"", TEXT(F2174, "yyyy-mm"), "")</f>
        <v/>
      </c>
    </row>
    <row r="2175">
      <c r="A2175" t="inlineStr">
        <is>
          <t>RP0002174</t>
        </is>
      </c>
      <c r="B2175" t="inlineStr">
        <is>
          <t>LN200316</t>
        </is>
      </c>
      <c r="C2175" t="n">
        <v>5</v>
      </c>
      <c r="D2175" s="8" t="n">
        <v>46157</v>
      </c>
      <c r="E2175" s="9" t="n">
        <v>3360.5</v>
      </c>
      <c r="F2175" s="8" t="n">
        <v>46161</v>
      </c>
      <c r="G2175" s="9" t="n">
        <v>3360.5</v>
      </c>
      <c r="H2175" t="inlineStr">
        <is>
          <t>PAID_ON_TIME</t>
        </is>
      </c>
      <c r="I2175">
        <f>IF(H2175="UNPAID", AsOfDate-D2175, 0)</f>
        <v/>
      </c>
      <c r="J2175">
        <f>IF(F2175&lt;&gt;"", TEXT(F2175, "yyyy-mm"), "")</f>
        <v/>
      </c>
    </row>
    <row r="2176">
      <c r="A2176" t="inlineStr">
        <is>
          <t>RP0002175</t>
        </is>
      </c>
      <c r="B2176" t="inlineStr">
        <is>
          <t>LN200316</t>
        </is>
      </c>
      <c r="C2176" t="n">
        <v>6</v>
      </c>
      <c r="D2176" s="8" t="n">
        <v>46188</v>
      </c>
      <c r="E2176" s="9" t="n">
        <v>3360.5</v>
      </c>
      <c r="F2176" s="8" t="n">
        <v>46190</v>
      </c>
      <c r="G2176" s="9" t="n">
        <v>3360.5</v>
      </c>
      <c r="H2176" t="inlineStr">
        <is>
          <t>PAID_ON_TIME</t>
        </is>
      </c>
      <c r="I2176">
        <f>IF(H2176="UNPAID", AsOfDate-D2176, 0)</f>
        <v/>
      </c>
      <c r="J2176">
        <f>IF(F2176&lt;&gt;"", TEXT(F2176, "yyyy-mm"), "")</f>
        <v/>
      </c>
    </row>
    <row r="2177">
      <c r="A2177" t="inlineStr">
        <is>
          <t>RP0002176</t>
        </is>
      </c>
      <c r="B2177" t="inlineStr">
        <is>
          <t>LN200316</t>
        </is>
      </c>
      <c r="C2177" t="n">
        <v>7</v>
      </c>
      <c r="D2177" s="8" t="n">
        <v>46218</v>
      </c>
      <c r="E2177" s="9" t="n">
        <v>3360.5</v>
      </c>
      <c r="F2177" s="8" t="n">
        <v>46215</v>
      </c>
      <c r="G2177" s="9" t="n">
        <v>3360.5</v>
      </c>
      <c r="H2177" t="inlineStr">
        <is>
          <t>PAID_ON_TIME</t>
        </is>
      </c>
      <c r="I2177">
        <f>IF(H2177="UNPAID", AsOfDate-D2177, 0)</f>
        <v/>
      </c>
      <c r="J2177">
        <f>IF(F2177&lt;&gt;"", TEXT(F2177, "yyyy-mm"), "")</f>
        <v/>
      </c>
    </row>
    <row r="2178">
      <c r="A2178" t="inlineStr">
        <is>
          <t>RP0002177</t>
        </is>
      </c>
      <c r="B2178" t="inlineStr">
        <is>
          <t>LN200316</t>
        </is>
      </c>
      <c r="C2178" t="n">
        <v>8</v>
      </c>
      <c r="D2178" s="8" t="n">
        <v>46249</v>
      </c>
      <c r="E2178" s="9" t="n">
        <v>3360.5</v>
      </c>
      <c r="F2178" s="8" t="n">
        <v>46247</v>
      </c>
      <c r="G2178" s="9" t="n">
        <v>3360.5</v>
      </c>
      <c r="H2178" t="inlineStr">
        <is>
          <t>PAID_ON_TIME</t>
        </is>
      </c>
      <c r="I2178">
        <f>IF(H2178="UNPAID", AsOfDate-D2178, 0)</f>
        <v/>
      </c>
      <c r="J2178">
        <f>IF(F2178&lt;&gt;"", TEXT(F2178, "yyyy-mm"), "")</f>
        <v/>
      </c>
    </row>
    <row r="2179">
      <c r="A2179" t="inlineStr">
        <is>
          <t>RP0002178</t>
        </is>
      </c>
      <c r="B2179" t="inlineStr">
        <is>
          <t>LN200316</t>
        </is>
      </c>
      <c r="C2179" t="n">
        <v>9</v>
      </c>
      <c r="D2179" s="8" t="n">
        <v>46280</v>
      </c>
      <c r="E2179" s="9" t="n">
        <v>3360.5</v>
      </c>
      <c r="F2179" s="8" t="n"/>
      <c r="G2179" s="9" t="n">
        <v>0</v>
      </c>
      <c r="H2179" t="inlineStr">
        <is>
          <t>NOT_DUE</t>
        </is>
      </c>
      <c r="I2179">
        <f>IF(H2179="UNPAID", AsOfDate-D2179, 0)</f>
        <v/>
      </c>
      <c r="J2179">
        <f>IF(F2179&lt;&gt;"", TEXT(F2179, "yyyy-mm"), "")</f>
        <v/>
      </c>
    </row>
    <row r="2180">
      <c r="A2180" t="inlineStr">
        <is>
          <t>RP0002179</t>
        </is>
      </c>
      <c r="B2180" t="inlineStr">
        <is>
          <t>LN200316</t>
        </is>
      </c>
      <c r="C2180" t="n">
        <v>10</v>
      </c>
      <c r="D2180" s="8" t="n">
        <v>46310</v>
      </c>
      <c r="E2180" s="9" t="n">
        <v>3360.5</v>
      </c>
      <c r="F2180" s="8" t="n"/>
      <c r="G2180" s="9" t="n">
        <v>0</v>
      </c>
      <c r="H2180" t="inlineStr">
        <is>
          <t>NOT_DUE</t>
        </is>
      </c>
      <c r="I2180">
        <f>IF(H2180="UNPAID", AsOfDate-D2180, 0)</f>
        <v/>
      </c>
      <c r="J2180">
        <f>IF(F2180&lt;&gt;"", TEXT(F2180, "yyyy-mm"), "")</f>
        <v/>
      </c>
    </row>
    <row r="2181">
      <c r="A2181" t="inlineStr">
        <is>
          <t>RP0002180</t>
        </is>
      </c>
      <c r="B2181" t="inlineStr">
        <is>
          <t>LN200316</t>
        </is>
      </c>
      <c r="C2181" t="n">
        <v>11</v>
      </c>
      <c r="D2181" s="8" t="n">
        <v>46341</v>
      </c>
      <c r="E2181" s="9" t="n">
        <v>3360.5</v>
      </c>
      <c r="F2181" s="8" t="n"/>
      <c r="G2181" s="9" t="n">
        <v>0</v>
      </c>
      <c r="H2181" t="inlineStr">
        <is>
          <t>NOT_DUE</t>
        </is>
      </c>
      <c r="I2181">
        <f>IF(H2181="UNPAID", AsOfDate-D2181, 0)</f>
        <v/>
      </c>
      <c r="J2181">
        <f>IF(F2181&lt;&gt;"", TEXT(F2181, "yyyy-mm"), "")</f>
        <v/>
      </c>
    </row>
    <row r="2182">
      <c r="A2182" t="inlineStr">
        <is>
          <t>RP0002181</t>
        </is>
      </c>
      <c r="B2182" t="inlineStr">
        <is>
          <t>LN200316</t>
        </is>
      </c>
      <c r="C2182" t="n">
        <v>12</v>
      </c>
      <c r="D2182" s="8" t="n">
        <v>46371</v>
      </c>
      <c r="E2182" s="9" t="n">
        <v>3360.5</v>
      </c>
      <c r="F2182" s="8" t="n"/>
      <c r="G2182" s="9" t="n">
        <v>0</v>
      </c>
      <c r="H2182" t="inlineStr">
        <is>
          <t>NOT_DUE</t>
        </is>
      </c>
      <c r="I2182">
        <f>IF(H2182="UNPAID", AsOfDate-D2182, 0)</f>
        <v/>
      </c>
      <c r="J2182">
        <f>IF(F2182&lt;&gt;"", TEXT(F2182, "yyyy-mm"), "")</f>
        <v/>
      </c>
    </row>
    <row r="2183">
      <c r="A2183" t="inlineStr">
        <is>
          <t>RP0002182</t>
        </is>
      </c>
      <c r="B2183" t="inlineStr">
        <is>
          <t>LN200317</t>
        </is>
      </c>
      <c r="C2183" t="n">
        <v>1</v>
      </c>
      <c r="D2183" s="8" t="n">
        <v>45891</v>
      </c>
      <c r="E2183" s="9" t="n">
        <v>28771.56</v>
      </c>
      <c r="F2183" s="8" t="n">
        <v>45892</v>
      </c>
      <c r="G2183" s="9" t="n">
        <v>28771.56</v>
      </c>
      <c r="H2183" t="inlineStr">
        <is>
          <t>PAID_ON_TIME</t>
        </is>
      </c>
      <c r="I2183">
        <f>IF(H2183="UNPAID", AsOfDate-D2183, 0)</f>
        <v/>
      </c>
      <c r="J2183">
        <f>IF(F2183&lt;&gt;"", TEXT(F2183, "yyyy-mm"), "")</f>
        <v/>
      </c>
    </row>
    <row r="2184">
      <c r="A2184" t="inlineStr">
        <is>
          <t>RP0002183</t>
        </is>
      </c>
      <c r="B2184" t="inlineStr">
        <is>
          <t>LN200317</t>
        </is>
      </c>
      <c r="C2184" t="n">
        <v>2</v>
      </c>
      <c r="D2184" s="8" t="n">
        <v>45922</v>
      </c>
      <c r="E2184" s="9" t="n">
        <v>28771.56</v>
      </c>
      <c r="F2184" s="8" t="n">
        <v>45919</v>
      </c>
      <c r="G2184" s="9" t="n">
        <v>28771.56</v>
      </c>
      <c r="H2184" t="inlineStr">
        <is>
          <t>PAID_ON_TIME</t>
        </is>
      </c>
      <c r="I2184">
        <f>IF(H2184="UNPAID", AsOfDate-D2184, 0)</f>
        <v/>
      </c>
      <c r="J2184">
        <f>IF(F2184&lt;&gt;"", TEXT(F2184, "yyyy-mm"), "")</f>
        <v/>
      </c>
    </row>
    <row r="2185">
      <c r="A2185" t="inlineStr">
        <is>
          <t>RP0002184</t>
        </is>
      </c>
      <c r="B2185" t="inlineStr">
        <is>
          <t>LN200317</t>
        </is>
      </c>
      <c r="C2185" t="n">
        <v>3</v>
      </c>
      <c r="D2185" s="8" t="n">
        <v>45952</v>
      </c>
      <c r="E2185" s="9" t="n">
        <v>28771.56</v>
      </c>
      <c r="F2185" s="8" t="n">
        <v>45951</v>
      </c>
      <c r="G2185" s="9" t="n">
        <v>28771.56</v>
      </c>
      <c r="H2185" t="inlineStr">
        <is>
          <t>PAID_ON_TIME</t>
        </is>
      </c>
      <c r="I2185">
        <f>IF(H2185="UNPAID", AsOfDate-D2185, 0)</f>
        <v/>
      </c>
      <c r="J2185">
        <f>IF(F2185&lt;&gt;"", TEXT(F2185, "yyyy-mm"), "")</f>
        <v/>
      </c>
    </row>
    <row r="2186">
      <c r="A2186" t="inlineStr">
        <is>
          <t>RP0002185</t>
        </is>
      </c>
      <c r="B2186" t="inlineStr">
        <is>
          <t>LN200317</t>
        </is>
      </c>
      <c r="C2186" t="n">
        <v>4</v>
      </c>
      <c r="D2186" s="8" t="n">
        <v>45983</v>
      </c>
      <c r="E2186" s="9" t="n">
        <v>28771.56</v>
      </c>
      <c r="F2186" s="8" t="n">
        <v>45983</v>
      </c>
      <c r="G2186" s="9" t="n">
        <v>28771.56</v>
      </c>
      <c r="H2186" t="inlineStr">
        <is>
          <t>PAID_ON_TIME</t>
        </is>
      </c>
      <c r="I2186">
        <f>IF(H2186="UNPAID", AsOfDate-D2186, 0)</f>
        <v/>
      </c>
      <c r="J2186">
        <f>IF(F2186&lt;&gt;"", TEXT(F2186, "yyyy-mm"), "")</f>
        <v/>
      </c>
    </row>
    <row r="2187">
      <c r="A2187" t="inlineStr">
        <is>
          <t>RP0002186</t>
        </is>
      </c>
      <c r="B2187" t="inlineStr">
        <is>
          <t>LN200317</t>
        </is>
      </c>
      <c r="C2187" t="n">
        <v>5</v>
      </c>
      <c r="D2187" s="8" t="n">
        <v>46013</v>
      </c>
      <c r="E2187" s="9" t="n">
        <v>28771.56</v>
      </c>
      <c r="F2187" s="8" t="n">
        <v>46017</v>
      </c>
      <c r="G2187" s="9" t="n">
        <v>28771.56</v>
      </c>
      <c r="H2187" t="inlineStr">
        <is>
          <t>PAID_ON_TIME</t>
        </is>
      </c>
      <c r="I2187">
        <f>IF(H2187="UNPAID", AsOfDate-D2187, 0)</f>
        <v/>
      </c>
      <c r="J2187">
        <f>IF(F2187&lt;&gt;"", TEXT(F2187, "yyyy-mm"), "")</f>
        <v/>
      </c>
    </row>
    <row r="2188">
      <c r="A2188" t="inlineStr">
        <is>
          <t>RP0002187</t>
        </is>
      </c>
      <c r="B2188" t="inlineStr">
        <is>
          <t>LN200317</t>
        </is>
      </c>
      <c r="C2188" t="n">
        <v>6</v>
      </c>
      <c r="D2188" s="8" t="n">
        <v>46044</v>
      </c>
      <c r="E2188" s="9" t="n">
        <v>28771.56</v>
      </c>
      <c r="F2188" s="8" t="n">
        <v>46047</v>
      </c>
      <c r="G2188" s="9" t="n">
        <v>28771.56</v>
      </c>
      <c r="H2188" t="inlineStr">
        <is>
          <t>PAID_ON_TIME</t>
        </is>
      </c>
      <c r="I2188">
        <f>IF(H2188="UNPAID", AsOfDate-D2188, 0)</f>
        <v/>
      </c>
      <c r="J2188">
        <f>IF(F2188&lt;&gt;"", TEXT(F2188, "yyyy-mm"), "")</f>
        <v/>
      </c>
    </row>
    <row r="2189">
      <c r="A2189" t="inlineStr">
        <is>
          <t>RP0002188</t>
        </is>
      </c>
      <c r="B2189" t="inlineStr">
        <is>
          <t>LN200317</t>
        </is>
      </c>
      <c r="C2189" t="n">
        <v>7</v>
      </c>
      <c r="D2189" s="8" t="n">
        <v>46075</v>
      </c>
      <c r="E2189" s="9" t="n">
        <v>28771.56</v>
      </c>
      <c r="F2189" s="8" t="n">
        <v>46079</v>
      </c>
      <c r="G2189" s="9" t="n">
        <v>28771.56</v>
      </c>
      <c r="H2189" t="inlineStr">
        <is>
          <t>PAID_ON_TIME</t>
        </is>
      </c>
      <c r="I2189">
        <f>IF(H2189="UNPAID", AsOfDate-D2189, 0)</f>
        <v/>
      </c>
      <c r="J2189">
        <f>IF(F2189&lt;&gt;"", TEXT(F2189, "yyyy-mm"), "")</f>
        <v/>
      </c>
    </row>
    <row r="2190">
      <c r="A2190" t="inlineStr">
        <is>
          <t>RP0002189</t>
        </is>
      </c>
      <c r="B2190" t="inlineStr">
        <is>
          <t>LN200317</t>
        </is>
      </c>
      <c r="C2190" t="n">
        <v>8</v>
      </c>
      <c r="D2190" s="8" t="n">
        <v>46103</v>
      </c>
      <c r="E2190" s="9" t="n">
        <v>28771.56</v>
      </c>
      <c r="F2190" s="8" t="n">
        <v>46107</v>
      </c>
      <c r="G2190" s="9" t="n">
        <v>28771.56</v>
      </c>
      <c r="H2190" t="inlineStr">
        <is>
          <t>PAID_ON_TIME</t>
        </is>
      </c>
      <c r="I2190">
        <f>IF(H2190="UNPAID", AsOfDate-D2190, 0)</f>
        <v/>
      </c>
      <c r="J2190">
        <f>IF(F2190&lt;&gt;"", TEXT(F2190, "yyyy-mm"), "")</f>
        <v/>
      </c>
    </row>
    <row r="2191">
      <c r="A2191" t="inlineStr">
        <is>
          <t>RP0002190</t>
        </is>
      </c>
      <c r="B2191" t="inlineStr">
        <is>
          <t>LN200317</t>
        </is>
      </c>
      <c r="C2191" t="n">
        <v>9</v>
      </c>
      <c r="D2191" s="8" t="n">
        <v>46134</v>
      </c>
      <c r="E2191" s="9" t="n">
        <v>28771.56</v>
      </c>
      <c r="F2191" s="8" t="n">
        <v>46239</v>
      </c>
      <c r="G2191" s="9" t="n">
        <v>28771.56</v>
      </c>
      <c r="H2191" t="inlineStr">
        <is>
          <t>PAID_LATE</t>
        </is>
      </c>
      <c r="I2191">
        <f>IF(H2191="UNPAID", AsOfDate-D2191, 0)</f>
        <v/>
      </c>
      <c r="J2191">
        <f>IF(F2191&lt;&gt;"", TEXT(F2191, "yyyy-mm"), "")</f>
        <v/>
      </c>
    </row>
    <row r="2192">
      <c r="A2192" t="inlineStr">
        <is>
          <t>RP0002191</t>
        </is>
      </c>
      <c r="B2192" t="inlineStr">
        <is>
          <t>LN200318</t>
        </is>
      </c>
      <c r="C2192" t="n">
        <v>1</v>
      </c>
      <c r="D2192" s="8" t="n">
        <v>46213</v>
      </c>
      <c r="E2192" s="9" t="n">
        <v>22574.25</v>
      </c>
      <c r="F2192" s="8" t="n">
        <v>46214</v>
      </c>
      <c r="G2192" s="9" t="n">
        <v>22574.25</v>
      </c>
      <c r="H2192" t="inlineStr">
        <is>
          <t>PAID_ON_TIME</t>
        </is>
      </c>
      <c r="I2192">
        <f>IF(H2192="UNPAID", AsOfDate-D2192, 0)</f>
        <v/>
      </c>
      <c r="J2192">
        <f>IF(F2192&lt;&gt;"", TEXT(F2192, "yyyy-mm"), "")</f>
        <v/>
      </c>
    </row>
    <row r="2193">
      <c r="A2193" t="inlineStr">
        <is>
          <t>RP0002192</t>
        </is>
      </c>
      <c r="B2193" t="inlineStr">
        <is>
          <t>LN200318</t>
        </is>
      </c>
      <c r="C2193" t="n">
        <v>2</v>
      </c>
      <c r="D2193" s="8" t="n">
        <v>46244</v>
      </c>
      <c r="E2193" s="9" t="n">
        <v>22574.25</v>
      </c>
      <c r="F2193" s="8" t="n">
        <v>46243</v>
      </c>
      <c r="G2193" s="9" t="n">
        <v>22574.25</v>
      </c>
      <c r="H2193" t="inlineStr">
        <is>
          <t>PAID_ON_TIME</t>
        </is>
      </c>
      <c r="I2193">
        <f>IF(H2193="UNPAID", AsOfDate-D2193, 0)</f>
        <v/>
      </c>
      <c r="J2193">
        <f>IF(F2193&lt;&gt;"", TEXT(F2193, "yyyy-mm"), "")</f>
        <v/>
      </c>
    </row>
    <row r="2194">
      <c r="A2194" t="inlineStr">
        <is>
          <t>RP0002193</t>
        </is>
      </c>
      <c r="B2194" t="inlineStr">
        <is>
          <t>LN200318</t>
        </is>
      </c>
      <c r="C2194" t="n">
        <v>3</v>
      </c>
      <c r="D2194" s="8" t="n">
        <v>46275</v>
      </c>
      <c r="E2194" s="9" t="n">
        <v>22574.25</v>
      </c>
      <c r="F2194" s="8" t="n"/>
      <c r="G2194" s="9" t="n">
        <v>0</v>
      </c>
      <c r="H2194" t="inlineStr">
        <is>
          <t>NOT_DUE</t>
        </is>
      </c>
      <c r="I2194">
        <f>IF(H2194="UNPAID", AsOfDate-D2194, 0)</f>
        <v/>
      </c>
      <c r="J2194">
        <f>IF(F2194&lt;&gt;"", TEXT(F2194, "yyyy-mm"), "")</f>
        <v/>
      </c>
    </row>
    <row r="2195">
      <c r="A2195" t="inlineStr">
        <is>
          <t>RP0002194</t>
        </is>
      </c>
      <c r="B2195" t="inlineStr">
        <is>
          <t>LN200318</t>
        </is>
      </c>
      <c r="C2195" t="n">
        <v>4</v>
      </c>
      <c r="D2195" s="8" t="n">
        <v>46305</v>
      </c>
      <c r="E2195" s="9" t="n">
        <v>22574.25</v>
      </c>
      <c r="F2195" s="8" t="n"/>
      <c r="G2195" s="9" t="n">
        <v>0</v>
      </c>
      <c r="H2195" t="inlineStr">
        <is>
          <t>NOT_DUE</t>
        </is>
      </c>
      <c r="I2195">
        <f>IF(H2195="UNPAID", AsOfDate-D2195, 0)</f>
        <v/>
      </c>
      <c r="J2195">
        <f>IF(F2195&lt;&gt;"", TEXT(F2195, "yyyy-mm"), "")</f>
        <v/>
      </c>
    </row>
    <row r="2196">
      <c r="A2196" t="inlineStr">
        <is>
          <t>RP0002195</t>
        </is>
      </c>
      <c r="B2196" t="inlineStr">
        <is>
          <t>LN200318</t>
        </is>
      </c>
      <c r="C2196" t="n">
        <v>5</v>
      </c>
      <c r="D2196" s="8" t="n">
        <v>46336</v>
      </c>
      <c r="E2196" s="9" t="n">
        <v>22574.25</v>
      </c>
      <c r="F2196" s="8" t="n"/>
      <c r="G2196" s="9" t="n">
        <v>0</v>
      </c>
      <c r="H2196" t="inlineStr">
        <is>
          <t>NOT_DUE</t>
        </is>
      </c>
      <c r="I2196">
        <f>IF(H2196="UNPAID", AsOfDate-D2196, 0)</f>
        <v/>
      </c>
      <c r="J2196">
        <f>IF(F2196&lt;&gt;"", TEXT(F2196, "yyyy-mm"), "")</f>
        <v/>
      </c>
    </row>
    <row r="2197">
      <c r="A2197" t="inlineStr">
        <is>
          <t>RP0002196</t>
        </is>
      </c>
      <c r="B2197" t="inlineStr">
        <is>
          <t>LN200318</t>
        </is>
      </c>
      <c r="C2197" t="n">
        <v>6</v>
      </c>
      <c r="D2197" s="8" t="n">
        <v>46366</v>
      </c>
      <c r="E2197" s="9" t="n">
        <v>22574.25</v>
      </c>
      <c r="F2197" s="8" t="n"/>
      <c r="G2197" s="9" t="n">
        <v>0</v>
      </c>
      <c r="H2197" t="inlineStr">
        <is>
          <t>NOT_DUE</t>
        </is>
      </c>
      <c r="I2197">
        <f>IF(H2197="UNPAID", AsOfDate-D2197, 0)</f>
        <v/>
      </c>
      <c r="J2197">
        <f>IF(F2197&lt;&gt;"", TEXT(F2197, "yyyy-mm"), "")</f>
        <v/>
      </c>
    </row>
    <row r="2198">
      <c r="A2198" t="inlineStr">
        <is>
          <t>RP0002197</t>
        </is>
      </c>
      <c r="B2198" t="inlineStr">
        <is>
          <t>LN200318</t>
        </is>
      </c>
      <c r="C2198" t="n">
        <v>7</v>
      </c>
      <c r="D2198" s="8" t="n">
        <v>46397</v>
      </c>
      <c r="E2198" s="9" t="n">
        <v>22574.25</v>
      </c>
      <c r="F2198" s="8" t="n"/>
      <c r="G2198" s="9" t="n">
        <v>0</v>
      </c>
      <c r="H2198" t="inlineStr">
        <is>
          <t>NOT_DUE</t>
        </is>
      </c>
      <c r="I2198">
        <f>IF(H2198="UNPAID", AsOfDate-D2198, 0)</f>
        <v/>
      </c>
      <c r="J2198">
        <f>IF(F2198&lt;&gt;"", TEXT(F2198, "yyyy-mm"), "")</f>
        <v/>
      </c>
    </row>
    <row r="2199">
      <c r="A2199" t="inlineStr">
        <is>
          <t>RP0002198</t>
        </is>
      </c>
      <c r="B2199" t="inlineStr">
        <is>
          <t>LN200318</t>
        </is>
      </c>
      <c r="C2199" t="n">
        <v>8</v>
      </c>
      <c r="D2199" s="8" t="n">
        <v>46428</v>
      </c>
      <c r="E2199" s="9" t="n">
        <v>22574.25</v>
      </c>
      <c r="F2199" s="8" t="n"/>
      <c r="G2199" s="9" t="n">
        <v>0</v>
      </c>
      <c r="H2199" t="inlineStr">
        <is>
          <t>NOT_DUE</t>
        </is>
      </c>
      <c r="I2199">
        <f>IF(H2199="UNPAID", AsOfDate-D2199, 0)</f>
        <v/>
      </c>
      <c r="J2199">
        <f>IF(F2199&lt;&gt;"", TEXT(F2199, "yyyy-mm"), "")</f>
        <v/>
      </c>
    </row>
    <row r="2200">
      <c r="A2200" t="inlineStr">
        <is>
          <t>RP0002199</t>
        </is>
      </c>
      <c r="B2200" t="inlineStr">
        <is>
          <t>LN200318</t>
        </is>
      </c>
      <c r="C2200" t="n">
        <v>9</v>
      </c>
      <c r="D2200" s="8" t="n">
        <v>46456</v>
      </c>
      <c r="E2200" s="9" t="n">
        <v>22574.25</v>
      </c>
      <c r="F2200" s="8" t="n"/>
      <c r="G2200" s="9" t="n">
        <v>0</v>
      </c>
      <c r="H2200" t="inlineStr">
        <is>
          <t>NOT_DUE</t>
        </is>
      </c>
      <c r="I2200">
        <f>IF(H2200="UNPAID", AsOfDate-D2200, 0)</f>
        <v/>
      </c>
      <c r="J2200">
        <f>IF(F2200&lt;&gt;"", TEXT(F2200, "yyyy-mm"), "")</f>
        <v/>
      </c>
    </row>
    <row r="2201">
      <c r="A2201" t="inlineStr">
        <is>
          <t>RP0002200</t>
        </is>
      </c>
      <c r="B2201" t="inlineStr">
        <is>
          <t>LN200318</t>
        </is>
      </c>
      <c r="C2201" t="n">
        <v>10</v>
      </c>
      <c r="D2201" s="8" t="n">
        <v>46487</v>
      </c>
      <c r="E2201" s="9" t="n">
        <v>22574.25</v>
      </c>
      <c r="F2201" s="8" t="n"/>
      <c r="G2201" s="9" t="n">
        <v>0</v>
      </c>
      <c r="H2201" t="inlineStr">
        <is>
          <t>NOT_DUE</t>
        </is>
      </c>
      <c r="I2201">
        <f>IF(H2201="UNPAID", AsOfDate-D2201, 0)</f>
        <v/>
      </c>
      <c r="J2201">
        <f>IF(F2201&lt;&gt;"", TEXT(F2201, "yyyy-mm"), "")</f>
        <v/>
      </c>
    </row>
    <row r="2202">
      <c r="A2202" t="inlineStr">
        <is>
          <t>RP0002201</t>
        </is>
      </c>
      <c r="B2202" t="inlineStr">
        <is>
          <t>LN200318</t>
        </is>
      </c>
      <c r="C2202" t="n">
        <v>11</v>
      </c>
      <c r="D2202" s="8" t="n">
        <v>46517</v>
      </c>
      <c r="E2202" s="9" t="n">
        <v>22574.25</v>
      </c>
      <c r="F2202" s="8" t="n"/>
      <c r="G2202" s="9" t="n">
        <v>0</v>
      </c>
      <c r="H2202" t="inlineStr">
        <is>
          <t>NOT_DUE</t>
        </is>
      </c>
      <c r="I2202">
        <f>IF(H2202="UNPAID", AsOfDate-D2202, 0)</f>
        <v/>
      </c>
      <c r="J2202">
        <f>IF(F2202&lt;&gt;"", TEXT(F2202, "yyyy-mm"), "")</f>
        <v/>
      </c>
    </row>
    <row r="2203">
      <c r="A2203" t="inlineStr">
        <is>
          <t>RP0002202</t>
        </is>
      </c>
      <c r="B2203" t="inlineStr">
        <is>
          <t>LN200318</t>
        </is>
      </c>
      <c r="C2203" t="n">
        <v>12</v>
      </c>
      <c r="D2203" s="8" t="n">
        <v>46548</v>
      </c>
      <c r="E2203" s="9" t="n">
        <v>22574.25</v>
      </c>
      <c r="F2203" s="8" t="n"/>
      <c r="G2203" s="9" t="n">
        <v>0</v>
      </c>
      <c r="H2203" t="inlineStr">
        <is>
          <t>NOT_DUE</t>
        </is>
      </c>
      <c r="I2203">
        <f>IF(H2203="UNPAID", AsOfDate-D2203, 0)</f>
        <v/>
      </c>
      <c r="J2203">
        <f>IF(F2203&lt;&gt;"", TEXT(F2203, "yyyy-mm"), "")</f>
        <v/>
      </c>
    </row>
    <row r="2204">
      <c r="A2204" t="inlineStr">
        <is>
          <t>RP0002203</t>
        </is>
      </c>
      <c r="B2204" t="inlineStr">
        <is>
          <t>LN200319</t>
        </is>
      </c>
      <c r="C2204" t="n">
        <v>1</v>
      </c>
      <c r="D2204" s="8" t="n">
        <v>45892</v>
      </c>
      <c r="E2204" s="9" t="n">
        <v>13552.5</v>
      </c>
      <c r="F2204" s="8" t="n">
        <v>45892</v>
      </c>
      <c r="G2204" s="9" t="n">
        <v>13552.5</v>
      </c>
      <c r="H2204" t="inlineStr">
        <is>
          <t>PAID_ON_TIME</t>
        </is>
      </c>
      <c r="I2204">
        <f>IF(H2204="UNPAID", AsOfDate-D2204, 0)</f>
        <v/>
      </c>
      <c r="J2204">
        <f>IF(F2204&lt;&gt;"", TEXT(F2204, "yyyy-mm"), "")</f>
        <v/>
      </c>
    </row>
    <row r="2205">
      <c r="A2205" t="inlineStr">
        <is>
          <t>RP0002204</t>
        </is>
      </c>
      <c r="B2205" t="inlineStr">
        <is>
          <t>LN200319</t>
        </is>
      </c>
      <c r="C2205" t="n">
        <v>2</v>
      </c>
      <c r="D2205" s="8" t="n">
        <v>45923</v>
      </c>
      <c r="E2205" s="9" t="n">
        <v>13552.5</v>
      </c>
      <c r="F2205" s="8" t="n">
        <v>45956</v>
      </c>
      <c r="G2205" s="9" t="n">
        <v>13552.5</v>
      </c>
      <c r="H2205" t="inlineStr">
        <is>
          <t>PAID_LATE</t>
        </is>
      </c>
      <c r="I2205">
        <f>IF(H2205="UNPAID", AsOfDate-D2205, 0)</f>
        <v/>
      </c>
      <c r="J2205">
        <f>IF(F2205&lt;&gt;"", TEXT(F2205, "yyyy-mm"), "")</f>
        <v/>
      </c>
    </row>
    <row r="2206">
      <c r="A2206" t="inlineStr">
        <is>
          <t>RP0002205</t>
        </is>
      </c>
      <c r="B2206" t="inlineStr">
        <is>
          <t>LN200319</t>
        </is>
      </c>
      <c r="C2206" t="n">
        <v>3</v>
      </c>
      <c r="D2206" s="8" t="n">
        <v>45953</v>
      </c>
      <c r="E2206" s="9" t="n">
        <v>13552.5</v>
      </c>
      <c r="F2206" s="8" t="n">
        <v>45956</v>
      </c>
      <c r="G2206" s="9" t="n">
        <v>13552.5</v>
      </c>
      <c r="H2206" t="inlineStr">
        <is>
          <t>PAID_ON_TIME</t>
        </is>
      </c>
      <c r="I2206">
        <f>IF(H2206="UNPAID", AsOfDate-D2206, 0)</f>
        <v/>
      </c>
      <c r="J2206">
        <f>IF(F2206&lt;&gt;"", TEXT(F2206, "yyyy-mm"), "")</f>
        <v/>
      </c>
    </row>
    <row r="2207">
      <c r="A2207" t="inlineStr">
        <is>
          <t>RP0002206</t>
        </is>
      </c>
      <c r="B2207" t="inlineStr">
        <is>
          <t>LN200319</t>
        </is>
      </c>
      <c r="C2207" t="n">
        <v>4</v>
      </c>
      <c r="D2207" s="8" t="n">
        <v>45984</v>
      </c>
      <c r="E2207" s="9" t="n">
        <v>13552.5</v>
      </c>
      <c r="F2207" s="8" t="n">
        <v>45984</v>
      </c>
      <c r="G2207" s="9" t="n">
        <v>13552.5</v>
      </c>
      <c r="H2207" t="inlineStr">
        <is>
          <t>PAID_ON_TIME</t>
        </is>
      </c>
      <c r="I2207">
        <f>IF(H2207="UNPAID", AsOfDate-D2207, 0)</f>
        <v/>
      </c>
      <c r="J2207">
        <f>IF(F2207&lt;&gt;"", TEXT(F2207, "yyyy-mm"), "")</f>
        <v/>
      </c>
    </row>
    <row r="2208">
      <c r="A2208" t="inlineStr">
        <is>
          <t>RP0002207</t>
        </is>
      </c>
      <c r="B2208" t="inlineStr">
        <is>
          <t>LN200319</t>
        </is>
      </c>
      <c r="C2208" t="n">
        <v>5</v>
      </c>
      <c r="D2208" s="8" t="n">
        <v>46014</v>
      </c>
      <c r="E2208" s="9" t="n">
        <v>13552.5</v>
      </c>
      <c r="F2208" s="8" t="n">
        <v>46115</v>
      </c>
      <c r="G2208" s="9" t="n">
        <v>13552.5</v>
      </c>
      <c r="H2208" t="inlineStr">
        <is>
          <t>PAID_LATE</t>
        </is>
      </c>
      <c r="I2208">
        <f>IF(H2208="UNPAID", AsOfDate-D2208, 0)</f>
        <v/>
      </c>
      <c r="J2208">
        <f>IF(F2208&lt;&gt;"", TEXT(F2208, "yyyy-mm"), "")</f>
        <v/>
      </c>
    </row>
    <row r="2209">
      <c r="A2209" t="inlineStr">
        <is>
          <t>RP0002208</t>
        </is>
      </c>
      <c r="B2209" t="inlineStr">
        <is>
          <t>LN200319</t>
        </is>
      </c>
      <c r="C2209" t="n">
        <v>6</v>
      </c>
      <c r="D2209" s="8" t="n">
        <v>46045</v>
      </c>
      <c r="E2209" s="9" t="n">
        <v>13552.5</v>
      </c>
      <c r="F2209" s="8" t="n">
        <v>46055</v>
      </c>
      <c r="G2209" s="9" t="n">
        <v>13552.5</v>
      </c>
      <c r="H2209" t="inlineStr">
        <is>
          <t>PAID_LATE</t>
        </is>
      </c>
      <c r="I2209">
        <f>IF(H2209="UNPAID", AsOfDate-D2209, 0)</f>
        <v/>
      </c>
      <c r="J2209">
        <f>IF(F2209&lt;&gt;"", TEXT(F2209, "yyyy-mm"), "")</f>
        <v/>
      </c>
    </row>
    <row r="2210">
      <c r="A2210" t="inlineStr">
        <is>
          <t>RP0002209</t>
        </is>
      </c>
      <c r="B2210" t="inlineStr">
        <is>
          <t>LN200319</t>
        </is>
      </c>
      <c r="C2210" t="n">
        <v>7</v>
      </c>
      <c r="D2210" s="8" t="n">
        <v>46076</v>
      </c>
      <c r="E2210" s="9" t="n">
        <v>13552.5</v>
      </c>
      <c r="F2210" s="8" t="n">
        <v>46076</v>
      </c>
      <c r="G2210" s="9" t="n">
        <v>13552.5</v>
      </c>
      <c r="H2210" t="inlineStr">
        <is>
          <t>PAID_ON_TIME</t>
        </is>
      </c>
      <c r="I2210">
        <f>IF(H2210="UNPAID", AsOfDate-D2210, 0)</f>
        <v/>
      </c>
      <c r="J2210">
        <f>IF(F2210&lt;&gt;"", TEXT(F2210, "yyyy-mm"), "")</f>
        <v/>
      </c>
    </row>
    <row r="2211">
      <c r="A2211" t="inlineStr">
        <is>
          <t>RP0002210</t>
        </is>
      </c>
      <c r="B2211" t="inlineStr">
        <is>
          <t>LN200319</t>
        </is>
      </c>
      <c r="C2211" t="n">
        <v>8</v>
      </c>
      <c r="D2211" s="8" t="n">
        <v>46104</v>
      </c>
      <c r="E2211" s="9" t="n">
        <v>13552.5</v>
      </c>
      <c r="F2211" s="8" t="n">
        <v>46164</v>
      </c>
      <c r="G2211" s="9" t="n">
        <v>13552.5</v>
      </c>
      <c r="H2211" t="inlineStr">
        <is>
          <t>PAID_LATE</t>
        </is>
      </c>
      <c r="I2211">
        <f>IF(H2211="UNPAID", AsOfDate-D2211, 0)</f>
        <v/>
      </c>
      <c r="J2211">
        <f>IF(F2211&lt;&gt;"", TEXT(F2211, "yyyy-mm"), "")</f>
        <v/>
      </c>
    </row>
    <row r="2212">
      <c r="A2212" t="inlineStr">
        <is>
          <t>RP0002211</t>
        </is>
      </c>
      <c r="B2212" t="inlineStr">
        <is>
          <t>LN200319</t>
        </is>
      </c>
      <c r="C2212" t="n">
        <v>9</v>
      </c>
      <c r="D2212" s="8" t="n">
        <v>46135</v>
      </c>
      <c r="E2212" s="9" t="n">
        <v>13552.5</v>
      </c>
      <c r="F2212" s="8" t="n">
        <v>46138</v>
      </c>
      <c r="G2212" s="9" t="n">
        <v>13552.5</v>
      </c>
      <c r="H2212" t="inlineStr">
        <is>
          <t>PAID_ON_TIME</t>
        </is>
      </c>
      <c r="I2212">
        <f>IF(H2212="UNPAID", AsOfDate-D2212, 0)</f>
        <v/>
      </c>
      <c r="J2212">
        <f>IF(F2212&lt;&gt;"", TEXT(F2212, "yyyy-mm"), "")</f>
        <v/>
      </c>
    </row>
    <row r="2213">
      <c r="A2213" t="inlineStr">
        <is>
          <t>RP0002212</t>
        </is>
      </c>
      <c r="B2213" t="inlineStr">
        <is>
          <t>LN200319</t>
        </is>
      </c>
      <c r="C2213" t="n">
        <v>10</v>
      </c>
      <c r="D2213" s="8" t="n">
        <v>46165</v>
      </c>
      <c r="E2213" s="9" t="n">
        <v>13552.5</v>
      </c>
      <c r="F2213" s="8" t="n">
        <v>46163</v>
      </c>
      <c r="G2213" s="9" t="n">
        <v>13552.5</v>
      </c>
      <c r="H2213" t="inlineStr">
        <is>
          <t>PAID_ON_TIME</t>
        </is>
      </c>
      <c r="I2213">
        <f>IF(H2213="UNPAID", AsOfDate-D2213, 0)</f>
        <v/>
      </c>
      <c r="J2213">
        <f>IF(F2213&lt;&gt;"", TEXT(F2213, "yyyy-mm"), "")</f>
        <v/>
      </c>
    </row>
    <row r="2214">
      <c r="A2214" t="inlineStr">
        <is>
          <t>RP0002213</t>
        </is>
      </c>
      <c r="B2214" t="inlineStr">
        <is>
          <t>LN200319</t>
        </is>
      </c>
      <c r="C2214" t="n">
        <v>11</v>
      </c>
      <c r="D2214" s="8" t="n">
        <v>46196</v>
      </c>
      <c r="E2214" s="9" t="n">
        <v>13552.5</v>
      </c>
      <c r="F2214" s="8" t="n">
        <v>46264</v>
      </c>
      <c r="G2214" s="9" t="n">
        <v>13552.5</v>
      </c>
      <c r="H2214" t="inlineStr">
        <is>
          <t>PAID_LATE</t>
        </is>
      </c>
      <c r="I2214">
        <f>IF(H2214="UNPAID", AsOfDate-D2214, 0)</f>
        <v/>
      </c>
      <c r="J2214">
        <f>IF(F2214&lt;&gt;"", TEXT(F2214, "yyyy-mm"), "")</f>
        <v/>
      </c>
    </row>
    <row r="2215">
      <c r="A2215" t="inlineStr">
        <is>
          <t>RP0002214</t>
        </is>
      </c>
      <c r="B2215" t="inlineStr">
        <is>
          <t>LN200319</t>
        </is>
      </c>
      <c r="C2215" t="n">
        <v>12</v>
      </c>
      <c r="D2215" s="8" t="n">
        <v>46226</v>
      </c>
      <c r="E2215" s="9" t="n">
        <v>13552.5</v>
      </c>
      <c r="F2215" s="8" t="n">
        <v>46223</v>
      </c>
      <c r="G2215" s="9" t="n">
        <v>13552.5</v>
      </c>
      <c r="H2215" t="inlineStr">
        <is>
          <t>PAID_ON_TIME</t>
        </is>
      </c>
      <c r="I2215">
        <f>IF(H2215="UNPAID", AsOfDate-D2215, 0)</f>
        <v/>
      </c>
      <c r="J2215">
        <f>IF(F2215&lt;&gt;"", TEXT(F2215, "yyyy-mm"), "")</f>
        <v/>
      </c>
    </row>
    <row r="2216">
      <c r="A2216" t="inlineStr">
        <is>
          <t>RP0002215</t>
        </is>
      </c>
      <c r="B2216" t="inlineStr">
        <is>
          <t>LN200320</t>
        </is>
      </c>
      <c r="C2216" t="n">
        <v>1</v>
      </c>
      <c r="D2216" s="8" t="n">
        <v>45972</v>
      </c>
      <c r="E2216" s="9" t="n">
        <v>29624</v>
      </c>
      <c r="F2216" s="8" t="n">
        <v>45975</v>
      </c>
      <c r="G2216" s="9" t="n">
        <v>29624</v>
      </c>
      <c r="H2216" t="inlineStr">
        <is>
          <t>PAID_ON_TIME</t>
        </is>
      </c>
      <c r="I2216">
        <f>IF(H2216="UNPAID", AsOfDate-D2216, 0)</f>
        <v/>
      </c>
      <c r="J2216">
        <f>IF(F2216&lt;&gt;"", TEXT(F2216, "yyyy-mm"), "")</f>
        <v/>
      </c>
    </row>
    <row r="2217">
      <c r="A2217" t="inlineStr">
        <is>
          <t>RP0002216</t>
        </is>
      </c>
      <c r="B2217" t="inlineStr">
        <is>
          <t>LN200320</t>
        </is>
      </c>
      <c r="C2217" t="n">
        <v>2</v>
      </c>
      <c r="D2217" s="8" t="n">
        <v>46002</v>
      </c>
      <c r="E2217" s="9" t="n">
        <v>29624</v>
      </c>
      <c r="F2217" s="8" t="n">
        <v>46004</v>
      </c>
      <c r="G2217" s="9" t="n">
        <v>29624</v>
      </c>
      <c r="H2217" t="inlineStr">
        <is>
          <t>PAID_ON_TIME</t>
        </is>
      </c>
      <c r="I2217">
        <f>IF(H2217="UNPAID", AsOfDate-D2217, 0)</f>
        <v/>
      </c>
      <c r="J2217">
        <f>IF(F2217&lt;&gt;"", TEXT(F2217, "yyyy-mm"), "")</f>
        <v/>
      </c>
    </row>
    <row r="2218">
      <c r="A2218" t="inlineStr">
        <is>
          <t>RP0002217</t>
        </is>
      </c>
      <c r="B2218" t="inlineStr">
        <is>
          <t>LN200320</t>
        </is>
      </c>
      <c r="C2218" t="n">
        <v>3</v>
      </c>
      <c r="D2218" s="8" t="n">
        <v>46033</v>
      </c>
      <c r="E2218" s="9" t="n">
        <v>29624</v>
      </c>
      <c r="F2218" s="8" t="n">
        <v>46030</v>
      </c>
      <c r="G2218" s="9" t="n">
        <v>29624</v>
      </c>
      <c r="H2218" t="inlineStr">
        <is>
          <t>PAID_ON_TIME</t>
        </is>
      </c>
      <c r="I2218">
        <f>IF(H2218="UNPAID", AsOfDate-D2218, 0)</f>
        <v/>
      </c>
      <c r="J2218">
        <f>IF(F2218&lt;&gt;"", TEXT(F2218, "yyyy-mm"), "")</f>
        <v/>
      </c>
    </row>
    <row r="2219">
      <c r="A2219" t="inlineStr">
        <is>
          <t>RP0002218</t>
        </is>
      </c>
      <c r="B2219" t="inlineStr">
        <is>
          <t>LN200320</t>
        </is>
      </c>
      <c r="C2219" t="n">
        <v>4</v>
      </c>
      <c r="D2219" s="8" t="n">
        <v>46064</v>
      </c>
      <c r="E2219" s="9" t="n">
        <v>29624</v>
      </c>
      <c r="F2219" s="8" t="n">
        <v>46062</v>
      </c>
      <c r="G2219" s="9" t="n">
        <v>29624</v>
      </c>
      <c r="H2219" t="inlineStr">
        <is>
          <t>PAID_ON_TIME</t>
        </is>
      </c>
      <c r="I2219">
        <f>IF(H2219="UNPAID", AsOfDate-D2219, 0)</f>
        <v/>
      </c>
      <c r="J2219">
        <f>IF(F2219&lt;&gt;"", TEXT(F2219, "yyyy-mm"), "")</f>
        <v/>
      </c>
    </row>
    <row r="2220">
      <c r="A2220" t="inlineStr">
        <is>
          <t>RP0002219</t>
        </is>
      </c>
      <c r="B2220" t="inlineStr">
        <is>
          <t>LN200320</t>
        </is>
      </c>
      <c r="C2220" t="n">
        <v>5</v>
      </c>
      <c r="D2220" s="8" t="n">
        <v>46092</v>
      </c>
      <c r="E2220" s="9" t="n">
        <v>29624</v>
      </c>
      <c r="F2220" s="8" t="n">
        <v>46089</v>
      </c>
      <c r="G2220" s="9" t="n">
        <v>29624</v>
      </c>
      <c r="H2220" t="inlineStr">
        <is>
          <t>PAID_ON_TIME</t>
        </is>
      </c>
      <c r="I2220">
        <f>IF(H2220="UNPAID", AsOfDate-D2220, 0)</f>
        <v/>
      </c>
      <c r="J2220">
        <f>IF(F2220&lt;&gt;"", TEXT(F2220, "yyyy-mm"), "")</f>
        <v/>
      </c>
    </row>
    <row r="2221">
      <c r="A2221" t="inlineStr">
        <is>
          <t>RP0002220</t>
        </is>
      </c>
      <c r="B2221" t="inlineStr">
        <is>
          <t>LN200320</t>
        </is>
      </c>
      <c r="C2221" t="n">
        <v>6</v>
      </c>
      <c r="D2221" s="8" t="n">
        <v>46123</v>
      </c>
      <c r="E2221" s="9" t="n">
        <v>29624</v>
      </c>
      <c r="F2221" s="8" t="n">
        <v>46122</v>
      </c>
      <c r="G2221" s="9" t="n">
        <v>29624</v>
      </c>
      <c r="H2221" t="inlineStr">
        <is>
          <t>PAID_ON_TIME</t>
        </is>
      </c>
      <c r="I2221">
        <f>IF(H2221="UNPAID", AsOfDate-D2221, 0)</f>
        <v/>
      </c>
      <c r="J2221">
        <f>IF(F2221&lt;&gt;"", TEXT(F2221, "yyyy-mm"), "")</f>
        <v/>
      </c>
    </row>
    <row r="2222">
      <c r="A2222" t="inlineStr">
        <is>
          <t>RP0002221</t>
        </is>
      </c>
      <c r="B2222" t="inlineStr">
        <is>
          <t>LN200321</t>
        </is>
      </c>
      <c r="C2222" t="n">
        <v>1</v>
      </c>
      <c r="D2222" s="8" t="n">
        <v>45769</v>
      </c>
      <c r="E2222" s="9" t="n">
        <v>4609.97</v>
      </c>
      <c r="F2222" s="8" t="n"/>
      <c r="G2222" s="9" t="n">
        <v>0</v>
      </c>
      <c r="H2222" t="inlineStr">
        <is>
          <t>UNPAID</t>
        </is>
      </c>
      <c r="I2222">
        <f>IF(H2222="UNPAID", AsOfDate-D2222, 0)</f>
        <v/>
      </c>
      <c r="J2222">
        <f>IF(F2222&lt;&gt;"", TEXT(F2222, "yyyy-mm"), "")</f>
        <v/>
      </c>
    </row>
    <row r="2223">
      <c r="A2223" t="inlineStr">
        <is>
          <t>RP0002222</t>
        </is>
      </c>
      <c r="B2223" t="inlineStr">
        <is>
          <t>LN200321</t>
        </is>
      </c>
      <c r="C2223" t="n">
        <v>2</v>
      </c>
      <c r="D2223" s="8" t="n">
        <v>45799</v>
      </c>
      <c r="E2223" s="9" t="n">
        <v>4609.97</v>
      </c>
      <c r="F2223" s="8" t="n">
        <v>45798</v>
      </c>
      <c r="G2223" s="9" t="n">
        <v>4609.97</v>
      </c>
      <c r="H2223" t="inlineStr">
        <is>
          <t>PAID_ON_TIME</t>
        </is>
      </c>
      <c r="I2223">
        <f>IF(H2223="UNPAID", AsOfDate-D2223, 0)</f>
        <v/>
      </c>
      <c r="J2223">
        <f>IF(F2223&lt;&gt;"", TEXT(F2223, "yyyy-mm"), "")</f>
        <v/>
      </c>
    </row>
    <row r="2224">
      <c r="A2224" t="inlineStr">
        <is>
          <t>RP0002223</t>
        </is>
      </c>
      <c r="B2224" t="inlineStr">
        <is>
          <t>LN200321</t>
        </is>
      </c>
      <c r="C2224" t="n">
        <v>3</v>
      </c>
      <c r="D2224" s="8" t="n">
        <v>45830</v>
      </c>
      <c r="E2224" s="9" t="n">
        <v>4609.97</v>
      </c>
      <c r="F2224" s="8" t="n">
        <v>45834</v>
      </c>
      <c r="G2224" s="9" t="n">
        <v>4609.97</v>
      </c>
      <c r="H2224" t="inlineStr">
        <is>
          <t>PAID_ON_TIME</t>
        </is>
      </c>
      <c r="I2224">
        <f>IF(H2224="UNPAID", AsOfDate-D2224, 0)</f>
        <v/>
      </c>
      <c r="J2224">
        <f>IF(F2224&lt;&gt;"", TEXT(F2224, "yyyy-mm"), "")</f>
        <v/>
      </c>
    </row>
    <row r="2225">
      <c r="A2225" t="inlineStr">
        <is>
          <t>RP0002224</t>
        </is>
      </c>
      <c r="B2225" t="inlineStr">
        <is>
          <t>LN200321</t>
        </is>
      </c>
      <c r="C2225" t="n">
        <v>4</v>
      </c>
      <c r="D2225" s="8" t="n">
        <v>45860</v>
      </c>
      <c r="E2225" s="9" t="n">
        <v>4609.97</v>
      </c>
      <c r="F2225" s="8" t="n">
        <v>45858</v>
      </c>
      <c r="G2225" s="9" t="n">
        <v>4609.97</v>
      </c>
      <c r="H2225" t="inlineStr">
        <is>
          <t>PAID_ON_TIME</t>
        </is>
      </c>
      <c r="I2225">
        <f>IF(H2225="UNPAID", AsOfDate-D2225, 0)</f>
        <v/>
      </c>
      <c r="J2225">
        <f>IF(F2225&lt;&gt;"", TEXT(F2225, "yyyy-mm"), "")</f>
        <v/>
      </c>
    </row>
    <row r="2226">
      <c r="A2226" t="inlineStr">
        <is>
          <t>RP0002225</t>
        </is>
      </c>
      <c r="B2226" t="inlineStr">
        <is>
          <t>LN200321</t>
        </is>
      </c>
      <c r="C2226" t="n">
        <v>5</v>
      </c>
      <c r="D2226" s="8" t="n">
        <v>45891</v>
      </c>
      <c r="E2226" s="9" t="n">
        <v>4609.97</v>
      </c>
      <c r="F2226" s="8" t="n">
        <v>45888</v>
      </c>
      <c r="G2226" s="9" t="n">
        <v>4609.97</v>
      </c>
      <c r="H2226" t="inlineStr">
        <is>
          <t>PAID_ON_TIME</t>
        </is>
      </c>
      <c r="I2226">
        <f>IF(H2226="UNPAID", AsOfDate-D2226, 0)</f>
        <v/>
      </c>
      <c r="J2226">
        <f>IF(F2226&lt;&gt;"", TEXT(F2226, "yyyy-mm"), "")</f>
        <v/>
      </c>
    </row>
    <row r="2227">
      <c r="A2227" t="inlineStr">
        <is>
          <t>RP0002226</t>
        </is>
      </c>
      <c r="B2227" t="inlineStr">
        <is>
          <t>LN200321</t>
        </is>
      </c>
      <c r="C2227" t="n">
        <v>6</v>
      </c>
      <c r="D2227" s="8" t="n">
        <v>45922</v>
      </c>
      <c r="E2227" s="9" t="n">
        <v>4609.97</v>
      </c>
      <c r="F2227" s="8" t="n">
        <v>45921</v>
      </c>
      <c r="G2227" s="9" t="n">
        <v>4609.97</v>
      </c>
      <c r="H2227" t="inlineStr">
        <is>
          <t>PAID_ON_TIME</t>
        </is>
      </c>
      <c r="I2227">
        <f>IF(H2227="UNPAID", AsOfDate-D2227, 0)</f>
        <v/>
      </c>
      <c r="J2227">
        <f>IF(F2227&lt;&gt;"", TEXT(F2227, "yyyy-mm"), "")</f>
        <v/>
      </c>
    </row>
    <row r="2228">
      <c r="A2228" t="inlineStr">
        <is>
          <t>RP0002227</t>
        </is>
      </c>
      <c r="B2228" t="inlineStr">
        <is>
          <t>LN200321</t>
        </is>
      </c>
      <c r="C2228" t="n">
        <v>7</v>
      </c>
      <c r="D2228" s="8" t="n">
        <v>45952</v>
      </c>
      <c r="E2228" s="9" t="n">
        <v>4609.97</v>
      </c>
      <c r="F2228" s="8" t="n">
        <v>45950</v>
      </c>
      <c r="G2228" s="9" t="n">
        <v>4609.97</v>
      </c>
      <c r="H2228" t="inlineStr">
        <is>
          <t>PAID_ON_TIME</t>
        </is>
      </c>
      <c r="I2228">
        <f>IF(H2228="UNPAID", AsOfDate-D2228, 0)</f>
        <v/>
      </c>
      <c r="J2228">
        <f>IF(F2228&lt;&gt;"", TEXT(F2228, "yyyy-mm"), "")</f>
        <v/>
      </c>
    </row>
    <row r="2229">
      <c r="A2229" t="inlineStr">
        <is>
          <t>RP0002228</t>
        </is>
      </c>
      <c r="B2229" t="inlineStr">
        <is>
          <t>LN200321</t>
        </is>
      </c>
      <c r="C2229" t="n">
        <v>8</v>
      </c>
      <c r="D2229" s="8" t="n">
        <v>45983</v>
      </c>
      <c r="E2229" s="9" t="n">
        <v>4609.97</v>
      </c>
      <c r="F2229" s="8" t="n">
        <v>46001</v>
      </c>
      <c r="G2229" s="9" t="n">
        <v>4609.97</v>
      </c>
      <c r="H2229" t="inlineStr">
        <is>
          <t>PAID_LATE</t>
        </is>
      </c>
      <c r="I2229">
        <f>IF(H2229="UNPAID", AsOfDate-D2229, 0)</f>
        <v/>
      </c>
      <c r="J2229">
        <f>IF(F2229&lt;&gt;"", TEXT(F2229, "yyyy-mm"), "")</f>
        <v/>
      </c>
    </row>
    <row r="2230">
      <c r="A2230" t="inlineStr">
        <is>
          <t>RP0002229</t>
        </is>
      </c>
      <c r="B2230" t="inlineStr">
        <is>
          <t>LN200321</t>
        </is>
      </c>
      <c r="C2230" t="n">
        <v>9</v>
      </c>
      <c r="D2230" s="8" t="n">
        <v>46013</v>
      </c>
      <c r="E2230" s="9" t="n">
        <v>4609.97</v>
      </c>
      <c r="F2230" s="8" t="n">
        <v>46010</v>
      </c>
      <c r="G2230" s="9" t="n">
        <v>4609.97</v>
      </c>
      <c r="H2230" t="inlineStr">
        <is>
          <t>PAID_ON_TIME</t>
        </is>
      </c>
      <c r="I2230">
        <f>IF(H2230="UNPAID", AsOfDate-D2230, 0)</f>
        <v/>
      </c>
      <c r="J2230">
        <f>IF(F2230&lt;&gt;"", TEXT(F2230, "yyyy-mm"), "")</f>
        <v/>
      </c>
    </row>
    <row r="2231">
      <c r="A2231" t="inlineStr">
        <is>
          <t>RP0002230</t>
        </is>
      </c>
      <c r="B2231" t="inlineStr">
        <is>
          <t>LN200321</t>
        </is>
      </c>
      <c r="C2231" t="n">
        <v>10</v>
      </c>
      <c r="D2231" s="8" t="n">
        <v>46044</v>
      </c>
      <c r="E2231" s="9" t="n">
        <v>4609.97</v>
      </c>
      <c r="F2231" s="8" t="n">
        <v>46046</v>
      </c>
      <c r="G2231" s="9" t="n">
        <v>4609.97</v>
      </c>
      <c r="H2231" t="inlineStr">
        <is>
          <t>PAID_ON_TIME</t>
        </is>
      </c>
      <c r="I2231">
        <f>IF(H2231="UNPAID", AsOfDate-D2231, 0)</f>
        <v/>
      </c>
      <c r="J2231">
        <f>IF(F2231&lt;&gt;"", TEXT(F2231, "yyyy-mm"), "")</f>
        <v/>
      </c>
    </row>
    <row r="2232">
      <c r="A2232" t="inlineStr">
        <is>
          <t>RP0002231</t>
        </is>
      </c>
      <c r="B2232" t="inlineStr">
        <is>
          <t>LN200321</t>
        </is>
      </c>
      <c r="C2232" t="n">
        <v>11</v>
      </c>
      <c r="D2232" s="8" t="n">
        <v>46075</v>
      </c>
      <c r="E2232" s="9" t="n">
        <v>4609.97</v>
      </c>
      <c r="F2232" s="8" t="n">
        <v>46075</v>
      </c>
      <c r="G2232" s="9" t="n">
        <v>4609.97</v>
      </c>
      <c r="H2232" t="inlineStr">
        <is>
          <t>PAID_ON_TIME</t>
        </is>
      </c>
      <c r="I2232">
        <f>IF(H2232="UNPAID", AsOfDate-D2232, 0)</f>
        <v/>
      </c>
      <c r="J2232">
        <f>IF(F2232&lt;&gt;"", TEXT(F2232, "yyyy-mm"), "")</f>
        <v/>
      </c>
    </row>
    <row r="2233">
      <c r="A2233" t="inlineStr">
        <is>
          <t>RP0002232</t>
        </is>
      </c>
      <c r="B2233" t="inlineStr">
        <is>
          <t>LN200321</t>
        </is>
      </c>
      <c r="C2233" t="n">
        <v>12</v>
      </c>
      <c r="D2233" s="8" t="n">
        <v>46103</v>
      </c>
      <c r="E2233" s="9" t="n">
        <v>4609.97</v>
      </c>
      <c r="F2233" s="8" t="n">
        <v>46101</v>
      </c>
      <c r="G2233" s="9" t="n">
        <v>4609.97</v>
      </c>
      <c r="H2233" t="inlineStr">
        <is>
          <t>PAID_ON_TIME</t>
        </is>
      </c>
      <c r="I2233">
        <f>IF(H2233="UNPAID", AsOfDate-D2233, 0)</f>
        <v/>
      </c>
      <c r="J2233">
        <f>IF(F2233&lt;&gt;"", TEXT(F2233, "yyyy-mm"), "")</f>
        <v/>
      </c>
    </row>
    <row r="2234">
      <c r="A2234" t="inlineStr">
        <is>
          <t>RP0002233</t>
        </is>
      </c>
      <c r="B2234" t="inlineStr">
        <is>
          <t>LN200321</t>
        </is>
      </c>
      <c r="C2234" t="n">
        <v>13</v>
      </c>
      <c r="D2234" s="8" t="n">
        <v>46134</v>
      </c>
      <c r="E2234" s="9" t="n">
        <v>4609.97</v>
      </c>
      <c r="F2234" s="8" t="n">
        <v>46134</v>
      </c>
      <c r="G2234" s="9" t="n">
        <v>4609.97</v>
      </c>
      <c r="H2234" t="inlineStr">
        <is>
          <t>PAID_ON_TIME</t>
        </is>
      </c>
      <c r="I2234">
        <f>IF(H2234="UNPAID", AsOfDate-D2234, 0)</f>
        <v/>
      </c>
      <c r="J2234">
        <f>IF(F2234&lt;&gt;"", TEXT(F2234, "yyyy-mm"), "")</f>
        <v/>
      </c>
    </row>
    <row r="2235">
      <c r="A2235" t="inlineStr">
        <is>
          <t>RP0002234</t>
        </is>
      </c>
      <c r="B2235" t="inlineStr">
        <is>
          <t>LN200321</t>
        </is>
      </c>
      <c r="C2235" t="n">
        <v>14</v>
      </c>
      <c r="D2235" s="8" t="n">
        <v>46164</v>
      </c>
      <c r="E2235" s="9" t="n">
        <v>4609.97</v>
      </c>
      <c r="F2235" s="8" t="n">
        <v>46161</v>
      </c>
      <c r="G2235" s="9" t="n">
        <v>4609.97</v>
      </c>
      <c r="H2235" t="inlineStr">
        <is>
          <t>PAID_ON_TIME</t>
        </is>
      </c>
      <c r="I2235">
        <f>IF(H2235="UNPAID", AsOfDate-D2235, 0)</f>
        <v/>
      </c>
      <c r="J2235">
        <f>IF(F2235&lt;&gt;"", TEXT(F2235, "yyyy-mm"), "")</f>
        <v/>
      </c>
    </row>
    <row r="2236">
      <c r="A2236" t="inlineStr">
        <is>
          <t>RP0002235</t>
        </is>
      </c>
      <c r="B2236" t="inlineStr">
        <is>
          <t>LN200321</t>
        </is>
      </c>
      <c r="C2236" t="n">
        <v>15</v>
      </c>
      <c r="D2236" s="8" t="n">
        <v>46195</v>
      </c>
      <c r="E2236" s="9" t="n">
        <v>4609.97</v>
      </c>
      <c r="F2236" s="8" t="n">
        <v>46197</v>
      </c>
      <c r="G2236" s="9" t="n">
        <v>4609.97</v>
      </c>
      <c r="H2236" t="inlineStr">
        <is>
          <t>PAID_ON_TIME</t>
        </is>
      </c>
      <c r="I2236">
        <f>IF(H2236="UNPAID", AsOfDate-D2236, 0)</f>
        <v/>
      </c>
      <c r="J2236">
        <f>IF(F2236&lt;&gt;"", TEXT(F2236, "yyyy-mm"), "")</f>
        <v/>
      </c>
    </row>
    <row r="2237">
      <c r="A2237" t="inlineStr">
        <is>
          <t>RP0002236</t>
        </is>
      </c>
      <c r="B2237" t="inlineStr">
        <is>
          <t>LN200321</t>
        </is>
      </c>
      <c r="C2237" t="n">
        <v>16</v>
      </c>
      <c r="D2237" s="8" t="n">
        <v>46225</v>
      </c>
      <c r="E2237" s="9" t="n">
        <v>4609.97</v>
      </c>
      <c r="F2237" s="8" t="n">
        <v>46227</v>
      </c>
      <c r="G2237" s="9" t="n">
        <v>4609.97</v>
      </c>
      <c r="H2237" t="inlineStr">
        <is>
          <t>PAID_ON_TIME</t>
        </is>
      </c>
      <c r="I2237">
        <f>IF(H2237="UNPAID", AsOfDate-D2237, 0)</f>
        <v/>
      </c>
      <c r="J2237">
        <f>IF(F2237&lt;&gt;"", TEXT(F2237, "yyyy-mm"), "")</f>
        <v/>
      </c>
    </row>
    <row r="2238">
      <c r="A2238" t="inlineStr">
        <is>
          <t>RP0002237</t>
        </is>
      </c>
      <c r="B2238" t="inlineStr">
        <is>
          <t>LN200321</t>
        </is>
      </c>
      <c r="C2238" t="n">
        <v>17</v>
      </c>
      <c r="D2238" s="8" t="n">
        <v>46256</v>
      </c>
      <c r="E2238" s="9" t="n">
        <v>4609.97</v>
      </c>
      <c r="F2238" s="8" t="n">
        <v>46259</v>
      </c>
      <c r="G2238" s="9" t="n">
        <v>4609.97</v>
      </c>
      <c r="H2238" t="inlineStr">
        <is>
          <t>PAID_ON_TIME</t>
        </is>
      </c>
      <c r="I2238">
        <f>IF(H2238="UNPAID", AsOfDate-D2238, 0)</f>
        <v/>
      </c>
      <c r="J2238">
        <f>IF(F2238&lt;&gt;"", TEXT(F2238, "yyyy-mm"), "")</f>
        <v/>
      </c>
    </row>
    <row r="2239">
      <c r="A2239" t="inlineStr">
        <is>
          <t>RP0002238</t>
        </is>
      </c>
      <c r="B2239" t="inlineStr">
        <is>
          <t>LN200321</t>
        </is>
      </c>
      <c r="C2239" t="n">
        <v>18</v>
      </c>
      <c r="D2239" s="8" t="n">
        <v>46287</v>
      </c>
      <c r="E2239" s="9" t="n">
        <v>4609.97</v>
      </c>
      <c r="F2239" s="8" t="n"/>
      <c r="G2239" s="9" t="n">
        <v>0</v>
      </c>
      <c r="H2239" t="inlineStr">
        <is>
          <t>NOT_DUE</t>
        </is>
      </c>
      <c r="I2239">
        <f>IF(H2239="UNPAID", AsOfDate-D2239, 0)</f>
        <v/>
      </c>
      <c r="J2239">
        <f>IF(F2239&lt;&gt;"", TEXT(F2239, "yyyy-mm"), "")</f>
        <v/>
      </c>
    </row>
    <row r="2240">
      <c r="A2240" t="inlineStr">
        <is>
          <t>RP0002239</t>
        </is>
      </c>
      <c r="B2240" t="inlineStr">
        <is>
          <t>LN200322</t>
        </is>
      </c>
      <c r="C2240" t="n">
        <v>1</v>
      </c>
      <c r="D2240" s="8" t="n">
        <v>45911</v>
      </c>
      <c r="E2240" s="9" t="n">
        <v>30786.58</v>
      </c>
      <c r="F2240" s="8" t="n">
        <v>45908</v>
      </c>
      <c r="G2240" s="9" t="n">
        <v>30786.58</v>
      </c>
      <c r="H2240" t="inlineStr">
        <is>
          <t>PAID_ON_TIME</t>
        </is>
      </c>
      <c r="I2240">
        <f>IF(H2240="UNPAID", AsOfDate-D2240, 0)</f>
        <v/>
      </c>
      <c r="J2240">
        <f>IF(F2240&lt;&gt;"", TEXT(F2240, "yyyy-mm"), "")</f>
        <v/>
      </c>
    </row>
    <row r="2241">
      <c r="A2241" t="inlineStr">
        <is>
          <t>RP0002240</t>
        </is>
      </c>
      <c r="B2241" t="inlineStr">
        <is>
          <t>LN200322</t>
        </is>
      </c>
      <c r="C2241" t="n">
        <v>2</v>
      </c>
      <c r="D2241" s="8" t="n">
        <v>45941</v>
      </c>
      <c r="E2241" s="9" t="n">
        <v>30786.58</v>
      </c>
      <c r="F2241" s="8" t="n">
        <v>45955</v>
      </c>
      <c r="G2241" s="9" t="n">
        <v>30786.58</v>
      </c>
      <c r="H2241" t="inlineStr">
        <is>
          <t>PAID_LATE</t>
        </is>
      </c>
      <c r="I2241">
        <f>IF(H2241="UNPAID", AsOfDate-D2241, 0)</f>
        <v/>
      </c>
      <c r="J2241">
        <f>IF(F2241&lt;&gt;"", TEXT(F2241, "yyyy-mm"), "")</f>
        <v/>
      </c>
    </row>
    <row r="2242">
      <c r="A2242" t="inlineStr">
        <is>
          <t>RP0002241</t>
        </is>
      </c>
      <c r="B2242" t="inlineStr">
        <is>
          <t>LN200322</t>
        </is>
      </c>
      <c r="C2242" t="n">
        <v>3</v>
      </c>
      <c r="D2242" s="8" t="n">
        <v>45972</v>
      </c>
      <c r="E2242" s="9" t="n">
        <v>30786.58</v>
      </c>
      <c r="F2242" s="8" t="n">
        <v>45973</v>
      </c>
      <c r="G2242" s="9" t="n">
        <v>30786.58</v>
      </c>
      <c r="H2242" t="inlineStr">
        <is>
          <t>PAID_ON_TIME</t>
        </is>
      </c>
      <c r="I2242">
        <f>IF(H2242="UNPAID", AsOfDate-D2242, 0)</f>
        <v/>
      </c>
      <c r="J2242">
        <f>IF(F2242&lt;&gt;"", TEXT(F2242, "yyyy-mm"), "")</f>
        <v/>
      </c>
    </row>
    <row r="2243">
      <c r="A2243" t="inlineStr">
        <is>
          <t>RP0002242</t>
        </is>
      </c>
      <c r="B2243" t="inlineStr">
        <is>
          <t>LN200323</t>
        </is>
      </c>
      <c r="C2243" t="n">
        <v>1</v>
      </c>
      <c r="D2243" s="8" t="n">
        <v>46013</v>
      </c>
      <c r="E2243" s="9" t="n">
        <v>21245.25</v>
      </c>
      <c r="F2243" s="8" t="n">
        <v>46015</v>
      </c>
      <c r="G2243" s="9" t="n">
        <v>21245.25</v>
      </c>
      <c r="H2243" t="inlineStr">
        <is>
          <t>PAID_ON_TIME</t>
        </is>
      </c>
      <c r="I2243">
        <f>IF(H2243="UNPAID", AsOfDate-D2243, 0)</f>
        <v/>
      </c>
      <c r="J2243">
        <f>IF(F2243&lt;&gt;"", TEXT(F2243, "yyyy-mm"), "")</f>
        <v/>
      </c>
    </row>
    <row r="2244">
      <c r="A2244" t="inlineStr">
        <is>
          <t>RP0002243</t>
        </is>
      </c>
      <c r="B2244" t="inlineStr">
        <is>
          <t>LN200323</t>
        </is>
      </c>
      <c r="C2244" t="n">
        <v>2</v>
      </c>
      <c r="D2244" s="8" t="n">
        <v>46044</v>
      </c>
      <c r="E2244" s="9" t="n">
        <v>21245.25</v>
      </c>
      <c r="F2244" s="8" t="n">
        <v>46047</v>
      </c>
      <c r="G2244" s="9" t="n">
        <v>21245.25</v>
      </c>
      <c r="H2244" t="inlineStr">
        <is>
          <t>PAID_ON_TIME</t>
        </is>
      </c>
      <c r="I2244">
        <f>IF(H2244="UNPAID", AsOfDate-D2244, 0)</f>
        <v/>
      </c>
      <c r="J2244">
        <f>IF(F2244&lt;&gt;"", TEXT(F2244, "yyyy-mm"), "")</f>
        <v/>
      </c>
    </row>
    <row r="2245">
      <c r="A2245" t="inlineStr">
        <is>
          <t>RP0002244</t>
        </is>
      </c>
      <c r="B2245" t="inlineStr">
        <is>
          <t>LN200323</t>
        </is>
      </c>
      <c r="C2245" t="n">
        <v>3</v>
      </c>
      <c r="D2245" s="8" t="n">
        <v>46075</v>
      </c>
      <c r="E2245" s="9" t="n">
        <v>21245.25</v>
      </c>
      <c r="F2245" s="8" t="n">
        <v>46076</v>
      </c>
      <c r="G2245" s="9" t="n">
        <v>21245.25</v>
      </c>
      <c r="H2245" t="inlineStr">
        <is>
          <t>PAID_ON_TIME</t>
        </is>
      </c>
      <c r="I2245">
        <f>IF(H2245="UNPAID", AsOfDate-D2245, 0)</f>
        <v/>
      </c>
      <c r="J2245">
        <f>IF(F2245&lt;&gt;"", TEXT(F2245, "yyyy-mm"), "")</f>
        <v/>
      </c>
    </row>
    <row r="2246">
      <c r="A2246" t="inlineStr">
        <is>
          <t>RP0002245</t>
        </is>
      </c>
      <c r="B2246" t="inlineStr">
        <is>
          <t>LN200323</t>
        </is>
      </c>
      <c r="C2246" t="n">
        <v>4</v>
      </c>
      <c r="D2246" s="8" t="n">
        <v>46103</v>
      </c>
      <c r="E2246" s="9" t="n">
        <v>21245.25</v>
      </c>
      <c r="F2246" s="8" t="n">
        <v>46159</v>
      </c>
      <c r="G2246" s="9" t="n">
        <v>21245.25</v>
      </c>
      <c r="H2246" t="inlineStr">
        <is>
          <t>PAID_LATE</t>
        </is>
      </c>
      <c r="I2246">
        <f>IF(H2246="UNPAID", AsOfDate-D2246, 0)</f>
        <v/>
      </c>
      <c r="J2246">
        <f>IF(F2246&lt;&gt;"", TEXT(F2246, "yyyy-mm"), "")</f>
        <v/>
      </c>
    </row>
    <row r="2247">
      <c r="A2247" t="inlineStr">
        <is>
          <t>RP0002246</t>
        </is>
      </c>
      <c r="B2247" t="inlineStr">
        <is>
          <t>LN200323</t>
        </is>
      </c>
      <c r="C2247" t="n">
        <v>5</v>
      </c>
      <c r="D2247" s="8" t="n">
        <v>46134</v>
      </c>
      <c r="E2247" s="9" t="n">
        <v>21245.25</v>
      </c>
      <c r="F2247" s="8" t="n">
        <v>46136</v>
      </c>
      <c r="G2247" s="9" t="n">
        <v>21245.25</v>
      </c>
      <c r="H2247" t="inlineStr">
        <is>
          <t>PAID_ON_TIME</t>
        </is>
      </c>
      <c r="I2247">
        <f>IF(H2247="UNPAID", AsOfDate-D2247, 0)</f>
        <v/>
      </c>
      <c r="J2247">
        <f>IF(F2247&lt;&gt;"", TEXT(F2247, "yyyy-mm"), "")</f>
        <v/>
      </c>
    </row>
    <row r="2248">
      <c r="A2248" t="inlineStr">
        <is>
          <t>RP0002247</t>
        </is>
      </c>
      <c r="B2248" t="inlineStr">
        <is>
          <t>LN200323</t>
        </is>
      </c>
      <c r="C2248" t="n">
        <v>6</v>
      </c>
      <c r="D2248" s="8" t="n">
        <v>46164</v>
      </c>
      <c r="E2248" s="9" t="n">
        <v>21245.25</v>
      </c>
      <c r="F2248" s="8" t="n">
        <v>46162</v>
      </c>
      <c r="G2248" s="9" t="n">
        <v>21245.25</v>
      </c>
      <c r="H2248" t="inlineStr">
        <is>
          <t>PAID_ON_TIME</t>
        </is>
      </c>
      <c r="I2248">
        <f>IF(H2248="UNPAID", AsOfDate-D2248, 0)</f>
        <v/>
      </c>
      <c r="J2248">
        <f>IF(F2248&lt;&gt;"", TEXT(F2248, "yyyy-mm"), "")</f>
        <v/>
      </c>
    </row>
    <row r="2249">
      <c r="A2249" t="inlineStr">
        <is>
          <t>RP0002248</t>
        </is>
      </c>
      <c r="B2249" t="inlineStr">
        <is>
          <t>LN200324</t>
        </is>
      </c>
      <c r="C2249" t="n">
        <v>1</v>
      </c>
      <c r="D2249" s="8" t="n">
        <v>46044</v>
      </c>
      <c r="E2249" s="9" t="n">
        <v>10987.78</v>
      </c>
      <c r="F2249" s="8" t="n">
        <v>46047</v>
      </c>
      <c r="G2249" s="9" t="n">
        <v>10987.78</v>
      </c>
      <c r="H2249" t="inlineStr">
        <is>
          <t>PAID_ON_TIME</t>
        </is>
      </c>
      <c r="I2249">
        <f>IF(H2249="UNPAID", AsOfDate-D2249, 0)</f>
        <v/>
      </c>
      <c r="J2249">
        <f>IF(F2249&lt;&gt;"", TEXT(F2249, "yyyy-mm"), "")</f>
        <v/>
      </c>
    </row>
    <row r="2250">
      <c r="A2250" t="inlineStr">
        <is>
          <t>RP0002249</t>
        </is>
      </c>
      <c r="B2250" t="inlineStr">
        <is>
          <t>LN200324</t>
        </is>
      </c>
      <c r="C2250" t="n">
        <v>2</v>
      </c>
      <c r="D2250" s="8" t="n">
        <v>46075</v>
      </c>
      <c r="E2250" s="9" t="n">
        <v>10987.78</v>
      </c>
      <c r="F2250" s="8" t="n">
        <v>46074</v>
      </c>
      <c r="G2250" s="9" t="n">
        <v>10987.78</v>
      </c>
      <c r="H2250" t="inlineStr">
        <is>
          <t>PAID_ON_TIME</t>
        </is>
      </c>
      <c r="I2250">
        <f>IF(H2250="UNPAID", AsOfDate-D2250, 0)</f>
        <v/>
      </c>
      <c r="J2250">
        <f>IF(F2250&lt;&gt;"", TEXT(F2250, "yyyy-mm"), "")</f>
        <v/>
      </c>
    </row>
    <row r="2251">
      <c r="A2251" t="inlineStr">
        <is>
          <t>RP0002250</t>
        </is>
      </c>
      <c r="B2251" t="inlineStr">
        <is>
          <t>LN200324</t>
        </is>
      </c>
      <c r="C2251" t="n">
        <v>3</v>
      </c>
      <c r="D2251" s="8" t="n">
        <v>46103</v>
      </c>
      <c r="E2251" s="9" t="n">
        <v>10987.78</v>
      </c>
      <c r="F2251" s="8" t="n">
        <v>46106</v>
      </c>
      <c r="G2251" s="9" t="n">
        <v>10987.78</v>
      </c>
      <c r="H2251" t="inlineStr">
        <is>
          <t>PAID_ON_TIME</t>
        </is>
      </c>
      <c r="I2251">
        <f>IF(H2251="UNPAID", AsOfDate-D2251, 0)</f>
        <v/>
      </c>
      <c r="J2251">
        <f>IF(F2251&lt;&gt;"", TEXT(F2251, "yyyy-mm"), "")</f>
        <v/>
      </c>
    </row>
    <row r="2252">
      <c r="A2252" t="inlineStr">
        <is>
          <t>RP0002251</t>
        </is>
      </c>
      <c r="B2252" t="inlineStr">
        <is>
          <t>LN200324</t>
        </is>
      </c>
      <c r="C2252" t="n">
        <v>4</v>
      </c>
      <c r="D2252" s="8" t="n">
        <v>46134</v>
      </c>
      <c r="E2252" s="9" t="n">
        <v>10987.78</v>
      </c>
      <c r="F2252" s="8" t="n">
        <v>46137</v>
      </c>
      <c r="G2252" s="9" t="n">
        <v>10987.78</v>
      </c>
      <c r="H2252" t="inlineStr">
        <is>
          <t>PAID_ON_TIME</t>
        </is>
      </c>
      <c r="I2252">
        <f>IF(H2252="UNPAID", AsOfDate-D2252, 0)</f>
        <v/>
      </c>
      <c r="J2252">
        <f>IF(F2252&lt;&gt;"", TEXT(F2252, "yyyy-mm"), "")</f>
        <v/>
      </c>
    </row>
    <row r="2253">
      <c r="A2253" t="inlineStr">
        <is>
          <t>RP0002252</t>
        </is>
      </c>
      <c r="B2253" t="inlineStr">
        <is>
          <t>LN200324</t>
        </is>
      </c>
      <c r="C2253" t="n">
        <v>5</v>
      </c>
      <c r="D2253" s="8" t="n">
        <v>46164</v>
      </c>
      <c r="E2253" s="9" t="n">
        <v>10987.78</v>
      </c>
      <c r="F2253" s="8" t="n">
        <v>46218</v>
      </c>
      <c r="G2253" s="9" t="n">
        <v>10987.78</v>
      </c>
      <c r="H2253" t="inlineStr">
        <is>
          <t>PAID_LATE</t>
        </is>
      </c>
      <c r="I2253">
        <f>IF(H2253="UNPAID", AsOfDate-D2253, 0)</f>
        <v/>
      </c>
      <c r="J2253">
        <f>IF(F2253&lt;&gt;"", TEXT(F2253, "yyyy-mm"), "")</f>
        <v/>
      </c>
    </row>
    <row r="2254">
      <c r="A2254" t="inlineStr">
        <is>
          <t>RP0002253</t>
        </is>
      </c>
      <c r="B2254" t="inlineStr">
        <is>
          <t>LN200324</t>
        </is>
      </c>
      <c r="C2254" t="n">
        <v>6</v>
      </c>
      <c r="D2254" s="8" t="n">
        <v>46195</v>
      </c>
      <c r="E2254" s="9" t="n">
        <v>10987.78</v>
      </c>
      <c r="F2254" s="8" t="n">
        <v>46193</v>
      </c>
      <c r="G2254" s="9" t="n">
        <v>10987.78</v>
      </c>
      <c r="H2254" t="inlineStr">
        <is>
          <t>PAID_ON_TIME</t>
        </is>
      </c>
      <c r="I2254">
        <f>IF(H2254="UNPAID", AsOfDate-D2254, 0)</f>
        <v/>
      </c>
      <c r="J2254">
        <f>IF(F2254&lt;&gt;"", TEXT(F2254, "yyyy-mm"), "")</f>
        <v/>
      </c>
    </row>
    <row r="2255">
      <c r="A2255" t="inlineStr">
        <is>
          <t>RP0002254</t>
        </is>
      </c>
      <c r="B2255" t="inlineStr">
        <is>
          <t>LN200324</t>
        </is>
      </c>
      <c r="C2255" t="n">
        <v>7</v>
      </c>
      <c r="D2255" s="8" t="n">
        <v>46225</v>
      </c>
      <c r="E2255" s="9" t="n">
        <v>10987.78</v>
      </c>
      <c r="F2255" s="8" t="n">
        <v>46229</v>
      </c>
      <c r="G2255" s="9" t="n">
        <v>10987.78</v>
      </c>
      <c r="H2255" t="inlineStr">
        <is>
          <t>PAID_ON_TIME</t>
        </is>
      </c>
      <c r="I2255">
        <f>IF(H2255="UNPAID", AsOfDate-D2255, 0)</f>
        <v/>
      </c>
      <c r="J2255">
        <f>IF(F2255&lt;&gt;"", TEXT(F2255, "yyyy-mm"), "")</f>
        <v/>
      </c>
    </row>
    <row r="2256">
      <c r="A2256" t="inlineStr">
        <is>
          <t>RP0002255</t>
        </is>
      </c>
      <c r="B2256" t="inlineStr">
        <is>
          <t>LN200324</t>
        </is>
      </c>
      <c r="C2256" t="n">
        <v>8</v>
      </c>
      <c r="D2256" s="8" t="n">
        <v>46256</v>
      </c>
      <c r="E2256" s="9" t="n">
        <v>10987.78</v>
      </c>
      <c r="F2256" s="8" t="n">
        <v>46255</v>
      </c>
      <c r="G2256" s="9" t="n">
        <v>10987.78</v>
      </c>
      <c r="H2256" t="inlineStr">
        <is>
          <t>PAID_ON_TIME</t>
        </is>
      </c>
      <c r="I2256">
        <f>IF(H2256="UNPAID", AsOfDate-D2256, 0)</f>
        <v/>
      </c>
      <c r="J2256">
        <f>IF(F2256&lt;&gt;"", TEXT(F2256, "yyyy-mm"), "")</f>
        <v/>
      </c>
    </row>
    <row r="2257">
      <c r="A2257" t="inlineStr">
        <is>
          <t>RP0002256</t>
        </is>
      </c>
      <c r="B2257" t="inlineStr">
        <is>
          <t>LN200324</t>
        </is>
      </c>
      <c r="C2257" t="n">
        <v>9</v>
      </c>
      <c r="D2257" s="8" t="n">
        <v>46287</v>
      </c>
      <c r="E2257" s="9" t="n">
        <v>10987.78</v>
      </c>
      <c r="F2257" s="8" t="n"/>
      <c r="G2257" s="9" t="n">
        <v>0</v>
      </c>
      <c r="H2257" t="inlineStr">
        <is>
          <t>NOT_DUE</t>
        </is>
      </c>
      <c r="I2257">
        <f>IF(H2257="UNPAID", AsOfDate-D2257, 0)</f>
        <v/>
      </c>
      <c r="J2257">
        <f>IF(F2257&lt;&gt;"", TEXT(F2257, "yyyy-mm"), "")</f>
        <v/>
      </c>
    </row>
    <row r="2258">
      <c r="A2258" t="inlineStr">
        <is>
          <t>RP0002257</t>
        </is>
      </c>
      <c r="B2258" t="inlineStr">
        <is>
          <t>LN200325</t>
        </is>
      </c>
      <c r="C2258" t="n">
        <v>1</v>
      </c>
      <c r="D2258" s="8" t="n">
        <v>46262</v>
      </c>
      <c r="E2258" s="9" t="n">
        <v>7844.72</v>
      </c>
      <c r="F2258" s="8" t="n">
        <v>46266</v>
      </c>
      <c r="G2258" s="9" t="n">
        <v>7844.72</v>
      </c>
      <c r="H2258" t="inlineStr">
        <is>
          <t>PAID_ON_TIME</t>
        </is>
      </c>
      <c r="I2258">
        <f>IF(H2258="UNPAID", AsOfDate-D2258, 0)</f>
        <v/>
      </c>
      <c r="J2258">
        <f>IF(F2258&lt;&gt;"", TEXT(F2258, "yyyy-mm"), "")</f>
        <v/>
      </c>
    </row>
    <row r="2259">
      <c r="A2259" t="inlineStr">
        <is>
          <t>RP0002258</t>
        </is>
      </c>
      <c r="B2259" t="inlineStr">
        <is>
          <t>LN200325</t>
        </is>
      </c>
      <c r="C2259" t="n">
        <v>2</v>
      </c>
      <c r="D2259" s="8" t="n">
        <v>46293</v>
      </c>
      <c r="E2259" s="9" t="n">
        <v>7844.72</v>
      </c>
      <c r="F2259" s="8" t="n"/>
      <c r="G2259" s="9" t="n">
        <v>0</v>
      </c>
      <c r="H2259" t="inlineStr">
        <is>
          <t>NOT_DUE</t>
        </is>
      </c>
      <c r="I2259">
        <f>IF(H2259="UNPAID", AsOfDate-D2259, 0)</f>
        <v/>
      </c>
      <c r="J2259">
        <f>IF(F2259&lt;&gt;"", TEXT(F2259, "yyyy-mm"), "")</f>
        <v/>
      </c>
    </row>
    <row r="2260">
      <c r="A2260" t="inlineStr">
        <is>
          <t>RP0002259</t>
        </is>
      </c>
      <c r="B2260" t="inlineStr">
        <is>
          <t>LN200325</t>
        </is>
      </c>
      <c r="C2260" t="n">
        <v>3</v>
      </c>
      <c r="D2260" s="8" t="n">
        <v>46323</v>
      </c>
      <c r="E2260" s="9" t="n">
        <v>7844.72</v>
      </c>
      <c r="F2260" s="8" t="n"/>
      <c r="G2260" s="9" t="n">
        <v>0</v>
      </c>
      <c r="H2260" t="inlineStr">
        <is>
          <t>NOT_DUE</t>
        </is>
      </c>
      <c r="I2260">
        <f>IF(H2260="UNPAID", AsOfDate-D2260, 0)</f>
        <v/>
      </c>
      <c r="J2260">
        <f>IF(F2260&lt;&gt;"", TEXT(F2260, "yyyy-mm"), "")</f>
        <v/>
      </c>
    </row>
    <row r="2261">
      <c r="A2261" t="inlineStr">
        <is>
          <t>RP0002260</t>
        </is>
      </c>
      <c r="B2261" t="inlineStr">
        <is>
          <t>LN200325</t>
        </is>
      </c>
      <c r="C2261" t="n">
        <v>4</v>
      </c>
      <c r="D2261" s="8" t="n">
        <v>46354</v>
      </c>
      <c r="E2261" s="9" t="n">
        <v>7844.72</v>
      </c>
      <c r="F2261" s="8" t="n"/>
      <c r="G2261" s="9" t="n">
        <v>0</v>
      </c>
      <c r="H2261" t="inlineStr">
        <is>
          <t>NOT_DUE</t>
        </is>
      </c>
      <c r="I2261">
        <f>IF(H2261="UNPAID", AsOfDate-D2261, 0)</f>
        <v/>
      </c>
      <c r="J2261">
        <f>IF(F2261&lt;&gt;"", TEXT(F2261, "yyyy-mm"), "")</f>
        <v/>
      </c>
    </row>
    <row r="2262">
      <c r="A2262" t="inlineStr">
        <is>
          <t>RP0002261</t>
        </is>
      </c>
      <c r="B2262" t="inlineStr">
        <is>
          <t>LN200325</t>
        </is>
      </c>
      <c r="C2262" t="n">
        <v>5</v>
      </c>
      <c r="D2262" s="8" t="n">
        <v>46384</v>
      </c>
      <c r="E2262" s="9" t="n">
        <v>7844.72</v>
      </c>
      <c r="F2262" s="8" t="n"/>
      <c r="G2262" s="9" t="n">
        <v>0</v>
      </c>
      <c r="H2262" t="inlineStr">
        <is>
          <t>NOT_DUE</t>
        </is>
      </c>
      <c r="I2262">
        <f>IF(H2262="UNPAID", AsOfDate-D2262, 0)</f>
        <v/>
      </c>
      <c r="J2262">
        <f>IF(F2262&lt;&gt;"", TEXT(F2262, "yyyy-mm"), "")</f>
        <v/>
      </c>
    </row>
    <row r="2263">
      <c r="A2263" t="inlineStr">
        <is>
          <t>RP0002262</t>
        </is>
      </c>
      <c r="B2263" t="inlineStr">
        <is>
          <t>LN200325</t>
        </is>
      </c>
      <c r="C2263" t="n">
        <v>6</v>
      </c>
      <c r="D2263" s="8" t="n">
        <v>46415</v>
      </c>
      <c r="E2263" s="9" t="n">
        <v>7844.72</v>
      </c>
      <c r="F2263" s="8" t="n"/>
      <c r="G2263" s="9" t="n">
        <v>0</v>
      </c>
      <c r="H2263" t="inlineStr">
        <is>
          <t>NOT_DUE</t>
        </is>
      </c>
      <c r="I2263">
        <f>IF(H2263="UNPAID", AsOfDate-D2263, 0)</f>
        <v/>
      </c>
      <c r="J2263">
        <f>IF(F2263&lt;&gt;"", TEXT(F2263, "yyyy-mm"), "")</f>
        <v/>
      </c>
    </row>
    <row r="2264">
      <c r="A2264" t="inlineStr">
        <is>
          <t>RP0002263</t>
        </is>
      </c>
      <c r="B2264" t="inlineStr">
        <is>
          <t>LN200325</t>
        </is>
      </c>
      <c r="C2264" t="n">
        <v>7</v>
      </c>
      <c r="D2264" s="8" t="n">
        <v>46446</v>
      </c>
      <c r="E2264" s="9" t="n">
        <v>7844.72</v>
      </c>
      <c r="F2264" s="8" t="n"/>
      <c r="G2264" s="9" t="n">
        <v>0</v>
      </c>
      <c r="H2264" t="inlineStr">
        <is>
          <t>NOT_DUE</t>
        </is>
      </c>
      <c r="I2264">
        <f>IF(H2264="UNPAID", AsOfDate-D2264, 0)</f>
        <v/>
      </c>
      <c r="J2264">
        <f>IF(F2264&lt;&gt;"", TEXT(F2264, "yyyy-mm"), "")</f>
        <v/>
      </c>
    </row>
    <row r="2265">
      <c r="A2265" t="inlineStr">
        <is>
          <t>RP0002264</t>
        </is>
      </c>
      <c r="B2265" t="inlineStr">
        <is>
          <t>LN200325</t>
        </is>
      </c>
      <c r="C2265" t="n">
        <v>8</v>
      </c>
      <c r="D2265" s="8" t="n">
        <v>46474</v>
      </c>
      <c r="E2265" s="9" t="n">
        <v>7844.72</v>
      </c>
      <c r="F2265" s="8" t="n"/>
      <c r="G2265" s="9" t="n">
        <v>0</v>
      </c>
      <c r="H2265" t="inlineStr">
        <is>
          <t>NOT_DUE</t>
        </is>
      </c>
      <c r="I2265">
        <f>IF(H2265="UNPAID", AsOfDate-D2265, 0)</f>
        <v/>
      </c>
      <c r="J2265">
        <f>IF(F2265&lt;&gt;"", TEXT(F2265, "yyyy-mm"), "")</f>
        <v/>
      </c>
    </row>
    <row r="2266">
      <c r="A2266" t="inlineStr">
        <is>
          <t>RP0002265</t>
        </is>
      </c>
      <c r="B2266" t="inlineStr">
        <is>
          <t>LN200325</t>
        </is>
      </c>
      <c r="C2266" t="n">
        <v>9</v>
      </c>
      <c r="D2266" s="8" t="n">
        <v>46505</v>
      </c>
      <c r="E2266" s="9" t="n">
        <v>7844.72</v>
      </c>
      <c r="F2266" s="8" t="n"/>
      <c r="G2266" s="9" t="n">
        <v>0</v>
      </c>
      <c r="H2266" t="inlineStr">
        <is>
          <t>NOT_DUE</t>
        </is>
      </c>
      <c r="I2266">
        <f>IF(H2266="UNPAID", AsOfDate-D2266, 0)</f>
        <v/>
      </c>
      <c r="J2266">
        <f>IF(F2266&lt;&gt;"", TEXT(F2266, "yyyy-mm"), "")</f>
        <v/>
      </c>
    </row>
    <row r="2267">
      <c r="A2267" t="inlineStr">
        <is>
          <t>RP0002266</t>
        </is>
      </c>
      <c r="B2267" t="inlineStr">
        <is>
          <t>LN200327</t>
        </is>
      </c>
      <c r="C2267" t="n">
        <v>1</v>
      </c>
      <c r="D2267" s="8" t="n">
        <v>46020</v>
      </c>
      <c r="E2267" s="9" t="n">
        <v>19520.94</v>
      </c>
      <c r="F2267" s="8" t="n">
        <v>46022</v>
      </c>
      <c r="G2267" s="9" t="n">
        <v>19520.94</v>
      </c>
      <c r="H2267" t="inlineStr">
        <is>
          <t>PAID_ON_TIME</t>
        </is>
      </c>
      <c r="I2267">
        <f>IF(H2267="UNPAID", AsOfDate-D2267, 0)</f>
        <v/>
      </c>
      <c r="J2267">
        <f>IF(F2267&lt;&gt;"", TEXT(F2267, "yyyy-mm"), "")</f>
        <v/>
      </c>
    </row>
    <row r="2268">
      <c r="A2268" t="inlineStr">
        <is>
          <t>RP0002267</t>
        </is>
      </c>
      <c r="B2268" t="inlineStr">
        <is>
          <t>LN200327</t>
        </is>
      </c>
      <c r="C2268" t="n">
        <v>2</v>
      </c>
      <c r="D2268" s="8" t="n">
        <v>46051</v>
      </c>
      <c r="E2268" s="9" t="n">
        <v>19520.94</v>
      </c>
      <c r="F2268" s="8" t="n">
        <v>46053</v>
      </c>
      <c r="G2268" s="9" t="n">
        <v>19520.94</v>
      </c>
      <c r="H2268" t="inlineStr">
        <is>
          <t>PAID_ON_TIME</t>
        </is>
      </c>
      <c r="I2268">
        <f>IF(H2268="UNPAID", AsOfDate-D2268, 0)</f>
        <v/>
      </c>
      <c r="J2268">
        <f>IF(F2268&lt;&gt;"", TEXT(F2268, "yyyy-mm"), "")</f>
        <v/>
      </c>
    </row>
    <row r="2269">
      <c r="A2269" t="inlineStr">
        <is>
          <t>RP0002268</t>
        </is>
      </c>
      <c r="B2269" t="inlineStr">
        <is>
          <t>LN200327</t>
        </is>
      </c>
      <c r="C2269" t="n">
        <v>3</v>
      </c>
      <c r="D2269" s="8" t="n">
        <v>46081</v>
      </c>
      <c r="E2269" s="9" t="n">
        <v>19520.94</v>
      </c>
      <c r="F2269" s="8" t="n">
        <v>46084</v>
      </c>
      <c r="G2269" s="9" t="n">
        <v>19520.94</v>
      </c>
      <c r="H2269" t="inlineStr">
        <is>
          <t>PAID_ON_TIME</t>
        </is>
      </c>
      <c r="I2269">
        <f>IF(H2269="UNPAID", AsOfDate-D2269, 0)</f>
        <v/>
      </c>
      <c r="J2269">
        <f>IF(F2269&lt;&gt;"", TEXT(F2269, "yyyy-mm"), "")</f>
        <v/>
      </c>
    </row>
    <row r="2270">
      <c r="A2270" t="inlineStr">
        <is>
          <t>RP0002269</t>
        </is>
      </c>
      <c r="B2270" t="inlineStr">
        <is>
          <t>LN200327</t>
        </is>
      </c>
      <c r="C2270" t="n">
        <v>4</v>
      </c>
      <c r="D2270" s="8" t="n">
        <v>46110</v>
      </c>
      <c r="E2270" s="9" t="n">
        <v>19520.94</v>
      </c>
      <c r="F2270" s="8" t="n">
        <v>46113</v>
      </c>
      <c r="G2270" s="9" t="n">
        <v>19520.94</v>
      </c>
      <c r="H2270" t="inlineStr">
        <is>
          <t>PAID_ON_TIME</t>
        </is>
      </c>
      <c r="I2270">
        <f>IF(H2270="UNPAID", AsOfDate-D2270, 0)</f>
        <v/>
      </c>
      <c r="J2270">
        <f>IF(F2270&lt;&gt;"", TEXT(F2270, "yyyy-mm"), "")</f>
        <v/>
      </c>
    </row>
    <row r="2271">
      <c r="A2271" t="inlineStr">
        <is>
          <t>RP0002270</t>
        </is>
      </c>
      <c r="B2271" t="inlineStr">
        <is>
          <t>LN200327</t>
        </is>
      </c>
      <c r="C2271" t="n">
        <v>5</v>
      </c>
      <c r="D2271" s="8" t="n">
        <v>46141</v>
      </c>
      <c r="E2271" s="9" t="n">
        <v>19520.94</v>
      </c>
      <c r="F2271" s="8" t="n">
        <v>46142</v>
      </c>
      <c r="G2271" s="9" t="n">
        <v>19520.94</v>
      </c>
      <c r="H2271" t="inlineStr">
        <is>
          <t>PAID_ON_TIME</t>
        </is>
      </c>
      <c r="I2271">
        <f>IF(H2271="UNPAID", AsOfDate-D2271, 0)</f>
        <v/>
      </c>
      <c r="J2271">
        <f>IF(F2271&lt;&gt;"", TEXT(F2271, "yyyy-mm"), "")</f>
        <v/>
      </c>
    </row>
    <row r="2272">
      <c r="A2272" t="inlineStr">
        <is>
          <t>RP0002271</t>
        </is>
      </c>
      <c r="B2272" t="inlineStr">
        <is>
          <t>LN200327</t>
        </is>
      </c>
      <c r="C2272" t="n">
        <v>6</v>
      </c>
      <c r="D2272" s="8" t="n">
        <v>46171</v>
      </c>
      <c r="E2272" s="9" t="n">
        <v>19520.94</v>
      </c>
      <c r="F2272" s="8" t="n">
        <v>46171</v>
      </c>
      <c r="G2272" s="9" t="n">
        <v>19520.94</v>
      </c>
      <c r="H2272" t="inlineStr">
        <is>
          <t>PAID_ON_TIME</t>
        </is>
      </c>
      <c r="I2272">
        <f>IF(H2272="UNPAID", AsOfDate-D2272, 0)</f>
        <v/>
      </c>
      <c r="J2272">
        <f>IF(F2272&lt;&gt;"", TEXT(F2272, "yyyy-mm"), "")</f>
        <v/>
      </c>
    </row>
    <row r="2273">
      <c r="A2273" t="inlineStr">
        <is>
          <t>RP0002272</t>
        </is>
      </c>
      <c r="B2273" t="inlineStr">
        <is>
          <t>LN200327</t>
        </is>
      </c>
      <c r="C2273" t="n">
        <v>7</v>
      </c>
      <c r="D2273" s="8" t="n">
        <v>46202</v>
      </c>
      <c r="E2273" s="9" t="n">
        <v>19520.94</v>
      </c>
      <c r="F2273" s="8" t="n">
        <v>46202</v>
      </c>
      <c r="G2273" s="9" t="n">
        <v>19520.94</v>
      </c>
      <c r="H2273" t="inlineStr">
        <is>
          <t>PAID_ON_TIME</t>
        </is>
      </c>
      <c r="I2273">
        <f>IF(H2273="UNPAID", AsOfDate-D2273, 0)</f>
        <v/>
      </c>
      <c r="J2273">
        <f>IF(F2273&lt;&gt;"", TEXT(F2273, "yyyy-mm"), "")</f>
        <v/>
      </c>
    </row>
    <row r="2274">
      <c r="A2274" t="inlineStr">
        <is>
          <t>RP0002273</t>
        </is>
      </c>
      <c r="B2274" t="inlineStr">
        <is>
          <t>LN200327</t>
        </is>
      </c>
      <c r="C2274" t="n">
        <v>8</v>
      </c>
      <c r="D2274" s="8" t="n">
        <v>46232</v>
      </c>
      <c r="E2274" s="9" t="n">
        <v>19520.94</v>
      </c>
      <c r="F2274" s="8" t="n">
        <v>46233</v>
      </c>
      <c r="G2274" s="9" t="n">
        <v>19520.94</v>
      </c>
      <c r="H2274" t="inlineStr">
        <is>
          <t>PAID_ON_TIME</t>
        </is>
      </c>
      <c r="I2274">
        <f>IF(H2274="UNPAID", AsOfDate-D2274, 0)</f>
        <v/>
      </c>
      <c r="J2274">
        <f>IF(F2274&lt;&gt;"", TEXT(F2274, "yyyy-mm"), "")</f>
        <v/>
      </c>
    </row>
    <row r="2275">
      <c r="A2275" t="inlineStr">
        <is>
          <t>RP0002274</t>
        </is>
      </c>
      <c r="B2275" t="inlineStr">
        <is>
          <t>LN200327</t>
        </is>
      </c>
      <c r="C2275" t="n">
        <v>9</v>
      </c>
      <c r="D2275" s="8" t="n">
        <v>46263</v>
      </c>
      <c r="E2275" s="9" t="n">
        <v>19520.94</v>
      </c>
      <c r="F2275" s="8" t="n">
        <v>46260</v>
      </c>
      <c r="G2275" s="9" t="n">
        <v>19520.94</v>
      </c>
      <c r="H2275" t="inlineStr">
        <is>
          <t>PAID_ON_TIME</t>
        </is>
      </c>
      <c r="I2275">
        <f>IF(H2275="UNPAID", AsOfDate-D2275, 0)</f>
        <v/>
      </c>
      <c r="J2275">
        <f>IF(F2275&lt;&gt;"", TEXT(F2275, "yyyy-mm"), "")</f>
        <v/>
      </c>
    </row>
    <row r="2276">
      <c r="A2276" t="inlineStr">
        <is>
          <t>RP0002275</t>
        </is>
      </c>
      <c r="B2276" t="inlineStr">
        <is>
          <t>LN200328</t>
        </is>
      </c>
      <c r="C2276" t="n">
        <v>1</v>
      </c>
      <c r="D2276" s="8" t="n">
        <v>46206</v>
      </c>
      <c r="E2276" s="9" t="n">
        <v>12777.33</v>
      </c>
      <c r="F2276" s="8" t="n">
        <v>46208</v>
      </c>
      <c r="G2276" s="9" t="n">
        <v>12777.33</v>
      </c>
      <c r="H2276" t="inlineStr">
        <is>
          <t>PAID_ON_TIME</t>
        </is>
      </c>
      <c r="I2276">
        <f>IF(H2276="UNPAID", AsOfDate-D2276, 0)</f>
        <v/>
      </c>
      <c r="J2276">
        <f>IF(F2276&lt;&gt;"", TEXT(F2276, "yyyy-mm"), "")</f>
        <v/>
      </c>
    </row>
    <row r="2277">
      <c r="A2277" t="inlineStr">
        <is>
          <t>RP0002276</t>
        </is>
      </c>
      <c r="B2277" t="inlineStr">
        <is>
          <t>LN200328</t>
        </is>
      </c>
      <c r="C2277" t="n">
        <v>2</v>
      </c>
      <c r="D2277" s="8" t="n">
        <v>46237</v>
      </c>
      <c r="E2277" s="9" t="n">
        <v>12777.33</v>
      </c>
      <c r="F2277" s="8" t="n">
        <v>46239</v>
      </c>
      <c r="G2277" s="9" t="n">
        <v>12777.33</v>
      </c>
      <c r="H2277" t="inlineStr">
        <is>
          <t>PAID_ON_TIME</t>
        </is>
      </c>
      <c r="I2277">
        <f>IF(H2277="UNPAID", AsOfDate-D2277, 0)</f>
        <v/>
      </c>
      <c r="J2277">
        <f>IF(F2277&lt;&gt;"", TEXT(F2277, "yyyy-mm"), "")</f>
        <v/>
      </c>
    </row>
    <row r="2278">
      <c r="A2278" t="inlineStr">
        <is>
          <t>RP0002277</t>
        </is>
      </c>
      <c r="B2278" t="inlineStr">
        <is>
          <t>LN200328</t>
        </is>
      </c>
      <c r="C2278" t="n">
        <v>3</v>
      </c>
      <c r="D2278" s="8" t="n">
        <v>46268</v>
      </c>
      <c r="E2278" s="9" t="n">
        <v>12777.33</v>
      </c>
      <c r="F2278" s="8" t="n"/>
      <c r="G2278" s="9" t="n">
        <v>0</v>
      </c>
      <c r="H2278" t="inlineStr">
        <is>
          <t>NOT_DUE</t>
        </is>
      </c>
      <c r="I2278">
        <f>IF(H2278="UNPAID", AsOfDate-D2278, 0)</f>
        <v/>
      </c>
      <c r="J2278">
        <f>IF(F2278&lt;&gt;"", TEXT(F2278, "yyyy-mm"), "")</f>
        <v/>
      </c>
    </row>
    <row r="2279">
      <c r="A2279" t="inlineStr">
        <is>
          <t>RP0002278</t>
        </is>
      </c>
      <c r="B2279" t="inlineStr">
        <is>
          <t>LN200329</t>
        </is>
      </c>
      <c r="C2279" t="n">
        <v>1</v>
      </c>
      <c r="D2279" s="8" t="n">
        <v>45984</v>
      </c>
      <c r="E2279" s="9" t="n">
        <v>37632.25</v>
      </c>
      <c r="F2279" s="8" t="n">
        <v>45986</v>
      </c>
      <c r="G2279" s="9" t="n">
        <v>37632.25</v>
      </c>
      <c r="H2279" t="inlineStr">
        <is>
          <t>PAID_ON_TIME</t>
        </is>
      </c>
      <c r="I2279">
        <f>IF(H2279="UNPAID", AsOfDate-D2279, 0)</f>
        <v/>
      </c>
      <c r="J2279">
        <f>IF(F2279&lt;&gt;"", TEXT(F2279, "yyyy-mm"), "")</f>
        <v/>
      </c>
    </row>
    <row r="2280">
      <c r="A2280" t="inlineStr">
        <is>
          <t>RP0002279</t>
        </is>
      </c>
      <c r="B2280" t="inlineStr">
        <is>
          <t>LN200329</t>
        </is>
      </c>
      <c r="C2280" t="n">
        <v>2</v>
      </c>
      <c r="D2280" s="8" t="n">
        <v>46014</v>
      </c>
      <c r="E2280" s="9" t="n">
        <v>37632.25</v>
      </c>
      <c r="F2280" s="8" t="n">
        <v>46013</v>
      </c>
      <c r="G2280" s="9" t="n">
        <v>37632.25</v>
      </c>
      <c r="H2280" t="inlineStr">
        <is>
          <t>PAID_ON_TIME</t>
        </is>
      </c>
      <c r="I2280">
        <f>IF(H2280="UNPAID", AsOfDate-D2280, 0)</f>
        <v/>
      </c>
      <c r="J2280">
        <f>IF(F2280&lt;&gt;"", TEXT(F2280, "yyyy-mm"), "")</f>
        <v/>
      </c>
    </row>
    <row r="2281">
      <c r="A2281" t="inlineStr">
        <is>
          <t>RP0002280</t>
        </is>
      </c>
      <c r="B2281" t="inlineStr">
        <is>
          <t>LN200329</t>
        </is>
      </c>
      <c r="C2281" t="n">
        <v>3</v>
      </c>
      <c r="D2281" s="8" t="n">
        <v>46045</v>
      </c>
      <c r="E2281" s="9" t="n">
        <v>37632.25</v>
      </c>
      <c r="F2281" s="8" t="n">
        <v>46044</v>
      </c>
      <c r="G2281" s="9" t="n">
        <v>37632.25</v>
      </c>
      <c r="H2281" t="inlineStr">
        <is>
          <t>PAID_ON_TIME</t>
        </is>
      </c>
      <c r="I2281">
        <f>IF(H2281="UNPAID", AsOfDate-D2281, 0)</f>
        <v/>
      </c>
      <c r="J2281">
        <f>IF(F2281&lt;&gt;"", TEXT(F2281, "yyyy-mm"), "")</f>
        <v/>
      </c>
    </row>
    <row r="2282">
      <c r="A2282" t="inlineStr">
        <is>
          <t>RP0002281</t>
        </is>
      </c>
      <c r="B2282" t="inlineStr">
        <is>
          <t>LN200330</t>
        </is>
      </c>
      <c r="C2282" t="n">
        <v>1</v>
      </c>
      <c r="D2282" s="8" t="n">
        <v>45741</v>
      </c>
      <c r="E2282" s="9" t="n">
        <v>30442.5</v>
      </c>
      <c r="F2282" s="8" t="n">
        <v>45744</v>
      </c>
      <c r="G2282" s="9" t="n">
        <v>30442.5</v>
      </c>
      <c r="H2282" t="inlineStr">
        <is>
          <t>PAID_ON_TIME</t>
        </is>
      </c>
      <c r="I2282">
        <f>IF(H2282="UNPAID", AsOfDate-D2282, 0)</f>
        <v/>
      </c>
      <c r="J2282">
        <f>IF(F2282&lt;&gt;"", TEXT(F2282, "yyyy-mm"), "")</f>
        <v/>
      </c>
    </row>
    <row r="2283">
      <c r="A2283" t="inlineStr">
        <is>
          <t>RP0002282</t>
        </is>
      </c>
      <c r="B2283" t="inlineStr">
        <is>
          <t>LN200330</t>
        </is>
      </c>
      <c r="C2283" t="n">
        <v>2</v>
      </c>
      <c r="D2283" s="8" t="n">
        <v>45772</v>
      </c>
      <c r="E2283" s="9" t="n">
        <v>30442.5</v>
      </c>
      <c r="F2283" s="8" t="n">
        <v>45772</v>
      </c>
      <c r="G2283" s="9" t="n">
        <v>30442.5</v>
      </c>
      <c r="H2283" t="inlineStr">
        <is>
          <t>PAID_ON_TIME</t>
        </is>
      </c>
      <c r="I2283">
        <f>IF(H2283="UNPAID", AsOfDate-D2283, 0)</f>
        <v/>
      </c>
      <c r="J2283">
        <f>IF(F2283&lt;&gt;"", TEXT(F2283, "yyyy-mm"), "")</f>
        <v/>
      </c>
    </row>
    <row r="2284">
      <c r="A2284" t="inlineStr">
        <is>
          <t>RP0002283</t>
        </is>
      </c>
      <c r="B2284" t="inlineStr">
        <is>
          <t>LN200330</t>
        </is>
      </c>
      <c r="C2284" t="n">
        <v>3</v>
      </c>
      <c r="D2284" s="8" t="n">
        <v>45802</v>
      </c>
      <c r="E2284" s="9" t="n">
        <v>30442.5</v>
      </c>
      <c r="F2284" s="8" t="n"/>
      <c r="G2284" s="9" t="n">
        <v>0</v>
      </c>
      <c r="H2284" t="inlineStr">
        <is>
          <t>UNPAID</t>
        </is>
      </c>
      <c r="I2284">
        <f>IF(H2284="UNPAID", AsOfDate-D2284, 0)</f>
        <v/>
      </c>
      <c r="J2284">
        <f>IF(F2284&lt;&gt;"", TEXT(F2284, "yyyy-mm"), "")</f>
        <v/>
      </c>
    </row>
    <row r="2285">
      <c r="A2285" t="inlineStr">
        <is>
          <t>RP0002284</t>
        </is>
      </c>
      <c r="B2285" t="inlineStr">
        <is>
          <t>LN200330</t>
        </is>
      </c>
      <c r="C2285" t="n">
        <v>4</v>
      </c>
      <c r="D2285" s="8" t="n">
        <v>45833</v>
      </c>
      <c r="E2285" s="9" t="n">
        <v>30442.5</v>
      </c>
      <c r="F2285" s="8" t="n">
        <v>45834</v>
      </c>
      <c r="G2285" s="9" t="n">
        <v>30442.5</v>
      </c>
      <c r="H2285" t="inlineStr">
        <is>
          <t>PAID_ON_TIME</t>
        </is>
      </c>
      <c r="I2285">
        <f>IF(H2285="UNPAID", AsOfDate-D2285, 0)</f>
        <v/>
      </c>
      <c r="J2285">
        <f>IF(F2285&lt;&gt;"", TEXT(F2285, "yyyy-mm"), "")</f>
        <v/>
      </c>
    </row>
    <row r="2286">
      <c r="A2286" t="inlineStr">
        <is>
          <t>RP0002285</t>
        </is>
      </c>
      <c r="B2286" t="inlineStr">
        <is>
          <t>LN200330</t>
        </is>
      </c>
      <c r="C2286" t="n">
        <v>5</v>
      </c>
      <c r="D2286" s="8" t="n">
        <v>45863</v>
      </c>
      <c r="E2286" s="9" t="n">
        <v>30442.5</v>
      </c>
      <c r="F2286" s="8" t="n">
        <v>45861</v>
      </c>
      <c r="G2286" s="9" t="n">
        <v>30442.5</v>
      </c>
      <c r="H2286" t="inlineStr">
        <is>
          <t>PAID_ON_TIME</t>
        </is>
      </c>
      <c r="I2286">
        <f>IF(H2286="UNPAID", AsOfDate-D2286, 0)</f>
        <v/>
      </c>
      <c r="J2286">
        <f>IF(F2286&lt;&gt;"", TEXT(F2286, "yyyy-mm"), "")</f>
        <v/>
      </c>
    </row>
    <row r="2287">
      <c r="A2287" t="inlineStr">
        <is>
          <t>RP0002286</t>
        </is>
      </c>
      <c r="B2287" t="inlineStr">
        <is>
          <t>LN200330</t>
        </is>
      </c>
      <c r="C2287" t="n">
        <v>6</v>
      </c>
      <c r="D2287" s="8" t="n">
        <v>45894</v>
      </c>
      <c r="E2287" s="9" t="n">
        <v>30442.5</v>
      </c>
      <c r="F2287" s="8" t="n">
        <v>45895</v>
      </c>
      <c r="G2287" s="9" t="n">
        <v>30442.5</v>
      </c>
      <c r="H2287" t="inlineStr">
        <is>
          <t>PAID_ON_TIME</t>
        </is>
      </c>
      <c r="I2287">
        <f>IF(H2287="UNPAID", AsOfDate-D2287, 0)</f>
        <v/>
      </c>
      <c r="J2287">
        <f>IF(F2287&lt;&gt;"", TEXT(F2287, "yyyy-mm"), "")</f>
        <v/>
      </c>
    </row>
    <row r="2288">
      <c r="A2288" t="inlineStr">
        <is>
          <t>RP0002287</t>
        </is>
      </c>
      <c r="B2288" t="inlineStr">
        <is>
          <t>LN200331</t>
        </is>
      </c>
      <c r="C2288" t="n">
        <v>1</v>
      </c>
      <c r="D2288" s="8" t="n">
        <v>46163</v>
      </c>
      <c r="E2288" s="9" t="n">
        <v>2562.22</v>
      </c>
      <c r="F2288" s="8" t="n">
        <v>46166</v>
      </c>
      <c r="G2288" s="9" t="n">
        <v>2562.22</v>
      </c>
      <c r="H2288" t="inlineStr">
        <is>
          <t>PAID_ON_TIME</t>
        </is>
      </c>
      <c r="I2288">
        <f>IF(H2288="UNPAID", AsOfDate-D2288, 0)</f>
        <v/>
      </c>
      <c r="J2288">
        <f>IF(F2288&lt;&gt;"", TEXT(F2288, "yyyy-mm"), "")</f>
        <v/>
      </c>
    </row>
    <row r="2289">
      <c r="A2289" t="inlineStr">
        <is>
          <t>RP0002288</t>
        </is>
      </c>
      <c r="B2289" t="inlineStr">
        <is>
          <t>LN200331</t>
        </is>
      </c>
      <c r="C2289" t="n">
        <v>2</v>
      </c>
      <c r="D2289" s="8" t="n">
        <v>46194</v>
      </c>
      <c r="E2289" s="9" t="n">
        <v>2562.22</v>
      </c>
      <c r="F2289" s="8" t="n"/>
      <c r="G2289" s="9" t="n">
        <v>0</v>
      </c>
      <c r="H2289" t="inlineStr">
        <is>
          <t>UNPAID</t>
        </is>
      </c>
      <c r="I2289">
        <f>IF(H2289="UNPAID", AsOfDate-D2289, 0)</f>
        <v/>
      </c>
      <c r="J2289">
        <f>IF(F2289&lt;&gt;"", TEXT(F2289, "yyyy-mm"), "")</f>
        <v/>
      </c>
    </row>
    <row r="2290">
      <c r="A2290" t="inlineStr">
        <is>
          <t>RP0002289</t>
        </is>
      </c>
      <c r="B2290" t="inlineStr">
        <is>
          <t>LN200331</t>
        </is>
      </c>
      <c r="C2290" t="n">
        <v>3</v>
      </c>
      <c r="D2290" s="8" t="n">
        <v>46224</v>
      </c>
      <c r="E2290" s="9" t="n">
        <v>2562.22</v>
      </c>
      <c r="F2290" s="8" t="n">
        <v>46224</v>
      </c>
      <c r="G2290" s="9" t="n">
        <v>2562.22</v>
      </c>
      <c r="H2290" t="inlineStr">
        <is>
          <t>PAID_ON_TIME</t>
        </is>
      </c>
      <c r="I2290">
        <f>IF(H2290="UNPAID", AsOfDate-D2290, 0)</f>
        <v/>
      </c>
      <c r="J2290">
        <f>IF(F2290&lt;&gt;"", TEXT(F2290, "yyyy-mm"), "")</f>
        <v/>
      </c>
    </row>
    <row r="2291">
      <c r="A2291" t="inlineStr">
        <is>
          <t>RP0002290</t>
        </is>
      </c>
      <c r="B2291" t="inlineStr">
        <is>
          <t>LN200331</t>
        </is>
      </c>
      <c r="C2291" t="n">
        <v>4</v>
      </c>
      <c r="D2291" s="8" t="n">
        <v>46255</v>
      </c>
      <c r="E2291" s="9" t="n">
        <v>2562.22</v>
      </c>
      <c r="F2291" s="8" t="n">
        <v>46259</v>
      </c>
      <c r="G2291" s="9" t="n">
        <v>2562.22</v>
      </c>
      <c r="H2291" t="inlineStr">
        <is>
          <t>PAID_ON_TIME</t>
        </is>
      </c>
      <c r="I2291">
        <f>IF(H2291="UNPAID", AsOfDate-D2291, 0)</f>
        <v/>
      </c>
      <c r="J2291">
        <f>IF(F2291&lt;&gt;"", TEXT(F2291, "yyyy-mm"), "")</f>
        <v/>
      </c>
    </row>
    <row r="2292">
      <c r="A2292" t="inlineStr">
        <is>
          <t>RP0002291</t>
        </is>
      </c>
      <c r="B2292" t="inlineStr">
        <is>
          <t>LN200331</t>
        </is>
      </c>
      <c r="C2292" t="n">
        <v>5</v>
      </c>
      <c r="D2292" s="8" t="n">
        <v>46286</v>
      </c>
      <c r="E2292" s="9" t="n">
        <v>2562.22</v>
      </c>
      <c r="F2292" s="8" t="n"/>
      <c r="G2292" s="9" t="n">
        <v>0</v>
      </c>
      <c r="H2292" t="inlineStr">
        <is>
          <t>NOT_DUE</t>
        </is>
      </c>
      <c r="I2292">
        <f>IF(H2292="UNPAID", AsOfDate-D2292, 0)</f>
        <v/>
      </c>
      <c r="J2292">
        <f>IF(F2292&lt;&gt;"", TEXT(F2292, "yyyy-mm"), "")</f>
        <v/>
      </c>
    </row>
    <row r="2293">
      <c r="A2293" t="inlineStr">
        <is>
          <t>RP0002292</t>
        </is>
      </c>
      <c r="B2293" t="inlineStr">
        <is>
          <t>LN200331</t>
        </is>
      </c>
      <c r="C2293" t="n">
        <v>6</v>
      </c>
      <c r="D2293" s="8" t="n">
        <v>46316</v>
      </c>
      <c r="E2293" s="9" t="n">
        <v>2562.22</v>
      </c>
      <c r="F2293" s="8" t="n"/>
      <c r="G2293" s="9" t="n">
        <v>0</v>
      </c>
      <c r="H2293" t="inlineStr">
        <is>
          <t>NOT_DUE</t>
        </is>
      </c>
      <c r="I2293">
        <f>IF(H2293="UNPAID", AsOfDate-D2293, 0)</f>
        <v/>
      </c>
      <c r="J2293">
        <f>IF(F2293&lt;&gt;"", TEXT(F2293, "yyyy-mm"), "")</f>
        <v/>
      </c>
    </row>
    <row r="2294">
      <c r="A2294" t="inlineStr">
        <is>
          <t>RP0002293</t>
        </is>
      </c>
      <c r="B2294" t="inlineStr">
        <is>
          <t>LN200331</t>
        </is>
      </c>
      <c r="C2294" t="n">
        <v>7</v>
      </c>
      <c r="D2294" s="8" t="n">
        <v>46347</v>
      </c>
      <c r="E2294" s="9" t="n">
        <v>2562.22</v>
      </c>
      <c r="F2294" s="8" t="n"/>
      <c r="G2294" s="9" t="n">
        <v>0</v>
      </c>
      <c r="H2294" t="inlineStr">
        <is>
          <t>NOT_DUE</t>
        </is>
      </c>
      <c r="I2294">
        <f>IF(H2294="UNPAID", AsOfDate-D2294, 0)</f>
        <v/>
      </c>
      <c r="J2294">
        <f>IF(F2294&lt;&gt;"", TEXT(F2294, "yyyy-mm"), "")</f>
        <v/>
      </c>
    </row>
    <row r="2295">
      <c r="A2295" t="inlineStr">
        <is>
          <t>RP0002294</t>
        </is>
      </c>
      <c r="B2295" t="inlineStr">
        <is>
          <t>LN200331</t>
        </is>
      </c>
      <c r="C2295" t="n">
        <v>8</v>
      </c>
      <c r="D2295" s="8" t="n">
        <v>46377</v>
      </c>
      <c r="E2295" s="9" t="n">
        <v>2562.22</v>
      </c>
      <c r="F2295" s="8" t="n"/>
      <c r="G2295" s="9" t="n">
        <v>0</v>
      </c>
      <c r="H2295" t="inlineStr">
        <is>
          <t>NOT_DUE</t>
        </is>
      </c>
      <c r="I2295">
        <f>IF(H2295="UNPAID", AsOfDate-D2295, 0)</f>
        <v/>
      </c>
      <c r="J2295">
        <f>IF(F2295&lt;&gt;"", TEXT(F2295, "yyyy-mm"), "")</f>
        <v/>
      </c>
    </row>
    <row r="2296">
      <c r="A2296" t="inlineStr">
        <is>
          <t>RP0002295</t>
        </is>
      </c>
      <c r="B2296" t="inlineStr">
        <is>
          <t>LN200331</t>
        </is>
      </c>
      <c r="C2296" t="n">
        <v>9</v>
      </c>
      <c r="D2296" s="8" t="n">
        <v>46408</v>
      </c>
      <c r="E2296" s="9" t="n">
        <v>2562.22</v>
      </c>
      <c r="F2296" s="8" t="n"/>
      <c r="G2296" s="9" t="n">
        <v>0</v>
      </c>
      <c r="H2296" t="inlineStr">
        <is>
          <t>NOT_DUE</t>
        </is>
      </c>
      <c r="I2296">
        <f>IF(H2296="UNPAID", AsOfDate-D2296, 0)</f>
        <v/>
      </c>
      <c r="J2296">
        <f>IF(F2296&lt;&gt;"", TEXT(F2296, "yyyy-mm"), "")</f>
        <v/>
      </c>
    </row>
    <row r="2297">
      <c r="A2297" t="inlineStr">
        <is>
          <t>RP0002296</t>
        </is>
      </c>
      <c r="B2297" t="inlineStr">
        <is>
          <t>LN200332</t>
        </is>
      </c>
      <c r="C2297" t="n">
        <v>1</v>
      </c>
      <c r="D2297" s="8" t="n">
        <v>46091</v>
      </c>
      <c r="E2297" s="9" t="n">
        <v>107944</v>
      </c>
      <c r="F2297" s="8" t="n">
        <v>46090</v>
      </c>
      <c r="G2297" s="9" t="n">
        <v>107944</v>
      </c>
      <c r="H2297" t="inlineStr">
        <is>
          <t>PAID_ON_TIME</t>
        </is>
      </c>
      <c r="I2297">
        <f>IF(H2297="UNPAID", AsOfDate-D2297, 0)</f>
        <v/>
      </c>
      <c r="J2297">
        <f>IF(F2297&lt;&gt;"", TEXT(F2297, "yyyy-mm"), "")</f>
        <v/>
      </c>
    </row>
    <row r="2298">
      <c r="A2298" t="inlineStr">
        <is>
          <t>RP0002297</t>
        </is>
      </c>
      <c r="B2298" t="inlineStr">
        <is>
          <t>LN200332</t>
        </is>
      </c>
      <c r="C2298" t="n">
        <v>2</v>
      </c>
      <c r="D2298" s="8" t="n">
        <v>46122</v>
      </c>
      <c r="E2298" s="9" t="n">
        <v>107944</v>
      </c>
      <c r="F2298" s="8" t="n">
        <v>46192</v>
      </c>
      <c r="G2298" s="9" t="n">
        <v>107944</v>
      </c>
      <c r="H2298" t="inlineStr">
        <is>
          <t>PAID_LATE</t>
        </is>
      </c>
      <c r="I2298">
        <f>IF(H2298="UNPAID", AsOfDate-D2298, 0)</f>
        <v/>
      </c>
      <c r="J2298">
        <f>IF(F2298&lt;&gt;"", TEXT(F2298, "yyyy-mm"), "")</f>
        <v/>
      </c>
    </row>
    <row r="2299">
      <c r="A2299" t="inlineStr">
        <is>
          <t>RP0002298</t>
        </is>
      </c>
      <c r="B2299" t="inlineStr">
        <is>
          <t>LN200332</t>
        </is>
      </c>
      <c r="C2299" t="n">
        <v>3</v>
      </c>
      <c r="D2299" s="8" t="n">
        <v>46152</v>
      </c>
      <c r="E2299" s="9" t="n">
        <v>107944</v>
      </c>
      <c r="F2299" s="8" t="n">
        <v>46155</v>
      </c>
      <c r="G2299" s="9" t="n">
        <v>107944</v>
      </c>
      <c r="H2299" t="inlineStr">
        <is>
          <t>PAID_ON_TIME</t>
        </is>
      </c>
      <c r="I2299">
        <f>IF(H2299="UNPAID", AsOfDate-D2299, 0)</f>
        <v/>
      </c>
      <c r="J2299">
        <f>IF(F2299&lt;&gt;"", TEXT(F2299, "yyyy-mm"), "")</f>
        <v/>
      </c>
    </row>
    <row r="2300">
      <c r="A2300" t="inlineStr">
        <is>
          <t>RP0002299</t>
        </is>
      </c>
      <c r="B2300" t="inlineStr">
        <is>
          <t>LN200333</t>
        </is>
      </c>
      <c r="C2300" t="n">
        <v>1</v>
      </c>
      <c r="D2300" s="8" t="n">
        <v>45857</v>
      </c>
      <c r="E2300" s="9" t="n">
        <v>3623.33</v>
      </c>
      <c r="F2300" s="8" t="n">
        <v>45876</v>
      </c>
      <c r="G2300" s="9" t="n">
        <v>3623.33</v>
      </c>
      <c r="H2300" t="inlineStr">
        <is>
          <t>PAID_LATE</t>
        </is>
      </c>
      <c r="I2300">
        <f>IF(H2300="UNPAID", AsOfDate-D2300, 0)</f>
        <v/>
      </c>
      <c r="J2300">
        <f>IF(F2300&lt;&gt;"", TEXT(F2300, "yyyy-mm"), "")</f>
        <v/>
      </c>
    </row>
    <row r="2301">
      <c r="A2301" t="inlineStr">
        <is>
          <t>RP0002300</t>
        </is>
      </c>
      <c r="B2301" t="inlineStr">
        <is>
          <t>LN200333</t>
        </is>
      </c>
      <c r="C2301" t="n">
        <v>2</v>
      </c>
      <c r="D2301" s="8" t="n">
        <v>45888</v>
      </c>
      <c r="E2301" s="9" t="n">
        <v>3623.33</v>
      </c>
      <c r="F2301" s="8" t="n">
        <v>45886</v>
      </c>
      <c r="G2301" s="9" t="n">
        <v>3623.33</v>
      </c>
      <c r="H2301" t="inlineStr">
        <is>
          <t>PAID_ON_TIME</t>
        </is>
      </c>
      <c r="I2301">
        <f>IF(H2301="UNPAID", AsOfDate-D2301, 0)</f>
        <v/>
      </c>
      <c r="J2301">
        <f>IF(F2301&lt;&gt;"", TEXT(F2301, "yyyy-mm"), "")</f>
        <v/>
      </c>
    </row>
    <row r="2302">
      <c r="A2302" t="inlineStr">
        <is>
          <t>RP0002301</t>
        </is>
      </c>
      <c r="B2302" t="inlineStr">
        <is>
          <t>LN200333</t>
        </is>
      </c>
      <c r="C2302" t="n">
        <v>3</v>
      </c>
      <c r="D2302" s="8" t="n">
        <v>45919</v>
      </c>
      <c r="E2302" s="9" t="n">
        <v>3623.33</v>
      </c>
      <c r="F2302" s="8" t="n">
        <v>45917</v>
      </c>
      <c r="G2302" s="9" t="n">
        <v>3623.33</v>
      </c>
      <c r="H2302" t="inlineStr">
        <is>
          <t>PAID_ON_TIME</t>
        </is>
      </c>
      <c r="I2302">
        <f>IF(H2302="UNPAID", AsOfDate-D2302, 0)</f>
        <v/>
      </c>
      <c r="J2302">
        <f>IF(F2302&lt;&gt;"", TEXT(F2302, "yyyy-mm"), "")</f>
        <v/>
      </c>
    </row>
    <row r="2303">
      <c r="A2303" t="inlineStr">
        <is>
          <t>RP0002302</t>
        </is>
      </c>
      <c r="B2303" t="inlineStr">
        <is>
          <t>LN200333</t>
        </is>
      </c>
      <c r="C2303" t="n">
        <v>4</v>
      </c>
      <c r="D2303" s="8" t="n">
        <v>45949</v>
      </c>
      <c r="E2303" s="9" t="n">
        <v>3623.33</v>
      </c>
      <c r="F2303" s="8" t="n">
        <v>45948</v>
      </c>
      <c r="G2303" s="9" t="n">
        <v>3623.33</v>
      </c>
      <c r="H2303" t="inlineStr">
        <is>
          <t>PAID_ON_TIME</t>
        </is>
      </c>
      <c r="I2303">
        <f>IF(H2303="UNPAID", AsOfDate-D2303, 0)</f>
        <v/>
      </c>
      <c r="J2303">
        <f>IF(F2303&lt;&gt;"", TEXT(F2303, "yyyy-mm"), "")</f>
        <v/>
      </c>
    </row>
    <row r="2304">
      <c r="A2304" t="inlineStr">
        <is>
          <t>RP0002303</t>
        </is>
      </c>
      <c r="B2304" t="inlineStr">
        <is>
          <t>LN200333</t>
        </is>
      </c>
      <c r="C2304" t="n">
        <v>5</v>
      </c>
      <c r="D2304" s="8" t="n">
        <v>45980</v>
      </c>
      <c r="E2304" s="9" t="n">
        <v>3623.33</v>
      </c>
      <c r="F2304" s="8" t="n">
        <v>45979</v>
      </c>
      <c r="G2304" s="9" t="n">
        <v>3623.33</v>
      </c>
      <c r="H2304" t="inlineStr">
        <is>
          <t>PAID_ON_TIME</t>
        </is>
      </c>
      <c r="I2304">
        <f>IF(H2304="UNPAID", AsOfDate-D2304, 0)</f>
        <v/>
      </c>
      <c r="J2304">
        <f>IF(F2304&lt;&gt;"", TEXT(F2304, "yyyy-mm"), "")</f>
        <v/>
      </c>
    </row>
    <row r="2305">
      <c r="A2305" t="inlineStr">
        <is>
          <t>RP0002304</t>
        </is>
      </c>
      <c r="B2305" t="inlineStr">
        <is>
          <t>LN200333</t>
        </is>
      </c>
      <c r="C2305" t="n">
        <v>6</v>
      </c>
      <c r="D2305" s="8" t="n">
        <v>46010</v>
      </c>
      <c r="E2305" s="9" t="n">
        <v>3623.33</v>
      </c>
      <c r="F2305" s="8" t="n">
        <v>46011</v>
      </c>
      <c r="G2305" s="9" t="n">
        <v>3623.33</v>
      </c>
      <c r="H2305" t="inlineStr">
        <is>
          <t>PAID_ON_TIME</t>
        </is>
      </c>
      <c r="I2305">
        <f>IF(H2305="UNPAID", AsOfDate-D2305, 0)</f>
        <v/>
      </c>
      <c r="J2305">
        <f>IF(F2305&lt;&gt;"", TEXT(F2305, "yyyy-mm"), "")</f>
        <v/>
      </c>
    </row>
    <row r="2306">
      <c r="A2306" t="inlineStr">
        <is>
          <t>RP0002305</t>
        </is>
      </c>
      <c r="B2306" t="inlineStr">
        <is>
          <t>LN200334</t>
        </is>
      </c>
      <c r="C2306" t="n">
        <v>1</v>
      </c>
      <c r="D2306" s="8" t="n">
        <v>45892</v>
      </c>
      <c r="E2306" s="9" t="n">
        <v>6363.67</v>
      </c>
      <c r="F2306" s="8" t="n"/>
      <c r="G2306" s="9" t="n">
        <v>0</v>
      </c>
      <c r="H2306" t="inlineStr">
        <is>
          <t>UNPAID</t>
        </is>
      </c>
      <c r="I2306">
        <f>IF(H2306="UNPAID", AsOfDate-D2306, 0)</f>
        <v/>
      </c>
      <c r="J2306">
        <f>IF(F2306&lt;&gt;"", TEXT(F2306, "yyyy-mm"), "")</f>
        <v/>
      </c>
    </row>
    <row r="2307">
      <c r="A2307" t="inlineStr">
        <is>
          <t>RP0002306</t>
        </is>
      </c>
      <c r="B2307" t="inlineStr">
        <is>
          <t>LN200334</t>
        </is>
      </c>
      <c r="C2307" t="n">
        <v>2</v>
      </c>
      <c r="D2307" s="8" t="n">
        <v>45923</v>
      </c>
      <c r="E2307" s="9" t="n">
        <v>6363.67</v>
      </c>
      <c r="F2307" s="8" t="n">
        <v>45922</v>
      </c>
      <c r="G2307" s="9" t="n">
        <v>6363.67</v>
      </c>
      <c r="H2307" t="inlineStr">
        <is>
          <t>PAID_ON_TIME</t>
        </is>
      </c>
      <c r="I2307">
        <f>IF(H2307="UNPAID", AsOfDate-D2307, 0)</f>
        <v/>
      </c>
      <c r="J2307">
        <f>IF(F2307&lt;&gt;"", TEXT(F2307, "yyyy-mm"), "")</f>
        <v/>
      </c>
    </row>
    <row r="2308">
      <c r="A2308" t="inlineStr">
        <is>
          <t>RP0002307</t>
        </is>
      </c>
      <c r="B2308" t="inlineStr">
        <is>
          <t>LN200334</t>
        </is>
      </c>
      <c r="C2308" t="n">
        <v>3</v>
      </c>
      <c r="D2308" s="8" t="n">
        <v>45953</v>
      </c>
      <c r="E2308" s="9" t="n">
        <v>6363.67</v>
      </c>
      <c r="F2308" s="8" t="n">
        <v>46072</v>
      </c>
      <c r="G2308" s="9" t="n">
        <v>6363.67</v>
      </c>
      <c r="H2308" t="inlineStr">
        <is>
          <t>PAID_LATE</t>
        </is>
      </c>
      <c r="I2308">
        <f>IF(H2308="UNPAID", AsOfDate-D2308, 0)</f>
        <v/>
      </c>
      <c r="J2308">
        <f>IF(F2308&lt;&gt;"", TEXT(F2308, "yyyy-mm"), "")</f>
        <v/>
      </c>
    </row>
    <row r="2309">
      <c r="A2309" t="inlineStr">
        <is>
          <t>RP0002308</t>
        </is>
      </c>
      <c r="B2309" t="inlineStr">
        <is>
          <t>LN200334</t>
        </is>
      </c>
      <c r="C2309" t="n">
        <v>4</v>
      </c>
      <c r="D2309" s="8" t="n">
        <v>45984</v>
      </c>
      <c r="E2309" s="9" t="n">
        <v>6363.67</v>
      </c>
      <c r="F2309" s="8" t="n">
        <v>45988</v>
      </c>
      <c r="G2309" s="9" t="n">
        <v>6363.67</v>
      </c>
      <c r="H2309" t="inlineStr">
        <is>
          <t>PAID_LATE</t>
        </is>
      </c>
      <c r="I2309">
        <f>IF(H2309="UNPAID", AsOfDate-D2309, 0)</f>
        <v/>
      </c>
      <c r="J2309">
        <f>IF(F2309&lt;&gt;"", TEXT(F2309, "yyyy-mm"), "")</f>
        <v/>
      </c>
    </row>
    <row r="2310">
      <c r="A2310" t="inlineStr">
        <is>
          <t>RP0002309</t>
        </is>
      </c>
      <c r="B2310" t="inlineStr">
        <is>
          <t>LN200334</t>
        </is>
      </c>
      <c r="C2310" t="n">
        <v>5</v>
      </c>
      <c r="D2310" s="8" t="n">
        <v>46014</v>
      </c>
      <c r="E2310" s="9" t="n">
        <v>6363.67</v>
      </c>
      <c r="F2310" s="8" t="n">
        <v>46014</v>
      </c>
      <c r="G2310" s="9" t="n">
        <v>6363.67</v>
      </c>
      <c r="H2310" t="inlineStr">
        <is>
          <t>PAID_ON_TIME</t>
        </is>
      </c>
      <c r="I2310">
        <f>IF(H2310="UNPAID", AsOfDate-D2310, 0)</f>
        <v/>
      </c>
      <c r="J2310">
        <f>IF(F2310&lt;&gt;"", TEXT(F2310, "yyyy-mm"), "")</f>
        <v/>
      </c>
    </row>
    <row r="2311">
      <c r="A2311" t="inlineStr">
        <is>
          <t>RP0002310</t>
        </is>
      </c>
      <c r="B2311" t="inlineStr">
        <is>
          <t>LN200334</t>
        </is>
      </c>
      <c r="C2311" t="n">
        <v>6</v>
      </c>
      <c r="D2311" s="8" t="n">
        <v>46045</v>
      </c>
      <c r="E2311" s="9" t="n">
        <v>6363.67</v>
      </c>
      <c r="F2311" s="8" t="n">
        <v>46135</v>
      </c>
      <c r="G2311" s="9" t="n">
        <v>6363.67</v>
      </c>
      <c r="H2311" t="inlineStr">
        <is>
          <t>PAID_LATE</t>
        </is>
      </c>
      <c r="I2311">
        <f>IF(H2311="UNPAID", AsOfDate-D2311, 0)</f>
        <v/>
      </c>
      <c r="J2311">
        <f>IF(F2311&lt;&gt;"", TEXT(F2311, "yyyy-mm"), "")</f>
        <v/>
      </c>
    </row>
    <row r="2312">
      <c r="A2312" t="inlineStr">
        <is>
          <t>RP0002311</t>
        </is>
      </c>
      <c r="B2312" t="inlineStr">
        <is>
          <t>LN200334</t>
        </is>
      </c>
      <c r="C2312" t="n">
        <v>7</v>
      </c>
      <c r="D2312" s="8" t="n">
        <v>46076</v>
      </c>
      <c r="E2312" s="9" t="n">
        <v>6363.67</v>
      </c>
      <c r="F2312" s="8" t="n">
        <v>46080</v>
      </c>
      <c r="G2312" s="9" t="n">
        <v>6363.67</v>
      </c>
      <c r="H2312" t="inlineStr">
        <is>
          <t>PAID_ON_TIME</t>
        </is>
      </c>
      <c r="I2312">
        <f>IF(H2312="UNPAID", AsOfDate-D2312, 0)</f>
        <v/>
      </c>
      <c r="J2312">
        <f>IF(F2312&lt;&gt;"", TEXT(F2312, "yyyy-mm"), "")</f>
        <v/>
      </c>
    </row>
    <row r="2313">
      <c r="A2313" t="inlineStr">
        <is>
          <t>RP0002312</t>
        </is>
      </c>
      <c r="B2313" t="inlineStr">
        <is>
          <t>LN200334</t>
        </is>
      </c>
      <c r="C2313" t="n">
        <v>8</v>
      </c>
      <c r="D2313" s="8" t="n">
        <v>46104</v>
      </c>
      <c r="E2313" s="9" t="n">
        <v>6363.67</v>
      </c>
      <c r="F2313" s="8" t="n">
        <v>46105</v>
      </c>
      <c r="G2313" s="9" t="n">
        <v>6363.67</v>
      </c>
      <c r="H2313" t="inlineStr">
        <is>
          <t>PAID_ON_TIME</t>
        </is>
      </c>
      <c r="I2313">
        <f>IF(H2313="UNPAID", AsOfDate-D2313, 0)</f>
        <v/>
      </c>
      <c r="J2313">
        <f>IF(F2313&lt;&gt;"", TEXT(F2313, "yyyy-mm"), "")</f>
        <v/>
      </c>
    </row>
    <row r="2314">
      <c r="A2314" t="inlineStr">
        <is>
          <t>RP0002313</t>
        </is>
      </c>
      <c r="B2314" t="inlineStr">
        <is>
          <t>LN200334</t>
        </is>
      </c>
      <c r="C2314" t="n">
        <v>9</v>
      </c>
      <c r="D2314" s="8" t="n">
        <v>46135</v>
      </c>
      <c r="E2314" s="9" t="n">
        <v>6363.67</v>
      </c>
      <c r="F2314" s="8" t="n">
        <v>46133</v>
      </c>
      <c r="G2314" s="9" t="n">
        <v>6363.67</v>
      </c>
      <c r="H2314" t="inlineStr">
        <is>
          <t>PAID_ON_TIME</t>
        </is>
      </c>
      <c r="I2314">
        <f>IF(H2314="UNPAID", AsOfDate-D2314, 0)</f>
        <v/>
      </c>
      <c r="J2314">
        <f>IF(F2314&lt;&gt;"", TEXT(F2314, "yyyy-mm"), "")</f>
        <v/>
      </c>
    </row>
    <row r="2315">
      <c r="A2315" t="inlineStr">
        <is>
          <t>RP0002314</t>
        </is>
      </c>
      <c r="B2315" t="inlineStr">
        <is>
          <t>LN200334</t>
        </is>
      </c>
      <c r="C2315" t="n">
        <v>10</v>
      </c>
      <c r="D2315" s="8" t="n">
        <v>46165</v>
      </c>
      <c r="E2315" s="9" t="n">
        <v>6363.67</v>
      </c>
      <c r="F2315" s="8" t="n">
        <v>46168</v>
      </c>
      <c r="G2315" s="9" t="n">
        <v>6363.67</v>
      </c>
      <c r="H2315" t="inlineStr">
        <is>
          <t>PAID_ON_TIME</t>
        </is>
      </c>
      <c r="I2315">
        <f>IF(H2315="UNPAID", AsOfDate-D2315, 0)</f>
        <v/>
      </c>
      <c r="J2315">
        <f>IF(F2315&lt;&gt;"", TEXT(F2315, "yyyy-mm"), "")</f>
        <v/>
      </c>
    </row>
    <row r="2316">
      <c r="A2316" t="inlineStr">
        <is>
          <t>RP0002315</t>
        </is>
      </c>
      <c r="B2316" t="inlineStr">
        <is>
          <t>LN200334</t>
        </is>
      </c>
      <c r="C2316" t="n">
        <v>11</v>
      </c>
      <c r="D2316" s="8" t="n">
        <v>46196</v>
      </c>
      <c r="E2316" s="9" t="n">
        <v>6363.67</v>
      </c>
      <c r="F2316" s="8" t="n">
        <v>46200</v>
      </c>
      <c r="G2316" s="9" t="n">
        <v>6363.67</v>
      </c>
      <c r="H2316" t="inlineStr">
        <is>
          <t>PAID_ON_TIME</t>
        </is>
      </c>
      <c r="I2316">
        <f>IF(H2316="UNPAID", AsOfDate-D2316, 0)</f>
        <v/>
      </c>
      <c r="J2316">
        <f>IF(F2316&lt;&gt;"", TEXT(F2316, "yyyy-mm"), "")</f>
        <v/>
      </c>
    </row>
    <row r="2317">
      <c r="A2317" t="inlineStr">
        <is>
          <t>RP0002316</t>
        </is>
      </c>
      <c r="B2317" t="inlineStr">
        <is>
          <t>LN200334</t>
        </is>
      </c>
      <c r="C2317" t="n">
        <v>12</v>
      </c>
      <c r="D2317" s="8" t="n">
        <v>46226</v>
      </c>
      <c r="E2317" s="9" t="n">
        <v>6363.67</v>
      </c>
      <c r="F2317" s="8" t="n"/>
      <c r="G2317" s="9" t="n">
        <v>0</v>
      </c>
      <c r="H2317" t="inlineStr">
        <is>
          <t>UNPAID</t>
        </is>
      </c>
      <c r="I2317">
        <f>IF(H2317="UNPAID", AsOfDate-D2317, 0)</f>
        <v/>
      </c>
      <c r="J2317">
        <f>IF(F2317&lt;&gt;"", TEXT(F2317, "yyyy-mm"), "")</f>
        <v/>
      </c>
    </row>
    <row r="2318">
      <c r="A2318" t="inlineStr">
        <is>
          <t>RP0002317</t>
        </is>
      </c>
      <c r="B2318" t="inlineStr">
        <is>
          <t>LN200335</t>
        </is>
      </c>
      <c r="C2318" t="n">
        <v>1</v>
      </c>
      <c r="D2318" s="8" t="n">
        <v>45993</v>
      </c>
      <c r="E2318" s="9" t="n">
        <v>12095.36</v>
      </c>
      <c r="F2318" s="8" t="n">
        <v>45992</v>
      </c>
      <c r="G2318" s="9" t="n">
        <v>12095.36</v>
      </c>
      <c r="H2318" t="inlineStr">
        <is>
          <t>PAID_ON_TIME</t>
        </is>
      </c>
      <c r="I2318">
        <f>IF(H2318="UNPAID", AsOfDate-D2318, 0)</f>
        <v/>
      </c>
      <c r="J2318">
        <f>IF(F2318&lt;&gt;"", TEXT(F2318, "yyyy-mm"), "")</f>
        <v/>
      </c>
    </row>
    <row r="2319">
      <c r="A2319" t="inlineStr">
        <is>
          <t>RP0002318</t>
        </is>
      </c>
      <c r="B2319" t="inlineStr">
        <is>
          <t>LN200335</t>
        </is>
      </c>
      <c r="C2319" t="n">
        <v>2</v>
      </c>
      <c r="D2319" s="8" t="n">
        <v>46024</v>
      </c>
      <c r="E2319" s="9" t="n">
        <v>12095.36</v>
      </c>
      <c r="F2319" s="8" t="n">
        <v>46022</v>
      </c>
      <c r="G2319" s="9" t="n">
        <v>12095.36</v>
      </c>
      <c r="H2319" t="inlineStr">
        <is>
          <t>PAID_ON_TIME</t>
        </is>
      </c>
      <c r="I2319">
        <f>IF(H2319="UNPAID", AsOfDate-D2319, 0)</f>
        <v/>
      </c>
      <c r="J2319">
        <f>IF(F2319&lt;&gt;"", TEXT(F2319, "yyyy-mm"), "")</f>
        <v/>
      </c>
    </row>
    <row r="2320">
      <c r="A2320" t="inlineStr">
        <is>
          <t>RP0002319</t>
        </is>
      </c>
      <c r="B2320" t="inlineStr">
        <is>
          <t>LN200335</t>
        </is>
      </c>
      <c r="C2320" t="n">
        <v>3</v>
      </c>
      <c r="D2320" s="8" t="n">
        <v>46055</v>
      </c>
      <c r="E2320" s="9" t="n">
        <v>12095.36</v>
      </c>
      <c r="F2320" s="8" t="n">
        <v>46053</v>
      </c>
      <c r="G2320" s="9" t="n">
        <v>12095.36</v>
      </c>
      <c r="H2320" t="inlineStr">
        <is>
          <t>PAID_ON_TIME</t>
        </is>
      </c>
      <c r="I2320">
        <f>IF(H2320="UNPAID", AsOfDate-D2320, 0)</f>
        <v/>
      </c>
      <c r="J2320">
        <f>IF(F2320&lt;&gt;"", TEXT(F2320, "yyyy-mm"), "")</f>
        <v/>
      </c>
    </row>
    <row r="2321">
      <c r="A2321" t="inlineStr">
        <is>
          <t>RP0002320</t>
        </is>
      </c>
      <c r="B2321" t="inlineStr">
        <is>
          <t>LN200335</t>
        </is>
      </c>
      <c r="C2321" t="n">
        <v>4</v>
      </c>
      <c r="D2321" s="8" t="n">
        <v>46083</v>
      </c>
      <c r="E2321" s="9" t="n">
        <v>12095.36</v>
      </c>
      <c r="F2321" s="8" t="n">
        <v>46081</v>
      </c>
      <c r="G2321" s="9" t="n">
        <v>12095.36</v>
      </c>
      <c r="H2321" t="inlineStr">
        <is>
          <t>PAID_ON_TIME</t>
        </is>
      </c>
      <c r="I2321">
        <f>IF(H2321="UNPAID", AsOfDate-D2321, 0)</f>
        <v/>
      </c>
      <c r="J2321">
        <f>IF(F2321&lt;&gt;"", TEXT(F2321, "yyyy-mm"), "")</f>
        <v/>
      </c>
    </row>
    <row r="2322">
      <c r="A2322" t="inlineStr">
        <is>
          <t>RP0002321</t>
        </is>
      </c>
      <c r="B2322" t="inlineStr">
        <is>
          <t>LN200335</t>
        </is>
      </c>
      <c r="C2322" t="n">
        <v>5</v>
      </c>
      <c r="D2322" s="8" t="n">
        <v>46114</v>
      </c>
      <c r="E2322" s="9" t="n">
        <v>12095.36</v>
      </c>
      <c r="F2322" s="8" t="n">
        <v>46118</v>
      </c>
      <c r="G2322" s="9" t="n">
        <v>12095.36</v>
      </c>
      <c r="H2322" t="inlineStr">
        <is>
          <t>PAID_ON_TIME</t>
        </is>
      </c>
      <c r="I2322">
        <f>IF(H2322="UNPAID", AsOfDate-D2322, 0)</f>
        <v/>
      </c>
      <c r="J2322">
        <f>IF(F2322&lt;&gt;"", TEXT(F2322, "yyyy-mm"), "")</f>
        <v/>
      </c>
    </row>
    <row r="2323">
      <c r="A2323" t="inlineStr">
        <is>
          <t>RP0002322</t>
        </is>
      </c>
      <c r="B2323" t="inlineStr">
        <is>
          <t>LN200335</t>
        </is>
      </c>
      <c r="C2323" t="n">
        <v>6</v>
      </c>
      <c r="D2323" s="8" t="n">
        <v>46144</v>
      </c>
      <c r="E2323" s="9" t="n">
        <v>12095.36</v>
      </c>
      <c r="F2323" s="8" t="n">
        <v>46231</v>
      </c>
      <c r="G2323" s="9" t="n">
        <v>12095.36</v>
      </c>
      <c r="H2323" t="inlineStr">
        <is>
          <t>PAID_LATE</t>
        </is>
      </c>
      <c r="I2323">
        <f>IF(H2323="UNPAID", AsOfDate-D2323, 0)</f>
        <v/>
      </c>
      <c r="J2323">
        <f>IF(F2323&lt;&gt;"", TEXT(F2323, "yyyy-mm"), "")</f>
        <v/>
      </c>
    </row>
    <row r="2324">
      <c r="A2324" t="inlineStr">
        <is>
          <t>RP0002323</t>
        </is>
      </c>
      <c r="B2324" t="inlineStr">
        <is>
          <t>LN200335</t>
        </is>
      </c>
      <c r="C2324" t="n">
        <v>7</v>
      </c>
      <c r="D2324" s="8" t="n">
        <v>46175</v>
      </c>
      <c r="E2324" s="9" t="n">
        <v>12095.36</v>
      </c>
      <c r="F2324" s="8" t="n">
        <v>46172</v>
      </c>
      <c r="G2324" s="9" t="n">
        <v>12095.36</v>
      </c>
      <c r="H2324" t="inlineStr">
        <is>
          <t>PAID_ON_TIME</t>
        </is>
      </c>
      <c r="I2324">
        <f>IF(H2324="UNPAID", AsOfDate-D2324, 0)</f>
        <v/>
      </c>
      <c r="J2324">
        <f>IF(F2324&lt;&gt;"", TEXT(F2324, "yyyy-mm"), "")</f>
        <v/>
      </c>
    </row>
    <row r="2325">
      <c r="A2325" t="inlineStr">
        <is>
          <t>RP0002324</t>
        </is>
      </c>
      <c r="B2325" t="inlineStr">
        <is>
          <t>LN200335</t>
        </is>
      </c>
      <c r="C2325" t="n">
        <v>8</v>
      </c>
      <c r="D2325" s="8" t="n">
        <v>46205</v>
      </c>
      <c r="E2325" s="9" t="n">
        <v>12095.36</v>
      </c>
      <c r="F2325" s="8" t="n">
        <v>46206</v>
      </c>
      <c r="G2325" s="9" t="n">
        <v>12095.36</v>
      </c>
      <c r="H2325" t="inlineStr">
        <is>
          <t>PAID_ON_TIME</t>
        </is>
      </c>
      <c r="I2325">
        <f>IF(H2325="UNPAID", AsOfDate-D2325, 0)</f>
        <v/>
      </c>
      <c r="J2325">
        <f>IF(F2325&lt;&gt;"", TEXT(F2325, "yyyy-mm"), "")</f>
        <v/>
      </c>
    </row>
    <row r="2326">
      <c r="A2326" t="inlineStr">
        <is>
          <t>RP0002325</t>
        </is>
      </c>
      <c r="B2326" t="inlineStr">
        <is>
          <t>LN200335</t>
        </is>
      </c>
      <c r="C2326" t="n">
        <v>9</v>
      </c>
      <c r="D2326" s="8" t="n">
        <v>46236</v>
      </c>
      <c r="E2326" s="9" t="n">
        <v>12095.36</v>
      </c>
      <c r="F2326" s="8" t="n">
        <v>46237</v>
      </c>
      <c r="G2326" s="9" t="n">
        <v>12095.36</v>
      </c>
      <c r="H2326" t="inlineStr">
        <is>
          <t>PAID_ON_TIME</t>
        </is>
      </c>
      <c r="I2326">
        <f>IF(H2326="UNPAID", AsOfDate-D2326, 0)</f>
        <v/>
      </c>
      <c r="J2326">
        <f>IF(F2326&lt;&gt;"", TEXT(F2326, "yyyy-mm"), "")</f>
        <v/>
      </c>
    </row>
    <row r="2327">
      <c r="A2327" t="inlineStr">
        <is>
          <t>RP0002326</t>
        </is>
      </c>
      <c r="B2327" t="inlineStr">
        <is>
          <t>LN200336</t>
        </is>
      </c>
      <c r="C2327" t="n">
        <v>1</v>
      </c>
      <c r="D2327" s="8" t="n">
        <v>46186</v>
      </c>
      <c r="E2327" s="9" t="n">
        <v>33507.44</v>
      </c>
      <c r="F2327" s="8" t="n">
        <v>46183</v>
      </c>
      <c r="G2327" s="9" t="n">
        <v>33507.44</v>
      </c>
      <c r="H2327" t="inlineStr">
        <is>
          <t>PAID_ON_TIME</t>
        </is>
      </c>
      <c r="I2327">
        <f>IF(H2327="UNPAID", AsOfDate-D2327, 0)</f>
        <v/>
      </c>
      <c r="J2327">
        <f>IF(F2327&lt;&gt;"", TEXT(F2327, "yyyy-mm"), "")</f>
        <v/>
      </c>
    </row>
    <row r="2328">
      <c r="A2328" t="inlineStr">
        <is>
          <t>RP0002327</t>
        </is>
      </c>
      <c r="B2328" t="inlineStr">
        <is>
          <t>LN200336</t>
        </is>
      </c>
      <c r="C2328" t="n">
        <v>2</v>
      </c>
      <c r="D2328" s="8" t="n">
        <v>46216</v>
      </c>
      <c r="E2328" s="9" t="n">
        <v>33507.44</v>
      </c>
      <c r="F2328" s="8" t="n">
        <v>46216</v>
      </c>
      <c r="G2328" s="9" t="n">
        <v>33507.44</v>
      </c>
      <c r="H2328" t="inlineStr">
        <is>
          <t>PAID_ON_TIME</t>
        </is>
      </c>
      <c r="I2328">
        <f>IF(H2328="UNPAID", AsOfDate-D2328, 0)</f>
        <v/>
      </c>
      <c r="J2328">
        <f>IF(F2328&lt;&gt;"", TEXT(F2328, "yyyy-mm"), "")</f>
        <v/>
      </c>
    </row>
    <row r="2329">
      <c r="A2329" t="inlineStr">
        <is>
          <t>RP0002328</t>
        </is>
      </c>
      <c r="B2329" t="inlineStr">
        <is>
          <t>LN200336</t>
        </is>
      </c>
      <c r="C2329" t="n">
        <v>3</v>
      </c>
      <c r="D2329" s="8" t="n">
        <v>46247</v>
      </c>
      <c r="E2329" s="9" t="n">
        <v>33507.44</v>
      </c>
      <c r="F2329" s="8" t="n">
        <v>46244</v>
      </c>
      <c r="G2329" s="9" t="n">
        <v>33507.44</v>
      </c>
      <c r="H2329" t="inlineStr">
        <is>
          <t>PAID_ON_TIME</t>
        </is>
      </c>
      <c r="I2329">
        <f>IF(H2329="UNPAID", AsOfDate-D2329, 0)</f>
        <v/>
      </c>
      <c r="J2329">
        <f>IF(F2329&lt;&gt;"", TEXT(F2329, "yyyy-mm"), "")</f>
        <v/>
      </c>
    </row>
    <row r="2330">
      <c r="A2330" t="inlineStr">
        <is>
          <t>RP0002329</t>
        </is>
      </c>
      <c r="B2330" t="inlineStr">
        <is>
          <t>LN200336</t>
        </is>
      </c>
      <c r="C2330" t="n">
        <v>4</v>
      </c>
      <c r="D2330" s="8" t="n">
        <v>46278</v>
      </c>
      <c r="E2330" s="9" t="n">
        <v>33507.44</v>
      </c>
      <c r="F2330" s="8" t="n"/>
      <c r="G2330" s="9" t="n">
        <v>0</v>
      </c>
      <c r="H2330" t="inlineStr">
        <is>
          <t>NOT_DUE</t>
        </is>
      </c>
      <c r="I2330">
        <f>IF(H2330="UNPAID", AsOfDate-D2330, 0)</f>
        <v/>
      </c>
      <c r="J2330">
        <f>IF(F2330&lt;&gt;"", TEXT(F2330, "yyyy-mm"), "")</f>
        <v/>
      </c>
    </row>
    <row r="2331">
      <c r="A2331" t="inlineStr">
        <is>
          <t>RP0002330</t>
        </is>
      </c>
      <c r="B2331" t="inlineStr">
        <is>
          <t>LN200336</t>
        </is>
      </c>
      <c r="C2331" t="n">
        <v>5</v>
      </c>
      <c r="D2331" s="8" t="n">
        <v>46308</v>
      </c>
      <c r="E2331" s="9" t="n">
        <v>33507.44</v>
      </c>
      <c r="F2331" s="8" t="n"/>
      <c r="G2331" s="9" t="n">
        <v>0</v>
      </c>
      <c r="H2331" t="inlineStr">
        <is>
          <t>NOT_DUE</t>
        </is>
      </c>
      <c r="I2331">
        <f>IF(H2331="UNPAID", AsOfDate-D2331, 0)</f>
        <v/>
      </c>
      <c r="J2331">
        <f>IF(F2331&lt;&gt;"", TEXT(F2331, "yyyy-mm"), "")</f>
        <v/>
      </c>
    </row>
    <row r="2332">
      <c r="A2332" t="inlineStr">
        <is>
          <t>RP0002331</t>
        </is>
      </c>
      <c r="B2332" t="inlineStr">
        <is>
          <t>LN200336</t>
        </is>
      </c>
      <c r="C2332" t="n">
        <v>6</v>
      </c>
      <c r="D2332" s="8" t="n">
        <v>46339</v>
      </c>
      <c r="E2332" s="9" t="n">
        <v>33507.44</v>
      </c>
      <c r="F2332" s="8" t="n"/>
      <c r="G2332" s="9" t="n">
        <v>0</v>
      </c>
      <c r="H2332" t="inlineStr">
        <is>
          <t>NOT_DUE</t>
        </is>
      </c>
      <c r="I2332">
        <f>IF(H2332="UNPAID", AsOfDate-D2332, 0)</f>
        <v/>
      </c>
      <c r="J2332">
        <f>IF(F2332&lt;&gt;"", TEXT(F2332, "yyyy-mm"), "")</f>
        <v/>
      </c>
    </row>
    <row r="2333">
      <c r="A2333" t="inlineStr">
        <is>
          <t>RP0002332</t>
        </is>
      </c>
      <c r="B2333" t="inlineStr">
        <is>
          <t>LN200336</t>
        </is>
      </c>
      <c r="C2333" t="n">
        <v>7</v>
      </c>
      <c r="D2333" s="8" t="n">
        <v>46369</v>
      </c>
      <c r="E2333" s="9" t="n">
        <v>33507.44</v>
      </c>
      <c r="F2333" s="8" t="n"/>
      <c r="G2333" s="9" t="n">
        <v>0</v>
      </c>
      <c r="H2333" t="inlineStr">
        <is>
          <t>NOT_DUE</t>
        </is>
      </c>
      <c r="I2333">
        <f>IF(H2333="UNPAID", AsOfDate-D2333, 0)</f>
        <v/>
      </c>
      <c r="J2333">
        <f>IF(F2333&lt;&gt;"", TEXT(F2333, "yyyy-mm"), "")</f>
        <v/>
      </c>
    </row>
    <row r="2334">
      <c r="A2334" t="inlineStr">
        <is>
          <t>RP0002333</t>
        </is>
      </c>
      <c r="B2334" t="inlineStr">
        <is>
          <t>LN200336</t>
        </is>
      </c>
      <c r="C2334" t="n">
        <v>8</v>
      </c>
      <c r="D2334" s="8" t="n">
        <v>46400</v>
      </c>
      <c r="E2334" s="9" t="n">
        <v>33507.44</v>
      </c>
      <c r="F2334" s="8" t="n"/>
      <c r="G2334" s="9" t="n">
        <v>0</v>
      </c>
      <c r="H2334" t="inlineStr">
        <is>
          <t>NOT_DUE</t>
        </is>
      </c>
      <c r="I2334">
        <f>IF(H2334="UNPAID", AsOfDate-D2334, 0)</f>
        <v/>
      </c>
      <c r="J2334">
        <f>IF(F2334&lt;&gt;"", TEXT(F2334, "yyyy-mm"), "")</f>
        <v/>
      </c>
    </row>
    <row r="2335">
      <c r="A2335" t="inlineStr">
        <is>
          <t>RP0002334</t>
        </is>
      </c>
      <c r="B2335" t="inlineStr">
        <is>
          <t>LN200336</t>
        </is>
      </c>
      <c r="C2335" t="n">
        <v>9</v>
      </c>
      <c r="D2335" s="8" t="n">
        <v>46431</v>
      </c>
      <c r="E2335" s="9" t="n">
        <v>33507.44</v>
      </c>
      <c r="F2335" s="8" t="n"/>
      <c r="G2335" s="9" t="n">
        <v>0</v>
      </c>
      <c r="H2335" t="inlineStr">
        <is>
          <t>NOT_DUE</t>
        </is>
      </c>
      <c r="I2335">
        <f>IF(H2335="UNPAID", AsOfDate-D2335, 0)</f>
        <v/>
      </c>
      <c r="J2335">
        <f>IF(F2335&lt;&gt;"", TEXT(F2335, "yyyy-mm"), "")</f>
        <v/>
      </c>
    </row>
    <row r="2336">
      <c r="A2336" t="inlineStr">
        <is>
          <t>RP0002335</t>
        </is>
      </c>
      <c r="B2336" t="inlineStr">
        <is>
          <t>LN200337</t>
        </is>
      </c>
      <c r="C2336" t="n">
        <v>1</v>
      </c>
      <c r="D2336" s="8" t="n">
        <v>46068</v>
      </c>
      <c r="E2336" s="9" t="n">
        <v>15510</v>
      </c>
      <c r="F2336" s="8" t="n">
        <v>46066</v>
      </c>
      <c r="G2336" s="9" t="n">
        <v>15510</v>
      </c>
      <c r="H2336" t="inlineStr">
        <is>
          <t>PAID_ON_TIME</t>
        </is>
      </c>
      <c r="I2336">
        <f>IF(H2336="UNPAID", AsOfDate-D2336, 0)</f>
        <v/>
      </c>
      <c r="J2336">
        <f>IF(F2336&lt;&gt;"", TEXT(F2336, "yyyy-mm"), "")</f>
        <v/>
      </c>
    </row>
    <row r="2337">
      <c r="A2337" t="inlineStr">
        <is>
          <t>RP0002336</t>
        </is>
      </c>
      <c r="B2337" t="inlineStr">
        <is>
          <t>LN200337</t>
        </is>
      </c>
      <c r="C2337" t="n">
        <v>2</v>
      </c>
      <c r="D2337" s="8" t="n">
        <v>46096</v>
      </c>
      <c r="E2337" s="9" t="n">
        <v>15510</v>
      </c>
      <c r="F2337" s="8" t="n">
        <v>46094</v>
      </c>
      <c r="G2337" s="9" t="n">
        <v>15510</v>
      </c>
      <c r="H2337" t="inlineStr">
        <is>
          <t>PAID_ON_TIME</t>
        </is>
      </c>
      <c r="I2337">
        <f>IF(H2337="UNPAID", AsOfDate-D2337, 0)</f>
        <v/>
      </c>
      <c r="J2337">
        <f>IF(F2337&lt;&gt;"", TEXT(F2337, "yyyy-mm"), "")</f>
        <v/>
      </c>
    </row>
    <row r="2338">
      <c r="A2338" t="inlineStr">
        <is>
          <t>RP0002337</t>
        </is>
      </c>
      <c r="B2338" t="inlineStr">
        <is>
          <t>LN200337</t>
        </is>
      </c>
      <c r="C2338" t="n">
        <v>3</v>
      </c>
      <c r="D2338" s="8" t="n">
        <v>46127</v>
      </c>
      <c r="E2338" s="9" t="n">
        <v>15510</v>
      </c>
      <c r="F2338" s="8" t="n">
        <v>46124</v>
      </c>
      <c r="G2338" s="9" t="n">
        <v>15510</v>
      </c>
      <c r="H2338" t="inlineStr">
        <is>
          <t>PAID_ON_TIME</t>
        </is>
      </c>
      <c r="I2338">
        <f>IF(H2338="UNPAID", AsOfDate-D2338, 0)</f>
        <v/>
      </c>
      <c r="J2338">
        <f>IF(F2338&lt;&gt;"", TEXT(F2338, "yyyy-mm"), "")</f>
        <v/>
      </c>
    </row>
    <row r="2339">
      <c r="A2339" t="inlineStr">
        <is>
          <t>RP0002338</t>
        </is>
      </c>
      <c r="B2339" t="inlineStr">
        <is>
          <t>LN200339</t>
        </is>
      </c>
      <c r="C2339" t="n">
        <v>1</v>
      </c>
      <c r="D2339" s="8" t="n">
        <v>46230</v>
      </c>
      <c r="E2339" s="9" t="n">
        <v>10380</v>
      </c>
      <c r="F2339" s="8" t="n">
        <v>46233</v>
      </c>
      <c r="G2339" s="9" t="n">
        <v>10380</v>
      </c>
      <c r="H2339" t="inlineStr">
        <is>
          <t>PAID_ON_TIME</t>
        </is>
      </c>
      <c r="I2339">
        <f>IF(H2339="UNPAID", AsOfDate-D2339, 0)</f>
        <v/>
      </c>
      <c r="J2339">
        <f>IF(F2339&lt;&gt;"", TEXT(F2339, "yyyy-mm"), "")</f>
        <v/>
      </c>
    </row>
    <row r="2340">
      <c r="A2340" t="inlineStr">
        <is>
          <t>RP0002339</t>
        </is>
      </c>
      <c r="B2340" t="inlineStr">
        <is>
          <t>LN200339</t>
        </is>
      </c>
      <c r="C2340" t="n">
        <v>2</v>
      </c>
      <c r="D2340" s="8" t="n">
        <v>46261</v>
      </c>
      <c r="E2340" s="9" t="n">
        <v>10380</v>
      </c>
      <c r="F2340" s="8" t="n">
        <v>46264</v>
      </c>
      <c r="G2340" s="9" t="n">
        <v>10380</v>
      </c>
      <c r="H2340" t="inlineStr">
        <is>
          <t>PAID_ON_TIME</t>
        </is>
      </c>
      <c r="I2340">
        <f>IF(H2340="UNPAID", AsOfDate-D2340, 0)</f>
        <v/>
      </c>
      <c r="J2340">
        <f>IF(F2340&lt;&gt;"", TEXT(F2340, "yyyy-mm"), "")</f>
        <v/>
      </c>
    </row>
    <row r="2341">
      <c r="A2341" t="inlineStr">
        <is>
          <t>RP0002340</t>
        </is>
      </c>
      <c r="B2341" t="inlineStr">
        <is>
          <t>LN200339</t>
        </is>
      </c>
      <c r="C2341" t="n">
        <v>3</v>
      </c>
      <c r="D2341" s="8" t="n">
        <v>46292</v>
      </c>
      <c r="E2341" s="9" t="n">
        <v>10380</v>
      </c>
      <c r="F2341" s="8" t="n"/>
      <c r="G2341" s="9" t="n">
        <v>0</v>
      </c>
      <c r="H2341" t="inlineStr">
        <is>
          <t>NOT_DUE</t>
        </is>
      </c>
      <c r="I2341">
        <f>IF(H2341="UNPAID", AsOfDate-D2341, 0)</f>
        <v/>
      </c>
      <c r="J2341">
        <f>IF(F2341&lt;&gt;"", TEXT(F2341, "yyyy-mm"), "")</f>
        <v/>
      </c>
    </row>
    <row r="2342">
      <c r="A2342" t="inlineStr">
        <is>
          <t>RP0002341</t>
        </is>
      </c>
      <c r="B2342" t="inlineStr">
        <is>
          <t>LN200341</t>
        </is>
      </c>
      <c r="C2342" t="n">
        <v>1</v>
      </c>
      <c r="D2342" s="8" t="n">
        <v>45772</v>
      </c>
      <c r="E2342" s="9" t="n">
        <v>2864.28</v>
      </c>
      <c r="F2342" s="8" t="n">
        <v>45775</v>
      </c>
      <c r="G2342" s="9" t="n">
        <v>2864.28</v>
      </c>
      <c r="H2342" t="inlineStr">
        <is>
          <t>PAID_ON_TIME</t>
        </is>
      </c>
      <c r="I2342">
        <f>IF(H2342="UNPAID", AsOfDate-D2342, 0)</f>
        <v/>
      </c>
      <c r="J2342">
        <f>IF(F2342&lt;&gt;"", TEXT(F2342, "yyyy-mm"), "")</f>
        <v/>
      </c>
    </row>
    <row r="2343">
      <c r="A2343" t="inlineStr">
        <is>
          <t>RP0002342</t>
        </is>
      </c>
      <c r="B2343" t="inlineStr">
        <is>
          <t>LN200341</t>
        </is>
      </c>
      <c r="C2343" t="n">
        <v>2</v>
      </c>
      <c r="D2343" s="8" t="n">
        <v>45802</v>
      </c>
      <c r="E2343" s="9" t="n">
        <v>2864.28</v>
      </c>
      <c r="F2343" s="8" t="n">
        <v>45805</v>
      </c>
      <c r="G2343" s="9" t="n">
        <v>2864.28</v>
      </c>
      <c r="H2343" t="inlineStr">
        <is>
          <t>PAID_ON_TIME</t>
        </is>
      </c>
      <c r="I2343">
        <f>IF(H2343="UNPAID", AsOfDate-D2343, 0)</f>
        <v/>
      </c>
      <c r="J2343">
        <f>IF(F2343&lt;&gt;"", TEXT(F2343, "yyyy-mm"), "")</f>
        <v/>
      </c>
    </row>
    <row r="2344">
      <c r="A2344" t="inlineStr">
        <is>
          <t>RP0002343</t>
        </is>
      </c>
      <c r="B2344" t="inlineStr">
        <is>
          <t>LN200341</t>
        </is>
      </c>
      <c r="C2344" t="n">
        <v>3</v>
      </c>
      <c r="D2344" s="8" t="n">
        <v>45833</v>
      </c>
      <c r="E2344" s="9" t="n">
        <v>2864.28</v>
      </c>
      <c r="F2344" s="8" t="n">
        <v>45834</v>
      </c>
      <c r="G2344" s="9" t="n">
        <v>2864.28</v>
      </c>
      <c r="H2344" t="inlineStr">
        <is>
          <t>PAID_ON_TIME</t>
        </is>
      </c>
      <c r="I2344">
        <f>IF(H2344="UNPAID", AsOfDate-D2344, 0)</f>
        <v/>
      </c>
      <c r="J2344">
        <f>IF(F2344&lt;&gt;"", TEXT(F2344, "yyyy-mm"), "")</f>
        <v/>
      </c>
    </row>
    <row r="2345">
      <c r="A2345" t="inlineStr">
        <is>
          <t>RP0002344</t>
        </is>
      </c>
      <c r="B2345" t="inlineStr">
        <is>
          <t>LN200341</t>
        </is>
      </c>
      <c r="C2345" t="n">
        <v>4</v>
      </c>
      <c r="D2345" s="8" t="n">
        <v>45863</v>
      </c>
      <c r="E2345" s="9" t="n">
        <v>2864.28</v>
      </c>
      <c r="F2345" s="8" t="n"/>
      <c r="G2345" s="9" t="n">
        <v>0</v>
      </c>
      <c r="H2345" t="inlineStr">
        <is>
          <t>UNPAID</t>
        </is>
      </c>
      <c r="I2345">
        <f>IF(H2345="UNPAID", AsOfDate-D2345, 0)</f>
        <v/>
      </c>
      <c r="J2345">
        <f>IF(F2345&lt;&gt;"", TEXT(F2345, "yyyy-mm"), "")</f>
        <v/>
      </c>
    </row>
    <row r="2346">
      <c r="A2346" t="inlineStr">
        <is>
          <t>RP0002345</t>
        </is>
      </c>
      <c r="B2346" t="inlineStr">
        <is>
          <t>LN200341</t>
        </is>
      </c>
      <c r="C2346" t="n">
        <v>5</v>
      </c>
      <c r="D2346" s="8" t="n">
        <v>45894</v>
      </c>
      <c r="E2346" s="9" t="n">
        <v>2864.28</v>
      </c>
      <c r="F2346" s="8" t="n">
        <v>45893</v>
      </c>
      <c r="G2346" s="9" t="n">
        <v>2864.28</v>
      </c>
      <c r="H2346" t="inlineStr">
        <is>
          <t>PAID_ON_TIME</t>
        </is>
      </c>
      <c r="I2346">
        <f>IF(H2346="UNPAID", AsOfDate-D2346, 0)</f>
        <v/>
      </c>
      <c r="J2346">
        <f>IF(F2346&lt;&gt;"", TEXT(F2346, "yyyy-mm"), "")</f>
        <v/>
      </c>
    </row>
    <row r="2347">
      <c r="A2347" t="inlineStr">
        <is>
          <t>RP0002346</t>
        </is>
      </c>
      <c r="B2347" t="inlineStr">
        <is>
          <t>LN200341</t>
        </is>
      </c>
      <c r="C2347" t="n">
        <v>6</v>
      </c>
      <c r="D2347" s="8" t="n">
        <v>45925</v>
      </c>
      <c r="E2347" s="9" t="n">
        <v>2864.28</v>
      </c>
      <c r="F2347" s="8" t="n">
        <v>45922</v>
      </c>
      <c r="G2347" s="9" t="n">
        <v>2864.28</v>
      </c>
      <c r="H2347" t="inlineStr">
        <is>
          <t>PAID_ON_TIME</t>
        </is>
      </c>
      <c r="I2347">
        <f>IF(H2347="UNPAID", AsOfDate-D2347, 0)</f>
        <v/>
      </c>
      <c r="J2347">
        <f>IF(F2347&lt;&gt;"", TEXT(F2347, "yyyy-mm"), "")</f>
        <v/>
      </c>
    </row>
    <row r="2348">
      <c r="A2348" t="inlineStr">
        <is>
          <t>RP0002347</t>
        </is>
      </c>
      <c r="B2348" t="inlineStr">
        <is>
          <t>LN200341</t>
        </is>
      </c>
      <c r="C2348" t="n">
        <v>7</v>
      </c>
      <c r="D2348" s="8" t="n">
        <v>45955</v>
      </c>
      <c r="E2348" s="9" t="n">
        <v>2864.28</v>
      </c>
      <c r="F2348" s="8" t="n">
        <v>45955</v>
      </c>
      <c r="G2348" s="9" t="n">
        <v>2864.28</v>
      </c>
      <c r="H2348" t="inlineStr">
        <is>
          <t>PAID_ON_TIME</t>
        </is>
      </c>
      <c r="I2348">
        <f>IF(H2348="UNPAID", AsOfDate-D2348, 0)</f>
        <v/>
      </c>
      <c r="J2348">
        <f>IF(F2348&lt;&gt;"", TEXT(F2348, "yyyy-mm"), "")</f>
        <v/>
      </c>
    </row>
    <row r="2349">
      <c r="A2349" t="inlineStr">
        <is>
          <t>RP0002348</t>
        </is>
      </c>
      <c r="B2349" t="inlineStr">
        <is>
          <t>LN200341</t>
        </is>
      </c>
      <c r="C2349" t="n">
        <v>8</v>
      </c>
      <c r="D2349" s="8" t="n">
        <v>45986</v>
      </c>
      <c r="E2349" s="9" t="n">
        <v>2864.28</v>
      </c>
      <c r="F2349" s="8" t="n">
        <v>46025</v>
      </c>
      <c r="G2349" s="9" t="n">
        <v>2864.28</v>
      </c>
      <c r="H2349" t="inlineStr">
        <is>
          <t>PAID_LATE</t>
        </is>
      </c>
      <c r="I2349">
        <f>IF(H2349="UNPAID", AsOfDate-D2349, 0)</f>
        <v/>
      </c>
      <c r="J2349">
        <f>IF(F2349&lt;&gt;"", TEXT(F2349, "yyyy-mm"), "")</f>
        <v/>
      </c>
    </row>
    <row r="2350">
      <c r="A2350" t="inlineStr">
        <is>
          <t>RP0002349</t>
        </is>
      </c>
      <c r="B2350" t="inlineStr">
        <is>
          <t>LN200341</t>
        </is>
      </c>
      <c r="C2350" t="n">
        <v>9</v>
      </c>
      <c r="D2350" s="8" t="n">
        <v>46016</v>
      </c>
      <c r="E2350" s="9" t="n">
        <v>2864.28</v>
      </c>
      <c r="F2350" s="8" t="n">
        <v>46019</v>
      </c>
      <c r="G2350" s="9" t="n">
        <v>2864.28</v>
      </c>
      <c r="H2350" t="inlineStr">
        <is>
          <t>PAID_ON_TIME</t>
        </is>
      </c>
      <c r="I2350">
        <f>IF(H2350="UNPAID", AsOfDate-D2350, 0)</f>
        <v/>
      </c>
      <c r="J2350">
        <f>IF(F2350&lt;&gt;"", TEXT(F2350, "yyyy-mm"), "")</f>
        <v/>
      </c>
    </row>
    <row r="2351">
      <c r="A2351" t="inlineStr">
        <is>
          <t>RP0002350</t>
        </is>
      </c>
      <c r="B2351" t="inlineStr">
        <is>
          <t>LN200342</t>
        </is>
      </c>
      <c r="C2351" t="n">
        <v>1</v>
      </c>
      <c r="D2351" s="8" t="n">
        <v>46060</v>
      </c>
      <c r="E2351" s="9" t="n">
        <v>38226.17</v>
      </c>
      <c r="F2351" s="8" t="n">
        <v>46098</v>
      </c>
      <c r="G2351" s="9" t="n">
        <v>38226.17</v>
      </c>
      <c r="H2351" t="inlineStr">
        <is>
          <t>PAID_LATE</t>
        </is>
      </c>
      <c r="I2351">
        <f>IF(H2351="UNPAID", AsOfDate-D2351, 0)</f>
        <v/>
      </c>
      <c r="J2351">
        <f>IF(F2351&lt;&gt;"", TEXT(F2351, "yyyy-mm"), "")</f>
        <v/>
      </c>
    </row>
    <row r="2352">
      <c r="A2352" t="inlineStr">
        <is>
          <t>RP0002351</t>
        </is>
      </c>
      <c r="B2352" t="inlineStr">
        <is>
          <t>LN200342</t>
        </is>
      </c>
      <c r="C2352" t="n">
        <v>2</v>
      </c>
      <c r="D2352" s="8" t="n">
        <v>46088</v>
      </c>
      <c r="E2352" s="9" t="n">
        <v>38226.17</v>
      </c>
      <c r="F2352" s="8" t="n">
        <v>46092</v>
      </c>
      <c r="G2352" s="9" t="n">
        <v>38226.17</v>
      </c>
      <c r="H2352" t="inlineStr">
        <is>
          <t>PAID_ON_TIME</t>
        </is>
      </c>
      <c r="I2352">
        <f>IF(H2352="UNPAID", AsOfDate-D2352, 0)</f>
        <v/>
      </c>
      <c r="J2352">
        <f>IF(F2352&lt;&gt;"", TEXT(F2352, "yyyy-mm"), "")</f>
        <v/>
      </c>
    </row>
    <row r="2353">
      <c r="A2353" t="inlineStr">
        <is>
          <t>RP0002352</t>
        </is>
      </c>
      <c r="B2353" t="inlineStr">
        <is>
          <t>LN200342</t>
        </is>
      </c>
      <c r="C2353" t="n">
        <v>3</v>
      </c>
      <c r="D2353" s="8" t="n">
        <v>46119</v>
      </c>
      <c r="E2353" s="9" t="n">
        <v>38226.17</v>
      </c>
      <c r="F2353" s="8" t="n">
        <v>46118</v>
      </c>
      <c r="G2353" s="9" t="n">
        <v>38226.17</v>
      </c>
      <c r="H2353" t="inlineStr">
        <is>
          <t>PAID_ON_TIME</t>
        </is>
      </c>
      <c r="I2353">
        <f>IF(H2353="UNPAID", AsOfDate-D2353, 0)</f>
        <v/>
      </c>
      <c r="J2353">
        <f>IF(F2353&lt;&gt;"", TEXT(F2353, "yyyy-mm"), "")</f>
        <v/>
      </c>
    </row>
    <row r="2354">
      <c r="A2354" t="inlineStr">
        <is>
          <t>RP0002353</t>
        </is>
      </c>
      <c r="B2354" t="inlineStr">
        <is>
          <t>LN200342</t>
        </is>
      </c>
      <c r="C2354" t="n">
        <v>4</v>
      </c>
      <c r="D2354" s="8" t="n">
        <v>46149</v>
      </c>
      <c r="E2354" s="9" t="n">
        <v>38226.17</v>
      </c>
      <c r="F2354" s="8" t="n">
        <v>46149</v>
      </c>
      <c r="G2354" s="9" t="n">
        <v>38226.17</v>
      </c>
      <c r="H2354" t="inlineStr">
        <is>
          <t>PAID_ON_TIME</t>
        </is>
      </c>
      <c r="I2354">
        <f>IF(H2354="UNPAID", AsOfDate-D2354, 0)</f>
        <v/>
      </c>
      <c r="J2354">
        <f>IF(F2354&lt;&gt;"", TEXT(F2354, "yyyy-mm"), "")</f>
        <v/>
      </c>
    </row>
    <row r="2355">
      <c r="A2355" t="inlineStr">
        <is>
          <t>RP0002354</t>
        </is>
      </c>
      <c r="B2355" t="inlineStr">
        <is>
          <t>LN200342</t>
        </is>
      </c>
      <c r="C2355" t="n">
        <v>5</v>
      </c>
      <c r="D2355" s="8" t="n">
        <v>46180</v>
      </c>
      <c r="E2355" s="9" t="n">
        <v>38226.17</v>
      </c>
      <c r="F2355" s="8" t="n">
        <v>46177</v>
      </c>
      <c r="G2355" s="9" t="n">
        <v>38226.17</v>
      </c>
      <c r="H2355" t="inlineStr">
        <is>
          <t>PAID_ON_TIME</t>
        </is>
      </c>
      <c r="I2355">
        <f>IF(H2355="UNPAID", AsOfDate-D2355, 0)</f>
        <v/>
      </c>
      <c r="J2355">
        <f>IF(F2355&lt;&gt;"", TEXT(F2355, "yyyy-mm"), "")</f>
        <v/>
      </c>
    </row>
    <row r="2356">
      <c r="A2356" t="inlineStr">
        <is>
          <t>RP0002355</t>
        </is>
      </c>
      <c r="B2356" t="inlineStr">
        <is>
          <t>LN200342</t>
        </is>
      </c>
      <c r="C2356" t="n">
        <v>6</v>
      </c>
      <c r="D2356" s="8" t="n">
        <v>46210</v>
      </c>
      <c r="E2356" s="9" t="n">
        <v>38226.17</v>
      </c>
      <c r="F2356" s="8" t="n">
        <v>46214</v>
      </c>
      <c r="G2356" s="9" t="n">
        <v>38226.17</v>
      </c>
      <c r="H2356" t="inlineStr">
        <is>
          <t>PAID_ON_TIME</t>
        </is>
      </c>
      <c r="I2356">
        <f>IF(H2356="UNPAID", AsOfDate-D2356, 0)</f>
        <v/>
      </c>
      <c r="J2356">
        <f>IF(F2356&lt;&gt;"", TEXT(F2356, "yyyy-mm"), "")</f>
        <v/>
      </c>
    </row>
    <row r="2357">
      <c r="A2357" t="inlineStr">
        <is>
          <t>RP0002356</t>
        </is>
      </c>
      <c r="B2357" t="inlineStr">
        <is>
          <t>LN200343</t>
        </is>
      </c>
      <c r="C2357" t="n">
        <v>1</v>
      </c>
      <c r="D2357" s="8" t="n">
        <v>45727</v>
      </c>
      <c r="E2357" s="9" t="n">
        <v>3613.33</v>
      </c>
      <c r="F2357" s="8" t="n">
        <v>45724</v>
      </c>
      <c r="G2357" s="9" t="n">
        <v>3613.33</v>
      </c>
      <c r="H2357" t="inlineStr">
        <is>
          <t>PAID_ON_TIME</t>
        </is>
      </c>
      <c r="I2357">
        <f>IF(H2357="UNPAID", AsOfDate-D2357, 0)</f>
        <v/>
      </c>
      <c r="J2357">
        <f>IF(F2357&lt;&gt;"", TEXT(F2357, "yyyy-mm"), "")</f>
        <v/>
      </c>
    </row>
    <row r="2358">
      <c r="A2358" t="inlineStr">
        <is>
          <t>RP0002357</t>
        </is>
      </c>
      <c r="B2358" t="inlineStr">
        <is>
          <t>LN200343</t>
        </is>
      </c>
      <c r="C2358" t="n">
        <v>2</v>
      </c>
      <c r="D2358" s="8" t="n">
        <v>45758</v>
      </c>
      <c r="E2358" s="9" t="n">
        <v>3613.33</v>
      </c>
      <c r="F2358" s="8" t="n">
        <v>45759</v>
      </c>
      <c r="G2358" s="9" t="n">
        <v>3613.33</v>
      </c>
      <c r="H2358" t="inlineStr">
        <is>
          <t>PAID_ON_TIME</t>
        </is>
      </c>
      <c r="I2358">
        <f>IF(H2358="UNPAID", AsOfDate-D2358, 0)</f>
        <v/>
      </c>
      <c r="J2358">
        <f>IF(F2358&lt;&gt;"", TEXT(F2358, "yyyy-mm"), "")</f>
        <v/>
      </c>
    </row>
    <row r="2359">
      <c r="A2359" t="inlineStr">
        <is>
          <t>RP0002358</t>
        </is>
      </c>
      <c r="B2359" t="inlineStr">
        <is>
          <t>LN200343</t>
        </is>
      </c>
      <c r="C2359" t="n">
        <v>3</v>
      </c>
      <c r="D2359" s="8" t="n">
        <v>45788</v>
      </c>
      <c r="E2359" s="9" t="n">
        <v>3613.33</v>
      </c>
      <c r="F2359" s="8" t="n">
        <v>45789</v>
      </c>
      <c r="G2359" s="9" t="n">
        <v>3613.33</v>
      </c>
      <c r="H2359" t="inlineStr">
        <is>
          <t>PAID_ON_TIME</t>
        </is>
      </c>
      <c r="I2359">
        <f>IF(H2359="UNPAID", AsOfDate-D2359, 0)</f>
        <v/>
      </c>
      <c r="J2359">
        <f>IF(F2359&lt;&gt;"", TEXT(F2359, "yyyy-mm"), "")</f>
        <v/>
      </c>
    </row>
    <row r="2360">
      <c r="A2360" t="inlineStr">
        <is>
          <t>RP0002359</t>
        </is>
      </c>
      <c r="B2360" t="inlineStr">
        <is>
          <t>LN200343</t>
        </is>
      </c>
      <c r="C2360" t="n">
        <v>4</v>
      </c>
      <c r="D2360" s="8" t="n">
        <v>45819</v>
      </c>
      <c r="E2360" s="9" t="n">
        <v>3613.33</v>
      </c>
      <c r="F2360" s="8" t="n">
        <v>45822</v>
      </c>
      <c r="G2360" s="9" t="n">
        <v>3613.33</v>
      </c>
      <c r="H2360" t="inlineStr">
        <is>
          <t>PAID_ON_TIME</t>
        </is>
      </c>
      <c r="I2360">
        <f>IF(H2360="UNPAID", AsOfDate-D2360, 0)</f>
        <v/>
      </c>
      <c r="J2360">
        <f>IF(F2360&lt;&gt;"", TEXT(F2360, "yyyy-mm"), "")</f>
        <v/>
      </c>
    </row>
    <row r="2361">
      <c r="A2361" t="inlineStr">
        <is>
          <t>RP0002360</t>
        </is>
      </c>
      <c r="B2361" t="inlineStr">
        <is>
          <t>LN200343</t>
        </is>
      </c>
      <c r="C2361" t="n">
        <v>5</v>
      </c>
      <c r="D2361" s="8" t="n">
        <v>45849</v>
      </c>
      <c r="E2361" s="9" t="n">
        <v>3613.33</v>
      </c>
      <c r="F2361" s="8" t="n">
        <v>45850</v>
      </c>
      <c r="G2361" s="9" t="n">
        <v>3613.33</v>
      </c>
      <c r="H2361" t="inlineStr">
        <is>
          <t>PAID_ON_TIME</t>
        </is>
      </c>
      <c r="I2361">
        <f>IF(H2361="UNPAID", AsOfDate-D2361, 0)</f>
        <v/>
      </c>
      <c r="J2361">
        <f>IF(F2361&lt;&gt;"", TEXT(F2361, "yyyy-mm"), "")</f>
        <v/>
      </c>
    </row>
    <row r="2362">
      <c r="A2362" t="inlineStr">
        <is>
          <t>RP0002361</t>
        </is>
      </c>
      <c r="B2362" t="inlineStr">
        <is>
          <t>LN200343</t>
        </is>
      </c>
      <c r="C2362" t="n">
        <v>6</v>
      </c>
      <c r="D2362" s="8" t="n">
        <v>45880</v>
      </c>
      <c r="E2362" s="9" t="n">
        <v>3613.33</v>
      </c>
      <c r="F2362" s="8" t="n">
        <v>45881</v>
      </c>
      <c r="G2362" s="9" t="n">
        <v>3613.33</v>
      </c>
      <c r="H2362" t="inlineStr">
        <is>
          <t>PAID_ON_TIME</t>
        </is>
      </c>
      <c r="I2362">
        <f>IF(H2362="UNPAID", AsOfDate-D2362, 0)</f>
        <v/>
      </c>
      <c r="J2362">
        <f>IF(F2362&lt;&gt;"", TEXT(F2362, "yyyy-mm"), "")</f>
        <v/>
      </c>
    </row>
    <row r="2363">
      <c r="A2363" t="inlineStr">
        <is>
          <t>RP0002362</t>
        </is>
      </c>
      <c r="B2363" t="inlineStr">
        <is>
          <t>LN200344</t>
        </is>
      </c>
      <c r="C2363" t="n">
        <v>1</v>
      </c>
      <c r="D2363" s="8" t="n">
        <v>46046</v>
      </c>
      <c r="E2363" s="9" t="n">
        <v>14173.94</v>
      </c>
      <c r="F2363" s="8" t="n">
        <v>46050</v>
      </c>
      <c r="G2363" s="9" t="n">
        <v>14173.94</v>
      </c>
      <c r="H2363" t="inlineStr">
        <is>
          <t>PAID_ON_TIME</t>
        </is>
      </c>
      <c r="I2363">
        <f>IF(H2363="UNPAID", AsOfDate-D2363, 0)</f>
        <v/>
      </c>
      <c r="J2363">
        <f>IF(F2363&lt;&gt;"", TEXT(F2363, "yyyy-mm"), "")</f>
        <v/>
      </c>
    </row>
    <row r="2364">
      <c r="A2364" t="inlineStr">
        <is>
          <t>RP0002363</t>
        </is>
      </c>
      <c r="B2364" t="inlineStr">
        <is>
          <t>LN200344</t>
        </is>
      </c>
      <c r="C2364" t="n">
        <v>2</v>
      </c>
      <c r="D2364" s="8" t="n">
        <v>46077</v>
      </c>
      <c r="E2364" s="9" t="n">
        <v>14173.94</v>
      </c>
      <c r="F2364" s="8" t="n">
        <v>46079</v>
      </c>
      <c r="G2364" s="9" t="n">
        <v>14173.94</v>
      </c>
      <c r="H2364" t="inlineStr">
        <is>
          <t>PAID_ON_TIME</t>
        </is>
      </c>
      <c r="I2364">
        <f>IF(H2364="UNPAID", AsOfDate-D2364, 0)</f>
        <v/>
      </c>
      <c r="J2364">
        <f>IF(F2364&lt;&gt;"", TEXT(F2364, "yyyy-mm"), "")</f>
        <v/>
      </c>
    </row>
    <row r="2365">
      <c r="A2365" t="inlineStr">
        <is>
          <t>RP0002364</t>
        </is>
      </c>
      <c r="B2365" t="inlineStr">
        <is>
          <t>LN200344</t>
        </is>
      </c>
      <c r="C2365" t="n">
        <v>3</v>
      </c>
      <c r="D2365" s="8" t="n">
        <v>46105</v>
      </c>
      <c r="E2365" s="9" t="n">
        <v>14173.94</v>
      </c>
      <c r="F2365" s="8" t="n">
        <v>46104</v>
      </c>
      <c r="G2365" s="9" t="n">
        <v>14173.94</v>
      </c>
      <c r="H2365" t="inlineStr">
        <is>
          <t>PAID_ON_TIME</t>
        </is>
      </c>
      <c r="I2365">
        <f>IF(H2365="UNPAID", AsOfDate-D2365, 0)</f>
        <v/>
      </c>
      <c r="J2365">
        <f>IF(F2365&lt;&gt;"", TEXT(F2365, "yyyy-mm"), "")</f>
        <v/>
      </c>
    </row>
    <row r="2366">
      <c r="A2366" t="inlineStr">
        <is>
          <t>RP0002365</t>
        </is>
      </c>
      <c r="B2366" t="inlineStr">
        <is>
          <t>LN200344</t>
        </is>
      </c>
      <c r="C2366" t="n">
        <v>4</v>
      </c>
      <c r="D2366" s="8" t="n">
        <v>46136</v>
      </c>
      <c r="E2366" s="9" t="n">
        <v>14173.94</v>
      </c>
      <c r="F2366" s="8" t="n">
        <v>46140</v>
      </c>
      <c r="G2366" s="9" t="n">
        <v>14173.94</v>
      </c>
      <c r="H2366" t="inlineStr">
        <is>
          <t>PAID_ON_TIME</t>
        </is>
      </c>
      <c r="I2366">
        <f>IF(H2366="UNPAID", AsOfDate-D2366, 0)</f>
        <v/>
      </c>
      <c r="J2366">
        <f>IF(F2366&lt;&gt;"", TEXT(F2366, "yyyy-mm"), "")</f>
        <v/>
      </c>
    </row>
    <row r="2367">
      <c r="A2367" t="inlineStr">
        <is>
          <t>RP0002366</t>
        </is>
      </c>
      <c r="B2367" t="inlineStr">
        <is>
          <t>LN200344</t>
        </is>
      </c>
      <c r="C2367" t="n">
        <v>5</v>
      </c>
      <c r="D2367" s="8" t="n">
        <v>46166</v>
      </c>
      <c r="E2367" s="9" t="n">
        <v>14173.94</v>
      </c>
      <c r="F2367" s="8" t="n">
        <v>46170</v>
      </c>
      <c r="G2367" s="9" t="n">
        <v>14173.94</v>
      </c>
      <c r="H2367" t="inlineStr">
        <is>
          <t>PAID_ON_TIME</t>
        </is>
      </c>
      <c r="I2367">
        <f>IF(H2367="UNPAID", AsOfDate-D2367, 0)</f>
        <v/>
      </c>
      <c r="J2367">
        <f>IF(F2367&lt;&gt;"", TEXT(F2367, "yyyy-mm"), "")</f>
        <v/>
      </c>
    </row>
    <row r="2368">
      <c r="A2368" t="inlineStr">
        <is>
          <t>RP0002367</t>
        </is>
      </c>
      <c r="B2368" t="inlineStr">
        <is>
          <t>LN200344</t>
        </is>
      </c>
      <c r="C2368" t="n">
        <v>6</v>
      </c>
      <c r="D2368" s="8" t="n">
        <v>46197</v>
      </c>
      <c r="E2368" s="9" t="n">
        <v>14173.94</v>
      </c>
      <c r="F2368" s="8" t="n"/>
      <c r="G2368" s="9" t="n">
        <v>0</v>
      </c>
      <c r="H2368" t="inlineStr">
        <is>
          <t>UNPAID</t>
        </is>
      </c>
      <c r="I2368">
        <f>IF(H2368="UNPAID", AsOfDate-D2368, 0)</f>
        <v/>
      </c>
      <c r="J2368">
        <f>IF(F2368&lt;&gt;"", TEXT(F2368, "yyyy-mm"), "")</f>
        <v/>
      </c>
    </row>
    <row r="2369">
      <c r="A2369" t="inlineStr">
        <is>
          <t>RP0002368</t>
        </is>
      </c>
      <c r="B2369" t="inlineStr">
        <is>
          <t>LN200344</t>
        </is>
      </c>
      <c r="C2369" t="n">
        <v>7</v>
      </c>
      <c r="D2369" s="8" t="n">
        <v>46227</v>
      </c>
      <c r="E2369" s="9" t="n">
        <v>14173.94</v>
      </c>
      <c r="F2369" s="8" t="n"/>
      <c r="G2369" s="9" t="n">
        <v>0</v>
      </c>
      <c r="H2369" t="inlineStr">
        <is>
          <t>UNPAID</t>
        </is>
      </c>
      <c r="I2369">
        <f>IF(H2369="UNPAID", AsOfDate-D2369, 0)</f>
        <v/>
      </c>
      <c r="J2369">
        <f>IF(F2369&lt;&gt;"", TEXT(F2369, "yyyy-mm"), "")</f>
        <v/>
      </c>
    </row>
    <row r="2370">
      <c r="A2370" t="inlineStr">
        <is>
          <t>RP0002369</t>
        </is>
      </c>
      <c r="B2370" t="inlineStr">
        <is>
          <t>LN200344</t>
        </is>
      </c>
      <c r="C2370" t="n">
        <v>8</v>
      </c>
      <c r="D2370" s="8" t="n">
        <v>46258</v>
      </c>
      <c r="E2370" s="9" t="n">
        <v>14173.94</v>
      </c>
      <c r="F2370" s="8" t="n">
        <v>46258</v>
      </c>
      <c r="G2370" s="9" t="n">
        <v>14173.94</v>
      </c>
      <c r="H2370" t="inlineStr">
        <is>
          <t>PAID_ON_TIME</t>
        </is>
      </c>
      <c r="I2370">
        <f>IF(H2370="UNPAID", AsOfDate-D2370, 0)</f>
        <v/>
      </c>
      <c r="J2370">
        <f>IF(F2370&lt;&gt;"", TEXT(F2370, "yyyy-mm"), "")</f>
        <v/>
      </c>
    </row>
    <row r="2371">
      <c r="A2371" t="inlineStr">
        <is>
          <t>RP0002370</t>
        </is>
      </c>
      <c r="B2371" t="inlineStr">
        <is>
          <t>LN200344</t>
        </is>
      </c>
      <c r="C2371" t="n">
        <v>9</v>
      </c>
      <c r="D2371" s="8" t="n">
        <v>46289</v>
      </c>
      <c r="E2371" s="9" t="n">
        <v>14173.94</v>
      </c>
      <c r="F2371" s="8" t="n"/>
      <c r="G2371" s="9" t="n">
        <v>0</v>
      </c>
      <c r="H2371" t="inlineStr">
        <is>
          <t>NOT_DUE</t>
        </is>
      </c>
      <c r="I2371">
        <f>IF(H2371="UNPAID", AsOfDate-D2371, 0)</f>
        <v/>
      </c>
      <c r="J2371">
        <f>IF(F2371&lt;&gt;"", TEXT(F2371, "yyyy-mm"), "")</f>
        <v/>
      </c>
    </row>
    <row r="2372">
      <c r="A2372" t="inlineStr">
        <is>
          <t>RP0002371</t>
        </is>
      </c>
      <c r="B2372" t="inlineStr">
        <is>
          <t>LN200344</t>
        </is>
      </c>
      <c r="C2372" t="n">
        <v>10</v>
      </c>
      <c r="D2372" s="8" t="n">
        <v>46319</v>
      </c>
      <c r="E2372" s="9" t="n">
        <v>14173.94</v>
      </c>
      <c r="F2372" s="8" t="n"/>
      <c r="G2372" s="9" t="n">
        <v>0</v>
      </c>
      <c r="H2372" t="inlineStr">
        <is>
          <t>NOT_DUE</t>
        </is>
      </c>
      <c r="I2372">
        <f>IF(H2372="UNPAID", AsOfDate-D2372, 0)</f>
        <v/>
      </c>
      <c r="J2372">
        <f>IF(F2372&lt;&gt;"", TEXT(F2372, "yyyy-mm"), "")</f>
        <v/>
      </c>
    </row>
    <row r="2373">
      <c r="A2373" t="inlineStr">
        <is>
          <t>RP0002372</t>
        </is>
      </c>
      <c r="B2373" t="inlineStr">
        <is>
          <t>LN200344</t>
        </is>
      </c>
      <c r="C2373" t="n">
        <v>11</v>
      </c>
      <c r="D2373" s="8" t="n">
        <v>46350</v>
      </c>
      <c r="E2373" s="9" t="n">
        <v>14173.94</v>
      </c>
      <c r="F2373" s="8" t="n"/>
      <c r="G2373" s="9" t="n">
        <v>0</v>
      </c>
      <c r="H2373" t="inlineStr">
        <is>
          <t>NOT_DUE</t>
        </is>
      </c>
      <c r="I2373">
        <f>IF(H2373="UNPAID", AsOfDate-D2373, 0)</f>
        <v/>
      </c>
      <c r="J2373">
        <f>IF(F2373&lt;&gt;"", TEXT(F2373, "yyyy-mm"), "")</f>
        <v/>
      </c>
    </row>
    <row r="2374">
      <c r="A2374" t="inlineStr">
        <is>
          <t>RP0002373</t>
        </is>
      </c>
      <c r="B2374" t="inlineStr">
        <is>
          <t>LN200344</t>
        </is>
      </c>
      <c r="C2374" t="n">
        <v>12</v>
      </c>
      <c r="D2374" s="8" t="n">
        <v>46380</v>
      </c>
      <c r="E2374" s="9" t="n">
        <v>14173.94</v>
      </c>
      <c r="F2374" s="8" t="n"/>
      <c r="G2374" s="9" t="n">
        <v>0</v>
      </c>
      <c r="H2374" t="inlineStr">
        <is>
          <t>NOT_DUE</t>
        </is>
      </c>
      <c r="I2374">
        <f>IF(H2374="UNPAID", AsOfDate-D2374, 0)</f>
        <v/>
      </c>
      <c r="J2374">
        <f>IF(F2374&lt;&gt;"", TEXT(F2374, "yyyy-mm"), "")</f>
        <v/>
      </c>
    </row>
    <row r="2375">
      <c r="A2375" t="inlineStr">
        <is>
          <t>RP0002374</t>
        </is>
      </c>
      <c r="B2375" t="inlineStr">
        <is>
          <t>LN200344</t>
        </is>
      </c>
      <c r="C2375" t="n">
        <v>13</v>
      </c>
      <c r="D2375" s="8" t="n">
        <v>46411</v>
      </c>
      <c r="E2375" s="9" t="n">
        <v>14173.94</v>
      </c>
      <c r="F2375" s="8" t="n"/>
      <c r="G2375" s="9" t="n">
        <v>0</v>
      </c>
      <c r="H2375" t="inlineStr">
        <is>
          <t>NOT_DUE</t>
        </is>
      </c>
      <c r="I2375">
        <f>IF(H2375="UNPAID", AsOfDate-D2375, 0)</f>
        <v/>
      </c>
      <c r="J2375">
        <f>IF(F2375&lt;&gt;"", TEXT(F2375, "yyyy-mm"), "")</f>
        <v/>
      </c>
    </row>
    <row r="2376">
      <c r="A2376" t="inlineStr">
        <is>
          <t>RP0002375</t>
        </is>
      </c>
      <c r="B2376" t="inlineStr">
        <is>
          <t>LN200344</t>
        </is>
      </c>
      <c r="C2376" t="n">
        <v>14</v>
      </c>
      <c r="D2376" s="8" t="n">
        <v>46442</v>
      </c>
      <c r="E2376" s="9" t="n">
        <v>14173.94</v>
      </c>
      <c r="F2376" s="8" t="n"/>
      <c r="G2376" s="9" t="n">
        <v>0</v>
      </c>
      <c r="H2376" t="inlineStr">
        <is>
          <t>NOT_DUE</t>
        </is>
      </c>
      <c r="I2376">
        <f>IF(H2376="UNPAID", AsOfDate-D2376, 0)</f>
        <v/>
      </c>
      <c r="J2376">
        <f>IF(F2376&lt;&gt;"", TEXT(F2376, "yyyy-mm"), "")</f>
        <v/>
      </c>
    </row>
    <row r="2377">
      <c r="A2377" t="inlineStr">
        <is>
          <t>RP0002376</t>
        </is>
      </c>
      <c r="B2377" t="inlineStr">
        <is>
          <t>LN200344</t>
        </is>
      </c>
      <c r="C2377" t="n">
        <v>15</v>
      </c>
      <c r="D2377" s="8" t="n">
        <v>46470</v>
      </c>
      <c r="E2377" s="9" t="n">
        <v>14173.94</v>
      </c>
      <c r="F2377" s="8" t="n"/>
      <c r="G2377" s="9" t="n">
        <v>0</v>
      </c>
      <c r="H2377" t="inlineStr">
        <is>
          <t>NOT_DUE</t>
        </is>
      </c>
      <c r="I2377">
        <f>IF(H2377="UNPAID", AsOfDate-D2377, 0)</f>
        <v/>
      </c>
      <c r="J2377">
        <f>IF(F2377&lt;&gt;"", TEXT(F2377, "yyyy-mm"), "")</f>
        <v/>
      </c>
    </row>
    <row r="2378">
      <c r="A2378" t="inlineStr">
        <is>
          <t>RP0002377</t>
        </is>
      </c>
      <c r="B2378" t="inlineStr">
        <is>
          <t>LN200344</t>
        </is>
      </c>
      <c r="C2378" t="n">
        <v>16</v>
      </c>
      <c r="D2378" s="8" t="n">
        <v>46501</v>
      </c>
      <c r="E2378" s="9" t="n">
        <v>14173.94</v>
      </c>
      <c r="F2378" s="8" t="n"/>
      <c r="G2378" s="9" t="n">
        <v>0</v>
      </c>
      <c r="H2378" t="inlineStr">
        <is>
          <t>NOT_DUE</t>
        </is>
      </c>
      <c r="I2378">
        <f>IF(H2378="UNPAID", AsOfDate-D2378, 0)</f>
        <v/>
      </c>
      <c r="J2378">
        <f>IF(F2378&lt;&gt;"", TEXT(F2378, "yyyy-mm"), "")</f>
        <v/>
      </c>
    </row>
    <row r="2379">
      <c r="A2379" t="inlineStr">
        <is>
          <t>RP0002378</t>
        </is>
      </c>
      <c r="B2379" t="inlineStr">
        <is>
          <t>LN200344</t>
        </is>
      </c>
      <c r="C2379" t="n">
        <v>17</v>
      </c>
      <c r="D2379" s="8" t="n">
        <v>46531</v>
      </c>
      <c r="E2379" s="9" t="n">
        <v>14173.94</v>
      </c>
      <c r="F2379" s="8" t="n"/>
      <c r="G2379" s="9" t="n">
        <v>0</v>
      </c>
      <c r="H2379" t="inlineStr">
        <is>
          <t>NOT_DUE</t>
        </is>
      </c>
      <c r="I2379">
        <f>IF(H2379="UNPAID", AsOfDate-D2379, 0)</f>
        <v/>
      </c>
      <c r="J2379">
        <f>IF(F2379&lt;&gt;"", TEXT(F2379, "yyyy-mm"), "")</f>
        <v/>
      </c>
    </row>
    <row r="2380">
      <c r="A2380" t="inlineStr">
        <is>
          <t>RP0002379</t>
        </is>
      </c>
      <c r="B2380" t="inlineStr">
        <is>
          <t>LN200344</t>
        </is>
      </c>
      <c r="C2380" t="n">
        <v>18</v>
      </c>
      <c r="D2380" s="8" t="n">
        <v>46562</v>
      </c>
      <c r="E2380" s="9" t="n">
        <v>14173.94</v>
      </c>
      <c r="F2380" s="8" t="n"/>
      <c r="G2380" s="9" t="n">
        <v>0</v>
      </c>
      <c r="H2380" t="inlineStr">
        <is>
          <t>NOT_DUE</t>
        </is>
      </c>
      <c r="I2380">
        <f>IF(H2380="UNPAID", AsOfDate-D2380, 0)</f>
        <v/>
      </c>
      <c r="J2380">
        <f>IF(F2380&lt;&gt;"", TEXT(F2380, "yyyy-mm"), "")</f>
        <v/>
      </c>
    </row>
    <row r="2381">
      <c r="A2381" t="inlineStr">
        <is>
          <t>RP0002380</t>
        </is>
      </c>
      <c r="B2381" t="inlineStr">
        <is>
          <t>LN200345</t>
        </is>
      </c>
      <c r="C2381" t="n">
        <v>1</v>
      </c>
      <c r="D2381" s="8" t="n">
        <v>45716</v>
      </c>
      <c r="E2381" s="9" t="n">
        <v>10069.89</v>
      </c>
      <c r="F2381" s="8" t="n">
        <v>45720</v>
      </c>
      <c r="G2381" s="9" t="n">
        <v>10069.89</v>
      </c>
      <c r="H2381" t="inlineStr">
        <is>
          <t>PAID_ON_TIME</t>
        </is>
      </c>
      <c r="I2381">
        <f>IF(H2381="UNPAID", AsOfDate-D2381, 0)</f>
        <v/>
      </c>
      <c r="J2381">
        <f>IF(F2381&lt;&gt;"", TEXT(F2381, "yyyy-mm"), "")</f>
        <v/>
      </c>
    </row>
    <row r="2382">
      <c r="A2382" t="inlineStr">
        <is>
          <t>RP0002381</t>
        </is>
      </c>
      <c r="B2382" t="inlineStr">
        <is>
          <t>LN200345</t>
        </is>
      </c>
      <c r="C2382" t="n">
        <v>2</v>
      </c>
      <c r="D2382" s="8" t="n">
        <v>45744</v>
      </c>
      <c r="E2382" s="9" t="n">
        <v>10069.89</v>
      </c>
      <c r="F2382" s="8" t="n">
        <v>45747</v>
      </c>
      <c r="G2382" s="9" t="n">
        <v>10069.89</v>
      </c>
      <c r="H2382" t="inlineStr">
        <is>
          <t>PAID_ON_TIME</t>
        </is>
      </c>
      <c r="I2382">
        <f>IF(H2382="UNPAID", AsOfDate-D2382, 0)</f>
        <v/>
      </c>
      <c r="J2382">
        <f>IF(F2382&lt;&gt;"", TEXT(F2382, "yyyy-mm"), "")</f>
        <v/>
      </c>
    </row>
    <row r="2383">
      <c r="A2383" t="inlineStr">
        <is>
          <t>RP0002382</t>
        </is>
      </c>
      <c r="B2383" t="inlineStr">
        <is>
          <t>LN200345</t>
        </is>
      </c>
      <c r="C2383" t="n">
        <v>3</v>
      </c>
      <c r="D2383" s="8" t="n">
        <v>45775</v>
      </c>
      <c r="E2383" s="9" t="n">
        <v>10069.89</v>
      </c>
      <c r="F2383" s="8" t="n">
        <v>45772</v>
      </c>
      <c r="G2383" s="9" t="n">
        <v>10069.89</v>
      </c>
      <c r="H2383" t="inlineStr">
        <is>
          <t>PAID_ON_TIME</t>
        </is>
      </c>
      <c r="I2383">
        <f>IF(H2383="UNPAID", AsOfDate-D2383, 0)</f>
        <v/>
      </c>
      <c r="J2383">
        <f>IF(F2383&lt;&gt;"", TEXT(F2383, "yyyy-mm"), "")</f>
        <v/>
      </c>
    </row>
    <row r="2384">
      <c r="A2384" t="inlineStr">
        <is>
          <t>RP0002383</t>
        </is>
      </c>
      <c r="B2384" t="inlineStr">
        <is>
          <t>LN200345</t>
        </is>
      </c>
      <c r="C2384" t="n">
        <v>4</v>
      </c>
      <c r="D2384" s="8" t="n">
        <v>45805</v>
      </c>
      <c r="E2384" s="9" t="n">
        <v>10069.89</v>
      </c>
      <c r="F2384" s="8" t="n">
        <v>45809</v>
      </c>
      <c r="G2384" s="9" t="n">
        <v>10069.89</v>
      </c>
      <c r="H2384" t="inlineStr">
        <is>
          <t>PAID_ON_TIME</t>
        </is>
      </c>
      <c r="I2384">
        <f>IF(H2384="UNPAID", AsOfDate-D2384, 0)</f>
        <v/>
      </c>
      <c r="J2384">
        <f>IF(F2384&lt;&gt;"", TEXT(F2384, "yyyy-mm"), "")</f>
        <v/>
      </c>
    </row>
    <row r="2385">
      <c r="A2385" t="inlineStr">
        <is>
          <t>RP0002384</t>
        </is>
      </c>
      <c r="B2385" t="inlineStr">
        <is>
          <t>LN200345</t>
        </is>
      </c>
      <c r="C2385" t="n">
        <v>5</v>
      </c>
      <c r="D2385" s="8" t="n">
        <v>45836</v>
      </c>
      <c r="E2385" s="9" t="n">
        <v>10069.89</v>
      </c>
      <c r="F2385" s="8" t="n">
        <v>45838</v>
      </c>
      <c r="G2385" s="9" t="n">
        <v>10069.89</v>
      </c>
      <c r="H2385" t="inlineStr">
        <is>
          <t>PAID_ON_TIME</t>
        </is>
      </c>
      <c r="I2385">
        <f>IF(H2385="UNPAID", AsOfDate-D2385, 0)</f>
        <v/>
      </c>
      <c r="J2385">
        <f>IF(F2385&lt;&gt;"", TEXT(F2385, "yyyy-mm"), "")</f>
        <v/>
      </c>
    </row>
    <row r="2386">
      <c r="A2386" t="inlineStr">
        <is>
          <t>RP0002385</t>
        </is>
      </c>
      <c r="B2386" t="inlineStr">
        <is>
          <t>LN200345</t>
        </is>
      </c>
      <c r="C2386" t="n">
        <v>6</v>
      </c>
      <c r="D2386" s="8" t="n">
        <v>45866</v>
      </c>
      <c r="E2386" s="9" t="n">
        <v>10069.89</v>
      </c>
      <c r="F2386" s="8" t="n">
        <v>45869</v>
      </c>
      <c r="G2386" s="9" t="n">
        <v>10069.89</v>
      </c>
      <c r="H2386" t="inlineStr">
        <is>
          <t>PAID_ON_TIME</t>
        </is>
      </c>
      <c r="I2386">
        <f>IF(H2386="UNPAID", AsOfDate-D2386, 0)</f>
        <v/>
      </c>
      <c r="J2386">
        <f>IF(F2386&lt;&gt;"", TEXT(F2386, "yyyy-mm"), "")</f>
        <v/>
      </c>
    </row>
    <row r="2387">
      <c r="A2387" t="inlineStr">
        <is>
          <t>RP0002386</t>
        </is>
      </c>
      <c r="B2387" t="inlineStr">
        <is>
          <t>LN200345</t>
        </is>
      </c>
      <c r="C2387" t="n">
        <v>7</v>
      </c>
      <c r="D2387" s="8" t="n">
        <v>45897</v>
      </c>
      <c r="E2387" s="9" t="n">
        <v>10069.89</v>
      </c>
      <c r="F2387" s="8" t="n">
        <v>45898</v>
      </c>
      <c r="G2387" s="9" t="n">
        <v>10069.89</v>
      </c>
      <c r="H2387" t="inlineStr">
        <is>
          <t>PAID_ON_TIME</t>
        </is>
      </c>
      <c r="I2387">
        <f>IF(H2387="UNPAID", AsOfDate-D2387, 0)</f>
        <v/>
      </c>
      <c r="J2387">
        <f>IF(F2387&lt;&gt;"", TEXT(F2387, "yyyy-mm"), "")</f>
        <v/>
      </c>
    </row>
    <row r="2388">
      <c r="A2388" t="inlineStr">
        <is>
          <t>RP0002387</t>
        </is>
      </c>
      <c r="B2388" t="inlineStr">
        <is>
          <t>LN200345</t>
        </is>
      </c>
      <c r="C2388" t="n">
        <v>8</v>
      </c>
      <c r="D2388" s="8" t="n">
        <v>45928</v>
      </c>
      <c r="E2388" s="9" t="n">
        <v>10069.89</v>
      </c>
      <c r="F2388" s="8" t="n">
        <v>45927</v>
      </c>
      <c r="G2388" s="9" t="n">
        <v>10069.89</v>
      </c>
      <c r="H2388" t="inlineStr">
        <is>
          <t>PAID_ON_TIME</t>
        </is>
      </c>
      <c r="I2388">
        <f>IF(H2388="UNPAID", AsOfDate-D2388, 0)</f>
        <v/>
      </c>
      <c r="J2388">
        <f>IF(F2388&lt;&gt;"", TEXT(F2388, "yyyy-mm"), "")</f>
        <v/>
      </c>
    </row>
    <row r="2389">
      <c r="A2389" t="inlineStr">
        <is>
          <t>RP0002388</t>
        </is>
      </c>
      <c r="B2389" t="inlineStr">
        <is>
          <t>LN200345</t>
        </is>
      </c>
      <c r="C2389" t="n">
        <v>9</v>
      </c>
      <c r="D2389" s="8" t="n">
        <v>45958</v>
      </c>
      <c r="E2389" s="9" t="n">
        <v>10069.89</v>
      </c>
      <c r="F2389" s="8" t="n">
        <v>46057</v>
      </c>
      <c r="G2389" s="9" t="n">
        <v>10069.89</v>
      </c>
      <c r="H2389" t="inlineStr">
        <is>
          <t>PAID_LATE</t>
        </is>
      </c>
      <c r="I2389">
        <f>IF(H2389="UNPAID", AsOfDate-D2389, 0)</f>
        <v/>
      </c>
      <c r="J2389">
        <f>IF(F2389&lt;&gt;"", TEXT(F2389, "yyyy-mm"), "")</f>
        <v/>
      </c>
    </row>
    <row r="2390">
      <c r="A2390" t="inlineStr">
        <is>
          <t>RP0002389</t>
        </is>
      </c>
      <c r="B2390" t="inlineStr">
        <is>
          <t>LN200346</t>
        </is>
      </c>
      <c r="C2390" t="n">
        <v>1</v>
      </c>
      <c r="D2390" s="8" t="n">
        <v>45935</v>
      </c>
      <c r="E2390" s="9" t="n">
        <v>3497.08</v>
      </c>
      <c r="F2390" s="8" t="n">
        <v>45939</v>
      </c>
      <c r="G2390" s="9" t="n">
        <v>3497.08</v>
      </c>
      <c r="H2390" t="inlineStr">
        <is>
          <t>PAID_ON_TIME</t>
        </is>
      </c>
      <c r="I2390">
        <f>IF(H2390="UNPAID", AsOfDate-D2390, 0)</f>
        <v/>
      </c>
      <c r="J2390">
        <f>IF(F2390&lt;&gt;"", TEXT(F2390, "yyyy-mm"), "")</f>
        <v/>
      </c>
    </row>
    <row r="2391">
      <c r="A2391" t="inlineStr">
        <is>
          <t>RP0002390</t>
        </is>
      </c>
      <c r="B2391" t="inlineStr">
        <is>
          <t>LN200346</t>
        </is>
      </c>
      <c r="C2391" t="n">
        <v>2</v>
      </c>
      <c r="D2391" s="8" t="n">
        <v>45966</v>
      </c>
      <c r="E2391" s="9" t="n">
        <v>3497.08</v>
      </c>
      <c r="F2391" s="8" t="n">
        <v>45970</v>
      </c>
      <c r="G2391" s="9" t="n">
        <v>3497.08</v>
      </c>
      <c r="H2391" t="inlineStr">
        <is>
          <t>PAID_ON_TIME</t>
        </is>
      </c>
      <c r="I2391">
        <f>IF(H2391="UNPAID", AsOfDate-D2391, 0)</f>
        <v/>
      </c>
      <c r="J2391">
        <f>IF(F2391&lt;&gt;"", TEXT(F2391, "yyyy-mm"), "")</f>
        <v/>
      </c>
    </row>
    <row r="2392">
      <c r="A2392" t="inlineStr">
        <is>
          <t>RP0002391</t>
        </is>
      </c>
      <c r="B2392" t="inlineStr">
        <is>
          <t>LN200346</t>
        </is>
      </c>
      <c r="C2392" t="n">
        <v>3</v>
      </c>
      <c r="D2392" s="8" t="n">
        <v>45996</v>
      </c>
      <c r="E2392" s="9" t="n">
        <v>3497.08</v>
      </c>
      <c r="F2392" s="8" t="n">
        <v>46110</v>
      </c>
      <c r="G2392" s="9" t="n">
        <v>3497.08</v>
      </c>
      <c r="H2392" t="inlineStr">
        <is>
          <t>PAID_LATE</t>
        </is>
      </c>
      <c r="I2392">
        <f>IF(H2392="UNPAID", AsOfDate-D2392, 0)</f>
        <v/>
      </c>
      <c r="J2392">
        <f>IF(F2392&lt;&gt;"", TEXT(F2392, "yyyy-mm"), "")</f>
        <v/>
      </c>
    </row>
    <row r="2393">
      <c r="A2393" t="inlineStr">
        <is>
          <t>RP0002392</t>
        </is>
      </c>
      <c r="B2393" t="inlineStr">
        <is>
          <t>LN200346</t>
        </is>
      </c>
      <c r="C2393" t="n">
        <v>4</v>
      </c>
      <c r="D2393" s="8" t="n">
        <v>46027</v>
      </c>
      <c r="E2393" s="9" t="n">
        <v>3497.08</v>
      </c>
      <c r="F2393" s="8" t="n">
        <v>46028</v>
      </c>
      <c r="G2393" s="9" t="n">
        <v>3497.08</v>
      </c>
      <c r="H2393" t="inlineStr">
        <is>
          <t>PAID_ON_TIME</t>
        </is>
      </c>
      <c r="I2393">
        <f>IF(H2393="UNPAID", AsOfDate-D2393, 0)</f>
        <v/>
      </c>
      <c r="J2393">
        <f>IF(F2393&lt;&gt;"", TEXT(F2393, "yyyy-mm"), "")</f>
        <v/>
      </c>
    </row>
    <row r="2394">
      <c r="A2394" t="inlineStr">
        <is>
          <t>RP0002393</t>
        </is>
      </c>
      <c r="B2394" t="inlineStr">
        <is>
          <t>LN200346</t>
        </is>
      </c>
      <c r="C2394" t="n">
        <v>5</v>
      </c>
      <c r="D2394" s="8" t="n">
        <v>46058</v>
      </c>
      <c r="E2394" s="9" t="n">
        <v>3497.08</v>
      </c>
      <c r="F2394" s="8" t="n">
        <v>46061</v>
      </c>
      <c r="G2394" s="9" t="n">
        <v>3497.08</v>
      </c>
      <c r="H2394" t="inlineStr">
        <is>
          <t>PAID_ON_TIME</t>
        </is>
      </c>
      <c r="I2394">
        <f>IF(H2394="UNPAID", AsOfDate-D2394, 0)</f>
        <v/>
      </c>
      <c r="J2394">
        <f>IF(F2394&lt;&gt;"", TEXT(F2394, "yyyy-mm"), "")</f>
        <v/>
      </c>
    </row>
    <row r="2395">
      <c r="A2395" t="inlineStr">
        <is>
          <t>RP0002394</t>
        </is>
      </c>
      <c r="B2395" t="inlineStr">
        <is>
          <t>LN200346</t>
        </is>
      </c>
      <c r="C2395" t="n">
        <v>6</v>
      </c>
      <c r="D2395" s="8" t="n">
        <v>46086</v>
      </c>
      <c r="E2395" s="9" t="n">
        <v>3497.08</v>
      </c>
      <c r="F2395" s="8" t="n">
        <v>46084</v>
      </c>
      <c r="G2395" s="9" t="n">
        <v>3497.08</v>
      </c>
      <c r="H2395" t="inlineStr">
        <is>
          <t>PAID_ON_TIME</t>
        </is>
      </c>
      <c r="I2395">
        <f>IF(H2395="UNPAID", AsOfDate-D2395, 0)</f>
        <v/>
      </c>
      <c r="J2395">
        <f>IF(F2395&lt;&gt;"", TEXT(F2395, "yyyy-mm"), "")</f>
        <v/>
      </c>
    </row>
    <row r="2396">
      <c r="A2396" t="inlineStr">
        <is>
          <t>RP0002395</t>
        </is>
      </c>
      <c r="B2396" t="inlineStr">
        <is>
          <t>LN200346</t>
        </is>
      </c>
      <c r="C2396" t="n">
        <v>7</v>
      </c>
      <c r="D2396" s="8" t="n">
        <v>46117</v>
      </c>
      <c r="E2396" s="9" t="n">
        <v>3497.08</v>
      </c>
      <c r="F2396" s="8" t="n">
        <v>46121</v>
      </c>
      <c r="G2396" s="9" t="n">
        <v>3497.08</v>
      </c>
      <c r="H2396" t="inlineStr">
        <is>
          <t>PAID_ON_TIME</t>
        </is>
      </c>
      <c r="I2396">
        <f>IF(H2396="UNPAID", AsOfDate-D2396, 0)</f>
        <v/>
      </c>
      <c r="J2396">
        <f>IF(F2396&lt;&gt;"", TEXT(F2396, "yyyy-mm"), "")</f>
        <v/>
      </c>
    </row>
    <row r="2397">
      <c r="A2397" t="inlineStr">
        <is>
          <t>RP0002396</t>
        </is>
      </c>
      <c r="B2397" t="inlineStr">
        <is>
          <t>LN200346</t>
        </is>
      </c>
      <c r="C2397" t="n">
        <v>8</v>
      </c>
      <c r="D2397" s="8" t="n">
        <v>46147</v>
      </c>
      <c r="E2397" s="9" t="n">
        <v>3497.08</v>
      </c>
      <c r="F2397" s="8" t="n">
        <v>46229</v>
      </c>
      <c r="G2397" s="9" t="n">
        <v>3497.08</v>
      </c>
      <c r="H2397" t="inlineStr">
        <is>
          <t>PAID_LATE</t>
        </is>
      </c>
      <c r="I2397">
        <f>IF(H2397="UNPAID", AsOfDate-D2397, 0)</f>
        <v/>
      </c>
      <c r="J2397">
        <f>IF(F2397&lt;&gt;"", TEXT(F2397, "yyyy-mm"), "")</f>
        <v/>
      </c>
    </row>
    <row r="2398">
      <c r="A2398" t="inlineStr">
        <is>
          <t>RP0002397</t>
        </is>
      </c>
      <c r="B2398" t="inlineStr">
        <is>
          <t>LN200346</t>
        </is>
      </c>
      <c r="C2398" t="n">
        <v>9</v>
      </c>
      <c r="D2398" s="8" t="n">
        <v>46178</v>
      </c>
      <c r="E2398" s="9" t="n">
        <v>3497.08</v>
      </c>
      <c r="F2398" s="8" t="n">
        <v>46179</v>
      </c>
      <c r="G2398" s="9" t="n">
        <v>3497.08</v>
      </c>
      <c r="H2398" t="inlineStr">
        <is>
          <t>PAID_ON_TIME</t>
        </is>
      </c>
      <c r="I2398">
        <f>IF(H2398="UNPAID", AsOfDate-D2398, 0)</f>
        <v/>
      </c>
      <c r="J2398">
        <f>IF(F2398&lt;&gt;"", TEXT(F2398, "yyyy-mm"), "")</f>
        <v/>
      </c>
    </row>
    <row r="2399">
      <c r="A2399" t="inlineStr">
        <is>
          <t>RP0002398</t>
        </is>
      </c>
      <c r="B2399" t="inlineStr">
        <is>
          <t>LN200346</t>
        </is>
      </c>
      <c r="C2399" t="n">
        <v>10</v>
      </c>
      <c r="D2399" s="8" t="n">
        <v>46208</v>
      </c>
      <c r="E2399" s="9" t="n">
        <v>3497.08</v>
      </c>
      <c r="F2399" s="8" t="n">
        <v>46209</v>
      </c>
      <c r="G2399" s="9" t="n">
        <v>3497.08</v>
      </c>
      <c r="H2399" t="inlineStr">
        <is>
          <t>PAID_ON_TIME</t>
        </is>
      </c>
      <c r="I2399">
        <f>IF(H2399="UNPAID", AsOfDate-D2399, 0)</f>
        <v/>
      </c>
      <c r="J2399">
        <f>IF(F2399&lt;&gt;"", TEXT(F2399, "yyyy-mm"), "")</f>
        <v/>
      </c>
    </row>
    <row r="2400">
      <c r="A2400" t="inlineStr">
        <is>
          <t>RP0002399</t>
        </is>
      </c>
      <c r="B2400" t="inlineStr">
        <is>
          <t>LN200346</t>
        </is>
      </c>
      <c r="C2400" t="n">
        <v>11</v>
      </c>
      <c r="D2400" s="8" t="n">
        <v>46239</v>
      </c>
      <c r="E2400" s="9" t="n">
        <v>3497.08</v>
      </c>
      <c r="F2400" s="8" t="n"/>
      <c r="G2400" s="9" t="n">
        <v>0</v>
      </c>
      <c r="H2400" t="inlineStr">
        <is>
          <t>UNPAID</t>
        </is>
      </c>
      <c r="I2400">
        <f>IF(H2400="UNPAID", AsOfDate-D2400, 0)</f>
        <v/>
      </c>
      <c r="J2400">
        <f>IF(F2400&lt;&gt;"", TEXT(F2400, "yyyy-mm"), "")</f>
        <v/>
      </c>
    </row>
    <row r="2401">
      <c r="A2401" t="inlineStr">
        <is>
          <t>RP0002400</t>
        </is>
      </c>
      <c r="B2401" t="inlineStr">
        <is>
          <t>LN200346</t>
        </is>
      </c>
      <c r="C2401" t="n">
        <v>12</v>
      </c>
      <c r="D2401" s="8" t="n">
        <v>46270</v>
      </c>
      <c r="E2401" s="9" t="n">
        <v>3497.08</v>
      </c>
      <c r="F2401" s="8" t="n"/>
      <c r="G2401" s="9" t="n">
        <v>0</v>
      </c>
      <c r="H2401" t="inlineStr">
        <is>
          <t>NOT_DUE</t>
        </is>
      </c>
      <c r="I2401">
        <f>IF(H2401="UNPAID", AsOfDate-D2401, 0)</f>
        <v/>
      </c>
      <c r="J2401">
        <f>IF(F2401&lt;&gt;"", TEXT(F2401, "yyyy-mm"), "")</f>
        <v/>
      </c>
    </row>
    <row r="2402">
      <c r="A2402" t="inlineStr">
        <is>
          <t>RP0002401</t>
        </is>
      </c>
      <c r="B2402" t="inlineStr">
        <is>
          <t>LN200347</t>
        </is>
      </c>
      <c r="C2402" t="n">
        <v>1</v>
      </c>
      <c r="D2402" s="8" t="n">
        <v>45913</v>
      </c>
      <c r="E2402" s="9" t="n">
        <v>34534.5</v>
      </c>
      <c r="F2402" s="8" t="n">
        <v>45910</v>
      </c>
      <c r="G2402" s="9" t="n">
        <v>34534.5</v>
      </c>
      <c r="H2402" t="inlineStr">
        <is>
          <t>PAID_ON_TIME</t>
        </is>
      </c>
      <c r="I2402">
        <f>IF(H2402="UNPAID", AsOfDate-D2402, 0)</f>
        <v/>
      </c>
      <c r="J2402">
        <f>IF(F2402&lt;&gt;"", TEXT(F2402, "yyyy-mm"), "")</f>
        <v/>
      </c>
    </row>
    <row r="2403">
      <c r="A2403" t="inlineStr">
        <is>
          <t>RP0002402</t>
        </is>
      </c>
      <c r="B2403" t="inlineStr">
        <is>
          <t>LN200347</t>
        </is>
      </c>
      <c r="C2403" t="n">
        <v>2</v>
      </c>
      <c r="D2403" s="8" t="n">
        <v>45943</v>
      </c>
      <c r="E2403" s="9" t="n">
        <v>34534.5</v>
      </c>
      <c r="F2403" s="8" t="n">
        <v>45946</v>
      </c>
      <c r="G2403" s="9" t="n">
        <v>34534.5</v>
      </c>
      <c r="H2403" t="inlineStr">
        <is>
          <t>PAID_ON_TIME</t>
        </is>
      </c>
      <c r="I2403">
        <f>IF(H2403="UNPAID", AsOfDate-D2403, 0)</f>
        <v/>
      </c>
      <c r="J2403">
        <f>IF(F2403&lt;&gt;"", TEXT(F2403, "yyyy-mm"), "")</f>
        <v/>
      </c>
    </row>
    <row r="2404">
      <c r="A2404" t="inlineStr">
        <is>
          <t>RP0002403</t>
        </is>
      </c>
      <c r="B2404" t="inlineStr">
        <is>
          <t>LN200347</t>
        </is>
      </c>
      <c r="C2404" t="n">
        <v>3</v>
      </c>
      <c r="D2404" s="8" t="n">
        <v>45974</v>
      </c>
      <c r="E2404" s="9" t="n">
        <v>34534.5</v>
      </c>
      <c r="F2404" s="8" t="n">
        <v>45973</v>
      </c>
      <c r="G2404" s="9" t="n">
        <v>34534.5</v>
      </c>
      <c r="H2404" t="inlineStr">
        <is>
          <t>PAID_ON_TIME</t>
        </is>
      </c>
      <c r="I2404">
        <f>IF(H2404="UNPAID", AsOfDate-D2404, 0)</f>
        <v/>
      </c>
      <c r="J2404">
        <f>IF(F2404&lt;&gt;"", TEXT(F2404, "yyyy-mm"), "")</f>
        <v/>
      </c>
    </row>
    <row r="2405">
      <c r="A2405" t="inlineStr">
        <is>
          <t>RP0002404</t>
        </is>
      </c>
      <c r="B2405" t="inlineStr">
        <is>
          <t>LN200348</t>
        </is>
      </c>
      <c r="C2405" t="n">
        <v>1</v>
      </c>
      <c r="D2405" s="8" t="n">
        <v>45852</v>
      </c>
      <c r="E2405" s="9" t="n">
        <v>7075.25</v>
      </c>
      <c r="F2405" s="8" t="n">
        <v>45856</v>
      </c>
      <c r="G2405" s="9" t="n">
        <v>7075.25</v>
      </c>
      <c r="H2405" t="inlineStr">
        <is>
          <t>PAID_ON_TIME</t>
        </is>
      </c>
      <c r="I2405">
        <f>IF(H2405="UNPAID", AsOfDate-D2405, 0)</f>
        <v/>
      </c>
      <c r="J2405">
        <f>IF(F2405&lt;&gt;"", TEXT(F2405, "yyyy-mm"), "")</f>
        <v/>
      </c>
    </row>
    <row r="2406">
      <c r="A2406" t="inlineStr">
        <is>
          <t>RP0002405</t>
        </is>
      </c>
      <c r="B2406" t="inlineStr">
        <is>
          <t>LN200348</t>
        </is>
      </c>
      <c r="C2406" t="n">
        <v>2</v>
      </c>
      <c r="D2406" s="8" t="n">
        <v>45883</v>
      </c>
      <c r="E2406" s="9" t="n">
        <v>7075.25</v>
      </c>
      <c r="F2406" s="8" t="n">
        <v>45887</v>
      </c>
      <c r="G2406" s="9" t="n">
        <v>7075.25</v>
      </c>
      <c r="H2406" t="inlineStr">
        <is>
          <t>PAID_ON_TIME</t>
        </is>
      </c>
      <c r="I2406">
        <f>IF(H2406="UNPAID", AsOfDate-D2406, 0)</f>
        <v/>
      </c>
      <c r="J2406">
        <f>IF(F2406&lt;&gt;"", TEXT(F2406, "yyyy-mm"), "")</f>
        <v/>
      </c>
    </row>
    <row r="2407">
      <c r="A2407" t="inlineStr">
        <is>
          <t>RP0002406</t>
        </is>
      </c>
      <c r="B2407" t="inlineStr">
        <is>
          <t>LN200348</t>
        </is>
      </c>
      <c r="C2407" t="n">
        <v>3</v>
      </c>
      <c r="D2407" s="8" t="n">
        <v>45914</v>
      </c>
      <c r="E2407" s="9" t="n">
        <v>7075.25</v>
      </c>
      <c r="F2407" s="8" t="n">
        <v>45913</v>
      </c>
      <c r="G2407" s="9" t="n">
        <v>7075.25</v>
      </c>
      <c r="H2407" t="inlineStr">
        <is>
          <t>PAID_ON_TIME</t>
        </is>
      </c>
      <c r="I2407">
        <f>IF(H2407="UNPAID", AsOfDate-D2407, 0)</f>
        <v/>
      </c>
      <c r="J2407">
        <f>IF(F2407&lt;&gt;"", TEXT(F2407, "yyyy-mm"), "")</f>
        <v/>
      </c>
    </row>
    <row r="2408">
      <c r="A2408" t="inlineStr">
        <is>
          <t>RP0002407</t>
        </is>
      </c>
      <c r="B2408" t="inlineStr">
        <is>
          <t>LN200348</t>
        </is>
      </c>
      <c r="C2408" t="n">
        <v>4</v>
      </c>
      <c r="D2408" s="8" t="n">
        <v>45944</v>
      </c>
      <c r="E2408" s="9" t="n">
        <v>7075.25</v>
      </c>
      <c r="F2408" s="8" t="n">
        <v>45941</v>
      </c>
      <c r="G2408" s="9" t="n">
        <v>7075.25</v>
      </c>
      <c r="H2408" t="inlineStr">
        <is>
          <t>PAID_ON_TIME</t>
        </is>
      </c>
      <c r="I2408">
        <f>IF(H2408="UNPAID", AsOfDate-D2408, 0)</f>
        <v/>
      </c>
      <c r="J2408">
        <f>IF(F2408&lt;&gt;"", TEXT(F2408, "yyyy-mm"), "")</f>
        <v/>
      </c>
    </row>
    <row r="2409">
      <c r="A2409" t="inlineStr">
        <is>
          <t>RP0002408</t>
        </is>
      </c>
      <c r="B2409" t="inlineStr">
        <is>
          <t>LN200348</t>
        </is>
      </c>
      <c r="C2409" t="n">
        <v>5</v>
      </c>
      <c r="D2409" s="8" t="n">
        <v>45975</v>
      </c>
      <c r="E2409" s="9" t="n">
        <v>7075.25</v>
      </c>
      <c r="F2409" s="8" t="n">
        <v>45973</v>
      </c>
      <c r="G2409" s="9" t="n">
        <v>7075.25</v>
      </c>
      <c r="H2409" t="inlineStr">
        <is>
          <t>PAID_ON_TIME</t>
        </is>
      </c>
      <c r="I2409">
        <f>IF(H2409="UNPAID", AsOfDate-D2409, 0)</f>
        <v/>
      </c>
      <c r="J2409">
        <f>IF(F2409&lt;&gt;"", TEXT(F2409, "yyyy-mm"), "")</f>
        <v/>
      </c>
    </row>
    <row r="2410">
      <c r="A2410" t="inlineStr">
        <is>
          <t>RP0002409</t>
        </is>
      </c>
      <c r="B2410" t="inlineStr">
        <is>
          <t>LN200348</t>
        </is>
      </c>
      <c r="C2410" t="n">
        <v>6</v>
      </c>
      <c r="D2410" s="8" t="n">
        <v>46005</v>
      </c>
      <c r="E2410" s="9" t="n">
        <v>7075.25</v>
      </c>
      <c r="F2410" s="8" t="n">
        <v>46008</v>
      </c>
      <c r="G2410" s="9" t="n">
        <v>7075.25</v>
      </c>
      <c r="H2410" t="inlineStr">
        <is>
          <t>PAID_ON_TIME</t>
        </is>
      </c>
      <c r="I2410">
        <f>IF(H2410="UNPAID", AsOfDate-D2410, 0)</f>
        <v/>
      </c>
      <c r="J2410">
        <f>IF(F2410&lt;&gt;"", TEXT(F2410, "yyyy-mm"), "")</f>
        <v/>
      </c>
    </row>
    <row r="2411">
      <c r="A2411" t="inlineStr">
        <is>
          <t>RP0002410</t>
        </is>
      </c>
      <c r="B2411" t="inlineStr">
        <is>
          <t>LN200349</t>
        </is>
      </c>
      <c r="C2411" t="n">
        <v>1</v>
      </c>
      <c r="D2411" s="8" t="n">
        <v>45840</v>
      </c>
      <c r="E2411" s="9" t="n">
        <v>13953.5</v>
      </c>
      <c r="F2411" s="8" t="n">
        <v>45947</v>
      </c>
      <c r="G2411" s="9" t="n">
        <v>13953.5</v>
      </c>
      <c r="H2411" t="inlineStr">
        <is>
          <t>PAID_LATE</t>
        </is>
      </c>
      <c r="I2411">
        <f>IF(H2411="UNPAID", AsOfDate-D2411, 0)</f>
        <v/>
      </c>
      <c r="J2411">
        <f>IF(F2411&lt;&gt;"", TEXT(F2411, "yyyy-mm"), "")</f>
        <v/>
      </c>
    </row>
    <row r="2412">
      <c r="A2412" t="inlineStr">
        <is>
          <t>RP0002411</t>
        </is>
      </c>
      <c r="B2412" t="inlineStr">
        <is>
          <t>LN200349</t>
        </is>
      </c>
      <c r="C2412" t="n">
        <v>2</v>
      </c>
      <c r="D2412" s="8" t="n">
        <v>45871</v>
      </c>
      <c r="E2412" s="9" t="n">
        <v>13953.5</v>
      </c>
      <c r="F2412" s="8" t="n">
        <v>45870</v>
      </c>
      <c r="G2412" s="9" t="n">
        <v>13953.5</v>
      </c>
      <c r="H2412" t="inlineStr">
        <is>
          <t>PAID_ON_TIME</t>
        </is>
      </c>
      <c r="I2412">
        <f>IF(H2412="UNPAID", AsOfDate-D2412, 0)</f>
        <v/>
      </c>
      <c r="J2412">
        <f>IF(F2412&lt;&gt;"", TEXT(F2412, "yyyy-mm"), "")</f>
        <v/>
      </c>
    </row>
    <row r="2413">
      <c r="A2413" t="inlineStr">
        <is>
          <t>RP0002412</t>
        </is>
      </c>
      <c r="B2413" t="inlineStr">
        <is>
          <t>LN200349</t>
        </is>
      </c>
      <c r="C2413" t="n">
        <v>3</v>
      </c>
      <c r="D2413" s="8" t="n">
        <v>45902</v>
      </c>
      <c r="E2413" s="9" t="n">
        <v>13953.5</v>
      </c>
      <c r="F2413" s="8" t="n">
        <v>45900</v>
      </c>
      <c r="G2413" s="9" t="n">
        <v>13953.5</v>
      </c>
      <c r="H2413" t="inlineStr">
        <is>
          <t>PAID_ON_TIME</t>
        </is>
      </c>
      <c r="I2413">
        <f>IF(H2413="UNPAID", AsOfDate-D2413, 0)</f>
        <v/>
      </c>
      <c r="J2413">
        <f>IF(F2413&lt;&gt;"", TEXT(F2413, "yyyy-mm"), "")</f>
        <v/>
      </c>
    </row>
    <row r="2414">
      <c r="A2414" t="inlineStr">
        <is>
          <t>RP0002413</t>
        </is>
      </c>
      <c r="B2414" t="inlineStr">
        <is>
          <t>LN200349</t>
        </is>
      </c>
      <c r="C2414" t="n">
        <v>4</v>
      </c>
      <c r="D2414" s="8" t="n">
        <v>45932</v>
      </c>
      <c r="E2414" s="9" t="n">
        <v>13953.5</v>
      </c>
      <c r="F2414" s="8" t="n">
        <v>45929</v>
      </c>
      <c r="G2414" s="9" t="n">
        <v>13953.5</v>
      </c>
      <c r="H2414" t="inlineStr">
        <is>
          <t>PAID_ON_TIME</t>
        </is>
      </c>
      <c r="I2414">
        <f>IF(H2414="UNPAID", AsOfDate-D2414, 0)</f>
        <v/>
      </c>
      <c r="J2414">
        <f>IF(F2414&lt;&gt;"", TEXT(F2414, "yyyy-mm"), "")</f>
        <v/>
      </c>
    </row>
    <row r="2415">
      <c r="A2415" t="inlineStr">
        <is>
          <t>RP0002414</t>
        </is>
      </c>
      <c r="B2415" t="inlineStr">
        <is>
          <t>LN200349</t>
        </is>
      </c>
      <c r="C2415" t="n">
        <v>5</v>
      </c>
      <c r="D2415" s="8" t="n">
        <v>45963</v>
      </c>
      <c r="E2415" s="9" t="n">
        <v>13953.5</v>
      </c>
      <c r="F2415" s="8" t="n">
        <v>45966</v>
      </c>
      <c r="G2415" s="9" t="n">
        <v>13953.5</v>
      </c>
      <c r="H2415" t="inlineStr">
        <is>
          <t>PAID_ON_TIME</t>
        </is>
      </c>
      <c r="I2415">
        <f>IF(H2415="UNPAID", AsOfDate-D2415, 0)</f>
        <v/>
      </c>
      <c r="J2415">
        <f>IF(F2415&lt;&gt;"", TEXT(F2415, "yyyy-mm"), "")</f>
        <v/>
      </c>
    </row>
    <row r="2416">
      <c r="A2416" t="inlineStr">
        <is>
          <t>RP0002415</t>
        </is>
      </c>
      <c r="B2416" t="inlineStr">
        <is>
          <t>LN200349</t>
        </is>
      </c>
      <c r="C2416" t="n">
        <v>6</v>
      </c>
      <c r="D2416" s="8" t="n">
        <v>45993</v>
      </c>
      <c r="E2416" s="9" t="n">
        <v>13953.5</v>
      </c>
      <c r="F2416" s="8" t="n">
        <v>46025</v>
      </c>
      <c r="G2416" s="9" t="n">
        <v>13953.5</v>
      </c>
      <c r="H2416" t="inlineStr">
        <is>
          <t>PAID_LATE</t>
        </is>
      </c>
      <c r="I2416">
        <f>IF(H2416="UNPAID", AsOfDate-D2416, 0)</f>
        <v/>
      </c>
      <c r="J2416">
        <f>IF(F2416&lt;&gt;"", TEXT(F2416, "yyyy-mm"), "")</f>
        <v/>
      </c>
    </row>
    <row r="2417">
      <c r="A2417" t="inlineStr">
        <is>
          <t>RP0002416</t>
        </is>
      </c>
      <c r="B2417" t="inlineStr">
        <is>
          <t>LN200349</t>
        </is>
      </c>
      <c r="C2417" t="n">
        <v>7</v>
      </c>
      <c r="D2417" s="8" t="n">
        <v>46024</v>
      </c>
      <c r="E2417" s="9" t="n">
        <v>13953.5</v>
      </c>
      <c r="F2417" s="8" t="n">
        <v>46022</v>
      </c>
      <c r="G2417" s="9" t="n">
        <v>13953.5</v>
      </c>
      <c r="H2417" t="inlineStr">
        <is>
          <t>PAID_ON_TIME</t>
        </is>
      </c>
      <c r="I2417">
        <f>IF(H2417="UNPAID", AsOfDate-D2417, 0)</f>
        <v/>
      </c>
      <c r="J2417">
        <f>IF(F2417&lt;&gt;"", TEXT(F2417, "yyyy-mm"), "")</f>
        <v/>
      </c>
    </row>
    <row r="2418">
      <c r="A2418" t="inlineStr">
        <is>
          <t>RP0002417</t>
        </is>
      </c>
      <c r="B2418" t="inlineStr">
        <is>
          <t>LN200349</t>
        </is>
      </c>
      <c r="C2418" t="n">
        <v>8</v>
      </c>
      <c r="D2418" s="8" t="n">
        <v>46055</v>
      </c>
      <c r="E2418" s="9" t="n">
        <v>13953.5</v>
      </c>
      <c r="F2418" s="8" t="n">
        <v>46053</v>
      </c>
      <c r="G2418" s="9" t="n">
        <v>13953.5</v>
      </c>
      <c r="H2418" t="inlineStr">
        <is>
          <t>PAID_ON_TIME</t>
        </is>
      </c>
      <c r="I2418">
        <f>IF(H2418="UNPAID", AsOfDate-D2418, 0)</f>
        <v/>
      </c>
      <c r="J2418">
        <f>IF(F2418&lt;&gt;"", TEXT(F2418, "yyyy-mm"), "")</f>
        <v/>
      </c>
    </row>
    <row r="2419">
      <c r="A2419" t="inlineStr">
        <is>
          <t>RP0002418</t>
        </is>
      </c>
      <c r="B2419" t="inlineStr">
        <is>
          <t>LN200349</t>
        </is>
      </c>
      <c r="C2419" t="n">
        <v>9</v>
      </c>
      <c r="D2419" s="8" t="n">
        <v>46083</v>
      </c>
      <c r="E2419" s="9" t="n">
        <v>13953.5</v>
      </c>
      <c r="F2419" s="8" t="n"/>
      <c r="G2419" s="9" t="n">
        <v>0</v>
      </c>
      <c r="H2419" t="inlineStr">
        <is>
          <t>UNPAID</t>
        </is>
      </c>
      <c r="I2419">
        <f>IF(H2419="UNPAID", AsOfDate-D2419, 0)</f>
        <v/>
      </c>
      <c r="J2419">
        <f>IF(F2419&lt;&gt;"", TEXT(F2419, "yyyy-mm"), "")</f>
        <v/>
      </c>
    </row>
    <row r="2420">
      <c r="A2420" t="inlineStr">
        <is>
          <t>RP0002419</t>
        </is>
      </c>
      <c r="B2420" t="inlineStr">
        <is>
          <t>LN200349</t>
        </is>
      </c>
      <c r="C2420" t="n">
        <v>10</v>
      </c>
      <c r="D2420" s="8" t="n">
        <v>46114</v>
      </c>
      <c r="E2420" s="9" t="n">
        <v>13953.5</v>
      </c>
      <c r="F2420" s="8" t="n">
        <v>46113</v>
      </c>
      <c r="G2420" s="9" t="n">
        <v>13953.5</v>
      </c>
      <c r="H2420" t="inlineStr">
        <is>
          <t>PAID_ON_TIME</t>
        </is>
      </c>
      <c r="I2420">
        <f>IF(H2420="UNPAID", AsOfDate-D2420, 0)</f>
        <v/>
      </c>
      <c r="J2420">
        <f>IF(F2420&lt;&gt;"", TEXT(F2420, "yyyy-mm"), "")</f>
        <v/>
      </c>
    </row>
    <row r="2421">
      <c r="A2421" t="inlineStr">
        <is>
          <t>RP0002420</t>
        </is>
      </c>
      <c r="B2421" t="inlineStr">
        <is>
          <t>LN200349</t>
        </is>
      </c>
      <c r="C2421" t="n">
        <v>11</v>
      </c>
      <c r="D2421" s="8" t="n">
        <v>46144</v>
      </c>
      <c r="E2421" s="9" t="n">
        <v>13953.5</v>
      </c>
      <c r="F2421" s="8" t="n">
        <v>46215</v>
      </c>
      <c r="G2421" s="9" t="n">
        <v>13953.5</v>
      </c>
      <c r="H2421" t="inlineStr">
        <is>
          <t>PAID_LATE</t>
        </is>
      </c>
      <c r="I2421">
        <f>IF(H2421="UNPAID", AsOfDate-D2421, 0)</f>
        <v/>
      </c>
      <c r="J2421">
        <f>IF(F2421&lt;&gt;"", TEXT(F2421, "yyyy-mm"), "")</f>
        <v/>
      </c>
    </row>
    <row r="2422">
      <c r="A2422" t="inlineStr">
        <is>
          <t>RP0002421</t>
        </is>
      </c>
      <c r="B2422" t="inlineStr">
        <is>
          <t>LN200349</t>
        </is>
      </c>
      <c r="C2422" t="n">
        <v>12</v>
      </c>
      <c r="D2422" s="8" t="n">
        <v>46175</v>
      </c>
      <c r="E2422" s="9" t="n">
        <v>13953.5</v>
      </c>
      <c r="F2422" s="8" t="n"/>
      <c r="G2422" s="9" t="n">
        <v>0</v>
      </c>
      <c r="H2422" t="inlineStr">
        <is>
          <t>UNPAID</t>
        </is>
      </c>
      <c r="I2422">
        <f>IF(H2422="UNPAID", AsOfDate-D2422, 0)</f>
        <v/>
      </c>
      <c r="J2422">
        <f>IF(F2422&lt;&gt;"", TEXT(F2422, "yyyy-mm"), "")</f>
        <v/>
      </c>
    </row>
    <row r="2423">
      <c r="A2423" t="inlineStr">
        <is>
          <t>RP0002422</t>
        </is>
      </c>
      <c r="B2423" t="inlineStr">
        <is>
          <t>LN200349</t>
        </is>
      </c>
      <c r="C2423" t="n">
        <v>13</v>
      </c>
      <c r="D2423" s="8" t="n">
        <v>46205</v>
      </c>
      <c r="E2423" s="9" t="n">
        <v>13953.5</v>
      </c>
      <c r="F2423" s="8" t="n">
        <v>46206</v>
      </c>
      <c r="G2423" s="9" t="n">
        <v>13953.5</v>
      </c>
      <c r="H2423" t="inlineStr">
        <is>
          <t>PAID_ON_TIME</t>
        </is>
      </c>
      <c r="I2423">
        <f>IF(H2423="UNPAID", AsOfDate-D2423, 0)</f>
        <v/>
      </c>
      <c r="J2423">
        <f>IF(F2423&lt;&gt;"", TEXT(F2423, "yyyy-mm"), "")</f>
        <v/>
      </c>
    </row>
    <row r="2424">
      <c r="A2424" t="inlineStr">
        <is>
          <t>RP0002423</t>
        </is>
      </c>
      <c r="B2424" t="inlineStr">
        <is>
          <t>LN200349</t>
        </is>
      </c>
      <c r="C2424" t="n">
        <v>14</v>
      </c>
      <c r="D2424" s="8" t="n">
        <v>46236</v>
      </c>
      <c r="E2424" s="9" t="n">
        <v>13953.5</v>
      </c>
      <c r="F2424" s="8" t="n">
        <v>46233</v>
      </c>
      <c r="G2424" s="9" t="n">
        <v>13953.5</v>
      </c>
      <c r="H2424" t="inlineStr">
        <is>
          <t>PAID_ON_TIME</t>
        </is>
      </c>
      <c r="I2424">
        <f>IF(H2424="UNPAID", AsOfDate-D2424, 0)</f>
        <v/>
      </c>
      <c r="J2424">
        <f>IF(F2424&lt;&gt;"", TEXT(F2424, "yyyy-mm"), "")</f>
        <v/>
      </c>
    </row>
    <row r="2425">
      <c r="A2425" t="inlineStr">
        <is>
          <t>RP0002424</t>
        </is>
      </c>
      <c r="B2425" t="inlineStr">
        <is>
          <t>LN200349</t>
        </is>
      </c>
      <c r="C2425" t="n">
        <v>15</v>
      </c>
      <c r="D2425" s="8" t="n">
        <v>46267</v>
      </c>
      <c r="E2425" s="9" t="n">
        <v>13953.5</v>
      </c>
      <c r="F2425" s="8" t="n"/>
      <c r="G2425" s="9" t="n">
        <v>0</v>
      </c>
      <c r="H2425" t="inlineStr">
        <is>
          <t>NOT_DUE</t>
        </is>
      </c>
      <c r="I2425">
        <f>IF(H2425="UNPAID", AsOfDate-D2425, 0)</f>
        <v/>
      </c>
      <c r="J2425">
        <f>IF(F2425&lt;&gt;"", TEXT(F2425, "yyyy-mm"), "")</f>
        <v/>
      </c>
    </row>
    <row r="2426">
      <c r="A2426" t="inlineStr">
        <is>
          <t>RP0002425</t>
        </is>
      </c>
      <c r="B2426" t="inlineStr">
        <is>
          <t>LN200349</t>
        </is>
      </c>
      <c r="C2426" t="n">
        <v>16</v>
      </c>
      <c r="D2426" s="8" t="n">
        <v>46297</v>
      </c>
      <c r="E2426" s="9" t="n">
        <v>13953.5</v>
      </c>
      <c r="F2426" s="8" t="n"/>
      <c r="G2426" s="9" t="n">
        <v>0</v>
      </c>
      <c r="H2426" t="inlineStr">
        <is>
          <t>NOT_DUE</t>
        </is>
      </c>
      <c r="I2426">
        <f>IF(H2426="UNPAID", AsOfDate-D2426, 0)</f>
        <v/>
      </c>
      <c r="J2426">
        <f>IF(F2426&lt;&gt;"", TEXT(F2426, "yyyy-mm"), "")</f>
        <v/>
      </c>
    </row>
    <row r="2427">
      <c r="A2427" t="inlineStr">
        <is>
          <t>RP0002426</t>
        </is>
      </c>
      <c r="B2427" t="inlineStr">
        <is>
          <t>LN200349</t>
        </is>
      </c>
      <c r="C2427" t="n">
        <v>17</v>
      </c>
      <c r="D2427" s="8" t="n">
        <v>46328</v>
      </c>
      <c r="E2427" s="9" t="n">
        <v>13953.5</v>
      </c>
      <c r="F2427" s="8" t="n"/>
      <c r="G2427" s="9" t="n">
        <v>0</v>
      </c>
      <c r="H2427" t="inlineStr">
        <is>
          <t>NOT_DUE</t>
        </is>
      </c>
      <c r="I2427">
        <f>IF(H2427="UNPAID", AsOfDate-D2427, 0)</f>
        <v/>
      </c>
      <c r="J2427">
        <f>IF(F2427&lt;&gt;"", TEXT(F2427, "yyyy-mm"), "")</f>
        <v/>
      </c>
    </row>
    <row r="2428">
      <c r="A2428" t="inlineStr">
        <is>
          <t>RP0002427</t>
        </is>
      </c>
      <c r="B2428" t="inlineStr">
        <is>
          <t>LN200349</t>
        </is>
      </c>
      <c r="C2428" t="n">
        <v>18</v>
      </c>
      <c r="D2428" s="8" t="n">
        <v>46358</v>
      </c>
      <c r="E2428" s="9" t="n">
        <v>13953.5</v>
      </c>
      <c r="F2428" s="8" t="n"/>
      <c r="G2428" s="9" t="n">
        <v>0</v>
      </c>
      <c r="H2428" t="inlineStr">
        <is>
          <t>NOT_DUE</t>
        </is>
      </c>
      <c r="I2428">
        <f>IF(H2428="UNPAID", AsOfDate-D2428, 0)</f>
        <v/>
      </c>
      <c r="J2428">
        <f>IF(F2428&lt;&gt;"", TEXT(F2428, "yyyy-mm"), "")</f>
        <v/>
      </c>
    </row>
    <row r="2429">
      <c r="A2429" t="inlineStr">
        <is>
          <t>RP0002428</t>
        </is>
      </c>
      <c r="B2429" t="inlineStr">
        <is>
          <t>LN200350</t>
        </is>
      </c>
      <c r="C2429" t="n">
        <v>1</v>
      </c>
      <c r="D2429" s="8" t="n">
        <v>45911</v>
      </c>
      <c r="E2429" s="9" t="n">
        <v>20604.44</v>
      </c>
      <c r="F2429" s="8" t="n"/>
      <c r="G2429" s="9" t="n">
        <v>0</v>
      </c>
      <c r="H2429" t="inlineStr">
        <is>
          <t>UNPAID</t>
        </is>
      </c>
      <c r="I2429">
        <f>IF(H2429="UNPAID", AsOfDate-D2429, 0)</f>
        <v/>
      </c>
      <c r="J2429">
        <f>IF(F2429&lt;&gt;"", TEXT(F2429, "yyyy-mm"), "")</f>
        <v/>
      </c>
    </row>
    <row r="2430">
      <c r="A2430" t="inlineStr">
        <is>
          <t>RP0002429</t>
        </is>
      </c>
      <c r="B2430" t="inlineStr">
        <is>
          <t>LN200350</t>
        </is>
      </c>
      <c r="C2430" t="n">
        <v>2</v>
      </c>
      <c r="D2430" s="8" t="n">
        <v>45941</v>
      </c>
      <c r="E2430" s="9" t="n">
        <v>20604.44</v>
      </c>
      <c r="F2430" s="8" t="n">
        <v>45945</v>
      </c>
      <c r="G2430" s="9" t="n">
        <v>20604.44</v>
      </c>
      <c r="H2430" t="inlineStr">
        <is>
          <t>PAID_ON_TIME</t>
        </is>
      </c>
      <c r="I2430">
        <f>IF(H2430="UNPAID", AsOfDate-D2430, 0)</f>
        <v/>
      </c>
      <c r="J2430">
        <f>IF(F2430&lt;&gt;"", TEXT(F2430, "yyyy-mm"), "")</f>
        <v/>
      </c>
    </row>
    <row r="2431">
      <c r="A2431" t="inlineStr">
        <is>
          <t>RP0002430</t>
        </is>
      </c>
      <c r="B2431" t="inlineStr">
        <is>
          <t>LN200350</t>
        </is>
      </c>
      <c r="C2431" t="n">
        <v>3</v>
      </c>
      <c r="D2431" s="8" t="n">
        <v>45972</v>
      </c>
      <c r="E2431" s="9" t="n">
        <v>20604.44</v>
      </c>
      <c r="F2431" s="8" t="n">
        <v>45976</v>
      </c>
      <c r="G2431" s="9" t="n">
        <v>20604.44</v>
      </c>
      <c r="H2431" t="inlineStr">
        <is>
          <t>PAID_ON_TIME</t>
        </is>
      </c>
      <c r="I2431">
        <f>IF(H2431="UNPAID", AsOfDate-D2431, 0)</f>
        <v/>
      </c>
      <c r="J2431">
        <f>IF(F2431&lt;&gt;"", TEXT(F2431, "yyyy-mm"), "")</f>
        <v/>
      </c>
    </row>
    <row r="2432">
      <c r="A2432" t="inlineStr">
        <is>
          <t>RP0002431</t>
        </is>
      </c>
      <c r="B2432" t="inlineStr">
        <is>
          <t>LN200350</t>
        </is>
      </c>
      <c r="C2432" t="n">
        <v>4</v>
      </c>
      <c r="D2432" s="8" t="n">
        <v>46002</v>
      </c>
      <c r="E2432" s="9" t="n">
        <v>20604.44</v>
      </c>
      <c r="F2432" s="8" t="n">
        <v>46004</v>
      </c>
      <c r="G2432" s="9" t="n">
        <v>20604.44</v>
      </c>
      <c r="H2432" t="inlineStr">
        <is>
          <t>PAID_ON_TIME</t>
        </is>
      </c>
      <c r="I2432">
        <f>IF(H2432="UNPAID", AsOfDate-D2432, 0)</f>
        <v/>
      </c>
      <c r="J2432">
        <f>IF(F2432&lt;&gt;"", TEXT(F2432, "yyyy-mm"), "")</f>
        <v/>
      </c>
    </row>
    <row r="2433">
      <c r="A2433" t="inlineStr">
        <is>
          <t>RP0002432</t>
        </is>
      </c>
      <c r="B2433" t="inlineStr">
        <is>
          <t>LN200350</t>
        </is>
      </c>
      <c r="C2433" t="n">
        <v>5</v>
      </c>
      <c r="D2433" s="8" t="n">
        <v>46033</v>
      </c>
      <c r="E2433" s="9" t="n">
        <v>20604.44</v>
      </c>
      <c r="F2433" s="8" t="n">
        <v>46034</v>
      </c>
      <c r="G2433" s="9" t="n">
        <v>20604.44</v>
      </c>
      <c r="H2433" t="inlineStr">
        <is>
          <t>PAID_ON_TIME</t>
        </is>
      </c>
      <c r="I2433">
        <f>IF(H2433="UNPAID", AsOfDate-D2433, 0)</f>
        <v/>
      </c>
      <c r="J2433">
        <f>IF(F2433&lt;&gt;"", TEXT(F2433, "yyyy-mm"), "")</f>
        <v/>
      </c>
    </row>
    <row r="2434">
      <c r="A2434" t="inlineStr">
        <is>
          <t>RP0002433</t>
        </is>
      </c>
      <c r="B2434" t="inlineStr">
        <is>
          <t>LN200350</t>
        </is>
      </c>
      <c r="C2434" t="n">
        <v>6</v>
      </c>
      <c r="D2434" s="8" t="n">
        <v>46064</v>
      </c>
      <c r="E2434" s="9" t="n">
        <v>20604.44</v>
      </c>
      <c r="F2434" s="8" t="n">
        <v>46062</v>
      </c>
      <c r="G2434" s="9" t="n">
        <v>20604.44</v>
      </c>
      <c r="H2434" t="inlineStr">
        <is>
          <t>PAID_ON_TIME</t>
        </is>
      </c>
      <c r="I2434">
        <f>IF(H2434="UNPAID", AsOfDate-D2434, 0)</f>
        <v/>
      </c>
      <c r="J2434">
        <f>IF(F2434&lt;&gt;"", TEXT(F2434, "yyyy-mm"), "")</f>
        <v/>
      </c>
    </row>
    <row r="2435">
      <c r="A2435" t="inlineStr">
        <is>
          <t>RP0002434</t>
        </is>
      </c>
      <c r="B2435" t="inlineStr">
        <is>
          <t>LN200350</t>
        </is>
      </c>
      <c r="C2435" t="n">
        <v>7</v>
      </c>
      <c r="D2435" s="8" t="n">
        <v>46092</v>
      </c>
      <c r="E2435" s="9" t="n">
        <v>20604.44</v>
      </c>
      <c r="F2435" s="8" t="n">
        <v>46089</v>
      </c>
      <c r="G2435" s="9" t="n">
        <v>20604.44</v>
      </c>
      <c r="H2435" t="inlineStr">
        <is>
          <t>PAID_ON_TIME</t>
        </is>
      </c>
      <c r="I2435">
        <f>IF(H2435="UNPAID", AsOfDate-D2435, 0)</f>
        <v/>
      </c>
      <c r="J2435">
        <f>IF(F2435&lt;&gt;"", TEXT(F2435, "yyyy-mm"), "")</f>
        <v/>
      </c>
    </row>
    <row r="2436">
      <c r="A2436" t="inlineStr">
        <is>
          <t>RP0002435</t>
        </is>
      </c>
      <c r="B2436" t="inlineStr">
        <is>
          <t>LN200350</t>
        </is>
      </c>
      <c r="C2436" t="n">
        <v>8</v>
      </c>
      <c r="D2436" s="8" t="n">
        <v>46123</v>
      </c>
      <c r="E2436" s="9" t="n">
        <v>20604.44</v>
      </c>
      <c r="F2436" s="8" t="n">
        <v>46124</v>
      </c>
      <c r="G2436" s="9" t="n">
        <v>20604.44</v>
      </c>
      <c r="H2436" t="inlineStr">
        <is>
          <t>PAID_ON_TIME</t>
        </is>
      </c>
      <c r="I2436">
        <f>IF(H2436="UNPAID", AsOfDate-D2436, 0)</f>
        <v/>
      </c>
      <c r="J2436">
        <f>IF(F2436&lt;&gt;"", TEXT(F2436, "yyyy-mm"), "")</f>
        <v/>
      </c>
    </row>
    <row r="2437">
      <c r="A2437" t="inlineStr">
        <is>
          <t>RP0002436</t>
        </is>
      </c>
      <c r="B2437" t="inlineStr">
        <is>
          <t>LN200350</t>
        </is>
      </c>
      <c r="C2437" t="n">
        <v>9</v>
      </c>
      <c r="D2437" s="8" t="n">
        <v>46153</v>
      </c>
      <c r="E2437" s="9" t="n">
        <v>20604.44</v>
      </c>
      <c r="F2437" s="8" t="n">
        <v>46156</v>
      </c>
      <c r="G2437" s="9" t="n">
        <v>20604.44</v>
      </c>
      <c r="H2437" t="inlineStr">
        <is>
          <t>PAID_ON_TIME</t>
        </is>
      </c>
      <c r="I2437">
        <f>IF(H2437="UNPAID", AsOfDate-D2437, 0)</f>
        <v/>
      </c>
      <c r="J2437">
        <f>IF(F2437&lt;&gt;"", TEXT(F2437, "yyyy-mm"), "")</f>
        <v/>
      </c>
    </row>
    <row r="2438">
      <c r="A2438" t="inlineStr">
        <is>
          <t>RP0002437</t>
        </is>
      </c>
      <c r="B2438" t="inlineStr">
        <is>
          <t>LN200351</t>
        </is>
      </c>
      <c r="C2438" t="n">
        <v>1</v>
      </c>
      <c r="D2438" s="8" t="n">
        <v>46206</v>
      </c>
      <c r="E2438" s="9" t="n">
        <v>14100</v>
      </c>
      <c r="F2438" s="8" t="n">
        <v>46205</v>
      </c>
      <c r="G2438" s="9" t="n">
        <v>14100</v>
      </c>
      <c r="H2438" t="inlineStr">
        <is>
          <t>PAID_ON_TIME</t>
        </is>
      </c>
      <c r="I2438">
        <f>IF(H2438="UNPAID", AsOfDate-D2438, 0)</f>
        <v/>
      </c>
      <c r="J2438">
        <f>IF(F2438&lt;&gt;"", TEXT(F2438, "yyyy-mm"), "")</f>
        <v/>
      </c>
    </row>
    <row r="2439">
      <c r="A2439" t="inlineStr">
        <is>
          <t>RP0002438</t>
        </is>
      </c>
      <c r="B2439" t="inlineStr">
        <is>
          <t>LN200351</t>
        </is>
      </c>
      <c r="C2439" t="n">
        <v>2</v>
      </c>
      <c r="D2439" s="8" t="n">
        <v>46237</v>
      </c>
      <c r="E2439" s="9" t="n">
        <v>14100</v>
      </c>
      <c r="F2439" s="8" t="n">
        <v>46237</v>
      </c>
      <c r="G2439" s="9" t="n">
        <v>14100</v>
      </c>
      <c r="H2439" t="inlineStr">
        <is>
          <t>PAID_ON_TIME</t>
        </is>
      </c>
      <c r="I2439">
        <f>IF(H2439="UNPAID", AsOfDate-D2439, 0)</f>
        <v/>
      </c>
      <c r="J2439">
        <f>IF(F2439&lt;&gt;"", TEXT(F2439, "yyyy-mm"), "")</f>
        <v/>
      </c>
    </row>
    <row r="2440">
      <c r="A2440" t="inlineStr">
        <is>
          <t>RP0002439</t>
        </is>
      </c>
      <c r="B2440" t="inlineStr">
        <is>
          <t>LN200351</t>
        </is>
      </c>
      <c r="C2440" t="n">
        <v>3</v>
      </c>
      <c r="D2440" s="8" t="n">
        <v>46268</v>
      </c>
      <c r="E2440" s="9" t="n">
        <v>14100</v>
      </c>
      <c r="F2440" s="8" t="n"/>
      <c r="G2440" s="9" t="n">
        <v>0</v>
      </c>
      <c r="H2440" t="inlineStr">
        <is>
          <t>NOT_DUE</t>
        </is>
      </c>
      <c r="I2440">
        <f>IF(H2440="UNPAID", AsOfDate-D2440, 0)</f>
        <v/>
      </c>
      <c r="J2440">
        <f>IF(F2440&lt;&gt;"", TEXT(F2440, "yyyy-mm"), "")</f>
        <v/>
      </c>
    </row>
    <row r="2441">
      <c r="A2441" t="inlineStr">
        <is>
          <t>RP0002440</t>
        </is>
      </c>
      <c r="B2441" t="inlineStr">
        <is>
          <t>LN200352</t>
        </is>
      </c>
      <c r="C2441" t="n">
        <v>1</v>
      </c>
      <c r="D2441" s="8" t="n">
        <v>46222</v>
      </c>
      <c r="E2441" s="9" t="n">
        <v>7491.83</v>
      </c>
      <c r="F2441" s="8" t="n">
        <v>46226</v>
      </c>
      <c r="G2441" s="9" t="n">
        <v>7491.83</v>
      </c>
      <c r="H2441" t="inlineStr">
        <is>
          <t>PAID_ON_TIME</t>
        </is>
      </c>
      <c r="I2441">
        <f>IF(H2441="UNPAID", AsOfDate-D2441, 0)</f>
        <v/>
      </c>
      <c r="J2441">
        <f>IF(F2441&lt;&gt;"", TEXT(F2441, "yyyy-mm"), "")</f>
        <v/>
      </c>
    </row>
    <row r="2442">
      <c r="A2442" t="inlineStr">
        <is>
          <t>RP0002441</t>
        </is>
      </c>
      <c r="B2442" t="inlineStr">
        <is>
          <t>LN200352</t>
        </is>
      </c>
      <c r="C2442" t="n">
        <v>2</v>
      </c>
      <c r="D2442" s="8" t="n">
        <v>46253</v>
      </c>
      <c r="E2442" s="9" t="n">
        <v>7491.83</v>
      </c>
      <c r="F2442" s="8" t="n">
        <v>46253</v>
      </c>
      <c r="G2442" s="9" t="n">
        <v>7491.83</v>
      </c>
      <c r="H2442" t="inlineStr">
        <is>
          <t>PAID_ON_TIME</t>
        </is>
      </c>
      <c r="I2442">
        <f>IF(H2442="UNPAID", AsOfDate-D2442, 0)</f>
        <v/>
      </c>
      <c r="J2442">
        <f>IF(F2442&lt;&gt;"", TEXT(F2442, "yyyy-mm"), "")</f>
        <v/>
      </c>
    </row>
    <row r="2443">
      <c r="A2443" t="inlineStr">
        <is>
          <t>RP0002442</t>
        </is>
      </c>
      <c r="B2443" t="inlineStr">
        <is>
          <t>LN200352</t>
        </is>
      </c>
      <c r="C2443" t="n">
        <v>3</v>
      </c>
      <c r="D2443" s="8" t="n">
        <v>46284</v>
      </c>
      <c r="E2443" s="9" t="n">
        <v>7491.83</v>
      </c>
      <c r="F2443" s="8" t="n"/>
      <c r="G2443" s="9" t="n">
        <v>0</v>
      </c>
      <c r="H2443" t="inlineStr">
        <is>
          <t>NOT_DUE</t>
        </is>
      </c>
      <c r="I2443">
        <f>IF(H2443="UNPAID", AsOfDate-D2443, 0)</f>
        <v/>
      </c>
      <c r="J2443">
        <f>IF(F2443&lt;&gt;"", TEXT(F2443, "yyyy-mm"), "")</f>
        <v/>
      </c>
    </row>
    <row r="2444">
      <c r="A2444" t="inlineStr">
        <is>
          <t>RP0002443</t>
        </is>
      </c>
      <c r="B2444" t="inlineStr">
        <is>
          <t>LN200352</t>
        </is>
      </c>
      <c r="C2444" t="n">
        <v>4</v>
      </c>
      <c r="D2444" s="8" t="n">
        <v>46314</v>
      </c>
      <c r="E2444" s="9" t="n">
        <v>7491.83</v>
      </c>
      <c r="F2444" s="8" t="n"/>
      <c r="G2444" s="9" t="n">
        <v>0</v>
      </c>
      <c r="H2444" t="inlineStr">
        <is>
          <t>NOT_DUE</t>
        </is>
      </c>
      <c r="I2444">
        <f>IF(H2444="UNPAID", AsOfDate-D2444, 0)</f>
        <v/>
      </c>
      <c r="J2444">
        <f>IF(F2444&lt;&gt;"", TEXT(F2444, "yyyy-mm"), "")</f>
        <v/>
      </c>
    </row>
    <row r="2445">
      <c r="A2445" t="inlineStr">
        <is>
          <t>RP0002444</t>
        </is>
      </c>
      <c r="B2445" t="inlineStr">
        <is>
          <t>LN200352</t>
        </is>
      </c>
      <c r="C2445" t="n">
        <v>5</v>
      </c>
      <c r="D2445" s="8" t="n">
        <v>46345</v>
      </c>
      <c r="E2445" s="9" t="n">
        <v>7491.83</v>
      </c>
      <c r="F2445" s="8" t="n"/>
      <c r="G2445" s="9" t="n">
        <v>0</v>
      </c>
      <c r="H2445" t="inlineStr">
        <is>
          <t>NOT_DUE</t>
        </is>
      </c>
      <c r="I2445">
        <f>IF(H2445="UNPAID", AsOfDate-D2445, 0)</f>
        <v/>
      </c>
      <c r="J2445">
        <f>IF(F2445&lt;&gt;"", TEXT(F2445, "yyyy-mm"), "")</f>
        <v/>
      </c>
    </row>
    <row r="2446">
      <c r="A2446" t="inlineStr">
        <is>
          <t>RP0002445</t>
        </is>
      </c>
      <c r="B2446" t="inlineStr">
        <is>
          <t>LN200352</t>
        </is>
      </c>
      <c r="C2446" t="n">
        <v>6</v>
      </c>
      <c r="D2446" s="8" t="n">
        <v>46375</v>
      </c>
      <c r="E2446" s="9" t="n">
        <v>7491.83</v>
      </c>
      <c r="F2446" s="8" t="n"/>
      <c r="G2446" s="9" t="n">
        <v>0</v>
      </c>
      <c r="H2446" t="inlineStr">
        <is>
          <t>NOT_DUE</t>
        </is>
      </c>
      <c r="I2446">
        <f>IF(H2446="UNPAID", AsOfDate-D2446, 0)</f>
        <v/>
      </c>
      <c r="J2446">
        <f>IF(F2446&lt;&gt;"", TEXT(F2446, "yyyy-mm"), "")</f>
        <v/>
      </c>
    </row>
    <row r="2447">
      <c r="A2447" t="inlineStr">
        <is>
          <t>RP0002446</t>
        </is>
      </c>
      <c r="B2447" t="inlineStr">
        <is>
          <t>LN200352</t>
        </is>
      </c>
      <c r="C2447" t="n">
        <v>7</v>
      </c>
      <c r="D2447" s="8" t="n">
        <v>46406</v>
      </c>
      <c r="E2447" s="9" t="n">
        <v>7491.83</v>
      </c>
      <c r="F2447" s="8" t="n"/>
      <c r="G2447" s="9" t="n">
        <v>0</v>
      </c>
      <c r="H2447" t="inlineStr">
        <is>
          <t>NOT_DUE</t>
        </is>
      </c>
      <c r="I2447">
        <f>IF(H2447="UNPAID", AsOfDate-D2447, 0)</f>
        <v/>
      </c>
      <c r="J2447">
        <f>IF(F2447&lt;&gt;"", TEXT(F2447, "yyyy-mm"), "")</f>
        <v/>
      </c>
    </row>
    <row r="2448">
      <c r="A2448" t="inlineStr">
        <is>
          <t>RP0002447</t>
        </is>
      </c>
      <c r="B2448" t="inlineStr">
        <is>
          <t>LN200352</t>
        </is>
      </c>
      <c r="C2448" t="n">
        <v>8</v>
      </c>
      <c r="D2448" s="8" t="n">
        <v>46437</v>
      </c>
      <c r="E2448" s="9" t="n">
        <v>7491.83</v>
      </c>
      <c r="F2448" s="8" t="n"/>
      <c r="G2448" s="9" t="n">
        <v>0</v>
      </c>
      <c r="H2448" t="inlineStr">
        <is>
          <t>NOT_DUE</t>
        </is>
      </c>
      <c r="I2448">
        <f>IF(H2448="UNPAID", AsOfDate-D2448, 0)</f>
        <v/>
      </c>
      <c r="J2448">
        <f>IF(F2448&lt;&gt;"", TEXT(F2448, "yyyy-mm"), "")</f>
        <v/>
      </c>
    </row>
    <row r="2449">
      <c r="A2449" t="inlineStr">
        <is>
          <t>RP0002448</t>
        </is>
      </c>
      <c r="B2449" t="inlineStr">
        <is>
          <t>LN200352</t>
        </is>
      </c>
      <c r="C2449" t="n">
        <v>9</v>
      </c>
      <c r="D2449" s="8" t="n">
        <v>46465</v>
      </c>
      <c r="E2449" s="9" t="n">
        <v>7491.83</v>
      </c>
      <c r="F2449" s="8" t="n"/>
      <c r="G2449" s="9" t="n">
        <v>0</v>
      </c>
      <c r="H2449" t="inlineStr">
        <is>
          <t>NOT_DUE</t>
        </is>
      </c>
      <c r="I2449">
        <f>IF(H2449="UNPAID", AsOfDate-D2449, 0)</f>
        <v/>
      </c>
      <c r="J2449">
        <f>IF(F2449&lt;&gt;"", TEXT(F2449, "yyyy-mm"), "")</f>
        <v/>
      </c>
    </row>
    <row r="2450">
      <c r="A2450" t="inlineStr">
        <is>
          <t>RP0002449</t>
        </is>
      </c>
      <c r="B2450" t="inlineStr">
        <is>
          <t>LN200352</t>
        </is>
      </c>
      <c r="C2450" t="n">
        <v>10</v>
      </c>
      <c r="D2450" s="8" t="n">
        <v>46496</v>
      </c>
      <c r="E2450" s="9" t="n">
        <v>7491.83</v>
      </c>
      <c r="F2450" s="8" t="n"/>
      <c r="G2450" s="9" t="n">
        <v>0</v>
      </c>
      <c r="H2450" t="inlineStr">
        <is>
          <t>NOT_DUE</t>
        </is>
      </c>
      <c r="I2450">
        <f>IF(H2450="UNPAID", AsOfDate-D2450, 0)</f>
        <v/>
      </c>
      <c r="J2450">
        <f>IF(F2450&lt;&gt;"", TEXT(F2450, "yyyy-mm"), "")</f>
        <v/>
      </c>
    </row>
    <row r="2451">
      <c r="A2451" t="inlineStr">
        <is>
          <t>RP0002450</t>
        </is>
      </c>
      <c r="B2451" t="inlineStr">
        <is>
          <t>LN200352</t>
        </is>
      </c>
      <c r="C2451" t="n">
        <v>11</v>
      </c>
      <c r="D2451" s="8" t="n">
        <v>46526</v>
      </c>
      <c r="E2451" s="9" t="n">
        <v>7491.83</v>
      </c>
      <c r="F2451" s="8" t="n"/>
      <c r="G2451" s="9" t="n">
        <v>0</v>
      </c>
      <c r="H2451" t="inlineStr">
        <is>
          <t>NOT_DUE</t>
        </is>
      </c>
      <c r="I2451">
        <f>IF(H2451="UNPAID", AsOfDate-D2451, 0)</f>
        <v/>
      </c>
      <c r="J2451">
        <f>IF(F2451&lt;&gt;"", TEXT(F2451, "yyyy-mm"), "")</f>
        <v/>
      </c>
    </row>
    <row r="2452">
      <c r="A2452" t="inlineStr">
        <is>
          <t>RP0002451</t>
        </is>
      </c>
      <c r="B2452" t="inlineStr">
        <is>
          <t>LN200352</t>
        </is>
      </c>
      <c r="C2452" t="n">
        <v>12</v>
      </c>
      <c r="D2452" s="8" t="n">
        <v>46557</v>
      </c>
      <c r="E2452" s="9" t="n">
        <v>7491.83</v>
      </c>
      <c r="F2452" s="8" t="n"/>
      <c r="G2452" s="9" t="n">
        <v>0</v>
      </c>
      <c r="H2452" t="inlineStr">
        <is>
          <t>NOT_DUE</t>
        </is>
      </c>
      <c r="I2452">
        <f>IF(H2452="UNPAID", AsOfDate-D2452, 0)</f>
        <v/>
      </c>
      <c r="J2452">
        <f>IF(F2452&lt;&gt;"", TEXT(F2452, "yyyy-mm"), "")</f>
        <v/>
      </c>
    </row>
    <row r="2453">
      <c r="A2453" t="inlineStr">
        <is>
          <t>RP0002452</t>
        </is>
      </c>
      <c r="B2453" t="inlineStr">
        <is>
          <t>LN200354</t>
        </is>
      </c>
      <c r="C2453" t="n">
        <v>1</v>
      </c>
      <c r="D2453" s="8" t="n">
        <v>45924</v>
      </c>
      <c r="E2453" s="9" t="n">
        <v>14896</v>
      </c>
      <c r="F2453" s="8" t="n">
        <v>45928</v>
      </c>
      <c r="G2453" s="9" t="n">
        <v>14896</v>
      </c>
      <c r="H2453" t="inlineStr">
        <is>
          <t>PAID_ON_TIME</t>
        </is>
      </c>
      <c r="I2453">
        <f>IF(H2453="UNPAID", AsOfDate-D2453, 0)</f>
        <v/>
      </c>
      <c r="J2453">
        <f>IF(F2453&lt;&gt;"", TEXT(F2453, "yyyy-mm"), "")</f>
        <v/>
      </c>
    </row>
    <row r="2454">
      <c r="A2454" t="inlineStr">
        <is>
          <t>RP0002453</t>
        </is>
      </c>
      <c r="B2454" t="inlineStr">
        <is>
          <t>LN200354</t>
        </is>
      </c>
      <c r="C2454" t="n">
        <v>2</v>
      </c>
      <c r="D2454" s="8" t="n">
        <v>45954</v>
      </c>
      <c r="E2454" s="9" t="n">
        <v>14896</v>
      </c>
      <c r="F2454" s="8" t="n">
        <v>45952</v>
      </c>
      <c r="G2454" s="9" t="n">
        <v>14896</v>
      </c>
      <c r="H2454" t="inlineStr">
        <is>
          <t>PAID_ON_TIME</t>
        </is>
      </c>
      <c r="I2454">
        <f>IF(H2454="UNPAID", AsOfDate-D2454, 0)</f>
        <v/>
      </c>
      <c r="J2454">
        <f>IF(F2454&lt;&gt;"", TEXT(F2454, "yyyy-mm"), "")</f>
        <v/>
      </c>
    </row>
    <row r="2455">
      <c r="A2455" t="inlineStr">
        <is>
          <t>RP0002454</t>
        </is>
      </c>
      <c r="B2455" t="inlineStr">
        <is>
          <t>LN200354</t>
        </is>
      </c>
      <c r="C2455" t="n">
        <v>3</v>
      </c>
      <c r="D2455" s="8" t="n">
        <v>45985</v>
      </c>
      <c r="E2455" s="9" t="n">
        <v>14896</v>
      </c>
      <c r="F2455" s="8" t="n">
        <v>46091</v>
      </c>
      <c r="G2455" s="9" t="n">
        <v>14896</v>
      </c>
      <c r="H2455" t="inlineStr">
        <is>
          <t>PAID_LATE</t>
        </is>
      </c>
      <c r="I2455">
        <f>IF(H2455="UNPAID", AsOfDate-D2455, 0)</f>
        <v/>
      </c>
      <c r="J2455">
        <f>IF(F2455&lt;&gt;"", TEXT(F2455, "yyyy-mm"), "")</f>
        <v/>
      </c>
    </row>
    <row r="2456">
      <c r="A2456" t="inlineStr">
        <is>
          <t>RP0002455</t>
        </is>
      </c>
      <c r="B2456" t="inlineStr">
        <is>
          <t>LN200354</t>
        </is>
      </c>
      <c r="C2456" t="n">
        <v>4</v>
      </c>
      <c r="D2456" s="8" t="n">
        <v>46015</v>
      </c>
      <c r="E2456" s="9" t="n">
        <v>14896</v>
      </c>
      <c r="F2456" s="8" t="n">
        <v>46018</v>
      </c>
      <c r="G2456" s="9" t="n">
        <v>14896</v>
      </c>
      <c r="H2456" t="inlineStr">
        <is>
          <t>PAID_ON_TIME</t>
        </is>
      </c>
      <c r="I2456">
        <f>IF(H2456="UNPAID", AsOfDate-D2456, 0)</f>
        <v/>
      </c>
      <c r="J2456">
        <f>IF(F2456&lt;&gt;"", TEXT(F2456, "yyyy-mm"), "")</f>
        <v/>
      </c>
    </row>
    <row r="2457">
      <c r="A2457" t="inlineStr">
        <is>
          <t>RP0002456</t>
        </is>
      </c>
      <c r="B2457" t="inlineStr">
        <is>
          <t>LN200354</t>
        </is>
      </c>
      <c r="C2457" t="n">
        <v>5</v>
      </c>
      <c r="D2457" s="8" t="n">
        <v>46046</v>
      </c>
      <c r="E2457" s="9" t="n">
        <v>14896</v>
      </c>
      <c r="F2457" s="8" t="n">
        <v>46050</v>
      </c>
      <c r="G2457" s="9" t="n">
        <v>14896</v>
      </c>
      <c r="H2457" t="inlineStr">
        <is>
          <t>PAID_ON_TIME</t>
        </is>
      </c>
      <c r="I2457">
        <f>IF(H2457="UNPAID", AsOfDate-D2457, 0)</f>
        <v/>
      </c>
      <c r="J2457">
        <f>IF(F2457&lt;&gt;"", TEXT(F2457, "yyyy-mm"), "")</f>
        <v/>
      </c>
    </row>
    <row r="2458">
      <c r="A2458" t="inlineStr">
        <is>
          <t>RP0002457</t>
        </is>
      </c>
      <c r="B2458" t="inlineStr">
        <is>
          <t>LN200354</t>
        </is>
      </c>
      <c r="C2458" t="n">
        <v>6</v>
      </c>
      <c r="D2458" s="8" t="n">
        <v>46077</v>
      </c>
      <c r="E2458" s="9" t="n">
        <v>14896</v>
      </c>
      <c r="F2458" s="8" t="n">
        <v>46078</v>
      </c>
      <c r="G2458" s="9" t="n">
        <v>14896</v>
      </c>
      <c r="H2458" t="inlineStr">
        <is>
          <t>PAID_ON_TIME</t>
        </is>
      </c>
      <c r="I2458">
        <f>IF(H2458="UNPAID", AsOfDate-D2458, 0)</f>
        <v/>
      </c>
      <c r="J2458">
        <f>IF(F2458&lt;&gt;"", TEXT(F2458, "yyyy-mm"), "")</f>
        <v/>
      </c>
    </row>
    <row r="2459">
      <c r="A2459" t="inlineStr">
        <is>
          <t>RP0002458</t>
        </is>
      </c>
      <c r="B2459" t="inlineStr">
        <is>
          <t>LN200355</t>
        </is>
      </c>
      <c r="C2459" t="n">
        <v>1</v>
      </c>
      <c r="D2459" s="8" t="n">
        <v>45930</v>
      </c>
      <c r="E2459" s="9" t="n">
        <v>55000.75</v>
      </c>
      <c r="F2459" s="8" t="n">
        <v>45929</v>
      </c>
      <c r="G2459" s="9" t="n">
        <v>55000.75</v>
      </c>
      <c r="H2459" t="inlineStr">
        <is>
          <t>PAID_ON_TIME</t>
        </is>
      </c>
      <c r="I2459">
        <f>IF(H2459="UNPAID", AsOfDate-D2459, 0)</f>
        <v/>
      </c>
      <c r="J2459">
        <f>IF(F2459&lt;&gt;"", TEXT(F2459, "yyyy-mm"), "")</f>
        <v/>
      </c>
    </row>
    <row r="2460">
      <c r="A2460" t="inlineStr">
        <is>
          <t>RP0002459</t>
        </is>
      </c>
      <c r="B2460" t="inlineStr">
        <is>
          <t>LN200355</t>
        </is>
      </c>
      <c r="C2460" t="n">
        <v>2</v>
      </c>
      <c r="D2460" s="8" t="n">
        <v>45960</v>
      </c>
      <c r="E2460" s="9" t="n">
        <v>55000.75</v>
      </c>
      <c r="F2460" s="8" t="n">
        <v>45963</v>
      </c>
      <c r="G2460" s="9" t="n">
        <v>55000.75</v>
      </c>
      <c r="H2460" t="inlineStr">
        <is>
          <t>PAID_ON_TIME</t>
        </is>
      </c>
      <c r="I2460">
        <f>IF(H2460="UNPAID", AsOfDate-D2460, 0)</f>
        <v/>
      </c>
      <c r="J2460">
        <f>IF(F2460&lt;&gt;"", TEXT(F2460, "yyyy-mm"), "")</f>
        <v/>
      </c>
    </row>
    <row r="2461">
      <c r="A2461" t="inlineStr">
        <is>
          <t>RP0002460</t>
        </is>
      </c>
      <c r="B2461" t="inlineStr">
        <is>
          <t>LN200355</t>
        </is>
      </c>
      <c r="C2461" t="n">
        <v>3</v>
      </c>
      <c r="D2461" s="8" t="n">
        <v>45991</v>
      </c>
      <c r="E2461" s="9" t="n">
        <v>55000.75</v>
      </c>
      <c r="F2461" s="8" t="n">
        <v>45994</v>
      </c>
      <c r="G2461" s="9" t="n">
        <v>55000.75</v>
      </c>
      <c r="H2461" t="inlineStr">
        <is>
          <t>PAID_ON_TIME</t>
        </is>
      </c>
      <c r="I2461">
        <f>IF(H2461="UNPAID", AsOfDate-D2461, 0)</f>
        <v/>
      </c>
      <c r="J2461">
        <f>IF(F2461&lt;&gt;"", TEXT(F2461, "yyyy-mm"), "")</f>
        <v/>
      </c>
    </row>
    <row r="2462">
      <c r="A2462" t="inlineStr">
        <is>
          <t>RP0002461</t>
        </is>
      </c>
      <c r="B2462" t="inlineStr">
        <is>
          <t>LN200356</t>
        </is>
      </c>
      <c r="C2462" t="n">
        <v>1</v>
      </c>
      <c r="D2462" s="8" t="n">
        <v>46067</v>
      </c>
      <c r="E2462" s="9" t="n">
        <v>35690.75</v>
      </c>
      <c r="F2462" s="8" t="n">
        <v>46139</v>
      </c>
      <c r="G2462" s="9" t="n">
        <v>35690.75</v>
      </c>
      <c r="H2462" t="inlineStr">
        <is>
          <t>PAID_LATE</t>
        </is>
      </c>
      <c r="I2462">
        <f>IF(H2462="UNPAID", AsOfDate-D2462, 0)</f>
        <v/>
      </c>
      <c r="J2462">
        <f>IF(F2462&lt;&gt;"", TEXT(F2462, "yyyy-mm"), "")</f>
        <v/>
      </c>
    </row>
    <row r="2463">
      <c r="A2463" t="inlineStr">
        <is>
          <t>RP0002462</t>
        </is>
      </c>
      <c r="B2463" t="inlineStr">
        <is>
          <t>LN200356</t>
        </is>
      </c>
      <c r="C2463" t="n">
        <v>2</v>
      </c>
      <c r="D2463" s="8" t="n">
        <v>46095</v>
      </c>
      <c r="E2463" s="9" t="n">
        <v>35690.75</v>
      </c>
      <c r="F2463" s="8" t="n">
        <v>46200</v>
      </c>
      <c r="G2463" s="9" t="n">
        <v>35690.75</v>
      </c>
      <c r="H2463" t="inlineStr">
        <is>
          <t>PAID_LATE</t>
        </is>
      </c>
      <c r="I2463">
        <f>IF(H2463="UNPAID", AsOfDate-D2463, 0)</f>
        <v/>
      </c>
      <c r="J2463">
        <f>IF(F2463&lt;&gt;"", TEXT(F2463, "yyyy-mm"), "")</f>
        <v/>
      </c>
    </row>
    <row r="2464">
      <c r="A2464" t="inlineStr">
        <is>
          <t>RP0002463</t>
        </is>
      </c>
      <c r="B2464" t="inlineStr">
        <is>
          <t>LN200356</t>
        </is>
      </c>
      <c r="C2464" t="n">
        <v>3</v>
      </c>
      <c r="D2464" s="8" t="n">
        <v>46126</v>
      </c>
      <c r="E2464" s="9" t="n">
        <v>35690.75</v>
      </c>
      <c r="F2464" s="8" t="n">
        <v>46124</v>
      </c>
      <c r="G2464" s="9" t="n">
        <v>35690.75</v>
      </c>
      <c r="H2464" t="inlineStr">
        <is>
          <t>PAID_ON_TIME</t>
        </is>
      </c>
      <c r="I2464">
        <f>IF(H2464="UNPAID", AsOfDate-D2464, 0)</f>
        <v/>
      </c>
      <c r="J2464">
        <f>IF(F2464&lt;&gt;"", TEXT(F2464, "yyyy-mm"), "")</f>
        <v/>
      </c>
    </row>
    <row r="2465">
      <c r="A2465" t="inlineStr">
        <is>
          <t>RP0002464</t>
        </is>
      </c>
      <c r="B2465" t="inlineStr">
        <is>
          <t>LN200356</t>
        </is>
      </c>
      <c r="C2465" t="n">
        <v>4</v>
      </c>
      <c r="D2465" s="8" t="n">
        <v>46156</v>
      </c>
      <c r="E2465" s="9" t="n">
        <v>35690.75</v>
      </c>
      <c r="F2465" s="8" t="n">
        <v>46154</v>
      </c>
      <c r="G2465" s="9" t="n">
        <v>35690.75</v>
      </c>
      <c r="H2465" t="inlineStr">
        <is>
          <t>PAID_ON_TIME</t>
        </is>
      </c>
      <c r="I2465">
        <f>IF(H2465="UNPAID", AsOfDate-D2465, 0)</f>
        <v/>
      </c>
      <c r="J2465">
        <f>IF(F2465&lt;&gt;"", TEXT(F2465, "yyyy-mm"), "")</f>
        <v/>
      </c>
    </row>
    <row r="2466">
      <c r="A2466" t="inlineStr">
        <is>
          <t>RP0002465</t>
        </is>
      </c>
      <c r="B2466" t="inlineStr">
        <is>
          <t>LN200356</t>
        </is>
      </c>
      <c r="C2466" t="n">
        <v>5</v>
      </c>
      <c r="D2466" s="8" t="n">
        <v>46187</v>
      </c>
      <c r="E2466" s="9" t="n">
        <v>35690.75</v>
      </c>
      <c r="F2466" s="8" t="n">
        <v>46189</v>
      </c>
      <c r="G2466" s="9" t="n">
        <v>35690.75</v>
      </c>
      <c r="H2466" t="inlineStr">
        <is>
          <t>PAID_ON_TIME</t>
        </is>
      </c>
      <c r="I2466">
        <f>IF(H2466="UNPAID", AsOfDate-D2466, 0)</f>
        <v/>
      </c>
      <c r="J2466">
        <f>IF(F2466&lt;&gt;"", TEXT(F2466, "yyyy-mm"), "")</f>
        <v/>
      </c>
    </row>
    <row r="2467">
      <c r="A2467" t="inlineStr">
        <is>
          <t>RP0002466</t>
        </is>
      </c>
      <c r="B2467" t="inlineStr">
        <is>
          <t>LN200356</t>
        </is>
      </c>
      <c r="C2467" t="n">
        <v>6</v>
      </c>
      <c r="D2467" s="8" t="n">
        <v>46217</v>
      </c>
      <c r="E2467" s="9" t="n">
        <v>35690.75</v>
      </c>
      <c r="F2467" s="8" t="n">
        <v>46219</v>
      </c>
      <c r="G2467" s="9" t="n">
        <v>35690.75</v>
      </c>
      <c r="H2467" t="inlineStr">
        <is>
          <t>PAID_ON_TIME</t>
        </is>
      </c>
      <c r="I2467">
        <f>IF(H2467="UNPAID", AsOfDate-D2467, 0)</f>
        <v/>
      </c>
      <c r="J2467">
        <f>IF(F2467&lt;&gt;"", TEXT(F2467, "yyyy-mm"), "")</f>
        <v/>
      </c>
    </row>
    <row r="2468">
      <c r="A2468" t="inlineStr">
        <is>
          <t>RP0002467</t>
        </is>
      </c>
      <c r="B2468" t="inlineStr">
        <is>
          <t>LN200356</t>
        </is>
      </c>
      <c r="C2468" t="n">
        <v>7</v>
      </c>
      <c r="D2468" s="8" t="n">
        <v>46248</v>
      </c>
      <c r="E2468" s="9" t="n">
        <v>35690.75</v>
      </c>
      <c r="F2468" s="8" t="n">
        <v>46248</v>
      </c>
      <c r="G2468" s="9" t="n">
        <v>35690.75</v>
      </c>
      <c r="H2468" t="inlineStr">
        <is>
          <t>PAID_ON_TIME</t>
        </is>
      </c>
      <c r="I2468">
        <f>IF(H2468="UNPAID", AsOfDate-D2468, 0)</f>
        <v/>
      </c>
      <c r="J2468">
        <f>IF(F2468&lt;&gt;"", TEXT(F2468, "yyyy-mm"), "")</f>
        <v/>
      </c>
    </row>
    <row r="2469">
      <c r="A2469" t="inlineStr">
        <is>
          <t>RP0002468</t>
        </is>
      </c>
      <c r="B2469" t="inlineStr">
        <is>
          <t>LN200356</t>
        </is>
      </c>
      <c r="C2469" t="n">
        <v>8</v>
      </c>
      <c r="D2469" s="8" t="n">
        <v>46279</v>
      </c>
      <c r="E2469" s="9" t="n">
        <v>35690.75</v>
      </c>
      <c r="F2469" s="8" t="n"/>
      <c r="G2469" s="9" t="n">
        <v>0</v>
      </c>
      <c r="H2469" t="inlineStr">
        <is>
          <t>NOT_DUE</t>
        </is>
      </c>
      <c r="I2469">
        <f>IF(H2469="UNPAID", AsOfDate-D2469, 0)</f>
        <v/>
      </c>
      <c r="J2469">
        <f>IF(F2469&lt;&gt;"", TEXT(F2469, "yyyy-mm"), "")</f>
        <v/>
      </c>
    </row>
    <row r="2470">
      <c r="A2470" t="inlineStr">
        <is>
          <t>RP0002469</t>
        </is>
      </c>
      <c r="B2470" t="inlineStr">
        <is>
          <t>LN200356</t>
        </is>
      </c>
      <c r="C2470" t="n">
        <v>9</v>
      </c>
      <c r="D2470" s="8" t="n">
        <v>46309</v>
      </c>
      <c r="E2470" s="9" t="n">
        <v>35690.75</v>
      </c>
      <c r="F2470" s="8" t="n"/>
      <c r="G2470" s="9" t="n">
        <v>0</v>
      </c>
      <c r="H2470" t="inlineStr">
        <is>
          <t>NOT_DUE</t>
        </is>
      </c>
      <c r="I2470">
        <f>IF(H2470="UNPAID", AsOfDate-D2470, 0)</f>
        <v/>
      </c>
      <c r="J2470">
        <f>IF(F2470&lt;&gt;"", TEXT(F2470, "yyyy-mm"), "")</f>
        <v/>
      </c>
    </row>
    <row r="2471">
      <c r="A2471" t="inlineStr">
        <is>
          <t>RP0002470</t>
        </is>
      </c>
      <c r="B2471" t="inlineStr">
        <is>
          <t>LN200356</t>
        </is>
      </c>
      <c r="C2471" t="n">
        <v>10</v>
      </c>
      <c r="D2471" s="8" t="n">
        <v>46340</v>
      </c>
      <c r="E2471" s="9" t="n">
        <v>35690.75</v>
      </c>
      <c r="F2471" s="8" t="n"/>
      <c r="G2471" s="9" t="n">
        <v>0</v>
      </c>
      <c r="H2471" t="inlineStr">
        <is>
          <t>NOT_DUE</t>
        </is>
      </c>
      <c r="I2471">
        <f>IF(H2471="UNPAID", AsOfDate-D2471, 0)</f>
        <v/>
      </c>
      <c r="J2471">
        <f>IF(F2471&lt;&gt;"", TEXT(F2471, "yyyy-mm"), "")</f>
        <v/>
      </c>
    </row>
    <row r="2472">
      <c r="A2472" t="inlineStr">
        <is>
          <t>RP0002471</t>
        </is>
      </c>
      <c r="B2472" t="inlineStr">
        <is>
          <t>LN200356</t>
        </is>
      </c>
      <c r="C2472" t="n">
        <v>11</v>
      </c>
      <c r="D2472" s="8" t="n">
        <v>46370</v>
      </c>
      <c r="E2472" s="9" t="n">
        <v>35690.75</v>
      </c>
      <c r="F2472" s="8" t="n"/>
      <c r="G2472" s="9" t="n">
        <v>0</v>
      </c>
      <c r="H2472" t="inlineStr">
        <is>
          <t>NOT_DUE</t>
        </is>
      </c>
      <c r="I2472">
        <f>IF(H2472="UNPAID", AsOfDate-D2472, 0)</f>
        <v/>
      </c>
      <c r="J2472">
        <f>IF(F2472&lt;&gt;"", TEXT(F2472, "yyyy-mm"), "")</f>
        <v/>
      </c>
    </row>
    <row r="2473">
      <c r="A2473" t="inlineStr">
        <is>
          <t>RP0002472</t>
        </is>
      </c>
      <c r="B2473" t="inlineStr">
        <is>
          <t>LN200356</t>
        </is>
      </c>
      <c r="C2473" t="n">
        <v>12</v>
      </c>
      <c r="D2473" s="8" t="n">
        <v>46401</v>
      </c>
      <c r="E2473" s="9" t="n">
        <v>35690.75</v>
      </c>
      <c r="F2473" s="8" t="n"/>
      <c r="G2473" s="9" t="n">
        <v>0</v>
      </c>
      <c r="H2473" t="inlineStr">
        <is>
          <t>NOT_DUE</t>
        </is>
      </c>
      <c r="I2473">
        <f>IF(H2473="UNPAID", AsOfDate-D2473, 0)</f>
        <v/>
      </c>
      <c r="J2473">
        <f>IF(F2473&lt;&gt;"", TEXT(F2473, "yyyy-mm"), "")</f>
        <v/>
      </c>
    </row>
    <row r="2474">
      <c r="A2474" t="inlineStr">
        <is>
          <t>RP0002473</t>
        </is>
      </c>
      <c r="B2474" t="inlineStr">
        <is>
          <t>LN200357</t>
        </is>
      </c>
      <c r="C2474" t="n">
        <v>1</v>
      </c>
      <c r="D2474" s="8" t="n">
        <v>45873</v>
      </c>
      <c r="E2474" s="9" t="n">
        <v>5455</v>
      </c>
      <c r="F2474" s="8" t="n">
        <v>45874</v>
      </c>
      <c r="G2474" s="9" t="n">
        <v>5455</v>
      </c>
      <c r="H2474" t="inlineStr">
        <is>
          <t>PAID_ON_TIME</t>
        </is>
      </c>
      <c r="I2474">
        <f>IF(H2474="UNPAID", AsOfDate-D2474, 0)</f>
        <v/>
      </c>
      <c r="J2474">
        <f>IF(F2474&lt;&gt;"", TEXT(F2474, "yyyy-mm"), "")</f>
        <v/>
      </c>
    </row>
    <row r="2475">
      <c r="A2475" t="inlineStr">
        <is>
          <t>RP0002474</t>
        </is>
      </c>
      <c r="B2475" t="inlineStr">
        <is>
          <t>LN200357</t>
        </is>
      </c>
      <c r="C2475" t="n">
        <v>2</v>
      </c>
      <c r="D2475" s="8" t="n">
        <v>45904</v>
      </c>
      <c r="E2475" s="9" t="n">
        <v>5455</v>
      </c>
      <c r="F2475" s="8" t="n">
        <v>45982</v>
      </c>
      <c r="G2475" s="9" t="n">
        <v>5455</v>
      </c>
      <c r="H2475" t="inlineStr">
        <is>
          <t>PAID_LATE</t>
        </is>
      </c>
      <c r="I2475">
        <f>IF(H2475="UNPAID", AsOfDate-D2475, 0)</f>
        <v/>
      </c>
      <c r="J2475">
        <f>IF(F2475&lt;&gt;"", TEXT(F2475, "yyyy-mm"), "")</f>
        <v/>
      </c>
    </row>
    <row r="2476">
      <c r="A2476" t="inlineStr">
        <is>
          <t>RP0002475</t>
        </is>
      </c>
      <c r="B2476" t="inlineStr">
        <is>
          <t>LN200357</t>
        </is>
      </c>
      <c r="C2476" t="n">
        <v>3</v>
      </c>
      <c r="D2476" s="8" t="n">
        <v>45934</v>
      </c>
      <c r="E2476" s="9" t="n">
        <v>5455</v>
      </c>
      <c r="F2476" s="8" t="n">
        <v>45970</v>
      </c>
      <c r="G2476" s="9" t="n">
        <v>5455</v>
      </c>
      <c r="H2476" t="inlineStr">
        <is>
          <t>PAID_LATE</t>
        </is>
      </c>
      <c r="I2476">
        <f>IF(H2476="UNPAID", AsOfDate-D2476, 0)</f>
        <v/>
      </c>
      <c r="J2476">
        <f>IF(F2476&lt;&gt;"", TEXT(F2476, "yyyy-mm"), "")</f>
        <v/>
      </c>
    </row>
    <row r="2477">
      <c r="A2477" t="inlineStr">
        <is>
          <t>RP0002476</t>
        </is>
      </c>
      <c r="B2477" t="inlineStr">
        <is>
          <t>LN200357</t>
        </is>
      </c>
      <c r="C2477" t="n">
        <v>4</v>
      </c>
      <c r="D2477" s="8" t="n">
        <v>45965</v>
      </c>
      <c r="E2477" s="9" t="n">
        <v>5455</v>
      </c>
      <c r="F2477" s="8" t="n">
        <v>45962</v>
      </c>
      <c r="G2477" s="9" t="n">
        <v>5455</v>
      </c>
      <c r="H2477" t="inlineStr">
        <is>
          <t>PAID_ON_TIME</t>
        </is>
      </c>
      <c r="I2477">
        <f>IF(H2477="UNPAID", AsOfDate-D2477, 0)</f>
        <v/>
      </c>
      <c r="J2477">
        <f>IF(F2477&lt;&gt;"", TEXT(F2477, "yyyy-mm"), "")</f>
        <v/>
      </c>
    </row>
    <row r="2478">
      <c r="A2478" t="inlineStr">
        <is>
          <t>RP0002477</t>
        </is>
      </c>
      <c r="B2478" t="inlineStr">
        <is>
          <t>LN200357</t>
        </is>
      </c>
      <c r="C2478" t="n">
        <v>5</v>
      </c>
      <c r="D2478" s="8" t="n">
        <v>45995</v>
      </c>
      <c r="E2478" s="9" t="n">
        <v>5455</v>
      </c>
      <c r="F2478" s="8" t="n">
        <v>45996</v>
      </c>
      <c r="G2478" s="9" t="n">
        <v>5455</v>
      </c>
      <c r="H2478" t="inlineStr">
        <is>
          <t>PAID_ON_TIME</t>
        </is>
      </c>
      <c r="I2478">
        <f>IF(H2478="UNPAID", AsOfDate-D2478, 0)</f>
        <v/>
      </c>
      <c r="J2478">
        <f>IF(F2478&lt;&gt;"", TEXT(F2478, "yyyy-mm"), "")</f>
        <v/>
      </c>
    </row>
    <row r="2479">
      <c r="A2479" t="inlineStr">
        <is>
          <t>RP0002478</t>
        </is>
      </c>
      <c r="B2479" t="inlineStr">
        <is>
          <t>LN200357</t>
        </is>
      </c>
      <c r="C2479" t="n">
        <v>6</v>
      </c>
      <c r="D2479" s="8" t="n">
        <v>46026</v>
      </c>
      <c r="E2479" s="9" t="n">
        <v>5455</v>
      </c>
      <c r="F2479" s="8" t="n">
        <v>46091</v>
      </c>
      <c r="G2479" s="9" t="n">
        <v>5455</v>
      </c>
      <c r="H2479" t="inlineStr">
        <is>
          <t>PAID_LATE</t>
        </is>
      </c>
      <c r="I2479">
        <f>IF(H2479="UNPAID", AsOfDate-D2479, 0)</f>
        <v/>
      </c>
      <c r="J2479">
        <f>IF(F2479&lt;&gt;"", TEXT(F2479, "yyyy-mm"), "")</f>
        <v/>
      </c>
    </row>
    <row r="2480">
      <c r="A2480" t="inlineStr">
        <is>
          <t>RP0002479</t>
        </is>
      </c>
      <c r="B2480" t="inlineStr">
        <is>
          <t>LN200358</t>
        </is>
      </c>
      <c r="C2480" t="n">
        <v>1</v>
      </c>
      <c r="D2480" s="8" t="n">
        <v>46034</v>
      </c>
      <c r="E2480" s="9" t="n">
        <v>3090.67</v>
      </c>
      <c r="F2480" s="8" t="n">
        <v>46037</v>
      </c>
      <c r="G2480" s="9" t="n">
        <v>3090.67</v>
      </c>
      <c r="H2480" t="inlineStr">
        <is>
          <t>PAID_ON_TIME</t>
        </is>
      </c>
      <c r="I2480">
        <f>IF(H2480="UNPAID", AsOfDate-D2480, 0)</f>
        <v/>
      </c>
      <c r="J2480">
        <f>IF(F2480&lt;&gt;"", TEXT(F2480, "yyyy-mm"), "")</f>
        <v/>
      </c>
    </row>
    <row r="2481">
      <c r="A2481" t="inlineStr">
        <is>
          <t>RP0002480</t>
        </is>
      </c>
      <c r="B2481" t="inlineStr">
        <is>
          <t>LN200358</t>
        </is>
      </c>
      <c r="C2481" t="n">
        <v>2</v>
      </c>
      <c r="D2481" s="8" t="n">
        <v>46065</v>
      </c>
      <c r="E2481" s="9" t="n">
        <v>3090.67</v>
      </c>
      <c r="F2481" s="8" t="n">
        <v>46063</v>
      </c>
      <c r="G2481" s="9" t="n">
        <v>3090.67</v>
      </c>
      <c r="H2481" t="inlineStr">
        <is>
          <t>PAID_ON_TIME</t>
        </is>
      </c>
      <c r="I2481">
        <f>IF(H2481="UNPAID", AsOfDate-D2481, 0)</f>
        <v/>
      </c>
      <c r="J2481">
        <f>IF(F2481&lt;&gt;"", TEXT(F2481, "yyyy-mm"), "")</f>
        <v/>
      </c>
    </row>
    <row r="2482">
      <c r="A2482" t="inlineStr">
        <is>
          <t>RP0002481</t>
        </is>
      </c>
      <c r="B2482" t="inlineStr">
        <is>
          <t>LN200358</t>
        </is>
      </c>
      <c r="C2482" t="n">
        <v>3</v>
      </c>
      <c r="D2482" s="8" t="n">
        <v>46093</v>
      </c>
      <c r="E2482" s="9" t="n">
        <v>3090.67</v>
      </c>
      <c r="F2482" s="8" t="n">
        <v>46097</v>
      </c>
      <c r="G2482" s="9" t="n">
        <v>3090.67</v>
      </c>
      <c r="H2482" t="inlineStr">
        <is>
          <t>PAID_ON_TIME</t>
        </is>
      </c>
      <c r="I2482">
        <f>IF(H2482="UNPAID", AsOfDate-D2482, 0)</f>
        <v/>
      </c>
      <c r="J2482">
        <f>IF(F2482&lt;&gt;"", TEXT(F2482, "yyyy-mm"), "")</f>
        <v/>
      </c>
    </row>
    <row r="2483">
      <c r="A2483" t="inlineStr">
        <is>
          <t>RP0002482</t>
        </is>
      </c>
      <c r="B2483" t="inlineStr">
        <is>
          <t>LN200358</t>
        </is>
      </c>
      <c r="C2483" t="n">
        <v>4</v>
      </c>
      <c r="D2483" s="8" t="n">
        <v>46124</v>
      </c>
      <c r="E2483" s="9" t="n">
        <v>3090.67</v>
      </c>
      <c r="F2483" s="8" t="n">
        <v>46154</v>
      </c>
      <c r="G2483" s="9" t="n">
        <v>3090.67</v>
      </c>
      <c r="H2483" t="inlineStr">
        <is>
          <t>PAID_LATE</t>
        </is>
      </c>
      <c r="I2483">
        <f>IF(H2483="UNPAID", AsOfDate-D2483, 0)</f>
        <v/>
      </c>
      <c r="J2483">
        <f>IF(F2483&lt;&gt;"", TEXT(F2483, "yyyy-mm"), "")</f>
        <v/>
      </c>
    </row>
    <row r="2484">
      <c r="A2484" t="inlineStr">
        <is>
          <t>RP0002483</t>
        </is>
      </c>
      <c r="B2484" t="inlineStr">
        <is>
          <t>LN200358</t>
        </is>
      </c>
      <c r="C2484" t="n">
        <v>5</v>
      </c>
      <c r="D2484" s="8" t="n">
        <v>46154</v>
      </c>
      <c r="E2484" s="9" t="n">
        <v>3090.67</v>
      </c>
      <c r="F2484" s="8" t="n">
        <v>46158</v>
      </c>
      <c r="G2484" s="9" t="n">
        <v>3090.67</v>
      </c>
      <c r="H2484" t="inlineStr">
        <is>
          <t>PAID_ON_TIME</t>
        </is>
      </c>
      <c r="I2484">
        <f>IF(H2484="UNPAID", AsOfDate-D2484, 0)</f>
        <v/>
      </c>
      <c r="J2484">
        <f>IF(F2484&lt;&gt;"", TEXT(F2484, "yyyy-mm"), "")</f>
        <v/>
      </c>
    </row>
    <row r="2485">
      <c r="A2485" t="inlineStr">
        <is>
          <t>RP0002484</t>
        </is>
      </c>
      <c r="B2485" t="inlineStr">
        <is>
          <t>LN200358</t>
        </is>
      </c>
      <c r="C2485" t="n">
        <v>6</v>
      </c>
      <c r="D2485" s="8" t="n">
        <v>46185</v>
      </c>
      <c r="E2485" s="9" t="n">
        <v>3090.67</v>
      </c>
      <c r="F2485" s="8" t="n">
        <v>46189</v>
      </c>
      <c r="G2485" s="9" t="n">
        <v>3090.67</v>
      </c>
      <c r="H2485" t="inlineStr">
        <is>
          <t>PAID_ON_TIME</t>
        </is>
      </c>
      <c r="I2485">
        <f>IF(H2485="UNPAID", AsOfDate-D2485, 0)</f>
        <v/>
      </c>
      <c r="J2485">
        <f>IF(F2485&lt;&gt;"", TEXT(F2485, "yyyy-mm"), "")</f>
        <v/>
      </c>
    </row>
    <row r="2486">
      <c r="A2486" t="inlineStr">
        <is>
          <t>RP0002485</t>
        </is>
      </c>
      <c r="B2486" t="inlineStr">
        <is>
          <t>LN200358</t>
        </is>
      </c>
      <c r="C2486" t="n">
        <v>7</v>
      </c>
      <c r="D2486" s="8" t="n">
        <v>46215</v>
      </c>
      <c r="E2486" s="9" t="n">
        <v>3090.67</v>
      </c>
      <c r="F2486" s="8" t="n">
        <v>46217</v>
      </c>
      <c r="G2486" s="9" t="n">
        <v>3090.67</v>
      </c>
      <c r="H2486" t="inlineStr">
        <is>
          <t>PAID_ON_TIME</t>
        </is>
      </c>
      <c r="I2486">
        <f>IF(H2486="UNPAID", AsOfDate-D2486, 0)</f>
        <v/>
      </c>
      <c r="J2486">
        <f>IF(F2486&lt;&gt;"", TEXT(F2486, "yyyy-mm"), "")</f>
        <v/>
      </c>
    </row>
    <row r="2487">
      <c r="A2487" t="inlineStr">
        <is>
          <t>RP0002486</t>
        </is>
      </c>
      <c r="B2487" t="inlineStr">
        <is>
          <t>LN200358</t>
        </is>
      </c>
      <c r="C2487" t="n">
        <v>8</v>
      </c>
      <c r="D2487" s="8" t="n">
        <v>46246</v>
      </c>
      <c r="E2487" s="9" t="n">
        <v>3090.67</v>
      </c>
      <c r="F2487" s="8" t="n">
        <v>46246</v>
      </c>
      <c r="G2487" s="9" t="n">
        <v>3090.67</v>
      </c>
      <c r="H2487" t="inlineStr">
        <is>
          <t>PAID_ON_TIME</t>
        </is>
      </c>
      <c r="I2487">
        <f>IF(H2487="UNPAID", AsOfDate-D2487, 0)</f>
        <v/>
      </c>
      <c r="J2487">
        <f>IF(F2487&lt;&gt;"", TEXT(F2487, "yyyy-mm"), "")</f>
        <v/>
      </c>
    </row>
    <row r="2488">
      <c r="A2488" t="inlineStr">
        <is>
          <t>RP0002487</t>
        </is>
      </c>
      <c r="B2488" t="inlineStr">
        <is>
          <t>LN200358</t>
        </is>
      </c>
      <c r="C2488" t="n">
        <v>9</v>
      </c>
      <c r="D2488" s="8" t="n">
        <v>46277</v>
      </c>
      <c r="E2488" s="9" t="n">
        <v>3090.67</v>
      </c>
      <c r="F2488" s="8" t="n"/>
      <c r="G2488" s="9" t="n">
        <v>0</v>
      </c>
      <c r="H2488" t="inlineStr">
        <is>
          <t>NOT_DUE</t>
        </is>
      </c>
      <c r="I2488">
        <f>IF(H2488="UNPAID", AsOfDate-D2488, 0)</f>
        <v/>
      </c>
      <c r="J2488">
        <f>IF(F2488&lt;&gt;"", TEXT(F2488, "yyyy-mm"), "")</f>
        <v/>
      </c>
    </row>
    <row r="2489">
      <c r="A2489" t="inlineStr">
        <is>
          <t>RP0002488</t>
        </is>
      </c>
      <c r="B2489" t="inlineStr">
        <is>
          <t>LN200359</t>
        </is>
      </c>
      <c r="C2489" t="n">
        <v>1</v>
      </c>
      <c r="D2489" s="8" t="n">
        <v>45780</v>
      </c>
      <c r="E2489" s="9" t="n">
        <v>19497.92</v>
      </c>
      <c r="F2489" s="8" t="n">
        <v>45779</v>
      </c>
      <c r="G2489" s="9" t="n">
        <v>19497.92</v>
      </c>
      <c r="H2489" t="inlineStr">
        <is>
          <t>PAID_ON_TIME</t>
        </is>
      </c>
      <c r="I2489">
        <f>IF(H2489="UNPAID", AsOfDate-D2489, 0)</f>
        <v/>
      </c>
      <c r="J2489">
        <f>IF(F2489&lt;&gt;"", TEXT(F2489, "yyyy-mm"), "")</f>
        <v/>
      </c>
    </row>
    <row r="2490">
      <c r="A2490" t="inlineStr">
        <is>
          <t>RP0002489</t>
        </is>
      </c>
      <c r="B2490" t="inlineStr">
        <is>
          <t>LN200359</t>
        </is>
      </c>
      <c r="C2490" t="n">
        <v>2</v>
      </c>
      <c r="D2490" s="8" t="n">
        <v>45811</v>
      </c>
      <c r="E2490" s="9" t="n">
        <v>19497.92</v>
      </c>
      <c r="F2490" s="8" t="n">
        <v>45811</v>
      </c>
      <c r="G2490" s="9" t="n">
        <v>19497.92</v>
      </c>
      <c r="H2490" t="inlineStr">
        <is>
          <t>PAID_ON_TIME</t>
        </is>
      </c>
      <c r="I2490">
        <f>IF(H2490="UNPAID", AsOfDate-D2490, 0)</f>
        <v/>
      </c>
      <c r="J2490">
        <f>IF(F2490&lt;&gt;"", TEXT(F2490, "yyyy-mm"), "")</f>
        <v/>
      </c>
    </row>
    <row r="2491">
      <c r="A2491" t="inlineStr">
        <is>
          <t>RP0002490</t>
        </is>
      </c>
      <c r="B2491" t="inlineStr">
        <is>
          <t>LN200359</t>
        </is>
      </c>
      <c r="C2491" t="n">
        <v>3</v>
      </c>
      <c r="D2491" s="8" t="n">
        <v>45841</v>
      </c>
      <c r="E2491" s="9" t="n">
        <v>19497.92</v>
      </c>
      <c r="F2491" s="8" t="n">
        <v>45841</v>
      </c>
      <c r="G2491" s="9" t="n">
        <v>19497.92</v>
      </c>
      <c r="H2491" t="inlineStr">
        <is>
          <t>PAID_ON_TIME</t>
        </is>
      </c>
      <c r="I2491">
        <f>IF(H2491="UNPAID", AsOfDate-D2491, 0)</f>
        <v/>
      </c>
      <c r="J2491">
        <f>IF(F2491&lt;&gt;"", TEXT(F2491, "yyyy-mm"), "")</f>
        <v/>
      </c>
    </row>
    <row r="2492">
      <c r="A2492" t="inlineStr">
        <is>
          <t>RP0002491</t>
        </is>
      </c>
      <c r="B2492" t="inlineStr">
        <is>
          <t>LN200359</t>
        </is>
      </c>
      <c r="C2492" t="n">
        <v>4</v>
      </c>
      <c r="D2492" s="8" t="n">
        <v>45872</v>
      </c>
      <c r="E2492" s="9" t="n">
        <v>19497.92</v>
      </c>
      <c r="F2492" s="8" t="n">
        <v>45876</v>
      </c>
      <c r="G2492" s="9" t="n">
        <v>19497.92</v>
      </c>
      <c r="H2492" t="inlineStr">
        <is>
          <t>PAID_ON_TIME</t>
        </is>
      </c>
      <c r="I2492">
        <f>IF(H2492="UNPAID", AsOfDate-D2492, 0)</f>
        <v/>
      </c>
      <c r="J2492">
        <f>IF(F2492&lt;&gt;"", TEXT(F2492, "yyyy-mm"), "")</f>
        <v/>
      </c>
    </row>
    <row r="2493">
      <c r="A2493" t="inlineStr">
        <is>
          <t>RP0002492</t>
        </is>
      </c>
      <c r="B2493" t="inlineStr">
        <is>
          <t>LN200359</t>
        </is>
      </c>
      <c r="C2493" t="n">
        <v>5</v>
      </c>
      <c r="D2493" s="8" t="n">
        <v>45903</v>
      </c>
      <c r="E2493" s="9" t="n">
        <v>19497.92</v>
      </c>
      <c r="F2493" s="8" t="n">
        <v>45906</v>
      </c>
      <c r="G2493" s="9" t="n">
        <v>19497.92</v>
      </c>
      <c r="H2493" t="inlineStr">
        <is>
          <t>PAID_ON_TIME</t>
        </is>
      </c>
      <c r="I2493">
        <f>IF(H2493="UNPAID", AsOfDate-D2493, 0)</f>
        <v/>
      </c>
      <c r="J2493">
        <f>IF(F2493&lt;&gt;"", TEXT(F2493, "yyyy-mm"), "")</f>
        <v/>
      </c>
    </row>
    <row r="2494">
      <c r="A2494" t="inlineStr">
        <is>
          <t>RP0002493</t>
        </is>
      </c>
      <c r="B2494" t="inlineStr">
        <is>
          <t>LN200359</t>
        </is>
      </c>
      <c r="C2494" t="n">
        <v>6</v>
      </c>
      <c r="D2494" s="8" t="n">
        <v>45933</v>
      </c>
      <c r="E2494" s="9" t="n">
        <v>19497.92</v>
      </c>
      <c r="F2494" s="8" t="n">
        <v>45931</v>
      </c>
      <c r="G2494" s="9" t="n">
        <v>19497.92</v>
      </c>
      <c r="H2494" t="inlineStr">
        <is>
          <t>PAID_ON_TIME</t>
        </is>
      </c>
      <c r="I2494">
        <f>IF(H2494="UNPAID", AsOfDate-D2494, 0)</f>
        <v/>
      </c>
      <c r="J2494">
        <f>IF(F2494&lt;&gt;"", TEXT(F2494, "yyyy-mm"), "")</f>
        <v/>
      </c>
    </row>
    <row r="2495">
      <c r="A2495" t="inlineStr">
        <is>
          <t>RP0002494</t>
        </is>
      </c>
      <c r="B2495" t="inlineStr">
        <is>
          <t>LN200359</t>
        </is>
      </c>
      <c r="C2495" t="n">
        <v>7</v>
      </c>
      <c r="D2495" s="8" t="n">
        <v>45964</v>
      </c>
      <c r="E2495" s="9" t="n">
        <v>19497.92</v>
      </c>
      <c r="F2495" s="8" t="n">
        <v>45961</v>
      </c>
      <c r="G2495" s="9" t="n">
        <v>19497.92</v>
      </c>
      <c r="H2495" t="inlineStr">
        <is>
          <t>PAID_ON_TIME</t>
        </is>
      </c>
      <c r="I2495">
        <f>IF(H2495="UNPAID", AsOfDate-D2495, 0)</f>
        <v/>
      </c>
      <c r="J2495">
        <f>IF(F2495&lt;&gt;"", TEXT(F2495, "yyyy-mm"), "")</f>
        <v/>
      </c>
    </row>
    <row r="2496">
      <c r="A2496" t="inlineStr">
        <is>
          <t>RP0002495</t>
        </is>
      </c>
      <c r="B2496" t="inlineStr">
        <is>
          <t>LN200359</t>
        </is>
      </c>
      <c r="C2496" t="n">
        <v>8</v>
      </c>
      <c r="D2496" s="8" t="n">
        <v>45994</v>
      </c>
      <c r="E2496" s="9" t="n">
        <v>19497.92</v>
      </c>
      <c r="F2496" s="8" t="n">
        <v>46085</v>
      </c>
      <c r="G2496" s="9" t="n">
        <v>19497.92</v>
      </c>
      <c r="H2496" t="inlineStr">
        <is>
          <t>PAID_LATE</t>
        </is>
      </c>
      <c r="I2496">
        <f>IF(H2496="UNPAID", AsOfDate-D2496, 0)</f>
        <v/>
      </c>
      <c r="J2496">
        <f>IF(F2496&lt;&gt;"", TEXT(F2496, "yyyy-mm"), "")</f>
        <v/>
      </c>
    </row>
    <row r="2497">
      <c r="A2497" t="inlineStr">
        <is>
          <t>RP0002496</t>
        </is>
      </c>
      <c r="B2497" t="inlineStr">
        <is>
          <t>LN200359</t>
        </is>
      </c>
      <c r="C2497" t="n">
        <v>9</v>
      </c>
      <c r="D2497" s="8" t="n">
        <v>46025</v>
      </c>
      <c r="E2497" s="9" t="n">
        <v>19497.92</v>
      </c>
      <c r="F2497" s="8" t="n">
        <v>46026</v>
      </c>
      <c r="G2497" s="9" t="n">
        <v>19497.92</v>
      </c>
      <c r="H2497" t="inlineStr">
        <is>
          <t>PAID_ON_TIME</t>
        </is>
      </c>
      <c r="I2497">
        <f>IF(H2497="UNPAID", AsOfDate-D2497, 0)</f>
        <v/>
      </c>
      <c r="J2497">
        <f>IF(F2497&lt;&gt;"", TEXT(F2497, "yyyy-mm"), "")</f>
        <v/>
      </c>
    </row>
    <row r="2498">
      <c r="A2498" t="inlineStr">
        <is>
          <t>RP0002497</t>
        </is>
      </c>
      <c r="B2498" t="inlineStr">
        <is>
          <t>LN200359</t>
        </is>
      </c>
      <c r="C2498" t="n">
        <v>10</v>
      </c>
      <c r="D2498" s="8" t="n">
        <v>46056</v>
      </c>
      <c r="E2498" s="9" t="n">
        <v>19497.92</v>
      </c>
      <c r="F2498" s="8" t="n">
        <v>46058</v>
      </c>
      <c r="G2498" s="9" t="n">
        <v>19497.92</v>
      </c>
      <c r="H2498" t="inlineStr">
        <is>
          <t>PAID_ON_TIME</t>
        </is>
      </c>
      <c r="I2498">
        <f>IF(H2498="UNPAID", AsOfDate-D2498, 0)</f>
        <v/>
      </c>
      <c r="J2498">
        <f>IF(F2498&lt;&gt;"", TEXT(F2498, "yyyy-mm"), "")</f>
        <v/>
      </c>
    </row>
    <row r="2499">
      <c r="A2499" t="inlineStr">
        <is>
          <t>RP0002498</t>
        </is>
      </c>
      <c r="B2499" t="inlineStr">
        <is>
          <t>LN200359</t>
        </is>
      </c>
      <c r="C2499" t="n">
        <v>11</v>
      </c>
      <c r="D2499" s="8" t="n">
        <v>46084</v>
      </c>
      <c r="E2499" s="9" t="n">
        <v>19497.92</v>
      </c>
      <c r="F2499" s="8" t="n">
        <v>46082</v>
      </c>
      <c r="G2499" s="9" t="n">
        <v>19497.92</v>
      </c>
      <c r="H2499" t="inlineStr">
        <is>
          <t>PAID_ON_TIME</t>
        </is>
      </c>
      <c r="I2499">
        <f>IF(H2499="UNPAID", AsOfDate-D2499, 0)</f>
        <v/>
      </c>
      <c r="J2499">
        <f>IF(F2499&lt;&gt;"", TEXT(F2499, "yyyy-mm"), "")</f>
        <v/>
      </c>
    </row>
    <row r="2500">
      <c r="A2500" t="inlineStr">
        <is>
          <t>RP0002499</t>
        </is>
      </c>
      <c r="B2500" t="inlineStr">
        <is>
          <t>LN200359</t>
        </is>
      </c>
      <c r="C2500" t="n">
        <v>12</v>
      </c>
      <c r="D2500" s="8" t="n">
        <v>46115</v>
      </c>
      <c r="E2500" s="9" t="n">
        <v>19497.92</v>
      </c>
      <c r="F2500" s="8" t="n">
        <v>46113</v>
      </c>
      <c r="G2500" s="9" t="n">
        <v>19497.92</v>
      </c>
      <c r="H2500" t="inlineStr">
        <is>
          <t>PAID_ON_TIME</t>
        </is>
      </c>
      <c r="I2500">
        <f>IF(H2500="UNPAID", AsOfDate-D2500, 0)</f>
        <v/>
      </c>
      <c r="J2500">
        <f>IF(F2500&lt;&gt;"", TEXT(F2500, "yyyy-mm"), "")</f>
        <v/>
      </c>
    </row>
    <row r="2501">
      <c r="A2501" t="inlineStr">
        <is>
          <t>RP0002500</t>
        </is>
      </c>
      <c r="B2501" t="inlineStr">
        <is>
          <t>LN200360</t>
        </is>
      </c>
      <c r="C2501" t="n">
        <v>1</v>
      </c>
      <c r="D2501" s="8" t="n">
        <v>45777</v>
      </c>
      <c r="E2501" s="9" t="n">
        <v>17680</v>
      </c>
      <c r="F2501" s="8" t="n">
        <v>45778</v>
      </c>
      <c r="G2501" s="9" t="n">
        <v>17680</v>
      </c>
      <c r="H2501" t="inlineStr">
        <is>
          <t>PAID_ON_TIME</t>
        </is>
      </c>
      <c r="I2501">
        <f>IF(H2501="UNPAID", AsOfDate-D2501, 0)</f>
        <v/>
      </c>
      <c r="J2501">
        <f>IF(F2501&lt;&gt;"", TEXT(F2501, "yyyy-mm"), "")</f>
        <v/>
      </c>
    </row>
    <row r="2502">
      <c r="A2502" t="inlineStr">
        <is>
          <t>RP0002501</t>
        </is>
      </c>
      <c r="B2502" t="inlineStr">
        <is>
          <t>LN200360</t>
        </is>
      </c>
      <c r="C2502" t="n">
        <v>2</v>
      </c>
      <c r="D2502" s="8" t="n">
        <v>45807</v>
      </c>
      <c r="E2502" s="9" t="n">
        <v>17680</v>
      </c>
      <c r="F2502" s="8" t="n">
        <v>45874</v>
      </c>
      <c r="G2502" s="9" t="n">
        <v>17680</v>
      </c>
      <c r="H2502" t="inlineStr">
        <is>
          <t>PAID_LATE</t>
        </is>
      </c>
      <c r="I2502">
        <f>IF(H2502="UNPAID", AsOfDate-D2502, 0)</f>
        <v/>
      </c>
      <c r="J2502">
        <f>IF(F2502&lt;&gt;"", TEXT(F2502, "yyyy-mm"), "")</f>
        <v/>
      </c>
    </row>
    <row r="2503">
      <c r="A2503" t="inlineStr">
        <is>
          <t>RP0002502</t>
        </is>
      </c>
      <c r="B2503" t="inlineStr">
        <is>
          <t>LN200360</t>
        </is>
      </c>
      <c r="C2503" t="n">
        <v>3</v>
      </c>
      <c r="D2503" s="8" t="n">
        <v>45838</v>
      </c>
      <c r="E2503" s="9" t="n">
        <v>17680</v>
      </c>
      <c r="F2503" s="8" t="n">
        <v>45839</v>
      </c>
      <c r="G2503" s="9" t="n">
        <v>17680</v>
      </c>
      <c r="H2503" t="inlineStr">
        <is>
          <t>PAID_ON_TIME</t>
        </is>
      </c>
      <c r="I2503">
        <f>IF(H2503="UNPAID", AsOfDate-D2503, 0)</f>
        <v/>
      </c>
      <c r="J2503">
        <f>IF(F2503&lt;&gt;"", TEXT(F2503, "yyyy-mm"), "")</f>
        <v/>
      </c>
    </row>
    <row r="2504">
      <c r="A2504" t="inlineStr">
        <is>
          <t>RP0002503</t>
        </is>
      </c>
      <c r="B2504" t="inlineStr">
        <is>
          <t>LN200360</t>
        </is>
      </c>
      <c r="C2504" t="n">
        <v>4</v>
      </c>
      <c r="D2504" s="8" t="n">
        <v>45868</v>
      </c>
      <c r="E2504" s="9" t="n">
        <v>17680</v>
      </c>
      <c r="F2504" s="8" t="n">
        <v>45908</v>
      </c>
      <c r="G2504" s="9" t="n">
        <v>17680</v>
      </c>
      <c r="H2504" t="inlineStr">
        <is>
          <t>PAID_LATE</t>
        </is>
      </c>
      <c r="I2504">
        <f>IF(H2504="UNPAID", AsOfDate-D2504, 0)</f>
        <v/>
      </c>
      <c r="J2504">
        <f>IF(F2504&lt;&gt;"", TEXT(F2504, "yyyy-mm"), "")</f>
        <v/>
      </c>
    </row>
    <row r="2505">
      <c r="A2505" t="inlineStr">
        <is>
          <t>RP0002504</t>
        </is>
      </c>
      <c r="B2505" t="inlineStr">
        <is>
          <t>LN200360</t>
        </is>
      </c>
      <c r="C2505" t="n">
        <v>5</v>
      </c>
      <c r="D2505" s="8" t="n">
        <v>45899</v>
      </c>
      <c r="E2505" s="9" t="n">
        <v>17680</v>
      </c>
      <c r="F2505" s="8" t="n">
        <v>45901</v>
      </c>
      <c r="G2505" s="9" t="n">
        <v>17680</v>
      </c>
      <c r="H2505" t="inlineStr">
        <is>
          <t>PAID_ON_TIME</t>
        </is>
      </c>
      <c r="I2505">
        <f>IF(H2505="UNPAID", AsOfDate-D2505, 0)</f>
        <v/>
      </c>
      <c r="J2505">
        <f>IF(F2505&lt;&gt;"", TEXT(F2505, "yyyy-mm"), "")</f>
        <v/>
      </c>
    </row>
    <row r="2506">
      <c r="A2506" t="inlineStr">
        <is>
          <t>RP0002505</t>
        </is>
      </c>
      <c r="B2506" t="inlineStr">
        <is>
          <t>LN200360</t>
        </is>
      </c>
      <c r="C2506" t="n">
        <v>6</v>
      </c>
      <c r="D2506" s="8" t="n">
        <v>45930</v>
      </c>
      <c r="E2506" s="9" t="n">
        <v>17680</v>
      </c>
      <c r="F2506" s="8" t="n">
        <v>45927</v>
      </c>
      <c r="G2506" s="9" t="n">
        <v>17680</v>
      </c>
      <c r="H2506" t="inlineStr">
        <is>
          <t>PAID_ON_TIME</t>
        </is>
      </c>
      <c r="I2506">
        <f>IF(H2506="UNPAID", AsOfDate-D2506, 0)</f>
        <v/>
      </c>
      <c r="J2506">
        <f>IF(F2506&lt;&gt;"", TEXT(F2506, "yyyy-mm"), "")</f>
        <v/>
      </c>
    </row>
    <row r="2507">
      <c r="A2507" t="inlineStr">
        <is>
          <t>RP0002506</t>
        </is>
      </c>
      <c r="B2507" t="inlineStr">
        <is>
          <t>LN200361</t>
        </is>
      </c>
      <c r="C2507" t="n">
        <v>1</v>
      </c>
      <c r="D2507" s="8" t="n">
        <v>46000</v>
      </c>
      <c r="E2507" s="9" t="n">
        <v>4467.44</v>
      </c>
      <c r="F2507" s="8" t="n">
        <v>46003</v>
      </c>
      <c r="G2507" s="9" t="n">
        <v>4467.44</v>
      </c>
      <c r="H2507" t="inlineStr">
        <is>
          <t>PAID_ON_TIME</t>
        </is>
      </c>
      <c r="I2507">
        <f>IF(H2507="UNPAID", AsOfDate-D2507, 0)</f>
        <v/>
      </c>
      <c r="J2507">
        <f>IF(F2507&lt;&gt;"", TEXT(F2507, "yyyy-mm"), "")</f>
        <v/>
      </c>
    </row>
    <row r="2508">
      <c r="A2508" t="inlineStr">
        <is>
          <t>RP0002507</t>
        </is>
      </c>
      <c r="B2508" t="inlineStr">
        <is>
          <t>LN200361</t>
        </is>
      </c>
      <c r="C2508" t="n">
        <v>2</v>
      </c>
      <c r="D2508" s="8" t="n">
        <v>46031</v>
      </c>
      <c r="E2508" s="9" t="n">
        <v>4467.44</v>
      </c>
      <c r="F2508" s="8" t="n">
        <v>46028</v>
      </c>
      <c r="G2508" s="9" t="n">
        <v>4467.44</v>
      </c>
      <c r="H2508" t="inlineStr">
        <is>
          <t>PAID_ON_TIME</t>
        </is>
      </c>
      <c r="I2508">
        <f>IF(H2508="UNPAID", AsOfDate-D2508, 0)</f>
        <v/>
      </c>
      <c r="J2508">
        <f>IF(F2508&lt;&gt;"", TEXT(F2508, "yyyy-mm"), "")</f>
        <v/>
      </c>
    </row>
    <row r="2509">
      <c r="A2509" t="inlineStr">
        <is>
          <t>RP0002508</t>
        </is>
      </c>
      <c r="B2509" t="inlineStr">
        <is>
          <t>LN200361</t>
        </is>
      </c>
      <c r="C2509" t="n">
        <v>3</v>
      </c>
      <c r="D2509" s="8" t="n">
        <v>46062</v>
      </c>
      <c r="E2509" s="9" t="n">
        <v>4467.44</v>
      </c>
      <c r="F2509" s="8" t="n">
        <v>46175</v>
      </c>
      <c r="G2509" s="9" t="n">
        <v>4467.44</v>
      </c>
      <c r="H2509" t="inlineStr">
        <is>
          <t>PAID_LATE</t>
        </is>
      </c>
      <c r="I2509">
        <f>IF(H2509="UNPAID", AsOfDate-D2509, 0)</f>
        <v/>
      </c>
      <c r="J2509">
        <f>IF(F2509&lt;&gt;"", TEXT(F2509, "yyyy-mm"), "")</f>
        <v/>
      </c>
    </row>
    <row r="2510">
      <c r="A2510" t="inlineStr">
        <is>
          <t>RP0002509</t>
        </is>
      </c>
      <c r="B2510" t="inlineStr">
        <is>
          <t>LN200361</t>
        </is>
      </c>
      <c r="C2510" t="n">
        <v>4</v>
      </c>
      <c r="D2510" s="8" t="n">
        <v>46090</v>
      </c>
      <c r="E2510" s="9" t="n">
        <v>4467.44</v>
      </c>
      <c r="F2510" s="8" t="n">
        <v>46094</v>
      </c>
      <c r="G2510" s="9" t="n">
        <v>4467.44</v>
      </c>
      <c r="H2510" t="inlineStr">
        <is>
          <t>PAID_ON_TIME</t>
        </is>
      </c>
      <c r="I2510">
        <f>IF(H2510="UNPAID", AsOfDate-D2510, 0)</f>
        <v/>
      </c>
      <c r="J2510">
        <f>IF(F2510&lt;&gt;"", TEXT(F2510, "yyyy-mm"), "")</f>
        <v/>
      </c>
    </row>
    <row r="2511">
      <c r="A2511" t="inlineStr">
        <is>
          <t>RP0002510</t>
        </is>
      </c>
      <c r="B2511" t="inlineStr">
        <is>
          <t>LN200361</t>
        </is>
      </c>
      <c r="C2511" t="n">
        <v>5</v>
      </c>
      <c r="D2511" s="8" t="n">
        <v>46121</v>
      </c>
      <c r="E2511" s="9" t="n">
        <v>4467.44</v>
      </c>
      <c r="F2511" s="8" t="n">
        <v>46214</v>
      </c>
      <c r="G2511" s="9" t="n">
        <v>4467.44</v>
      </c>
      <c r="H2511" t="inlineStr">
        <is>
          <t>PAID_LATE</t>
        </is>
      </c>
      <c r="I2511">
        <f>IF(H2511="UNPAID", AsOfDate-D2511, 0)</f>
        <v/>
      </c>
      <c r="J2511">
        <f>IF(F2511&lt;&gt;"", TEXT(F2511, "yyyy-mm"), "")</f>
        <v/>
      </c>
    </row>
    <row r="2512">
      <c r="A2512" t="inlineStr">
        <is>
          <t>RP0002511</t>
        </is>
      </c>
      <c r="B2512" t="inlineStr">
        <is>
          <t>LN200361</t>
        </is>
      </c>
      <c r="C2512" t="n">
        <v>6</v>
      </c>
      <c r="D2512" s="8" t="n">
        <v>46151</v>
      </c>
      <c r="E2512" s="9" t="n">
        <v>4467.44</v>
      </c>
      <c r="F2512" s="8" t="n">
        <v>46153</v>
      </c>
      <c r="G2512" s="9" t="n">
        <v>4467.44</v>
      </c>
      <c r="H2512" t="inlineStr">
        <is>
          <t>PAID_ON_TIME</t>
        </is>
      </c>
      <c r="I2512">
        <f>IF(H2512="UNPAID", AsOfDate-D2512, 0)</f>
        <v/>
      </c>
      <c r="J2512">
        <f>IF(F2512&lt;&gt;"", TEXT(F2512, "yyyy-mm"), "")</f>
        <v/>
      </c>
    </row>
    <row r="2513">
      <c r="A2513" t="inlineStr">
        <is>
          <t>RP0002512</t>
        </is>
      </c>
      <c r="B2513" t="inlineStr">
        <is>
          <t>LN200361</t>
        </is>
      </c>
      <c r="C2513" t="n">
        <v>7</v>
      </c>
      <c r="D2513" s="8" t="n">
        <v>46182</v>
      </c>
      <c r="E2513" s="9" t="n">
        <v>4467.44</v>
      </c>
      <c r="F2513" s="8" t="n">
        <v>46179</v>
      </c>
      <c r="G2513" s="9" t="n">
        <v>4467.44</v>
      </c>
      <c r="H2513" t="inlineStr">
        <is>
          <t>PAID_ON_TIME</t>
        </is>
      </c>
      <c r="I2513">
        <f>IF(H2513="UNPAID", AsOfDate-D2513, 0)</f>
        <v/>
      </c>
      <c r="J2513">
        <f>IF(F2513&lt;&gt;"", TEXT(F2513, "yyyy-mm"), "")</f>
        <v/>
      </c>
    </row>
    <row r="2514">
      <c r="A2514" t="inlineStr">
        <is>
          <t>RP0002513</t>
        </is>
      </c>
      <c r="B2514" t="inlineStr">
        <is>
          <t>LN200361</t>
        </is>
      </c>
      <c r="C2514" t="n">
        <v>8</v>
      </c>
      <c r="D2514" s="8" t="n">
        <v>46212</v>
      </c>
      <c r="E2514" s="9" t="n">
        <v>4467.44</v>
      </c>
      <c r="F2514" s="8" t="n">
        <v>46213</v>
      </c>
      <c r="G2514" s="9" t="n">
        <v>4467.44</v>
      </c>
      <c r="H2514" t="inlineStr">
        <is>
          <t>PAID_ON_TIME</t>
        </is>
      </c>
      <c r="I2514">
        <f>IF(H2514="UNPAID", AsOfDate-D2514, 0)</f>
        <v/>
      </c>
      <c r="J2514">
        <f>IF(F2514&lt;&gt;"", TEXT(F2514, "yyyy-mm"), "")</f>
        <v/>
      </c>
    </row>
    <row r="2515">
      <c r="A2515" t="inlineStr">
        <is>
          <t>RP0002514</t>
        </is>
      </c>
      <c r="B2515" t="inlineStr">
        <is>
          <t>LN200361</t>
        </is>
      </c>
      <c r="C2515" t="n">
        <v>9</v>
      </c>
      <c r="D2515" s="8" t="n">
        <v>46243</v>
      </c>
      <c r="E2515" s="9" t="n">
        <v>4467.44</v>
      </c>
      <c r="F2515" s="8" t="n">
        <v>46242</v>
      </c>
      <c r="G2515" s="9" t="n">
        <v>4467.44</v>
      </c>
      <c r="H2515" t="inlineStr">
        <is>
          <t>PAID_ON_TIME</t>
        </is>
      </c>
      <c r="I2515">
        <f>IF(H2515="UNPAID", AsOfDate-D2515, 0)</f>
        <v/>
      </c>
      <c r="J2515">
        <f>IF(F2515&lt;&gt;"", TEXT(F2515, "yyyy-mm"), "")</f>
        <v/>
      </c>
    </row>
    <row r="2516">
      <c r="A2516" t="inlineStr">
        <is>
          <t>RP0002515</t>
        </is>
      </c>
      <c r="B2516" t="inlineStr">
        <is>
          <t>LN200361</t>
        </is>
      </c>
      <c r="C2516" t="n">
        <v>10</v>
      </c>
      <c r="D2516" s="8" t="n">
        <v>46274</v>
      </c>
      <c r="E2516" s="9" t="n">
        <v>4467.44</v>
      </c>
      <c r="F2516" s="8" t="n"/>
      <c r="G2516" s="9" t="n">
        <v>0</v>
      </c>
      <c r="H2516" t="inlineStr">
        <is>
          <t>NOT_DUE</t>
        </is>
      </c>
      <c r="I2516">
        <f>IF(H2516="UNPAID", AsOfDate-D2516, 0)</f>
        <v/>
      </c>
      <c r="J2516">
        <f>IF(F2516&lt;&gt;"", TEXT(F2516, "yyyy-mm"), "")</f>
        <v/>
      </c>
    </row>
    <row r="2517">
      <c r="A2517" t="inlineStr">
        <is>
          <t>RP0002516</t>
        </is>
      </c>
      <c r="B2517" t="inlineStr">
        <is>
          <t>LN200361</t>
        </is>
      </c>
      <c r="C2517" t="n">
        <v>11</v>
      </c>
      <c r="D2517" s="8" t="n">
        <v>46304</v>
      </c>
      <c r="E2517" s="9" t="n">
        <v>4467.44</v>
      </c>
      <c r="F2517" s="8" t="n"/>
      <c r="G2517" s="9" t="n">
        <v>0</v>
      </c>
      <c r="H2517" t="inlineStr">
        <is>
          <t>NOT_DUE</t>
        </is>
      </c>
      <c r="I2517">
        <f>IF(H2517="UNPAID", AsOfDate-D2517, 0)</f>
        <v/>
      </c>
      <c r="J2517">
        <f>IF(F2517&lt;&gt;"", TEXT(F2517, "yyyy-mm"), "")</f>
        <v/>
      </c>
    </row>
    <row r="2518">
      <c r="A2518" t="inlineStr">
        <is>
          <t>RP0002517</t>
        </is>
      </c>
      <c r="B2518" t="inlineStr">
        <is>
          <t>LN200361</t>
        </is>
      </c>
      <c r="C2518" t="n">
        <v>12</v>
      </c>
      <c r="D2518" s="8" t="n">
        <v>46335</v>
      </c>
      <c r="E2518" s="9" t="n">
        <v>4467.44</v>
      </c>
      <c r="F2518" s="8" t="n"/>
      <c r="G2518" s="9" t="n">
        <v>0</v>
      </c>
      <c r="H2518" t="inlineStr">
        <is>
          <t>NOT_DUE</t>
        </is>
      </c>
      <c r="I2518">
        <f>IF(H2518="UNPAID", AsOfDate-D2518, 0)</f>
        <v/>
      </c>
      <c r="J2518">
        <f>IF(F2518&lt;&gt;"", TEXT(F2518, "yyyy-mm"), "")</f>
        <v/>
      </c>
    </row>
    <row r="2519">
      <c r="A2519" t="inlineStr">
        <is>
          <t>RP0002518</t>
        </is>
      </c>
      <c r="B2519" t="inlineStr">
        <is>
          <t>LN200361</t>
        </is>
      </c>
      <c r="C2519" t="n">
        <v>13</v>
      </c>
      <c r="D2519" s="8" t="n">
        <v>46365</v>
      </c>
      <c r="E2519" s="9" t="n">
        <v>4467.44</v>
      </c>
      <c r="F2519" s="8" t="n"/>
      <c r="G2519" s="9" t="n">
        <v>0</v>
      </c>
      <c r="H2519" t="inlineStr">
        <is>
          <t>NOT_DUE</t>
        </is>
      </c>
      <c r="I2519">
        <f>IF(H2519="UNPAID", AsOfDate-D2519, 0)</f>
        <v/>
      </c>
      <c r="J2519">
        <f>IF(F2519&lt;&gt;"", TEXT(F2519, "yyyy-mm"), "")</f>
        <v/>
      </c>
    </row>
    <row r="2520">
      <c r="A2520" t="inlineStr">
        <is>
          <t>RP0002519</t>
        </is>
      </c>
      <c r="B2520" t="inlineStr">
        <is>
          <t>LN200361</t>
        </is>
      </c>
      <c r="C2520" t="n">
        <v>14</v>
      </c>
      <c r="D2520" s="8" t="n">
        <v>46396</v>
      </c>
      <c r="E2520" s="9" t="n">
        <v>4467.44</v>
      </c>
      <c r="F2520" s="8" t="n"/>
      <c r="G2520" s="9" t="n">
        <v>0</v>
      </c>
      <c r="H2520" t="inlineStr">
        <is>
          <t>NOT_DUE</t>
        </is>
      </c>
      <c r="I2520">
        <f>IF(H2520="UNPAID", AsOfDate-D2520, 0)</f>
        <v/>
      </c>
      <c r="J2520">
        <f>IF(F2520&lt;&gt;"", TEXT(F2520, "yyyy-mm"), "")</f>
        <v/>
      </c>
    </row>
    <row r="2521">
      <c r="A2521" t="inlineStr">
        <is>
          <t>RP0002520</t>
        </is>
      </c>
      <c r="B2521" t="inlineStr">
        <is>
          <t>LN200361</t>
        </is>
      </c>
      <c r="C2521" t="n">
        <v>15</v>
      </c>
      <c r="D2521" s="8" t="n">
        <v>46427</v>
      </c>
      <c r="E2521" s="9" t="n">
        <v>4467.44</v>
      </c>
      <c r="F2521" s="8" t="n"/>
      <c r="G2521" s="9" t="n">
        <v>0</v>
      </c>
      <c r="H2521" t="inlineStr">
        <is>
          <t>NOT_DUE</t>
        </is>
      </c>
      <c r="I2521">
        <f>IF(H2521="UNPAID", AsOfDate-D2521, 0)</f>
        <v/>
      </c>
      <c r="J2521">
        <f>IF(F2521&lt;&gt;"", TEXT(F2521, "yyyy-mm"), "")</f>
        <v/>
      </c>
    </row>
    <row r="2522">
      <c r="A2522" t="inlineStr">
        <is>
          <t>RP0002521</t>
        </is>
      </c>
      <c r="B2522" t="inlineStr">
        <is>
          <t>LN200361</t>
        </is>
      </c>
      <c r="C2522" t="n">
        <v>16</v>
      </c>
      <c r="D2522" s="8" t="n">
        <v>46455</v>
      </c>
      <c r="E2522" s="9" t="n">
        <v>4467.44</v>
      </c>
      <c r="F2522" s="8" t="n"/>
      <c r="G2522" s="9" t="n">
        <v>0</v>
      </c>
      <c r="H2522" t="inlineStr">
        <is>
          <t>NOT_DUE</t>
        </is>
      </c>
      <c r="I2522">
        <f>IF(H2522="UNPAID", AsOfDate-D2522, 0)</f>
        <v/>
      </c>
      <c r="J2522">
        <f>IF(F2522&lt;&gt;"", TEXT(F2522, "yyyy-mm"), "")</f>
        <v/>
      </c>
    </row>
    <row r="2523">
      <c r="A2523" t="inlineStr">
        <is>
          <t>RP0002522</t>
        </is>
      </c>
      <c r="B2523" t="inlineStr">
        <is>
          <t>LN200361</t>
        </is>
      </c>
      <c r="C2523" t="n">
        <v>17</v>
      </c>
      <c r="D2523" s="8" t="n">
        <v>46486</v>
      </c>
      <c r="E2523" s="9" t="n">
        <v>4467.44</v>
      </c>
      <c r="F2523" s="8" t="n"/>
      <c r="G2523" s="9" t="n">
        <v>0</v>
      </c>
      <c r="H2523" t="inlineStr">
        <is>
          <t>NOT_DUE</t>
        </is>
      </c>
      <c r="I2523">
        <f>IF(H2523="UNPAID", AsOfDate-D2523, 0)</f>
        <v/>
      </c>
      <c r="J2523">
        <f>IF(F2523&lt;&gt;"", TEXT(F2523, "yyyy-mm"), "")</f>
        <v/>
      </c>
    </row>
    <row r="2524">
      <c r="A2524" t="inlineStr">
        <is>
          <t>RP0002523</t>
        </is>
      </c>
      <c r="B2524" t="inlineStr">
        <is>
          <t>LN200361</t>
        </is>
      </c>
      <c r="C2524" t="n">
        <v>18</v>
      </c>
      <c r="D2524" s="8" t="n">
        <v>46516</v>
      </c>
      <c r="E2524" s="9" t="n">
        <v>4467.44</v>
      </c>
      <c r="F2524" s="8" t="n"/>
      <c r="G2524" s="9" t="n">
        <v>0</v>
      </c>
      <c r="H2524" t="inlineStr">
        <is>
          <t>NOT_DUE</t>
        </is>
      </c>
      <c r="I2524">
        <f>IF(H2524="UNPAID", AsOfDate-D2524, 0)</f>
        <v/>
      </c>
      <c r="J2524">
        <f>IF(F2524&lt;&gt;"", TEXT(F2524, "yyyy-mm"), "")</f>
        <v/>
      </c>
    </row>
    <row r="2525">
      <c r="A2525" t="inlineStr">
        <is>
          <t>RP0002524</t>
        </is>
      </c>
      <c r="B2525" t="inlineStr">
        <is>
          <t>LN200362</t>
        </is>
      </c>
      <c r="C2525" t="n">
        <v>1</v>
      </c>
      <c r="D2525" s="8" t="n">
        <v>46187</v>
      </c>
      <c r="E2525" s="9" t="n">
        <v>3785.25</v>
      </c>
      <c r="F2525" s="8" t="n">
        <v>46190</v>
      </c>
      <c r="G2525" s="9" t="n">
        <v>3785.25</v>
      </c>
      <c r="H2525" t="inlineStr">
        <is>
          <t>PAID_ON_TIME</t>
        </is>
      </c>
      <c r="I2525">
        <f>IF(H2525="UNPAID", AsOfDate-D2525, 0)</f>
        <v/>
      </c>
      <c r="J2525">
        <f>IF(F2525&lt;&gt;"", TEXT(F2525, "yyyy-mm"), "")</f>
        <v/>
      </c>
    </row>
    <row r="2526">
      <c r="A2526" t="inlineStr">
        <is>
          <t>RP0002525</t>
        </is>
      </c>
      <c r="B2526" t="inlineStr">
        <is>
          <t>LN200362</t>
        </is>
      </c>
      <c r="C2526" t="n">
        <v>2</v>
      </c>
      <c r="D2526" s="8" t="n">
        <v>46217</v>
      </c>
      <c r="E2526" s="9" t="n">
        <v>3785.25</v>
      </c>
      <c r="F2526" s="8" t="n">
        <v>46220</v>
      </c>
      <c r="G2526" s="9" t="n">
        <v>3785.25</v>
      </c>
      <c r="H2526" t="inlineStr">
        <is>
          <t>PAID_ON_TIME</t>
        </is>
      </c>
      <c r="I2526">
        <f>IF(H2526="UNPAID", AsOfDate-D2526, 0)</f>
        <v/>
      </c>
      <c r="J2526">
        <f>IF(F2526&lt;&gt;"", TEXT(F2526, "yyyy-mm"), "")</f>
        <v/>
      </c>
    </row>
    <row r="2527">
      <c r="A2527" t="inlineStr">
        <is>
          <t>RP0002526</t>
        </is>
      </c>
      <c r="B2527" t="inlineStr">
        <is>
          <t>LN200362</t>
        </is>
      </c>
      <c r="C2527" t="n">
        <v>3</v>
      </c>
      <c r="D2527" s="8" t="n">
        <v>46248</v>
      </c>
      <c r="E2527" s="9" t="n">
        <v>3785.25</v>
      </c>
      <c r="F2527" s="8" t="n">
        <v>46252</v>
      </c>
      <c r="G2527" s="9" t="n">
        <v>3785.25</v>
      </c>
      <c r="H2527" t="inlineStr">
        <is>
          <t>PAID_ON_TIME</t>
        </is>
      </c>
      <c r="I2527">
        <f>IF(H2527="UNPAID", AsOfDate-D2527, 0)</f>
        <v/>
      </c>
      <c r="J2527">
        <f>IF(F2527&lt;&gt;"", TEXT(F2527, "yyyy-mm"), "")</f>
        <v/>
      </c>
    </row>
    <row r="2528">
      <c r="A2528" t="inlineStr">
        <is>
          <t>RP0002527</t>
        </is>
      </c>
      <c r="B2528" t="inlineStr">
        <is>
          <t>LN200362</t>
        </is>
      </c>
      <c r="C2528" t="n">
        <v>4</v>
      </c>
      <c r="D2528" s="8" t="n">
        <v>46279</v>
      </c>
      <c r="E2528" s="9" t="n">
        <v>3785.25</v>
      </c>
      <c r="F2528" s="8" t="n"/>
      <c r="G2528" s="9" t="n">
        <v>0</v>
      </c>
      <c r="H2528" t="inlineStr">
        <is>
          <t>NOT_DUE</t>
        </is>
      </c>
      <c r="I2528">
        <f>IF(H2528="UNPAID", AsOfDate-D2528, 0)</f>
        <v/>
      </c>
      <c r="J2528">
        <f>IF(F2528&lt;&gt;"", TEXT(F2528, "yyyy-mm"), "")</f>
        <v/>
      </c>
    </row>
    <row r="2529">
      <c r="A2529" t="inlineStr">
        <is>
          <t>RP0002528</t>
        </is>
      </c>
      <c r="B2529" t="inlineStr">
        <is>
          <t>LN200362</t>
        </is>
      </c>
      <c r="C2529" t="n">
        <v>5</v>
      </c>
      <c r="D2529" s="8" t="n">
        <v>46309</v>
      </c>
      <c r="E2529" s="9" t="n">
        <v>3785.25</v>
      </c>
      <c r="F2529" s="8" t="n"/>
      <c r="G2529" s="9" t="n">
        <v>0</v>
      </c>
      <c r="H2529" t="inlineStr">
        <is>
          <t>NOT_DUE</t>
        </is>
      </c>
      <c r="I2529">
        <f>IF(H2529="UNPAID", AsOfDate-D2529, 0)</f>
        <v/>
      </c>
      <c r="J2529">
        <f>IF(F2529&lt;&gt;"", TEXT(F2529, "yyyy-mm"), "")</f>
        <v/>
      </c>
    </row>
    <row r="2530">
      <c r="A2530" t="inlineStr">
        <is>
          <t>RP0002529</t>
        </is>
      </c>
      <c r="B2530" t="inlineStr">
        <is>
          <t>LN200362</t>
        </is>
      </c>
      <c r="C2530" t="n">
        <v>6</v>
      </c>
      <c r="D2530" s="8" t="n">
        <v>46340</v>
      </c>
      <c r="E2530" s="9" t="n">
        <v>3785.25</v>
      </c>
      <c r="F2530" s="8" t="n"/>
      <c r="G2530" s="9" t="n">
        <v>0</v>
      </c>
      <c r="H2530" t="inlineStr">
        <is>
          <t>NOT_DUE</t>
        </is>
      </c>
      <c r="I2530">
        <f>IF(H2530="UNPAID", AsOfDate-D2530, 0)</f>
        <v/>
      </c>
      <c r="J2530">
        <f>IF(F2530&lt;&gt;"", TEXT(F2530, "yyyy-mm"), "")</f>
        <v/>
      </c>
    </row>
    <row r="2531">
      <c r="A2531" t="inlineStr">
        <is>
          <t>RP0002530</t>
        </is>
      </c>
      <c r="B2531" t="inlineStr">
        <is>
          <t>LN200364</t>
        </is>
      </c>
      <c r="C2531" t="n">
        <v>1</v>
      </c>
      <c r="D2531" s="8" t="n">
        <v>46113</v>
      </c>
      <c r="E2531" s="9" t="n">
        <v>9095.67</v>
      </c>
      <c r="F2531" s="8" t="n">
        <v>46112</v>
      </c>
      <c r="G2531" s="9" t="n">
        <v>9095.67</v>
      </c>
      <c r="H2531" t="inlineStr">
        <is>
          <t>PAID_ON_TIME</t>
        </is>
      </c>
      <c r="I2531">
        <f>IF(H2531="UNPAID", AsOfDate-D2531, 0)</f>
        <v/>
      </c>
      <c r="J2531">
        <f>IF(F2531&lt;&gt;"", TEXT(F2531, "yyyy-mm"), "")</f>
        <v/>
      </c>
    </row>
    <row r="2532">
      <c r="A2532" t="inlineStr">
        <is>
          <t>RP0002531</t>
        </is>
      </c>
      <c r="B2532" t="inlineStr">
        <is>
          <t>LN200364</t>
        </is>
      </c>
      <c r="C2532" t="n">
        <v>2</v>
      </c>
      <c r="D2532" s="8" t="n">
        <v>46143</v>
      </c>
      <c r="E2532" s="9" t="n">
        <v>9095.67</v>
      </c>
      <c r="F2532" s="8" t="n">
        <v>46145</v>
      </c>
      <c r="G2532" s="9" t="n">
        <v>9095.67</v>
      </c>
      <c r="H2532" t="inlineStr">
        <is>
          <t>PAID_ON_TIME</t>
        </is>
      </c>
      <c r="I2532">
        <f>IF(H2532="UNPAID", AsOfDate-D2532, 0)</f>
        <v/>
      </c>
      <c r="J2532">
        <f>IF(F2532&lt;&gt;"", TEXT(F2532, "yyyy-mm"), "")</f>
        <v/>
      </c>
    </row>
    <row r="2533">
      <c r="A2533" t="inlineStr">
        <is>
          <t>RP0002532</t>
        </is>
      </c>
      <c r="B2533" t="inlineStr">
        <is>
          <t>LN200364</t>
        </is>
      </c>
      <c r="C2533" t="n">
        <v>3</v>
      </c>
      <c r="D2533" s="8" t="n">
        <v>46174</v>
      </c>
      <c r="E2533" s="9" t="n">
        <v>9095.67</v>
      </c>
      <c r="F2533" s="8" t="n">
        <v>46174</v>
      </c>
      <c r="G2533" s="9" t="n">
        <v>9095.67</v>
      </c>
      <c r="H2533" t="inlineStr">
        <is>
          <t>PAID_ON_TIME</t>
        </is>
      </c>
      <c r="I2533">
        <f>IF(H2533="UNPAID", AsOfDate-D2533, 0)</f>
        <v/>
      </c>
      <c r="J2533">
        <f>IF(F2533&lt;&gt;"", TEXT(F2533, "yyyy-mm"), "")</f>
        <v/>
      </c>
    </row>
    <row r="2534">
      <c r="A2534" t="inlineStr">
        <is>
          <t>RP0002533</t>
        </is>
      </c>
      <c r="B2534" t="inlineStr">
        <is>
          <t>LN200365</t>
        </is>
      </c>
      <c r="C2534" t="n">
        <v>1</v>
      </c>
      <c r="D2534" s="8" t="n">
        <v>46249</v>
      </c>
      <c r="E2534" s="9" t="n">
        <v>7373.17</v>
      </c>
      <c r="F2534" s="8" t="n">
        <v>46249</v>
      </c>
      <c r="G2534" s="9" t="n">
        <v>7373.17</v>
      </c>
      <c r="H2534" t="inlineStr">
        <is>
          <t>PAID_ON_TIME</t>
        </is>
      </c>
      <c r="I2534">
        <f>IF(H2534="UNPAID", AsOfDate-D2534, 0)</f>
        <v/>
      </c>
      <c r="J2534">
        <f>IF(F2534&lt;&gt;"", TEXT(F2534, "yyyy-mm"), "")</f>
        <v/>
      </c>
    </row>
    <row r="2535">
      <c r="A2535" t="inlineStr">
        <is>
          <t>RP0002534</t>
        </is>
      </c>
      <c r="B2535" t="inlineStr">
        <is>
          <t>LN200365</t>
        </is>
      </c>
      <c r="C2535" t="n">
        <v>2</v>
      </c>
      <c r="D2535" s="8" t="n">
        <v>46280</v>
      </c>
      <c r="E2535" s="9" t="n">
        <v>7373.17</v>
      </c>
      <c r="F2535" s="8" t="n"/>
      <c r="G2535" s="9" t="n">
        <v>0</v>
      </c>
      <c r="H2535" t="inlineStr">
        <is>
          <t>NOT_DUE</t>
        </is>
      </c>
      <c r="I2535">
        <f>IF(H2535="UNPAID", AsOfDate-D2535, 0)</f>
        <v/>
      </c>
      <c r="J2535">
        <f>IF(F2535&lt;&gt;"", TEXT(F2535, "yyyy-mm"), "")</f>
        <v/>
      </c>
    </row>
    <row r="2536">
      <c r="A2536" t="inlineStr">
        <is>
          <t>RP0002535</t>
        </is>
      </c>
      <c r="B2536" t="inlineStr">
        <is>
          <t>LN200365</t>
        </is>
      </c>
      <c r="C2536" t="n">
        <v>3</v>
      </c>
      <c r="D2536" s="8" t="n">
        <v>46310</v>
      </c>
      <c r="E2536" s="9" t="n">
        <v>7373.17</v>
      </c>
      <c r="F2536" s="8" t="n"/>
      <c r="G2536" s="9" t="n">
        <v>0</v>
      </c>
      <c r="H2536" t="inlineStr">
        <is>
          <t>NOT_DUE</t>
        </is>
      </c>
      <c r="I2536">
        <f>IF(H2536="UNPAID", AsOfDate-D2536, 0)</f>
        <v/>
      </c>
      <c r="J2536">
        <f>IF(F2536&lt;&gt;"", TEXT(F2536, "yyyy-mm"), "")</f>
        <v/>
      </c>
    </row>
    <row r="2537">
      <c r="A2537" t="inlineStr">
        <is>
          <t>RP0002536</t>
        </is>
      </c>
      <c r="B2537" t="inlineStr">
        <is>
          <t>LN200365</t>
        </is>
      </c>
      <c r="C2537" t="n">
        <v>4</v>
      </c>
      <c r="D2537" s="8" t="n">
        <v>46341</v>
      </c>
      <c r="E2537" s="9" t="n">
        <v>7373.17</v>
      </c>
      <c r="F2537" s="8" t="n"/>
      <c r="G2537" s="9" t="n">
        <v>0</v>
      </c>
      <c r="H2537" t="inlineStr">
        <is>
          <t>NOT_DUE</t>
        </is>
      </c>
      <c r="I2537">
        <f>IF(H2537="UNPAID", AsOfDate-D2537, 0)</f>
        <v/>
      </c>
      <c r="J2537">
        <f>IF(F2537&lt;&gt;"", TEXT(F2537, "yyyy-mm"), "")</f>
        <v/>
      </c>
    </row>
    <row r="2538">
      <c r="A2538" t="inlineStr">
        <is>
          <t>RP0002537</t>
        </is>
      </c>
      <c r="B2538" t="inlineStr">
        <is>
          <t>LN200365</t>
        </is>
      </c>
      <c r="C2538" t="n">
        <v>5</v>
      </c>
      <c r="D2538" s="8" t="n">
        <v>46371</v>
      </c>
      <c r="E2538" s="9" t="n">
        <v>7373.17</v>
      </c>
      <c r="F2538" s="8" t="n"/>
      <c r="G2538" s="9" t="n">
        <v>0</v>
      </c>
      <c r="H2538" t="inlineStr">
        <is>
          <t>NOT_DUE</t>
        </is>
      </c>
      <c r="I2538">
        <f>IF(H2538="UNPAID", AsOfDate-D2538, 0)</f>
        <v/>
      </c>
      <c r="J2538">
        <f>IF(F2538&lt;&gt;"", TEXT(F2538, "yyyy-mm"), "")</f>
        <v/>
      </c>
    </row>
    <row r="2539">
      <c r="A2539" t="inlineStr">
        <is>
          <t>RP0002538</t>
        </is>
      </c>
      <c r="B2539" t="inlineStr">
        <is>
          <t>LN200365</t>
        </is>
      </c>
      <c r="C2539" t="n">
        <v>6</v>
      </c>
      <c r="D2539" s="8" t="n">
        <v>46402</v>
      </c>
      <c r="E2539" s="9" t="n">
        <v>7373.17</v>
      </c>
      <c r="F2539" s="8" t="n"/>
      <c r="G2539" s="9" t="n">
        <v>0</v>
      </c>
      <c r="H2539" t="inlineStr">
        <is>
          <t>NOT_DUE</t>
        </is>
      </c>
      <c r="I2539">
        <f>IF(H2539="UNPAID", AsOfDate-D2539, 0)</f>
        <v/>
      </c>
      <c r="J2539">
        <f>IF(F2539&lt;&gt;"", TEXT(F2539, "yyyy-mm"), "")</f>
        <v/>
      </c>
    </row>
    <row r="2540">
      <c r="A2540" t="inlineStr">
        <is>
          <t>RP0002539</t>
        </is>
      </c>
      <c r="B2540" t="inlineStr">
        <is>
          <t>LN200366</t>
        </is>
      </c>
      <c r="C2540" t="n">
        <v>1</v>
      </c>
      <c r="D2540" s="8" t="n">
        <v>45930</v>
      </c>
      <c r="E2540" s="9" t="n">
        <v>9537.67</v>
      </c>
      <c r="F2540" s="8" t="n">
        <v>45931</v>
      </c>
      <c r="G2540" s="9" t="n">
        <v>9537.67</v>
      </c>
      <c r="H2540" t="inlineStr">
        <is>
          <t>PAID_ON_TIME</t>
        </is>
      </c>
      <c r="I2540">
        <f>IF(H2540="UNPAID", AsOfDate-D2540, 0)</f>
        <v/>
      </c>
      <c r="J2540">
        <f>IF(F2540&lt;&gt;"", TEXT(F2540, "yyyy-mm"), "")</f>
        <v/>
      </c>
    </row>
    <row r="2541">
      <c r="A2541" t="inlineStr">
        <is>
          <t>RP0002540</t>
        </is>
      </c>
      <c r="B2541" t="inlineStr">
        <is>
          <t>LN200366</t>
        </is>
      </c>
      <c r="C2541" t="n">
        <v>2</v>
      </c>
      <c r="D2541" s="8" t="n">
        <v>45960</v>
      </c>
      <c r="E2541" s="9" t="n">
        <v>9537.67</v>
      </c>
      <c r="F2541" s="8" t="n">
        <v>46041</v>
      </c>
      <c r="G2541" s="9" t="n">
        <v>9537.67</v>
      </c>
      <c r="H2541" t="inlineStr">
        <is>
          <t>PAID_LATE</t>
        </is>
      </c>
      <c r="I2541">
        <f>IF(H2541="UNPAID", AsOfDate-D2541, 0)</f>
        <v/>
      </c>
      <c r="J2541">
        <f>IF(F2541&lt;&gt;"", TEXT(F2541, "yyyy-mm"), "")</f>
        <v/>
      </c>
    </row>
    <row r="2542">
      <c r="A2542" t="inlineStr">
        <is>
          <t>RP0002541</t>
        </is>
      </c>
      <c r="B2542" t="inlineStr">
        <is>
          <t>LN200366</t>
        </is>
      </c>
      <c r="C2542" t="n">
        <v>3</v>
      </c>
      <c r="D2542" s="8" t="n">
        <v>45991</v>
      </c>
      <c r="E2542" s="9" t="n">
        <v>9537.67</v>
      </c>
      <c r="F2542" s="8" t="n">
        <v>46106</v>
      </c>
      <c r="G2542" s="9" t="n">
        <v>9537.67</v>
      </c>
      <c r="H2542" t="inlineStr">
        <is>
          <t>PAID_LATE</t>
        </is>
      </c>
      <c r="I2542">
        <f>IF(H2542="UNPAID", AsOfDate-D2542, 0)</f>
        <v/>
      </c>
      <c r="J2542">
        <f>IF(F2542&lt;&gt;"", TEXT(F2542, "yyyy-mm"), "")</f>
        <v/>
      </c>
    </row>
    <row r="2543">
      <c r="A2543" t="inlineStr">
        <is>
          <t>RP0002542</t>
        </is>
      </c>
      <c r="B2543" t="inlineStr">
        <is>
          <t>LN200366</t>
        </is>
      </c>
      <c r="C2543" t="n">
        <v>4</v>
      </c>
      <c r="D2543" s="8" t="n">
        <v>46021</v>
      </c>
      <c r="E2543" s="9" t="n">
        <v>9537.67</v>
      </c>
      <c r="F2543" s="8" t="n">
        <v>46018</v>
      </c>
      <c r="G2543" s="9" t="n">
        <v>9537.67</v>
      </c>
      <c r="H2543" t="inlineStr">
        <is>
          <t>PAID_ON_TIME</t>
        </is>
      </c>
      <c r="I2543">
        <f>IF(H2543="UNPAID", AsOfDate-D2543, 0)</f>
        <v/>
      </c>
      <c r="J2543">
        <f>IF(F2543&lt;&gt;"", TEXT(F2543, "yyyy-mm"), "")</f>
        <v/>
      </c>
    </row>
    <row r="2544">
      <c r="A2544" t="inlineStr">
        <is>
          <t>RP0002543</t>
        </is>
      </c>
      <c r="B2544" t="inlineStr">
        <is>
          <t>LN200366</t>
        </is>
      </c>
      <c r="C2544" t="n">
        <v>5</v>
      </c>
      <c r="D2544" s="8" t="n">
        <v>46052</v>
      </c>
      <c r="E2544" s="9" t="n">
        <v>9537.67</v>
      </c>
      <c r="F2544" s="8" t="n">
        <v>46053</v>
      </c>
      <c r="G2544" s="9" t="n">
        <v>9537.67</v>
      </c>
      <c r="H2544" t="inlineStr">
        <is>
          <t>PAID_ON_TIME</t>
        </is>
      </c>
      <c r="I2544">
        <f>IF(H2544="UNPAID", AsOfDate-D2544, 0)</f>
        <v/>
      </c>
      <c r="J2544">
        <f>IF(F2544&lt;&gt;"", TEXT(F2544, "yyyy-mm"), "")</f>
        <v/>
      </c>
    </row>
    <row r="2545">
      <c r="A2545" t="inlineStr">
        <is>
          <t>RP0002544</t>
        </is>
      </c>
      <c r="B2545" t="inlineStr">
        <is>
          <t>LN200366</t>
        </is>
      </c>
      <c r="C2545" t="n">
        <v>6</v>
      </c>
      <c r="D2545" s="8" t="n">
        <v>46081</v>
      </c>
      <c r="E2545" s="9" t="n">
        <v>9537.67</v>
      </c>
      <c r="F2545" s="8" t="n">
        <v>46083</v>
      </c>
      <c r="G2545" s="9" t="n">
        <v>9537.67</v>
      </c>
      <c r="H2545" t="inlineStr">
        <is>
          <t>PAID_ON_TIME</t>
        </is>
      </c>
      <c r="I2545">
        <f>IF(H2545="UNPAID", AsOfDate-D2545, 0)</f>
        <v/>
      </c>
      <c r="J2545">
        <f>IF(F2545&lt;&gt;"", TEXT(F2545, "yyyy-mm"), "")</f>
        <v/>
      </c>
    </row>
    <row r="2546">
      <c r="A2546" t="inlineStr">
        <is>
          <t>RP0002545</t>
        </is>
      </c>
      <c r="B2546" t="inlineStr">
        <is>
          <t>LN200366</t>
        </is>
      </c>
      <c r="C2546" t="n">
        <v>7</v>
      </c>
      <c r="D2546" s="8" t="n">
        <v>46111</v>
      </c>
      <c r="E2546" s="9" t="n">
        <v>9537.67</v>
      </c>
      <c r="F2546" s="8" t="n">
        <v>46114</v>
      </c>
      <c r="G2546" s="9" t="n">
        <v>9537.67</v>
      </c>
      <c r="H2546" t="inlineStr">
        <is>
          <t>PAID_ON_TIME</t>
        </is>
      </c>
      <c r="I2546">
        <f>IF(H2546="UNPAID", AsOfDate-D2546, 0)</f>
        <v/>
      </c>
      <c r="J2546">
        <f>IF(F2546&lt;&gt;"", TEXT(F2546, "yyyy-mm"), "")</f>
        <v/>
      </c>
    </row>
    <row r="2547">
      <c r="A2547" t="inlineStr">
        <is>
          <t>RP0002546</t>
        </is>
      </c>
      <c r="B2547" t="inlineStr">
        <is>
          <t>LN200366</t>
        </is>
      </c>
      <c r="C2547" t="n">
        <v>8</v>
      </c>
      <c r="D2547" s="8" t="n">
        <v>46142</v>
      </c>
      <c r="E2547" s="9" t="n">
        <v>9537.67</v>
      </c>
      <c r="F2547" s="8" t="n">
        <v>46144</v>
      </c>
      <c r="G2547" s="9" t="n">
        <v>9537.67</v>
      </c>
      <c r="H2547" t="inlineStr">
        <is>
          <t>PAID_ON_TIME</t>
        </is>
      </c>
      <c r="I2547">
        <f>IF(H2547="UNPAID", AsOfDate-D2547, 0)</f>
        <v/>
      </c>
      <c r="J2547">
        <f>IF(F2547&lt;&gt;"", TEXT(F2547, "yyyy-mm"), "")</f>
        <v/>
      </c>
    </row>
    <row r="2548">
      <c r="A2548" t="inlineStr">
        <is>
          <t>RP0002547</t>
        </is>
      </c>
      <c r="B2548" t="inlineStr">
        <is>
          <t>LN200366</t>
        </is>
      </c>
      <c r="C2548" t="n">
        <v>9</v>
      </c>
      <c r="D2548" s="8" t="n">
        <v>46172</v>
      </c>
      <c r="E2548" s="9" t="n">
        <v>9537.67</v>
      </c>
      <c r="F2548" s="8" t="n"/>
      <c r="G2548" s="9" t="n">
        <v>0</v>
      </c>
      <c r="H2548" t="inlineStr">
        <is>
          <t>UNPAID</t>
        </is>
      </c>
      <c r="I2548">
        <f>IF(H2548="UNPAID", AsOfDate-D2548, 0)</f>
        <v/>
      </c>
      <c r="J2548">
        <f>IF(F2548&lt;&gt;"", TEXT(F2548, "yyyy-mm"), "")</f>
        <v/>
      </c>
    </row>
    <row r="2549">
      <c r="A2549" t="inlineStr">
        <is>
          <t>RP0002548</t>
        </is>
      </c>
      <c r="B2549" t="inlineStr">
        <is>
          <t>LN200367</t>
        </is>
      </c>
      <c r="C2549" t="n">
        <v>1</v>
      </c>
      <c r="D2549" s="8" t="n">
        <v>46134</v>
      </c>
      <c r="E2549" s="9" t="n">
        <v>8213.33</v>
      </c>
      <c r="F2549" s="8" t="n">
        <v>46133</v>
      </c>
      <c r="G2549" s="9" t="n">
        <v>8213.33</v>
      </c>
      <c r="H2549" t="inlineStr">
        <is>
          <t>PAID_ON_TIME</t>
        </is>
      </c>
      <c r="I2549">
        <f>IF(H2549="UNPAID", AsOfDate-D2549, 0)</f>
        <v/>
      </c>
      <c r="J2549">
        <f>IF(F2549&lt;&gt;"", TEXT(F2549, "yyyy-mm"), "")</f>
        <v/>
      </c>
    </row>
    <row r="2550">
      <c r="A2550" t="inlineStr">
        <is>
          <t>RP0002549</t>
        </is>
      </c>
      <c r="B2550" t="inlineStr">
        <is>
          <t>LN200367</t>
        </is>
      </c>
      <c r="C2550" t="n">
        <v>2</v>
      </c>
      <c r="D2550" s="8" t="n">
        <v>46164</v>
      </c>
      <c r="E2550" s="9" t="n">
        <v>8213.33</v>
      </c>
      <c r="F2550" s="8" t="n">
        <v>46166</v>
      </c>
      <c r="G2550" s="9" t="n">
        <v>8213.33</v>
      </c>
      <c r="H2550" t="inlineStr">
        <is>
          <t>PAID_ON_TIME</t>
        </is>
      </c>
      <c r="I2550">
        <f>IF(H2550="UNPAID", AsOfDate-D2550, 0)</f>
        <v/>
      </c>
      <c r="J2550">
        <f>IF(F2550&lt;&gt;"", TEXT(F2550, "yyyy-mm"), "")</f>
        <v/>
      </c>
    </row>
    <row r="2551">
      <c r="A2551" t="inlineStr">
        <is>
          <t>RP0002550</t>
        </is>
      </c>
      <c r="B2551" t="inlineStr">
        <is>
          <t>LN200367</t>
        </is>
      </c>
      <c r="C2551" t="n">
        <v>3</v>
      </c>
      <c r="D2551" s="8" t="n">
        <v>46195</v>
      </c>
      <c r="E2551" s="9" t="n">
        <v>8213.33</v>
      </c>
      <c r="F2551" s="8" t="n">
        <v>46198</v>
      </c>
      <c r="G2551" s="9" t="n">
        <v>8213.33</v>
      </c>
      <c r="H2551" t="inlineStr">
        <is>
          <t>PAID_ON_TIME</t>
        </is>
      </c>
      <c r="I2551">
        <f>IF(H2551="UNPAID", AsOfDate-D2551, 0)</f>
        <v/>
      </c>
      <c r="J2551">
        <f>IF(F2551&lt;&gt;"", TEXT(F2551, "yyyy-mm"), "")</f>
        <v/>
      </c>
    </row>
    <row r="2552">
      <c r="A2552" t="inlineStr">
        <is>
          <t>RP0002551</t>
        </is>
      </c>
      <c r="B2552" t="inlineStr">
        <is>
          <t>LN200367</t>
        </is>
      </c>
      <c r="C2552" t="n">
        <v>4</v>
      </c>
      <c r="D2552" s="8" t="n">
        <v>46225</v>
      </c>
      <c r="E2552" s="9" t="n">
        <v>8213.33</v>
      </c>
      <c r="F2552" s="8" t="n">
        <v>46226</v>
      </c>
      <c r="G2552" s="9" t="n">
        <v>8213.33</v>
      </c>
      <c r="H2552" t="inlineStr">
        <is>
          <t>PAID_ON_TIME</t>
        </is>
      </c>
      <c r="I2552">
        <f>IF(H2552="UNPAID", AsOfDate-D2552, 0)</f>
        <v/>
      </c>
      <c r="J2552">
        <f>IF(F2552&lt;&gt;"", TEXT(F2552, "yyyy-mm"), "")</f>
        <v/>
      </c>
    </row>
    <row r="2553">
      <c r="A2553" t="inlineStr">
        <is>
          <t>RP0002552</t>
        </is>
      </c>
      <c r="B2553" t="inlineStr">
        <is>
          <t>LN200367</t>
        </is>
      </c>
      <c r="C2553" t="n">
        <v>5</v>
      </c>
      <c r="D2553" s="8" t="n">
        <v>46256</v>
      </c>
      <c r="E2553" s="9" t="n">
        <v>8213.33</v>
      </c>
      <c r="F2553" s="8" t="n"/>
      <c r="G2553" s="9" t="n">
        <v>0</v>
      </c>
      <c r="H2553" t="inlineStr">
        <is>
          <t>UNPAID</t>
        </is>
      </c>
      <c r="I2553">
        <f>IF(H2553="UNPAID", AsOfDate-D2553, 0)</f>
        <v/>
      </c>
      <c r="J2553">
        <f>IF(F2553&lt;&gt;"", TEXT(F2553, "yyyy-mm"), "")</f>
        <v/>
      </c>
    </row>
    <row r="2554">
      <c r="A2554" t="inlineStr">
        <is>
          <t>RP0002553</t>
        </is>
      </c>
      <c r="B2554" t="inlineStr">
        <is>
          <t>LN200367</t>
        </is>
      </c>
      <c r="C2554" t="n">
        <v>6</v>
      </c>
      <c r="D2554" s="8" t="n">
        <v>46287</v>
      </c>
      <c r="E2554" s="9" t="n">
        <v>8213.33</v>
      </c>
      <c r="F2554" s="8" t="n"/>
      <c r="G2554" s="9" t="n">
        <v>0</v>
      </c>
      <c r="H2554" t="inlineStr">
        <is>
          <t>NOT_DUE</t>
        </is>
      </c>
      <c r="I2554">
        <f>IF(H2554="UNPAID", AsOfDate-D2554, 0)</f>
        <v/>
      </c>
      <c r="J2554">
        <f>IF(F2554&lt;&gt;"", TEXT(F2554, "yyyy-mm"), "")</f>
        <v/>
      </c>
    </row>
    <row r="2555">
      <c r="A2555" t="inlineStr">
        <is>
          <t>RP0002554</t>
        </is>
      </c>
      <c r="B2555" t="inlineStr">
        <is>
          <t>LN200367</t>
        </is>
      </c>
      <c r="C2555" t="n">
        <v>7</v>
      </c>
      <c r="D2555" s="8" t="n">
        <v>46317</v>
      </c>
      <c r="E2555" s="9" t="n">
        <v>8213.33</v>
      </c>
      <c r="F2555" s="8" t="n"/>
      <c r="G2555" s="9" t="n">
        <v>0</v>
      </c>
      <c r="H2555" t="inlineStr">
        <is>
          <t>NOT_DUE</t>
        </is>
      </c>
      <c r="I2555">
        <f>IF(H2555="UNPAID", AsOfDate-D2555, 0)</f>
        <v/>
      </c>
      <c r="J2555">
        <f>IF(F2555&lt;&gt;"", TEXT(F2555, "yyyy-mm"), "")</f>
        <v/>
      </c>
    </row>
    <row r="2556">
      <c r="A2556" t="inlineStr">
        <is>
          <t>RP0002555</t>
        </is>
      </c>
      <c r="B2556" t="inlineStr">
        <is>
          <t>LN200367</t>
        </is>
      </c>
      <c r="C2556" t="n">
        <v>8</v>
      </c>
      <c r="D2556" s="8" t="n">
        <v>46348</v>
      </c>
      <c r="E2556" s="9" t="n">
        <v>8213.33</v>
      </c>
      <c r="F2556" s="8" t="n"/>
      <c r="G2556" s="9" t="n">
        <v>0</v>
      </c>
      <c r="H2556" t="inlineStr">
        <is>
          <t>NOT_DUE</t>
        </is>
      </c>
      <c r="I2556">
        <f>IF(H2556="UNPAID", AsOfDate-D2556, 0)</f>
        <v/>
      </c>
      <c r="J2556">
        <f>IF(F2556&lt;&gt;"", TEXT(F2556, "yyyy-mm"), "")</f>
        <v/>
      </c>
    </row>
    <row r="2557">
      <c r="A2557" t="inlineStr">
        <is>
          <t>RP0002556</t>
        </is>
      </c>
      <c r="B2557" t="inlineStr">
        <is>
          <t>LN200367</t>
        </is>
      </c>
      <c r="C2557" t="n">
        <v>9</v>
      </c>
      <c r="D2557" s="8" t="n">
        <v>46378</v>
      </c>
      <c r="E2557" s="9" t="n">
        <v>8213.33</v>
      </c>
      <c r="F2557" s="8" t="n"/>
      <c r="G2557" s="9" t="n">
        <v>0</v>
      </c>
      <c r="H2557" t="inlineStr">
        <is>
          <t>NOT_DUE</t>
        </is>
      </c>
      <c r="I2557">
        <f>IF(H2557="UNPAID", AsOfDate-D2557, 0)</f>
        <v/>
      </c>
      <c r="J2557">
        <f>IF(F2557&lt;&gt;"", TEXT(F2557, "yyyy-mm"), "")</f>
        <v/>
      </c>
    </row>
    <row r="2558">
      <c r="A2558" t="inlineStr">
        <is>
          <t>RP0002557</t>
        </is>
      </c>
      <c r="B2558" t="inlineStr">
        <is>
          <t>LN200367</t>
        </is>
      </c>
      <c r="C2558" t="n">
        <v>10</v>
      </c>
      <c r="D2558" s="8" t="n">
        <v>46409</v>
      </c>
      <c r="E2558" s="9" t="n">
        <v>8213.33</v>
      </c>
      <c r="F2558" s="8" t="n"/>
      <c r="G2558" s="9" t="n">
        <v>0</v>
      </c>
      <c r="H2558" t="inlineStr">
        <is>
          <t>NOT_DUE</t>
        </is>
      </c>
      <c r="I2558">
        <f>IF(H2558="UNPAID", AsOfDate-D2558, 0)</f>
        <v/>
      </c>
      <c r="J2558">
        <f>IF(F2558&lt;&gt;"", TEXT(F2558, "yyyy-mm"), "")</f>
        <v/>
      </c>
    </row>
    <row r="2559">
      <c r="A2559" t="inlineStr">
        <is>
          <t>RP0002558</t>
        </is>
      </c>
      <c r="B2559" t="inlineStr">
        <is>
          <t>LN200367</t>
        </is>
      </c>
      <c r="C2559" t="n">
        <v>11</v>
      </c>
      <c r="D2559" s="8" t="n">
        <v>46440</v>
      </c>
      <c r="E2559" s="9" t="n">
        <v>8213.33</v>
      </c>
      <c r="F2559" s="8" t="n"/>
      <c r="G2559" s="9" t="n">
        <v>0</v>
      </c>
      <c r="H2559" t="inlineStr">
        <is>
          <t>NOT_DUE</t>
        </is>
      </c>
      <c r="I2559">
        <f>IF(H2559="UNPAID", AsOfDate-D2559, 0)</f>
        <v/>
      </c>
      <c r="J2559">
        <f>IF(F2559&lt;&gt;"", TEXT(F2559, "yyyy-mm"), "")</f>
        <v/>
      </c>
    </row>
    <row r="2560">
      <c r="A2560" t="inlineStr">
        <is>
          <t>RP0002559</t>
        </is>
      </c>
      <c r="B2560" t="inlineStr">
        <is>
          <t>LN200367</t>
        </is>
      </c>
      <c r="C2560" t="n">
        <v>12</v>
      </c>
      <c r="D2560" s="8" t="n">
        <v>46468</v>
      </c>
      <c r="E2560" s="9" t="n">
        <v>8213.33</v>
      </c>
      <c r="F2560" s="8" t="n"/>
      <c r="G2560" s="9" t="n">
        <v>0</v>
      </c>
      <c r="H2560" t="inlineStr">
        <is>
          <t>NOT_DUE</t>
        </is>
      </c>
      <c r="I2560">
        <f>IF(H2560="UNPAID", AsOfDate-D2560, 0)</f>
        <v/>
      </c>
      <c r="J2560">
        <f>IF(F2560&lt;&gt;"", TEXT(F2560, "yyyy-mm"), "")</f>
        <v/>
      </c>
    </row>
    <row r="2561">
      <c r="A2561" t="inlineStr">
        <is>
          <t>RP0002560</t>
        </is>
      </c>
      <c r="B2561" t="inlineStr">
        <is>
          <t>LN200368</t>
        </is>
      </c>
      <c r="C2561" t="n">
        <v>1</v>
      </c>
      <c r="D2561" s="8" t="n">
        <v>46206</v>
      </c>
      <c r="E2561" s="9" t="n">
        <v>4266.17</v>
      </c>
      <c r="F2561" s="8" t="n">
        <v>46210</v>
      </c>
      <c r="G2561" s="9" t="n">
        <v>4266.17</v>
      </c>
      <c r="H2561" t="inlineStr">
        <is>
          <t>PAID_ON_TIME</t>
        </is>
      </c>
      <c r="I2561">
        <f>IF(H2561="UNPAID", AsOfDate-D2561, 0)</f>
        <v/>
      </c>
      <c r="J2561">
        <f>IF(F2561&lt;&gt;"", TEXT(F2561, "yyyy-mm"), "")</f>
        <v/>
      </c>
    </row>
    <row r="2562">
      <c r="A2562" t="inlineStr">
        <is>
          <t>RP0002561</t>
        </is>
      </c>
      <c r="B2562" t="inlineStr">
        <is>
          <t>LN200368</t>
        </is>
      </c>
      <c r="C2562" t="n">
        <v>2</v>
      </c>
      <c r="D2562" s="8" t="n">
        <v>46237</v>
      </c>
      <c r="E2562" s="9" t="n">
        <v>4266.17</v>
      </c>
      <c r="F2562" s="8" t="n">
        <v>46234</v>
      </c>
      <c r="G2562" s="9" t="n">
        <v>4266.17</v>
      </c>
      <c r="H2562" t="inlineStr">
        <is>
          <t>PAID_ON_TIME</t>
        </is>
      </c>
      <c r="I2562">
        <f>IF(H2562="UNPAID", AsOfDate-D2562, 0)</f>
        <v/>
      </c>
      <c r="J2562">
        <f>IF(F2562&lt;&gt;"", TEXT(F2562, "yyyy-mm"), "")</f>
        <v/>
      </c>
    </row>
    <row r="2563">
      <c r="A2563" t="inlineStr">
        <is>
          <t>RP0002562</t>
        </is>
      </c>
      <c r="B2563" t="inlineStr">
        <is>
          <t>LN200368</t>
        </is>
      </c>
      <c r="C2563" t="n">
        <v>3</v>
      </c>
      <c r="D2563" s="8" t="n">
        <v>46268</v>
      </c>
      <c r="E2563" s="9" t="n">
        <v>4266.17</v>
      </c>
      <c r="F2563" s="8" t="n"/>
      <c r="G2563" s="9" t="n">
        <v>0</v>
      </c>
      <c r="H2563" t="inlineStr">
        <is>
          <t>NOT_DUE</t>
        </is>
      </c>
      <c r="I2563">
        <f>IF(H2563="UNPAID", AsOfDate-D2563, 0)</f>
        <v/>
      </c>
      <c r="J2563">
        <f>IF(F2563&lt;&gt;"", TEXT(F2563, "yyyy-mm"), "")</f>
        <v/>
      </c>
    </row>
    <row r="2564">
      <c r="A2564" t="inlineStr">
        <is>
          <t>RP0002563</t>
        </is>
      </c>
      <c r="B2564" t="inlineStr">
        <is>
          <t>LN200368</t>
        </is>
      </c>
      <c r="C2564" t="n">
        <v>4</v>
      </c>
      <c r="D2564" s="8" t="n">
        <v>46298</v>
      </c>
      <c r="E2564" s="9" t="n">
        <v>4266.17</v>
      </c>
      <c r="F2564" s="8" t="n"/>
      <c r="G2564" s="9" t="n">
        <v>0</v>
      </c>
      <c r="H2564" t="inlineStr">
        <is>
          <t>NOT_DUE</t>
        </is>
      </c>
      <c r="I2564">
        <f>IF(H2564="UNPAID", AsOfDate-D2564, 0)</f>
        <v/>
      </c>
      <c r="J2564">
        <f>IF(F2564&lt;&gt;"", TEXT(F2564, "yyyy-mm"), "")</f>
        <v/>
      </c>
    </row>
    <row r="2565">
      <c r="A2565" t="inlineStr">
        <is>
          <t>RP0002564</t>
        </is>
      </c>
      <c r="B2565" t="inlineStr">
        <is>
          <t>LN200368</t>
        </is>
      </c>
      <c r="C2565" t="n">
        <v>5</v>
      </c>
      <c r="D2565" s="8" t="n">
        <v>46329</v>
      </c>
      <c r="E2565" s="9" t="n">
        <v>4266.17</v>
      </c>
      <c r="F2565" s="8" t="n"/>
      <c r="G2565" s="9" t="n">
        <v>0</v>
      </c>
      <c r="H2565" t="inlineStr">
        <is>
          <t>NOT_DUE</t>
        </is>
      </c>
      <c r="I2565">
        <f>IF(H2565="UNPAID", AsOfDate-D2565, 0)</f>
        <v/>
      </c>
      <c r="J2565">
        <f>IF(F2565&lt;&gt;"", TEXT(F2565, "yyyy-mm"), "")</f>
        <v/>
      </c>
    </row>
    <row r="2566">
      <c r="A2566" t="inlineStr">
        <is>
          <t>RP0002565</t>
        </is>
      </c>
      <c r="B2566" t="inlineStr">
        <is>
          <t>LN200368</t>
        </is>
      </c>
      <c r="C2566" t="n">
        <v>6</v>
      </c>
      <c r="D2566" s="8" t="n">
        <v>46359</v>
      </c>
      <c r="E2566" s="9" t="n">
        <v>4266.17</v>
      </c>
      <c r="F2566" s="8" t="n"/>
      <c r="G2566" s="9" t="n">
        <v>0</v>
      </c>
      <c r="H2566" t="inlineStr">
        <is>
          <t>NOT_DUE</t>
        </is>
      </c>
      <c r="I2566">
        <f>IF(H2566="UNPAID", AsOfDate-D2566, 0)</f>
        <v/>
      </c>
      <c r="J2566">
        <f>IF(F2566&lt;&gt;"", TEXT(F2566, "yyyy-mm"), "")</f>
        <v/>
      </c>
    </row>
    <row r="2567">
      <c r="A2567" t="inlineStr">
        <is>
          <t>RP0002566</t>
        </is>
      </c>
      <c r="B2567" t="inlineStr">
        <is>
          <t>LN200368</t>
        </is>
      </c>
      <c r="C2567" t="n">
        <v>7</v>
      </c>
      <c r="D2567" s="8" t="n">
        <v>46390</v>
      </c>
      <c r="E2567" s="9" t="n">
        <v>4266.17</v>
      </c>
      <c r="F2567" s="8" t="n"/>
      <c r="G2567" s="9" t="n">
        <v>0</v>
      </c>
      <c r="H2567" t="inlineStr">
        <is>
          <t>NOT_DUE</t>
        </is>
      </c>
      <c r="I2567">
        <f>IF(H2567="UNPAID", AsOfDate-D2567, 0)</f>
        <v/>
      </c>
      <c r="J2567">
        <f>IF(F2567&lt;&gt;"", TEXT(F2567, "yyyy-mm"), "")</f>
        <v/>
      </c>
    </row>
    <row r="2568">
      <c r="A2568" t="inlineStr">
        <is>
          <t>RP0002567</t>
        </is>
      </c>
      <c r="B2568" t="inlineStr">
        <is>
          <t>LN200368</t>
        </is>
      </c>
      <c r="C2568" t="n">
        <v>8</v>
      </c>
      <c r="D2568" s="8" t="n">
        <v>46421</v>
      </c>
      <c r="E2568" s="9" t="n">
        <v>4266.17</v>
      </c>
      <c r="F2568" s="8" t="n"/>
      <c r="G2568" s="9" t="n">
        <v>0</v>
      </c>
      <c r="H2568" t="inlineStr">
        <is>
          <t>NOT_DUE</t>
        </is>
      </c>
      <c r="I2568">
        <f>IF(H2568="UNPAID", AsOfDate-D2568, 0)</f>
        <v/>
      </c>
      <c r="J2568">
        <f>IF(F2568&lt;&gt;"", TEXT(F2568, "yyyy-mm"), "")</f>
        <v/>
      </c>
    </row>
    <row r="2569">
      <c r="A2569" t="inlineStr">
        <is>
          <t>RP0002568</t>
        </is>
      </c>
      <c r="B2569" t="inlineStr">
        <is>
          <t>LN200368</t>
        </is>
      </c>
      <c r="C2569" t="n">
        <v>9</v>
      </c>
      <c r="D2569" s="8" t="n">
        <v>46449</v>
      </c>
      <c r="E2569" s="9" t="n">
        <v>4266.17</v>
      </c>
      <c r="F2569" s="8" t="n"/>
      <c r="G2569" s="9" t="n">
        <v>0</v>
      </c>
      <c r="H2569" t="inlineStr">
        <is>
          <t>NOT_DUE</t>
        </is>
      </c>
      <c r="I2569">
        <f>IF(H2569="UNPAID", AsOfDate-D2569, 0)</f>
        <v/>
      </c>
      <c r="J2569">
        <f>IF(F2569&lt;&gt;"", TEXT(F2569, "yyyy-mm"), "")</f>
        <v/>
      </c>
    </row>
    <row r="2570">
      <c r="A2570" t="inlineStr">
        <is>
          <t>RP0002569</t>
        </is>
      </c>
      <c r="B2570" t="inlineStr">
        <is>
          <t>LN200369</t>
        </is>
      </c>
      <c r="C2570" t="n">
        <v>1</v>
      </c>
      <c r="D2570" s="8" t="n">
        <v>45893</v>
      </c>
      <c r="E2570" s="9" t="n">
        <v>5246.58</v>
      </c>
      <c r="F2570" s="8" t="n">
        <v>45904</v>
      </c>
      <c r="G2570" s="9" t="n">
        <v>5246.58</v>
      </c>
      <c r="H2570" t="inlineStr">
        <is>
          <t>PAID_LATE</t>
        </is>
      </c>
      <c r="I2570">
        <f>IF(H2570="UNPAID", AsOfDate-D2570, 0)</f>
        <v/>
      </c>
      <c r="J2570">
        <f>IF(F2570&lt;&gt;"", TEXT(F2570, "yyyy-mm"), "")</f>
        <v/>
      </c>
    </row>
    <row r="2571">
      <c r="A2571" t="inlineStr">
        <is>
          <t>RP0002570</t>
        </is>
      </c>
      <c r="B2571" t="inlineStr">
        <is>
          <t>LN200369</t>
        </is>
      </c>
      <c r="C2571" t="n">
        <v>2</v>
      </c>
      <c r="D2571" s="8" t="n">
        <v>45924</v>
      </c>
      <c r="E2571" s="9" t="n">
        <v>5246.58</v>
      </c>
      <c r="F2571" s="8" t="n">
        <v>45927</v>
      </c>
      <c r="G2571" s="9" t="n">
        <v>5246.58</v>
      </c>
      <c r="H2571" t="inlineStr">
        <is>
          <t>PAID_ON_TIME</t>
        </is>
      </c>
      <c r="I2571">
        <f>IF(H2571="UNPAID", AsOfDate-D2571, 0)</f>
        <v/>
      </c>
      <c r="J2571">
        <f>IF(F2571&lt;&gt;"", TEXT(F2571, "yyyy-mm"), "")</f>
        <v/>
      </c>
    </row>
    <row r="2572">
      <c r="A2572" t="inlineStr">
        <is>
          <t>RP0002571</t>
        </is>
      </c>
      <c r="B2572" t="inlineStr">
        <is>
          <t>LN200369</t>
        </is>
      </c>
      <c r="C2572" t="n">
        <v>3</v>
      </c>
      <c r="D2572" s="8" t="n">
        <v>45954</v>
      </c>
      <c r="E2572" s="9" t="n">
        <v>5246.58</v>
      </c>
      <c r="F2572" s="8" t="n">
        <v>46020</v>
      </c>
      <c r="G2572" s="9" t="n">
        <v>5246.58</v>
      </c>
      <c r="H2572" t="inlineStr">
        <is>
          <t>PAID_LATE</t>
        </is>
      </c>
      <c r="I2572">
        <f>IF(H2572="UNPAID", AsOfDate-D2572, 0)</f>
        <v/>
      </c>
      <c r="J2572">
        <f>IF(F2572&lt;&gt;"", TEXT(F2572, "yyyy-mm"), "")</f>
        <v/>
      </c>
    </row>
    <row r="2573">
      <c r="A2573" t="inlineStr">
        <is>
          <t>RP0002572</t>
        </is>
      </c>
      <c r="B2573" t="inlineStr">
        <is>
          <t>LN200369</t>
        </is>
      </c>
      <c r="C2573" t="n">
        <v>4</v>
      </c>
      <c r="D2573" s="8" t="n">
        <v>45985</v>
      </c>
      <c r="E2573" s="9" t="n">
        <v>5246.58</v>
      </c>
      <c r="F2573" s="8" t="n">
        <v>46020</v>
      </c>
      <c r="G2573" s="9" t="n">
        <v>5246.58</v>
      </c>
      <c r="H2573" t="inlineStr">
        <is>
          <t>PAID_LATE</t>
        </is>
      </c>
      <c r="I2573">
        <f>IF(H2573="UNPAID", AsOfDate-D2573, 0)</f>
        <v/>
      </c>
      <c r="J2573">
        <f>IF(F2573&lt;&gt;"", TEXT(F2573, "yyyy-mm"), "")</f>
        <v/>
      </c>
    </row>
    <row r="2574">
      <c r="A2574" t="inlineStr">
        <is>
          <t>RP0002573</t>
        </is>
      </c>
      <c r="B2574" t="inlineStr">
        <is>
          <t>LN200369</t>
        </is>
      </c>
      <c r="C2574" t="n">
        <v>5</v>
      </c>
      <c r="D2574" s="8" t="n">
        <v>46015</v>
      </c>
      <c r="E2574" s="9" t="n">
        <v>5246.58</v>
      </c>
      <c r="F2574" s="8" t="n">
        <v>46012</v>
      </c>
      <c r="G2574" s="9" t="n">
        <v>5246.58</v>
      </c>
      <c r="H2574" t="inlineStr">
        <is>
          <t>PAID_ON_TIME</t>
        </is>
      </c>
      <c r="I2574">
        <f>IF(H2574="UNPAID", AsOfDate-D2574, 0)</f>
        <v/>
      </c>
      <c r="J2574">
        <f>IF(F2574&lt;&gt;"", TEXT(F2574, "yyyy-mm"), "")</f>
        <v/>
      </c>
    </row>
    <row r="2575">
      <c r="A2575" t="inlineStr">
        <is>
          <t>RP0002574</t>
        </is>
      </c>
      <c r="B2575" t="inlineStr">
        <is>
          <t>LN200369</t>
        </is>
      </c>
      <c r="C2575" t="n">
        <v>6</v>
      </c>
      <c r="D2575" s="8" t="n">
        <v>46046</v>
      </c>
      <c r="E2575" s="9" t="n">
        <v>5246.58</v>
      </c>
      <c r="F2575" s="8" t="n"/>
      <c r="G2575" s="9" t="n">
        <v>0</v>
      </c>
      <c r="H2575" t="inlineStr">
        <is>
          <t>UNPAID</t>
        </is>
      </c>
      <c r="I2575">
        <f>IF(H2575="UNPAID", AsOfDate-D2575, 0)</f>
        <v/>
      </c>
      <c r="J2575">
        <f>IF(F2575&lt;&gt;"", TEXT(F2575, "yyyy-mm"), "")</f>
        <v/>
      </c>
    </row>
    <row r="2576">
      <c r="A2576" t="inlineStr">
        <is>
          <t>RP0002575</t>
        </is>
      </c>
      <c r="B2576" t="inlineStr">
        <is>
          <t>LN200370</t>
        </is>
      </c>
      <c r="C2576" t="n">
        <v>1</v>
      </c>
      <c r="D2576" s="8" t="n">
        <v>46213</v>
      </c>
      <c r="E2576" s="9" t="n">
        <v>7897.5</v>
      </c>
      <c r="F2576" s="8" t="n">
        <v>46214</v>
      </c>
      <c r="G2576" s="9" t="n">
        <v>7897.5</v>
      </c>
      <c r="H2576" t="inlineStr">
        <is>
          <t>PAID_ON_TIME</t>
        </is>
      </c>
      <c r="I2576">
        <f>IF(H2576="UNPAID", AsOfDate-D2576, 0)</f>
        <v/>
      </c>
      <c r="J2576">
        <f>IF(F2576&lt;&gt;"", TEXT(F2576, "yyyy-mm"), "")</f>
        <v/>
      </c>
    </row>
    <row r="2577">
      <c r="A2577" t="inlineStr">
        <is>
          <t>RP0002576</t>
        </is>
      </c>
      <c r="B2577" t="inlineStr">
        <is>
          <t>LN200370</t>
        </is>
      </c>
      <c r="C2577" t="n">
        <v>2</v>
      </c>
      <c r="D2577" s="8" t="n">
        <v>46244</v>
      </c>
      <c r="E2577" s="9" t="n">
        <v>7897.5</v>
      </c>
      <c r="F2577" s="8" t="n">
        <v>46247</v>
      </c>
      <c r="G2577" s="9" t="n">
        <v>7897.5</v>
      </c>
      <c r="H2577" t="inlineStr">
        <is>
          <t>PAID_ON_TIME</t>
        </is>
      </c>
      <c r="I2577">
        <f>IF(H2577="UNPAID", AsOfDate-D2577, 0)</f>
        <v/>
      </c>
      <c r="J2577">
        <f>IF(F2577&lt;&gt;"", TEXT(F2577, "yyyy-mm"), "")</f>
        <v/>
      </c>
    </row>
    <row r="2578">
      <c r="A2578" t="inlineStr">
        <is>
          <t>RP0002577</t>
        </is>
      </c>
      <c r="B2578" t="inlineStr">
        <is>
          <t>LN200370</t>
        </is>
      </c>
      <c r="C2578" t="n">
        <v>3</v>
      </c>
      <c r="D2578" s="8" t="n">
        <v>46275</v>
      </c>
      <c r="E2578" s="9" t="n">
        <v>7897.5</v>
      </c>
      <c r="F2578" s="8" t="n"/>
      <c r="G2578" s="9" t="n">
        <v>0</v>
      </c>
      <c r="H2578" t="inlineStr">
        <is>
          <t>NOT_DUE</t>
        </is>
      </c>
      <c r="I2578">
        <f>IF(H2578="UNPAID", AsOfDate-D2578, 0)</f>
        <v/>
      </c>
      <c r="J2578">
        <f>IF(F2578&lt;&gt;"", TEXT(F2578, "yyyy-mm"), "")</f>
        <v/>
      </c>
    </row>
    <row r="2579">
      <c r="A2579" t="inlineStr">
        <is>
          <t>RP0002578</t>
        </is>
      </c>
      <c r="B2579" t="inlineStr">
        <is>
          <t>LN200370</t>
        </is>
      </c>
      <c r="C2579" t="n">
        <v>4</v>
      </c>
      <c r="D2579" s="8" t="n">
        <v>46305</v>
      </c>
      <c r="E2579" s="9" t="n">
        <v>7897.5</v>
      </c>
      <c r="F2579" s="8" t="n"/>
      <c r="G2579" s="9" t="n">
        <v>0</v>
      </c>
      <c r="H2579" t="inlineStr">
        <is>
          <t>NOT_DUE</t>
        </is>
      </c>
      <c r="I2579">
        <f>IF(H2579="UNPAID", AsOfDate-D2579, 0)</f>
        <v/>
      </c>
      <c r="J2579">
        <f>IF(F2579&lt;&gt;"", TEXT(F2579, "yyyy-mm"), "")</f>
        <v/>
      </c>
    </row>
    <row r="2580">
      <c r="A2580" t="inlineStr">
        <is>
          <t>RP0002579</t>
        </is>
      </c>
      <c r="B2580" t="inlineStr">
        <is>
          <t>LN200370</t>
        </is>
      </c>
      <c r="C2580" t="n">
        <v>5</v>
      </c>
      <c r="D2580" s="8" t="n">
        <v>46336</v>
      </c>
      <c r="E2580" s="9" t="n">
        <v>7897.5</v>
      </c>
      <c r="F2580" s="8" t="n"/>
      <c r="G2580" s="9" t="n">
        <v>0</v>
      </c>
      <c r="H2580" t="inlineStr">
        <is>
          <t>NOT_DUE</t>
        </is>
      </c>
      <c r="I2580">
        <f>IF(H2580="UNPAID", AsOfDate-D2580, 0)</f>
        <v/>
      </c>
      <c r="J2580">
        <f>IF(F2580&lt;&gt;"", TEXT(F2580, "yyyy-mm"), "")</f>
        <v/>
      </c>
    </row>
    <row r="2581">
      <c r="A2581" t="inlineStr">
        <is>
          <t>RP0002580</t>
        </is>
      </c>
      <c r="B2581" t="inlineStr">
        <is>
          <t>LN200370</t>
        </is>
      </c>
      <c r="C2581" t="n">
        <v>6</v>
      </c>
      <c r="D2581" s="8" t="n">
        <v>46366</v>
      </c>
      <c r="E2581" s="9" t="n">
        <v>7897.5</v>
      </c>
      <c r="F2581" s="8" t="n"/>
      <c r="G2581" s="9" t="n">
        <v>0</v>
      </c>
      <c r="H2581" t="inlineStr">
        <is>
          <t>NOT_DUE</t>
        </is>
      </c>
      <c r="I2581">
        <f>IF(H2581="UNPAID", AsOfDate-D2581, 0)</f>
        <v/>
      </c>
      <c r="J2581">
        <f>IF(F2581&lt;&gt;"", TEXT(F2581, "yyyy-mm"), "")</f>
        <v/>
      </c>
    </row>
    <row r="2582">
      <c r="A2582" t="inlineStr">
        <is>
          <t>RP0002581</t>
        </is>
      </c>
      <c r="B2582" t="inlineStr">
        <is>
          <t>LN200370</t>
        </is>
      </c>
      <c r="C2582" t="n">
        <v>7</v>
      </c>
      <c r="D2582" s="8" t="n">
        <v>46397</v>
      </c>
      <c r="E2582" s="9" t="n">
        <v>7897.5</v>
      </c>
      <c r="F2582" s="8" t="n"/>
      <c r="G2582" s="9" t="n">
        <v>0</v>
      </c>
      <c r="H2582" t="inlineStr">
        <is>
          <t>NOT_DUE</t>
        </is>
      </c>
      <c r="I2582">
        <f>IF(H2582="UNPAID", AsOfDate-D2582, 0)</f>
        <v/>
      </c>
      <c r="J2582">
        <f>IF(F2582&lt;&gt;"", TEXT(F2582, "yyyy-mm"), "")</f>
        <v/>
      </c>
    </row>
    <row r="2583">
      <c r="A2583" t="inlineStr">
        <is>
          <t>RP0002582</t>
        </is>
      </c>
      <c r="B2583" t="inlineStr">
        <is>
          <t>LN200370</t>
        </is>
      </c>
      <c r="C2583" t="n">
        <v>8</v>
      </c>
      <c r="D2583" s="8" t="n">
        <v>46428</v>
      </c>
      <c r="E2583" s="9" t="n">
        <v>7897.5</v>
      </c>
      <c r="F2583" s="8" t="n"/>
      <c r="G2583" s="9" t="n">
        <v>0</v>
      </c>
      <c r="H2583" t="inlineStr">
        <is>
          <t>NOT_DUE</t>
        </is>
      </c>
      <c r="I2583">
        <f>IF(H2583="UNPAID", AsOfDate-D2583, 0)</f>
        <v/>
      </c>
      <c r="J2583">
        <f>IF(F2583&lt;&gt;"", TEXT(F2583, "yyyy-mm"), "")</f>
        <v/>
      </c>
    </row>
    <row r="2584">
      <c r="A2584" t="inlineStr">
        <is>
          <t>RP0002583</t>
        </is>
      </c>
      <c r="B2584" t="inlineStr">
        <is>
          <t>LN200370</t>
        </is>
      </c>
      <c r="C2584" t="n">
        <v>9</v>
      </c>
      <c r="D2584" s="8" t="n">
        <v>46456</v>
      </c>
      <c r="E2584" s="9" t="n">
        <v>7897.5</v>
      </c>
      <c r="F2584" s="8" t="n"/>
      <c r="G2584" s="9" t="n">
        <v>0</v>
      </c>
      <c r="H2584" t="inlineStr">
        <is>
          <t>NOT_DUE</t>
        </is>
      </c>
      <c r="I2584">
        <f>IF(H2584="UNPAID", AsOfDate-D2584, 0)</f>
        <v/>
      </c>
      <c r="J2584">
        <f>IF(F2584&lt;&gt;"", TEXT(F2584, "yyyy-mm"), "")</f>
        <v/>
      </c>
    </row>
    <row r="2585">
      <c r="A2585" t="inlineStr">
        <is>
          <t>RP0002584</t>
        </is>
      </c>
      <c r="B2585" t="inlineStr">
        <is>
          <t>LN200370</t>
        </is>
      </c>
      <c r="C2585" t="n">
        <v>10</v>
      </c>
      <c r="D2585" s="8" t="n">
        <v>46487</v>
      </c>
      <c r="E2585" s="9" t="n">
        <v>7897.5</v>
      </c>
      <c r="F2585" s="8" t="n"/>
      <c r="G2585" s="9" t="n">
        <v>0</v>
      </c>
      <c r="H2585" t="inlineStr">
        <is>
          <t>NOT_DUE</t>
        </is>
      </c>
      <c r="I2585">
        <f>IF(H2585="UNPAID", AsOfDate-D2585, 0)</f>
        <v/>
      </c>
      <c r="J2585">
        <f>IF(F2585&lt;&gt;"", TEXT(F2585, "yyyy-mm"), "")</f>
        <v/>
      </c>
    </row>
    <row r="2586">
      <c r="A2586" t="inlineStr">
        <is>
          <t>RP0002585</t>
        </is>
      </c>
      <c r="B2586" t="inlineStr">
        <is>
          <t>LN200370</t>
        </is>
      </c>
      <c r="C2586" t="n">
        <v>11</v>
      </c>
      <c r="D2586" s="8" t="n">
        <v>46517</v>
      </c>
      <c r="E2586" s="9" t="n">
        <v>7897.5</v>
      </c>
      <c r="F2586" s="8" t="n"/>
      <c r="G2586" s="9" t="n">
        <v>0</v>
      </c>
      <c r="H2586" t="inlineStr">
        <is>
          <t>NOT_DUE</t>
        </is>
      </c>
      <c r="I2586">
        <f>IF(H2586="UNPAID", AsOfDate-D2586, 0)</f>
        <v/>
      </c>
      <c r="J2586">
        <f>IF(F2586&lt;&gt;"", TEXT(F2586, "yyyy-mm"), "")</f>
        <v/>
      </c>
    </row>
    <row r="2587">
      <c r="A2587" t="inlineStr">
        <is>
          <t>RP0002586</t>
        </is>
      </c>
      <c r="B2587" t="inlineStr">
        <is>
          <t>LN200370</t>
        </is>
      </c>
      <c r="C2587" t="n">
        <v>12</v>
      </c>
      <c r="D2587" s="8" t="n">
        <v>46548</v>
      </c>
      <c r="E2587" s="9" t="n">
        <v>7897.5</v>
      </c>
      <c r="F2587" s="8" t="n"/>
      <c r="G2587" s="9" t="n">
        <v>0</v>
      </c>
      <c r="H2587" t="inlineStr">
        <is>
          <t>NOT_DUE</t>
        </is>
      </c>
      <c r="I2587">
        <f>IF(H2587="UNPAID", AsOfDate-D2587, 0)</f>
        <v/>
      </c>
      <c r="J2587">
        <f>IF(F2587&lt;&gt;"", TEXT(F2587, "yyyy-mm"), "")</f>
        <v/>
      </c>
    </row>
    <row r="2588">
      <c r="A2588" t="inlineStr">
        <is>
          <t>RP0002587</t>
        </is>
      </c>
      <c r="B2588" t="inlineStr">
        <is>
          <t>LN200372</t>
        </is>
      </c>
      <c r="C2588" t="n">
        <v>1</v>
      </c>
      <c r="D2588" s="8" t="n">
        <v>45762</v>
      </c>
      <c r="E2588" s="9" t="n">
        <v>3731.78</v>
      </c>
      <c r="F2588" s="8" t="n">
        <v>45759</v>
      </c>
      <c r="G2588" s="9" t="n">
        <v>3731.78</v>
      </c>
      <c r="H2588" t="inlineStr">
        <is>
          <t>PAID_ON_TIME</t>
        </is>
      </c>
      <c r="I2588">
        <f>IF(H2588="UNPAID", AsOfDate-D2588, 0)</f>
        <v/>
      </c>
      <c r="J2588">
        <f>IF(F2588&lt;&gt;"", TEXT(F2588, "yyyy-mm"), "")</f>
        <v/>
      </c>
    </row>
    <row r="2589">
      <c r="A2589" t="inlineStr">
        <is>
          <t>RP0002588</t>
        </is>
      </c>
      <c r="B2589" t="inlineStr">
        <is>
          <t>LN200372</t>
        </is>
      </c>
      <c r="C2589" t="n">
        <v>2</v>
      </c>
      <c r="D2589" s="8" t="n">
        <v>45792</v>
      </c>
      <c r="E2589" s="9" t="n">
        <v>3731.78</v>
      </c>
      <c r="F2589" s="8" t="n">
        <v>45793</v>
      </c>
      <c r="G2589" s="9" t="n">
        <v>3731.78</v>
      </c>
      <c r="H2589" t="inlineStr">
        <is>
          <t>PAID_ON_TIME</t>
        </is>
      </c>
      <c r="I2589">
        <f>IF(H2589="UNPAID", AsOfDate-D2589, 0)</f>
        <v/>
      </c>
      <c r="J2589">
        <f>IF(F2589&lt;&gt;"", TEXT(F2589, "yyyy-mm"), "")</f>
        <v/>
      </c>
    </row>
    <row r="2590">
      <c r="A2590" t="inlineStr">
        <is>
          <t>RP0002589</t>
        </is>
      </c>
      <c r="B2590" t="inlineStr">
        <is>
          <t>LN200372</t>
        </is>
      </c>
      <c r="C2590" t="n">
        <v>3</v>
      </c>
      <c r="D2590" s="8" t="n">
        <v>45823</v>
      </c>
      <c r="E2590" s="9" t="n">
        <v>3731.78</v>
      </c>
      <c r="F2590" s="8" t="n">
        <v>45825</v>
      </c>
      <c r="G2590" s="9" t="n">
        <v>3731.78</v>
      </c>
      <c r="H2590" t="inlineStr">
        <is>
          <t>PAID_ON_TIME</t>
        </is>
      </c>
      <c r="I2590">
        <f>IF(H2590="UNPAID", AsOfDate-D2590, 0)</f>
        <v/>
      </c>
      <c r="J2590">
        <f>IF(F2590&lt;&gt;"", TEXT(F2590, "yyyy-mm"), "")</f>
        <v/>
      </c>
    </row>
    <row r="2591">
      <c r="A2591" t="inlineStr">
        <is>
          <t>RP0002590</t>
        </is>
      </c>
      <c r="B2591" t="inlineStr">
        <is>
          <t>LN200372</t>
        </is>
      </c>
      <c r="C2591" t="n">
        <v>4</v>
      </c>
      <c r="D2591" s="8" t="n">
        <v>45853</v>
      </c>
      <c r="E2591" s="9" t="n">
        <v>3731.78</v>
      </c>
      <c r="F2591" s="8" t="n">
        <v>45856</v>
      </c>
      <c r="G2591" s="9" t="n">
        <v>3731.78</v>
      </c>
      <c r="H2591" t="inlineStr">
        <is>
          <t>PAID_ON_TIME</t>
        </is>
      </c>
      <c r="I2591">
        <f>IF(H2591="UNPAID", AsOfDate-D2591, 0)</f>
        <v/>
      </c>
      <c r="J2591">
        <f>IF(F2591&lt;&gt;"", TEXT(F2591, "yyyy-mm"), "")</f>
        <v/>
      </c>
    </row>
    <row r="2592">
      <c r="A2592" t="inlineStr">
        <is>
          <t>RP0002591</t>
        </is>
      </c>
      <c r="B2592" t="inlineStr">
        <is>
          <t>LN200372</t>
        </is>
      </c>
      <c r="C2592" t="n">
        <v>5</v>
      </c>
      <c r="D2592" s="8" t="n">
        <v>45884</v>
      </c>
      <c r="E2592" s="9" t="n">
        <v>3731.78</v>
      </c>
      <c r="F2592" s="8" t="n">
        <v>45966</v>
      </c>
      <c r="G2592" s="9" t="n">
        <v>3731.78</v>
      </c>
      <c r="H2592" t="inlineStr">
        <is>
          <t>PAID_LATE</t>
        </is>
      </c>
      <c r="I2592">
        <f>IF(H2592="UNPAID", AsOfDate-D2592, 0)</f>
        <v/>
      </c>
      <c r="J2592">
        <f>IF(F2592&lt;&gt;"", TEXT(F2592, "yyyy-mm"), "")</f>
        <v/>
      </c>
    </row>
    <row r="2593">
      <c r="A2593" t="inlineStr">
        <is>
          <t>RP0002592</t>
        </is>
      </c>
      <c r="B2593" t="inlineStr">
        <is>
          <t>LN200372</t>
        </is>
      </c>
      <c r="C2593" t="n">
        <v>6</v>
      </c>
      <c r="D2593" s="8" t="n">
        <v>45915</v>
      </c>
      <c r="E2593" s="9" t="n">
        <v>3731.78</v>
      </c>
      <c r="F2593" s="8" t="n">
        <v>45918</v>
      </c>
      <c r="G2593" s="9" t="n">
        <v>3731.78</v>
      </c>
      <c r="H2593" t="inlineStr">
        <is>
          <t>PAID_ON_TIME</t>
        </is>
      </c>
      <c r="I2593">
        <f>IF(H2593="UNPAID", AsOfDate-D2593, 0)</f>
        <v/>
      </c>
      <c r="J2593">
        <f>IF(F2593&lt;&gt;"", TEXT(F2593, "yyyy-mm"), "")</f>
        <v/>
      </c>
    </row>
    <row r="2594">
      <c r="A2594" t="inlineStr">
        <is>
          <t>RP0002593</t>
        </is>
      </c>
      <c r="B2594" t="inlineStr">
        <is>
          <t>LN200372</t>
        </is>
      </c>
      <c r="C2594" t="n">
        <v>7</v>
      </c>
      <c r="D2594" s="8" t="n">
        <v>45945</v>
      </c>
      <c r="E2594" s="9" t="n">
        <v>3731.78</v>
      </c>
      <c r="F2594" s="8" t="n">
        <v>45945</v>
      </c>
      <c r="G2594" s="9" t="n">
        <v>3731.78</v>
      </c>
      <c r="H2594" t="inlineStr">
        <is>
          <t>PAID_ON_TIME</t>
        </is>
      </c>
      <c r="I2594">
        <f>IF(H2594="UNPAID", AsOfDate-D2594, 0)</f>
        <v/>
      </c>
      <c r="J2594">
        <f>IF(F2594&lt;&gt;"", TEXT(F2594, "yyyy-mm"), "")</f>
        <v/>
      </c>
    </row>
    <row r="2595">
      <c r="A2595" t="inlineStr">
        <is>
          <t>RP0002594</t>
        </is>
      </c>
      <c r="B2595" t="inlineStr">
        <is>
          <t>LN200372</t>
        </is>
      </c>
      <c r="C2595" t="n">
        <v>8</v>
      </c>
      <c r="D2595" s="8" t="n">
        <v>45976</v>
      </c>
      <c r="E2595" s="9" t="n">
        <v>3731.78</v>
      </c>
      <c r="F2595" s="8" t="n">
        <v>45980</v>
      </c>
      <c r="G2595" s="9" t="n">
        <v>3731.78</v>
      </c>
      <c r="H2595" t="inlineStr">
        <is>
          <t>PAID_ON_TIME</t>
        </is>
      </c>
      <c r="I2595">
        <f>IF(H2595="UNPAID", AsOfDate-D2595, 0)</f>
        <v/>
      </c>
      <c r="J2595">
        <f>IF(F2595&lt;&gt;"", TEXT(F2595, "yyyy-mm"), "")</f>
        <v/>
      </c>
    </row>
    <row r="2596">
      <c r="A2596" t="inlineStr">
        <is>
          <t>RP0002595</t>
        </is>
      </c>
      <c r="B2596" t="inlineStr">
        <is>
          <t>LN200372</t>
        </is>
      </c>
      <c r="C2596" t="n">
        <v>9</v>
      </c>
      <c r="D2596" s="8" t="n">
        <v>46006</v>
      </c>
      <c r="E2596" s="9" t="n">
        <v>3731.78</v>
      </c>
      <c r="F2596" s="8" t="n">
        <v>46004</v>
      </c>
      <c r="G2596" s="9" t="n">
        <v>3731.78</v>
      </c>
      <c r="H2596" t="inlineStr">
        <is>
          <t>PAID_ON_TIME</t>
        </is>
      </c>
      <c r="I2596">
        <f>IF(H2596="UNPAID", AsOfDate-D2596, 0)</f>
        <v/>
      </c>
      <c r="J2596">
        <f>IF(F2596&lt;&gt;"", TEXT(F2596, "yyyy-mm"), "")</f>
        <v/>
      </c>
    </row>
    <row r="2597">
      <c r="A2597" t="inlineStr">
        <is>
          <t>RP0002596</t>
        </is>
      </c>
      <c r="B2597" t="inlineStr">
        <is>
          <t>LN200372</t>
        </is>
      </c>
      <c r="C2597" t="n">
        <v>10</v>
      </c>
      <c r="D2597" s="8" t="n">
        <v>46037</v>
      </c>
      <c r="E2597" s="9" t="n">
        <v>3731.78</v>
      </c>
      <c r="F2597" s="8" t="n">
        <v>46039</v>
      </c>
      <c r="G2597" s="9" t="n">
        <v>3731.78</v>
      </c>
      <c r="H2597" t="inlineStr">
        <is>
          <t>PAID_ON_TIME</t>
        </is>
      </c>
      <c r="I2597">
        <f>IF(H2597="UNPAID", AsOfDate-D2597, 0)</f>
        <v/>
      </c>
      <c r="J2597">
        <f>IF(F2597&lt;&gt;"", TEXT(F2597, "yyyy-mm"), "")</f>
        <v/>
      </c>
    </row>
    <row r="2598">
      <c r="A2598" t="inlineStr">
        <is>
          <t>RP0002597</t>
        </is>
      </c>
      <c r="B2598" t="inlineStr">
        <is>
          <t>LN200372</t>
        </is>
      </c>
      <c r="C2598" t="n">
        <v>11</v>
      </c>
      <c r="D2598" s="8" t="n">
        <v>46068</v>
      </c>
      <c r="E2598" s="9" t="n">
        <v>3731.78</v>
      </c>
      <c r="F2598" s="8" t="n">
        <v>46068</v>
      </c>
      <c r="G2598" s="9" t="n">
        <v>3731.78</v>
      </c>
      <c r="H2598" t="inlineStr">
        <is>
          <t>PAID_ON_TIME</t>
        </is>
      </c>
      <c r="I2598">
        <f>IF(H2598="UNPAID", AsOfDate-D2598, 0)</f>
        <v/>
      </c>
      <c r="J2598">
        <f>IF(F2598&lt;&gt;"", TEXT(F2598, "yyyy-mm"), "")</f>
        <v/>
      </c>
    </row>
    <row r="2599">
      <c r="A2599" t="inlineStr">
        <is>
          <t>RP0002598</t>
        </is>
      </c>
      <c r="B2599" t="inlineStr">
        <is>
          <t>LN200372</t>
        </is>
      </c>
      <c r="C2599" t="n">
        <v>12</v>
      </c>
      <c r="D2599" s="8" t="n">
        <v>46096</v>
      </c>
      <c r="E2599" s="9" t="n">
        <v>3731.78</v>
      </c>
      <c r="F2599" s="8" t="n">
        <v>46206</v>
      </c>
      <c r="G2599" s="9" t="n">
        <v>3731.78</v>
      </c>
      <c r="H2599" t="inlineStr">
        <is>
          <t>PAID_LATE</t>
        </is>
      </c>
      <c r="I2599">
        <f>IF(H2599="UNPAID", AsOfDate-D2599, 0)</f>
        <v/>
      </c>
      <c r="J2599">
        <f>IF(F2599&lt;&gt;"", TEXT(F2599, "yyyy-mm"), "")</f>
        <v/>
      </c>
    </row>
    <row r="2600">
      <c r="A2600" t="inlineStr">
        <is>
          <t>RP0002599</t>
        </is>
      </c>
      <c r="B2600" t="inlineStr">
        <is>
          <t>LN200372</t>
        </is>
      </c>
      <c r="C2600" t="n">
        <v>13</v>
      </c>
      <c r="D2600" s="8" t="n">
        <v>46127</v>
      </c>
      <c r="E2600" s="9" t="n">
        <v>3731.78</v>
      </c>
      <c r="F2600" s="8" t="n">
        <v>46128</v>
      </c>
      <c r="G2600" s="9" t="n">
        <v>3731.78</v>
      </c>
      <c r="H2600" t="inlineStr">
        <is>
          <t>PAID_ON_TIME</t>
        </is>
      </c>
      <c r="I2600">
        <f>IF(H2600="UNPAID", AsOfDate-D2600, 0)</f>
        <v/>
      </c>
      <c r="J2600">
        <f>IF(F2600&lt;&gt;"", TEXT(F2600, "yyyy-mm"), "")</f>
        <v/>
      </c>
    </row>
    <row r="2601">
      <c r="A2601" t="inlineStr">
        <is>
          <t>RP0002600</t>
        </is>
      </c>
      <c r="B2601" t="inlineStr">
        <is>
          <t>LN200372</t>
        </is>
      </c>
      <c r="C2601" t="n">
        <v>14</v>
      </c>
      <c r="D2601" s="8" t="n">
        <v>46157</v>
      </c>
      <c r="E2601" s="9" t="n">
        <v>3731.78</v>
      </c>
      <c r="F2601" s="8" t="n">
        <v>46160</v>
      </c>
      <c r="G2601" s="9" t="n">
        <v>3731.78</v>
      </c>
      <c r="H2601" t="inlineStr">
        <is>
          <t>PAID_ON_TIME</t>
        </is>
      </c>
      <c r="I2601">
        <f>IF(H2601="UNPAID", AsOfDate-D2601, 0)</f>
        <v/>
      </c>
      <c r="J2601">
        <f>IF(F2601&lt;&gt;"", TEXT(F2601, "yyyy-mm"), "")</f>
        <v/>
      </c>
    </row>
    <row r="2602">
      <c r="A2602" t="inlineStr">
        <is>
          <t>RP0002601</t>
        </is>
      </c>
      <c r="B2602" t="inlineStr">
        <is>
          <t>LN200372</t>
        </is>
      </c>
      <c r="C2602" t="n">
        <v>15</v>
      </c>
      <c r="D2602" s="8" t="n">
        <v>46188</v>
      </c>
      <c r="E2602" s="9" t="n">
        <v>3731.78</v>
      </c>
      <c r="F2602" s="8" t="n">
        <v>46186</v>
      </c>
      <c r="G2602" s="9" t="n">
        <v>3731.78</v>
      </c>
      <c r="H2602" t="inlineStr">
        <is>
          <t>PAID_ON_TIME</t>
        </is>
      </c>
      <c r="I2602">
        <f>IF(H2602="UNPAID", AsOfDate-D2602, 0)</f>
        <v/>
      </c>
      <c r="J2602">
        <f>IF(F2602&lt;&gt;"", TEXT(F2602, "yyyy-mm"), "")</f>
        <v/>
      </c>
    </row>
    <row r="2603">
      <c r="A2603" t="inlineStr">
        <is>
          <t>RP0002602</t>
        </is>
      </c>
      <c r="B2603" t="inlineStr">
        <is>
          <t>LN200372</t>
        </is>
      </c>
      <c r="C2603" t="n">
        <v>16</v>
      </c>
      <c r="D2603" s="8" t="n">
        <v>46218</v>
      </c>
      <c r="E2603" s="9" t="n">
        <v>3731.78</v>
      </c>
      <c r="F2603" s="8" t="n">
        <v>46217</v>
      </c>
      <c r="G2603" s="9" t="n">
        <v>3731.78</v>
      </c>
      <c r="H2603" t="inlineStr">
        <is>
          <t>PAID_ON_TIME</t>
        </is>
      </c>
      <c r="I2603">
        <f>IF(H2603="UNPAID", AsOfDate-D2603, 0)</f>
        <v/>
      </c>
      <c r="J2603">
        <f>IF(F2603&lt;&gt;"", TEXT(F2603, "yyyy-mm"), "")</f>
        <v/>
      </c>
    </row>
    <row r="2604">
      <c r="A2604" t="inlineStr">
        <is>
          <t>RP0002603</t>
        </is>
      </c>
      <c r="B2604" t="inlineStr">
        <is>
          <t>LN200372</t>
        </is>
      </c>
      <c r="C2604" t="n">
        <v>17</v>
      </c>
      <c r="D2604" s="8" t="n">
        <v>46249</v>
      </c>
      <c r="E2604" s="9" t="n">
        <v>3731.78</v>
      </c>
      <c r="F2604" s="8" t="n">
        <v>46253</v>
      </c>
      <c r="G2604" s="9" t="n">
        <v>3731.78</v>
      </c>
      <c r="H2604" t="inlineStr">
        <is>
          <t>PAID_ON_TIME</t>
        </is>
      </c>
      <c r="I2604">
        <f>IF(H2604="UNPAID", AsOfDate-D2604, 0)</f>
        <v/>
      </c>
      <c r="J2604">
        <f>IF(F2604&lt;&gt;"", TEXT(F2604, "yyyy-mm"), "")</f>
        <v/>
      </c>
    </row>
    <row r="2605">
      <c r="A2605" t="inlineStr">
        <is>
          <t>RP0002604</t>
        </is>
      </c>
      <c r="B2605" t="inlineStr">
        <is>
          <t>LN200372</t>
        </is>
      </c>
      <c r="C2605" t="n">
        <v>18</v>
      </c>
      <c r="D2605" s="8" t="n">
        <v>46280</v>
      </c>
      <c r="E2605" s="9" t="n">
        <v>3731.78</v>
      </c>
      <c r="F2605" s="8" t="n"/>
      <c r="G2605" s="9" t="n">
        <v>0</v>
      </c>
      <c r="H2605" t="inlineStr">
        <is>
          <t>NOT_DUE</t>
        </is>
      </c>
      <c r="I2605">
        <f>IF(H2605="UNPAID", AsOfDate-D2605, 0)</f>
        <v/>
      </c>
      <c r="J2605">
        <f>IF(F2605&lt;&gt;"", TEXT(F2605, "yyyy-mm"), "")</f>
        <v/>
      </c>
    </row>
    <row r="2606">
      <c r="A2606" t="inlineStr">
        <is>
          <t>RP0002605</t>
        </is>
      </c>
      <c r="B2606" t="inlineStr">
        <is>
          <t>LN200373</t>
        </is>
      </c>
      <c r="C2606" t="n">
        <v>1</v>
      </c>
      <c r="D2606" s="8" t="n">
        <v>46224</v>
      </c>
      <c r="E2606" s="9" t="n">
        <v>2522.22</v>
      </c>
      <c r="F2606" s="8" t="n">
        <v>46223</v>
      </c>
      <c r="G2606" s="9" t="n">
        <v>2522.22</v>
      </c>
      <c r="H2606" t="inlineStr">
        <is>
          <t>PAID_ON_TIME</t>
        </is>
      </c>
      <c r="I2606">
        <f>IF(H2606="UNPAID", AsOfDate-D2606, 0)</f>
        <v/>
      </c>
      <c r="J2606">
        <f>IF(F2606&lt;&gt;"", TEXT(F2606, "yyyy-mm"), "")</f>
        <v/>
      </c>
    </row>
    <row r="2607">
      <c r="A2607" t="inlineStr">
        <is>
          <t>RP0002606</t>
        </is>
      </c>
      <c r="B2607" t="inlineStr">
        <is>
          <t>LN200373</t>
        </is>
      </c>
      <c r="C2607" t="n">
        <v>2</v>
      </c>
      <c r="D2607" s="8" t="n">
        <v>46255</v>
      </c>
      <c r="E2607" s="9" t="n">
        <v>2522.22</v>
      </c>
      <c r="F2607" s="8" t="n">
        <v>46252</v>
      </c>
      <c r="G2607" s="9" t="n">
        <v>2522.22</v>
      </c>
      <c r="H2607" t="inlineStr">
        <is>
          <t>PAID_ON_TIME</t>
        </is>
      </c>
      <c r="I2607">
        <f>IF(H2607="UNPAID", AsOfDate-D2607, 0)</f>
        <v/>
      </c>
      <c r="J2607">
        <f>IF(F2607&lt;&gt;"", TEXT(F2607, "yyyy-mm"), "")</f>
        <v/>
      </c>
    </row>
    <row r="2608">
      <c r="A2608" t="inlineStr">
        <is>
          <t>RP0002607</t>
        </is>
      </c>
      <c r="B2608" t="inlineStr">
        <is>
          <t>LN200373</t>
        </is>
      </c>
      <c r="C2608" t="n">
        <v>3</v>
      </c>
      <c r="D2608" s="8" t="n">
        <v>46286</v>
      </c>
      <c r="E2608" s="9" t="n">
        <v>2522.22</v>
      </c>
      <c r="F2608" s="8" t="n"/>
      <c r="G2608" s="9" t="n">
        <v>0</v>
      </c>
      <c r="H2608" t="inlineStr">
        <is>
          <t>NOT_DUE</t>
        </is>
      </c>
      <c r="I2608">
        <f>IF(H2608="UNPAID", AsOfDate-D2608, 0)</f>
        <v/>
      </c>
      <c r="J2608">
        <f>IF(F2608&lt;&gt;"", TEXT(F2608, "yyyy-mm"), "")</f>
        <v/>
      </c>
    </row>
    <row r="2609">
      <c r="A2609" t="inlineStr">
        <is>
          <t>RP0002608</t>
        </is>
      </c>
      <c r="B2609" t="inlineStr">
        <is>
          <t>LN200373</t>
        </is>
      </c>
      <c r="C2609" t="n">
        <v>4</v>
      </c>
      <c r="D2609" s="8" t="n">
        <v>46316</v>
      </c>
      <c r="E2609" s="9" t="n">
        <v>2522.22</v>
      </c>
      <c r="F2609" s="8" t="n"/>
      <c r="G2609" s="9" t="n">
        <v>0</v>
      </c>
      <c r="H2609" t="inlineStr">
        <is>
          <t>NOT_DUE</t>
        </is>
      </c>
      <c r="I2609">
        <f>IF(H2609="UNPAID", AsOfDate-D2609, 0)</f>
        <v/>
      </c>
      <c r="J2609">
        <f>IF(F2609&lt;&gt;"", TEXT(F2609, "yyyy-mm"), "")</f>
        <v/>
      </c>
    </row>
    <row r="2610">
      <c r="A2610" t="inlineStr">
        <is>
          <t>RP0002609</t>
        </is>
      </c>
      <c r="B2610" t="inlineStr">
        <is>
          <t>LN200373</t>
        </is>
      </c>
      <c r="C2610" t="n">
        <v>5</v>
      </c>
      <c r="D2610" s="8" t="n">
        <v>46347</v>
      </c>
      <c r="E2610" s="9" t="n">
        <v>2522.22</v>
      </c>
      <c r="F2610" s="8" t="n"/>
      <c r="G2610" s="9" t="n">
        <v>0</v>
      </c>
      <c r="H2610" t="inlineStr">
        <is>
          <t>NOT_DUE</t>
        </is>
      </c>
      <c r="I2610">
        <f>IF(H2610="UNPAID", AsOfDate-D2610, 0)</f>
        <v/>
      </c>
      <c r="J2610">
        <f>IF(F2610&lt;&gt;"", TEXT(F2610, "yyyy-mm"), "")</f>
        <v/>
      </c>
    </row>
    <row r="2611">
      <c r="A2611" t="inlineStr">
        <is>
          <t>RP0002610</t>
        </is>
      </c>
      <c r="B2611" t="inlineStr">
        <is>
          <t>LN200373</t>
        </is>
      </c>
      <c r="C2611" t="n">
        <v>6</v>
      </c>
      <c r="D2611" s="8" t="n">
        <v>46377</v>
      </c>
      <c r="E2611" s="9" t="n">
        <v>2522.22</v>
      </c>
      <c r="F2611" s="8" t="n"/>
      <c r="G2611" s="9" t="n">
        <v>0</v>
      </c>
      <c r="H2611" t="inlineStr">
        <is>
          <t>NOT_DUE</t>
        </is>
      </c>
      <c r="I2611">
        <f>IF(H2611="UNPAID", AsOfDate-D2611, 0)</f>
        <v/>
      </c>
      <c r="J2611">
        <f>IF(F2611&lt;&gt;"", TEXT(F2611, "yyyy-mm"), "")</f>
        <v/>
      </c>
    </row>
    <row r="2612">
      <c r="A2612" t="inlineStr">
        <is>
          <t>RP0002611</t>
        </is>
      </c>
      <c r="B2612" t="inlineStr">
        <is>
          <t>LN200373</t>
        </is>
      </c>
      <c r="C2612" t="n">
        <v>7</v>
      </c>
      <c r="D2612" s="8" t="n">
        <v>46408</v>
      </c>
      <c r="E2612" s="9" t="n">
        <v>2522.22</v>
      </c>
      <c r="F2612" s="8" t="n"/>
      <c r="G2612" s="9" t="n">
        <v>0</v>
      </c>
      <c r="H2612" t="inlineStr">
        <is>
          <t>NOT_DUE</t>
        </is>
      </c>
      <c r="I2612">
        <f>IF(H2612="UNPAID", AsOfDate-D2612, 0)</f>
        <v/>
      </c>
      <c r="J2612">
        <f>IF(F2612&lt;&gt;"", TEXT(F2612, "yyyy-mm"), "")</f>
        <v/>
      </c>
    </row>
    <row r="2613">
      <c r="A2613" t="inlineStr">
        <is>
          <t>RP0002612</t>
        </is>
      </c>
      <c r="B2613" t="inlineStr">
        <is>
          <t>LN200373</t>
        </is>
      </c>
      <c r="C2613" t="n">
        <v>8</v>
      </c>
      <c r="D2613" s="8" t="n">
        <v>46439</v>
      </c>
      <c r="E2613" s="9" t="n">
        <v>2522.22</v>
      </c>
      <c r="F2613" s="8" t="n"/>
      <c r="G2613" s="9" t="n">
        <v>0</v>
      </c>
      <c r="H2613" t="inlineStr">
        <is>
          <t>NOT_DUE</t>
        </is>
      </c>
      <c r="I2613">
        <f>IF(H2613="UNPAID", AsOfDate-D2613, 0)</f>
        <v/>
      </c>
      <c r="J2613">
        <f>IF(F2613&lt;&gt;"", TEXT(F2613, "yyyy-mm"), "")</f>
        <v/>
      </c>
    </row>
    <row r="2614">
      <c r="A2614" t="inlineStr">
        <is>
          <t>RP0002613</t>
        </is>
      </c>
      <c r="B2614" t="inlineStr">
        <is>
          <t>LN200373</t>
        </is>
      </c>
      <c r="C2614" t="n">
        <v>9</v>
      </c>
      <c r="D2614" s="8" t="n">
        <v>46467</v>
      </c>
      <c r="E2614" s="9" t="n">
        <v>2522.22</v>
      </c>
      <c r="F2614" s="8" t="n"/>
      <c r="G2614" s="9" t="n">
        <v>0</v>
      </c>
      <c r="H2614" t="inlineStr">
        <is>
          <t>NOT_DUE</t>
        </is>
      </c>
      <c r="I2614">
        <f>IF(H2614="UNPAID", AsOfDate-D2614, 0)</f>
        <v/>
      </c>
      <c r="J2614">
        <f>IF(F2614&lt;&gt;"", TEXT(F2614, "yyyy-mm"), "")</f>
        <v/>
      </c>
    </row>
    <row r="2615">
      <c r="A2615" t="inlineStr">
        <is>
          <t>RP0002614</t>
        </is>
      </c>
      <c r="B2615" t="inlineStr">
        <is>
          <t>LN200375</t>
        </is>
      </c>
      <c r="C2615" t="n">
        <v>1</v>
      </c>
      <c r="D2615" s="8" t="n">
        <v>45796</v>
      </c>
      <c r="E2615" s="9" t="n">
        <v>15553.33</v>
      </c>
      <c r="F2615" s="8" t="n">
        <v>45799</v>
      </c>
      <c r="G2615" s="9" t="n">
        <v>15553.33</v>
      </c>
      <c r="H2615" t="inlineStr">
        <is>
          <t>PAID_ON_TIME</t>
        </is>
      </c>
      <c r="I2615">
        <f>IF(H2615="UNPAID", AsOfDate-D2615, 0)</f>
        <v/>
      </c>
      <c r="J2615">
        <f>IF(F2615&lt;&gt;"", TEXT(F2615, "yyyy-mm"), "")</f>
        <v/>
      </c>
    </row>
    <row r="2616">
      <c r="A2616" t="inlineStr">
        <is>
          <t>RP0002615</t>
        </is>
      </c>
      <c r="B2616" t="inlineStr">
        <is>
          <t>LN200375</t>
        </is>
      </c>
      <c r="C2616" t="n">
        <v>2</v>
      </c>
      <c r="D2616" s="8" t="n">
        <v>45827</v>
      </c>
      <c r="E2616" s="9" t="n">
        <v>15553.33</v>
      </c>
      <c r="F2616" s="8" t="n">
        <v>45829</v>
      </c>
      <c r="G2616" s="9" t="n">
        <v>15553.33</v>
      </c>
      <c r="H2616" t="inlineStr">
        <is>
          <t>PAID_ON_TIME</t>
        </is>
      </c>
      <c r="I2616">
        <f>IF(H2616="UNPAID", AsOfDate-D2616, 0)</f>
        <v/>
      </c>
      <c r="J2616">
        <f>IF(F2616&lt;&gt;"", TEXT(F2616, "yyyy-mm"), "")</f>
        <v/>
      </c>
    </row>
    <row r="2617">
      <c r="A2617" t="inlineStr">
        <is>
          <t>RP0002616</t>
        </is>
      </c>
      <c r="B2617" t="inlineStr">
        <is>
          <t>LN200375</t>
        </is>
      </c>
      <c r="C2617" t="n">
        <v>3</v>
      </c>
      <c r="D2617" s="8" t="n">
        <v>45857</v>
      </c>
      <c r="E2617" s="9" t="n">
        <v>15553.33</v>
      </c>
      <c r="F2617" s="8" t="n">
        <v>45858</v>
      </c>
      <c r="G2617" s="9" t="n">
        <v>15553.33</v>
      </c>
      <c r="H2617" t="inlineStr">
        <is>
          <t>PAID_ON_TIME</t>
        </is>
      </c>
      <c r="I2617">
        <f>IF(H2617="UNPAID", AsOfDate-D2617, 0)</f>
        <v/>
      </c>
      <c r="J2617">
        <f>IF(F2617&lt;&gt;"", TEXT(F2617, "yyyy-mm"), "")</f>
        <v/>
      </c>
    </row>
    <row r="2618">
      <c r="A2618" t="inlineStr">
        <is>
          <t>RP0002617</t>
        </is>
      </c>
      <c r="B2618" t="inlineStr">
        <is>
          <t>LN200375</t>
        </is>
      </c>
      <c r="C2618" t="n">
        <v>4</v>
      </c>
      <c r="D2618" s="8" t="n">
        <v>45888</v>
      </c>
      <c r="E2618" s="9" t="n">
        <v>15553.33</v>
      </c>
      <c r="F2618" s="8" t="n">
        <v>45951</v>
      </c>
      <c r="G2618" s="9" t="n">
        <v>15553.33</v>
      </c>
      <c r="H2618" t="inlineStr">
        <is>
          <t>PAID_LATE</t>
        </is>
      </c>
      <c r="I2618">
        <f>IF(H2618="UNPAID", AsOfDate-D2618, 0)</f>
        <v/>
      </c>
      <c r="J2618">
        <f>IF(F2618&lt;&gt;"", TEXT(F2618, "yyyy-mm"), "")</f>
        <v/>
      </c>
    </row>
    <row r="2619">
      <c r="A2619" t="inlineStr">
        <is>
          <t>RP0002618</t>
        </is>
      </c>
      <c r="B2619" t="inlineStr">
        <is>
          <t>LN200375</t>
        </is>
      </c>
      <c r="C2619" t="n">
        <v>5</v>
      </c>
      <c r="D2619" s="8" t="n">
        <v>45919</v>
      </c>
      <c r="E2619" s="9" t="n">
        <v>15553.33</v>
      </c>
      <c r="F2619" s="8" t="n">
        <v>45921</v>
      </c>
      <c r="G2619" s="9" t="n">
        <v>15553.33</v>
      </c>
      <c r="H2619" t="inlineStr">
        <is>
          <t>PAID_ON_TIME</t>
        </is>
      </c>
      <c r="I2619">
        <f>IF(H2619="UNPAID", AsOfDate-D2619, 0)</f>
        <v/>
      </c>
      <c r="J2619">
        <f>IF(F2619&lt;&gt;"", TEXT(F2619, "yyyy-mm"), "")</f>
        <v/>
      </c>
    </row>
    <row r="2620">
      <c r="A2620" t="inlineStr">
        <is>
          <t>RP0002619</t>
        </is>
      </c>
      <c r="B2620" t="inlineStr">
        <is>
          <t>LN200375</t>
        </is>
      </c>
      <c r="C2620" t="n">
        <v>6</v>
      </c>
      <c r="D2620" s="8" t="n">
        <v>45949</v>
      </c>
      <c r="E2620" s="9" t="n">
        <v>15553.33</v>
      </c>
      <c r="F2620" s="8" t="n">
        <v>45952</v>
      </c>
      <c r="G2620" s="9" t="n">
        <v>15553.33</v>
      </c>
      <c r="H2620" t="inlineStr">
        <is>
          <t>PAID_ON_TIME</t>
        </is>
      </c>
      <c r="I2620">
        <f>IF(H2620="UNPAID", AsOfDate-D2620, 0)</f>
        <v/>
      </c>
      <c r="J2620">
        <f>IF(F2620&lt;&gt;"", TEXT(F2620, "yyyy-mm"), "")</f>
        <v/>
      </c>
    </row>
    <row r="2621">
      <c r="A2621" t="inlineStr">
        <is>
          <t>RP0002620</t>
        </is>
      </c>
      <c r="B2621" t="inlineStr">
        <is>
          <t>LN200375</t>
        </is>
      </c>
      <c r="C2621" t="n">
        <v>7</v>
      </c>
      <c r="D2621" s="8" t="n">
        <v>45980</v>
      </c>
      <c r="E2621" s="9" t="n">
        <v>15553.33</v>
      </c>
      <c r="F2621" s="8" t="n">
        <v>45977</v>
      </c>
      <c r="G2621" s="9" t="n">
        <v>15553.33</v>
      </c>
      <c r="H2621" t="inlineStr">
        <is>
          <t>PAID_ON_TIME</t>
        </is>
      </c>
      <c r="I2621">
        <f>IF(H2621="UNPAID", AsOfDate-D2621, 0)</f>
        <v/>
      </c>
      <c r="J2621">
        <f>IF(F2621&lt;&gt;"", TEXT(F2621, "yyyy-mm"), "")</f>
        <v/>
      </c>
    </row>
    <row r="2622">
      <c r="A2622" t="inlineStr">
        <is>
          <t>RP0002621</t>
        </is>
      </c>
      <c r="B2622" t="inlineStr">
        <is>
          <t>LN200375</t>
        </is>
      </c>
      <c r="C2622" t="n">
        <v>8</v>
      </c>
      <c r="D2622" s="8" t="n">
        <v>46010</v>
      </c>
      <c r="E2622" s="9" t="n">
        <v>15553.33</v>
      </c>
      <c r="F2622" s="8" t="n">
        <v>46008</v>
      </c>
      <c r="G2622" s="9" t="n">
        <v>15553.33</v>
      </c>
      <c r="H2622" t="inlineStr">
        <is>
          <t>PAID_ON_TIME</t>
        </is>
      </c>
      <c r="I2622">
        <f>IF(H2622="UNPAID", AsOfDate-D2622, 0)</f>
        <v/>
      </c>
      <c r="J2622">
        <f>IF(F2622&lt;&gt;"", TEXT(F2622, "yyyy-mm"), "")</f>
        <v/>
      </c>
    </row>
    <row r="2623">
      <c r="A2623" t="inlineStr">
        <is>
          <t>RP0002622</t>
        </is>
      </c>
      <c r="B2623" t="inlineStr">
        <is>
          <t>LN200375</t>
        </is>
      </c>
      <c r="C2623" t="n">
        <v>9</v>
      </c>
      <c r="D2623" s="8" t="n">
        <v>46041</v>
      </c>
      <c r="E2623" s="9" t="n">
        <v>15553.33</v>
      </c>
      <c r="F2623" s="8" t="n">
        <v>46039</v>
      </c>
      <c r="G2623" s="9" t="n">
        <v>15553.33</v>
      </c>
      <c r="H2623" t="inlineStr">
        <is>
          <t>PAID_ON_TIME</t>
        </is>
      </c>
      <c r="I2623">
        <f>IF(H2623="UNPAID", AsOfDate-D2623, 0)</f>
        <v/>
      </c>
      <c r="J2623">
        <f>IF(F2623&lt;&gt;"", TEXT(F2623, "yyyy-mm"), "")</f>
        <v/>
      </c>
    </row>
    <row r="2624">
      <c r="A2624" t="inlineStr">
        <is>
          <t>RP0002623</t>
        </is>
      </c>
      <c r="B2624" t="inlineStr">
        <is>
          <t>LN200376</t>
        </is>
      </c>
      <c r="C2624" t="n">
        <v>1</v>
      </c>
      <c r="D2624" s="8" t="n">
        <v>46048</v>
      </c>
      <c r="E2624" s="9" t="n">
        <v>12267.5</v>
      </c>
      <c r="F2624" s="8" t="n">
        <v>46045</v>
      </c>
      <c r="G2624" s="9" t="n">
        <v>12267.5</v>
      </c>
      <c r="H2624" t="inlineStr">
        <is>
          <t>PAID_ON_TIME</t>
        </is>
      </c>
      <c r="I2624">
        <f>IF(H2624="UNPAID", AsOfDate-D2624, 0)</f>
        <v/>
      </c>
      <c r="J2624">
        <f>IF(F2624&lt;&gt;"", TEXT(F2624, "yyyy-mm"), "")</f>
        <v/>
      </c>
    </row>
    <row r="2625">
      <c r="A2625" t="inlineStr">
        <is>
          <t>RP0002624</t>
        </is>
      </c>
      <c r="B2625" t="inlineStr">
        <is>
          <t>LN200376</t>
        </is>
      </c>
      <c r="C2625" t="n">
        <v>2</v>
      </c>
      <c r="D2625" s="8" t="n">
        <v>46079</v>
      </c>
      <c r="E2625" s="9" t="n">
        <v>12267.5</v>
      </c>
      <c r="F2625" s="8" t="n"/>
      <c r="G2625" s="9" t="n">
        <v>0</v>
      </c>
      <c r="H2625" t="inlineStr">
        <is>
          <t>UNPAID</t>
        </is>
      </c>
      <c r="I2625">
        <f>IF(H2625="UNPAID", AsOfDate-D2625, 0)</f>
        <v/>
      </c>
      <c r="J2625">
        <f>IF(F2625&lt;&gt;"", TEXT(F2625, "yyyy-mm"), "")</f>
        <v/>
      </c>
    </row>
    <row r="2626">
      <c r="A2626" t="inlineStr">
        <is>
          <t>RP0002625</t>
        </is>
      </c>
      <c r="B2626" t="inlineStr">
        <is>
          <t>LN200376</t>
        </is>
      </c>
      <c r="C2626" t="n">
        <v>3</v>
      </c>
      <c r="D2626" s="8" t="n">
        <v>46107</v>
      </c>
      <c r="E2626" s="9" t="n">
        <v>12267.5</v>
      </c>
      <c r="F2626" s="8" t="n">
        <v>46105</v>
      </c>
      <c r="G2626" s="9" t="n">
        <v>12267.5</v>
      </c>
      <c r="H2626" t="inlineStr">
        <is>
          <t>PAID_ON_TIME</t>
        </is>
      </c>
      <c r="I2626">
        <f>IF(H2626="UNPAID", AsOfDate-D2626, 0)</f>
        <v/>
      </c>
      <c r="J2626">
        <f>IF(F2626&lt;&gt;"", TEXT(F2626, "yyyy-mm"), "")</f>
        <v/>
      </c>
    </row>
    <row r="2627">
      <c r="A2627" t="inlineStr">
        <is>
          <t>RP0002626</t>
        </is>
      </c>
      <c r="B2627" t="inlineStr">
        <is>
          <t>LN200377</t>
        </is>
      </c>
      <c r="C2627" t="n">
        <v>1</v>
      </c>
      <c r="D2627" s="8" t="n">
        <v>45985</v>
      </c>
      <c r="E2627" s="9" t="n">
        <v>9017.67</v>
      </c>
      <c r="F2627" s="8" t="n">
        <v>45983</v>
      </c>
      <c r="G2627" s="9" t="n">
        <v>9017.67</v>
      </c>
      <c r="H2627" t="inlineStr">
        <is>
          <t>PAID_ON_TIME</t>
        </is>
      </c>
      <c r="I2627">
        <f>IF(H2627="UNPAID", AsOfDate-D2627, 0)</f>
        <v/>
      </c>
      <c r="J2627">
        <f>IF(F2627&lt;&gt;"", TEXT(F2627, "yyyy-mm"), "")</f>
        <v/>
      </c>
    </row>
    <row r="2628">
      <c r="A2628" t="inlineStr">
        <is>
          <t>RP0002627</t>
        </is>
      </c>
      <c r="B2628" t="inlineStr">
        <is>
          <t>LN200377</t>
        </is>
      </c>
      <c r="C2628" t="n">
        <v>2</v>
      </c>
      <c r="D2628" s="8" t="n">
        <v>46015</v>
      </c>
      <c r="E2628" s="9" t="n">
        <v>9017.67</v>
      </c>
      <c r="F2628" s="8" t="n">
        <v>46016</v>
      </c>
      <c r="G2628" s="9" t="n">
        <v>9017.67</v>
      </c>
      <c r="H2628" t="inlineStr">
        <is>
          <t>PAID_ON_TIME</t>
        </is>
      </c>
      <c r="I2628">
        <f>IF(H2628="UNPAID", AsOfDate-D2628, 0)</f>
        <v/>
      </c>
      <c r="J2628">
        <f>IF(F2628&lt;&gt;"", TEXT(F2628, "yyyy-mm"), "")</f>
        <v/>
      </c>
    </row>
    <row r="2629">
      <c r="A2629" t="inlineStr">
        <is>
          <t>RP0002628</t>
        </is>
      </c>
      <c r="B2629" t="inlineStr">
        <is>
          <t>LN200377</t>
        </is>
      </c>
      <c r="C2629" t="n">
        <v>3</v>
      </c>
      <c r="D2629" s="8" t="n">
        <v>46046</v>
      </c>
      <c r="E2629" s="9" t="n">
        <v>9017.67</v>
      </c>
      <c r="F2629" s="8" t="n">
        <v>46044</v>
      </c>
      <c r="G2629" s="9" t="n">
        <v>9017.67</v>
      </c>
      <c r="H2629" t="inlineStr">
        <is>
          <t>PAID_ON_TIME</t>
        </is>
      </c>
      <c r="I2629">
        <f>IF(H2629="UNPAID", AsOfDate-D2629, 0)</f>
        <v/>
      </c>
      <c r="J2629">
        <f>IF(F2629&lt;&gt;"", TEXT(F2629, "yyyy-mm"), "")</f>
        <v/>
      </c>
    </row>
    <row r="2630">
      <c r="A2630" t="inlineStr">
        <is>
          <t>RP0002629</t>
        </is>
      </c>
      <c r="B2630" t="inlineStr">
        <is>
          <t>LN200378</t>
        </is>
      </c>
      <c r="C2630" t="n">
        <v>1</v>
      </c>
      <c r="D2630" s="8" t="n">
        <v>45955</v>
      </c>
      <c r="E2630" s="9" t="n">
        <v>6801.67</v>
      </c>
      <c r="F2630" s="8" t="n">
        <v>45958</v>
      </c>
      <c r="G2630" s="9" t="n">
        <v>6801.67</v>
      </c>
      <c r="H2630" t="inlineStr">
        <is>
          <t>PAID_ON_TIME</t>
        </is>
      </c>
      <c r="I2630">
        <f>IF(H2630="UNPAID", AsOfDate-D2630, 0)</f>
        <v/>
      </c>
      <c r="J2630">
        <f>IF(F2630&lt;&gt;"", TEXT(F2630, "yyyy-mm"), "")</f>
        <v/>
      </c>
    </row>
    <row r="2631">
      <c r="A2631" t="inlineStr">
        <is>
          <t>RP0002630</t>
        </is>
      </c>
      <c r="B2631" t="inlineStr">
        <is>
          <t>LN200378</t>
        </is>
      </c>
      <c r="C2631" t="n">
        <v>2</v>
      </c>
      <c r="D2631" s="8" t="n">
        <v>45986</v>
      </c>
      <c r="E2631" s="9" t="n">
        <v>6801.67</v>
      </c>
      <c r="F2631" s="8" t="n"/>
      <c r="G2631" s="9" t="n">
        <v>0</v>
      </c>
      <c r="H2631" t="inlineStr">
        <is>
          <t>UNPAID</t>
        </is>
      </c>
      <c r="I2631">
        <f>IF(H2631="UNPAID", AsOfDate-D2631, 0)</f>
        <v/>
      </c>
      <c r="J2631">
        <f>IF(F2631&lt;&gt;"", TEXT(F2631, "yyyy-mm"), "")</f>
        <v/>
      </c>
    </row>
    <row r="2632">
      <c r="A2632" t="inlineStr">
        <is>
          <t>RP0002631</t>
        </is>
      </c>
      <c r="B2632" t="inlineStr">
        <is>
          <t>LN200378</t>
        </is>
      </c>
      <c r="C2632" t="n">
        <v>3</v>
      </c>
      <c r="D2632" s="8" t="n">
        <v>46016</v>
      </c>
      <c r="E2632" s="9" t="n">
        <v>6801.67</v>
      </c>
      <c r="F2632" s="8" t="n">
        <v>46015</v>
      </c>
      <c r="G2632" s="9" t="n">
        <v>6801.67</v>
      </c>
      <c r="H2632" t="inlineStr">
        <is>
          <t>PAID_ON_TIME</t>
        </is>
      </c>
      <c r="I2632">
        <f>IF(H2632="UNPAID", AsOfDate-D2632, 0)</f>
        <v/>
      </c>
      <c r="J2632">
        <f>IF(F2632&lt;&gt;"", TEXT(F2632, "yyyy-mm"), "")</f>
        <v/>
      </c>
    </row>
    <row r="2633">
      <c r="A2633" t="inlineStr">
        <is>
          <t>RP0002632</t>
        </is>
      </c>
      <c r="B2633" t="inlineStr">
        <is>
          <t>LN200378</t>
        </is>
      </c>
      <c r="C2633" t="n">
        <v>4</v>
      </c>
      <c r="D2633" s="8" t="n">
        <v>46047</v>
      </c>
      <c r="E2633" s="9" t="n">
        <v>6801.67</v>
      </c>
      <c r="F2633" s="8" t="n">
        <v>46045</v>
      </c>
      <c r="G2633" s="9" t="n">
        <v>6801.67</v>
      </c>
      <c r="H2633" t="inlineStr">
        <is>
          <t>PAID_ON_TIME</t>
        </is>
      </c>
      <c r="I2633">
        <f>IF(H2633="UNPAID", AsOfDate-D2633, 0)</f>
        <v/>
      </c>
      <c r="J2633">
        <f>IF(F2633&lt;&gt;"", TEXT(F2633, "yyyy-mm"), "")</f>
        <v/>
      </c>
    </row>
    <row r="2634">
      <c r="A2634" t="inlineStr">
        <is>
          <t>RP0002633</t>
        </is>
      </c>
      <c r="B2634" t="inlineStr">
        <is>
          <t>LN200378</t>
        </is>
      </c>
      <c r="C2634" t="n">
        <v>5</v>
      </c>
      <c r="D2634" s="8" t="n">
        <v>46078</v>
      </c>
      <c r="E2634" s="9" t="n">
        <v>6801.67</v>
      </c>
      <c r="F2634" s="8" t="n">
        <v>46081</v>
      </c>
      <c r="G2634" s="9" t="n">
        <v>6801.67</v>
      </c>
      <c r="H2634" t="inlineStr">
        <is>
          <t>PAID_ON_TIME</t>
        </is>
      </c>
      <c r="I2634">
        <f>IF(H2634="UNPAID", AsOfDate-D2634, 0)</f>
        <v/>
      </c>
      <c r="J2634">
        <f>IF(F2634&lt;&gt;"", TEXT(F2634, "yyyy-mm"), "")</f>
        <v/>
      </c>
    </row>
    <row r="2635">
      <c r="A2635" t="inlineStr">
        <is>
          <t>RP0002634</t>
        </is>
      </c>
      <c r="B2635" t="inlineStr">
        <is>
          <t>LN200378</t>
        </is>
      </c>
      <c r="C2635" t="n">
        <v>6</v>
      </c>
      <c r="D2635" s="8" t="n">
        <v>46106</v>
      </c>
      <c r="E2635" s="9" t="n">
        <v>6801.67</v>
      </c>
      <c r="F2635" s="8" t="n">
        <v>46104</v>
      </c>
      <c r="G2635" s="9" t="n">
        <v>6801.67</v>
      </c>
      <c r="H2635" t="inlineStr">
        <is>
          <t>PAID_ON_TIME</t>
        </is>
      </c>
      <c r="I2635">
        <f>IF(H2635="UNPAID", AsOfDate-D2635, 0)</f>
        <v/>
      </c>
      <c r="J2635">
        <f>IF(F2635&lt;&gt;"", TEXT(F2635, "yyyy-mm"), "")</f>
        <v/>
      </c>
    </row>
    <row r="2636">
      <c r="A2636" t="inlineStr">
        <is>
          <t>RP0002635</t>
        </is>
      </c>
      <c r="B2636" t="inlineStr">
        <is>
          <t>LN200378</t>
        </is>
      </c>
      <c r="C2636" t="n">
        <v>7</v>
      </c>
      <c r="D2636" s="8" t="n">
        <v>46137</v>
      </c>
      <c r="E2636" s="9" t="n">
        <v>6801.67</v>
      </c>
      <c r="F2636" s="8" t="n">
        <v>46141</v>
      </c>
      <c r="G2636" s="9" t="n">
        <v>6801.67</v>
      </c>
      <c r="H2636" t="inlineStr">
        <is>
          <t>PAID_ON_TIME</t>
        </is>
      </c>
      <c r="I2636">
        <f>IF(H2636="UNPAID", AsOfDate-D2636, 0)</f>
        <v/>
      </c>
      <c r="J2636">
        <f>IF(F2636&lt;&gt;"", TEXT(F2636, "yyyy-mm"), "")</f>
        <v/>
      </c>
    </row>
    <row r="2637">
      <c r="A2637" t="inlineStr">
        <is>
          <t>RP0002636</t>
        </is>
      </c>
      <c r="B2637" t="inlineStr">
        <is>
          <t>LN200378</t>
        </is>
      </c>
      <c r="C2637" t="n">
        <v>8</v>
      </c>
      <c r="D2637" s="8" t="n">
        <v>46167</v>
      </c>
      <c r="E2637" s="9" t="n">
        <v>6801.67</v>
      </c>
      <c r="F2637" s="8" t="n">
        <v>46165</v>
      </c>
      <c r="G2637" s="9" t="n">
        <v>6801.67</v>
      </c>
      <c r="H2637" t="inlineStr">
        <is>
          <t>PAID_ON_TIME</t>
        </is>
      </c>
      <c r="I2637">
        <f>IF(H2637="UNPAID", AsOfDate-D2637, 0)</f>
        <v/>
      </c>
      <c r="J2637">
        <f>IF(F2637&lt;&gt;"", TEXT(F2637, "yyyy-mm"), "")</f>
        <v/>
      </c>
    </row>
    <row r="2638">
      <c r="A2638" t="inlineStr">
        <is>
          <t>RP0002637</t>
        </is>
      </c>
      <c r="B2638" t="inlineStr">
        <is>
          <t>LN200378</t>
        </is>
      </c>
      <c r="C2638" t="n">
        <v>9</v>
      </c>
      <c r="D2638" s="8" t="n">
        <v>46198</v>
      </c>
      <c r="E2638" s="9" t="n">
        <v>6801.67</v>
      </c>
      <c r="F2638" s="8" t="n"/>
      <c r="G2638" s="9" t="n">
        <v>0</v>
      </c>
      <c r="H2638" t="inlineStr">
        <is>
          <t>UNPAID</t>
        </is>
      </c>
      <c r="I2638">
        <f>IF(H2638="UNPAID", AsOfDate-D2638, 0)</f>
        <v/>
      </c>
      <c r="J2638">
        <f>IF(F2638&lt;&gt;"", TEXT(F2638, "yyyy-mm"), "")</f>
        <v/>
      </c>
    </row>
    <row r="2639">
      <c r="A2639" t="inlineStr">
        <is>
          <t>RP0002638</t>
        </is>
      </c>
      <c r="B2639" t="inlineStr">
        <is>
          <t>LN200378</t>
        </is>
      </c>
      <c r="C2639" t="n">
        <v>10</v>
      </c>
      <c r="D2639" s="8" t="n">
        <v>46228</v>
      </c>
      <c r="E2639" s="9" t="n">
        <v>6801.67</v>
      </c>
      <c r="F2639" s="8" t="n">
        <v>46227</v>
      </c>
      <c r="G2639" s="9" t="n">
        <v>6801.67</v>
      </c>
      <c r="H2639" t="inlineStr">
        <is>
          <t>PAID_ON_TIME</t>
        </is>
      </c>
      <c r="I2639">
        <f>IF(H2639="UNPAID", AsOfDate-D2639, 0)</f>
        <v/>
      </c>
      <c r="J2639">
        <f>IF(F2639&lt;&gt;"", TEXT(F2639, "yyyy-mm"), "")</f>
        <v/>
      </c>
    </row>
    <row r="2640">
      <c r="A2640" t="inlineStr">
        <is>
          <t>RP0002639</t>
        </is>
      </c>
      <c r="B2640" t="inlineStr">
        <is>
          <t>LN200378</t>
        </is>
      </c>
      <c r="C2640" t="n">
        <v>11</v>
      </c>
      <c r="D2640" s="8" t="n">
        <v>46259</v>
      </c>
      <c r="E2640" s="9" t="n">
        <v>6801.67</v>
      </c>
      <c r="F2640" s="8" t="n">
        <v>46261</v>
      </c>
      <c r="G2640" s="9" t="n">
        <v>6801.67</v>
      </c>
      <c r="H2640" t="inlineStr">
        <is>
          <t>PAID_ON_TIME</t>
        </is>
      </c>
      <c r="I2640">
        <f>IF(H2640="UNPAID", AsOfDate-D2640, 0)</f>
        <v/>
      </c>
      <c r="J2640">
        <f>IF(F2640&lt;&gt;"", TEXT(F2640, "yyyy-mm"), "")</f>
        <v/>
      </c>
    </row>
    <row r="2641">
      <c r="A2641" t="inlineStr">
        <is>
          <t>RP0002640</t>
        </is>
      </c>
      <c r="B2641" t="inlineStr">
        <is>
          <t>LN200378</t>
        </is>
      </c>
      <c r="C2641" t="n">
        <v>12</v>
      </c>
      <c r="D2641" s="8" t="n">
        <v>46290</v>
      </c>
      <c r="E2641" s="9" t="n">
        <v>6801.67</v>
      </c>
      <c r="F2641" s="8" t="n"/>
      <c r="G2641" s="9" t="n">
        <v>0</v>
      </c>
      <c r="H2641" t="inlineStr">
        <is>
          <t>NOT_DUE</t>
        </is>
      </c>
      <c r="I2641">
        <f>IF(H2641="UNPAID", AsOfDate-D2641, 0)</f>
        <v/>
      </c>
      <c r="J2641">
        <f>IF(F2641&lt;&gt;"", TEXT(F2641, "yyyy-mm"), "")</f>
        <v/>
      </c>
    </row>
    <row r="2642">
      <c r="A2642" t="inlineStr">
        <is>
          <t>RP0002641</t>
        </is>
      </c>
      <c r="B2642" t="inlineStr">
        <is>
          <t>LN200379</t>
        </is>
      </c>
      <c r="C2642" t="n">
        <v>1</v>
      </c>
      <c r="D2642" s="8" t="n">
        <v>45787</v>
      </c>
      <c r="E2642" s="9" t="n">
        <v>14822.5</v>
      </c>
      <c r="F2642" s="8" t="n">
        <v>45785</v>
      </c>
      <c r="G2642" s="9" t="n">
        <v>14822.5</v>
      </c>
      <c r="H2642" t="inlineStr">
        <is>
          <t>PAID_ON_TIME</t>
        </is>
      </c>
      <c r="I2642">
        <f>IF(H2642="UNPAID", AsOfDate-D2642, 0)</f>
        <v/>
      </c>
      <c r="J2642">
        <f>IF(F2642&lt;&gt;"", TEXT(F2642, "yyyy-mm"), "")</f>
        <v/>
      </c>
    </row>
    <row r="2643">
      <c r="A2643" t="inlineStr">
        <is>
          <t>RP0002642</t>
        </is>
      </c>
      <c r="B2643" t="inlineStr">
        <is>
          <t>LN200379</t>
        </is>
      </c>
      <c r="C2643" t="n">
        <v>2</v>
      </c>
      <c r="D2643" s="8" t="n">
        <v>45818</v>
      </c>
      <c r="E2643" s="9" t="n">
        <v>14822.5</v>
      </c>
      <c r="F2643" s="8" t="n">
        <v>45916</v>
      </c>
      <c r="G2643" s="9" t="n">
        <v>14822.5</v>
      </c>
      <c r="H2643" t="inlineStr">
        <is>
          <t>PAID_LATE</t>
        </is>
      </c>
      <c r="I2643">
        <f>IF(H2643="UNPAID", AsOfDate-D2643, 0)</f>
        <v/>
      </c>
      <c r="J2643">
        <f>IF(F2643&lt;&gt;"", TEXT(F2643, "yyyy-mm"), "")</f>
        <v/>
      </c>
    </row>
    <row r="2644">
      <c r="A2644" t="inlineStr">
        <is>
          <t>RP0002643</t>
        </is>
      </c>
      <c r="B2644" t="inlineStr">
        <is>
          <t>LN200379</t>
        </is>
      </c>
      <c r="C2644" t="n">
        <v>3</v>
      </c>
      <c r="D2644" s="8" t="n">
        <v>45848</v>
      </c>
      <c r="E2644" s="9" t="n">
        <v>14822.5</v>
      </c>
      <c r="F2644" s="8" t="n">
        <v>45847</v>
      </c>
      <c r="G2644" s="9" t="n">
        <v>14822.5</v>
      </c>
      <c r="H2644" t="inlineStr">
        <is>
          <t>PAID_ON_TIME</t>
        </is>
      </c>
      <c r="I2644">
        <f>IF(H2644="UNPAID", AsOfDate-D2644, 0)</f>
        <v/>
      </c>
      <c r="J2644">
        <f>IF(F2644&lt;&gt;"", TEXT(F2644, "yyyy-mm"), "")</f>
        <v/>
      </c>
    </row>
    <row r="2645">
      <c r="A2645" t="inlineStr">
        <is>
          <t>RP0002644</t>
        </is>
      </c>
      <c r="B2645" t="inlineStr">
        <is>
          <t>LN200380</t>
        </is>
      </c>
      <c r="C2645" t="n">
        <v>1</v>
      </c>
      <c r="D2645" s="8" t="n">
        <v>45982</v>
      </c>
      <c r="E2645" s="9" t="n">
        <v>24643</v>
      </c>
      <c r="F2645" s="8" t="n">
        <v>46046</v>
      </c>
      <c r="G2645" s="9" t="n">
        <v>24643</v>
      </c>
      <c r="H2645" t="inlineStr">
        <is>
          <t>PAID_LATE</t>
        </is>
      </c>
      <c r="I2645">
        <f>IF(H2645="UNPAID", AsOfDate-D2645, 0)</f>
        <v/>
      </c>
      <c r="J2645">
        <f>IF(F2645&lt;&gt;"", TEXT(F2645, "yyyy-mm"), "")</f>
        <v/>
      </c>
    </row>
    <row r="2646">
      <c r="A2646" t="inlineStr">
        <is>
          <t>RP0002645</t>
        </is>
      </c>
      <c r="B2646" t="inlineStr">
        <is>
          <t>LN200380</t>
        </is>
      </c>
      <c r="C2646" t="n">
        <v>2</v>
      </c>
      <c r="D2646" s="8" t="n">
        <v>46012</v>
      </c>
      <c r="E2646" s="9" t="n">
        <v>24643</v>
      </c>
      <c r="F2646" s="8" t="n">
        <v>46012</v>
      </c>
      <c r="G2646" s="9" t="n">
        <v>24643</v>
      </c>
      <c r="H2646" t="inlineStr">
        <is>
          <t>PAID_ON_TIME</t>
        </is>
      </c>
      <c r="I2646">
        <f>IF(H2646="UNPAID", AsOfDate-D2646, 0)</f>
        <v/>
      </c>
      <c r="J2646">
        <f>IF(F2646&lt;&gt;"", TEXT(F2646, "yyyy-mm"), "")</f>
        <v/>
      </c>
    </row>
    <row r="2647">
      <c r="A2647" t="inlineStr">
        <is>
          <t>RP0002646</t>
        </is>
      </c>
      <c r="B2647" t="inlineStr">
        <is>
          <t>LN200380</t>
        </is>
      </c>
      <c r="C2647" t="n">
        <v>3</v>
      </c>
      <c r="D2647" s="8" t="n">
        <v>46043</v>
      </c>
      <c r="E2647" s="9" t="n">
        <v>24643</v>
      </c>
      <c r="F2647" s="8" t="n">
        <v>46040</v>
      </c>
      <c r="G2647" s="9" t="n">
        <v>24643</v>
      </c>
      <c r="H2647" t="inlineStr">
        <is>
          <t>PAID_ON_TIME</t>
        </is>
      </c>
      <c r="I2647">
        <f>IF(H2647="UNPAID", AsOfDate-D2647, 0)</f>
        <v/>
      </c>
      <c r="J2647">
        <f>IF(F2647&lt;&gt;"", TEXT(F2647, "yyyy-mm"), "")</f>
        <v/>
      </c>
    </row>
    <row r="2648">
      <c r="A2648" t="inlineStr">
        <is>
          <t>RP0002647</t>
        </is>
      </c>
      <c r="B2648" t="inlineStr">
        <is>
          <t>LN200380</t>
        </is>
      </c>
      <c r="C2648" t="n">
        <v>4</v>
      </c>
      <c r="D2648" s="8" t="n">
        <v>46074</v>
      </c>
      <c r="E2648" s="9" t="n">
        <v>24643</v>
      </c>
      <c r="F2648" s="8" t="n">
        <v>46073</v>
      </c>
      <c r="G2648" s="9" t="n">
        <v>24643</v>
      </c>
      <c r="H2648" t="inlineStr">
        <is>
          <t>PAID_ON_TIME</t>
        </is>
      </c>
      <c r="I2648">
        <f>IF(H2648="UNPAID", AsOfDate-D2648, 0)</f>
        <v/>
      </c>
      <c r="J2648">
        <f>IF(F2648&lt;&gt;"", TEXT(F2648, "yyyy-mm"), "")</f>
        <v/>
      </c>
    </row>
    <row r="2649">
      <c r="A2649" t="inlineStr">
        <is>
          <t>RP0002648</t>
        </is>
      </c>
      <c r="B2649" t="inlineStr">
        <is>
          <t>LN200380</t>
        </is>
      </c>
      <c r="C2649" t="n">
        <v>5</v>
      </c>
      <c r="D2649" s="8" t="n">
        <v>46102</v>
      </c>
      <c r="E2649" s="9" t="n">
        <v>24643</v>
      </c>
      <c r="F2649" s="8" t="n">
        <v>46104</v>
      </c>
      <c r="G2649" s="9" t="n">
        <v>24643</v>
      </c>
      <c r="H2649" t="inlineStr">
        <is>
          <t>PAID_ON_TIME</t>
        </is>
      </c>
      <c r="I2649">
        <f>IF(H2649="UNPAID", AsOfDate-D2649, 0)</f>
        <v/>
      </c>
      <c r="J2649">
        <f>IF(F2649&lt;&gt;"", TEXT(F2649, "yyyy-mm"), "")</f>
        <v/>
      </c>
    </row>
    <row r="2650">
      <c r="A2650" t="inlineStr">
        <is>
          <t>RP0002649</t>
        </is>
      </c>
      <c r="B2650" t="inlineStr">
        <is>
          <t>LN200380</t>
        </is>
      </c>
      <c r="C2650" t="n">
        <v>6</v>
      </c>
      <c r="D2650" s="8" t="n">
        <v>46133</v>
      </c>
      <c r="E2650" s="9" t="n">
        <v>24643</v>
      </c>
      <c r="F2650" s="8" t="n"/>
      <c r="G2650" s="9" t="n">
        <v>0</v>
      </c>
      <c r="H2650" t="inlineStr">
        <is>
          <t>UNPAID</t>
        </is>
      </c>
      <c r="I2650">
        <f>IF(H2650="UNPAID", AsOfDate-D2650, 0)</f>
        <v/>
      </c>
      <c r="J2650">
        <f>IF(F2650&lt;&gt;"", TEXT(F2650, "yyyy-mm"), "")</f>
        <v/>
      </c>
    </row>
    <row r="2651">
      <c r="A2651" t="inlineStr">
        <is>
          <t>RP0002650</t>
        </is>
      </c>
      <c r="B2651" t="inlineStr">
        <is>
          <t>LN200380</t>
        </is>
      </c>
      <c r="C2651" t="n">
        <v>7</v>
      </c>
      <c r="D2651" s="8" t="n">
        <v>46163</v>
      </c>
      <c r="E2651" s="9" t="n">
        <v>24643</v>
      </c>
      <c r="F2651" s="8" t="n">
        <v>46161</v>
      </c>
      <c r="G2651" s="9" t="n">
        <v>24643</v>
      </c>
      <c r="H2651" t="inlineStr">
        <is>
          <t>PAID_ON_TIME</t>
        </is>
      </c>
      <c r="I2651">
        <f>IF(H2651="UNPAID", AsOfDate-D2651, 0)</f>
        <v/>
      </c>
      <c r="J2651">
        <f>IF(F2651&lt;&gt;"", TEXT(F2651, "yyyy-mm"), "")</f>
        <v/>
      </c>
    </row>
    <row r="2652">
      <c r="A2652" t="inlineStr">
        <is>
          <t>RP0002651</t>
        </is>
      </c>
      <c r="B2652" t="inlineStr">
        <is>
          <t>LN200380</t>
        </is>
      </c>
      <c r="C2652" t="n">
        <v>8</v>
      </c>
      <c r="D2652" s="8" t="n">
        <v>46194</v>
      </c>
      <c r="E2652" s="9" t="n">
        <v>24643</v>
      </c>
      <c r="F2652" s="8" t="n">
        <v>46192</v>
      </c>
      <c r="G2652" s="9" t="n">
        <v>24643</v>
      </c>
      <c r="H2652" t="inlineStr">
        <is>
          <t>PAID_ON_TIME</t>
        </is>
      </c>
      <c r="I2652">
        <f>IF(H2652="UNPAID", AsOfDate-D2652, 0)</f>
        <v/>
      </c>
      <c r="J2652">
        <f>IF(F2652&lt;&gt;"", TEXT(F2652, "yyyy-mm"), "")</f>
        <v/>
      </c>
    </row>
    <row r="2653">
      <c r="A2653" t="inlineStr">
        <is>
          <t>RP0002652</t>
        </is>
      </c>
      <c r="B2653" t="inlineStr">
        <is>
          <t>LN200380</t>
        </is>
      </c>
      <c r="C2653" t="n">
        <v>9</v>
      </c>
      <c r="D2653" s="8" t="n">
        <v>46224</v>
      </c>
      <c r="E2653" s="9" t="n">
        <v>24643</v>
      </c>
      <c r="F2653" s="8" t="n">
        <v>46227</v>
      </c>
      <c r="G2653" s="9" t="n">
        <v>24643</v>
      </c>
      <c r="H2653" t="inlineStr">
        <is>
          <t>PAID_ON_TIME</t>
        </is>
      </c>
      <c r="I2653">
        <f>IF(H2653="UNPAID", AsOfDate-D2653, 0)</f>
        <v/>
      </c>
      <c r="J2653">
        <f>IF(F2653&lt;&gt;"", TEXT(F2653, "yyyy-mm"), "")</f>
        <v/>
      </c>
    </row>
    <row r="2654">
      <c r="A2654" t="inlineStr">
        <is>
          <t>RP0002653</t>
        </is>
      </c>
      <c r="B2654" t="inlineStr">
        <is>
          <t>LN200380</t>
        </is>
      </c>
      <c r="C2654" t="n">
        <v>10</v>
      </c>
      <c r="D2654" s="8" t="n">
        <v>46255</v>
      </c>
      <c r="E2654" s="9" t="n">
        <v>24643</v>
      </c>
      <c r="F2654" s="8" t="n">
        <v>46254</v>
      </c>
      <c r="G2654" s="9" t="n">
        <v>24643</v>
      </c>
      <c r="H2654" t="inlineStr">
        <is>
          <t>PAID_ON_TIME</t>
        </is>
      </c>
      <c r="I2654">
        <f>IF(H2654="UNPAID", AsOfDate-D2654, 0)</f>
        <v/>
      </c>
      <c r="J2654">
        <f>IF(F2654&lt;&gt;"", TEXT(F2654, "yyyy-mm"), "")</f>
        <v/>
      </c>
    </row>
    <row r="2655">
      <c r="A2655" t="inlineStr">
        <is>
          <t>RP0002654</t>
        </is>
      </c>
      <c r="B2655" t="inlineStr">
        <is>
          <t>LN200380</t>
        </is>
      </c>
      <c r="C2655" t="n">
        <v>11</v>
      </c>
      <c r="D2655" s="8" t="n">
        <v>46286</v>
      </c>
      <c r="E2655" s="9" t="n">
        <v>24643</v>
      </c>
      <c r="F2655" s="8" t="n"/>
      <c r="G2655" s="9" t="n">
        <v>0</v>
      </c>
      <c r="H2655" t="inlineStr">
        <is>
          <t>NOT_DUE</t>
        </is>
      </c>
      <c r="I2655">
        <f>IF(H2655="UNPAID", AsOfDate-D2655, 0)</f>
        <v/>
      </c>
      <c r="J2655">
        <f>IF(F2655&lt;&gt;"", TEXT(F2655, "yyyy-mm"), "")</f>
        <v/>
      </c>
    </row>
    <row r="2656">
      <c r="A2656" t="inlineStr">
        <is>
          <t>RP0002655</t>
        </is>
      </c>
      <c r="B2656" t="inlineStr">
        <is>
          <t>LN200380</t>
        </is>
      </c>
      <c r="C2656" t="n">
        <v>12</v>
      </c>
      <c r="D2656" s="8" t="n">
        <v>46316</v>
      </c>
      <c r="E2656" s="9" t="n">
        <v>24643</v>
      </c>
      <c r="F2656" s="8" t="n"/>
      <c r="G2656" s="9" t="n">
        <v>0</v>
      </c>
      <c r="H2656" t="inlineStr">
        <is>
          <t>NOT_DUE</t>
        </is>
      </c>
      <c r="I2656">
        <f>IF(H2656="UNPAID", AsOfDate-D2656, 0)</f>
        <v/>
      </c>
      <c r="J2656">
        <f>IF(F2656&lt;&gt;"", TEXT(F2656, "yyyy-mm"), "")</f>
        <v/>
      </c>
    </row>
    <row r="2657">
      <c r="A2657" t="inlineStr">
        <is>
          <t>RP0002656</t>
        </is>
      </c>
      <c r="B2657" t="inlineStr">
        <is>
          <t>LN200380</t>
        </is>
      </c>
      <c r="C2657" t="n">
        <v>13</v>
      </c>
      <c r="D2657" s="8" t="n">
        <v>46347</v>
      </c>
      <c r="E2657" s="9" t="n">
        <v>24643</v>
      </c>
      <c r="F2657" s="8" t="n"/>
      <c r="G2657" s="9" t="n">
        <v>0</v>
      </c>
      <c r="H2657" t="inlineStr">
        <is>
          <t>NOT_DUE</t>
        </is>
      </c>
      <c r="I2657">
        <f>IF(H2657="UNPAID", AsOfDate-D2657, 0)</f>
        <v/>
      </c>
      <c r="J2657">
        <f>IF(F2657&lt;&gt;"", TEXT(F2657, "yyyy-mm"), "")</f>
        <v/>
      </c>
    </row>
    <row r="2658">
      <c r="A2658" t="inlineStr">
        <is>
          <t>RP0002657</t>
        </is>
      </c>
      <c r="B2658" t="inlineStr">
        <is>
          <t>LN200380</t>
        </is>
      </c>
      <c r="C2658" t="n">
        <v>14</v>
      </c>
      <c r="D2658" s="8" t="n">
        <v>46377</v>
      </c>
      <c r="E2658" s="9" t="n">
        <v>24643</v>
      </c>
      <c r="F2658" s="8" t="n"/>
      <c r="G2658" s="9" t="n">
        <v>0</v>
      </c>
      <c r="H2658" t="inlineStr">
        <is>
          <t>NOT_DUE</t>
        </is>
      </c>
      <c r="I2658">
        <f>IF(H2658="UNPAID", AsOfDate-D2658, 0)</f>
        <v/>
      </c>
      <c r="J2658">
        <f>IF(F2658&lt;&gt;"", TEXT(F2658, "yyyy-mm"), "")</f>
        <v/>
      </c>
    </row>
    <row r="2659">
      <c r="A2659" t="inlineStr">
        <is>
          <t>RP0002658</t>
        </is>
      </c>
      <c r="B2659" t="inlineStr">
        <is>
          <t>LN200380</t>
        </is>
      </c>
      <c r="C2659" t="n">
        <v>15</v>
      </c>
      <c r="D2659" s="8" t="n">
        <v>46408</v>
      </c>
      <c r="E2659" s="9" t="n">
        <v>24643</v>
      </c>
      <c r="F2659" s="8" t="n"/>
      <c r="G2659" s="9" t="n">
        <v>0</v>
      </c>
      <c r="H2659" t="inlineStr">
        <is>
          <t>NOT_DUE</t>
        </is>
      </c>
      <c r="I2659">
        <f>IF(H2659="UNPAID", AsOfDate-D2659, 0)</f>
        <v/>
      </c>
      <c r="J2659">
        <f>IF(F2659&lt;&gt;"", TEXT(F2659, "yyyy-mm"), "")</f>
        <v/>
      </c>
    </row>
    <row r="2660">
      <c r="A2660" t="inlineStr">
        <is>
          <t>RP0002659</t>
        </is>
      </c>
      <c r="B2660" t="inlineStr">
        <is>
          <t>LN200380</t>
        </is>
      </c>
      <c r="C2660" t="n">
        <v>16</v>
      </c>
      <c r="D2660" s="8" t="n">
        <v>46439</v>
      </c>
      <c r="E2660" s="9" t="n">
        <v>24643</v>
      </c>
      <c r="F2660" s="8" t="n"/>
      <c r="G2660" s="9" t="n">
        <v>0</v>
      </c>
      <c r="H2660" t="inlineStr">
        <is>
          <t>NOT_DUE</t>
        </is>
      </c>
      <c r="I2660">
        <f>IF(H2660="UNPAID", AsOfDate-D2660, 0)</f>
        <v/>
      </c>
      <c r="J2660">
        <f>IF(F2660&lt;&gt;"", TEXT(F2660, "yyyy-mm"), "")</f>
        <v/>
      </c>
    </row>
    <row r="2661">
      <c r="A2661" t="inlineStr">
        <is>
          <t>RP0002660</t>
        </is>
      </c>
      <c r="B2661" t="inlineStr">
        <is>
          <t>LN200380</t>
        </is>
      </c>
      <c r="C2661" t="n">
        <v>17</v>
      </c>
      <c r="D2661" s="8" t="n">
        <v>46467</v>
      </c>
      <c r="E2661" s="9" t="n">
        <v>24643</v>
      </c>
      <c r="F2661" s="8" t="n"/>
      <c r="G2661" s="9" t="n">
        <v>0</v>
      </c>
      <c r="H2661" t="inlineStr">
        <is>
          <t>NOT_DUE</t>
        </is>
      </c>
      <c r="I2661">
        <f>IF(H2661="UNPAID", AsOfDate-D2661, 0)</f>
        <v/>
      </c>
      <c r="J2661">
        <f>IF(F2661&lt;&gt;"", TEXT(F2661, "yyyy-mm"), "")</f>
        <v/>
      </c>
    </row>
    <row r="2662">
      <c r="A2662" t="inlineStr">
        <is>
          <t>RP0002661</t>
        </is>
      </c>
      <c r="B2662" t="inlineStr">
        <is>
          <t>LN200380</t>
        </is>
      </c>
      <c r="C2662" t="n">
        <v>18</v>
      </c>
      <c r="D2662" s="8" t="n">
        <v>46498</v>
      </c>
      <c r="E2662" s="9" t="n">
        <v>24643</v>
      </c>
      <c r="F2662" s="8" t="n"/>
      <c r="G2662" s="9" t="n">
        <v>0</v>
      </c>
      <c r="H2662" t="inlineStr">
        <is>
          <t>NOT_DUE</t>
        </is>
      </c>
      <c r="I2662">
        <f>IF(H2662="UNPAID", AsOfDate-D2662, 0)</f>
        <v/>
      </c>
      <c r="J2662">
        <f>IF(F2662&lt;&gt;"", TEXT(F2662, "yyyy-mm"), "")</f>
        <v/>
      </c>
    </row>
    <row r="2663">
      <c r="A2663" t="inlineStr">
        <is>
          <t>RP0002662</t>
        </is>
      </c>
      <c r="B2663" t="inlineStr">
        <is>
          <t>LN200381</t>
        </is>
      </c>
      <c r="C2663" t="n">
        <v>1</v>
      </c>
      <c r="D2663" s="8" t="n">
        <v>46253</v>
      </c>
      <c r="E2663" s="9" t="n">
        <v>18201.08</v>
      </c>
      <c r="F2663" s="8" t="n"/>
      <c r="G2663" s="9" t="n">
        <v>0</v>
      </c>
      <c r="H2663" t="inlineStr">
        <is>
          <t>UNPAID</t>
        </is>
      </c>
      <c r="I2663">
        <f>IF(H2663="UNPAID", AsOfDate-D2663, 0)</f>
        <v/>
      </c>
      <c r="J2663">
        <f>IF(F2663&lt;&gt;"", TEXT(F2663, "yyyy-mm"), "")</f>
        <v/>
      </c>
    </row>
    <row r="2664">
      <c r="A2664" t="inlineStr">
        <is>
          <t>RP0002663</t>
        </is>
      </c>
      <c r="B2664" t="inlineStr">
        <is>
          <t>LN200381</t>
        </is>
      </c>
      <c r="C2664" t="n">
        <v>2</v>
      </c>
      <c r="D2664" s="8" t="n">
        <v>46284</v>
      </c>
      <c r="E2664" s="9" t="n">
        <v>18201.08</v>
      </c>
      <c r="F2664" s="8" t="n"/>
      <c r="G2664" s="9" t="n">
        <v>0</v>
      </c>
      <c r="H2664" t="inlineStr">
        <is>
          <t>NOT_DUE</t>
        </is>
      </c>
      <c r="I2664">
        <f>IF(H2664="UNPAID", AsOfDate-D2664, 0)</f>
        <v/>
      </c>
      <c r="J2664">
        <f>IF(F2664&lt;&gt;"", TEXT(F2664, "yyyy-mm"), "")</f>
        <v/>
      </c>
    </row>
    <row r="2665">
      <c r="A2665" t="inlineStr">
        <is>
          <t>RP0002664</t>
        </is>
      </c>
      <c r="B2665" t="inlineStr">
        <is>
          <t>LN200381</t>
        </is>
      </c>
      <c r="C2665" t="n">
        <v>3</v>
      </c>
      <c r="D2665" s="8" t="n">
        <v>46314</v>
      </c>
      <c r="E2665" s="9" t="n">
        <v>18201.08</v>
      </c>
      <c r="F2665" s="8" t="n"/>
      <c r="G2665" s="9" t="n">
        <v>0</v>
      </c>
      <c r="H2665" t="inlineStr">
        <is>
          <t>NOT_DUE</t>
        </is>
      </c>
      <c r="I2665">
        <f>IF(H2665="UNPAID", AsOfDate-D2665, 0)</f>
        <v/>
      </c>
      <c r="J2665">
        <f>IF(F2665&lt;&gt;"", TEXT(F2665, "yyyy-mm"), "")</f>
        <v/>
      </c>
    </row>
    <row r="2666">
      <c r="A2666" t="inlineStr">
        <is>
          <t>RP0002665</t>
        </is>
      </c>
      <c r="B2666" t="inlineStr">
        <is>
          <t>LN200382</t>
        </is>
      </c>
      <c r="C2666" t="n">
        <v>1</v>
      </c>
      <c r="D2666" s="8" t="n">
        <v>46200</v>
      </c>
      <c r="E2666" s="9" t="n">
        <v>22215.89</v>
      </c>
      <c r="F2666" s="8" t="n">
        <v>46198</v>
      </c>
      <c r="G2666" s="9" t="n">
        <v>22215.89</v>
      </c>
      <c r="H2666" t="inlineStr">
        <is>
          <t>PAID_ON_TIME</t>
        </is>
      </c>
      <c r="I2666">
        <f>IF(H2666="UNPAID", AsOfDate-D2666, 0)</f>
        <v/>
      </c>
      <c r="J2666">
        <f>IF(F2666&lt;&gt;"", TEXT(F2666, "yyyy-mm"), "")</f>
        <v/>
      </c>
    </row>
    <row r="2667">
      <c r="A2667" t="inlineStr">
        <is>
          <t>RP0002666</t>
        </is>
      </c>
      <c r="B2667" t="inlineStr">
        <is>
          <t>LN200382</t>
        </is>
      </c>
      <c r="C2667" t="n">
        <v>2</v>
      </c>
      <c r="D2667" s="8" t="n">
        <v>46230</v>
      </c>
      <c r="E2667" s="9" t="n">
        <v>22215.89</v>
      </c>
      <c r="F2667" s="8" t="n">
        <v>46231</v>
      </c>
      <c r="G2667" s="9" t="n">
        <v>22215.89</v>
      </c>
      <c r="H2667" t="inlineStr">
        <is>
          <t>PAID_ON_TIME</t>
        </is>
      </c>
      <c r="I2667">
        <f>IF(H2667="UNPAID", AsOfDate-D2667, 0)</f>
        <v/>
      </c>
      <c r="J2667">
        <f>IF(F2667&lt;&gt;"", TEXT(F2667, "yyyy-mm"), "")</f>
        <v/>
      </c>
    </row>
    <row r="2668">
      <c r="A2668" t="inlineStr">
        <is>
          <t>RP0002667</t>
        </is>
      </c>
      <c r="B2668" t="inlineStr">
        <is>
          <t>LN200382</t>
        </is>
      </c>
      <c r="C2668" t="n">
        <v>3</v>
      </c>
      <c r="D2668" s="8" t="n">
        <v>46261</v>
      </c>
      <c r="E2668" s="9" t="n">
        <v>22215.89</v>
      </c>
      <c r="F2668" s="8" t="n">
        <v>46264</v>
      </c>
      <c r="G2668" s="9" t="n">
        <v>22215.89</v>
      </c>
      <c r="H2668" t="inlineStr">
        <is>
          <t>PAID_ON_TIME</t>
        </is>
      </c>
      <c r="I2668">
        <f>IF(H2668="UNPAID", AsOfDate-D2668, 0)</f>
        <v/>
      </c>
      <c r="J2668">
        <f>IF(F2668&lt;&gt;"", TEXT(F2668, "yyyy-mm"), "")</f>
        <v/>
      </c>
    </row>
    <row r="2669">
      <c r="A2669" t="inlineStr">
        <is>
          <t>RP0002668</t>
        </is>
      </c>
      <c r="B2669" t="inlineStr">
        <is>
          <t>LN200382</t>
        </is>
      </c>
      <c r="C2669" t="n">
        <v>4</v>
      </c>
      <c r="D2669" s="8" t="n">
        <v>46292</v>
      </c>
      <c r="E2669" s="9" t="n">
        <v>22215.89</v>
      </c>
      <c r="F2669" s="8" t="n"/>
      <c r="G2669" s="9" t="n">
        <v>0</v>
      </c>
      <c r="H2669" t="inlineStr">
        <is>
          <t>NOT_DUE</t>
        </is>
      </c>
      <c r="I2669">
        <f>IF(H2669="UNPAID", AsOfDate-D2669, 0)</f>
        <v/>
      </c>
      <c r="J2669">
        <f>IF(F2669&lt;&gt;"", TEXT(F2669, "yyyy-mm"), "")</f>
        <v/>
      </c>
    </row>
    <row r="2670">
      <c r="A2670" t="inlineStr">
        <is>
          <t>RP0002669</t>
        </is>
      </c>
      <c r="B2670" t="inlineStr">
        <is>
          <t>LN200382</t>
        </is>
      </c>
      <c r="C2670" t="n">
        <v>5</v>
      </c>
      <c r="D2670" s="8" t="n">
        <v>46322</v>
      </c>
      <c r="E2670" s="9" t="n">
        <v>22215.89</v>
      </c>
      <c r="F2670" s="8" t="n"/>
      <c r="G2670" s="9" t="n">
        <v>0</v>
      </c>
      <c r="H2670" t="inlineStr">
        <is>
          <t>NOT_DUE</t>
        </is>
      </c>
      <c r="I2670">
        <f>IF(H2670="UNPAID", AsOfDate-D2670, 0)</f>
        <v/>
      </c>
      <c r="J2670">
        <f>IF(F2670&lt;&gt;"", TEXT(F2670, "yyyy-mm"), "")</f>
        <v/>
      </c>
    </row>
    <row r="2671">
      <c r="A2671" t="inlineStr">
        <is>
          <t>RP0002670</t>
        </is>
      </c>
      <c r="B2671" t="inlineStr">
        <is>
          <t>LN200382</t>
        </is>
      </c>
      <c r="C2671" t="n">
        <v>6</v>
      </c>
      <c r="D2671" s="8" t="n">
        <v>46353</v>
      </c>
      <c r="E2671" s="9" t="n">
        <v>22215.89</v>
      </c>
      <c r="F2671" s="8" t="n"/>
      <c r="G2671" s="9" t="n">
        <v>0</v>
      </c>
      <c r="H2671" t="inlineStr">
        <is>
          <t>NOT_DUE</t>
        </is>
      </c>
      <c r="I2671">
        <f>IF(H2671="UNPAID", AsOfDate-D2671, 0)</f>
        <v/>
      </c>
      <c r="J2671">
        <f>IF(F2671&lt;&gt;"", TEXT(F2671, "yyyy-mm"), "")</f>
        <v/>
      </c>
    </row>
    <row r="2672">
      <c r="A2672" t="inlineStr">
        <is>
          <t>RP0002671</t>
        </is>
      </c>
      <c r="B2672" t="inlineStr">
        <is>
          <t>LN200382</t>
        </is>
      </c>
      <c r="C2672" t="n">
        <v>7</v>
      </c>
      <c r="D2672" s="8" t="n">
        <v>46383</v>
      </c>
      <c r="E2672" s="9" t="n">
        <v>22215.89</v>
      </c>
      <c r="F2672" s="8" t="n"/>
      <c r="G2672" s="9" t="n">
        <v>0</v>
      </c>
      <c r="H2672" t="inlineStr">
        <is>
          <t>NOT_DUE</t>
        </is>
      </c>
      <c r="I2672">
        <f>IF(H2672="UNPAID", AsOfDate-D2672, 0)</f>
        <v/>
      </c>
      <c r="J2672">
        <f>IF(F2672&lt;&gt;"", TEXT(F2672, "yyyy-mm"), "")</f>
        <v/>
      </c>
    </row>
    <row r="2673">
      <c r="A2673" t="inlineStr">
        <is>
          <t>RP0002672</t>
        </is>
      </c>
      <c r="B2673" t="inlineStr">
        <is>
          <t>LN200382</t>
        </is>
      </c>
      <c r="C2673" t="n">
        <v>8</v>
      </c>
      <c r="D2673" s="8" t="n">
        <v>46414</v>
      </c>
      <c r="E2673" s="9" t="n">
        <v>22215.89</v>
      </c>
      <c r="F2673" s="8" t="n"/>
      <c r="G2673" s="9" t="n">
        <v>0</v>
      </c>
      <c r="H2673" t="inlineStr">
        <is>
          <t>NOT_DUE</t>
        </is>
      </c>
      <c r="I2673">
        <f>IF(H2673="UNPAID", AsOfDate-D2673, 0)</f>
        <v/>
      </c>
      <c r="J2673">
        <f>IF(F2673&lt;&gt;"", TEXT(F2673, "yyyy-mm"), "")</f>
        <v/>
      </c>
    </row>
    <row r="2674">
      <c r="A2674" t="inlineStr">
        <is>
          <t>RP0002673</t>
        </is>
      </c>
      <c r="B2674" t="inlineStr">
        <is>
          <t>LN200382</t>
        </is>
      </c>
      <c r="C2674" t="n">
        <v>9</v>
      </c>
      <c r="D2674" s="8" t="n">
        <v>46445</v>
      </c>
      <c r="E2674" s="9" t="n">
        <v>22215.89</v>
      </c>
      <c r="F2674" s="8" t="n"/>
      <c r="G2674" s="9" t="n">
        <v>0</v>
      </c>
      <c r="H2674" t="inlineStr">
        <is>
          <t>NOT_DUE</t>
        </is>
      </c>
      <c r="I2674">
        <f>IF(H2674="UNPAID", AsOfDate-D2674, 0)</f>
        <v/>
      </c>
      <c r="J2674">
        <f>IF(F2674&lt;&gt;"", TEXT(F2674, "yyyy-mm"), "")</f>
        <v/>
      </c>
    </row>
    <row r="2675">
      <c r="A2675" t="inlineStr">
        <is>
          <t>RP0002674</t>
        </is>
      </c>
      <c r="B2675" t="inlineStr">
        <is>
          <t>LN200383</t>
        </is>
      </c>
      <c r="C2675" t="n">
        <v>1</v>
      </c>
      <c r="D2675" s="8" t="n">
        <v>45874</v>
      </c>
      <c r="E2675" s="9" t="n">
        <v>3621.67</v>
      </c>
      <c r="F2675" s="8" t="n">
        <v>45871</v>
      </c>
      <c r="G2675" s="9" t="n">
        <v>3621.67</v>
      </c>
      <c r="H2675" t="inlineStr">
        <is>
          <t>PAID_ON_TIME</t>
        </is>
      </c>
      <c r="I2675">
        <f>IF(H2675="UNPAID", AsOfDate-D2675, 0)</f>
        <v/>
      </c>
      <c r="J2675">
        <f>IF(F2675&lt;&gt;"", TEXT(F2675, "yyyy-mm"), "")</f>
        <v/>
      </c>
    </row>
    <row r="2676">
      <c r="A2676" t="inlineStr">
        <is>
          <t>RP0002675</t>
        </is>
      </c>
      <c r="B2676" t="inlineStr">
        <is>
          <t>LN200383</t>
        </is>
      </c>
      <c r="C2676" t="n">
        <v>2</v>
      </c>
      <c r="D2676" s="8" t="n">
        <v>45905</v>
      </c>
      <c r="E2676" s="9" t="n">
        <v>3621.67</v>
      </c>
      <c r="F2676" s="8" t="n">
        <v>45902</v>
      </c>
      <c r="G2676" s="9" t="n">
        <v>3621.67</v>
      </c>
      <c r="H2676" t="inlineStr">
        <is>
          <t>PAID_ON_TIME</t>
        </is>
      </c>
      <c r="I2676">
        <f>IF(H2676="UNPAID", AsOfDate-D2676, 0)</f>
        <v/>
      </c>
      <c r="J2676">
        <f>IF(F2676&lt;&gt;"", TEXT(F2676, "yyyy-mm"), "")</f>
        <v/>
      </c>
    </row>
    <row r="2677">
      <c r="A2677" t="inlineStr">
        <is>
          <t>RP0002676</t>
        </is>
      </c>
      <c r="B2677" t="inlineStr">
        <is>
          <t>LN200383</t>
        </is>
      </c>
      <c r="C2677" t="n">
        <v>3</v>
      </c>
      <c r="D2677" s="8" t="n">
        <v>45935</v>
      </c>
      <c r="E2677" s="9" t="n">
        <v>3621.67</v>
      </c>
      <c r="F2677" s="8" t="n">
        <v>45938</v>
      </c>
      <c r="G2677" s="9" t="n">
        <v>3621.67</v>
      </c>
      <c r="H2677" t="inlineStr">
        <is>
          <t>PAID_ON_TIME</t>
        </is>
      </c>
      <c r="I2677">
        <f>IF(H2677="UNPAID", AsOfDate-D2677, 0)</f>
        <v/>
      </c>
      <c r="J2677">
        <f>IF(F2677&lt;&gt;"", TEXT(F2677, "yyyy-mm"), "")</f>
        <v/>
      </c>
    </row>
    <row r="2678">
      <c r="A2678" t="inlineStr">
        <is>
          <t>RP0002677</t>
        </is>
      </c>
      <c r="B2678" t="inlineStr">
        <is>
          <t>LN200383</t>
        </is>
      </c>
      <c r="C2678" t="n">
        <v>4</v>
      </c>
      <c r="D2678" s="8" t="n">
        <v>45966</v>
      </c>
      <c r="E2678" s="9" t="n">
        <v>3621.67</v>
      </c>
      <c r="F2678" s="8" t="n">
        <v>45965</v>
      </c>
      <c r="G2678" s="9" t="n">
        <v>3621.67</v>
      </c>
      <c r="H2678" t="inlineStr">
        <is>
          <t>PAID_ON_TIME</t>
        </is>
      </c>
      <c r="I2678">
        <f>IF(H2678="UNPAID", AsOfDate-D2678, 0)</f>
        <v/>
      </c>
      <c r="J2678">
        <f>IF(F2678&lt;&gt;"", TEXT(F2678, "yyyy-mm"), "")</f>
        <v/>
      </c>
    </row>
    <row r="2679">
      <c r="A2679" t="inlineStr">
        <is>
          <t>RP0002678</t>
        </is>
      </c>
      <c r="B2679" t="inlineStr">
        <is>
          <t>LN200383</t>
        </is>
      </c>
      <c r="C2679" t="n">
        <v>5</v>
      </c>
      <c r="D2679" s="8" t="n">
        <v>45996</v>
      </c>
      <c r="E2679" s="9" t="n">
        <v>3621.67</v>
      </c>
      <c r="F2679" s="8" t="n">
        <v>46000</v>
      </c>
      <c r="G2679" s="9" t="n">
        <v>3621.67</v>
      </c>
      <c r="H2679" t="inlineStr">
        <is>
          <t>PAID_ON_TIME</t>
        </is>
      </c>
      <c r="I2679">
        <f>IF(H2679="UNPAID", AsOfDate-D2679, 0)</f>
        <v/>
      </c>
      <c r="J2679">
        <f>IF(F2679&lt;&gt;"", TEXT(F2679, "yyyy-mm"), "")</f>
        <v/>
      </c>
    </row>
    <row r="2680">
      <c r="A2680" t="inlineStr">
        <is>
          <t>RP0002679</t>
        </is>
      </c>
      <c r="B2680" t="inlineStr">
        <is>
          <t>LN200383</t>
        </is>
      </c>
      <c r="C2680" t="n">
        <v>6</v>
      </c>
      <c r="D2680" s="8" t="n">
        <v>46027</v>
      </c>
      <c r="E2680" s="9" t="n">
        <v>3621.67</v>
      </c>
      <c r="F2680" s="8" t="n">
        <v>46024</v>
      </c>
      <c r="G2680" s="9" t="n">
        <v>3621.67</v>
      </c>
      <c r="H2680" t="inlineStr">
        <is>
          <t>PAID_ON_TIME</t>
        </is>
      </c>
      <c r="I2680">
        <f>IF(H2680="UNPAID", AsOfDate-D2680, 0)</f>
        <v/>
      </c>
      <c r="J2680">
        <f>IF(F2680&lt;&gt;"", TEXT(F2680, "yyyy-mm"), "")</f>
        <v/>
      </c>
    </row>
    <row r="2681">
      <c r="A2681" t="inlineStr">
        <is>
          <t>RP0002680</t>
        </is>
      </c>
      <c r="B2681" t="inlineStr">
        <is>
          <t>LN200384</t>
        </is>
      </c>
      <c r="C2681" t="n">
        <v>1</v>
      </c>
      <c r="D2681" s="8" t="n">
        <v>46249</v>
      </c>
      <c r="E2681" s="9" t="n">
        <v>4592.33</v>
      </c>
      <c r="F2681" s="8" t="n">
        <v>46247</v>
      </c>
      <c r="G2681" s="9" t="n">
        <v>4592.33</v>
      </c>
      <c r="H2681" t="inlineStr">
        <is>
          <t>PAID_ON_TIME</t>
        </is>
      </c>
      <c r="I2681">
        <f>IF(H2681="UNPAID", AsOfDate-D2681, 0)</f>
        <v/>
      </c>
      <c r="J2681">
        <f>IF(F2681&lt;&gt;"", TEXT(F2681, "yyyy-mm"), "")</f>
        <v/>
      </c>
    </row>
    <row r="2682">
      <c r="A2682" t="inlineStr">
        <is>
          <t>RP0002681</t>
        </is>
      </c>
      <c r="B2682" t="inlineStr">
        <is>
          <t>LN200384</t>
        </is>
      </c>
      <c r="C2682" t="n">
        <v>2</v>
      </c>
      <c r="D2682" s="8" t="n">
        <v>46280</v>
      </c>
      <c r="E2682" s="9" t="n">
        <v>4592.33</v>
      </c>
      <c r="F2682" s="8" t="n"/>
      <c r="G2682" s="9" t="n">
        <v>0</v>
      </c>
      <c r="H2682" t="inlineStr">
        <is>
          <t>NOT_DUE</t>
        </is>
      </c>
      <c r="I2682">
        <f>IF(H2682="UNPAID", AsOfDate-D2682, 0)</f>
        <v/>
      </c>
      <c r="J2682">
        <f>IF(F2682&lt;&gt;"", TEXT(F2682, "yyyy-mm"), "")</f>
        <v/>
      </c>
    </row>
    <row r="2683">
      <c r="A2683" t="inlineStr">
        <is>
          <t>RP0002682</t>
        </is>
      </c>
      <c r="B2683" t="inlineStr">
        <is>
          <t>LN200384</t>
        </is>
      </c>
      <c r="C2683" t="n">
        <v>3</v>
      </c>
      <c r="D2683" s="8" t="n">
        <v>46310</v>
      </c>
      <c r="E2683" s="9" t="n">
        <v>4592.33</v>
      </c>
      <c r="F2683" s="8" t="n"/>
      <c r="G2683" s="9" t="n">
        <v>0</v>
      </c>
      <c r="H2683" t="inlineStr">
        <is>
          <t>NOT_DUE</t>
        </is>
      </c>
      <c r="I2683">
        <f>IF(H2683="UNPAID", AsOfDate-D2683, 0)</f>
        <v/>
      </c>
      <c r="J2683">
        <f>IF(F2683&lt;&gt;"", TEXT(F2683, "yyyy-mm"), "")</f>
        <v/>
      </c>
    </row>
    <row r="2684">
      <c r="A2684" t="inlineStr">
        <is>
          <t>RP0002683</t>
        </is>
      </c>
      <c r="B2684" t="inlineStr">
        <is>
          <t>LN200384</t>
        </is>
      </c>
      <c r="C2684" t="n">
        <v>4</v>
      </c>
      <c r="D2684" s="8" t="n">
        <v>46341</v>
      </c>
      <c r="E2684" s="9" t="n">
        <v>4592.33</v>
      </c>
      <c r="F2684" s="8" t="n"/>
      <c r="G2684" s="9" t="n">
        <v>0</v>
      </c>
      <c r="H2684" t="inlineStr">
        <is>
          <t>NOT_DUE</t>
        </is>
      </c>
      <c r="I2684">
        <f>IF(H2684="UNPAID", AsOfDate-D2684, 0)</f>
        <v/>
      </c>
      <c r="J2684">
        <f>IF(F2684&lt;&gt;"", TEXT(F2684, "yyyy-mm"), "")</f>
        <v/>
      </c>
    </row>
    <row r="2685">
      <c r="A2685" t="inlineStr">
        <is>
          <t>RP0002684</t>
        </is>
      </c>
      <c r="B2685" t="inlineStr">
        <is>
          <t>LN200384</t>
        </is>
      </c>
      <c r="C2685" t="n">
        <v>5</v>
      </c>
      <c r="D2685" s="8" t="n">
        <v>46371</v>
      </c>
      <c r="E2685" s="9" t="n">
        <v>4592.33</v>
      </c>
      <c r="F2685" s="8" t="n"/>
      <c r="G2685" s="9" t="n">
        <v>0</v>
      </c>
      <c r="H2685" t="inlineStr">
        <is>
          <t>NOT_DUE</t>
        </is>
      </c>
      <c r="I2685">
        <f>IF(H2685="UNPAID", AsOfDate-D2685, 0)</f>
        <v/>
      </c>
      <c r="J2685">
        <f>IF(F2685&lt;&gt;"", TEXT(F2685, "yyyy-mm"), "")</f>
        <v/>
      </c>
    </row>
    <row r="2686">
      <c r="A2686" t="inlineStr">
        <is>
          <t>RP0002685</t>
        </is>
      </c>
      <c r="B2686" t="inlineStr">
        <is>
          <t>LN200384</t>
        </is>
      </c>
      <c r="C2686" t="n">
        <v>6</v>
      </c>
      <c r="D2686" s="8" t="n">
        <v>46402</v>
      </c>
      <c r="E2686" s="9" t="n">
        <v>4592.33</v>
      </c>
      <c r="F2686" s="8" t="n"/>
      <c r="G2686" s="9" t="n">
        <v>0</v>
      </c>
      <c r="H2686" t="inlineStr">
        <is>
          <t>NOT_DUE</t>
        </is>
      </c>
      <c r="I2686">
        <f>IF(H2686="UNPAID", AsOfDate-D2686, 0)</f>
        <v/>
      </c>
      <c r="J2686">
        <f>IF(F2686&lt;&gt;"", TEXT(F2686, "yyyy-mm"), "")</f>
        <v/>
      </c>
    </row>
    <row r="2687">
      <c r="A2687" t="inlineStr">
        <is>
          <t>RP0002686</t>
        </is>
      </c>
      <c r="B2687" t="inlineStr">
        <is>
          <t>LN200384</t>
        </is>
      </c>
      <c r="C2687" t="n">
        <v>7</v>
      </c>
      <c r="D2687" s="8" t="n">
        <v>46433</v>
      </c>
      <c r="E2687" s="9" t="n">
        <v>4592.33</v>
      </c>
      <c r="F2687" s="8" t="n"/>
      <c r="G2687" s="9" t="n">
        <v>0</v>
      </c>
      <c r="H2687" t="inlineStr">
        <is>
          <t>NOT_DUE</t>
        </is>
      </c>
      <c r="I2687">
        <f>IF(H2687="UNPAID", AsOfDate-D2687, 0)</f>
        <v/>
      </c>
      <c r="J2687">
        <f>IF(F2687&lt;&gt;"", TEXT(F2687, "yyyy-mm"), "")</f>
        <v/>
      </c>
    </row>
    <row r="2688">
      <c r="A2688" t="inlineStr">
        <is>
          <t>RP0002687</t>
        </is>
      </c>
      <c r="B2688" t="inlineStr">
        <is>
          <t>LN200384</t>
        </is>
      </c>
      <c r="C2688" t="n">
        <v>8</v>
      </c>
      <c r="D2688" s="8" t="n">
        <v>46461</v>
      </c>
      <c r="E2688" s="9" t="n">
        <v>4592.33</v>
      </c>
      <c r="F2688" s="8" t="n"/>
      <c r="G2688" s="9" t="n">
        <v>0</v>
      </c>
      <c r="H2688" t="inlineStr">
        <is>
          <t>NOT_DUE</t>
        </is>
      </c>
      <c r="I2688">
        <f>IF(H2688="UNPAID", AsOfDate-D2688, 0)</f>
        <v/>
      </c>
      <c r="J2688">
        <f>IF(F2688&lt;&gt;"", TEXT(F2688, "yyyy-mm"), "")</f>
        <v/>
      </c>
    </row>
    <row r="2689">
      <c r="A2689" t="inlineStr">
        <is>
          <t>RP0002688</t>
        </is>
      </c>
      <c r="B2689" t="inlineStr">
        <is>
          <t>LN200384</t>
        </is>
      </c>
      <c r="C2689" t="n">
        <v>9</v>
      </c>
      <c r="D2689" s="8" t="n">
        <v>46492</v>
      </c>
      <c r="E2689" s="9" t="n">
        <v>4592.33</v>
      </c>
      <c r="F2689" s="8" t="n"/>
      <c r="G2689" s="9" t="n">
        <v>0</v>
      </c>
      <c r="H2689" t="inlineStr">
        <is>
          <t>NOT_DUE</t>
        </is>
      </c>
      <c r="I2689">
        <f>IF(H2689="UNPAID", AsOfDate-D2689, 0)</f>
        <v/>
      </c>
      <c r="J2689">
        <f>IF(F2689&lt;&gt;"", TEXT(F2689, "yyyy-mm"), "")</f>
        <v/>
      </c>
    </row>
    <row r="2690">
      <c r="A2690" t="inlineStr">
        <is>
          <t>RP0002689</t>
        </is>
      </c>
      <c r="B2690" t="inlineStr">
        <is>
          <t>LN200384</t>
        </is>
      </c>
      <c r="C2690" t="n">
        <v>10</v>
      </c>
      <c r="D2690" s="8" t="n">
        <v>46522</v>
      </c>
      <c r="E2690" s="9" t="n">
        <v>4592.33</v>
      </c>
      <c r="F2690" s="8" t="n"/>
      <c r="G2690" s="9" t="n">
        <v>0</v>
      </c>
      <c r="H2690" t="inlineStr">
        <is>
          <t>NOT_DUE</t>
        </is>
      </c>
      <c r="I2690">
        <f>IF(H2690="UNPAID", AsOfDate-D2690, 0)</f>
        <v/>
      </c>
      <c r="J2690">
        <f>IF(F2690&lt;&gt;"", TEXT(F2690, "yyyy-mm"), "")</f>
        <v/>
      </c>
    </row>
    <row r="2691">
      <c r="A2691" t="inlineStr">
        <is>
          <t>RP0002690</t>
        </is>
      </c>
      <c r="B2691" t="inlineStr">
        <is>
          <t>LN200384</t>
        </is>
      </c>
      <c r="C2691" t="n">
        <v>11</v>
      </c>
      <c r="D2691" s="8" t="n">
        <v>46553</v>
      </c>
      <c r="E2691" s="9" t="n">
        <v>4592.33</v>
      </c>
      <c r="F2691" s="8" t="n"/>
      <c r="G2691" s="9" t="n">
        <v>0</v>
      </c>
      <c r="H2691" t="inlineStr">
        <is>
          <t>NOT_DUE</t>
        </is>
      </c>
      <c r="I2691">
        <f>IF(H2691="UNPAID", AsOfDate-D2691, 0)</f>
        <v/>
      </c>
      <c r="J2691">
        <f>IF(F2691&lt;&gt;"", TEXT(F2691, "yyyy-mm"), "")</f>
        <v/>
      </c>
    </row>
    <row r="2692">
      <c r="A2692" t="inlineStr">
        <is>
          <t>RP0002691</t>
        </is>
      </c>
      <c r="B2692" t="inlineStr">
        <is>
          <t>LN200384</t>
        </is>
      </c>
      <c r="C2692" t="n">
        <v>12</v>
      </c>
      <c r="D2692" s="8" t="n">
        <v>46583</v>
      </c>
      <c r="E2692" s="9" t="n">
        <v>4592.33</v>
      </c>
      <c r="F2692" s="8" t="n"/>
      <c r="G2692" s="9" t="n">
        <v>0</v>
      </c>
      <c r="H2692" t="inlineStr">
        <is>
          <t>NOT_DUE</t>
        </is>
      </c>
      <c r="I2692">
        <f>IF(H2692="UNPAID", AsOfDate-D2692, 0)</f>
        <v/>
      </c>
      <c r="J2692">
        <f>IF(F2692&lt;&gt;"", TEXT(F2692, "yyyy-mm"), "")</f>
        <v/>
      </c>
    </row>
    <row r="2693">
      <c r="A2693" t="inlineStr">
        <is>
          <t>RP0002692</t>
        </is>
      </c>
      <c r="B2693" t="inlineStr">
        <is>
          <t>LN200385</t>
        </is>
      </c>
      <c r="C2693" t="n">
        <v>1</v>
      </c>
      <c r="D2693" s="8" t="n">
        <v>45813</v>
      </c>
      <c r="E2693" s="9" t="n">
        <v>6185.72</v>
      </c>
      <c r="F2693" s="8" t="n">
        <v>45810</v>
      </c>
      <c r="G2693" s="9" t="n">
        <v>6185.72</v>
      </c>
      <c r="H2693" t="inlineStr">
        <is>
          <t>PAID_ON_TIME</t>
        </is>
      </c>
      <c r="I2693">
        <f>IF(H2693="UNPAID", AsOfDate-D2693, 0)</f>
        <v/>
      </c>
      <c r="J2693">
        <f>IF(F2693&lt;&gt;"", TEXT(F2693, "yyyy-mm"), "")</f>
        <v/>
      </c>
    </row>
    <row r="2694">
      <c r="A2694" t="inlineStr">
        <is>
          <t>RP0002693</t>
        </is>
      </c>
      <c r="B2694" t="inlineStr">
        <is>
          <t>LN200385</t>
        </is>
      </c>
      <c r="C2694" t="n">
        <v>2</v>
      </c>
      <c r="D2694" s="8" t="n">
        <v>45843</v>
      </c>
      <c r="E2694" s="9" t="n">
        <v>6185.72</v>
      </c>
      <c r="F2694" s="8" t="n">
        <v>45845</v>
      </c>
      <c r="G2694" s="9" t="n">
        <v>6185.72</v>
      </c>
      <c r="H2694" t="inlineStr">
        <is>
          <t>PAID_ON_TIME</t>
        </is>
      </c>
      <c r="I2694">
        <f>IF(H2694="UNPAID", AsOfDate-D2694, 0)</f>
        <v/>
      </c>
      <c r="J2694">
        <f>IF(F2694&lt;&gt;"", TEXT(F2694, "yyyy-mm"), "")</f>
        <v/>
      </c>
    </row>
    <row r="2695">
      <c r="A2695" t="inlineStr">
        <is>
          <t>RP0002694</t>
        </is>
      </c>
      <c r="B2695" t="inlineStr">
        <is>
          <t>LN200385</t>
        </is>
      </c>
      <c r="C2695" t="n">
        <v>3</v>
      </c>
      <c r="D2695" s="8" t="n">
        <v>45874</v>
      </c>
      <c r="E2695" s="9" t="n">
        <v>6185.72</v>
      </c>
      <c r="F2695" s="8" t="n">
        <v>45876</v>
      </c>
      <c r="G2695" s="9" t="n">
        <v>6185.72</v>
      </c>
      <c r="H2695" t="inlineStr">
        <is>
          <t>PAID_ON_TIME</t>
        </is>
      </c>
      <c r="I2695">
        <f>IF(H2695="UNPAID", AsOfDate-D2695, 0)</f>
        <v/>
      </c>
      <c r="J2695">
        <f>IF(F2695&lt;&gt;"", TEXT(F2695, "yyyy-mm"), "")</f>
        <v/>
      </c>
    </row>
    <row r="2696">
      <c r="A2696" t="inlineStr">
        <is>
          <t>RP0002695</t>
        </is>
      </c>
      <c r="B2696" t="inlineStr">
        <is>
          <t>LN200385</t>
        </is>
      </c>
      <c r="C2696" t="n">
        <v>4</v>
      </c>
      <c r="D2696" s="8" t="n">
        <v>45905</v>
      </c>
      <c r="E2696" s="9" t="n">
        <v>6185.72</v>
      </c>
      <c r="F2696" s="8" t="n">
        <v>45903</v>
      </c>
      <c r="G2696" s="9" t="n">
        <v>6185.72</v>
      </c>
      <c r="H2696" t="inlineStr">
        <is>
          <t>PAID_ON_TIME</t>
        </is>
      </c>
      <c r="I2696">
        <f>IF(H2696="UNPAID", AsOfDate-D2696, 0)</f>
        <v/>
      </c>
      <c r="J2696">
        <f>IF(F2696&lt;&gt;"", TEXT(F2696, "yyyy-mm"), "")</f>
        <v/>
      </c>
    </row>
    <row r="2697">
      <c r="A2697" t="inlineStr">
        <is>
          <t>RP0002696</t>
        </is>
      </c>
      <c r="B2697" t="inlineStr">
        <is>
          <t>LN200385</t>
        </is>
      </c>
      <c r="C2697" t="n">
        <v>5</v>
      </c>
      <c r="D2697" s="8" t="n">
        <v>45935</v>
      </c>
      <c r="E2697" s="9" t="n">
        <v>6185.72</v>
      </c>
      <c r="F2697" s="8" t="n">
        <v>45932</v>
      </c>
      <c r="G2697" s="9" t="n">
        <v>6185.72</v>
      </c>
      <c r="H2697" t="inlineStr">
        <is>
          <t>PAID_ON_TIME</t>
        </is>
      </c>
      <c r="I2697">
        <f>IF(H2697="UNPAID", AsOfDate-D2697, 0)</f>
        <v/>
      </c>
      <c r="J2697">
        <f>IF(F2697&lt;&gt;"", TEXT(F2697, "yyyy-mm"), "")</f>
        <v/>
      </c>
    </row>
    <row r="2698">
      <c r="A2698" t="inlineStr">
        <is>
          <t>RP0002697</t>
        </is>
      </c>
      <c r="B2698" t="inlineStr">
        <is>
          <t>LN200385</t>
        </is>
      </c>
      <c r="C2698" t="n">
        <v>6</v>
      </c>
      <c r="D2698" s="8" t="n">
        <v>45966</v>
      </c>
      <c r="E2698" s="9" t="n">
        <v>6185.72</v>
      </c>
      <c r="F2698" s="8" t="n">
        <v>45967</v>
      </c>
      <c r="G2698" s="9" t="n">
        <v>6185.72</v>
      </c>
      <c r="H2698" t="inlineStr">
        <is>
          <t>PAID_ON_TIME</t>
        </is>
      </c>
      <c r="I2698">
        <f>IF(H2698="UNPAID", AsOfDate-D2698, 0)</f>
        <v/>
      </c>
      <c r="J2698">
        <f>IF(F2698&lt;&gt;"", TEXT(F2698, "yyyy-mm"), "")</f>
        <v/>
      </c>
    </row>
    <row r="2699">
      <c r="A2699" t="inlineStr">
        <is>
          <t>RP0002698</t>
        </is>
      </c>
      <c r="B2699" t="inlineStr">
        <is>
          <t>LN200385</t>
        </is>
      </c>
      <c r="C2699" t="n">
        <v>7</v>
      </c>
      <c r="D2699" s="8" t="n">
        <v>45996</v>
      </c>
      <c r="E2699" s="9" t="n">
        <v>6185.72</v>
      </c>
      <c r="F2699" s="8" t="n">
        <v>45998</v>
      </c>
      <c r="G2699" s="9" t="n">
        <v>6185.72</v>
      </c>
      <c r="H2699" t="inlineStr">
        <is>
          <t>PAID_ON_TIME</t>
        </is>
      </c>
      <c r="I2699">
        <f>IF(H2699="UNPAID", AsOfDate-D2699, 0)</f>
        <v/>
      </c>
      <c r="J2699">
        <f>IF(F2699&lt;&gt;"", TEXT(F2699, "yyyy-mm"), "")</f>
        <v/>
      </c>
    </row>
    <row r="2700">
      <c r="A2700" t="inlineStr">
        <is>
          <t>RP0002699</t>
        </is>
      </c>
      <c r="B2700" t="inlineStr">
        <is>
          <t>LN200385</t>
        </is>
      </c>
      <c r="C2700" t="n">
        <v>8</v>
      </c>
      <c r="D2700" s="8" t="n">
        <v>46027</v>
      </c>
      <c r="E2700" s="9" t="n">
        <v>6185.72</v>
      </c>
      <c r="F2700" s="8" t="n"/>
      <c r="G2700" s="9" t="n">
        <v>0</v>
      </c>
      <c r="H2700" t="inlineStr">
        <is>
          <t>UNPAID</t>
        </is>
      </c>
      <c r="I2700">
        <f>IF(H2700="UNPAID", AsOfDate-D2700, 0)</f>
        <v/>
      </c>
      <c r="J2700">
        <f>IF(F2700&lt;&gt;"", TEXT(F2700, "yyyy-mm"), "")</f>
        <v/>
      </c>
    </row>
    <row r="2701">
      <c r="A2701" t="inlineStr">
        <is>
          <t>RP0002700</t>
        </is>
      </c>
      <c r="B2701" t="inlineStr">
        <is>
          <t>LN200385</t>
        </is>
      </c>
      <c r="C2701" t="n">
        <v>9</v>
      </c>
      <c r="D2701" s="8" t="n">
        <v>46058</v>
      </c>
      <c r="E2701" s="9" t="n">
        <v>6185.72</v>
      </c>
      <c r="F2701" s="8" t="n">
        <v>46062</v>
      </c>
      <c r="G2701" s="9" t="n">
        <v>6185.72</v>
      </c>
      <c r="H2701" t="inlineStr">
        <is>
          <t>PAID_ON_TIME</t>
        </is>
      </c>
      <c r="I2701">
        <f>IF(H2701="UNPAID", AsOfDate-D2701, 0)</f>
        <v/>
      </c>
      <c r="J2701">
        <f>IF(F2701&lt;&gt;"", TEXT(F2701, "yyyy-mm"), "")</f>
        <v/>
      </c>
    </row>
    <row r="2702">
      <c r="A2702" t="inlineStr">
        <is>
          <t>RP0002701</t>
        </is>
      </c>
      <c r="B2702" t="inlineStr">
        <is>
          <t>LN200385</t>
        </is>
      </c>
      <c r="C2702" t="n">
        <v>10</v>
      </c>
      <c r="D2702" s="8" t="n">
        <v>46086</v>
      </c>
      <c r="E2702" s="9" t="n">
        <v>6185.72</v>
      </c>
      <c r="F2702" s="8" t="n">
        <v>46089</v>
      </c>
      <c r="G2702" s="9" t="n">
        <v>6185.72</v>
      </c>
      <c r="H2702" t="inlineStr">
        <is>
          <t>PAID_ON_TIME</t>
        </is>
      </c>
      <c r="I2702">
        <f>IF(H2702="UNPAID", AsOfDate-D2702, 0)</f>
        <v/>
      </c>
      <c r="J2702">
        <f>IF(F2702&lt;&gt;"", TEXT(F2702, "yyyy-mm"), "")</f>
        <v/>
      </c>
    </row>
    <row r="2703">
      <c r="A2703" t="inlineStr">
        <is>
          <t>RP0002702</t>
        </is>
      </c>
      <c r="B2703" t="inlineStr">
        <is>
          <t>LN200385</t>
        </is>
      </c>
      <c r="C2703" t="n">
        <v>11</v>
      </c>
      <c r="D2703" s="8" t="n">
        <v>46117</v>
      </c>
      <c r="E2703" s="9" t="n">
        <v>6185.72</v>
      </c>
      <c r="F2703" s="8" t="n">
        <v>46120</v>
      </c>
      <c r="G2703" s="9" t="n">
        <v>6185.72</v>
      </c>
      <c r="H2703" t="inlineStr">
        <is>
          <t>PAID_ON_TIME</t>
        </is>
      </c>
      <c r="I2703">
        <f>IF(H2703="UNPAID", AsOfDate-D2703, 0)</f>
        <v/>
      </c>
      <c r="J2703">
        <f>IF(F2703&lt;&gt;"", TEXT(F2703, "yyyy-mm"), "")</f>
        <v/>
      </c>
    </row>
    <row r="2704">
      <c r="A2704" t="inlineStr">
        <is>
          <t>RP0002703</t>
        </is>
      </c>
      <c r="B2704" t="inlineStr">
        <is>
          <t>LN200385</t>
        </is>
      </c>
      <c r="C2704" t="n">
        <v>12</v>
      </c>
      <c r="D2704" s="8" t="n">
        <v>46147</v>
      </c>
      <c r="E2704" s="9" t="n">
        <v>6185.72</v>
      </c>
      <c r="F2704" s="8" t="n">
        <v>46146</v>
      </c>
      <c r="G2704" s="9" t="n">
        <v>6185.72</v>
      </c>
      <c r="H2704" t="inlineStr">
        <is>
          <t>PAID_ON_TIME</t>
        </is>
      </c>
      <c r="I2704">
        <f>IF(H2704="UNPAID", AsOfDate-D2704, 0)</f>
        <v/>
      </c>
      <c r="J2704">
        <f>IF(F2704&lt;&gt;"", TEXT(F2704, "yyyy-mm"), "")</f>
        <v/>
      </c>
    </row>
    <row r="2705">
      <c r="A2705" t="inlineStr">
        <is>
          <t>RP0002704</t>
        </is>
      </c>
      <c r="B2705" t="inlineStr">
        <is>
          <t>LN200385</t>
        </is>
      </c>
      <c r="C2705" t="n">
        <v>13</v>
      </c>
      <c r="D2705" s="8" t="n">
        <v>46178</v>
      </c>
      <c r="E2705" s="9" t="n">
        <v>6185.72</v>
      </c>
      <c r="F2705" s="8" t="n">
        <v>46176</v>
      </c>
      <c r="G2705" s="9" t="n">
        <v>6185.72</v>
      </c>
      <c r="H2705" t="inlineStr">
        <is>
          <t>PAID_ON_TIME</t>
        </is>
      </c>
      <c r="I2705">
        <f>IF(H2705="UNPAID", AsOfDate-D2705, 0)</f>
        <v/>
      </c>
      <c r="J2705">
        <f>IF(F2705&lt;&gt;"", TEXT(F2705, "yyyy-mm"), "")</f>
        <v/>
      </c>
    </row>
    <row r="2706">
      <c r="A2706" t="inlineStr">
        <is>
          <t>RP0002705</t>
        </is>
      </c>
      <c r="B2706" t="inlineStr">
        <is>
          <t>LN200385</t>
        </is>
      </c>
      <c r="C2706" t="n">
        <v>14</v>
      </c>
      <c r="D2706" s="8" t="n">
        <v>46208</v>
      </c>
      <c r="E2706" s="9" t="n">
        <v>6185.72</v>
      </c>
      <c r="F2706" s="8" t="n">
        <v>46212</v>
      </c>
      <c r="G2706" s="9" t="n">
        <v>6185.72</v>
      </c>
      <c r="H2706" t="inlineStr">
        <is>
          <t>PAID_ON_TIME</t>
        </is>
      </c>
      <c r="I2706">
        <f>IF(H2706="UNPAID", AsOfDate-D2706, 0)</f>
        <v/>
      </c>
      <c r="J2706">
        <f>IF(F2706&lt;&gt;"", TEXT(F2706, "yyyy-mm"), "")</f>
        <v/>
      </c>
    </row>
    <row r="2707">
      <c r="A2707" t="inlineStr">
        <is>
          <t>RP0002706</t>
        </is>
      </c>
      <c r="B2707" t="inlineStr">
        <is>
          <t>LN200385</t>
        </is>
      </c>
      <c r="C2707" t="n">
        <v>15</v>
      </c>
      <c r="D2707" s="8" t="n">
        <v>46239</v>
      </c>
      <c r="E2707" s="9" t="n">
        <v>6185.72</v>
      </c>
      <c r="F2707" s="8" t="n">
        <v>46236</v>
      </c>
      <c r="G2707" s="9" t="n">
        <v>6185.72</v>
      </c>
      <c r="H2707" t="inlineStr">
        <is>
          <t>PAID_ON_TIME</t>
        </is>
      </c>
      <c r="I2707">
        <f>IF(H2707="UNPAID", AsOfDate-D2707, 0)</f>
        <v/>
      </c>
      <c r="J2707">
        <f>IF(F2707&lt;&gt;"", TEXT(F2707, "yyyy-mm"), "")</f>
        <v/>
      </c>
    </row>
    <row r="2708">
      <c r="A2708" t="inlineStr">
        <is>
          <t>RP0002707</t>
        </is>
      </c>
      <c r="B2708" t="inlineStr">
        <is>
          <t>LN200385</t>
        </is>
      </c>
      <c r="C2708" t="n">
        <v>16</v>
      </c>
      <c r="D2708" s="8" t="n">
        <v>46270</v>
      </c>
      <c r="E2708" s="9" t="n">
        <v>6185.72</v>
      </c>
      <c r="F2708" s="8" t="n"/>
      <c r="G2708" s="9" t="n">
        <v>0</v>
      </c>
      <c r="H2708" t="inlineStr">
        <is>
          <t>NOT_DUE</t>
        </is>
      </c>
      <c r="I2708">
        <f>IF(H2708="UNPAID", AsOfDate-D2708, 0)</f>
        <v/>
      </c>
      <c r="J2708">
        <f>IF(F2708&lt;&gt;"", TEXT(F2708, "yyyy-mm"), "")</f>
        <v/>
      </c>
    </row>
    <row r="2709">
      <c r="A2709" t="inlineStr">
        <is>
          <t>RP0002708</t>
        </is>
      </c>
      <c r="B2709" t="inlineStr">
        <is>
          <t>LN200385</t>
        </is>
      </c>
      <c r="C2709" t="n">
        <v>17</v>
      </c>
      <c r="D2709" s="8" t="n">
        <v>46300</v>
      </c>
      <c r="E2709" s="9" t="n">
        <v>6185.72</v>
      </c>
      <c r="F2709" s="8" t="n"/>
      <c r="G2709" s="9" t="n">
        <v>0</v>
      </c>
      <c r="H2709" t="inlineStr">
        <is>
          <t>NOT_DUE</t>
        </is>
      </c>
      <c r="I2709">
        <f>IF(H2709="UNPAID", AsOfDate-D2709, 0)</f>
        <v/>
      </c>
      <c r="J2709">
        <f>IF(F2709&lt;&gt;"", TEXT(F2709, "yyyy-mm"), "")</f>
        <v/>
      </c>
    </row>
    <row r="2710">
      <c r="A2710" t="inlineStr">
        <is>
          <t>RP0002709</t>
        </is>
      </c>
      <c r="B2710" t="inlineStr">
        <is>
          <t>LN200385</t>
        </is>
      </c>
      <c r="C2710" t="n">
        <v>18</v>
      </c>
      <c r="D2710" s="8" t="n">
        <v>46331</v>
      </c>
      <c r="E2710" s="9" t="n">
        <v>6185.72</v>
      </c>
      <c r="F2710" s="8" t="n"/>
      <c r="G2710" s="9" t="n">
        <v>0</v>
      </c>
      <c r="H2710" t="inlineStr">
        <is>
          <t>NOT_DUE</t>
        </is>
      </c>
      <c r="I2710">
        <f>IF(H2710="UNPAID", AsOfDate-D2710, 0)</f>
        <v/>
      </c>
      <c r="J2710">
        <f>IF(F2710&lt;&gt;"", TEXT(F2710, "yyyy-mm"), "")</f>
        <v/>
      </c>
    </row>
    <row r="2711">
      <c r="A2711" t="inlineStr">
        <is>
          <t>RP0002710</t>
        </is>
      </c>
      <c r="B2711" t="inlineStr">
        <is>
          <t>LN200386</t>
        </is>
      </c>
      <c r="C2711" t="n">
        <v>1</v>
      </c>
      <c r="D2711" s="8" t="n">
        <v>45770</v>
      </c>
      <c r="E2711" s="9" t="n">
        <v>54779.92</v>
      </c>
      <c r="F2711" s="8" t="n">
        <v>45768</v>
      </c>
      <c r="G2711" s="9" t="n">
        <v>54779.92</v>
      </c>
      <c r="H2711" t="inlineStr">
        <is>
          <t>PAID_ON_TIME</t>
        </is>
      </c>
      <c r="I2711">
        <f>IF(H2711="UNPAID", AsOfDate-D2711, 0)</f>
        <v/>
      </c>
      <c r="J2711">
        <f>IF(F2711&lt;&gt;"", TEXT(F2711, "yyyy-mm"), "")</f>
        <v/>
      </c>
    </row>
    <row r="2712">
      <c r="A2712" t="inlineStr">
        <is>
          <t>RP0002711</t>
        </is>
      </c>
      <c r="B2712" t="inlineStr">
        <is>
          <t>LN200386</t>
        </is>
      </c>
      <c r="C2712" t="n">
        <v>2</v>
      </c>
      <c r="D2712" s="8" t="n">
        <v>45800</v>
      </c>
      <c r="E2712" s="9" t="n">
        <v>54779.92</v>
      </c>
      <c r="F2712" s="8" t="n">
        <v>45803</v>
      </c>
      <c r="G2712" s="9" t="n">
        <v>54779.92</v>
      </c>
      <c r="H2712" t="inlineStr">
        <is>
          <t>PAID_ON_TIME</t>
        </is>
      </c>
      <c r="I2712">
        <f>IF(H2712="UNPAID", AsOfDate-D2712, 0)</f>
        <v/>
      </c>
      <c r="J2712">
        <f>IF(F2712&lt;&gt;"", TEXT(F2712, "yyyy-mm"), "")</f>
        <v/>
      </c>
    </row>
    <row r="2713">
      <c r="A2713" t="inlineStr">
        <is>
          <t>RP0002712</t>
        </is>
      </c>
      <c r="B2713" t="inlineStr">
        <is>
          <t>LN200386</t>
        </is>
      </c>
      <c r="C2713" t="n">
        <v>3</v>
      </c>
      <c r="D2713" s="8" t="n">
        <v>45831</v>
      </c>
      <c r="E2713" s="9" t="n">
        <v>54779.92</v>
      </c>
      <c r="F2713" s="8" t="n">
        <v>45830</v>
      </c>
      <c r="G2713" s="9" t="n">
        <v>54779.92</v>
      </c>
      <c r="H2713" t="inlineStr">
        <is>
          <t>PAID_ON_TIME</t>
        </is>
      </c>
      <c r="I2713">
        <f>IF(H2713="UNPAID", AsOfDate-D2713, 0)</f>
        <v/>
      </c>
      <c r="J2713">
        <f>IF(F2713&lt;&gt;"", TEXT(F2713, "yyyy-mm"), "")</f>
        <v/>
      </c>
    </row>
    <row r="2714">
      <c r="A2714" t="inlineStr">
        <is>
          <t>RP0002713</t>
        </is>
      </c>
      <c r="B2714" t="inlineStr">
        <is>
          <t>LN200387</t>
        </is>
      </c>
      <c r="C2714" t="n">
        <v>1</v>
      </c>
      <c r="D2714" s="8" t="n">
        <v>46035</v>
      </c>
      <c r="E2714" s="9" t="n">
        <v>7430</v>
      </c>
      <c r="F2714" s="8" t="n">
        <v>46037</v>
      </c>
      <c r="G2714" s="9" t="n">
        <v>7430</v>
      </c>
      <c r="H2714" t="inlineStr">
        <is>
          <t>PAID_ON_TIME</t>
        </is>
      </c>
      <c r="I2714">
        <f>IF(H2714="UNPAID", AsOfDate-D2714, 0)</f>
        <v/>
      </c>
      <c r="J2714">
        <f>IF(F2714&lt;&gt;"", TEXT(F2714, "yyyy-mm"), "")</f>
        <v/>
      </c>
    </row>
    <row r="2715">
      <c r="A2715" t="inlineStr">
        <is>
          <t>RP0002714</t>
        </is>
      </c>
      <c r="B2715" t="inlineStr">
        <is>
          <t>LN200387</t>
        </is>
      </c>
      <c r="C2715" t="n">
        <v>2</v>
      </c>
      <c r="D2715" s="8" t="n">
        <v>46066</v>
      </c>
      <c r="E2715" s="9" t="n">
        <v>7430</v>
      </c>
      <c r="F2715" s="8" t="n">
        <v>46067</v>
      </c>
      <c r="G2715" s="9" t="n">
        <v>7430</v>
      </c>
      <c r="H2715" t="inlineStr">
        <is>
          <t>PAID_ON_TIME</t>
        </is>
      </c>
      <c r="I2715">
        <f>IF(H2715="UNPAID", AsOfDate-D2715, 0)</f>
        <v/>
      </c>
      <c r="J2715">
        <f>IF(F2715&lt;&gt;"", TEXT(F2715, "yyyy-mm"), "")</f>
        <v/>
      </c>
    </row>
    <row r="2716">
      <c r="A2716" t="inlineStr">
        <is>
          <t>RP0002715</t>
        </is>
      </c>
      <c r="B2716" t="inlineStr">
        <is>
          <t>LN200387</t>
        </is>
      </c>
      <c r="C2716" t="n">
        <v>3</v>
      </c>
      <c r="D2716" s="8" t="n">
        <v>46094</v>
      </c>
      <c r="E2716" s="9" t="n">
        <v>7430</v>
      </c>
      <c r="F2716" s="8" t="n">
        <v>46098</v>
      </c>
      <c r="G2716" s="9" t="n">
        <v>7430</v>
      </c>
      <c r="H2716" t="inlineStr">
        <is>
          <t>PAID_ON_TIME</t>
        </is>
      </c>
      <c r="I2716">
        <f>IF(H2716="UNPAID", AsOfDate-D2716, 0)</f>
        <v/>
      </c>
      <c r="J2716">
        <f>IF(F2716&lt;&gt;"", TEXT(F2716, "yyyy-mm"), "")</f>
        <v/>
      </c>
    </row>
    <row r="2717">
      <c r="A2717" t="inlineStr">
        <is>
          <t>RP0002716</t>
        </is>
      </c>
      <c r="B2717" t="inlineStr">
        <is>
          <t>LN200387</t>
        </is>
      </c>
      <c r="C2717" t="n">
        <v>4</v>
      </c>
      <c r="D2717" s="8" t="n">
        <v>46125</v>
      </c>
      <c r="E2717" s="9" t="n">
        <v>7430</v>
      </c>
      <c r="F2717" s="8" t="n">
        <v>46198</v>
      </c>
      <c r="G2717" s="9" t="n">
        <v>7430</v>
      </c>
      <c r="H2717" t="inlineStr">
        <is>
          <t>PAID_LATE</t>
        </is>
      </c>
      <c r="I2717">
        <f>IF(H2717="UNPAID", AsOfDate-D2717, 0)</f>
        <v/>
      </c>
      <c r="J2717">
        <f>IF(F2717&lt;&gt;"", TEXT(F2717, "yyyy-mm"), "")</f>
        <v/>
      </c>
    </row>
    <row r="2718">
      <c r="A2718" t="inlineStr">
        <is>
          <t>RP0002717</t>
        </is>
      </c>
      <c r="B2718" t="inlineStr">
        <is>
          <t>LN200387</t>
        </is>
      </c>
      <c r="C2718" t="n">
        <v>5</v>
      </c>
      <c r="D2718" s="8" t="n">
        <v>46155</v>
      </c>
      <c r="E2718" s="9" t="n">
        <v>7430</v>
      </c>
      <c r="F2718" s="8" t="n">
        <v>46199</v>
      </c>
      <c r="G2718" s="9" t="n">
        <v>7430</v>
      </c>
      <c r="H2718" t="inlineStr">
        <is>
          <t>PAID_LATE</t>
        </is>
      </c>
      <c r="I2718">
        <f>IF(H2718="UNPAID", AsOfDate-D2718, 0)</f>
        <v/>
      </c>
      <c r="J2718">
        <f>IF(F2718&lt;&gt;"", TEXT(F2718, "yyyy-mm"), "")</f>
        <v/>
      </c>
    </row>
    <row r="2719">
      <c r="A2719" t="inlineStr">
        <is>
          <t>RP0002718</t>
        </is>
      </c>
      <c r="B2719" t="inlineStr">
        <is>
          <t>LN200387</t>
        </is>
      </c>
      <c r="C2719" t="n">
        <v>6</v>
      </c>
      <c r="D2719" s="8" t="n">
        <v>46186</v>
      </c>
      <c r="E2719" s="9" t="n">
        <v>7430</v>
      </c>
      <c r="F2719" s="8" t="n">
        <v>46187</v>
      </c>
      <c r="G2719" s="9" t="n">
        <v>7430</v>
      </c>
      <c r="H2719" t="inlineStr">
        <is>
          <t>PAID_ON_TIME</t>
        </is>
      </c>
      <c r="I2719">
        <f>IF(H2719="UNPAID", AsOfDate-D2719, 0)</f>
        <v/>
      </c>
      <c r="J2719">
        <f>IF(F2719&lt;&gt;"", TEXT(F2719, "yyyy-mm"), "")</f>
        <v/>
      </c>
    </row>
    <row r="2720">
      <c r="A2720" t="inlineStr">
        <is>
          <t>RP0002719</t>
        </is>
      </c>
      <c r="B2720" t="inlineStr">
        <is>
          <t>LN200388</t>
        </is>
      </c>
      <c r="C2720" t="n">
        <v>1</v>
      </c>
      <c r="D2720" s="8" t="n">
        <v>45815</v>
      </c>
      <c r="E2720" s="9" t="n">
        <v>42295.5</v>
      </c>
      <c r="F2720" s="8" t="n">
        <v>45815</v>
      </c>
      <c r="G2720" s="9" t="n">
        <v>42295.5</v>
      </c>
      <c r="H2720" t="inlineStr">
        <is>
          <t>PAID_ON_TIME</t>
        </is>
      </c>
      <c r="I2720">
        <f>IF(H2720="UNPAID", AsOfDate-D2720, 0)</f>
        <v/>
      </c>
      <c r="J2720">
        <f>IF(F2720&lt;&gt;"", TEXT(F2720, "yyyy-mm"), "")</f>
        <v/>
      </c>
    </row>
    <row r="2721">
      <c r="A2721" t="inlineStr">
        <is>
          <t>RP0002720</t>
        </is>
      </c>
      <c r="B2721" t="inlineStr">
        <is>
          <t>LN200388</t>
        </is>
      </c>
      <c r="C2721" t="n">
        <v>2</v>
      </c>
      <c r="D2721" s="8" t="n">
        <v>45845</v>
      </c>
      <c r="E2721" s="9" t="n">
        <v>42295.5</v>
      </c>
      <c r="F2721" s="8" t="n">
        <v>45842</v>
      </c>
      <c r="G2721" s="9" t="n">
        <v>42295.5</v>
      </c>
      <c r="H2721" t="inlineStr">
        <is>
          <t>PAID_ON_TIME</t>
        </is>
      </c>
      <c r="I2721">
        <f>IF(H2721="UNPAID", AsOfDate-D2721, 0)</f>
        <v/>
      </c>
      <c r="J2721">
        <f>IF(F2721&lt;&gt;"", TEXT(F2721, "yyyy-mm"), "")</f>
        <v/>
      </c>
    </row>
    <row r="2722">
      <c r="A2722" t="inlineStr">
        <is>
          <t>RP0002721</t>
        </is>
      </c>
      <c r="B2722" t="inlineStr">
        <is>
          <t>LN200388</t>
        </is>
      </c>
      <c r="C2722" t="n">
        <v>3</v>
      </c>
      <c r="D2722" s="8" t="n">
        <v>45876</v>
      </c>
      <c r="E2722" s="9" t="n">
        <v>42295.5</v>
      </c>
      <c r="F2722" s="8" t="n">
        <v>45874</v>
      </c>
      <c r="G2722" s="9" t="n">
        <v>42295.5</v>
      </c>
      <c r="H2722" t="inlineStr">
        <is>
          <t>PAID_ON_TIME</t>
        </is>
      </c>
      <c r="I2722">
        <f>IF(H2722="UNPAID", AsOfDate-D2722, 0)</f>
        <v/>
      </c>
      <c r="J2722">
        <f>IF(F2722&lt;&gt;"", TEXT(F2722, "yyyy-mm"), "")</f>
        <v/>
      </c>
    </row>
    <row r="2723">
      <c r="A2723" t="inlineStr">
        <is>
          <t>RP0002722</t>
        </is>
      </c>
      <c r="B2723" t="inlineStr">
        <is>
          <t>LN200388</t>
        </is>
      </c>
      <c r="C2723" t="n">
        <v>4</v>
      </c>
      <c r="D2723" s="8" t="n">
        <v>45907</v>
      </c>
      <c r="E2723" s="9" t="n">
        <v>42295.5</v>
      </c>
      <c r="F2723" s="8" t="n">
        <v>45908</v>
      </c>
      <c r="G2723" s="9" t="n">
        <v>42295.5</v>
      </c>
      <c r="H2723" t="inlineStr">
        <is>
          <t>PAID_ON_TIME</t>
        </is>
      </c>
      <c r="I2723">
        <f>IF(H2723="UNPAID", AsOfDate-D2723, 0)</f>
        <v/>
      </c>
      <c r="J2723">
        <f>IF(F2723&lt;&gt;"", TEXT(F2723, "yyyy-mm"), "")</f>
        <v/>
      </c>
    </row>
    <row r="2724">
      <c r="A2724" t="inlineStr">
        <is>
          <t>RP0002723</t>
        </is>
      </c>
      <c r="B2724" t="inlineStr">
        <is>
          <t>LN200388</t>
        </is>
      </c>
      <c r="C2724" t="n">
        <v>5</v>
      </c>
      <c r="D2724" s="8" t="n">
        <v>45937</v>
      </c>
      <c r="E2724" s="9" t="n">
        <v>42295.5</v>
      </c>
      <c r="F2724" s="8" t="n">
        <v>45938</v>
      </c>
      <c r="G2724" s="9" t="n">
        <v>42295.5</v>
      </c>
      <c r="H2724" t="inlineStr">
        <is>
          <t>PAID_ON_TIME</t>
        </is>
      </c>
      <c r="I2724">
        <f>IF(H2724="UNPAID", AsOfDate-D2724, 0)</f>
        <v/>
      </c>
      <c r="J2724">
        <f>IF(F2724&lt;&gt;"", TEXT(F2724, "yyyy-mm"), "")</f>
        <v/>
      </c>
    </row>
    <row r="2725">
      <c r="A2725" t="inlineStr">
        <is>
          <t>RP0002724</t>
        </is>
      </c>
      <c r="B2725" t="inlineStr">
        <is>
          <t>LN200388</t>
        </is>
      </c>
      <c r="C2725" t="n">
        <v>6</v>
      </c>
      <c r="D2725" s="8" t="n">
        <v>45968</v>
      </c>
      <c r="E2725" s="9" t="n">
        <v>42295.5</v>
      </c>
      <c r="F2725" s="8" t="n">
        <v>46001</v>
      </c>
      <c r="G2725" s="9" t="n">
        <v>42295.5</v>
      </c>
      <c r="H2725" t="inlineStr">
        <is>
          <t>PAID_LATE</t>
        </is>
      </c>
      <c r="I2725">
        <f>IF(H2725="UNPAID", AsOfDate-D2725, 0)</f>
        <v/>
      </c>
      <c r="J2725">
        <f>IF(F2725&lt;&gt;"", TEXT(F2725, "yyyy-mm"), "")</f>
        <v/>
      </c>
    </row>
    <row r="2726">
      <c r="A2726" t="inlineStr">
        <is>
          <t>RP0002725</t>
        </is>
      </c>
      <c r="B2726" t="inlineStr">
        <is>
          <t>LN200389</t>
        </is>
      </c>
      <c r="C2726" t="n">
        <v>1</v>
      </c>
      <c r="D2726" s="8" t="n">
        <v>46266</v>
      </c>
      <c r="E2726" s="9" t="n">
        <v>37876</v>
      </c>
      <c r="F2726" s="8" t="n">
        <v>46265</v>
      </c>
      <c r="G2726" s="9" t="n">
        <v>37876</v>
      </c>
      <c r="H2726" t="inlineStr">
        <is>
          <t>PAID_ON_TIME</t>
        </is>
      </c>
      <c r="I2726">
        <f>IF(H2726="UNPAID", AsOfDate-D2726, 0)</f>
        <v/>
      </c>
      <c r="J2726">
        <f>IF(F2726&lt;&gt;"", TEXT(F2726, "yyyy-mm"), "")</f>
        <v/>
      </c>
    </row>
    <row r="2727">
      <c r="A2727" t="inlineStr">
        <is>
          <t>RP0002726</t>
        </is>
      </c>
      <c r="B2727" t="inlineStr">
        <is>
          <t>LN200389</t>
        </is>
      </c>
      <c r="C2727" t="n">
        <v>2</v>
      </c>
      <c r="D2727" s="8" t="n">
        <v>46296</v>
      </c>
      <c r="E2727" s="9" t="n">
        <v>37876</v>
      </c>
      <c r="F2727" s="8" t="n"/>
      <c r="G2727" s="9" t="n">
        <v>0</v>
      </c>
      <c r="H2727" t="inlineStr">
        <is>
          <t>NOT_DUE</t>
        </is>
      </c>
      <c r="I2727">
        <f>IF(H2727="UNPAID", AsOfDate-D2727, 0)</f>
        <v/>
      </c>
      <c r="J2727">
        <f>IF(F2727&lt;&gt;"", TEXT(F2727, "yyyy-mm"), "")</f>
        <v/>
      </c>
    </row>
    <row r="2728">
      <c r="A2728" t="inlineStr">
        <is>
          <t>RP0002727</t>
        </is>
      </c>
      <c r="B2728" t="inlineStr">
        <is>
          <t>LN200389</t>
        </is>
      </c>
      <c r="C2728" t="n">
        <v>3</v>
      </c>
      <c r="D2728" s="8" t="n">
        <v>46327</v>
      </c>
      <c r="E2728" s="9" t="n">
        <v>37876</v>
      </c>
      <c r="F2728" s="8" t="n"/>
      <c r="G2728" s="9" t="n">
        <v>0</v>
      </c>
      <c r="H2728" t="inlineStr">
        <is>
          <t>NOT_DUE</t>
        </is>
      </c>
      <c r="I2728">
        <f>IF(H2728="UNPAID", AsOfDate-D2728, 0)</f>
        <v/>
      </c>
      <c r="J2728">
        <f>IF(F2728&lt;&gt;"", TEXT(F2728, "yyyy-mm"), "")</f>
        <v/>
      </c>
    </row>
    <row r="2729">
      <c r="A2729" t="inlineStr">
        <is>
          <t>RP0002728</t>
        </is>
      </c>
      <c r="B2729" t="inlineStr">
        <is>
          <t>LN200389</t>
        </is>
      </c>
      <c r="C2729" t="n">
        <v>4</v>
      </c>
      <c r="D2729" s="8" t="n">
        <v>46357</v>
      </c>
      <c r="E2729" s="9" t="n">
        <v>37876</v>
      </c>
      <c r="F2729" s="8" t="n"/>
      <c r="G2729" s="9" t="n">
        <v>0</v>
      </c>
      <c r="H2729" t="inlineStr">
        <is>
          <t>NOT_DUE</t>
        </is>
      </c>
      <c r="I2729">
        <f>IF(H2729="UNPAID", AsOfDate-D2729, 0)</f>
        <v/>
      </c>
      <c r="J2729">
        <f>IF(F2729&lt;&gt;"", TEXT(F2729, "yyyy-mm"), "")</f>
        <v/>
      </c>
    </row>
    <row r="2730">
      <c r="A2730" t="inlineStr">
        <is>
          <t>RP0002729</t>
        </is>
      </c>
      <c r="B2730" t="inlineStr">
        <is>
          <t>LN200389</t>
        </is>
      </c>
      <c r="C2730" t="n">
        <v>5</v>
      </c>
      <c r="D2730" s="8" t="n">
        <v>46388</v>
      </c>
      <c r="E2730" s="9" t="n">
        <v>37876</v>
      </c>
      <c r="F2730" s="8" t="n"/>
      <c r="G2730" s="9" t="n">
        <v>0</v>
      </c>
      <c r="H2730" t="inlineStr">
        <is>
          <t>NOT_DUE</t>
        </is>
      </c>
      <c r="I2730">
        <f>IF(H2730="UNPAID", AsOfDate-D2730, 0)</f>
        <v/>
      </c>
      <c r="J2730">
        <f>IF(F2730&lt;&gt;"", TEXT(F2730, "yyyy-mm"), "")</f>
        <v/>
      </c>
    </row>
    <row r="2731">
      <c r="A2731" t="inlineStr">
        <is>
          <t>RP0002730</t>
        </is>
      </c>
      <c r="B2731" t="inlineStr">
        <is>
          <t>LN200389</t>
        </is>
      </c>
      <c r="C2731" t="n">
        <v>6</v>
      </c>
      <c r="D2731" s="8" t="n">
        <v>46419</v>
      </c>
      <c r="E2731" s="9" t="n">
        <v>37876</v>
      </c>
      <c r="F2731" s="8" t="n"/>
      <c r="G2731" s="9" t="n">
        <v>0</v>
      </c>
      <c r="H2731" t="inlineStr">
        <is>
          <t>NOT_DUE</t>
        </is>
      </c>
      <c r="I2731">
        <f>IF(H2731="UNPAID", AsOfDate-D2731, 0)</f>
        <v/>
      </c>
      <c r="J2731">
        <f>IF(F2731&lt;&gt;"", TEXT(F2731, "yyyy-mm"), "")</f>
        <v/>
      </c>
    </row>
    <row r="2732">
      <c r="A2732" t="inlineStr">
        <is>
          <t>RP0002731</t>
        </is>
      </c>
      <c r="B2732" t="inlineStr">
        <is>
          <t>LN200390</t>
        </is>
      </c>
      <c r="C2732" t="n">
        <v>1</v>
      </c>
      <c r="D2732" s="8" t="n">
        <v>46258</v>
      </c>
      <c r="E2732" s="9" t="n">
        <v>5742.75</v>
      </c>
      <c r="F2732" s="8" t="n">
        <v>46257</v>
      </c>
      <c r="G2732" s="9" t="n">
        <v>5742.75</v>
      </c>
      <c r="H2732" t="inlineStr">
        <is>
          <t>PAID_ON_TIME</t>
        </is>
      </c>
      <c r="I2732">
        <f>IF(H2732="UNPAID", AsOfDate-D2732, 0)</f>
        <v/>
      </c>
      <c r="J2732">
        <f>IF(F2732&lt;&gt;"", TEXT(F2732, "yyyy-mm"), "")</f>
        <v/>
      </c>
    </row>
    <row r="2733">
      <c r="A2733" t="inlineStr">
        <is>
          <t>RP0002732</t>
        </is>
      </c>
      <c r="B2733" t="inlineStr">
        <is>
          <t>LN200390</t>
        </is>
      </c>
      <c r="C2733" t="n">
        <v>2</v>
      </c>
      <c r="D2733" s="8" t="n">
        <v>46289</v>
      </c>
      <c r="E2733" s="9" t="n">
        <v>5742.75</v>
      </c>
      <c r="F2733" s="8" t="n"/>
      <c r="G2733" s="9" t="n">
        <v>0</v>
      </c>
      <c r="H2733" t="inlineStr">
        <is>
          <t>NOT_DUE</t>
        </is>
      </c>
      <c r="I2733">
        <f>IF(H2733="UNPAID", AsOfDate-D2733, 0)</f>
        <v/>
      </c>
      <c r="J2733">
        <f>IF(F2733&lt;&gt;"", TEXT(F2733, "yyyy-mm"), "")</f>
        <v/>
      </c>
    </row>
    <row r="2734">
      <c r="A2734" t="inlineStr">
        <is>
          <t>RP0002733</t>
        </is>
      </c>
      <c r="B2734" t="inlineStr">
        <is>
          <t>LN200390</t>
        </is>
      </c>
      <c r="C2734" t="n">
        <v>3</v>
      </c>
      <c r="D2734" s="8" t="n">
        <v>46319</v>
      </c>
      <c r="E2734" s="9" t="n">
        <v>5742.75</v>
      </c>
      <c r="F2734" s="8" t="n"/>
      <c r="G2734" s="9" t="n">
        <v>0</v>
      </c>
      <c r="H2734" t="inlineStr">
        <is>
          <t>NOT_DUE</t>
        </is>
      </c>
      <c r="I2734">
        <f>IF(H2734="UNPAID", AsOfDate-D2734, 0)</f>
        <v/>
      </c>
      <c r="J2734">
        <f>IF(F2734&lt;&gt;"", TEXT(F2734, "yyyy-mm"), "")</f>
        <v/>
      </c>
    </row>
    <row r="2735">
      <c r="A2735" t="inlineStr">
        <is>
          <t>RP0002734</t>
        </is>
      </c>
      <c r="B2735" t="inlineStr">
        <is>
          <t>LN200390</t>
        </is>
      </c>
      <c r="C2735" t="n">
        <v>4</v>
      </c>
      <c r="D2735" s="8" t="n">
        <v>46350</v>
      </c>
      <c r="E2735" s="9" t="n">
        <v>5742.75</v>
      </c>
      <c r="F2735" s="8" t="n"/>
      <c r="G2735" s="9" t="n">
        <v>0</v>
      </c>
      <c r="H2735" t="inlineStr">
        <is>
          <t>NOT_DUE</t>
        </is>
      </c>
      <c r="I2735">
        <f>IF(H2735="UNPAID", AsOfDate-D2735, 0)</f>
        <v/>
      </c>
      <c r="J2735">
        <f>IF(F2735&lt;&gt;"", TEXT(F2735, "yyyy-mm"), "")</f>
        <v/>
      </c>
    </row>
    <row r="2736">
      <c r="A2736" t="inlineStr">
        <is>
          <t>RP0002735</t>
        </is>
      </c>
      <c r="B2736" t="inlineStr">
        <is>
          <t>LN200390</t>
        </is>
      </c>
      <c r="C2736" t="n">
        <v>5</v>
      </c>
      <c r="D2736" s="8" t="n">
        <v>46380</v>
      </c>
      <c r="E2736" s="9" t="n">
        <v>5742.75</v>
      </c>
      <c r="F2736" s="8" t="n"/>
      <c r="G2736" s="9" t="n">
        <v>0</v>
      </c>
      <c r="H2736" t="inlineStr">
        <is>
          <t>NOT_DUE</t>
        </is>
      </c>
      <c r="I2736">
        <f>IF(H2736="UNPAID", AsOfDate-D2736, 0)</f>
        <v/>
      </c>
      <c r="J2736">
        <f>IF(F2736&lt;&gt;"", TEXT(F2736, "yyyy-mm"), "")</f>
        <v/>
      </c>
    </row>
    <row r="2737">
      <c r="A2737" t="inlineStr">
        <is>
          <t>RP0002736</t>
        </is>
      </c>
      <c r="B2737" t="inlineStr">
        <is>
          <t>LN200390</t>
        </is>
      </c>
      <c r="C2737" t="n">
        <v>6</v>
      </c>
      <c r="D2737" s="8" t="n">
        <v>46411</v>
      </c>
      <c r="E2737" s="9" t="n">
        <v>5742.75</v>
      </c>
      <c r="F2737" s="8" t="n"/>
      <c r="G2737" s="9" t="n">
        <v>0</v>
      </c>
      <c r="H2737" t="inlineStr">
        <is>
          <t>NOT_DUE</t>
        </is>
      </c>
      <c r="I2737">
        <f>IF(H2737="UNPAID", AsOfDate-D2737, 0)</f>
        <v/>
      </c>
      <c r="J2737">
        <f>IF(F2737&lt;&gt;"", TEXT(F2737, "yyyy-mm"), "")</f>
        <v/>
      </c>
    </row>
    <row r="2738">
      <c r="A2738" t="inlineStr">
        <is>
          <t>RP0002737</t>
        </is>
      </c>
      <c r="B2738" t="inlineStr">
        <is>
          <t>LN200390</t>
        </is>
      </c>
      <c r="C2738" t="n">
        <v>7</v>
      </c>
      <c r="D2738" s="8" t="n">
        <v>46442</v>
      </c>
      <c r="E2738" s="9" t="n">
        <v>5742.75</v>
      </c>
      <c r="F2738" s="8" t="n"/>
      <c r="G2738" s="9" t="n">
        <v>0</v>
      </c>
      <c r="H2738" t="inlineStr">
        <is>
          <t>NOT_DUE</t>
        </is>
      </c>
      <c r="I2738">
        <f>IF(H2738="UNPAID", AsOfDate-D2738, 0)</f>
        <v/>
      </c>
      <c r="J2738">
        <f>IF(F2738&lt;&gt;"", TEXT(F2738, "yyyy-mm"), "")</f>
        <v/>
      </c>
    </row>
    <row r="2739">
      <c r="A2739" t="inlineStr">
        <is>
          <t>RP0002738</t>
        </is>
      </c>
      <c r="B2739" t="inlineStr">
        <is>
          <t>LN200390</t>
        </is>
      </c>
      <c r="C2739" t="n">
        <v>8</v>
      </c>
      <c r="D2739" s="8" t="n">
        <v>46470</v>
      </c>
      <c r="E2739" s="9" t="n">
        <v>5742.75</v>
      </c>
      <c r="F2739" s="8" t="n"/>
      <c r="G2739" s="9" t="n">
        <v>0</v>
      </c>
      <c r="H2739" t="inlineStr">
        <is>
          <t>NOT_DUE</t>
        </is>
      </c>
      <c r="I2739">
        <f>IF(H2739="UNPAID", AsOfDate-D2739, 0)</f>
        <v/>
      </c>
      <c r="J2739">
        <f>IF(F2739&lt;&gt;"", TEXT(F2739, "yyyy-mm"), "")</f>
        <v/>
      </c>
    </row>
    <row r="2740">
      <c r="A2740" t="inlineStr">
        <is>
          <t>RP0002739</t>
        </is>
      </c>
      <c r="B2740" t="inlineStr">
        <is>
          <t>LN200390</t>
        </is>
      </c>
      <c r="C2740" t="n">
        <v>9</v>
      </c>
      <c r="D2740" s="8" t="n">
        <v>46501</v>
      </c>
      <c r="E2740" s="9" t="n">
        <v>5742.75</v>
      </c>
      <c r="F2740" s="8" t="n"/>
      <c r="G2740" s="9" t="n">
        <v>0</v>
      </c>
      <c r="H2740" t="inlineStr">
        <is>
          <t>NOT_DUE</t>
        </is>
      </c>
      <c r="I2740">
        <f>IF(H2740="UNPAID", AsOfDate-D2740, 0)</f>
        <v/>
      </c>
      <c r="J2740">
        <f>IF(F2740&lt;&gt;"", TEXT(F2740, "yyyy-mm"), "")</f>
        <v/>
      </c>
    </row>
    <row r="2741">
      <c r="A2741" t="inlineStr">
        <is>
          <t>RP0002740</t>
        </is>
      </c>
      <c r="B2741" t="inlineStr">
        <is>
          <t>LN200390</t>
        </is>
      </c>
      <c r="C2741" t="n">
        <v>10</v>
      </c>
      <c r="D2741" s="8" t="n">
        <v>46531</v>
      </c>
      <c r="E2741" s="9" t="n">
        <v>5742.75</v>
      </c>
      <c r="F2741" s="8" t="n"/>
      <c r="G2741" s="9" t="n">
        <v>0</v>
      </c>
      <c r="H2741" t="inlineStr">
        <is>
          <t>NOT_DUE</t>
        </is>
      </c>
      <c r="I2741">
        <f>IF(H2741="UNPAID", AsOfDate-D2741, 0)</f>
        <v/>
      </c>
      <c r="J2741">
        <f>IF(F2741&lt;&gt;"", TEXT(F2741, "yyyy-mm"), "")</f>
        <v/>
      </c>
    </row>
    <row r="2742">
      <c r="A2742" t="inlineStr">
        <is>
          <t>RP0002741</t>
        </is>
      </c>
      <c r="B2742" t="inlineStr">
        <is>
          <t>LN200390</t>
        </is>
      </c>
      <c r="C2742" t="n">
        <v>11</v>
      </c>
      <c r="D2742" s="8" t="n">
        <v>46562</v>
      </c>
      <c r="E2742" s="9" t="n">
        <v>5742.75</v>
      </c>
      <c r="F2742" s="8" t="n"/>
      <c r="G2742" s="9" t="n">
        <v>0</v>
      </c>
      <c r="H2742" t="inlineStr">
        <is>
          <t>NOT_DUE</t>
        </is>
      </c>
      <c r="I2742">
        <f>IF(H2742="UNPAID", AsOfDate-D2742, 0)</f>
        <v/>
      </c>
      <c r="J2742">
        <f>IF(F2742&lt;&gt;"", TEXT(F2742, "yyyy-mm"), "")</f>
        <v/>
      </c>
    </row>
    <row r="2743">
      <c r="A2743" t="inlineStr">
        <is>
          <t>RP0002742</t>
        </is>
      </c>
      <c r="B2743" t="inlineStr">
        <is>
          <t>LN200390</t>
        </is>
      </c>
      <c r="C2743" t="n">
        <v>12</v>
      </c>
      <c r="D2743" s="8" t="n">
        <v>46592</v>
      </c>
      <c r="E2743" s="9" t="n">
        <v>5742.75</v>
      </c>
      <c r="F2743" s="8" t="n"/>
      <c r="G2743" s="9" t="n">
        <v>0</v>
      </c>
      <c r="H2743" t="inlineStr">
        <is>
          <t>NOT_DUE</t>
        </is>
      </c>
      <c r="I2743">
        <f>IF(H2743="UNPAID", AsOfDate-D2743, 0)</f>
        <v/>
      </c>
      <c r="J2743">
        <f>IF(F2743&lt;&gt;"", TEXT(F2743, "yyyy-mm"), "")</f>
        <v/>
      </c>
    </row>
    <row r="2744">
      <c r="A2744" t="inlineStr">
        <is>
          <t>RP0002743</t>
        </is>
      </c>
      <c r="B2744" t="inlineStr">
        <is>
          <t>LN200391</t>
        </is>
      </c>
      <c r="C2744" t="n">
        <v>1</v>
      </c>
      <c r="D2744" s="8" t="n">
        <v>46075</v>
      </c>
      <c r="E2744" s="9" t="n">
        <v>18391.67</v>
      </c>
      <c r="F2744" s="8" t="n">
        <v>46079</v>
      </c>
      <c r="G2744" s="9" t="n">
        <v>18391.67</v>
      </c>
      <c r="H2744" t="inlineStr">
        <is>
          <t>PAID_ON_TIME</t>
        </is>
      </c>
      <c r="I2744">
        <f>IF(H2744="UNPAID", AsOfDate-D2744, 0)</f>
        <v/>
      </c>
      <c r="J2744">
        <f>IF(F2744&lt;&gt;"", TEXT(F2744, "yyyy-mm"), "")</f>
        <v/>
      </c>
    </row>
    <row r="2745">
      <c r="A2745" t="inlineStr">
        <is>
          <t>RP0002744</t>
        </is>
      </c>
      <c r="B2745" t="inlineStr">
        <is>
          <t>LN200391</t>
        </is>
      </c>
      <c r="C2745" t="n">
        <v>2</v>
      </c>
      <c r="D2745" s="8" t="n">
        <v>46103</v>
      </c>
      <c r="E2745" s="9" t="n">
        <v>18391.67</v>
      </c>
      <c r="F2745" s="8" t="n"/>
      <c r="G2745" s="9" t="n">
        <v>0</v>
      </c>
      <c r="H2745" t="inlineStr">
        <is>
          <t>UNPAID</t>
        </is>
      </c>
      <c r="I2745">
        <f>IF(H2745="UNPAID", AsOfDate-D2745, 0)</f>
        <v/>
      </c>
      <c r="J2745">
        <f>IF(F2745&lt;&gt;"", TEXT(F2745, "yyyy-mm"), "")</f>
        <v/>
      </c>
    </row>
    <row r="2746">
      <c r="A2746" t="inlineStr">
        <is>
          <t>RP0002745</t>
        </is>
      </c>
      <c r="B2746" t="inlineStr">
        <is>
          <t>LN200391</t>
        </is>
      </c>
      <c r="C2746" t="n">
        <v>3</v>
      </c>
      <c r="D2746" s="8" t="n">
        <v>46134</v>
      </c>
      <c r="E2746" s="9" t="n">
        <v>18391.67</v>
      </c>
      <c r="F2746" s="8" t="n">
        <v>46133</v>
      </c>
      <c r="G2746" s="9" t="n">
        <v>18391.67</v>
      </c>
      <c r="H2746" t="inlineStr">
        <is>
          <t>PAID_ON_TIME</t>
        </is>
      </c>
      <c r="I2746">
        <f>IF(H2746="UNPAID", AsOfDate-D2746, 0)</f>
        <v/>
      </c>
      <c r="J2746">
        <f>IF(F2746&lt;&gt;"", TEXT(F2746, "yyyy-mm"), "")</f>
        <v/>
      </c>
    </row>
    <row r="2747">
      <c r="A2747" t="inlineStr">
        <is>
          <t>RP0002746</t>
        </is>
      </c>
      <c r="B2747" t="inlineStr">
        <is>
          <t>LN200391</t>
        </is>
      </c>
      <c r="C2747" t="n">
        <v>4</v>
      </c>
      <c r="D2747" s="8" t="n">
        <v>46164</v>
      </c>
      <c r="E2747" s="9" t="n">
        <v>18391.67</v>
      </c>
      <c r="F2747" s="8" t="n">
        <v>46162</v>
      </c>
      <c r="G2747" s="9" t="n">
        <v>18391.67</v>
      </c>
      <c r="H2747" t="inlineStr">
        <is>
          <t>PAID_ON_TIME</t>
        </is>
      </c>
      <c r="I2747">
        <f>IF(H2747="UNPAID", AsOfDate-D2747, 0)</f>
        <v/>
      </c>
      <c r="J2747">
        <f>IF(F2747&lt;&gt;"", TEXT(F2747, "yyyy-mm"), "")</f>
        <v/>
      </c>
    </row>
    <row r="2748">
      <c r="A2748" t="inlineStr">
        <is>
          <t>RP0002747</t>
        </is>
      </c>
      <c r="B2748" t="inlineStr">
        <is>
          <t>LN200391</t>
        </is>
      </c>
      <c r="C2748" t="n">
        <v>5</v>
      </c>
      <c r="D2748" s="8" t="n">
        <v>46195</v>
      </c>
      <c r="E2748" s="9" t="n">
        <v>18391.67</v>
      </c>
      <c r="F2748" s="8" t="n">
        <v>46197</v>
      </c>
      <c r="G2748" s="9" t="n">
        <v>18391.67</v>
      </c>
      <c r="H2748" t="inlineStr">
        <is>
          <t>PAID_ON_TIME</t>
        </is>
      </c>
      <c r="I2748">
        <f>IF(H2748="UNPAID", AsOfDate-D2748, 0)</f>
        <v/>
      </c>
      <c r="J2748">
        <f>IF(F2748&lt;&gt;"", TEXT(F2748, "yyyy-mm"), "")</f>
        <v/>
      </c>
    </row>
    <row r="2749">
      <c r="A2749" t="inlineStr">
        <is>
          <t>RP0002748</t>
        </is>
      </c>
      <c r="B2749" t="inlineStr">
        <is>
          <t>LN200391</t>
        </is>
      </c>
      <c r="C2749" t="n">
        <v>6</v>
      </c>
      <c r="D2749" s="8" t="n">
        <v>46225</v>
      </c>
      <c r="E2749" s="9" t="n">
        <v>18391.67</v>
      </c>
      <c r="F2749" s="8" t="n"/>
      <c r="G2749" s="9" t="n">
        <v>0</v>
      </c>
      <c r="H2749" t="inlineStr">
        <is>
          <t>UNPAID</t>
        </is>
      </c>
      <c r="I2749">
        <f>IF(H2749="UNPAID", AsOfDate-D2749, 0)</f>
        <v/>
      </c>
      <c r="J2749">
        <f>IF(F2749&lt;&gt;"", TEXT(F2749, "yyyy-mm"), "")</f>
        <v/>
      </c>
    </row>
    <row r="2750">
      <c r="A2750" t="inlineStr">
        <is>
          <t>RP0002749</t>
        </is>
      </c>
      <c r="B2750" t="inlineStr">
        <is>
          <t>LN200392</t>
        </is>
      </c>
      <c r="C2750" t="n">
        <v>1</v>
      </c>
      <c r="D2750" s="8" t="n">
        <v>46177</v>
      </c>
      <c r="E2750" s="9" t="n">
        <v>20291.08</v>
      </c>
      <c r="F2750" s="8" t="n">
        <v>46232</v>
      </c>
      <c r="G2750" s="9" t="n">
        <v>20291.08</v>
      </c>
      <c r="H2750" t="inlineStr">
        <is>
          <t>PAID_LATE</t>
        </is>
      </c>
      <c r="I2750">
        <f>IF(H2750="UNPAID", AsOfDate-D2750, 0)</f>
        <v/>
      </c>
      <c r="J2750">
        <f>IF(F2750&lt;&gt;"", TEXT(F2750, "yyyy-mm"), "")</f>
        <v/>
      </c>
    </row>
    <row r="2751">
      <c r="A2751" t="inlineStr">
        <is>
          <t>RP0002750</t>
        </is>
      </c>
      <c r="B2751" t="inlineStr">
        <is>
          <t>LN200392</t>
        </is>
      </c>
      <c r="C2751" t="n">
        <v>2</v>
      </c>
      <c r="D2751" s="8" t="n">
        <v>46207</v>
      </c>
      <c r="E2751" s="9" t="n">
        <v>20291.08</v>
      </c>
      <c r="F2751" s="8" t="n">
        <v>46207</v>
      </c>
      <c r="G2751" s="9" t="n">
        <v>20291.08</v>
      </c>
      <c r="H2751" t="inlineStr">
        <is>
          <t>PAID_ON_TIME</t>
        </is>
      </c>
      <c r="I2751">
        <f>IF(H2751="UNPAID", AsOfDate-D2751, 0)</f>
        <v/>
      </c>
      <c r="J2751">
        <f>IF(F2751&lt;&gt;"", TEXT(F2751, "yyyy-mm"), "")</f>
        <v/>
      </c>
    </row>
    <row r="2752">
      <c r="A2752" t="inlineStr">
        <is>
          <t>RP0002751</t>
        </is>
      </c>
      <c r="B2752" t="inlineStr">
        <is>
          <t>LN200392</t>
        </is>
      </c>
      <c r="C2752" t="n">
        <v>3</v>
      </c>
      <c r="D2752" s="8" t="n">
        <v>46238</v>
      </c>
      <c r="E2752" s="9" t="n">
        <v>20291.08</v>
      </c>
      <c r="F2752" s="8" t="n">
        <v>46266</v>
      </c>
      <c r="G2752" s="9" t="n">
        <v>20291.08</v>
      </c>
      <c r="H2752" t="inlineStr">
        <is>
          <t>PAID_LATE</t>
        </is>
      </c>
      <c r="I2752">
        <f>IF(H2752="UNPAID", AsOfDate-D2752, 0)</f>
        <v/>
      </c>
      <c r="J2752">
        <f>IF(F2752&lt;&gt;"", TEXT(F2752, "yyyy-mm"), "")</f>
        <v/>
      </c>
    </row>
    <row r="2753">
      <c r="A2753" t="inlineStr">
        <is>
          <t>RP0002752</t>
        </is>
      </c>
      <c r="B2753" t="inlineStr">
        <is>
          <t>LN200394</t>
        </is>
      </c>
      <c r="C2753" t="n">
        <v>1</v>
      </c>
      <c r="D2753" s="8" t="n">
        <v>45909</v>
      </c>
      <c r="E2753" s="9" t="n">
        <v>20932.08</v>
      </c>
      <c r="F2753" s="8" t="n">
        <v>45913</v>
      </c>
      <c r="G2753" s="9" t="n">
        <v>20932.08</v>
      </c>
      <c r="H2753" t="inlineStr">
        <is>
          <t>PAID_ON_TIME</t>
        </is>
      </c>
      <c r="I2753">
        <f>IF(H2753="UNPAID", AsOfDate-D2753, 0)</f>
        <v/>
      </c>
      <c r="J2753">
        <f>IF(F2753&lt;&gt;"", TEXT(F2753, "yyyy-mm"), "")</f>
        <v/>
      </c>
    </row>
    <row r="2754">
      <c r="A2754" t="inlineStr">
        <is>
          <t>RP0002753</t>
        </is>
      </c>
      <c r="B2754" t="inlineStr">
        <is>
          <t>LN200394</t>
        </is>
      </c>
      <c r="C2754" t="n">
        <v>2</v>
      </c>
      <c r="D2754" s="8" t="n">
        <v>45939</v>
      </c>
      <c r="E2754" s="9" t="n">
        <v>20932.08</v>
      </c>
      <c r="F2754" s="8" t="n"/>
      <c r="G2754" s="9" t="n">
        <v>0</v>
      </c>
      <c r="H2754" t="inlineStr">
        <is>
          <t>UNPAID</t>
        </is>
      </c>
      <c r="I2754">
        <f>IF(H2754="UNPAID", AsOfDate-D2754, 0)</f>
        <v/>
      </c>
      <c r="J2754">
        <f>IF(F2754&lt;&gt;"", TEXT(F2754, "yyyy-mm"), "")</f>
        <v/>
      </c>
    </row>
    <row r="2755">
      <c r="A2755" t="inlineStr">
        <is>
          <t>RP0002754</t>
        </is>
      </c>
      <c r="B2755" t="inlineStr">
        <is>
          <t>LN200394</t>
        </is>
      </c>
      <c r="C2755" t="n">
        <v>3</v>
      </c>
      <c r="D2755" s="8" t="n">
        <v>45970</v>
      </c>
      <c r="E2755" s="9" t="n">
        <v>20932.08</v>
      </c>
      <c r="F2755" s="8" t="n">
        <v>45967</v>
      </c>
      <c r="G2755" s="9" t="n">
        <v>20932.08</v>
      </c>
      <c r="H2755" t="inlineStr">
        <is>
          <t>PAID_ON_TIME</t>
        </is>
      </c>
      <c r="I2755">
        <f>IF(H2755="UNPAID", AsOfDate-D2755, 0)</f>
        <v/>
      </c>
      <c r="J2755">
        <f>IF(F2755&lt;&gt;"", TEXT(F2755, "yyyy-mm"), "")</f>
        <v/>
      </c>
    </row>
    <row r="2756">
      <c r="A2756" t="inlineStr">
        <is>
          <t>RP0002755</t>
        </is>
      </c>
      <c r="B2756" t="inlineStr">
        <is>
          <t>LN200394</t>
        </is>
      </c>
      <c r="C2756" t="n">
        <v>4</v>
      </c>
      <c r="D2756" s="8" t="n">
        <v>46000</v>
      </c>
      <c r="E2756" s="9" t="n">
        <v>20932.08</v>
      </c>
      <c r="F2756" s="8" t="n">
        <v>46000</v>
      </c>
      <c r="G2756" s="9" t="n">
        <v>20932.08</v>
      </c>
      <c r="H2756" t="inlineStr">
        <is>
          <t>PAID_ON_TIME</t>
        </is>
      </c>
      <c r="I2756">
        <f>IF(H2756="UNPAID", AsOfDate-D2756, 0)</f>
        <v/>
      </c>
      <c r="J2756">
        <f>IF(F2756&lt;&gt;"", TEXT(F2756, "yyyy-mm"), "")</f>
        <v/>
      </c>
    </row>
    <row r="2757">
      <c r="A2757" t="inlineStr">
        <is>
          <t>RP0002756</t>
        </is>
      </c>
      <c r="B2757" t="inlineStr">
        <is>
          <t>LN200394</t>
        </is>
      </c>
      <c r="C2757" t="n">
        <v>5</v>
      </c>
      <c r="D2757" s="8" t="n">
        <v>46031</v>
      </c>
      <c r="E2757" s="9" t="n">
        <v>20932.08</v>
      </c>
      <c r="F2757" s="8" t="n">
        <v>46033</v>
      </c>
      <c r="G2757" s="9" t="n">
        <v>20932.08</v>
      </c>
      <c r="H2757" t="inlineStr">
        <is>
          <t>PAID_ON_TIME</t>
        </is>
      </c>
      <c r="I2757">
        <f>IF(H2757="UNPAID", AsOfDate-D2757, 0)</f>
        <v/>
      </c>
      <c r="J2757">
        <f>IF(F2757&lt;&gt;"", TEXT(F2757, "yyyy-mm"), "")</f>
        <v/>
      </c>
    </row>
    <row r="2758">
      <c r="A2758" t="inlineStr">
        <is>
          <t>RP0002757</t>
        </is>
      </c>
      <c r="B2758" t="inlineStr">
        <is>
          <t>LN200394</t>
        </is>
      </c>
      <c r="C2758" t="n">
        <v>6</v>
      </c>
      <c r="D2758" s="8" t="n">
        <v>46062</v>
      </c>
      <c r="E2758" s="9" t="n">
        <v>20932.08</v>
      </c>
      <c r="F2758" s="8" t="n">
        <v>46059</v>
      </c>
      <c r="G2758" s="9" t="n">
        <v>20932.08</v>
      </c>
      <c r="H2758" t="inlineStr">
        <is>
          <t>PAID_ON_TIME</t>
        </is>
      </c>
      <c r="I2758">
        <f>IF(H2758="UNPAID", AsOfDate-D2758, 0)</f>
        <v/>
      </c>
      <c r="J2758">
        <f>IF(F2758&lt;&gt;"", TEXT(F2758, "yyyy-mm"), "")</f>
        <v/>
      </c>
    </row>
    <row r="2759">
      <c r="A2759" t="inlineStr">
        <is>
          <t>RP0002758</t>
        </is>
      </c>
      <c r="B2759" t="inlineStr">
        <is>
          <t>LN200394</t>
        </is>
      </c>
      <c r="C2759" t="n">
        <v>7</v>
      </c>
      <c r="D2759" s="8" t="n">
        <v>46090</v>
      </c>
      <c r="E2759" s="9" t="n">
        <v>20932.08</v>
      </c>
      <c r="F2759" s="8" t="n">
        <v>46092</v>
      </c>
      <c r="G2759" s="9" t="n">
        <v>20932.08</v>
      </c>
      <c r="H2759" t="inlineStr">
        <is>
          <t>PAID_ON_TIME</t>
        </is>
      </c>
      <c r="I2759">
        <f>IF(H2759="UNPAID", AsOfDate-D2759, 0)</f>
        <v/>
      </c>
      <c r="J2759">
        <f>IF(F2759&lt;&gt;"", TEXT(F2759, "yyyy-mm"), "")</f>
        <v/>
      </c>
    </row>
    <row r="2760">
      <c r="A2760" t="inlineStr">
        <is>
          <t>RP0002759</t>
        </is>
      </c>
      <c r="B2760" t="inlineStr">
        <is>
          <t>LN200394</t>
        </is>
      </c>
      <c r="C2760" t="n">
        <v>8</v>
      </c>
      <c r="D2760" s="8" t="n">
        <v>46121</v>
      </c>
      <c r="E2760" s="9" t="n">
        <v>20932.08</v>
      </c>
      <c r="F2760" s="8" t="n">
        <v>46121</v>
      </c>
      <c r="G2760" s="9" t="n">
        <v>20932.08</v>
      </c>
      <c r="H2760" t="inlineStr">
        <is>
          <t>PAID_ON_TIME</t>
        </is>
      </c>
      <c r="I2760">
        <f>IF(H2760="UNPAID", AsOfDate-D2760, 0)</f>
        <v/>
      </c>
      <c r="J2760">
        <f>IF(F2760&lt;&gt;"", TEXT(F2760, "yyyy-mm"), "")</f>
        <v/>
      </c>
    </row>
    <row r="2761">
      <c r="A2761" t="inlineStr">
        <is>
          <t>RP0002760</t>
        </is>
      </c>
      <c r="B2761" t="inlineStr">
        <is>
          <t>LN200394</t>
        </is>
      </c>
      <c r="C2761" t="n">
        <v>9</v>
      </c>
      <c r="D2761" s="8" t="n">
        <v>46151</v>
      </c>
      <c r="E2761" s="9" t="n">
        <v>20932.08</v>
      </c>
      <c r="F2761" s="8" t="n">
        <v>46151</v>
      </c>
      <c r="G2761" s="9" t="n">
        <v>20932.08</v>
      </c>
      <c r="H2761" t="inlineStr">
        <is>
          <t>PAID_ON_TIME</t>
        </is>
      </c>
      <c r="I2761">
        <f>IF(H2761="UNPAID", AsOfDate-D2761, 0)</f>
        <v/>
      </c>
      <c r="J2761">
        <f>IF(F2761&lt;&gt;"", TEXT(F2761, "yyyy-mm"), "")</f>
        <v/>
      </c>
    </row>
    <row r="2762">
      <c r="A2762" t="inlineStr">
        <is>
          <t>RP0002761</t>
        </is>
      </c>
      <c r="B2762" t="inlineStr">
        <is>
          <t>LN200395</t>
        </is>
      </c>
      <c r="C2762" t="n">
        <v>1</v>
      </c>
      <c r="D2762" s="8" t="n">
        <v>46089</v>
      </c>
      <c r="E2762" s="9" t="n">
        <v>6436.56</v>
      </c>
      <c r="F2762" s="8" t="n">
        <v>46093</v>
      </c>
      <c r="G2762" s="9" t="n">
        <v>6436.56</v>
      </c>
      <c r="H2762" t="inlineStr">
        <is>
          <t>PAID_ON_TIME</t>
        </is>
      </c>
      <c r="I2762">
        <f>IF(H2762="UNPAID", AsOfDate-D2762, 0)</f>
        <v/>
      </c>
      <c r="J2762">
        <f>IF(F2762&lt;&gt;"", TEXT(F2762, "yyyy-mm"), "")</f>
        <v/>
      </c>
    </row>
    <row r="2763">
      <c r="A2763" t="inlineStr">
        <is>
          <t>RP0002762</t>
        </is>
      </c>
      <c r="B2763" t="inlineStr">
        <is>
          <t>LN200395</t>
        </is>
      </c>
      <c r="C2763" t="n">
        <v>2</v>
      </c>
      <c r="D2763" s="8" t="n">
        <v>46120</v>
      </c>
      <c r="E2763" s="9" t="n">
        <v>6436.56</v>
      </c>
      <c r="F2763" s="8" t="n">
        <v>46123</v>
      </c>
      <c r="G2763" s="9" t="n">
        <v>6436.56</v>
      </c>
      <c r="H2763" t="inlineStr">
        <is>
          <t>PAID_ON_TIME</t>
        </is>
      </c>
      <c r="I2763">
        <f>IF(H2763="UNPAID", AsOfDate-D2763, 0)</f>
        <v/>
      </c>
      <c r="J2763">
        <f>IF(F2763&lt;&gt;"", TEXT(F2763, "yyyy-mm"), "")</f>
        <v/>
      </c>
    </row>
    <row r="2764">
      <c r="A2764" t="inlineStr">
        <is>
          <t>RP0002763</t>
        </is>
      </c>
      <c r="B2764" t="inlineStr">
        <is>
          <t>LN200395</t>
        </is>
      </c>
      <c r="C2764" t="n">
        <v>3</v>
      </c>
      <c r="D2764" s="8" t="n">
        <v>46150</v>
      </c>
      <c r="E2764" s="9" t="n">
        <v>6436.56</v>
      </c>
      <c r="F2764" s="8" t="n">
        <v>46232</v>
      </c>
      <c r="G2764" s="9" t="n">
        <v>6436.56</v>
      </c>
      <c r="H2764" t="inlineStr">
        <is>
          <t>PAID_LATE</t>
        </is>
      </c>
      <c r="I2764">
        <f>IF(H2764="UNPAID", AsOfDate-D2764, 0)</f>
        <v/>
      </c>
      <c r="J2764">
        <f>IF(F2764&lt;&gt;"", TEXT(F2764, "yyyy-mm"), "")</f>
        <v/>
      </c>
    </row>
    <row r="2765">
      <c r="A2765" t="inlineStr">
        <is>
          <t>RP0002764</t>
        </is>
      </c>
      <c r="B2765" t="inlineStr">
        <is>
          <t>LN200395</t>
        </is>
      </c>
      <c r="C2765" t="n">
        <v>4</v>
      </c>
      <c r="D2765" s="8" t="n">
        <v>46181</v>
      </c>
      <c r="E2765" s="9" t="n">
        <v>6436.56</v>
      </c>
      <c r="F2765" s="8" t="n">
        <v>46178</v>
      </c>
      <c r="G2765" s="9" t="n">
        <v>6436.56</v>
      </c>
      <c r="H2765" t="inlineStr">
        <is>
          <t>PAID_ON_TIME</t>
        </is>
      </c>
      <c r="I2765">
        <f>IF(H2765="UNPAID", AsOfDate-D2765, 0)</f>
        <v/>
      </c>
      <c r="J2765">
        <f>IF(F2765&lt;&gt;"", TEXT(F2765, "yyyy-mm"), "")</f>
        <v/>
      </c>
    </row>
    <row r="2766">
      <c r="A2766" t="inlineStr">
        <is>
          <t>RP0002765</t>
        </is>
      </c>
      <c r="B2766" t="inlineStr">
        <is>
          <t>LN200395</t>
        </is>
      </c>
      <c r="C2766" t="n">
        <v>5</v>
      </c>
      <c r="D2766" s="8" t="n">
        <v>46211</v>
      </c>
      <c r="E2766" s="9" t="n">
        <v>6436.56</v>
      </c>
      <c r="F2766" s="8" t="n">
        <v>46208</v>
      </c>
      <c r="G2766" s="9" t="n">
        <v>6436.56</v>
      </c>
      <c r="H2766" t="inlineStr">
        <is>
          <t>PAID_ON_TIME</t>
        </is>
      </c>
      <c r="I2766">
        <f>IF(H2766="UNPAID", AsOfDate-D2766, 0)</f>
        <v/>
      </c>
      <c r="J2766">
        <f>IF(F2766&lt;&gt;"", TEXT(F2766, "yyyy-mm"), "")</f>
        <v/>
      </c>
    </row>
    <row r="2767">
      <c r="A2767" t="inlineStr">
        <is>
          <t>RP0002766</t>
        </is>
      </c>
      <c r="B2767" t="inlineStr">
        <is>
          <t>LN200395</t>
        </is>
      </c>
      <c r="C2767" t="n">
        <v>6</v>
      </c>
      <c r="D2767" s="8" t="n">
        <v>46242</v>
      </c>
      <c r="E2767" s="9" t="n">
        <v>6436.56</v>
      </c>
      <c r="F2767" s="8" t="n">
        <v>46244</v>
      </c>
      <c r="G2767" s="9" t="n">
        <v>6436.56</v>
      </c>
      <c r="H2767" t="inlineStr">
        <is>
          <t>PAID_ON_TIME</t>
        </is>
      </c>
      <c r="I2767">
        <f>IF(H2767="UNPAID", AsOfDate-D2767, 0)</f>
        <v/>
      </c>
      <c r="J2767">
        <f>IF(F2767&lt;&gt;"", TEXT(F2767, "yyyy-mm"), "")</f>
        <v/>
      </c>
    </row>
    <row r="2768">
      <c r="A2768" t="inlineStr">
        <is>
          <t>RP0002767</t>
        </is>
      </c>
      <c r="B2768" t="inlineStr">
        <is>
          <t>LN200395</t>
        </is>
      </c>
      <c r="C2768" t="n">
        <v>7</v>
      </c>
      <c r="D2768" s="8" t="n">
        <v>46273</v>
      </c>
      <c r="E2768" s="9" t="n">
        <v>6436.56</v>
      </c>
      <c r="F2768" s="8" t="n"/>
      <c r="G2768" s="9" t="n">
        <v>0</v>
      </c>
      <c r="H2768" t="inlineStr">
        <is>
          <t>NOT_DUE</t>
        </is>
      </c>
      <c r="I2768">
        <f>IF(H2768="UNPAID", AsOfDate-D2768, 0)</f>
        <v/>
      </c>
      <c r="J2768">
        <f>IF(F2768&lt;&gt;"", TEXT(F2768, "yyyy-mm"), "")</f>
        <v/>
      </c>
    </row>
    <row r="2769">
      <c r="A2769" t="inlineStr">
        <is>
          <t>RP0002768</t>
        </is>
      </c>
      <c r="B2769" t="inlineStr">
        <is>
          <t>LN200395</t>
        </is>
      </c>
      <c r="C2769" t="n">
        <v>8</v>
      </c>
      <c r="D2769" s="8" t="n">
        <v>46303</v>
      </c>
      <c r="E2769" s="9" t="n">
        <v>6436.56</v>
      </c>
      <c r="F2769" s="8" t="n"/>
      <c r="G2769" s="9" t="n">
        <v>0</v>
      </c>
      <c r="H2769" t="inlineStr">
        <is>
          <t>NOT_DUE</t>
        </is>
      </c>
      <c r="I2769">
        <f>IF(H2769="UNPAID", AsOfDate-D2769, 0)</f>
        <v/>
      </c>
      <c r="J2769">
        <f>IF(F2769&lt;&gt;"", TEXT(F2769, "yyyy-mm"), "")</f>
        <v/>
      </c>
    </row>
    <row r="2770">
      <c r="A2770" t="inlineStr">
        <is>
          <t>RP0002769</t>
        </is>
      </c>
      <c r="B2770" t="inlineStr">
        <is>
          <t>LN200395</t>
        </is>
      </c>
      <c r="C2770" t="n">
        <v>9</v>
      </c>
      <c r="D2770" s="8" t="n">
        <v>46334</v>
      </c>
      <c r="E2770" s="9" t="n">
        <v>6436.56</v>
      </c>
      <c r="F2770" s="8" t="n"/>
      <c r="G2770" s="9" t="n">
        <v>0</v>
      </c>
      <c r="H2770" t="inlineStr">
        <is>
          <t>NOT_DUE</t>
        </is>
      </c>
      <c r="I2770">
        <f>IF(H2770="UNPAID", AsOfDate-D2770, 0)</f>
        <v/>
      </c>
      <c r="J2770">
        <f>IF(F2770&lt;&gt;"", TEXT(F2770, "yyyy-mm"), "")</f>
        <v/>
      </c>
    </row>
    <row r="2771">
      <c r="A2771" t="inlineStr">
        <is>
          <t>RP0002770</t>
        </is>
      </c>
      <c r="B2771" t="inlineStr">
        <is>
          <t>LN200396</t>
        </is>
      </c>
      <c r="C2771" t="n">
        <v>1</v>
      </c>
      <c r="D2771" s="8" t="n">
        <v>46040</v>
      </c>
      <c r="E2771" s="9" t="n">
        <v>6678.5</v>
      </c>
      <c r="F2771" s="8" t="n">
        <v>46041</v>
      </c>
      <c r="G2771" s="9" t="n">
        <v>6678.5</v>
      </c>
      <c r="H2771" t="inlineStr">
        <is>
          <t>PAID_ON_TIME</t>
        </is>
      </c>
      <c r="I2771">
        <f>IF(H2771="UNPAID", AsOfDate-D2771, 0)</f>
        <v/>
      </c>
      <c r="J2771">
        <f>IF(F2771&lt;&gt;"", TEXT(F2771, "yyyy-mm"), "")</f>
        <v/>
      </c>
    </row>
    <row r="2772">
      <c r="A2772" t="inlineStr">
        <is>
          <t>RP0002771</t>
        </is>
      </c>
      <c r="B2772" t="inlineStr">
        <is>
          <t>LN200396</t>
        </is>
      </c>
      <c r="C2772" t="n">
        <v>2</v>
      </c>
      <c r="D2772" s="8" t="n">
        <v>46071</v>
      </c>
      <c r="E2772" s="9" t="n">
        <v>6678.5</v>
      </c>
      <c r="F2772" s="8" t="n">
        <v>46074</v>
      </c>
      <c r="G2772" s="9" t="n">
        <v>6678.5</v>
      </c>
      <c r="H2772" t="inlineStr">
        <is>
          <t>PAID_ON_TIME</t>
        </is>
      </c>
      <c r="I2772">
        <f>IF(H2772="UNPAID", AsOfDate-D2772, 0)</f>
        <v/>
      </c>
      <c r="J2772">
        <f>IF(F2772&lt;&gt;"", TEXT(F2772, "yyyy-mm"), "")</f>
        <v/>
      </c>
    </row>
    <row r="2773">
      <c r="A2773" t="inlineStr">
        <is>
          <t>RP0002772</t>
        </is>
      </c>
      <c r="B2773" t="inlineStr">
        <is>
          <t>LN200396</t>
        </is>
      </c>
      <c r="C2773" t="n">
        <v>3</v>
      </c>
      <c r="D2773" s="8" t="n">
        <v>46099</v>
      </c>
      <c r="E2773" s="9" t="n">
        <v>6678.5</v>
      </c>
      <c r="F2773" s="8" t="n">
        <v>46102</v>
      </c>
      <c r="G2773" s="9" t="n">
        <v>6678.5</v>
      </c>
      <c r="H2773" t="inlineStr">
        <is>
          <t>PAID_ON_TIME</t>
        </is>
      </c>
      <c r="I2773">
        <f>IF(H2773="UNPAID", AsOfDate-D2773, 0)</f>
        <v/>
      </c>
      <c r="J2773">
        <f>IF(F2773&lt;&gt;"", TEXT(F2773, "yyyy-mm"), "")</f>
        <v/>
      </c>
    </row>
    <row r="2774">
      <c r="A2774" t="inlineStr">
        <is>
          <t>RP0002773</t>
        </is>
      </c>
      <c r="B2774" t="inlineStr">
        <is>
          <t>LN200396</t>
        </is>
      </c>
      <c r="C2774" t="n">
        <v>4</v>
      </c>
      <c r="D2774" s="8" t="n">
        <v>46130</v>
      </c>
      <c r="E2774" s="9" t="n">
        <v>6678.5</v>
      </c>
      <c r="F2774" s="8" t="n"/>
      <c r="G2774" s="9" t="n">
        <v>0</v>
      </c>
      <c r="H2774" t="inlineStr">
        <is>
          <t>UNPAID</t>
        </is>
      </c>
      <c r="I2774">
        <f>IF(H2774="UNPAID", AsOfDate-D2774, 0)</f>
        <v/>
      </c>
      <c r="J2774">
        <f>IF(F2774&lt;&gt;"", TEXT(F2774, "yyyy-mm"), "")</f>
        <v/>
      </c>
    </row>
    <row r="2775">
      <c r="A2775" t="inlineStr">
        <is>
          <t>RP0002774</t>
        </is>
      </c>
      <c r="B2775" t="inlineStr">
        <is>
          <t>LN200396</t>
        </is>
      </c>
      <c r="C2775" t="n">
        <v>5</v>
      </c>
      <c r="D2775" s="8" t="n">
        <v>46160</v>
      </c>
      <c r="E2775" s="9" t="n">
        <v>6678.5</v>
      </c>
      <c r="F2775" s="8" t="n">
        <v>46201</v>
      </c>
      <c r="G2775" s="9" t="n">
        <v>6678.5</v>
      </c>
      <c r="H2775" t="inlineStr">
        <is>
          <t>PAID_LATE</t>
        </is>
      </c>
      <c r="I2775">
        <f>IF(H2775="UNPAID", AsOfDate-D2775, 0)</f>
        <v/>
      </c>
      <c r="J2775">
        <f>IF(F2775&lt;&gt;"", TEXT(F2775, "yyyy-mm"), "")</f>
        <v/>
      </c>
    </row>
    <row r="2776">
      <c r="A2776" t="inlineStr">
        <is>
          <t>RP0002775</t>
        </is>
      </c>
      <c r="B2776" t="inlineStr">
        <is>
          <t>LN200396</t>
        </is>
      </c>
      <c r="C2776" t="n">
        <v>6</v>
      </c>
      <c r="D2776" s="8" t="n">
        <v>46191</v>
      </c>
      <c r="E2776" s="9" t="n">
        <v>6678.5</v>
      </c>
      <c r="F2776" s="8" t="n">
        <v>46189</v>
      </c>
      <c r="G2776" s="9" t="n">
        <v>6678.5</v>
      </c>
      <c r="H2776" t="inlineStr">
        <is>
          <t>PAID_ON_TIME</t>
        </is>
      </c>
      <c r="I2776">
        <f>IF(H2776="UNPAID", AsOfDate-D2776, 0)</f>
        <v/>
      </c>
      <c r="J2776">
        <f>IF(F2776&lt;&gt;"", TEXT(F2776, "yyyy-mm"), "")</f>
        <v/>
      </c>
    </row>
    <row r="2777">
      <c r="A2777" t="inlineStr">
        <is>
          <t>RP0002776</t>
        </is>
      </c>
      <c r="B2777" t="inlineStr">
        <is>
          <t>LN200397</t>
        </is>
      </c>
      <c r="C2777" t="n">
        <v>1</v>
      </c>
      <c r="D2777" s="8" t="n">
        <v>46086</v>
      </c>
      <c r="E2777" s="9" t="n">
        <v>6259.17</v>
      </c>
      <c r="F2777" s="8" t="n">
        <v>46090</v>
      </c>
      <c r="G2777" s="9" t="n">
        <v>6259.17</v>
      </c>
      <c r="H2777" t="inlineStr">
        <is>
          <t>PAID_ON_TIME</t>
        </is>
      </c>
      <c r="I2777">
        <f>IF(H2777="UNPAID", AsOfDate-D2777, 0)</f>
        <v/>
      </c>
      <c r="J2777">
        <f>IF(F2777&lt;&gt;"", TEXT(F2777, "yyyy-mm"), "")</f>
        <v/>
      </c>
    </row>
    <row r="2778">
      <c r="A2778" t="inlineStr">
        <is>
          <t>RP0002777</t>
        </is>
      </c>
      <c r="B2778" t="inlineStr">
        <is>
          <t>LN200397</t>
        </is>
      </c>
      <c r="C2778" t="n">
        <v>2</v>
      </c>
      <c r="D2778" s="8" t="n">
        <v>46117</v>
      </c>
      <c r="E2778" s="9" t="n">
        <v>6259.17</v>
      </c>
      <c r="F2778" s="8" t="n">
        <v>46121</v>
      </c>
      <c r="G2778" s="9" t="n">
        <v>6259.17</v>
      </c>
      <c r="H2778" t="inlineStr">
        <is>
          <t>PAID_ON_TIME</t>
        </is>
      </c>
      <c r="I2778">
        <f>IF(H2778="UNPAID", AsOfDate-D2778, 0)</f>
        <v/>
      </c>
      <c r="J2778">
        <f>IF(F2778&lt;&gt;"", TEXT(F2778, "yyyy-mm"), "")</f>
        <v/>
      </c>
    </row>
    <row r="2779">
      <c r="A2779" t="inlineStr">
        <is>
          <t>RP0002778</t>
        </is>
      </c>
      <c r="B2779" t="inlineStr">
        <is>
          <t>LN200397</t>
        </is>
      </c>
      <c r="C2779" t="n">
        <v>3</v>
      </c>
      <c r="D2779" s="8" t="n">
        <v>46147</v>
      </c>
      <c r="E2779" s="9" t="n">
        <v>6259.17</v>
      </c>
      <c r="F2779" s="8" t="n">
        <v>46147</v>
      </c>
      <c r="G2779" s="9" t="n">
        <v>6259.17</v>
      </c>
      <c r="H2779" t="inlineStr">
        <is>
          <t>PAID_ON_TIME</t>
        </is>
      </c>
      <c r="I2779">
        <f>IF(H2779="UNPAID", AsOfDate-D2779, 0)</f>
        <v/>
      </c>
      <c r="J2779">
        <f>IF(F2779&lt;&gt;"", TEXT(F2779, "yyyy-mm"), "")</f>
        <v/>
      </c>
    </row>
    <row r="2780">
      <c r="A2780" t="inlineStr">
        <is>
          <t>RP0002779</t>
        </is>
      </c>
      <c r="B2780" t="inlineStr">
        <is>
          <t>LN200397</t>
        </is>
      </c>
      <c r="C2780" t="n">
        <v>4</v>
      </c>
      <c r="D2780" s="8" t="n">
        <v>46178</v>
      </c>
      <c r="E2780" s="9" t="n">
        <v>6259.17</v>
      </c>
      <c r="F2780" s="8" t="n">
        <v>46178</v>
      </c>
      <c r="G2780" s="9" t="n">
        <v>6259.17</v>
      </c>
      <c r="H2780" t="inlineStr">
        <is>
          <t>PAID_ON_TIME</t>
        </is>
      </c>
      <c r="I2780">
        <f>IF(H2780="UNPAID", AsOfDate-D2780, 0)</f>
        <v/>
      </c>
      <c r="J2780">
        <f>IF(F2780&lt;&gt;"", TEXT(F2780, "yyyy-mm"), "")</f>
        <v/>
      </c>
    </row>
    <row r="2781">
      <c r="A2781" t="inlineStr">
        <is>
          <t>RP0002780</t>
        </is>
      </c>
      <c r="B2781" t="inlineStr">
        <is>
          <t>LN200397</t>
        </is>
      </c>
      <c r="C2781" t="n">
        <v>5</v>
      </c>
      <c r="D2781" s="8" t="n">
        <v>46208</v>
      </c>
      <c r="E2781" s="9" t="n">
        <v>6259.17</v>
      </c>
      <c r="F2781" s="8" t="n"/>
      <c r="G2781" s="9" t="n">
        <v>0</v>
      </c>
      <c r="H2781" t="inlineStr">
        <is>
          <t>UNPAID</t>
        </is>
      </c>
      <c r="I2781">
        <f>IF(H2781="UNPAID", AsOfDate-D2781, 0)</f>
        <v/>
      </c>
      <c r="J2781">
        <f>IF(F2781&lt;&gt;"", TEXT(F2781, "yyyy-mm"), "")</f>
        <v/>
      </c>
    </row>
    <row r="2782">
      <c r="A2782" t="inlineStr">
        <is>
          <t>RP0002781</t>
        </is>
      </c>
      <c r="B2782" t="inlineStr">
        <is>
          <t>LN200397</t>
        </is>
      </c>
      <c r="C2782" t="n">
        <v>6</v>
      </c>
      <c r="D2782" s="8" t="n">
        <v>46239</v>
      </c>
      <c r="E2782" s="9" t="n">
        <v>6259.17</v>
      </c>
      <c r="F2782" s="8" t="n">
        <v>46241</v>
      </c>
      <c r="G2782" s="9" t="n">
        <v>6259.17</v>
      </c>
      <c r="H2782" t="inlineStr">
        <is>
          <t>PAID_ON_TIME</t>
        </is>
      </c>
      <c r="I2782">
        <f>IF(H2782="UNPAID", AsOfDate-D2782, 0)</f>
        <v/>
      </c>
      <c r="J2782">
        <f>IF(F2782&lt;&gt;"", TEXT(F2782, "yyyy-mm"), "")</f>
        <v/>
      </c>
    </row>
    <row r="2783">
      <c r="A2783" t="inlineStr">
        <is>
          <t>RP0002782</t>
        </is>
      </c>
      <c r="B2783" t="inlineStr">
        <is>
          <t>LN200398</t>
        </is>
      </c>
      <c r="C2783" t="n">
        <v>1</v>
      </c>
      <c r="D2783" s="8" t="n">
        <v>46250</v>
      </c>
      <c r="E2783" s="9" t="n">
        <v>30934.92</v>
      </c>
      <c r="F2783" s="8" t="n">
        <v>46248</v>
      </c>
      <c r="G2783" s="9" t="n">
        <v>30934.92</v>
      </c>
      <c r="H2783" t="inlineStr">
        <is>
          <t>PAID_ON_TIME</t>
        </is>
      </c>
      <c r="I2783">
        <f>IF(H2783="UNPAID", AsOfDate-D2783, 0)</f>
        <v/>
      </c>
      <c r="J2783">
        <f>IF(F2783&lt;&gt;"", TEXT(F2783, "yyyy-mm"), "")</f>
        <v/>
      </c>
    </row>
    <row r="2784">
      <c r="A2784" t="inlineStr">
        <is>
          <t>RP0002783</t>
        </is>
      </c>
      <c r="B2784" t="inlineStr">
        <is>
          <t>LN200398</t>
        </is>
      </c>
      <c r="C2784" t="n">
        <v>2</v>
      </c>
      <c r="D2784" s="8" t="n">
        <v>46281</v>
      </c>
      <c r="E2784" s="9" t="n">
        <v>30934.92</v>
      </c>
      <c r="F2784" s="8" t="n"/>
      <c r="G2784" s="9" t="n">
        <v>0</v>
      </c>
      <c r="H2784" t="inlineStr">
        <is>
          <t>NOT_DUE</t>
        </is>
      </c>
      <c r="I2784">
        <f>IF(H2784="UNPAID", AsOfDate-D2784, 0)</f>
        <v/>
      </c>
      <c r="J2784">
        <f>IF(F2784&lt;&gt;"", TEXT(F2784, "yyyy-mm"), "")</f>
        <v/>
      </c>
    </row>
    <row r="2785">
      <c r="A2785" t="inlineStr">
        <is>
          <t>RP0002784</t>
        </is>
      </c>
      <c r="B2785" t="inlineStr">
        <is>
          <t>LN200398</t>
        </is>
      </c>
      <c r="C2785" t="n">
        <v>3</v>
      </c>
      <c r="D2785" s="8" t="n">
        <v>46311</v>
      </c>
      <c r="E2785" s="9" t="n">
        <v>30934.92</v>
      </c>
      <c r="F2785" s="8" t="n"/>
      <c r="G2785" s="9" t="n">
        <v>0</v>
      </c>
      <c r="H2785" t="inlineStr">
        <is>
          <t>NOT_DUE</t>
        </is>
      </c>
      <c r="I2785">
        <f>IF(H2785="UNPAID", AsOfDate-D2785, 0)</f>
        <v/>
      </c>
      <c r="J2785">
        <f>IF(F2785&lt;&gt;"", TEXT(F2785, "yyyy-mm"), "")</f>
        <v/>
      </c>
    </row>
    <row r="2786">
      <c r="A2786" t="inlineStr">
        <is>
          <t>RP0002785</t>
        </is>
      </c>
      <c r="B2786" t="inlineStr">
        <is>
          <t>LN200399</t>
        </is>
      </c>
      <c r="C2786" t="n">
        <v>1</v>
      </c>
      <c r="D2786" s="8" t="n">
        <v>46262</v>
      </c>
      <c r="E2786" s="9" t="n">
        <v>14246.33</v>
      </c>
      <c r="F2786" s="8" t="n">
        <v>46263</v>
      </c>
      <c r="G2786" s="9" t="n">
        <v>14246.33</v>
      </c>
      <c r="H2786" t="inlineStr">
        <is>
          <t>PAID_ON_TIME</t>
        </is>
      </c>
      <c r="I2786">
        <f>IF(H2786="UNPAID", AsOfDate-D2786, 0)</f>
        <v/>
      </c>
      <c r="J2786">
        <f>IF(F2786&lt;&gt;"", TEXT(F2786, "yyyy-mm"), "")</f>
        <v/>
      </c>
    </row>
    <row r="2787">
      <c r="A2787" t="inlineStr">
        <is>
          <t>RP0002786</t>
        </is>
      </c>
      <c r="B2787" t="inlineStr">
        <is>
          <t>LN200399</t>
        </is>
      </c>
      <c r="C2787" t="n">
        <v>2</v>
      </c>
      <c r="D2787" s="8" t="n">
        <v>46293</v>
      </c>
      <c r="E2787" s="9" t="n">
        <v>14246.33</v>
      </c>
      <c r="F2787" s="8" t="n"/>
      <c r="G2787" s="9" t="n">
        <v>0</v>
      </c>
      <c r="H2787" t="inlineStr">
        <is>
          <t>NOT_DUE</t>
        </is>
      </c>
      <c r="I2787">
        <f>IF(H2787="UNPAID", AsOfDate-D2787, 0)</f>
        <v/>
      </c>
      <c r="J2787">
        <f>IF(F2787&lt;&gt;"", TEXT(F2787, "yyyy-mm"), "")</f>
        <v/>
      </c>
    </row>
    <row r="2788">
      <c r="A2788" t="inlineStr">
        <is>
          <t>RP0002787</t>
        </is>
      </c>
      <c r="B2788" t="inlineStr">
        <is>
          <t>LN200399</t>
        </is>
      </c>
      <c r="C2788" t="n">
        <v>3</v>
      </c>
      <c r="D2788" s="8" t="n">
        <v>46323</v>
      </c>
      <c r="E2788" s="9" t="n">
        <v>14246.33</v>
      </c>
      <c r="F2788" s="8" t="n"/>
      <c r="G2788" s="9" t="n">
        <v>0</v>
      </c>
      <c r="H2788" t="inlineStr">
        <is>
          <t>NOT_DUE</t>
        </is>
      </c>
      <c r="I2788">
        <f>IF(H2788="UNPAID", AsOfDate-D2788, 0)</f>
        <v/>
      </c>
      <c r="J2788">
        <f>IF(F2788&lt;&gt;"", TEXT(F2788, "yyyy-mm"), "")</f>
        <v/>
      </c>
    </row>
    <row r="2789">
      <c r="A2789" t="inlineStr">
        <is>
          <t>RP0002788</t>
        </is>
      </c>
      <c r="B2789" t="inlineStr">
        <is>
          <t>LN200399</t>
        </is>
      </c>
      <c r="C2789" t="n">
        <v>4</v>
      </c>
      <c r="D2789" s="8" t="n">
        <v>46354</v>
      </c>
      <c r="E2789" s="9" t="n">
        <v>14246.33</v>
      </c>
      <c r="F2789" s="8" t="n"/>
      <c r="G2789" s="9" t="n">
        <v>0</v>
      </c>
      <c r="H2789" t="inlineStr">
        <is>
          <t>NOT_DUE</t>
        </is>
      </c>
      <c r="I2789">
        <f>IF(H2789="UNPAID", AsOfDate-D2789, 0)</f>
        <v/>
      </c>
      <c r="J2789">
        <f>IF(F2789&lt;&gt;"", TEXT(F2789, "yyyy-mm"), "")</f>
        <v/>
      </c>
    </row>
    <row r="2790">
      <c r="A2790" t="inlineStr">
        <is>
          <t>RP0002789</t>
        </is>
      </c>
      <c r="B2790" t="inlineStr">
        <is>
          <t>LN200399</t>
        </is>
      </c>
      <c r="C2790" t="n">
        <v>5</v>
      </c>
      <c r="D2790" s="8" t="n">
        <v>46384</v>
      </c>
      <c r="E2790" s="9" t="n">
        <v>14246.33</v>
      </c>
      <c r="F2790" s="8" t="n"/>
      <c r="G2790" s="9" t="n">
        <v>0</v>
      </c>
      <c r="H2790" t="inlineStr">
        <is>
          <t>NOT_DUE</t>
        </is>
      </c>
      <c r="I2790">
        <f>IF(H2790="UNPAID", AsOfDate-D2790, 0)</f>
        <v/>
      </c>
      <c r="J2790">
        <f>IF(F2790&lt;&gt;"", TEXT(F2790, "yyyy-mm"), "")</f>
        <v/>
      </c>
    </row>
    <row r="2791">
      <c r="A2791" t="inlineStr">
        <is>
          <t>RP0002790</t>
        </is>
      </c>
      <c r="B2791" t="inlineStr">
        <is>
          <t>LN200399</t>
        </is>
      </c>
      <c r="C2791" t="n">
        <v>6</v>
      </c>
      <c r="D2791" s="8" t="n">
        <v>46415</v>
      </c>
      <c r="E2791" s="9" t="n">
        <v>14246.33</v>
      </c>
      <c r="F2791" s="8" t="n"/>
      <c r="G2791" s="9" t="n">
        <v>0</v>
      </c>
      <c r="H2791" t="inlineStr">
        <is>
          <t>NOT_DUE</t>
        </is>
      </c>
      <c r="I2791">
        <f>IF(H2791="UNPAID", AsOfDate-D2791, 0)</f>
        <v/>
      </c>
      <c r="J2791">
        <f>IF(F2791&lt;&gt;"", TEXT(F2791, "yyyy-mm"), "")</f>
        <v/>
      </c>
    </row>
    <row r="2792">
      <c r="A2792" t="inlineStr">
        <is>
          <t>RP0002791</t>
        </is>
      </c>
      <c r="B2792" t="inlineStr">
        <is>
          <t>LN200401</t>
        </is>
      </c>
      <c r="C2792" t="n">
        <v>1</v>
      </c>
      <c r="D2792" s="8" t="n">
        <v>45835</v>
      </c>
      <c r="E2792" s="9" t="n">
        <v>24194.92</v>
      </c>
      <c r="F2792" s="8" t="n">
        <v>45835</v>
      </c>
      <c r="G2792" s="9" t="n">
        <v>24194.92</v>
      </c>
      <c r="H2792" t="inlineStr">
        <is>
          <t>PAID_ON_TIME</t>
        </is>
      </c>
      <c r="I2792">
        <f>IF(H2792="UNPAID", AsOfDate-D2792, 0)</f>
        <v/>
      </c>
      <c r="J2792">
        <f>IF(F2792&lt;&gt;"", TEXT(F2792, "yyyy-mm"), "")</f>
        <v/>
      </c>
    </row>
    <row r="2793">
      <c r="A2793" t="inlineStr">
        <is>
          <t>RP0002792</t>
        </is>
      </c>
      <c r="B2793" t="inlineStr">
        <is>
          <t>LN200401</t>
        </is>
      </c>
      <c r="C2793" t="n">
        <v>2</v>
      </c>
      <c r="D2793" s="8" t="n">
        <v>45865</v>
      </c>
      <c r="E2793" s="9" t="n">
        <v>24194.92</v>
      </c>
      <c r="F2793" s="8" t="n">
        <v>45951</v>
      </c>
      <c r="G2793" s="9" t="n">
        <v>24194.92</v>
      </c>
      <c r="H2793" t="inlineStr">
        <is>
          <t>PAID_LATE</t>
        </is>
      </c>
      <c r="I2793">
        <f>IF(H2793="UNPAID", AsOfDate-D2793, 0)</f>
        <v/>
      </c>
      <c r="J2793">
        <f>IF(F2793&lt;&gt;"", TEXT(F2793, "yyyy-mm"), "")</f>
        <v/>
      </c>
    </row>
    <row r="2794">
      <c r="A2794" t="inlineStr">
        <is>
          <t>RP0002793</t>
        </is>
      </c>
      <c r="B2794" t="inlineStr">
        <is>
          <t>LN200401</t>
        </is>
      </c>
      <c r="C2794" t="n">
        <v>3</v>
      </c>
      <c r="D2794" s="8" t="n">
        <v>45896</v>
      </c>
      <c r="E2794" s="9" t="n">
        <v>24194.92</v>
      </c>
      <c r="F2794" s="8" t="n">
        <v>45893</v>
      </c>
      <c r="G2794" s="9" t="n">
        <v>24194.92</v>
      </c>
      <c r="H2794" t="inlineStr">
        <is>
          <t>PAID_ON_TIME</t>
        </is>
      </c>
      <c r="I2794">
        <f>IF(H2794="UNPAID", AsOfDate-D2794, 0)</f>
        <v/>
      </c>
      <c r="J2794">
        <f>IF(F2794&lt;&gt;"", TEXT(F2794, "yyyy-mm"), "")</f>
        <v/>
      </c>
    </row>
    <row r="2795">
      <c r="A2795" t="inlineStr">
        <is>
          <t>RP0002794</t>
        </is>
      </c>
      <c r="B2795" t="inlineStr">
        <is>
          <t>LN200401</t>
        </is>
      </c>
      <c r="C2795" t="n">
        <v>4</v>
      </c>
      <c r="D2795" s="8" t="n">
        <v>45927</v>
      </c>
      <c r="E2795" s="9" t="n">
        <v>24194.92</v>
      </c>
      <c r="F2795" s="8" t="n">
        <v>45926</v>
      </c>
      <c r="G2795" s="9" t="n">
        <v>24194.92</v>
      </c>
      <c r="H2795" t="inlineStr">
        <is>
          <t>PAID_ON_TIME</t>
        </is>
      </c>
      <c r="I2795">
        <f>IF(H2795="UNPAID", AsOfDate-D2795, 0)</f>
        <v/>
      </c>
      <c r="J2795">
        <f>IF(F2795&lt;&gt;"", TEXT(F2795, "yyyy-mm"), "")</f>
        <v/>
      </c>
    </row>
    <row r="2796">
      <c r="A2796" t="inlineStr">
        <is>
          <t>RP0002795</t>
        </is>
      </c>
      <c r="B2796" t="inlineStr">
        <is>
          <t>LN200401</t>
        </is>
      </c>
      <c r="C2796" t="n">
        <v>5</v>
      </c>
      <c r="D2796" s="8" t="n">
        <v>45957</v>
      </c>
      <c r="E2796" s="9" t="n">
        <v>24194.92</v>
      </c>
      <c r="F2796" s="8" t="n">
        <v>45954</v>
      </c>
      <c r="G2796" s="9" t="n">
        <v>24194.92</v>
      </c>
      <c r="H2796" t="inlineStr">
        <is>
          <t>PAID_ON_TIME</t>
        </is>
      </c>
      <c r="I2796">
        <f>IF(H2796="UNPAID", AsOfDate-D2796, 0)</f>
        <v/>
      </c>
      <c r="J2796">
        <f>IF(F2796&lt;&gt;"", TEXT(F2796, "yyyy-mm"), "")</f>
        <v/>
      </c>
    </row>
    <row r="2797">
      <c r="A2797" t="inlineStr">
        <is>
          <t>RP0002796</t>
        </is>
      </c>
      <c r="B2797" t="inlineStr">
        <is>
          <t>LN200401</t>
        </is>
      </c>
      <c r="C2797" t="n">
        <v>6</v>
      </c>
      <c r="D2797" s="8" t="n">
        <v>45988</v>
      </c>
      <c r="E2797" s="9" t="n">
        <v>24194.92</v>
      </c>
      <c r="F2797" s="8" t="n">
        <v>45985</v>
      </c>
      <c r="G2797" s="9" t="n">
        <v>24194.92</v>
      </c>
      <c r="H2797" t="inlineStr">
        <is>
          <t>PAID_ON_TIME</t>
        </is>
      </c>
      <c r="I2797">
        <f>IF(H2797="UNPAID", AsOfDate-D2797, 0)</f>
        <v/>
      </c>
      <c r="J2797">
        <f>IF(F2797&lt;&gt;"", TEXT(F2797, "yyyy-mm"), "")</f>
        <v/>
      </c>
    </row>
    <row r="2798">
      <c r="A2798" t="inlineStr">
        <is>
          <t>RP0002797</t>
        </is>
      </c>
      <c r="B2798" t="inlineStr">
        <is>
          <t>LN200402</t>
        </is>
      </c>
      <c r="C2798" t="n">
        <v>1</v>
      </c>
      <c r="D2798" s="8" t="n">
        <v>46257</v>
      </c>
      <c r="E2798" s="9" t="n">
        <v>16250</v>
      </c>
      <c r="F2798" s="8" t="n">
        <v>46260</v>
      </c>
      <c r="G2798" s="9" t="n">
        <v>16250</v>
      </c>
      <c r="H2798" t="inlineStr">
        <is>
          <t>PAID_ON_TIME</t>
        </is>
      </c>
      <c r="I2798">
        <f>IF(H2798="UNPAID", AsOfDate-D2798, 0)</f>
        <v/>
      </c>
      <c r="J2798">
        <f>IF(F2798&lt;&gt;"", TEXT(F2798, "yyyy-mm"), "")</f>
        <v/>
      </c>
    </row>
    <row r="2799">
      <c r="A2799" t="inlineStr">
        <is>
          <t>RP0002798</t>
        </is>
      </c>
      <c r="B2799" t="inlineStr">
        <is>
          <t>LN200402</t>
        </is>
      </c>
      <c r="C2799" t="n">
        <v>2</v>
      </c>
      <c r="D2799" s="8" t="n">
        <v>46288</v>
      </c>
      <c r="E2799" s="9" t="n">
        <v>16250</v>
      </c>
      <c r="F2799" s="8" t="n"/>
      <c r="G2799" s="9" t="n">
        <v>0</v>
      </c>
      <c r="H2799" t="inlineStr">
        <is>
          <t>NOT_DUE</t>
        </is>
      </c>
      <c r="I2799">
        <f>IF(H2799="UNPAID", AsOfDate-D2799, 0)</f>
        <v/>
      </c>
      <c r="J2799">
        <f>IF(F2799&lt;&gt;"", TEXT(F2799, "yyyy-mm"), "")</f>
        <v/>
      </c>
    </row>
    <row r="2800">
      <c r="A2800" t="inlineStr">
        <is>
          <t>RP0002799</t>
        </is>
      </c>
      <c r="B2800" t="inlineStr">
        <is>
          <t>LN200402</t>
        </is>
      </c>
      <c r="C2800" t="n">
        <v>3</v>
      </c>
      <c r="D2800" s="8" t="n">
        <v>46318</v>
      </c>
      <c r="E2800" s="9" t="n">
        <v>16250</v>
      </c>
      <c r="F2800" s="8" t="n"/>
      <c r="G2800" s="9" t="n">
        <v>0</v>
      </c>
      <c r="H2800" t="inlineStr">
        <is>
          <t>NOT_DUE</t>
        </is>
      </c>
      <c r="I2800">
        <f>IF(H2800="UNPAID", AsOfDate-D2800, 0)</f>
        <v/>
      </c>
      <c r="J2800">
        <f>IF(F2800&lt;&gt;"", TEXT(F2800, "yyyy-mm"), "")</f>
        <v/>
      </c>
    </row>
    <row r="2801">
      <c r="A2801" t="inlineStr">
        <is>
          <t>RP0002800</t>
        </is>
      </c>
      <c r="B2801" t="inlineStr">
        <is>
          <t>LN200402</t>
        </is>
      </c>
      <c r="C2801" t="n">
        <v>4</v>
      </c>
      <c r="D2801" s="8" t="n">
        <v>46349</v>
      </c>
      <c r="E2801" s="9" t="n">
        <v>16250</v>
      </c>
      <c r="F2801" s="8" t="n"/>
      <c r="G2801" s="9" t="n">
        <v>0</v>
      </c>
      <c r="H2801" t="inlineStr">
        <is>
          <t>NOT_DUE</t>
        </is>
      </c>
      <c r="I2801">
        <f>IF(H2801="UNPAID", AsOfDate-D2801, 0)</f>
        <v/>
      </c>
      <c r="J2801">
        <f>IF(F2801&lt;&gt;"", TEXT(F2801, "yyyy-mm"), "")</f>
        <v/>
      </c>
    </row>
    <row r="2802">
      <c r="A2802" t="inlineStr">
        <is>
          <t>RP0002801</t>
        </is>
      </c>
      <c r="B2802" t="inlineStr">
        <is>
          <t>LN200402</t>
        </is>
      </c>
      <c r="C2802" t="n">
        <v>5</v>
      </c>
      <c r="D2802" s="8" t="n">
        <v>46379</v>
      </c>
      <c r="E2802" s="9" t="n">
        <v>16250</v>
      </c>
      <c r="F2802" s="8" t="n"/>
      <c r="G2802" s="9" t="n">
        <v>0</v>
      </c>
      <c r="H2802" t="inlineStr">
        <is>
          <t>NOT_DUE</t>
        </is>
      </c>
      <c r="I2802">
        <f>IF(H2802="UNPAID", AsOfDate-D2802, 0)</f>
        <v/>
      </c>
      <c r="J2802">
        <f>IF(F2802&lt;&gt;"", TEXT(F2802, "yyyy-mm"), "")</f>
        <v/>
      </c>
    </row>
    <row r="2803">
      <c r="A2803" t="inlineStr">
        <is>
          <t>RP0002802</t>
        </is>
      </c>
      <c r="B2803" t="inlineStr">
        <is>
          <t>LN200402</t>
        </is>
      </c>
      <c r="C2803" t="n">
        <v>6</v>
      </c>
      <c r="D2803" s="8" t="n">
        <v>46410</v>
      </c>
      <c r="E2803" s="9" t="n">
        <v>16250</v>
      </c>
      <c r="F2803" s="8" t="n"/>
      <c r="G2803" s="9" t="n">
        <v>0</v>
      </c>
      <c r="H2803" t="inlineStr">
        <is>
          <t>NOT_DUE</t>
        </is>
      </c>
      <c r="I2803">
        <f>IF(H2803="UNPAID", AsOfDate-D2803, 0)</f>
        <v/>
      </c>
      <c r="J2803">
        <f>IF(F2803&lt;&gt;"", TEXT(F2803, "yyyy-mm"), "")</f>
        <v/>
      </c>
    </row>
    <row r="2804">
      <c r="A2804" t="inlineStr">
        <is>
          <t>RP0002803</t>
        </is>
      </c>
      <c r="B2804" t="inlineStr">
        <is>
          <t>LN200402</t>
        </is>
      </c>
      <c r="C2804" t="n">
        <v>7</v>
      </c>
      <c r="D2804" s="8" t="n">
        <v>46441</v>
      </c>
      <c r="E2804" s="9" t="n">
        <v>16250</v>
      </c>
      <c r="F2804" s="8" t="n"/>
      <c r="G2804" s="9" t="n">
        <v>0</v>
      </c>
      <c r="H2804" t="inlineStr">
        <is>
          <t>NOT_DUE</t>
        </is>
      </c>
      <c r="I2804">
        <f>IF(H2804="UNPAID", AsOfDate-D2804, 0)</f>
        <v/>
      </c>
      <c r="J2804">
        <f>IF(F2804&lt;&gt;"", TEXT(F2804, "yyyy-mm"), "")</f>
        <v/>
      </c>
    </row>
    <row r="2805">
      <c r="A2805" t="inlineStr">
        <is>
          <t>RP0002804</t>
        </is>
      </c>
      <c r="B2805" t="inlineStr">
        <is>
          <t>LN200402</t>
        </is>
      </c>
      <c r="C2805" t="n">
        <v>8</v>
      </c>
      <c r="D2805" s="8" t="n">
        <v>46469</v>
      </c>
      <c r="E2805" s="9" t="n">
        <v>16250</v>
      </c>
      <c r="F2805" s="8" t="n"/>
      <c r="G2805" s="9" t="n">
        <v>0</v>
      </c>
      <c r="H2805" t="inlineStr">
        <is>
          <t>NOT_DUE</t>
        </is>
      </c>
      <c r="I2805">
        <f>IF(H2805="UNPAID", AsOfDate-D2805, 0)</f>
        <v/>
      </c>
      <c r="J2805">
        <f>IF(F2805&lt;&gt;"", TEXT(F2805, "yyyy-mm"), "")</f>
        <v/>
      </c>
    </row>
    <row r="2806">
      <c r="A2806" t="inlineStr">
        <is>
          <t>RP0002805</t>
        </is>
      </c>
      <c r="B2806" t="inlineStr">
        <is>
          <t>LN200402</t>
        </is>
      </c>
      <c r="C2806" t="n">
        <v>9</v>
      </c>
      <c r="D2806" s="8" t="n">
        <v>46500</v>
      </c>
      <c r="E2806" s="9" t="n">
        <v>16250</v>
      </c>
      <c r="F2806" s="8" t="n"/>
      <c r="G2806" s="9" t="n">
        <v>0</v>
      </c>
      <c r="H2806" t="inlineStr">
        <is>
          <t>NOT_DUE</t>
        </is>
      </c>
      <c r="I2806">
        <f>IF(H2806="UNPAID", AsOfDate-D2806, 0)</f>
        <v/>
      </c>
      <c r="J2806">
        <f>IF(F2806&lt;&gt;"", TEXT(F2806, "yyyy-mm"), "")</f>
        <v/>
      </c>
    </row>
    <row r="2807">
      <c r="A2807" t="inlineStr">
        <is>
          <t>RP0002806</t>
        </is>
      </c>
      <c r="B2807" t="inlineStr">
        <is>
          <t>LN200402</t>
        </is>
      </c>
      <c r="C2807" t="n">
        <v>10</v>
      </c>
      <c r="D2807" s="8" t="n">
        <v>46530</v>
      </c>
      <c r="E2807" s="9" t="n">
        <v>16250</v>
      </c>
      <c r="F2807" s="8" t="n"/>
      <c r="G2807" s="9" t="n">
        <v>0</v>
      </c>
      <c r="H2807" t="inlineStr">
        <is>
          <t>NOT_DUE</t>
        </is>
      </c>
      <c r="I2807">
        <f>IF(H2807="UNPAID", AsOfDate-D2807, 0)</f>
        <v/>
      </c>
      <c r="J2807">
        <f>IF(F2807&lt;&gt;"", TEXT(F2807, "yyyy-mm"), "")</f>
        <v/>
      </c>
    </row>
    <row r="2808">
      <c r="A2808" t="inlineStr">
        <is>
          <t>RP0002807</t>
        </is>
      </c>
      <c r="B2808" t="inlineStr">
        <is>
          <t>LN200402</t>
        </is>
      </c>
      <c r="C2808" t="n">
        <v>11</v>
      </c>
      <c r="D2808" s="8" t="n">
        <v>46561</v>
      </c>
      <c r="E2808" s="9" t="n">
        <v>16250</v>
      </c>
      <c r="F2808" s="8" t="n"/>
      <c r="G2808" s="9" t="n">
        <v>0</v>
      </c>
      <c r="H2808" t="inlineStr">
        <is>
          <t>NOT_DUE</t>
        </is>
      </c>
      <c r="I2808">
        <f>IF(H2808="UNPAID", AsOfDate-D2808, 0)</f>
        <v/>
      </c>
      <c r="J2808">
        <f>IF(F2808&lt;&gt;"", TEXT(F2808, "yyyy-mm"), "")</f>
        <v/>
      </c>
    </row>
    <row r="2809">
      <c r="A2809" t="inlineStr">
        <is>
          <t>RP0002808</t>
        </is>
      </c>
      <c r="B2809" t="inlineStr">
        <is>
          <t>LN200402</t>
        </is>
      </c>
      <c r="C2809" t="n">
        <v>12</v>
      </c>
      <c r="D2809" s="8" t="n">
        <v>46591</v>
      </c>
      <c r="E2809" s="9" t="n">
        <v>16250</v>
      </c>
      <c r="F2809" s="8" t="n"/>
      <c r="G2809" s="9" t="n">
        <v>0</v>
      </c>
      <c r="H2809" t="inlineStr">
        <is>
          <t>NOT_DUE</t>
        </is>
      </c>
      <c r="I2809">
        <f>IF(H2809="UNPAID", AsOfDate-D2809, 0)</f>
        <v/>
      </c>
      <c r="J2809">
        <f>IF(F2809&lt;&gt;"", TEXT(F2809, "yyyy-mm"), "")</f>
        <v/>
      </c>
    </row>
    <row r="2810">
      <c r="A2810" t="inlineStr">
        <is>
          <t>RP0002809</t>
        </is>
      </c>
      <c r="B2810" t="inlineStr">
        <is>
          <t>LN200402</t>
        </is>
      </c>
      <c r="C2810" t="n">
        <v>13</v>
      </c>
      <c r="D2810" s="8" t="n">
        <v>46622</v>
      </c>
      <c r="E2810" s="9" t="n">
        <v>16250</v>
      </c>
      <c r="F2810" s="8" t="n"/>
      <c r="G2810" s="9" t="n">
        <v>0</v>
      </c>
      <c r="H2810" t="inlineStr">
        <is>
          <t>NOT_DUE</t>
        </is>
      </c>
      <c r="I2810">
        <f>IF(H2810="UNPAID", AsOfDate-D2810, 0)</f>
        <v/>
      </c>
      <c r="J2810">
        <f>IF(F2810&lt;&gt;"", TEXT(F2810, "yyyy-mm"), "")</f>
        <v/>
      </c>
    </row>
    <row r="2811">
      <c r="A2811" t="inlineStr">
        <is>
          <t>RP0002810</t>
        </is>
      </c>
      <c r="B2811" t="inlineStr">
        <is>
          <t>LN200402</t>
        </is>
      </c>
      <c r="C2811" t="n">
        <v>14</v>
      </c>
      <c r="D2811" s="8" t="n">
        <v>46653</v>
      </c>
      <c r="E2811" s="9" t="n">
        <v>16250</v>
      </c>
      <c r="F2811" s="8" t="n"/>
      <c r="G2811" s="9" t="n">
        <v>0</v>
      </c>
      <c r="H2811" t="inlineStr">
        <is>
          <t>NOT_DUE</t>
        </is>
      </c>
      <c r="I2811">
        <f>IF(H2811="UNPAID", AsOfDate-D2811, 0)</f>
        <v/>
      </c>
      <c r="J2811">
        <f>IF(F2811&lt;&gt;"", TEXT(F2811, "yyyy-mm"), "")</f>
        <v/>
      </c>
    </row>
    <row r="2812">
      <c r="A2812" t="inlineStr">
        <is>
          <t>RP0002811</t>
        </is>
      </c>
      <c r="B2812" t="inlineStr">
        <is>
          <t>LN200402</t>
        </is>
      </c>
      <c r="C2812" t="n">
        <v>15</v>
      </c>
      <c r="D2812" s="8" t="n">
        <v>46683</v>
      </c>
      <c r="E2812" s="9" t="n">
        <v>16250</v>
      </c>
      <c r="F2812" s="8" t="n"/>
      <c r="G2812" s="9" t="n">
        <v>0</v>
      </c>
      <c r="H2812" t="inlineStr">
        <is>
          <t>NOT_DUE</t>
        </is>
      </c>
      <c r="I2812">
        <f>IF(H2812="UNPAID", AsOfDate-D2812, 0)</f>
        <v/>
      </c>
      <c r="J2812">
        <f>IF(F2812&lt;&gt;"", TEXT(F2812, "yyyy-mm"), "")</f>
        <v/>
      </c>
    </row>
    <row r="2813">
      <c r="A2813" t="inlineStr">
        <is>
          <t>RP0002812</t>
        </is>
      </c>
      <c r="B2813" t="inlineStr">
        <is>
          <t>LN200402</t>
        </is>
      </c>
      <c r="C2813" t="n">
        <v>16</v>
      </c>
      <c r="D2813" s="8" t="n">
        <v>46714</v>
      </c>
      <c r="E2813" s="9" t="n">
        <v>16250</v>
      </c>
      <c r="F2813" s="8" t="n"/>
      <c r="G2813" s="9" t="n">
        <v>0</v>
      </c>
      <c r="H2813" t="inlineStr">
        <is>
          <t>NOT_DUE</t>
        </is>
      </c>
      <c r="I2813">
        <f>IF(H2813="UNPAID", AsOfDate-D2813, 0)</f>
        <v/>
      </c>
      <c r="J2813">
        <f>IF(F2813&lt;&gt;"", TEXT(F2813, "yyyy-mm"), "")</f>
        <v/>
      </c>
    </row>
    <row r="2814">
      <c r="A2814" t="inlineStr">
        <is>
          <t>RP0002813</t>
        </is>
      </c>
      <c r="B2814" t="inlineStr">
        <is>
          <t>LN200402</t>
        </is>
      </c>
      <c r="C2814" t="n">
        <v>17</v>
      </c>
      <c r="D2814" s="8" t="n">
        <v>46744</v>
      </c>
      <c r="E2814" s="9" t="n">
        <v>16250</v>
      </c>
      <c r="F2814" s="8" t="n"/>
      <c r="G2814" s="9" t="n">
        <v>0</v>
      </c>
      <c r="H2814" t="inlineStr">
        <is>
          <t>NOT_DUE</t>
        </is>
      </c>
      <c r="I2814">
        <f>IF(H2814="UNPAID", AsOfDate-D2814, 0)</f>
        <v/>
      </c>
      <c r="J2814">
        <f>IF(F2814&lt;&gt;"", TEXT(F2814, "yyyy-mm"), "")</f>
        <v/>
      </c>
    </row>
    <row r="2815">
      <c r="A2815" t="inlineStr">
        <is>
          <t>RP0002814</t>
        </is>
      </c>
      <c r="B2815" t="inlineStr">
        <is>
          <t>LN200402</t>
        </is>
      </c>
      <c r="C2815" t="n">
        <v>18</v>
      </c>
      <c r="D2815" s="8" t="n">
        <v>46775</v>
      </c>
      <c r="E2815" s="9" t="n">
        <v>16250</v>
      </c>
      <c r="F2815" s="8" t="n"/>
      <c r="G2815" s="9" t="n">
        <v>0</v>
      </c>
      <c r="H2815" t="inlineStr">
        <is>
          <t>NOT_DUE</t>
        </is>
      </c>
      <c r="I2815">
        <f>IF(H2815="UNPAID", AsOfDate-D2815, 0)</f>
        <v/>
      </c>
      <c r="J2815">
        <f>IF(F2815&lt;&gt;"", TEXT(F2815, "yyyy-mm"), "")</f>
        <v/>
      </c>
    </row>
    <row r="2816">
      <c r="A2816" t="inlineStr">
        <is>
          <t>RP0002815</t>
        </is>
      </c>
      <c r="B2816" t="inlineStr">
        <is>
          <t>LN200404</t>
        </is>
      </c>
      <c r="C2816" t="n">
        <v>1</v>
      </c>
      <c r="D2816" s="8" t="n">
        <v>46087</v>
      </c>
      <c r="E2816" s="9" t="n">
        <v>12228.22</v>
      </c>
      <c r="F2816" s="8" t="n">
        <v>46091</v>
      </c>
      <c r="G2816" s="9" t="n">
        <v>12228.22</v>
      </c>
      <c r="H2816" t="inlineStr">
        <is>
          <t>PAID_ON_TIME</t>
        </is>
      </c>
      <c r="I2816">
        <f>IF(H2816="UNPAID", AsOfDate-D2816, 0)</f>
        <v/>
      </c>
      <c r="J2816">
        <f>IF(F2816&lt;&gt;"", TEXT(F2816, "yyyy-mm"), "")</f>
        <v/>
      </c>
    </row>
    <row r="2817">
      <c r="A2817" t="inlineStr">
        <is>
          <t>RP0002816</t>
        </is>
      </c>
      <c r="B2817" t="inlineStr">
        <is>
          <t>LN200404</t>
        </is>
      </c>
      <c r="C2817" t="n">
        <v>2</v>
      </c>
      <c r="D2817" s="8" t="n">
        <v>46118</v>
      </c>
      <c r="E2817" s="9" t="n">
        <v>12228.22</v>
      </c>
      <c r="F2817" s="8" t="n">
        <v>46115</v>
      </c>
      <c r="G2817" s="9" t="n">
        <v>12228.22</v>
      </c>
      <c r="H2817" t="inlineStr">
        <is>
          <t>PAID_ON_TIME</t>
        </is>
      </c>
      <c r="I2817">
        <f>IF(H2817="UNPAID", AsOfDate-D2817, 0)</f>
        <v/>
      </c>
      <c r="J2817">
        <f>IF(F2817&lt;&gt;"", TEXT(F2817, "yyyy-mm"), "")</f>
        <v/>
      </c>
    </row>
    <row r="2818">
      <c r="A2818" t="inlineStr">
        <is>
          <t>RP0002817</t>
        </is>
      </c>
      <c r="B2818" t="inlineStr">
        <is>
          <t>LN200404</t>
        </is>
      </c>
      <c r="C2818" t="n">
        <v>3</v>
      </c>
      <c r="D2818" s="8" t="n">
        <v>46148</v>
      </c>
      <c r="E2818" s="9" t="n">
        <v>12228.22</v>
      </c>
      <c r="F2818" s="8" t="n">
        <v>46148</v>
      </c>
      <c r="G2818" s="9" t="n">
        <v>12228.22</v>
      </c>
      <c r="H2818" t="inlineStr">
        <is>
          <t>PAID_ON_TIME</t>
        </is>
      </c>
      <c r="I2818">
        <f>IF(H2818="UNPAID", AsOfDate-D2818, 0)</f>
        <v/>
      </c>
      <c r="J2818">
        <f>IF(F2818&lt;&gt;"", TEXT(F2818, "yyyy-mm"), "")</f>
        <v/>
      </c>
    </row>
    <row r="2819">
      <c r="A2819" t="inlineStr">
        <is>
          <t>RP0002818</t>
        </is>
      </c>
      <c r="B2819" t="inlineStr">
        <is>
          <t>LN200404</t>
        </is>
      </c>
      <c r="C2819" t="n">
        <v>4</v>
      </c>
      <c r="D2819" s="8" t="n">
        <v>46179</v>
      </c>
      <c r="E2819" s="9" t="n">
        <v>12228.22</v>
      </c>
      <c r="F2819" s="8" t="n">
        <v>46176</v>
      </c>
      <c r="G2819" s="9" t="n">
        <v>12228.22</v>
      </c>
      <c r="H2819" t="inlineStr">
        <is>
          <t>PAID_ON_TIME</t>
        </is>
      </c>
      <c r="I2819">
        <f>IF(H2819="UNPAID", AsOfDate-D2819, 0)</f>
        <v/>
      </c>
      <c r="J2819">
        <f>IF(F2819&lt;&gt;"", TEXT(F2819, "yyyy-mm"), "")</f>
        <v/>
      </c>
    </row>
    <row r="2820">
      <c r="A2820" t="inlineStr">
        <is>
          <t>RP0002819</t>
        </is>
      </c>
      <c r="B2820" t="inlineStr">
        <is>
          <t>LN200404</t>
        </is>
      </c>
      <c r="C2820" t="n">
        <v>5</v>
      </c>
      <c r="D2820" s="8" t="n">
        <v>46209</v>
      </c>
      <c r="E2820" s="9" t="n">
        <v>12228.22</v>
      </c>
      <c r="F2820" s="8" t="n">
        <v>46208</v>
      </c>
      <c r="G2820" s="9" t="n">
        <v>12228.22</v>
      </c>
      <c r="H2820" t="inlineStr">
        <is>
          <t>PAID_ON_TIME</t>
        </is>
      </c>
      <c r="I2820">
        <f>IF(H2820="UNPAID", AsOfDate-D2820, 0)</f>
        <v/>
      </c>
      <c r="J2820">
        <f>IF(F2820&lt;&gt;"", TEXT(F2820, "yyyy-mm"), "")</f>
        <v/>
      </c>
    </row>
    <row r="2821">
      <c r="A2821" t="inlineStr">
        <is>
          <t>RP0002820</t>
        </is>
      </c>
      <c r="B2821" t="inlineStr">
        <is>
          <t>LN200404</t>
        </is>
      </c>
      <c r="C2821" t="n">
        <v>6</v>
      </c>
      <c r="D2821" s="8" t="n">
        <v>46240</v>
      </c>
      <c r="E2821" s="9" t="n">
        <v>12228.22</v>
      </c>
      <c r="F2821" s="8" t="n">
        <v>46237</v>
      </c>
      <c r="G2821" s="9" t="n">
        <v>12228.22</v>
      </c>
      <c r="H2821" t="inlineStr">
        <is>
          <t>PAID_ON_TIME</t>
        </is>
      </c>
      <c r="I2821">
        <f>IF(H2821="UNPAID", AsOfDate-D2821, 0)</f>
        <v/>
      </c>
      <c r="J2821">
        <f>IF(F2821&lt;&gt;"", TEXT(F2821, "yyyy-mm"), "")</f>
        <v/>
      </c>
    </row>
    <row r="2822">
      <c r="A2822" t="inlineStr">
        <is>
          <t>RP0002821</t>
        </is>
      </c>
      <c r="B2822" t="inlineStr">
        <is>
          <t>LN200404</t>
        </is>
      </c>
      <c r="C2822" t="n">
        <v>7</v>
      </c>
      <c r="D2822" s="8" t="n">
        <v>46271</v>
      </c>
      <c r="E2822" s="9" t="n">
        <v>12228.22</v>
      </c>
      <c r="F2822" s="8" t="n"/>
      <c r="G2822" s="9" t="n">
        <v>0</v>
      </c>
      <c r="H2822" t="inlineStr">
        <is>
          <t>NOT_DUE</t>
        </is>
      </c>
      <c r="I2822">
        <f>IF(H2822="UNPAID", AsOfDate-D2822, 0)</f>
        <v/>
      </c>
      <c r="J2822">
        <f>IF(F2822&lt;&gt;"", TEXT(F2822, "yyyy-mm"), "")</f>
        <v/>
      </c>
    </row>
    <row r="2823">
      <c r="A2823" t="inlineStr">
        <is>
          <t>RP0002822</t>
        </is>
      </c>
      <c r="B2823" t="inlineStr">
        <is>
          <t>LN200404</t>
        </is>
      </c>
      <c r="C2823" t="n">
        <v>8</v>
      </c>
      <c r="D2823" s="8" t="n">
        <v>46301</v>
      </c>
      <c r="E2823" s="9" t="n">
        <v>12228.22</v>
      </c>
      <c r="F2823" s="8" t="n"/>
      <c r="G2823" s="9" t="n">
        <v>0</v>
      </c>
      <c r="H2823" t="inlineStr">
        <is>
          <t>NOT_DUE</t>
        </is>
      </c>
      <c r="I2823">
        <f>IF(H2823="UNPAID", AsOfDate-D2823, 0)</f>
        <v/>
      </c>
      <c r="J2823">
        <f>IF(F2823&lt;&gt;"", TEXT(F2823, "yyyy-mm"), "")</f>
        <v/>
      </c>
    </row>
    <row r="2824">
      <c r="A2824" t="inlineStr">
        <is>
          <t>RP0002823</t>
        </is>
      </c>
      <c r="B2824" t="inlineStr">
        <is>
          <t>LN200404</t>
        </is>
      </c>
      <c r="C2824" t="n">
        <v>9</v>
      </c>
      <c r="D2824" s="8" t="n">
        <v>46332</v>
      </c>
      <c r="E2824" s="9" t="n">
        <v>12228.22</v>
      </c>
      <c r="F2824" s="8" t="n"/>
      <c r="G2824" s="9" t="n">
        <v>0</v>
      </c>
      <c r="H2824" t="inlineStr">
        <is>
          <t>NOT_DUE</t>
        </is>
      </c>
      <c r="I2824">
        <f>IF(H2824="UNPAID", AsOfDate-D2824, 0)</f>
        <v/>
      </c>
      <c r="J2824">
        <f>IF(F2824&lt;&gt;"", TEXT(F2824, "yyyy-mm"), "")</f>
        <v/>
      </c>
    </row>
    <row r="2825">
      <c r="A2825" t="inlineStr">
        <is>
          <t>RP0002824</t>
        </is>
      </c>
      <c r="B2825" t="inlineStr">
        <is>
          <t>LN200405</t>
        </is>
      </c>
      <c r="C2825" t="n">
        <v>1</v>
      </c>
      <c r="D2825" s="8" t="n">
        <v>45984</v>
      </c>
      <c r="E2825" s="9" t="n">
        <v>35689.5</v>
      </c>
      <c r="F2825" s="8" t="n">
        <v>45988</v>
      </c>
      <c r="G2825" s="9" t="n">
        <v>35689.5</v>
      </c>
      <c r="H2825" t="inlineStr">
        <is>
          <t>PAID_ON_TIME</t>
        </is>
      </c>
      <c r="I2825">
        <f>IF(H2825="UNPAID", AsOfDate-D2825, 0)</f>
        <v/>
      </c>
      <c r="J2825">
        <f>IF(F2825&lt;&gt;"", TEXT(F2825, "yyyy-mm"), "")</f>
        <v/>
      </c>
    </row>
    <row r="2826">
      <c r="A2826" t="inlineStr">
        <is>
          <t>RP0002825</t>
        </is>
      </c>
      <c r="B2826" t="inlineStr">
        <is>
          <t>LN200405</t>
        </is>
      </c>
      <c r="C2826" t="n">
        <v>2</v>
      </c>
      <c r="D2826" s="8" t="n">
        <v>46014</v>
      </c>
      <c r="E2826" s="9" t="n">
        <v>35689.5</v>
      </c>
      <c r="F2826" s="8" t="n">
        <v>46012</v>
      </c>
      <c r="G2826" s="9" t="n">
        <v>35689.5</v>
      </c>
      <c r="H2826" t="inlineStr">
        <is>
          <t>PAID_ON_TIME</t>
        </is>
      </c>
      <c r="I2826">
        <f>IF(H2826="UNPAID", AsOfDate-D2826, 0)</f>
        <v/>
      </c>
      <c r="J2826">
        <f>IF(F2826&lt;&gt;"", TEXT(F2826, "yyyy-mm"), "")</f>
        <v/>
      </c>
    </row>
    <row r="2827">
      <c r="A2827" t="inlineStr">
        <is>
          <t>RP0002826</t>
        </is>
      </c>
      <c r="B2827" t="inlineStr">
        <is>
          <t>LN200405</t>
        </is>
      </c>
      <c r="C2827" t="n">
        <v>3</v>
      </c>
      <c r="D2827" s="8" t="n">
        <v>46045</v>
      </c>
      <c r="E2827" s="9" t="n">
        <v>35689.5</v>
      </c>
      <c r="F2827" s="8" t="n">
        <v>46048</v>
      </c>
      <c r="G2827" s="9" t="n">
        <v>35689.5</v>
      </c>
      <c r="H2827" t="inlineStr">
        <is>
          <t>PAID_ON_TIME</t>
        </is>
      </c>
      <c r="I2827">
        <f>IF(H2827="UNPAID", AsOfDate-D2827, 0)</f>
        <v/>
      </c>
      <c r="J2827">
        <f>IF(F2827&lt;&gt;"", TEXT(F2827, "yyyy-mm"), "")</f>
        <v/>
      </c>
    </row>
    <row r="2828">
      <c r="A2828" t="inlineStr">
        <is>
          <t>RP0002827</t>
        </is>
      </c>
      <c r="B2828" t="inlineStr">
        <is>
          <t>LN200406</t>
        </is>
      </c>
      <c r="C2828" t="n">
        <v>1</v>
      </c>
      <c r="D2828" s="8" t="n">
        <v>45827</v>
      </c>
      <c r="E2828" s="9" t="n">
        <v>14280.5</v>
      </c>
      <c r="F2828" s="8" t="n">
        <v>45831</v>
      </c>
      <c r="G2828" s="9" t="n">
        <v>14280.5</v>
      </c>
      <c r="H2828" t="inlineStr">
        <is>
          <t>PAID_ON_TIME</t>
        </is>
      </c>
      <c r="I2828">
        <f>IF(H2828="UNPAID", AsOfDate-D2828, 0)</f>
        <v/>
      </c>
      <c r="J2828">
        <f>IF(F2828&lt;&gt;"", TEXT(F2828, "yyyy-mm"), "")</f>
        <v/>
      </c>
    </row>
    <row r="2829">
      <c r="A2829" t="inlineStr">
        <is>
          <t>RP0002828</t>
        </is>
      </c>
      <c r="B2829" t="inlineStr">
        <is>
          <t>LN200406</t>
        </is>
      </c>
      <c r="C2829" t="n">
        <v>2</v>
      </c>
      <c r="D2829" s="8" t="n">
        <v>45857</v>
      </c>
      <c r="E2829" s="9" t="n">
        <v>14280.5</v>
      </c>
      <c r="F2829" s="8" t="n">
        <v>45948</v>
      </c>
      <c r="G2829" s="9" t="n">
        <v>14280.5</v>
      </c>
      <c r="H2829" t="inlineStr">
        <is>
          <t>PAID_LATE</t>
        </is>
      </c>
      <c r="I2829">
        <f>IF(H2829="UNPAID", AsOfDate-D2829, 0)</f>
        <v/>
      </c>
      <c r="J2829">
        <f>IF(F2829&lt;&gt;"", TEXT(F2829, "yyyy-mm"), "")</f>
        <v/>
      </c>
    </row>
    <row r="2830">
      <c r="A2830" t="inlineStr">
        <is>
          <t>RP0002829</t>
        </is>
      </c>
      <c r="B2830" t="inlineStr">
        <is>
          <t>LN200406</t>
        </is>
      </c>
      <c r="C2830" t="n">
        <v>3</v>
      </c>
      <c r="D2830" s="8" t="n">
        <v>45888</v>
      </c>
      <c r="E2830" s="9" t="n">
        <v>14280.5</v>
      </c>
      <c r="F2830" s="8" t="n">
        <v>45888</v>
      </c>
      <c r="G2830" s="9" t="n">
        <v>14280.5</v>
      </c>
      <c r="H2830" t="inlineStr">
        <is>
          <t>PAID_ON_TIME</t>
        </is>
      </c>
      <c r="I2830">
        <f>IF(H2830="UNPAID", AsOfDate-D2830, 0)</f>
        <v/>
      </c>
      <c r="J2830">
        <f>IF(F2830&lt;&gt;"", TEXT(F2830, "yyyy-mm"), "")</f>
        <v/>
      </c>
    </row>
    <row r="2831">
      <c r="A2831" t="inlineStr">
        <is>
          <t>RP0002830</t>
        </is>
      </c>
      <c r="B2831" t="inlineStr">
        <is>
          <t>LN200406</t>
        </is>
      </c>
      <c r="C2831" t="n">
        <v>4</v>
      </c>
      <c r="D2831" s="8" t="n">
        <v>45919</v>
      </c>
      <c r="E2831" s="9" t="n">
        <v>14280.5</v>
      </c>
      <c r="F2831" s="8" t="n">
        <v>45923</v>
      </c>
      <c r="G2831" s="9" t="n">
        <v>14280.5</v>
      </c>
      <c r="H2831" t="inlineStr">
        <is>
          <t>PAID_ON_TIME</t>
        </is>
      </c>
      <c r="I2831">
        <f>IF(H2831="UNPAID", AsOfDate-D2831, 0)</f>
        <v/>
      </c>
      <c r="J2831">
        <f>IF(F2831&lt;&gt;"", TEXT(F2831, "yyyy-mm"), "")</f>
        <v/>
      </c>
    </row>
    <row r="2832">
      <c r="A2832" t="inlineStr">
        <is>
          <t>RP0002831</t>
        </is>
      </c>
      <c r="B2832" t="inlineStr">
        <is>
          <t>LN200406</t>
        </is>
      </c>
      <c r="C2832" t="n">
        <v>5</v>
      </c>
      <c r="D2832" s="8" t="n">
        <v>45949</v>
      </c>
      <c r="E2832" s="9" t="n">
        <v>14280.5</v>
      </c>
      <c r="F2832" s="8" t="n">
        <v>45946</v>
      </c>
      <c r="G2832" s="9" t="n">
        <v>14280.5</v>
      </c>
      <c r="H2832" t="inlineStr">
        <is>
          <t>PAID_ON_TIME</t>
        </is>
      </c>
      <c r="I2832">
        <f>IF(H2832="UNPAID", AsOfDate-D2832, 0)</f>
        <v/>
      </c>
      <c r="J2832">
        <f>IF(F2832&lt;&gt;"", TEXT(F2832, "yyyy-mm"), "")</f>
        <v/>
      </c>
    </row>
    <row r="2833">
      <c r="A2833" t="inlineStr">
        <is>
          <t>RP0002832</t>
        </is>
      </c>
      <c r="B2833" t="inlineStr">
        <is>
          <t>LN200406</t>
        </is>
      </c>
      <c r="C2833" t="n">
        <v>6</v>
      </c>
      <c r="D2833" s="8" t="n">
        <v>45980</v>
      </c>
      <c r="E2833" s="9" t="n">
        <v>14280.5</v>
      </c>
      <c r="F2833" s="8" t="n">
        <v>45980</v>
      </c>
      <c r="G2833" s="9" t="n">
        <v>14280.5</v>
      </c>
      <c r="H2833" t="inlineStr">
        <is>
          <t>PAID_ON_TIME</t>
        </is>
      </c>
      <c r="I2833">
        <f>IF(H2833="UNPAID", AsOfDate-D2833, 0)</f>
        <v/>
      </c>
      <c r="J2833">
        <f>IF(F2833&lt;&gt;"", TEXT(F2833, "yyyy-mm"), "")</f>
        <v/>
      </c>
    </row>
    <row r="2834">
      <c r="A2834" t="inlineStr">
        <is>
          <t>RP0002833</t>
        </is>
      </c>
      <c r="B2834" t="inlineStr">
        <is>
          <t>LN200407</t>
        </is>
      </c>
      <c r="C2834" t="n">
        <v>1</v>
      </c>
      <c r="D2834" s="8" t="n">
        <v>45800</v>
      </c>
      <c r="E2834" s="9" t="n">
        <v>37648</v>
      </c>
      <c r="F2834" s="8" t="n">
        <v>45849</v>
      </c>
      <c r="G2834" s="9" t="n">
        <v>37648</v>
      </c>
      <c r="H2834" t="inlineStr">
        <is>
          <t>PAID_LATE</t>
        </is>
      </c>
      <c r="I2834">
        <f>IF(H2834="UNPAID", AsOfDate-D2834, 0)</f>
        <v/>
      </c>
      <c r="J2834">
        <f>IF(F2834&lt;&gt;"", TEXT(F2834, "yyyy-mm"), "")</f>
        <v/>
      </c>
    </row>
    <row r="2835">
      <c r="A2835" t="inlineStr">
        <is>
          <t>RP0002834</t>
        </is>
      </c>
      <c r="B2835" t="inlineStr">
        <is>
          <t>LN200407</t>
        </is>
      </c>
      <c r="C2835" t="n">
        <v>2</v>
      </c>
      <c r="D2835" s="8" t="n">
        <v>45831</v>
      </c>
      <c r="E2835" s="9" t="n">
        <v>37648</v>
      </c>
      <c r="F2835" s="8" t="n">
        <v>45889</v>
      </c>
      <c r="G2835" s="9" t="n">
        <v>37648</v>
      </c>
      <c r="H2835" t="inlineStr">
        <is>
          <t>PAID_LATE</t>
        </is>
      </c>
      <c r="I2835">
        <f>IF(H2835="UNPAID", AsOfDate-D2835, 0)</f>
        <v/>
      </c>
      <c r="J2835">
        <f>IF(F2835&lt;&gt;"", TEXT(F2835, "yyyy-mm"), "")</f>
        <v/>
      </c>
    </row>
    <row r="2836">
      <c r="A2836" t="inlineStr">
        <is>
          <t>RP0002835</t>
        </is>
      </c>
      <c r="B2836" t="inlineStr">
        <is>
          <t>LN200407</t>
        </is>
      </c>
      <c r="C2836" t="n">
        <v>3</v>
      </c>
      <c r="D2836" s="8" t="n">
        <v>45861</v>
      </c>
      <c r="E2836" s="9" t="n">
        <v>37648</v>
      </c>
      <c r="F2836" s="8" t="n">
        <v>45858</v>
      </c>
      <c r="G2836" s="9" t="n">
        <v>37648</v>
      </c>
      <c r="H2836" t="inlineStr">
        <is>
          <t>PAID_ON_TIME</t>
        </is>
      </c>
      <c r="I2836">
        <f>IF(H2836="UNPAID", AsOfDate-D2836, 0)</f>
        <v/>
      </c>
      <c r="J2836">
        <f>IF(F2836&lt;&gt;"", TEXT(F2836, "yyyy-mm"), "")</f>
        <v/>
      </c>
    </row>
    <row r="2837">
      <c r="A2837" t="inlineStr">
        <is>
          <t>RP0002836</t>
        </is>
      </c>
      <c r="B2837" t="inlineStr">
        <is>
          <t>LN200407</t>
        </is>
      </c>
      <c r="C2837" t="n">
        <v>4</v>
      </c>
      <c r="D2837" s="8" t="n">
        <v>45892</v>
      </c>
      <c r="E2837" s="9" t="n">
        <v>37648</v>
      </c>
      <c r="F2837" s="8" t="n">
        <v>45896</v>
      </c>
      <c r="G2837" s="9" t="n">
        <v>37648</v>
      </c>
      <c r="H2837" t="inlineStr">
        <is>
          <t>PAID_ON_TIME</t>
        </is>
      </c>
      <c r="I2837">
        <f>IF(H2837="UNPAID", AsOfDate-D2837, 0)</f>
        <v/>
      </c>
      <c r="J2837">
        <f>IF(F2837&lt;&gt;"", TEXT(F2837, "yyyy-mm"), "")</f>
        <v/>
      </c>
    </row>
    <row r="2838">
      <c r="A2838" t="inlineStr">
        <is>
          <t>RP0002837</t>
        </is>
      </c>
      <c r="B2838" t="inlineStr">
        <is>
          <t>LN200407</t>
        </is>
      </c>
      <c r="C2838" t="n">
        <v>5</v>
      </c>
      <c r="D2838" s="8" t="n">
        <v>45923</v>
      </c>
      <c r="E2838" s="9" t="n">
        <v>37648</v>
      </c>
      <c r="F2838" s="8" t="n">
        <v>45926</v>
      </c>
      <c r="G2838" s="9" t="n">
        <v>37648</v>
      </c>
      <c r="H2838" t="inlineStr">
        <is>
          <t>PAID_ON_TIME</t>
        </is>
      </c>
      <c r="I2838">
        <f>IF(H2838="UNPAID", AsOfDate-D2838, 0)</f>
        <v/>
      </c>
      <c r="J2838">
        <f>IF(F2838&lt;&gt;"", TEXT(F2838, "yyyy-mm"), "")</f>
        <v/>
      </c>
    </row>
    <row r="2839">
      <c r="A2839" t="inlineStr">
        <is>
          <t>RP0002838</t>
        </is>
      </c>
      <c r="B2839" t="inlineStr">
        <is>
          <t>LN200407</t>
        </is>
      </c>
      <c r="C2839" t="n">
        <v>6</v>
      </c>
      <c r="D2839" s="8" t="n">
        <v>45953</v>
      </c>
      <c r="E2839" s="9" t="n">
        <v>37648</v>
      </c>
      <c r="F2839" s="8" t="n">
        <v>45950</v>
      </c>
      <c r="G2839" s="9" t="n">
        <v>37648</v>
      </c>
      <c r="H2839" t="inlineStr">
        <is>
          <t>PAID_ON_TIME</t>
        </is>
      </c>
      <c r="I2839">
        <f>IF(H2839="UNPAID", AsOfDate-D2839, 0)</f>
        <v/>
      </c>
      <c r="J2839">
        <f>IF(F2839&lt;&gt;"", TEXT(F2839, "yyyy-mm"), "")</f>
        <v/>
      </c>
    </row>
    <row r="2840">
      <c r="A2840" t="inlineStr">
        <is>
          <t>RP0002839</t>
        </is>
      </c>
      <c r="B2840" t="inlineStr">
        <is>
          <t>LN200408</t>
        </is>
      </c>
      <c r="C2840" t="n">
        <v>1</v>
      </c>
      <c r="D2840" s="8" t="n">
        <v>45839</v>
      </c>
      <c r="E2840" s="9" t="n">
        <v>30946.67</v>
      </c>
      <c r="F2840" s="8" t="n">
        <v>45838</v>
      </c>
      <c r="G2840" s="9" t="n">
        <v>30946.67</v>
      </c>
      <c r="H2840" t="inlineStr">
        <is>
          <t>PAID_ON_TIME</t>
        </is>
      </c>
      <c r="I2840">
        <f>IF(H2840="UNPAID", AsOfDate-D2840, 0)</f>
        <v/>
      </c>
      <c r="J2840">
        <f>IF(F2840&lt;&gt;"", TEXT(F2840, "yyyy-mm"), "")</f>
        <v/>
      </c>
    </row>
    <row r="2841">
      <c r="A2841" t="inlineStr">
        <is>
          <t>RP0002840</t>
        </is>
      </c>
      <c r="B2841" t="inlineStr">
        <is>
          <t>LN200408</t>
        </is>
      </c>
      <c r="C2841" t="n">
        <v>2</v>
      </c>
      <c r="D2841" s="8" t="n">
        <v>45870</v>
      </c>
      <c r="E2841" s="9" t="n">
        <v>30946.67</v>
      </c>
      <c r="F2841" s="8" t="n">
        <v>45874</v>
      </c>
      <c r="G2841" s="9" t="n">
        <v>30946.67</v>
      </c>
      <c r="H2841" t="inlineStr">
        <is>
          <t>PAID_ON_TIME</t>
        </is>
      </c>
      <c r="I2841">
        <f>IF(H2841="UNPAID", AsOfDate-D2841, 0)</f>
        <v/>
      </c>
      <c r="J2841">
        <f>IF(F2841&lt;&gt;"", TEXT(F2841, "yyyy-mm"), "")</f>
        <v/>
      </c>
    </row>
    <row r="2842">
      <c r="A2842" t="inlineStr">
        <is>
          <t>RP0002841</t>
        </is>
      </c>
      <c r="B2842" t="inlineStr">
        <is>
          <t>LN200408</t>
        </is>
      </c>
      <c r="C2842" t="n">
        <v>3</v>
      </c>
      <c r="D2842" s="8" t="n">
        <v>45901</v>
      </c>
      <c r="E2842" s="9" t="n">
        <v>30946.67</v>
      </c>
      <c r="F2842" s="8" t="n">
        <v>45905</v>
      </c>
      <c r="G2842" s="9" t="n">
        <v>30946.67</v>
      </c>
      <c r="H2842" t="inlineStr">
        <is>
          <t>PAID_ON_TIME</t>
        </is>
      </c>
      <c r="I2842">
        <f>IF(H2842="UNPAID", AsOfDate-D2842, 0)</f>
        <v/>
      </c>
      <c r="J2842">
        <f>IF(F2842&lt;&gt;"", TEXT(F2842, "yyyy-mm"), "")</f>
        <v/>
      </c>
    </row>
    <row r="2843">
      <c r="A2843" t="inlineStr">
        <is>
          <t>RP0002842</t>
        </is>
      </c>
      <c r="B2843" t="inlineStr">
        <is>
          <t>LN200409</t>
        </is>
      </c>
      <c r="C2843" t="n">
        <v>1</v>
      </c>
      <c r="D2843" s="8" t="n">
        <v>45933</v>
      </c>
      <c r="E2843" s="9" t="n">
        <v>24634.17</v>
      </c>
      <c r="F2843" s="8" t="n">
        <v>45936</v>
      </c>
      <c r="G2843" s="9" t="n">
        <v>24634.17</v>
      </c>
      <c r="H2843" t="inlineStr">
        <is>
          <t>PAID_ON_TIME</t>
        </is>
      </c>
      <c r="I2843">
        <f>IF(H2843="UNPAID", AsOfDate-D2843, 0)</f>
        <v/>
      </c>
      <c r="J2843">
        <f>IF(F2843&lt;&gt;"", TEXT(F2843, "yyyy-mm"), "")</f>
        <v/>
      </c>
    </row>
    <row r="2844">
      <c r="A2844" t="inlineStr">
        <is>
          <t>RP0002843</t>
        </is>
      </c>
      <c r="B2844" t="inlineStr">
        <is>
          <t>LN200409</t>
        </is>
      </c>
      <c r="C2844" t="n">
        <v>2</v>
      </c>
      <c r="D2844" s="8" t="n">
        <v>45964</v>
      </c>
      <c r="E2844" s="9" t="n">
        <v>24634.17</v>
      </c>
      <c r="F2844" s="8" t="n">
        <v>45963</v>
      </c>
      <c r="G2844" s="9" t="n">
        <v>24634.17</v>
      </c>
      <c r="H2844" t="inlineStr">
        <is>
          <t>PAID_ON_TIME</t>
        </is>
      </c>
      <c r="I2844">
        <f>IF(H2844="UNPAID", AsOfDate-D2844, 0)</f>
        <v/>
      </c>
      <c r="J2844">
        <f>IF(F2844&lt;&gt;"", TEXT(F2844, "yyyy-mm"), "")</f>
        <v/>
      </c>
    </row>
    <row r="2845">
      <c r="A2845" t="inlineStr">
        <is>
          <t>RP0002844</t>
        </is>
      </c>
      <c r="B2845" t="inlineStr">
        <is>
          <t>LN200409</t>
        </is>
      </c>
      <c r="C2845" t="n">
        <v>3</v>
      </c>
      <c r="D2845" s="8" t="n">
        <v>45994</v>
      </c>
      <c r="E2845" s="9" t="n">
        <v>24634.17</v>
      </c>
      <c r="F2845" s="8" t="n">
        <v>45997</v>
      </c>
      <c r="G2845" s="9" t="n">
        <v>24634.17</v>
      </c>
      <c r="H2845" t="inlineStr">
        <is>
          <t>PAID_ON_TIME</t>
        </is>
      </c>
      <c r="I2845">
        <f>IF(H2845="UNPAID", AsOfDate-D2845, 0)</f>
        <v/>
      </c>
      <c r="J2845">
        <f>IF(F2845&lt;&gt;"", TEXT(F2845, "yyyy-mm"), "")</f>
        <v/>
      </c>
    </row>
    <row r="2846">
      <c r="A2846" t="inlineStr">
        <is>
          <t>RP0002845</t>
        </is>
      </c>
      <c r="B2846" t="inlineStr">
        <is>
          <t>LN200410</t>
        </is>
      </c>
      <c r="C2846" t="n">
        <v>1</v>
      </c>
      <c r="D2846" s="8" t="n">
        <v>45904</v>
      </c>
      <c r="E2846" s="9" t="n">
        <v>44164.25</v>
      </c>
      <c r="F2846" s="8" t="n">
        <v>45904</v>
      </c>
      <c r="G2846" s="9" t="n">
        <v>44164.25</v>
      </c>
      <c r="H2846" t="inlineStr">
        <is>
          <t>PAID_ON_TIME</t>
        </is>
      </c>
      <c r="I2846">
        <f>IF(H2846="UNPAID", AsOfDate-D2846, 0)</f>
        <v/>
      </c>
      <c r="J2846">
        <f>IF(F2846&lt;&gt;"", TEXT(F2846, "yyyy-mm"), "")</f>
        <v/>
      </c>
    </row>
    <row r="2847">
      <c r="A2847" t="inlineStr">
        <is>
          <t>RP0002846</t>
        </is>
      </c>
      <c r="B2847" t="inlineStr">
        <is>
          <t>LN200410</t>
        </is>
      </c>
      <c r="C2847" t="n">
        <v>2</v>
      </c>
      <c r="D2847" s="8" t="n">
        <v>45934</v>
      </c>
      <c r="E2847" s="9" t="n">
        <v>44164.25</v>
      </c>
      <c r="F2847" s="8" t="n">
        <v>45931</v>
      </c>
      <c r="G2847" s="9" t="n">
        <v>44164.25</v>
      </c>
      <c r="H2847" t="inlineStr">
        <is>
          <t>PAID_ON_TIME</t>
        </is>
      </c>
      <c r="I2847">
        <f>IF(H2847="UNPAID", AsOfDate-D2847, 0)</f>
        <v/>
      </c>
      <c r="J2847">
        <f>IF(F2847&lt;&gt;"", TEXT(F2847, "yyyy-mm"), "")</f>
        <v/>
      </c>
    </row>
    <row r="2848">
      <c r="A2848" t="inlineStr">
        <is>
          <t>RP0002847</t>
        </is>
      </c>
      <c r="B2848" t="inlineStr">
        <is>
          <t>LN200410</t>
        </is>
      </c>
      <c r="C2848" t="n">
        <v>3</v>
      </c>
      <c r="D2848" s="8" t="n">
        <v>45965</v>
      </c>
      <c r="E2848" s="9" t="n">
        <v>44164.25</v>
      </c>
      <c r="F2848" s="8" t="n">
        <v>46084</v>
      </c>
      <c r="G2848" s="9" t="n">
        <v>44164.25</v>
      </c>
      <c r="H2848" t="inlineStr">
        <is>
          <t>PAID_LATE</t>
        </is>
      </c>
      <c r="I2848">
        <f>IF(H2848="UNPAID", AsOfDate-D2848, 0)</f>
        <v/>
      </c>
      <c r="J2848">
        <f>IF(F2848&lt;&gt;"", TEXT(F2848, "yyyy-mm"), "")</f>
        <v/>
      </c>
    </row>
    <row r="2849">
      <c r="A2849" t="inlineStr">
        <is>
          <t>RP0002848</t>
        </is>
      </c>
      <c r="B2849" t="inlineStr">
        <is>
          <t>LN200411</t>
        </is>
      </c>
      <c r="C2849" t="n">
        <v>1</v>
      </c>
      <c r="D2849" s="8" t="n">
        <v>45726</v>
      </c>
      <c r="E2849" s="9" t="n">
        <v>36486.31</v>
      </c>
      <c r="F2849" s="8" t="n">
        <v>45725</v>
      </c>
      <c r="G2849" s="9" t="n">
        <v>36486.31</v>
      </c>
      <c r="H2849" t="inlineStr">
        <is>
          <t>PAID_ON_TIME</t>
        </is>
      </c>
      <c r="I2849">
        <f>IF(H2849="UNPAID", AsOfDate-D2849, 0)</f>
        <v/>
      </c>
      <c r="J2849">
        <f>IF(F2849&lt;&gt;"", TEXT(F2849, "yyyy-mm"), "")</f>
        <v/>
      </c>
    </row>
    <row r="2850">
      <c r="A2850" t="inlineStr">
        <is>
          <t>RP0002849</t>
        </is>
      </c>
      <c r="B2850" t="inlineStr">
        <is>
          <t>LN200411</t>
        </is>
      </c>
      <c r="C2850" t="n">
        <v>2</v>
      </c>
      <c r="D2850" s="8" t="n">
        <v>45757</v>
      </c>
      <c r="E2850" s="9" t="n">
        <v>36486.31</v>
      </c>
      <c r="F2850" s="8" t="n">
        <v>45755</v>
      </c>
      <c r="G2850" s="9" t="n">
        <v>36486.31</v>
      </c>
      <c r="H2850" t="inlineStr">
        <is>
          <t>PAID_ON_TIME</t>
        </is>
      </c>
      <c r="I2850">
        <f>IF(H2850="UNPAID", AsOfDate-D2850, 0)</f>
        <v/>
      </c>
      <c r="J2850">
        <f>IF(F2850&lt;&gt;"", TEXT(F2850, "yyyy-mm"), "")</f>
        <v/>
      </c>
    </row>
    <row r="2851">
      <c r="A2851" t="inlineStr">
        <is>
          <t>RP0002850</t>
        </is>
      </c>
      <c r="B2851" t="inlineStr">
        <is>
          <t>LN200411</t>
        </is>
      </c>
      <c r="C2851" t="n">
        <v>3</v>
      </c>
      <c r="D2851" s="8" t="n">
        <v>45787</v>
      </c>
      <c r="E2851" s="9" t="n">
        <v>36486.31</v>
      </c>
      <c r="F2851" s="8" t="n">
        <v>45790</v>
      </c>
      <c r="G2851" s="9" t="n">
        <v>36486.31</v>
      </c>
      <c r="H2851" t="inlineStr">
        <is>
          <t>PAID_ON_TIME</t>
        </is>
      </c>
      <c r="I2851">
        <f>IF(H2851="UNPAID", AsOfDate-D2851, 0)</f>
        <v/>
      </c>
      <c r="J2851">
        <f>IF(F2851&lt;&gt;"", TEXT(F2851, "yyyy-mm"), "")</f>
        <v/>
      </c>
    </row>
    <row r="2852">
      <c r="A2852" t="inlineStr">
        <is>
          <t>RP0002851</t>
        </is>
      </c>
      <c r="B2852" t="inlineStr">
        <is>
          <t>LN200411</t>
        </is>
      </c>
      <c r="C2852" t="n">
        <v>4</v>
      </c>
      <c r="D2852" s="8" t="n">
        <v>45818</v>
      </c>
      <c r="E2852" s="9" t="n">
        <v>36486.31</v>
      </c>
      <c r="F2852" s="8" t="n">
        <v>45877</v>
      </c>
      <c r="G2852" s="9" t="n">
        <v>36486.31</v>
      </c>
      <c r="H2852" t="inlineStr">
        <is>
          <t>PAID_LATE</t>
        </is>
      </c>
      <c r="I2852">
        <f>IF(H2852="UNPAID", AsOfDate-D2852, 0)</f>
        <v/>
      </c>
      <c r="J2852">
        <f>IF(F2852&lt;&gt;"", TEXT(F2852, "yyyy-mm"), "")</f>
        <v/>
      </c>
    </row>
    <row r="2853">
      <c r="A2853" t="inlineStr">
        <is>
          <t>RP0002852</t>
        </is>
      </c>
      <c r="B2853" t="inlineStr">
        <is>
          <t>LN200411</t>
        </is>
      </c>
      <c r="C2853" t="n">
        <v>5</v>
      </c>
      <c r="D2853" s="8" t="n">
        <v>45848</v>
      </c>
      <c r="E2853" s="9" t="n">
        <v>36486.31</v>
      </c>
      <c r="F2853" s="8" t="n">
        <v>45870</v>
      </c>
      <c r="G2853" s="9" t="n">
        <v>36486.31</v>
      </c>
      <c r="H2853" t="inlineStr">
        <is>
          <t>PAID_LATE</t>
        </is>
      </c>
      <c r="I2853">
        <f>IF(H2853="UNPAID", AsOfDate-D2853, 0)</f>
        <v/>
      </c>
      <c r="J2853">
        <f>IF(F2853&lt;&gt;"", TEXT(F2853, "yyyy-mm"), "")</f>
        <v/>
      </c>
    </row>
    <row r="2854">
      <c r="A2854" t="inlineStr">
        <is>
          <t>RP0002853</t>
        </is>
      </c>
      <c r="B2854" t="inlineStr">
        <is>
          <t>LN200411</t>
        </is>
      </c>
      <c r="C2854" t="n">
        <v>6</v>
      </c>
      <c r="D2854" s="8" t="n">
        <v>45879</v>
      </c>
      <c r="E2854" s="9" t="n">
        <v>36486.31</v>
      </c>
      <c r="F2854" s="8" t="n">
        <v>45876</v>
      </c>
      <c r="G2854" s="9" t="n">
        <v>36486.31</v>
      </c>
      <c r="H2854" t="inlineStr">
        <is>
          <t>PAID_ON_TIME</t>
        </is>
      </c>
      <c r="I2854">
        <f>IF(H2854="UNPAID", AsOfDate-D2854, 0)</f>
        <v/>
      </c>
      <c r="J2854">
        <f>IF(F2854&lt;&gt;"", TEXT(F2854, "yyyy-mm"), "")</f>
        <v/>
      </c>
    </row>
    <row r="2855">
      <c r="A2855" t="inlineStr">
        <is>
          <t>RP0002854</t>
        </is>
      </c>
      <c r="B2855" t="inlineStr">
        <is>
          <t>LN200411</t>
        </is>
      </c>
      <c r="C2855" t="n">
        <v>7</v>
      </c>
      <c r="D2855" s="8" t="n">
        <v>45910</v>
      </c>
      <c r="E2855" s="9" t="n">
        <v>36486.31</v>
      </c>
      <c r="F2855" s="8" t="n">
        <v>45908</v>
      </c>
      <c r="G2855" s="9" t="n">
        <v>36486.31</v>
      </c>
      <c r="H2855" t="inlineStr">
        <is>
          <t>PAID_ON_TIME</t>
        </is>
      </c>
      <c r="I2855">
        <f>IF(H2855="UNPAID", AsOfDate-D2855, 0)</f>
        <v/>
      </c>
      <c r="J2855">
        <f>IF(F2855&lt;&gt;"", TEXT(F2855, "yyyy-mm"), "")</f>
        <v/>
      </c>
    </row>
    <row r="2856">
      <c r="A2856" t="inlineStr">
        <is>
          <t>RP0002855</t>
        </is>
      </c>
      <c r="B2856" t="inlineStr">
        <is>
          <t>LN200411</t>
        </is>
      </c>
      <c r="C2856" t="n">
        <v>8</v>
      </c>
      <c r="D2856" s="8" t="n">
        <v>45940</v>
      </c>
      <c r="E2856" s="9" t="n">
        <v>36486.31</v>
      </c>
      <c r="F2856" s="8" t="n">
        <v>45937</v>
      </c>
      <c r="G2856" s="9" t="n">
        <v>36486.31</v>
      </c>
      <c r="H2856" t="inlineStr">
        <is>
          <t>PAID_ON_TIME</t>
        </is>
      </c>
      <c r="I2856">
        <f>IF(H2856="UNPAID", AsOfDate-D2856, 0)</f>
        <v/>
      </c>
      <c r="J2856">
        <f>IF(F2856&lt;&gt;"", TEXT(F2856, "yyyy-mm"), "")</f>
        <v/>
      </c>
    </row>
    <row r="2857">
      <c r="A2857" t="inlineStr">
        <is>
          <t>RP0002856</t>
        </is>
      </c>
      <c r="B2857" t="inlineStr">
        <is>
          <t>LN200411</t>
        </is>
      </c>
      <c r="C2857" t="n">
        <v>9</v>
      </c>
      <c r="D2857" s="8" t="n">
        <v>45971</v>
      </c>
      <c r="E2857" s="9" t="n">
        <v>36486.31</v>
      </c>
      <c r="F2857" s="8" t="n">
        <v>45975</v>
      </c>
      <c r="G2857" s="9" t="n">
        <v>36486.31</v>
      </c>
      <c r="H2857" t="inlineStr">
        <is>
          <t>PAID_ON_TIME</t>
        </is>
      </c>
      <c r="I2857">
        <f>IF(H2857="UNPAID", AsOfDate-D2857, 0)</f>
        <v/>
      </c>
      <c r="J2857">
        <f>IF(F2857&lt;&gt;"", TEXT(F2857, "yyyy-mm"), "")</f>
        <v/>
      </c>
    </row>
    <row r="2858">
      <c r="A2858" t="inlineStr">
        <is>
          <t>RP0002857</t>
        </is>
      </c>
      <c r="B2858" t="inlineStr">
        <is>
          <t>LN200412</t>
        </is>
      </c>
      <c r="C2858" t="n">
        <v>1</v>
      </c>
      <c r="D2858" s="8" t="n">
        <v>46141</v>
      </c>
      <c r="E2858" s="9" t="n">
        <v>5255.83</v>
      </c>
      <c r="F2858" s="8" t="n">
        <v>46138</v>
      </c>
      <c r="G2858" s="9" t="n">
        <v>5255.83</v>
      </c>
      <c r="H2858" t="inlineStr">
        <is>
          <t>PAID_ON_TIME</t>
        </is>
      </c>
      <c r="I2858">
        <f>IF(H2858="UNPAID", AsOfDate-D2858, 0)</f>
        <v/>
      </c>
      <c r="J2858">
        <f>IF(F2858&lt;&gt;"", TEXT(F2858, "yyyy-mm"), "")</f>
        <v/>
      </c>
    </row>
    <row r="2859">
      <c r="A2859" t="inlineStr">
        <is>
          <t>RP0002858</t>
        </is>
      </c>
      <c r="B2859" t="inlineStr">
        <is>
          <t>LN200412</t>
        </is>
      </c>
      <c r="C2859" t="n">
        <v>2</v>
      </c>
      <c r="D2859" s="8" t="n">
        <v>46171</v>
      </c>
      <c r="E2859" s="9" t="n">
        <v>5255.83</v>
      </c>
      <c r="F2859" s="8" t="n">
        <v>46169</v>
      </c>
      <c r="G2859" s="9" t="n">
        <v>5255.83</v>
      </c>
      <c r="H2859" t="inlineStr">
        <is>
          <t>PAID_ON_TIME</t>
        </is>
      </c>
      <c r="I2859">
        <f>IF(H2859="UNPAID", AsOfDate-D2859, 0)</f>
        <v/>
      </c>
      <c r="J2859">
        <f>IF(F2859&lt;&gt;"", TEXT(F2859, "yyyy-mm"), "")</f>
        <v/>
      </c>
    </row>
    <row r="2860">
      <c r="A2860" t="inlineStr">
        <is>
          <t>RP0002859</t>
        </is>
      </c>
      <c r="B2860" t="inlineStr">
        <is>
          <t>LN200412</t>
        </is>
      </c>
      <c r="C2860" t="n">
        <v>3</v>
      </c>
      <c r="D2860" s="8" t="n">
        <v>46202</v>
      </c>
      <c r="E2860" s="9" t="n">
        <v>5255.83</v>
      </c>
      <c r="F2860" s="8" t="n">
        <v>46205</v>
      </c>
      <c r="G2860" s="9" t="n">
        <v>5255.83</v>
      </c>
      <c r="H2860" t="inlineStr">
        <is>
          <t>PAID_ON_TIME</t>
        </is>
      </c>
      <c r="I2860">
        <f>IF(H2860="UNPAID", AsOfDate-D2860, 0)</f>
        <v/>
      </c>
      <c r="J2860">
        <f>IF(F2860&lt;&gt;"", TEXT(F2860, "yyyy-mm"), "")</f>
        <v/>
      </c>
    </row>
    <row r="2861">
      <c r="A2861" t="inlineStr">
        <is>
          <t>RP0002860</t>
        </is>
      </c>
      <c r="B2861" t="inlineStr">
        <is>
          <t>LN200412</t>
        </is>
      </c>
      <c r="C2861" t="n">
        <v>4</v>
      </c>
      <c r="D2861" s="8" t="n">
        <v>46232</v>
      </c>
      <c r="E2861" s="9" t="n">
        <v>5255.83</v>
      </c>
      <c r="F2861" s="8" t="n">
        <v>46236</v>
      </c>
      <c r="G2861" s="9" t="n">
        <v>5255.83</v>
      </c>
      <c r="H2861" t="inlineStr">
        <is>
          <t>PAID_ON_TIME</t>
        </is>
      </c>
      <c r="I2861">
        <f>IF(H2861="UNPAID", AsOfDate-D2861, 0)</f>
        <v/>
      </c>
      <c r="J2861">
        <f>IF(F2861&lt;&gt;"", TEXT(F2861, "yyyy-mm"), "")</f>
        <v/>
      </c>
    </row>
    <row r="2862">
      <c r="A2862" t="inlineStr">
        <is>
          <t>RP0002861</t>
        </is>
      </c>
      <c r="B2862" t="inlineStr">
        <is>
          <t>LN200412</t>
        </is>
      </c>
      <c r="C2862" t="n">
        <v>5</v>
      </c>
      <c r="D2862" s="8" t="n">
        <v>46263</v>
      </c>
      <c r="E2862" s="9" t="n">
        <v>5255.83</v>
      </c>
      <c r="F2862" s="8" t="n">
        <v>46264</v>
      </c>
      <c r="G2862" s="9" t="n">
        <v>5255.83</v>
      </c>
      <c r="H2862" t="inlineStr">
        <is>
          <t>PAID_ON_TIME</t>
        </is>
      </c>
      <c r="I2862">
        <f>IF(H2862="UNPAID", AsOfDate-D2862, 0)</f>
        <v/>
      </c>
      <c r="J2862">
        <f>IF(F2862&lt;&gt;"", TEXT(F2862, "yyyy-mm"), "")</f>
        <v/>
      </c>
    </row>
    <row r="2863">
      <c r="A2863" t="inlineStr">
        <is>
          <t>RP0002862</t>
        </is>
      </c>
      <c r="B2863" t="inlineStr">
        <is>
          <t>LN200412</t>
        </is>
      </c>
      <c r="C2863" t="n">
        <v>6</v>
      </c>
      <c r="D2863" s="8" t="n">
        <v>46294</v>
      </c>
      <c r="E2863" s="9" t="n">
        <v>5255.83</v>
      </c>
      <c r="F2863" s="8" t="n"/>
      <c r="G2863" s="9" t="n">
        <v>0</v>
      </c>
      <c r="H2863" t="inlineStr">
        <is>
          <t>NOT_DUE</t>
        </is>
      </c>
      <c r="I2863">
        <f>IF(H2863="UNPAID", AsOfDate-D2863, 0)</f>
        <v/>
      </c>
      <c r="J2863">
        <f>IF(F2863&lt;&gt;"", TEXT(F2863, "yyyy-mm"), "")</f>
        <v/>
      </c>
    </row>
    <row r="2864">
      <c r="A2864" t="inlineStr">
        <is>
          <t>RP0002863</t>
        </is>
      </c>
      <c r="B2864" t="inlineStr">
        <is>
          <t>LN200412</t>
        </is>
      </c>
      <c r="C2864" t="n">
        <v>7</v>
      </c>
      <c r="D2864" s="8" t="n">
        <v>46324</v>
      </c>
      <c r="E2864" s="9" t="n">
        <v>5255.83</v>
      </c>
      <c r="F2864" s="8" t="n"/>
      <c r="G2864" s="9" t="n">
        <v>0</v>
      </c>
      <c r="H2864" t="inlineStr">
        <is>
          <t>NOT_DUE</t>
        </is>
      </c>
      <c r="I2864">
        <f>IF(H2864="UNPAID", AsOfDate-D2864, 0)</f>
        <v/>
      </c>
      <c r="J2864">
        <f>IF(F2864&lt;&gt;"", TEXT(F2864, "yyyy-mm"), "")</f>
        <v/>
      </c>
    </row>
    <row r="2865">
      <c r="A2865" t="inlineStr">
        <is>
          <t>RP0002864</t>
        </is>
      </c>
      <c r="B2865" t="inlineStr">
        <is>
          <t>LN200412</t>
        </is>
      </c>
      <c r="C2865" t="n">
        <v>8</v>
      </c>
      <c r="D2865" s="8" t="n">
        <v>46355</v>
      </c>
      <c r="E2865" s="9" t="n">
        <v>5255.83</v>
      </c>
      <c r="F2865" s="8" t="n"/>
      <c r="G2865" s="9" t="n">
        <v>0</v>
      </c>
      <c r="H2865" t="inlineStr">
        <is>
          <t>NOT_DUE</t>
        </is>
      </c>
      <c r="I2865">
        <f>IF(H2865="UNPAID", AsOfDate-D2865, 0)</f>
        <v/>
      </c>
      <c r="J2865">
        <f>IF(F2865&lt;&gt;"", TEXT(F2865, "yyyy-mm"), "")</f>
        <v/>
      </c>
    </row>
    <row r="2866">
      <c r="A2866" t="inlineStr">
        <is>
          <t>RP0002865</t>
        </is>
      </c>
      <c r="B2866" t="inlineStr">
        <is>
          <t>LN200412</t>
        </is>
      </c>
      <c r="C2866" t="n">
        <v>9</v>
      </c>
      <c r="D2866" s="8" t="n">
        <v>46385</v>
      </c>
      <c r="E2866" s="9" t="n">
        <v>5255.83</v>
      </c>
      <c r="F2866" s="8" t="n"/>
      <c r="G2866" s="9" t="n">
        <v>0</v>
      </c>
      <c r="H2866" t="inlineStr">
        <is>
          <t>NOT_DUE</t>
        </is>
      </c>
      <c r="I2866">
        <f>IF(H2866="UNPAID", AsOfDate-D2866, 0)</f>
        <v/>
      </c>
      <c r="J2866">
        <f>IF(F2866&lt;&gt;"", TEXT(F2866, "yyyy-mm"), "")</f>
        <v/>
      </c>
    </row>
    <row r="2867">
      <c r="A2867" t="inlineStr">
        <is>
          <t>RP0002866</t>
        </is>
      </c>
      <c r="B2867" t="inlineStr">
        <is>
          <t>LN200412</t>
        </is>
      </c>
      <c r="C2867" t="n">
        <v>10</v>
      </c>
      <c r="D2867" s="8" t="n">
        <v>46416</v>
      </c>
      <c r="E2867" s="9" t="n">
        <v>5255.83</v>
      </c>
      <c r="F2867" s="8" t="n"/>
      <c r="G2867" s="9" t="n">
        <v>0</v>
      </c>
      <c r="H2867" t="inlineStr">
        <is>
          <t>NOT_DUE</t>
        </is>
      </c>
      <c r="I2867">
        <f>IF(H2867="UNPAID", AsOfDate-D2867, 0)</f>
        <v/>
      </c>
      <c r="J2867">
        <f>IF(F2867&lt;&gt;"", TEXT(F2867, "yyyy-mm"), "")</f>
        <v/>
      </c>
    </row>
    <row r="2868">
      <c r="A2868" t="inlineStr">
        <is>
          <t>RP0002867</t>
        </is>
      </c>
      <c r="B2868" t="inlineStr">
        <is>
          <t>LN200412</t>
        </is>
      </c>
      <c r="C2868" t="n">
        <v>11</v>
      </c>
      <c r="D2868" s="8" t="n">
        <v>46446</v>
      </c>
      <c r="E2868" s="9" t="n">
        <v>5255.83</v>
      </c>
      <c r="F2868" s="8" t="n"/>
      <c r="G2868" s="9" t="n">
        <v>0</v>
      </c>
      <c r="H2868" t="inlineStr">
        <is>
          <t>NOT_DUE</t>
        </is>
      </c>
      <c r="I2868">
        <f>IF(H2868="UNPAID", AsOfDate-D2868, 0)</f>
        <v/>
      </c>
      <c r="J2868">
        <f>IF(F2868&lt;&gt;"", TEXT(F2868, "yyyy-mm"), "")</f>
        <v/>
      </c>
    </row>
    <row r="2869">
      <c r="A2869" t="inlineStr">
        <is>
          <t>RP0002868</t>
        </is>
      </c>
      <c r="B2869" t="inlineStr">
        <is>
          <t>LN200412</t>
        </is>
      </c>
      <c r="C2869" t="n">
        <v>12</v>
      </c>
      <c r="D2869" s="8" t="n">
        <v>46475</v>
      </c>
      <c r="E2869" s="9" t="n">
        <v>5255.83</v>
      </c>
      <c r="F2869" s="8" t="n"/>
      <c r="G2869" s="9" t="n">
        <v>0</v>
      </c>
      <c r="H2869" t="inlineStr">
        <is>
          <t>NOT_DUE</t>
        </is>
      </c>
      <c r="I2869">
        <f>IF(H2869="UNPAID", AsOfDate-D2869, 0)</f>
        <v/>
      </c>
      <c r="J2869">
        <f>IF(F2869&lt;&gt;"", TEXT(F2869, "yyyy-mm"), "")</f>
        <v/>
      </c>
    </row>
    <row r="2870">
      <c r="A2870" t="inlineStr">
        <is>
          <t>RP0002869</t>
        </is>
      </c>
      <c r="B2870" t="inlineStr">
        <is>
          <t>LN200413</t>
        </is>
      </c>
      <c r="C2870" t="n">
        <v>1</v>
      </c>
      <c r="D2870" s="8" t="n">
        <v>45691</v>
      </c>
      <c r="E2870" s="9" t="n">
        <v>12280</v>
      </c>
      <c r="F2870" s="8" t="n"/>
      <c r="G2870" s="9" t="n">
        <v>0</v>
      </c>
      <c r="H2870" t="inlineStr">
        <is>
          <t>UNPAID</t>
        </is>
      </c>
      <c r="I2870">
        <f>IF(H2870="UNPAID", AsOfDate-D2870, 0)</f>
        <v/>
      </c>
      <c r="J2870">
        <f>IF(F2870&lt;&gt;"", TEXT(F2870, "yyyy-mm"), "")</f>
        <v/>
      </c>
    </row>
    <row r="2871">
      <c r="A2871" t="inlineStr">
        <is>
          <t>RP0002870</t>
        </is>
      </c>
      <c r="B2871" t="inlineStr">
        <is>
          <t>LN200413</t>
        </is>
      </c>
      <c r="C2871" t="n">
        <v>2</v>
      </c>
      <c r="D2871" s="8" t="n">
        <v>45719</v>
      </c>
      <c r="E2871" s="9" t="n">
        <v>12280</v>
      </c>
      <c r="F2871" s="8" t="n">
        <v>45721</v>
      </c>
      <c r="G2871" s="9" t="n">
        <v>12280</v>
      </c>
      <c r="H2871" t="inlineStr">
        <is>
          <t>PAID_ON_TIME</t>
        </is>
      </c>
      <c r="I2871">
        <f>IF(H2871="UNPAID", AsOfDate-D2871, 0)</f>
        <v/>
      </c>
      <c r="J2871">
        <f>IF(F2871&lt;&gt;"", TEXT(F2871, "yyyy-mm"), "")</f>
        <v/>
      </c>
    </row>
    <row r="2872">
      <c r="A2872" t="inlineStr">
        <is>
          <t>RP0002871</t>
        </is>
      </c>
      <c r="B2872" t="inlineStr">
        <is>
          <t>LN200413</t>
        </is>
      </c>
      <c r="C2872" t="n">
        <v>3</v>
      </c>
      <c r="D2872" s="8" t="n">
        <v>45750</v>
      </c>
      <c r="E2872" s="9" t="n">
        <v>12280</v>
      </c>
      <c r="F2872" s="8" t="n">
        <v>45854</v>
      </c>
      <c r="G2872" s="9" t="n">
        <v>12280</v>
      </c>
      <c r="H2872" t="inlineStr">
        <is>
          <t>PAID_LATE</t>
        </is>
      </c>
      <c r="I2872">
        <f>IF(H2872="UNPAID", AsOfDate-D2872, 0)</f>
        <v/>
      </c>
      <c r="J2872">
        <f>IF(F2872&lt;&gt;"", TEXT(F2872, "yyyy-mm"), "")</f>
        <v/>
      </c>
    </row>
    <row r="2873">
      <c r="A2873" t="inlineStr">
        <is>
          <t>RP0002872</t>
        </is>
      </c>
      <c r="B2873" t="inlineStr">
        <is>
          <t>LN200413</t>
        </is>
      </c>
      <c r="C2873" t="n">
        <v>4</v>
      </c>
      <c r="D2873" s="8" t="n">
        <v>45780</v>
      </c>
      <c r="E2873" s="9" t="n">
        <v>12280</v>
      </c>
      <c r="F2873" s="8" t="n">
        <v>45778</v>
      </c>
      <c r="G2873" s="9" t="n">
        <v>12280</v>
      </c>
      <c r="H2873" t="inlineStr">
        <is>
          <t>PAID_ON_TIME</t>
        </is>
      </c>
      <c r="I2873">
        <f>IF(H2873="UNPAID", AsOfDate-D2873, 0)</f>
        <v/>
      </c>
      <c r="J2873">
        <f>IF(F2873&lt;&gt;"", TEXT(F2873, "yyyy-mm"), "")</f>
        <v/>
      </c>
    </row>
    <row r="2874">
      <c r="A2874" t="inlineStr">
        <is>
          <t>RP0002873</t>
        </is>
      </c>
      <c r="B2874" t="inlineStr">
        <is>
          <t>LN200413</t>
        </is>
      </c>
      <c r="C2874" t="n">
        <v>5</v>
      </c>
      <c r="D2874" s="8" t="n">
        <v>45811</v>
      </c>
      <c r="E2874" s="9" t="n">
        <v>12280</v>
      </c>
      <c r="F2874" s="8" t="n"/>
      <c r="G2874" s="9" t="n">
        <v>0</v>
      </c>
      <c r="H2874" t="inlineStr">
        <is>
          <t>UNPAID</t>
        </is>
      </c>
      <c r="I2874">
        <f>IF(H2874="UNPAID", AsOfDate-D2874, 0)</f>
        <v/>
      </c>
      <c r="J2874">
        <f>IF(F2874&lt;&gt;"", TEXT(F2874, "yyyy-mm"), "")</f>
        <v/>
      </c>
    </row>
    <row r="2875">
      <c r="A2875" t="inlineStr">
        <is>
          <t>RP0002874</t>
        </is>
      </c>
      <c r="B2875" t="inlineStr">
        <is>
          <t>LN200413</t>
        </is>
      </c>
      <c r="C2875" t="n">
        <v>6</v>
      </c>
      <c r="D2875" s="8" t="n">
        <v>45841</v>
      </c>
      <c r="E2875" s="9" t="n">
        <v>12280</v>
      </c>
      <c r="F2875" s="8" t="n">
        <v>45844</v>
      </c>
      <c r="G2875" s="9" t="n">
        <v>12280</v>
      </c>
      <c r="H2875" t="inlineStr">
        <is>
          <t>PAID_ON_TIME</t>
        </is>
      </c>
      <c r="I2875">
        <f>IF(H2875="UNPAID", AsOfDate-D2875, 0)</f>
        <v/>
      </c>
      <c r="J2875">
        <f>IF(F2875&lt;&gt;"", TEXT(F2875, "yyyy-mm"), "")</f>
        <v/>
      </c>
    </row>
    <row r="2876">
      <c r="A2876" t="inlineStr">
        <is>
          <t>RP0002875</t>
        </is>
      </c>
      <c r="B2876" t="inlineStr">
        <is>
          <t>LN200413</t>
        </is>
      </c>
      <c r="C2876" t="n">
        <v>7</v>
      </c>
      <c r="D2876" s="8" t="n">
        <v>45872</v>
      </c>
      <c r="E2876" s="9" t="n">
        <v>12280</v>
      </c>
      <c r="F2876" s="8" t="n">
        <v>45869</v>
      </c>
      <c r="G2876" s="9" t="n">
        <v>12280</v>
      </c>
      <c r="H2876" t="inlineStr">
        <is>
          <t>PAID_ON_TIME</t>
        </is>
      </c>
      <c r="I2876">
        <f>IF(H2876="UNPAID", AsOfDate-D2876, 0)</f>
        <v/>
      </c>
      <c r="J2876">
        <f>IF(F2876&lt;&gt;"", TEXT(F2876, "yyyy-mm"), "")</f>
        <v/>
      </c>
    </row>
    <row r="2877">
      <c r="A2877" t="inlineStr">
        <is>
          <t>RP0002876</t>
        </is>
      </c>
      <c r="B2877" t="inlineStr">
        <is>
          <t>LN200413</t>
        </is>
      </c>
      <c r="C2877" t="n">
        <v>8</v>
      </c>
      <c r="D2877" s="8" t="n">
        <v>45903</v>
      </c>
      <c r="E2877" s="9" t="n">
        <v>12280</v>
      </c>
      <c r="F2877" s="8" t="n">
        <v>45902</v>
      </c>
      <c r="G2877" s="9" t="n">
        <v>12280</v>
      </c>
      <c r="H2877" t="inlineStr">
        <is>
          <t>PAID_ON_TIME</t>
        </is>
      </c>
      <c r="I2877">
        <f>IF(H2877="UNPAID", AsOfDate-D2877, 0)</f>
        <v/>
      </c>
      <c r="J2877">
        <f>IF(F2877&lt;&gt;"", TEXT(F2877, "yyyy-mm"), "")</f>
        <v/>
      </c>
    </row>
    <row r="2878">
      <c r="A2878" t="inlineStr">
        <is>
          <t>RP0002877</t>
        </is>
      </c>
      <c r="B2878" t="inlineStr">
        <is>
          <t>LN200413</t>
        </is>
      </c>
      <c r="C2878" t="n">
        <v>9</v>
      </c>
      <c r="D2878" s="8" t="n">
        <v>45933</v>
      </c>
      <c r="E2878" s="9" t="n">
        <v>12280</v>
      </c>
      <c r="F2878" s="8" t="n">
        <v>45936</v>
      </c>
      <c r="G2878" s="9" t="n">
        <v>12280</v>
      </c>
      <c r="H2878" t="inlineStr">
        <is>
          <t>PAID_ON_TIME</t>
        </is>
      </c>
      <c r="I2878">
        <f>IF(H2878="UNPAID", AsOfDate-D2878, 0)</f>
        <v/>
      </c>
      <c r="J2878">
        <f>IF(F2878&lt;&gt;"", TEXT(F2878, "yyyy-mm"), "")</f>
        <v/>
      </c>
    </row>
    <row r="2879">
      <c r="A2879" t="inlineStr">
        <is>
          <t>RP0002878</t>
        </is>
      </c>
      <c r="B2879" t="inlineStr">
        <is>
          <t>LN200413</t>
        </is>
      </c>
      <c r="C2879" t="n">
        <v>10</v>
      </c>
      <c r="D2879" s="8" t="n">
        <v>45964</v>
      </c>
      <c r="E2879" s="9" t="n">
        <v>12280</v>
      </c>
      <c r="F2879" s="8" t="n">
        <v>45964</v>
      </c>
      <c r="G2879" s="9" t="n">
        <v>12280</v>
      </c>
      <c r="H2879" t="inlineStr">
        <is>
          <t>PAID_ON_TIME</t>
        </is>
      </c>
      <c r="I2879">
        <f>IF(H2879="UNPAID", AsOfDate-D2879, 0)</f>
        <v/>
      </c>
      <c r="J2879">
        <f>IF(F2879&lt;&gt;"", TEXT(F2879, "yyyy-mm"), "")</f>
        <v/>
      </c>
    </row>
    <row r="2880">
      <c r="A2880" t="inlineStr">
        <is>
          <t>RP0002879</t>
        </is>
      </c>
      <c r="B2880" t="inlineStr">
        <is>
          <t>LN200413</t>
        </is>
      </c>
      <c r="C2880" t="n">
        <v>11</v>
      </c>
      <c r="D2880" s="8" t="n">
        <v>45994</v>
      </c>
      <c r="E2880" s="9" t="n">
        <v>12280</v>
      </c>
      <c r="F2880" s="8" t="n">
        <v>46040</v>
      </c>
      <c r="G2880" s="9" t="n">
        <v>12280</v>
      </c>
      <c r="H2880" t="inlineStr">
        <is>
          <t>PAID_LATE</t>
        </is>
      </c>
      <c r="I2880">
        <f>IF(H2880="UNPAID", AsOfDate-D2880, 0)</f>
        <v/>
      </c>
      <c r="J2880">
        <f>IF(F2880&lt;&gt;"", TEXT(F2880, "yyyy-mm"), "")</f>
        <v/>
      </c>
    </row>
    <row r="2881">
      <c r="A2881" t="inlineStr">
        <is>
          <t>RP0002880</t>
        </is>
      </c>
      <c r="B2881" t="inlineStr">
        <is>
          <t>LN200413</t>
        </is>
      </c>
      <c r="C2881" t="n">
        <v>12</v>
      </c>
      <c r="D2881" s="8" t="n">
        <v>46025</v>
      </c>
      <c r="E2881" s="9" t="n">
        <v>12280</v>
      </c>
      <c r="F2881" s="8" t="n">
        <v>46026</v>
      </c>
      <c r="G2881" s="9" t="n">
        <v>12280</v>
      </c>
      <c r="H2881" t="inlineStr">
        <is>
          <t>PAID_ON_TIME</t>
        </is>
      </c>
      <c r="I2881">
        <f>IF(H2881="UNPAID", AsOfDate-D2881, 0)</f>
        <v/>
      </c>
      <c r="J2881">
        <f>IF(F2881&lt;&gt;"", TEXT(F2881, "yyyy-mm"), "")</f>
        <v/>
      </c>
    </row>
    <row r="2882">
      <c r="A2882" t="inlineStr">
        <is>
          <t>RP0002881</t>
        </is>
      </c>
      <c r="B2882" t="inlineStr">
        <is>
          <t>LN200414</t>
        </is>
      </c>
      <c r="C2882" t="n">
        <v>1</v>
      </c>
      <c r="D2882" s="8" t="n">
        <v>45715</v>
      </c>
      <c r="E2882" s="9" t="n">
        <v>7329</v>
      </c>
      <c r="F2882" s="8" t="n">
        <v>45715</v>
      </c>
      <c r="G2882" s="9" t="n">
        <v>7329</v>
      </c>
      <c r="H2882" t="inlineStr">
        <is>
          <t>PAID_ON_TIME</t>
        </is>
      </c>
      <c r="I2882">
        <f>IF(H2882="UNPAID", AsOfDate-D2882, 0)</f>
        <v/>
      </c>
      <c r="J2882">
        <f>IF(F2882&lt;&gt;"", TEXT(F2882, "yyyy-mm"), "")</f>
        <v/>
      </c>
    </row>
    <row r="2883">
      <c r="A2883" t="inlineStr">
        <is>
          <t>RP0002882</t>
        </is>
      </c>
      <c r="B2883" t="inlineStr">
        <is>
          <t>LN200414</t>
        </is>
      </c>
      <c r="C2883" t="n">
        <v>2</v>
      </c>
      <c r="D2883" s="8" t="n">
        <v>45743</v>
      </c>
      <c r="E2883" s="9" t="n">
        <v>7329</v>
      </c>
      <c r="F2883" s="8" t="n">
        <v>45745</v>
      </c>
      <c r="G2883" s="9" t="n">
        <v>7329</v>
      </c>
      <c r="H2883" t="inlineStr">
        <is>
          <t>PAID_ON_TIME</t>
        </is>
      </c>
      <c r="I2883">
        <f>IF(H2883="UNPAID", AsOfDate-D2883, 0)</f>
        <v/>
      </c>
      <c r="J2883">
        <f>IF(F2883&lt;&gt;"", TEXT(F2883, "yyyy-mm"), "")</f>
        <v/>
      </c>
    </row>
    <row r="2884">
      <c r="A2884" t="inlineStr">
        <is>
          <t>RP0002883</t>
        </is>
      </c>
      <c r="B2884" t="inlineStr">
        <is>
          <t>LN200414</t>
        </is>
      </c>
      <c r="C2884" t="n">
        <v>3</v>
      </c>
      <c r="D2884" s="8" t="n">
        <v>45774</v>
      </c>
      <c r="E2884" s="9" t="n">
        <v>7329</v>
      </c>
      <c r="F2884" s="8" t="n">
        <v>45771</v>
      </c>
      <c r="G2884" s="9" t="n">
        <v>7329</v>
      </c>
      <c r="H2884" t="inlineStr">
        <is>
          <t>PAID_ON_TIME</t>
        </is>
      </c>
      <c r="I2884">
        <f>IF(H2884="UNPAID", AsOfDate-D2884, 0)</f>
        <v/>
      </c>
      <c r="J2884">
        <f>IF(F2884&lt;&gt;"", TEXT(F2884, "yyyy-mm"), "")</f>
        <v/>
      </c>
    </row>
    <row r="2885">
      <c r="A2885" t="inlineStr">
        <is>
          <t>RP0002884</t>
        </is>
      </c>
      <c r="B2885" t="inlineStr">
        <is>
          <t>LN200415</t>
        </is>
      </c>
      <c r="C2885" t="n">
        <v>1</v>
      </c>
      <c r="D2885" s="8" t="n">
        <v>46121</v>
      </c>
      <c r="E2885" s="9" t="n">
        <v>5519.53</v>
      </c>
      <c r="F2885" s="8" t="n">
        <v>46120</v>
      </c>
      <c r="G2885" s="9" t="n">
        <v>5519.53</v>
      </c>
      <c r="H2885" t="inlineStr">
        <is>
          <t>PAID_ON_TIME</t>
        </is>
      </c>
      <c r="I2885">
        <f>IF(H2885="UNPAID", AsOfDate-D2885, 0)</f>
        <v/>
      </c>
      <c r="J2885">
        <f>IF(F2885&lt;&gt;"", TEXT(F2885, "yyyy-mm"), "")</f>
        <v/>
      </c>
    </row>
    <row r="2886">
      <c r="A2886" t="inlineStr">
        <is>
          <t>RP0002885</t>
        </is>
      </c>
      <c r="B2886" t="inlineStr">
        <is>
          <t>LN200415</t>
        </is>
      </c>
      <c r="C2886" t="n">
        <v>2</v>
      </c>
      <c r="D2886" s="8" t="n">
        <v>46151</v>
      </c>
      <c r="E2886" s="9" t="n">
        <v>5519.53</v>
      </c>
      <c r="F2886" s="8" t="n">
        <v>46149</v>
      </c>
      <c r="G2886" s="9" t="n">
        <v>5519.53</v>
      </c>
      <c r="H2886" t="inlineStr">
        <is>
          <t>PAID_ON_TIME</t>
        </is>
      </c>
      <c r="I2886">
        <f>IF(H2886="UNPAID", AsOfDate-D2886, 0)</f>
        <v/>
      </c>
      <c r="J2886">
        <f>IF(F2886&lt;&gt;"", TEXT(F2886, "yyyy-mm"), "")</f>
        <v/>
      </c>
    </row>
    <row r="2887">
      <c r="A2887" t="inlineStr">
        <is>
          <t>RP0002886</t>
        </is>
      </c>
      <c r="B2887" t="inlineStr">
        <is>
          <t>LN200415</t>
        </is>
      </c>
      <c r="C2887" t="n">
        <v>3</v>
      </c>
      <c r="D2887" s="8" t="n">
        <v>46182</v>
      </c>
      <c r="E2887" s="9" t="n">
        <v>5519.53</v>
      </c>
      <c r="F2887" s="8" t="n">
        <v>46179</v>
      </c>
      <c r="G2887" s="9" t="n">
        <v>5519.53</v>
      </c>
      <c r="H2887" t="inlineStr">
        <is>
          <t>PAID_ON_TIME</t>
        </is>
      </c>
      <c r="I2887">
        <f>IF(H2887="UNPAID", AsOfDate-D2887, 0)</f>
        <v/>
      </c>
      <c r="J2887">
        <f>IF(F2887&lt;&gt;"", TEXT(F2887, "yyyy-mm"), "")</f>
        <v/>
      </c>
    </row>
    <row r="2888">
      <c r="A2888" t="inlineStr">
        <is>
          <t>RP0002887</t>
        </is>
      </c>
      <c r="B2888" t="inlineStr">
        <is>
          <t>LN200415</t>
        </is>
      </c>
      <c r="C2888" t="n">
        <v>4</v>
      </c>
      <c r="D2888" s="8" t="n">
        <v>46212</v>
      </c>
      <c r="E2888" s="9" t="n">
        <v>5519.53</v>
      </c>
      <c r="F2888" s="8" t="n">
        <v>46211</v>
      </c>
      <c r="G2888" s="9" t="n">
        <v>5519.53</v>
      </c>
      <c r="H2888" t="inlineStr">
        <is>
          <t>PAID_ON_TIME</t>
        </is>
      </c>
      <c r="I2888">
        <f>IF(H2888="UNPAID", AsOfDate-D2888, 0)</f>
        <v/>
      </c>
      <c r="J2888">
        <f>IF(F2888&lt;&gt;"", TEXT(F2888, "yyyy-mm"), "")</f>
        <v/>
      </c>
    </row>
    <row r="2889">
      <c r="A2889" t="inlineStr">
        <is>
          <t>RP0002888</t>
        </is>
      </c>
      <c r="B2889" t="inlineStr">
        <is>
          <t>LN200415</t>
        </is>
      </c>
      <c r="C2889" t="n">
        <v>5</v>
      </c>
      <c r="D2889" s="8" t="n">
        <v>46243</v>
      </c>
      <c r="E2889" s="9" t="n">
        <v>5519.53</v>
      </c>
      <c r="F2889" s="8" t="n">
        <v>46241</v>
      </c>
      <c r="G2889" s="9" t="n">
        <v>5519.53</v>
      </c>
      <c r="H2889" t="inlineStr">
        <is>
          <t>PAID_ON_TIME</t>
        </is>
      </c>
      <c r="I2889">
        <f>IF(H2889="UNPAID", AsOfDate-D2889, 0)</f>
        <v/>
      </c>
      <c r="J2889">
        <f>IF(F2889&lt;&gt;"", TEXT(F2889, "yyyy-mm"), "")</f>
        <v/>
      </c>
    </row>
    <row r="2890">
      <c r="A2890" t="inlineStr">
        <is>
          <t>RP0002889</t>
        </is>
      </c>
      <c r="B2890" t="inlineStr">
        <is>
          <t>LN200415</t>
        </is>
      </c>
      <c r="C2890" t="n">
        <v>6</v>
      </c>
      <c r="D2890" s="8" t="n">
        <v>46274</v>
      </c>
      <c r="E2890" s="9" t="n">
        <v>5519.53</v>
      </c>
      <c r="F2890" s="8" t="n"/>
      <c r="G2890" s="9" t="n">
        <v>0</v>
      </c>
      <c r="H2890" t="inlineStr">
        <is>
          <t>NOT_DUE</t>
        </is>
      </c>
      <c r="I2890">
        <f>IF(H2890="UNPAID", AsOfDate-D2890, 0)</f>
        <v/>
      </c>
      <c r="J2890">
        <f>IF(F2890&lt;&gt;"", TEXT(F2890, "yyyy-mm"), "")</f>
        <v/>
      </c>
    </row>
    <row r="2891">
      <c r="A2891" t="inlineStr">
        <is>
          <t>RP0002890</t>
        </is>
      </c>
      <c r="B2891" t="inlineStr">
        <is>
          <t>LN200415</t>
        </is>
      </c>
      <c r="C2891" t="n">
        <v>7</v>
      </c>
      <c r="D2891" s="8" t="n">
        <v>46304</v>
      </c>
      <c r="E2891" s="9" t="n">
        <v>5519.53</v>
      </c>
      <c r="F2891" s="8" t="n"/>
      <c r="G2891" s="9" t="n">
        <v>0</v>
      </c>
      <c r="H2891" t="inlineStr">
        <is>
          <t>NOT_DUE</t>
        </is>
      </c>
      <c r="I2891">
        <f>IF(H2891="UNPAID", AsOfDate-D2891, 0)</f>
        <v/>
      </c>
      <c r="J2891">
        <f>IF(F2891&lt;&gt;"", TEXT(F2891, "yyyy-mm"), "")</f>
        <v/>
      </c>
    </row>
    <row r="2892">
      <c r="A2892" t="inlineStr">
        <is>
          <t>RP0002891</t>
        </is>
      </c>
      <c r="B2892" t="inlineStr">
        <is>
          <t>LN200415</t>
        </is>
      </c>
      <c r="C2892" t="n">
        <v>8</v>
      </c>
      <c r="D2892" s="8" t="n">
        <v>46335</v>
      </c>
      <c r="E2892" s="9" t="n">
        <v>5519.53</v>
      </c>
      <c r="F2892" s="8" t="n"/>
      <c r="G2892" s="9" t="n">
        <v>0</v>
      </c>
      <c r="H2892" t="inlineStr">
        <is>
          <t>NOT_DUE</t>
        </is>
      </c>
      <c r="I2892">
        <f>IF(H2892="UNPAID", AsOfDate-D2892, 0)</f>
        <v/>
      </c>
      <c r="J2892">
        <f>IF(F2892&lt;&gt;"", TEXT(F2892, "yyyy-mm"), "")</f>
        <v/>
      </c>
    </row>
    <row r="2893">
      <c r="A2893" t="inlineStr">
        <is>
          <t>RP0002892</t>
        </is>
      </c>
      <c r="B2893" t="inlineStr">
        <is>
          <t>LN200415</t>
        </is>
      </c>
      <c r="C2893" t="n">
        <v>9</v>
      </c>
      <c r="D2893" s="8" t="n">
        <v>46365</v>
      </c>
      <c r="E2893" s="9" t="n">
        <v>5519.53</v>
      </c>
      <c r="F2893" s="8" t="n"/>
      <c r="G2893" s="9" t="n">
        <v>0</v>
      </c>
      <c r="H2893" t="inlineStr">
        <is>
          <t>NOT_DUE</t>
        </is>
      </c>
      <c r="I2893">
        <f>IF(H2893="UNPAID", AsOfDate-D2893, 0)</f>
        <v/>
      </c>
      <c r="J2893">
        <f>IF(F2893&lt;&gt;"", TEXT(F2893, "yyyy-mm"), "")</f>
        <v/>
      </c>
    </row>
    <row r="2894">
      <c r="A2894" t="inlineStr">
        <is>
          <t>RP0002893</t>
        </is>
      </c>
      <c r="B2894" t="inlineStr">
        <is>
          <t>LN200416</t>
        </is>
      </c>
      <c r="C2894" t="n">
        <v>1</v>
      </c>
      <c r="D2894" s="8" t="n">
        <v>46266</v>
      </c>
      <c r="E2894" s="9" t="n">
        <v>19278</v>
      </c>
      <c r="F2894" s="8" t="n">
        <v>46264</v>
      </c>
      <c r="G2894" s="9" t="n">
        <v>19278</v>
      </c>
      <c r="H2894" t="inlineStr">
        <is>
          <t>PAID_ON_TIME</t>
        </is>
      </c>
      <c r="I2894">
        <f>IF(H2894="UNPAID", AsOfDate-D2894, 0)</f>
        <v/>
      </c>
      <c r="J2894">
        <f>IF(F2894&lt;&gt;"", TEXT(F2894, "yyyy-mm"), "")</f>
        <v/>
      </c>
    </row>
    <row r="2895">
      <c r="A2895" t="inlineStr">
        <is>
          <t>RP0002894</t>
        </is>
      </c>
      <c r="B2895" t="inlineStr">
        <is>
          <t>LN200416</t>
        </is>
      </c>
      <c r="C2895" t="n">
        <v>2</v>
      </c>
      <c r="D2895" s="8" t="n">
        <v>46296</v>
      </c>
      <c r="E2895" s="9" t="n">
        <v>19278</v>
      </c>
      <c r="F2895" s="8" t="n"/>
      <c r="G2895" s="9" t="n">
        <v>0</v>
      </c>
      <c r="H2895" t="inlineStr">
        <is>
          <t>NOT_DUE</t>
        </is>
      </c>
      <c r="I2895">
        <f>IF(H2895="UNPAID", AsOfDate-D2895, 0)</f>
        <v/>
      </c>
      <c r="J2895">
        <f>IF(F2895&lt;&gt;"", TEXT(F2895, "yyyy-mm"), "")</f>
        <v/>
      </c>
    </row>
    <row r="2896">
      <c r="A2896" t="inlineStr">
        <is>
          <t>RP0002895</t>
        </is>
      </c>
      <c r="B2896" t="inlineStr">
        <is>
          <t>LN200416</t>
        </is>
      </c>
      <c r="C2896" t="n">
        <v>3</v>
      </c>
      <c r="D2896" s="8" t="n">
        <v>46327</v>
      </c>
      <c r="E2896" s="9" t="n">
        <v>19278</v>
      </c>
      <c r="F2896" s="8" t="n"/>
      <c r="G2896" s="9" t="n">
        <v>0</v>
      </c>
      <c r="H2896" t="inlineStr">
        <is>
          <t>NOT_DUE</t>
        </is>
      </c>
      <c r="I2896">
        <f>IF(H2896="UNPAID", AsOfDate-D2896, 0)</f>
        <v/>
      </c>
      <c r="J2896">
        <f>IF(F2896&lt;&gt;"", TEXT(F2896, "yyyy-mm"), "")</f>
        <v/>
      </c>
    </row>
    <row r="2897">
      <c r="A2897" t="inlineStr">
        <is>
          <t>RP0002896</t>
        </is>
      </c>
      <c r="B2897" t="inlineStr">
        <is>
          <t>LN200417</t>
        </is>
      </c>
      <c r="C2897" t="n">
        <v>1</v>
      </c>
      <c r="D2897" s="8" t="n">
        <v>46239</v>
      </c>
      <c r="E2897" s="9" t="n">
        <v>18677.5</v>
      </c>
      <c r="F2897" s="8" t="n">
        <v>46237</v>
      </c>
      <c r="G2897" s="9" t="n">
        <v>18677.5</v>
      </c>
      <c r="H2897" t="inlineStr">
        <is>
          <t>PAID_ON_TIME</t>
        </is>
      </c>
      <c r="I2897">
        <f>IF(H2897="UNPAID", AsOfDate-D2897, 0)</f>
        <v/>
      </c>
      <c r="J2897">
        <f>IF(F2897&lt;&gt;"", TEXT(F2897, "yyyy-mm"), "")</f>
        <v/>
      </c>
    </row>
    <row r="2898">
      <c r="A2898" t="inlineStr">
        <is>
          <t>RP0002897</t>
        </is>
      </c>
      <c r="B2898" t="inlineStr">
        <is>
          <t>LN200417</t>
        </is>
      </c>
      <c r="C2898" t="n">
        <v>2</v>
      </c>
      <c r="D2898" s="8" t="n">
        <v>46270</v>
      </c>
      <c r="E2898" s="9" t="n">
        <v>18677.5</v>
      </c>
      <c r="F2898" s="8" t="n"/>
      <c r="G2898" s="9" t="n">
        <v>0</v>
      </c>
      <c r="H2898" t="inlineStr">
        <is>
          <t>NOT_DUE</t>
        </is>
      </c>
      <c r="I2898">
        <f>IF(H2898="UNPAID", AsOfDate-D2898, 0)</f>
        <v/>
      </c>
      <c r="J2898">
        <f>IF(F2898&lt;&gt;"", TEXT(F2898, "yyyy-mm"), "")</f>
        <v/>
      </c>
    </row>
    <row r="2899">
      <c r="A2899" t="inlineStr">
        <is>
          <t>RP0002898</t>
        </is>
      </c>
      <c r="B2899" t="inlineStr">
        <is>
          <t>LN200417</t>
        </is>
      </c>
      <c r="C2899" t="n">
        <v>3</v>
      </c>
      <c r="D2899" s="8" t="n">
        <v>46300</v>
      </c>
      <c r="E2899" s="9" t="n">
        <v>18677.5</v>
      </c>
      <c r="F2899" s="8" t="n"/>
      <c r="G2899" s="9" t="n">
        <v>0</v>
      </c>
      <c r="H2899" t="inlineStr">
        <is>
          <t>NOT_DUE</t>
        </is>
      </c>
      <c r="I2899">
        <f>IF(H2899="UNPAID", AsOfDate-D2899, 0)</f>
        <v/>
      </c>
      <c r="J2899">
        <f>IF(F2899&lt;&gt;"", TEXT(F2899, "yyyy-mm"), "")</f>
        <v/>
      </c>
    </row>
    <row r="2900">
      <c r="A2900" t="inlineStr">
        <is>
          <t>RP0002899</t>
        </is>
      </c>
      <c r="B2900" t="inlineStr">
        <is>
          <t>LN200417</t>
        </is>
      </c>
      <c r="C2900" t="n">
        <v>4</v>
      </c>
      <c r="D2900" s="8" t="n">
        <v>46331</v>
      </c>
      <c r="E2900" s="9" t="n">
        <v>18677.5</v>
      </c>
      <c r="F2900" s="8" t="n"/>
      <c r="G2900" s="9" t="n">
        <v>0</v>
      </c>
      <c r="H2900" t="inlineStr">
        <is>
          <t>NOT_DUE</t>
        </is>
      </c>
      <c r="I2900">
        <f>IF(H2900="UNPAID", AsOfDate-D2900, 0)</f>
        <v/>
      </c>
      <c r="J2900">
        <f>IF(F2900&lt;&gt;"", TEXT(F2900, "yyyy-mm"), "")</f>
        <v/>
      </c>
    </row>
    <row r="2901">
      <c r="A2901" t="inlineStr">
        <is>
          <t>RP0002900</t>
        </is>
      </c>
      <c r="B2901" t="inlineStr">
        <is>
          <t>LN200417</t>
        </is>
      </c>
      <c r="C2901" t="n">
        <v>5</v>
      </c>
      <c r="D2901" s="8" t="n">
        <v>46361</v>
      </c>
      <c r="E2901" s="9" t="n">
        <v>18677.5</v>
      </c>
      <c r="F2901" s="8" t="n"/>
      <c r="G2901" s="9" t="n">
        <v>0</v>
      </c>
      <c r="H2901" t="inlineStr">
        <is>
          <t>NOT_DUE</t>
        </is>
      </c>
      <c r="I2901">
        <f>IF(H2901="UNPAID", AsOfDate-D2901, 0)</f>
        <v/>
      </c>
      <c r="J2901">
        <f>IF(F2901&lt;&gt;"", TEXT(F2901, "yyyy-mm"), "")</f>
        <v/>
      </c>
    </row>
    <row r="2902">
      <c r="A2902" t="inlineStr">
        <is>
          <t>RP0002901</t>
        </is>
      </c>
      <c r="B2902" t="inlineStr">
        <is>
          <t>LN200417</t>
        </is>
      </c>
      <c r="C2902" t="n">
        <v>6</v>
      </c>
      <c r="D2902" s="8" t="n">
        <v>46392</v>
      </c>
      <c r="E2902" s="9" t="n">
        <v>18677.5</v>
      </c>
      <c r="F2902" s="8" t="n"/>
      <c r="G2902" s="9" t="n">
        <v>0</v>
      </c>
      <c r="H2902" t="inlineStr">
        <is>
          <t>NOT_DUE</t>
        </is>
      </c>
      <c r="I2902">
        <f>IF(H2902="UNPAID", AsOfDate-D2902, 0)</f>
        <v/>
      </c>
      <c r="J2902">
        <f>IF(F2902&lt;&gt;"", TEXT(F2902, "yyyy-mm"), "")</f>
        <v/>
      </c>
    </row>
    <row r="2903">
      <c r="A2903" t="inlineStr">
        <is>
          <t>RP0002902</t>
        </is>
      </c>
      <c r="B2903" t="inlineStr">
        <is>
          <t>LN200417</t>
        </is>
      </c>
      <c r="C2903" t="n">
        <v>7</v>
      </c>
      <c r="D2903" s="8" t="n">
        <v>46423</v>
      </c>
      <c r="E2903" s="9" t="n">
        <v>18677.5</v>
      </c>
      <c r="F2903" s="8" t="n"/>
      <c r="G2903" s="9" t="n">
        <v>0</v>
      </c>
      <c r="H2903" t="inlineStr">
        <is>
          <t>NOT_DUE</t>
        </is>
      </c>
      <c r="I2903">
        <f>IF(H2903="UNPAID", AsOfDate-D2903, 0)</f>
        <v/>
      </c>
      <c r="J2903">
        <f>IF(F2903&lt;&gt;"", TEXT(F2903, "yyyy-mm"), "")</f>
        <v/>
      </c>
    </row>
    <row r="2904">
      <c r="A2904" t="inlineStr">
        <is>
          <t>RP0002903</t>
        </is>
      </c>
      <c r="B2904" t="inlineStr">
        <is>
          <t>LN200417</t>
        </is>
      </c>
      <c r="C2904" t="n">
        <v>8</v>
      </c>
      <c r="D2904" s="8" t="n">
        <v>46451</v>
      </c>
      <c r="E2904" s="9" t="n">
        <v>18677.5</v>
      </c>
      <c r="F2904" s="8" t="n"/>
      <c r="G2904" s="9" t="n">
        <v>0</v>
      </c>
      <c r="H2904" t="inlineStr">
        <is>
          <t>NOT_DUE</t>
        </is>
      </c>
      <c r="I2904">
        <f>IF(H2904="UNPAID", AsOfDate-D2904, 0)</f>
        <v/>
      </c>
      <c r="J2904">
        <f>IF(F2904&lt;&gt;"", TEXT(F2904, "yyyy-mm"), "")</f>
        <v/>
      </c>
    </row>
    <row r="2905">
      <c r="A2905" t="inlineStr">
        <is>
          <t>RP0002904</t>
        </is>
      </c>
      <c r="B2905" t="inlineStr">
        <is>
          <t>LN200417</t>
        </is>
      </c>
      <c r="C2905" t="n">
        <v>9</v>
      </c>
      <c r="D2905" s="8" t="n">
        <v>46482</v>
      </c>
      <c r="E2905" s="9" t="n">
        <v>18677.5</v>
      </c>
      <c r="F2905" s="8" t="n"/>
      <c r="G2905" s="9" t="n">
        <v>0</v>
      </c>
      <c r="H2905" t="inlineStr">
        <is>
          <t>NOT_DUE</t>
        </is>
      </c>
      <c r="I2905">
        <f>IF(H2905="UNPAID", AsOfDate-D2905, 0)</f>
        <v/>
      </c>
      <c r="J2905">
        <f>IF(F2905&lt;&gt;"", TEXT(F2905, "yyyy-mm"), "")</f>
        <v/>
      </c>
    </row>
    <row r="2906">
      <c r="A2906" t="inlineStr">
        <is>
          <t>RP0002905</t>
        </is>
      </c>
      <c r="B2906" t="inlineStr">
        <is>
          <t>LN200417</t>
        </is>
      </c>
      <c r="C2906" t="n">
        <v>10</v>
      </c>
      <c r="D2906" s="8" t="n">
        <v>46512</v>
      </c>
      <c r="E2906" s="9" t="n">
        <v>18677.5</v>
      </c>
      <c r="F2906" s="8" t="n"/>
      <c r="G2906" s="9" t="n">
        <v>0</v>
      </c>
      <c r="H2906" t="inlineStr">
        <is>
          <t>NOT_DUE</t>
        </is>
      </c>
      <c r="I2906">
        <f>IF(H2906="UNPAID", AsOfDate-D2906, 0)</f>
        <v/>
      </c>
      <c r="J2906">
        <f>IF(F2906&lt;&gt;"", TEXT(F2906, "yyyy-mm"), "")</f>
        <v/>
      </c>
    </row>
    <row r="2907">
      <c r="A2907" t="inlineStr">
        <is>
          <t>RP0002906</t>
        </is>
      </c>
      <c r="B2907" t="inlineStr">
        <is>
          <t>LN200417</t>
        </is>
      </c>
      <c r="C2907" t="n">
        <v>11</v>
      </c>
      <c r="D2907" s="8" t="n">
        <v>46543</v>
      </c>
      <c r="E2907" s="9" t="n">
        <v>18677.5</v>
      </c>
      <c r="F2907" s="8" t="n"/>
      <c r="G2907" s="9" t="n">
        <v>0</v>
      </c>
      <c r="H2907" t="inlineStr">
        <is>
          <t>NOT_DUE</t>
        </is>
      </c>
      <c r="I2907">
        <f>IF(H2907="UNPAID", AsOfDate-D2907, 0)</f>
        <v/>
      </c>
      <c r="J2907">
        <f>IF(F2907&lt;&gt;"", TEXT(F2907, "yyyy-mm"), "")</f>
        <v/>
      </c>
    </row>
    <row r="2908">
      <c r="A2908" t="inlineStr">
        <is>
          <t>RP0002907</t>
        </is>
      </c>
      <c r="B2908" t="inlineStr">
        <is>
          <t>LN200417</t>
        </is>
      </c>
      <c r="C2908" t="n">
        <v>12</v>
      </c>
      <c r="D2908" s="8" t="n">
        <v>46573</v>
      </c>
      <c r="E2908" s="9" t="n">
        <v>18677.5</v>
      </c>
      <c r="F2908" s="8" t="n"/>
      <c r="G2908" s="9" t="n">
        <v>0</v>
      </c>
      <c r="H2908" t="inlineStr">
        <is>
          <t>NOT_DUE</t>
        </is>
      </c>
      <c r="I2908">
        <f>IF(H2908="UNPAID", AsOfDate-D2908, 0)</f>
        <v/>
      </c>
      <c r="J2908">
        <f>IF(F2908&lt;&gt;"", TEXT(F2908, "yyyy-mm"), "")</f>
        <v/>
      </c>
    </row>
    <row r="2909">
      <c r="A2909" t="inlineStr">
        <is>
          <t>RP0002908</t>
        </is>
      </c>
      <c r="B2909" t="inlineStr">
        <is>
          <t>LN200418</t>
        </is>
      </c>
      <c r="C2909" t="n">
        <v>1</v>
      </c>
      <c r="D2909" s="8" t="n">
        <v>46130</v>
      </c>
      <c r="E2909" s="9" t="n">
        <v>40388.33</v>
      </c>
      <c r="F2909" s="8" t="n">
        <v>46131</v>
      </c>
      <c r="G2909" s="9" t="n">
        <v>40388.33</v>
      </c>
      <c r="H2909" t="inlineStr">
        <is>
          <t>PAID_ON_TIME</t>
        </is>
      </c>
      <c r="I2909">
        <f>IF(H2909="UNPAID", AsOfDate-D2909, 0)</f>
        <v/>
      </c>
      <c r="J2909">
        <f>IF(F2909&lt;&gt;"", TEXT(F2909, "yyyy-mm"), "")</f>
        <v/>
      </c>
    </row>
    <row r="2910">
      <c r="A2910" t="inlineStr">
        <is>
          <t>RP0002909</t>
        </is>
      </c>
      <c r="B2910" t="inlineStr">
        <is>
          <t>LN200418</t>
        </is>
      </c>
      <c r="C2910" t="n">
        <v>2</v>
      </c>
      <c r="D2910" s="8" t="n">
        <v>46160</v>
      </c>
      <c r="E2910" s="9" t="n">
        <v>40388.33</v>
      </c>
      <c r="F2910" s="8" t="n">
        <v>46158</v>
      </c>
      <c r="G2910" s="9" t="n">
        <v>40388.33</v>
      </c>
      <c r="H2910" t="inlineStr">
        <is>
          <t>PAID_ON_TIME</t>
        </is>
      </c>
      <c r="I2910">
        <f>IF(H2910="UNPAID", AsOfDate-D2910, 0)</f>
        <v/>
      </c>
      <c r="J2910">
        <f>IF(F2910&lt;&gt;"", TEXT(F2910, "yyyy-mm"), "")</f>
        <v/>
      </c>
    </row>
    <row r="2911">
      <c r="A2911" t="inlineStr">
        <is>
          <t>RP0002910</t>
        </is>
      </c>
      <c r="B2911" t="inlineStr">
        <is>
          <t>LN200418</t>
        </is>
      </c>
      <c r="C2911" t="n">
        <v>3</v>
      </c>
      <c r="D2911" s="8" t="n">
        <v>46191</v>
      </c>
      <c r="E2911" s="9" t="n">
        <v>40388.33</v>
      </c>
      <c r="F2911" s="8" t="n">
        <v>46191</v>
      </c>
      <c r="G2911" s="9" t="n">
        <v>40388.33</v>
      </c>
      <c r="H2911" t="inlineStr">
        <is>
          <t>PAID_ON_TIME</t>
        </is>
      </c>
      <c r="I2911">
        <f>IF(H2911="UNPAID", AsOfDate-D2911, 0)</f>
        <v/>
      </c>
      <c r="J2911">
        <f>IF(F2911&lt;&gt;"", TEXT(F2911, "yyyy-mm"), "")</f>
        <v/>
      </c>
    </row>
    <row r="2912">
      <c r="A2912" t="inlineStr">
        <is>
          <t>RP0002911</t>
        </is>
      </c>
      <c r="B2912" t="inlineStr">
        <is>
          <t>LN200418</t>
        </is>
      </c>
      <c r="C2912" t="n">
        <v>4</v>
      </c>
      <c r="D2912" s="8" t="n">
        <v>46221</v>
      </c>
      <c r="E2912" s="9" t="n">
        <v>40388.33</v>
      </c>
      <c r="F2912" s="8" t="n">
        <v>46219</v>
      </c>
      <c r="G2912" s="9" t="n">
        <v>40388.33</v>
      </c>
      <c r="H2912" t="inlineStr">
        <is>
          <t>PAID_ON_TIME</t>
        </is>
      </c>
      <c r="I2912">
        <f>IF(H2912="UNPAID", AsOfDate-D2912, 0)</f>
        <v/>
      </c>
      <c r="J2912">
        <f>IF(F2912&lt;&gt;"", TEXT(F2912, "yyyy-mm"), "")</f>
        <v/>
      </c>
    </row>
    <row r="2913">
      <c r="A2913" t="inlineStr">
        <is>
          <t>RP0002912</t>
        </is>
      </c>
      <c r="B2913" t="inlineStr">
        <is>
          <t>LN200418</t>
        </is>
      </c>
      <c r="C2913" t="n">
        <v>5</v>
      </c>
      <c r="D2913" s="8" t="n">
        <v>46252</v>
      </c>
      <c r="E2913" s="9" t="n">
        <v>40388.33</v>
      </c>
      <c r="F2913" s="8" t="n">
        <v>46254</v>
      </c>
      <c r="G2913" s="9" t="n">
        <v>40388.33</v>
      </c>
      <c r="H2913" t="inlineStr">
        <is>
          <t>PAID_ON_TIME</t>
        </is>
      </c>
      <c r="I2913">
        <f>IF(H2913="UNPAID", AsOfDate-D2913, 0)</f>
        <v/>
      </c>
      <c r="J2913">
        <f>IF(F2913&lt;&gt;"", TEXT(F2913, "yyyy-mm"), "")</f>
        <v/>
      </c>
    </row>
    <row r="2914">
      <c r="A2914" t="inlineStr">
        <is>
          <t>RP0002913</t>
        </is>
      </c>
      <c r="B2914" t="inlineStr">
        <is>
          <t>LN200418</t>
        </is>
      </c>
      <c r="C2914" t="n">
        <v>6</v>
      </c>
      <c r="D2914" s="8" t="n">
        <v>46283</v>
      </c>
      <c r="E2914" s="9" t="n">
        <v>40388.33</v>
      </c>
      <c r="F2914" s="8" t="n"/>
      <c r="G2914" s="9" t="n">
        <v>0</v>
      </c>
      <c r="H2914" t="inlineStr">
        <is>
          <t>NOT_DUE</t>
        </is>
      </c>
      <c r="I2914">
        <f>IF(H2914="UNPAID", AsOfDate-D2914, 0)</f>
        <v/>
      </c>
      <c r="J2914">
        <f>IF(F2914&lt;&gt;"", TEXT(F2914, "yyyy-mm"), "")</f>
        <v/>
      </c>
    </row>
    <row r="2915">
      <c r="A2915" t="inlineStr">
        <is>
          <t>RP0002914</t>
        </is>
      </c>
      <c r="B2915" t="inlineStr">
        <is>
          <t>LN200419</t>
        </is>
      </c>
      <c r="C2915" t="n">
        <v>1</v>
      </c>
      <c r="D2915" s="8" t="n">
        <v>46178</v>
      </c>
      <c r="E2915" s="9" t="n">
        <v>11929.5</v>
      </c>
      <c r="F2915" s="8" t="n">
        <v>46180</v>
      </c>
      <c r="G2915" s="9" t="n">
        <v>11929.5</v>
      </c>
      <c r="H2915" t="inlineStr">
        <is>
          <t>PAID_ON_TIME</t>
        </is>
      </c>
      <c r="I2915">
        <f>IF(H2915="UNPAID", AsOfDate-D2915, 0)</f>
        <v/>
      </c>
      <c r="J2915">
        <f>IF(F2915&lt;&gt;"", TEXT(F2915, "yyyy-mm"), "")</f>
        <v/>
      </c>
    </row>
    <row r="2916">
      <c r="A2916" t="inlineStr">
        <is>
          <t>RP0002915</t>
        </is>
      </c>
      <c r="B2916" t="inlineStr">
        <is>
          <t>LN200419</t>
        </is>
      </c>
      <c r="C2916" t="n">
        <v>2</v>
      </c>
      <c r="D2916" s="8" t="n">
        <v>46208</v>
      </c>
      <c r="E2916" s="9" t="n">
        <v>11929.5</v>
      </c>
      <c r="F2916" s="8" t="n">
        <v>46212</v>
      </c>
      <c r="G2916" s="9" t="n">
        <v>11929.5</v>
      </c>
      <c r="H2916" t="inlineStr">
        <is>
          <t>PAID_ON_TIME</t>
        </is>
      </c>
      <c r="I2916">
        <f>IF(H2916="UNPAID", AsOfDate-D2916, 0)</f>
        <v/>
      </c>
      <c r="J2916">
        <f>IF(F2916&lt;&gt;"", TEXT(F2916, "yyyy-mm"), "")</f>
        <v/>
      </c>
    </row>
    <row r="2917">
      <c r="A2917" t="inlineStr">
        <is>
          <t>RP0002916</t>
        </is>
      </c>
      <c r="B2917" t="inlineStr">
        <is>
          <t>LN200419</t>
        </is>
      </c>
      <c r="C2917" t="n">
        <v>3</v>
      </c>
      <c r="D2917" s="8" t="n">
        <v>46239</v>
      </c>
      <c r="E2917" s="9" t="n">
        <v>11929.5</v>
      </c>
      <c r="F2917" s="8" t="n">
        <v>46239</v>
      </c>
      <c r="G2917" s="9" t="n">
        <v>11929.5</v>
      </c>
      <c r="H2917" t="inlineStr">
        <is>
          <t>PAID_ON_TIME</t>
        </is>
      </c>
      <c r="I2917">
        <f>IF(H2917="UNPAID", AsOfDate-D2917, 0)</f>
        <v/>
      </c>
      <c r="J2917">
        <f>IF(F2917&lt;&gt;"", TEXT(F2917, "yyyy-mm"), "")</f>
        <v/>
      </c>
    </row>
    <row r="2918">
      <c r="A2918" t="inlineStr">
        <is>
          <t>RP0002917</t>
        </is>
      </c>
      <c r="B2918" t="inlineStr">
        <is>
          <t>LN200419</t>
        </is>
      </c>
      <c r="C2918" t="n">
        <v>4</v>
      </c>
      <c r="D2918" s="8" t="n">
        <v>46270</v>
      </c>
      <c r="E2918" s="9" t="n">
        <v>11929.5</v>
      </c>
      <c r="F2918" s="8" t="n"/>
      <c r="G2918" s="9" t="n">
        <v>0</v>
      </c>
      <c r="H2918" t="inlineStr">
        <is>
          <t>NOT_DUE</t>
        </is>
      </c>
      <c r="I2918">
        <f>IF(H2918="UNPAID", AsOfDate-D2918, 0)</f>
        <v/>
      </c>
      <c r="J2918">
        <f>IF(F2918&lt;&gt;"", TEXT(F2918, "yyyy-mm"), "")</f>
        <v/>
      </c>
    </row>
    <row r="2919">
      <c r="A2919" t="inlineStr">
        <is>
          <t>RP0002918</t>
        </is>
      </c>
      <c r="B2919" t="inlineStr">
        <is>
          <t>LN200419</t>
        </is>
      </c>
      <c r="C2919" t="n">
        <v>5</v>
      </c>
      <c r="D2919" s="8" t="n">
        <v>46300</v>
      </c>
      <c r="E2919" s="9" t="n">
        <v>11929.5</v>
      </c>
      <c r="F2919" s="8" t="n"/>
      <c r="G2919" s="9" t="n">
        <v>0</v>
      </c>
      <c r="H2919" t="inlineStr">
        <is>
          <t>NOT_DUE</t>
        </is>
      </c>
      <c r="I2919">
        <f>IF(H2919="UNPAID", AsOfDate-D2919, 0)</f>
        <v/>
      </c>
      <c r="J2919">
        <f>IF(F2919&lt;&gt;"", TEXT(F2919, "yyyy-mm"), "")</f>
        <v/>
      </c>
    </row>
    <row r="2920">
      <c r="A2920" t="inlineStr">
        <is>
          <t>RP0002919</t>
        </is>
      </c>
      <c r="B2920" t="inlineStr">
        <is>
          <t>LN200419</t>
        </is>
      </c>
      <c r="C2920" t="n">
        <v>6</v>
      </c>
      <c r="D2920" s="8" t="n">
        <v>46331</v>
      </c>
      <c r="E2920" s="9" t="n">
        <v>11929.5</v>
      </c>
      <c r="F2920" s="8" t="n"/>
      <c r="G2920" s="9" t="n">
        <v>0</v>
      </c>
      <c r="H2920" t="inlineStr">
        <is>
          <t>NOT_DUE</t>
        </is>
      </c>
      <c r="I2920">
        <f>IF(H2920="UNPAID", AsOfDate-D2920, 0)</f>
        <v/>
      </c>
      <c r="J2920">
        <f>IF(F2920&lt;&gt;"", TEXT(F2920, "yyyy-mm"), "")</f>
        <v/>
      </c>
    </row>
    <row r="2921">
      <c r="A2921" t="inlineStr">
        <is>
          <t>RP0002920</t>
        </is>
      </c>
      <c r="B2921" t="inlineStr">
        <is>
          <t>LN200420</t>
        </is>
      </c>
      <c r="C2921" t="n">
        <v>1</v>
      </c>
      <c r="D2921" s="8" t="n">
        <v>46055</v>
      </c>
      <c r="E2921" s="9" t="n">
        <v>8393.42</v>
      </c>
      <c r="F2921" s="8" t="n">
        <v>46122</v>
      </c>
      <c r="G2921" s="9" t="n">
        <v>8393.42</v>
      </c>
      <c r="H2921" t="inlineStr">
        <is>
          <t>PAID_LATE</t>
        </is>
      </c>
      <c r="I2921">
        <f>IF(H2921="UNPAID", AsOfDate-D2921, 0)</f>
        <v/>
      </c>
      <c r="J2921">
        <f>IF(F2921&lt;&gt;"", TEXT(F2921, "yyyy-mm"), "")</f>
        <v/>
      </c>
    </row>
    <row r="2922">
      <c r="A2922" t="inlineStr">
        <is>
          <t>RP0002921</t>
        </is>
      </c>
      <c r="B2922" t="inlineStr">
        <is>
          <t>LN200420</t>
        </is>
      </c>
      <c r="C2922" t="n">
        <v>2</v>
      </c>
      <c r="D2922" s="8" t="n">
        <v>46083</v>
      </c>
      <c r="E2922" s="9" t="n">
        <v>8393.42</v>
      </c>
      <c r="F2922" s="8" t="n">
        <v>46084</v>
      </c>
      <c r="G2922" s="9" t="n">
        <v>8393.42</v>
      </c>
      <c r="H2922" t="inlineStr">
        <is>
          <t>PAID_ON_TIME</t>
        </is>
      </c>
      <c r="I2922">
        <f>IF(H2922="UNPAID", AsOfDate-D2922, 0)</f>
        <v/>
      </c>
      <c r="J2922">
        <f>IF(F2922&lt;&gt;"", TEXT(F2922, "yyyy-mm"), "")</f>
        <v/>
      </c>
    </row>
    <row r="2923">
      <c r="A2923" t="inlineStr">
        <is>
          <t>RP0002922</t>
        </is>
      </c>
      <c r="B2923" t="inlineStr">
        <is>
          <t>LN200420</t>
        </is>
      </c>
      <c r="C2923" t="n">
        <v>3</v>
      </c>
      <c r="D2923" s="8" t="n">
        <v>46114</v>
      </c>
      <c r="E2923" s="9" t="n">
        <v>8393.42</v>
      </c>
      <c r="F2923" s="8" t="n">
        <v>46113</v>
      </c>
      <c r="G2923" s="9" t="n">
        <v>8393.42</v>
      </c>
      <c r="H2923" t="inlineStr">
        <is>
          <t>PAID_ON_TIME</t>
        </is>
      </c>
      <c r="I2923">
        <f>IF(H2923="UNPAID", AsOfDate-D2923, 0)</f>
        <v/>
      </c>
      <c r="J2923">
        <f>IF(F2923&lt;&gt;"", TEXT(F2923, "yyyy-mm"), "")</f>
        <v/>
      </c>
    </row>
    <row r="2924">
      <c r="A2924" t="inlineStr">
        <is>
          <t>RP0002923</t>
        </is>
      </c>
      <c r="B2924" t="inlineStr">
        <is>
          <t>LN200420</t>
        </is>
      </c>
      <c r="C2924" t="n">
        <v>4</v>
      </c>
      <c r="D2924" s="8" t="n">
        <v>46144</v>
      </c>
      <c r="E2924" s="9" t="n">
        <v>8393.42</v>
      </c>
      <c r="F2924" s="8" t="n">
        <v>46148</v>
      </c>
      <c r="G2924" s="9" t="n">
        <v>8393.42</v>
      </c>
      <c r="H2924" t="inlineStr">
        <is>
          <t>PAID_ON_TIME</t>
        </is>
      </c>
      <c r="I2924">
        <f>IF(H2924="UNPAID", AsOfDate-D2924, 0)</f>
        <v/>
      </c>
      <c r="J2924">
        <f>IF(F2924&lt;&gt;"", TEXT(F2924, "yyyy-mm"), "")</f>
        <v/>
      </c>
    </row>
    <row r="2925">
      <c r="A2925" t="inlineStr">
        <is>
          <t>RP0002924</t>
        </is>
      </c>
      <c r="B2925" t="inlineStr">
        <is>
          <t>LN200420</t>
        </is>
      </c>
      <c r="C2925" t="n">
        <v>5</v>
      </c>
      <c r="D2925" s="8" t="n">
        <v>46175</v>
      </c>
      <c r="E2925" s="9" t="n">
        <v>8393.42</v>
      </c>
      <c r="F2925" s="8" t="n">
        <v>46175</v>
      </c>
      <c r="G2925" s="9" t="n">
        <v>8393.42</v>
      </c>
      <c r="H2925" t="inlineStr">
        <is>
          <t>PAID_ON_TIME</t>
        </is>
      </c>
      <c r="I2925">
        <f>IF(H2925="UNPAID", AsOfDate-D2925, 0)</f>
        <v/>
      </c>
      <c r="J2925">
        <f>IF(F2925&lt;&gt;"", TEXT(F2925, "yyyy-mm"), "")</f>
        <v/>
      </c>
    </row>
    <row r="2926">
      <c r="A2926" t="inlineStr">
        <is>
          <t>RP0002925</t>
        </is>
      </c>
      <c r="B2926" t="inlineStr">
        <is>
          <t>LN200420</t>
        </is>
      </c>
      <c r="C2926" t="n">
        <v>6</v>
      </c>
      <c r="D2926" s="8" t="n">
        <v>46205</v>
      </c>
      <c r="E2926" s="9" t="n">
        <v>8393.42</v>
      </c>
      <c r="F2926" s="8" t="n">
        <v>46204</v>
      </c>
      <c r="G2926" s="9" t="n">
        <v>8393.42</v>
      </c>
      <c r="H2926" t="inlineStr">
        <is>
          <t>PAID_ON_TIME</t>
        </is>
      </c>
      <c r="I2926">
        <f>IF(H2926="UNPAID", AsOfDate-D2926, 0)</f>
        <v/>
      </c>
      <c r="J2926">
        <f>IF(F2926&lt;&gt;"", TEXT(F2926, "yyyy-mm"), "")</f>
        <v/>
      </c>
    </row>
    <row r="2927">
      <c r="A2927" t="inlineStr">
        <is>
          <t>RP0002926</t>
        </is>
      </c>
      <c r="B2927" t="inlineStr">
        <is>
          <t>LN200421</t>
        </is>
      </c>
      <c r="C2927" t="n">
        <v>1</v>
      </c>
      <c r="D2927" s="8" t="n">
        <v>46152</v>
      </c>
      <c r="E2927" s="9" t="n">
        <v>17060.31</v>
      </c>
      <c r="F2927" s="8" t="n"/>
      <c r="G2927" s="9" t="n">
        <v>0</v>
      </c>
      <c r="H2927" t="inlineStr">
        <is>
          <t>UNPAID</t>
        </is>
      </c>
      <c r="I2927">
        <f>IF(H2927="UNPAID", AsOfDate-D2927, 0)</f>
        <v/>
      </c>
      <c r="J2927">
        <f>IF(F2927&lt;&gt;"", TEXT(F2927, "yyyy-mm"), "")</f>
        <v/>
      </c>
    </row>
    <row r="2928">
      <c r="A2928" t="inlineStr">
        <is>
          <t>RP0002927</t>
        </is>
      </c>
      <c r="B2928" t="inlineStr">
        <is>
          <t>LN200421</t>
        </is>
      </c>
      <c r="C2928" t="n">
        <v>2</v>
      </c>
      <c r="D2928" s="8" t="n">
        <v>46183</v>
      </c>
      <c r="E2928" s="9" t="n">
        <v>17060.31</v>
      </c>
      <c r="F2928" s="8" t="n">
        <v>46183</v>
      </c>
      <c r="G2928" s="9" t="n">
        <v>17060.31</v>
      </c>
      <c r="H2928" t="inlineStr">
        <is>
          <t>PAID_ON_TIME</t>
        </is>
      </c>
      <c r="I2928">
        <f>IF(H2928="UNPAID", AsOfDate-D2928, 0)</f>
        <v/>
      </c>
      <c r="J2928">
        <f>IF(F2928&lt;&gt;"", TEXT(F2928, "yyyy-mm"), "")</f>
        <v/>
      </c>
    </row>
    <row r="2929">
      <c r="A2929" t="inlineStr">
        <is>
          <t>RP0002928</t>
        </is>
      </c>
      <c r="B2929" t="inlineStr">
        <is>
          <t>LN200421</t>
        </is>
      </c>
      <c r="C2929" t="n">
        <v>3</v>
      </c>
      <c r="D2929" s="8" t="n">
        <v>46213</v>
      </c>
      <c r="E2929" s="9" t="n">
        <v>17060.31</v>
      </c>
      <c r="F2929" s="8" t="n"/>
      <c r="G2929" s="9" t="n">
        <v>0</v>
      </c>
      <c r="H2929" t="inlineStr">
        <is>
          <t>UNPAID</t>
        </is>
      </c>
      <c r="I2929">
        <f>IF(H2929="UNPAID", AsOfDate-D2929, 0)</f>
        <v/>
      </c>
      <c r="J2929">
        <f>IF(F2929&lt;&gt;"", TEXT(F2929, "yyyy-mm"), "")</f>
        <v/>
      </c>
    </row>
    <row r="2930">
      <c r="A2930" t="inlineStr">
        <is>
          <t>RP0002929</t>
        </is>
      </c>
      <c r="B2930" t="inlineStr">
        <is>
          <t>LN200421</t>
        </is>
      </c>
      <c r="C2930" t="n">
        <v>4</v>
      </c>
      <c r="D2930" s="8" t="n">
        <v>46244</v>
      </c>
      <c r="E2930" s="9" t="n">
        <v>17060.31</v>
      </c>
      <c r="F2930" s="8" t="n"/>
      <c r="G2930" s="9" t="n">
        <v>0</v>
      </c>
      <c r="H2930" t="inlineStr">
        <is>
          <t>UNPAID</t>
        </is>
      </c>
      <c r="I2930">
        <f>IF(H2930="UNPAID", AsOfDate-D2930, 0)</f>
        <v/>
      </c>
      <c r="J2930">
        <f>IF(F2930&lt;&gt;"", TEXT(F2930, "yyyy-mm"), "")</f>
        <v/>
      </c>
    </row>
    <row r="2931">
      <c r="A2931" t="inlineStr">
        <is>
          <t>RP0002930</t>
        </is>
      </c>
      <c r="B2931" t="inlineStr">
        <is>
          <t>LN200421</t>
        </is>
      </c>
      <c r="C2931" t="n">
        <v>5</v>
      </c>
      <c r="D2931" s="8" t="n">
        <v>46275</v>
      </c>
      <c r="E2931" s="9" t="n">
        <v>17060.31</v>
      </c>
      <c r="F2931" s="8" t="n"/>
      <c r="G2931" s="9" t="n">
        <v>0</v>
      </c>
      <c r="H2931" t="inlineStr">
        <is>
          <t>NOT_DUE</t>
        </is>
      </c>
      <c r="I2931">
        <f>IF(H2931="UNPAID", AsOfDate-D2931, 0)</f>
        <v/>
      </c>
      <c r="J2931">
        <f>IF(F2931&lt;&gt;"", TEXT(F2931, "yyyy-mm"), "")</f>
        <v/>
      </c>
    </row>
    <row r="2932">
      <c r="A2932" t="inlineStr">
        <is>
          <t>RP0002931</t>
        </is>
      </c>
      <c r="B2932" t="inlineStr">
        <is>
          <t>LN200421</t>
        </is>
      </c>
      <c r="C2932" t="n">
        <v>6</v>
      </c>
      <c r="D2932" s="8" t="n">
        <v>46305</v>
      </c>
      <c r="E2932" s="9" t="n">
        <v>17060.31</v>
      </c>
      <c r="F2932" s="8" t="n"/>
      <c r="G2932" s="9" t="n">
        <v>0</v>
      </c>
      <c r="H2932" t="inlineStr">
        <is>
          <t>NOT_DUE</t>
        </is>
      </c>
      <c r="I2932">
        <f>IF(H2932="UNPAID", AsOfDate-D2932, 0)</f>
        <v/>
      </c>
      <c r="J2932">
        <f>IF(F2932&lt;&gt;"", TEXT(F2932, "yyyy-mm"), "")</f>
        <v/>
      </c>
    </row>
    <row r="2933">
      <c r="A2933" t="inlineStr">
        <is>
          <t>RP0002932</t>
        </is>
      </c>
      <c r="B2933" t="inlineStr">
        <is>
          <t>LN200421</t>
        </is>
      </c>
      <c r="C2933" t="n">
        <v>7</v>
      </c>
      <c r="D2933" s="8" t="n">
        <v>46336</v>
      </c>
      <c r="E2933" s="9" t="n">
        <v>17060.31</v>
      </c>
      <c r="F2933" s="8" t="n"/>
      <c r="G2933" s="9" t="n">
        <v>0</v>
      </c>
      <c r="H2933" t="inlineStr">
        <is>
          <t>NOT_DUE</t>
        </is>
      </c>
      <c r="I2933">
        <f>IF(H2933="UNPAID", AsOfDate-D2933, 0)</f>
        <v/>
      </c>
      <c r="J2933">
        <f>IF(F2933&lt;&gt;"", TEXT(F2933, "yyyy-mm"), "")</f>
        <v/>
      </c>
    </row>
    <row r="2934">
      <c r="A2934" t="inlineStr">
        <is>
          <t>RP0002933</t>
        </is>
      </c>
      <c r="B2934" t="inlineStr">
        <is>
          <t>LN200421</t>
        </is>
      </c>
      <c r="C2934" t="n">
        <v>8</v>
      </c>
      <c r="D2934" s="8" t="n">
        <v>46366</v>
      </c>
      <c r="E2934" s="9" t="n">
        <v>17060.31</v>
      </c>
      <c r="F2934" s="8" t="n"/>
      <c r="G2934" s="9" t="n">
        <v>0</v>
      </c>
      <c r="H2934" t="inlineStr">
        <is>
          <t>NOT_DUE</t>
        </is>
      </c>
      <c r="I2934">
        <f>IF(H2934="UNPAID", AsOfDate-D2934, 0)</f>
        <v/>
      </c>
      <c r="J2934">
        <f>IF(F2934&lt;&gt;"", TEXT(F2934, "yyyy-mm"), "")</f>
        <v/>
      </c>
    </row>
    <row r="2935">
      <c r="A2935" t="inlineStr">
        <is>
          <t>RP0002934</t>
        </is>
      </c>
      <c r="B2935" t="inlineStr">
        <is>
          <t>LN200421</t>
        </is>
      </c>
      <c r="C2935" t="n">
        <v>9</v>
      </c>
      <c r="D2935" s="8" t="n">
        <v>46397</v>
      </c>
      <c r="E2935" s="9" t="n">
        <v>17060.31</v>
      </c>
      <c r="F2935" s="8" t="n"/>
      <c r="G2935" s="9" t="n">
        <v>0</v>
      </c>
      <c r="H2935" t="inlineStr">
        <is>
          <t>NOT_DUE</t>
        </is>
      </c>
      <c r="I2935">
        <f>IF(H2935="UNPAID", AsOfDate-D2935, 0)</f>
        <v/>
      </c>
      <c r="J2935">
        <f>IF(F2935&lt;&gt;"", TEXT(F2935, "yyyy-mm"), "")</f>
        <v/>
      </c>
    </row>
    <row r="2936">
      <c r="A2936" t="inlineStr">
        <is>
          <t>RP0002935</t>
        </is>
      </c>
      <c r="B2936" t="inlineStr">
        <is>
          <t>LN200422</t>
        </is>
      </c>
      <c r="C2936" t="n">
        <v>1</v>
      </c>
      <c r="D2936" s="8" t="n">
        <v>46235</v>
      </c>
      <c r="E2936" s="9" t="n">
        <v>7216.83</v>
      </c>
      <c r="F2936" s="8" t="n">
        <v>46237</v>
      </c>
      <c r="G2936" s="9" t="n">
        <v>7216.83</v>
      </c>
      <c r="H2936" t="inlineStr">
        <is>
          <t>PAID_ON_TIME</t>
        </is>
      </c>
      <c r="I2936">
        <f>IF(H2936="UNPAID", AsOfDate-D2936, 0)</f>
        <v/>
      </c>
      <c r="J2936">
        <f>IF(F2936&lt;&gt;"", TEXT(F2936, "yyyy-mm"), "")</f>
        <v/>
      </c>
    </row>
    <row r="2937">
      <c r="A2937" t="inlineStr">
        <is>
          <t>RP0002936</t>
        </is>
      </c>
      <c r="B2937" t="inlineStr">
        <is>
          <t>LN200422</t>
        </is>
      </c>
      <c r="C2937" t="n">
        <v>2</v>
      </c>
      <c r="D2937" s="8" t="n">
        <v>46266</v>
      </c>
      <c r="E2937" s="9" t="n">
        <v>7216.83</v>
      </c>
      <c r="F2937" s="8" t="n"/>
      <c r="G2937" s="9" t="n">
        <v>0</v>
      </c>
      <c r="H2937" t="inlineStr">
        <is>
          <t>UNPAID</t>
        </is>
      </c>
      <c r="I2937">
        <f>IF(H2937="UNPAID", AsOfDate-D2937, 0)</f>
        <v/>
      </c>
      <c r="J2937">
        <f>IF(F2937&lt;&gt;"", TEXT(F2937, "yyyy-mm"), "")</f>
        <v/>
      </c>
    </row>
    <row r="2938">
      <c r="A2938" t="inlineStr">
        <is>
          <t>RP0002937</t>
        </is>
      </c>
      <c r="B2938" t="inlineStr">
        <is>
          <t>LN200422</t>
        </is>
      </c>
      <c r="C2938" t="n">
        <v>3</v>
      </c>
      <c r="D2938" s="8" t="n">
        <v>46296</v>
      </c>
      <c r="E2938" s="9" t="n">
        <v>7216.83</v>
      </c>
      <c r="F2938" s="8" t="n"/>
      <c r="G2938" s="9" t="n">
        <v>0</v>
      </c>
      <c r="H2938" t="inlineStr">
        <is>
          <t>NOT_DUE</t>
        </is>
      </c>
      <c r="I2938">
        <f>IF(H2938="UNPAID", AsOfDate-D2938, 0)</f>
        <v/>
      </c>
      <c r="J2938">
        <f>IF(F2938&lt;&gt;"", TEXT(F2938, "yyyy-mm"), "")</f>
        <v/>
      </c>
    </row>
    <row r="2939">
      <c r="A2939" t="inlineStr">
        <is>
          <t>RP0002938</t>
        </is>
      </c>
      <c r="B2939" t="inlineStr">
        <is>
          <t>LN200422</t>
        </is>
      </c>
      <c r="C2939" t="n">
        <v>4</v>
      </c>
      <c r="D2939" s="8" t="n">
        <v>46327</v>
      </c>
      <c r="E2939" s="9" t="n">
        <v>7216.83</v>
      </c>
      <c r="F2939" s="8" t="n"/>
      <c r="G2939" s="9" t="n">
        <v>0</v>
      </c>
      <c r="H2939" t="inlineStr">
        <is>
          <t>NOT_DUE</t>
        </is>
      </c>
      <c r="I2939">
        <f>IF(H2939="UNPAID", AsOfDate-D2939, 0)</f>
        <v/>
      </c>
      <c r="J2939">
        <f>IF(F2939&lt;&gt;"", TEXT(F2939, "yyyy-mm"), "")</f>
        <v/>
      </c>
    </row>
    <row r="2940">
      <c r="A2940" t="inlineStr">
        <is>
          <t>RP0002939</t>
        </is>
      </c>
      <c r="B2940" t="inlineStr">
        <is>
          <t>LN200422</t>
        </is>
      </c>
      <c r="C2940" t="n">
        <v>5</v>
      </c>
      <c r="D2940" s="8" t="n">
        <v>46357</v>
      </c>
      <c r="E2940" s="9" t="n">
        <v>7216.83</v>
      </c>
      <c r="F2940" s="8" t="n"/>
      <c r="G2940" s="9" t="n">
        <v>0</v>
      </c>
      <c r="H2940" t="inlineStr">
        <is>
          <t>NOT_DUE</t>
        </is>
      </c>
      <c r="I2940">
        <f>IF(H2940="UNPAID", AsOfDate-D2940, 0)</f>
        <v/>
      </c>
      <c r="J2940">
        <f>IF(F2940&lt;&gt;"", TEXT(F2940, "yyyy-mm"), "")</f>
        <v/>
      </c>
    </row>
    <row r="2941">
      <c r="A2941" t="inlineStr">
        <is>
          <t>RP0002940</t>
        </is>
      </c>
      <c r="B2941" t="inlineStr">
        <is>
          <t>LN200422</t>
        </is>
      </c>
      <c r="C2941" t="n">
        <v>6</v>
      </c>
      <c r="D2941" s="8" t="n">
        <v>46388</v>
      </c>
      <c r="E2941" s="9" t="n">
        <v>7216.83</v>
      </c>
      <c r="F2941" s="8" t="n"/>
      <c r="G2941" s="9" t="n">
        <v>0</v>
      </c>
      <c r="H2941" t="inlineStr">
        <is>
          <t>NOT_DUE</t>
        </is>
      </c>
      <c r="I2941">
        <f>IF(H2941="UNPAID", AsOfDate-D2941, 0)</f>
        <v/>
      </c>
      <c r="J2941">
        <f>IF(F2941&lt;&gt;"", TEXT(F2941, "yyyy-mm"), "")</f>
        <v/>
      </c>
    </row>
    <row r="2942">
      <c r="A2942" t="inlineStr">
        <is>
          <t>RP0002941</t>
        </is>
      </c>
      <c r="B2942" t="inlineStr">
        <is>
          <t>LN200422</t>
        </is>
      </c>
      <c r="C2942" t="n">
        <v>7</v>
      </c>
      <c r="D2942" s="8" t="n">
        <v>46419</v>
      </c>
      <c r="E2942" s="9" t="n">
        <v>7216.83</v>
      </c>
      <c r="F2942" s="8" t="n"/>
      <c r="G2942" s="9" t="n">
        <v>0</v>
      </c>
      <c r="H2942" t="inlineStr">
        <is>
          <t>NOT_DUE</t>
        </is>
      </c>
      <c r="I2942">
        <f>IF(H2942="UNPAID", AsOfDate-D2942, 0)</f>
        <v/>
      </c>
      <c r="J2942">
        <f>IF(F2942&lt;&gt;"", TEXT(F2942, "yyyy-mm"), "")</f>
        <v/>
      </c>
    </row>
    <row r="2943">
      <c r="A2943" t="inlineStr">
        <is>
          <t>RP0002942</t>
        </is>
      </c>
      <c r="B2943" t="inlineStr">
        <is>
          <t>LN200422</t>
        </is>
      </c>
      <c r="C2943" t="n">
        <v>8</v>
      </c>
      <c r="D2943" s="8" t="n">
        <v>46447</v>
      </c>
      <c r="E2943" s="9" t="n">
        <v>7216.83</v>
      </c>
      <c r="F2943" s="8" t="n"/>
      <c r="G2943" s="9" t="n">
        <v>0</v>
      </c>
      <c r="H2943" t="inlineStr">
        <is>
          <t>NOT_DUE</t>
        </is>
      </c>
      <c r="I2943">
        <f>IF(H2943="UNPAID", AsOfDate-D2943, 0)</f>
        <v/>
      </c>
      <c r="J2943">
        <f>IF(F2943&lt;&gt;"", TEXT(F2943, "yyyy-mm"), "")</f>
        <v/>
      </c>
    </row>
    <row r="2944">
      <c r="A2944" t="inlineStr">
        <is>
          <t>RP0002943</t>
        </is>
      </c>
      <c r="B2944" t="inlineStr">
        <is>
          <t>LN200422</t>
        </is>
      </c>
      <c r="C2944" t="n">
        <v>9</v>
      </c>
      <c r="D2944" s="8" t="n">
        <v>46478</v>
      </c>
      <c r="E2944" s="9" t="n">
        <v>7216.83</v>
      </c>
      <c r="F2944" s="8" t="n"/>
      <c r="G2944" s="9" t="n">
        <v>0</v>
      </c>
      <c r="H2944" t="inlineStr">
        <is>
          <t>NOT_DUE</t>
        </is>
      </c>
      <c r="I2944">
        <f>IF(H2944="UNPAID", AsOfDate-D2944, 0)</f>
        <v/>
      </c>
      <c r="J2944">
        <f>IF(F2944&lt;&gt;"", TEXT(F2944, "yyyy-mm"), "")</f>
        <v/>
      </c>
    </row>
    <row r="2945">
      <c r="A2945" t="inlineStr">
        <is>
          <t>RP0002944</t>
        </is>
      </c>
      <c r="B2945" t="inlineStr">
        <is>
          <t>LN200423</t>
        </is>
      </c>
      <c r="C2945" t="n">
        <v>1</v>
      </c>
      <c r="D2945" s="8" t="n">
        <v>45873</v>
      </c>
      <c r="E2945" s="9" t="n">
        <v>12404.33</v>
      </c>
      <c r="F2945" s="8" t="n">
        <v>45960</v>
      </c>
      <c r="G2945" s="9" t="n">
        <v>12404.33</v>
      </c>
      <c r="H2945" t="inlineStr">
        <is>
          <t>PAID_LATE</t>
        </is>
      </c>
      <c r="I2945">
        <f>IF(H2945="UNPAID", AsOfDate-D2945, 0)</f>
        <v/>
      </c>
      <c r="J2945">
        <f>IF(F2945&lt;&gt;"", TEXT(F2945, "yyyy-mm"), "")</f>
        <v/>
      </c>
    </row>
    <row r="2946">
      <c r="A2946" t="inlineStr">
        <is>
          <t>RP0002945</t>
        </is>
      </c>
      <c r="B2946" t="inlineStr">
        <is>
          <t>LN200423</t>
        </is>
      </c>
      <c r="C2946" t="n">
        <v>2</v>
      </c>
      <c r="D2946" s="8" t="n">
        <v>45904</v>
      </c>
      <c r="E2946" s="9" t="n">
        <v>12404.33</v>
      </c>
      <c r="F2946" s="8" t="n">
        <v>45908</v>
      </c>
      <c r="G2946" s="9" t="n">
        <v>12404.33</v>
      </c>
      <c r="H2946" t="inlineStr">
        <is>
          <t>PAID_ON_TIME</t>
        </is>
      </c>
      <c r="I2946">
        <f>IF(H2946="UNPAID", AsOfDate-D2946, 0)</f>
        <v/>
      </c>
      <c r="J2946">
        <f>IF(F2946&lt;&gt;"", TEXT(F2946, "yyyy-mm"), "")</f>
        <v/>
      </c>
    </row>
    <row r="2947">
      <c r="A2947" t="inlineStr">
        <is>
          <t>RP0002946</t>
        </is>
      </c>
      <c r="B2947" t="inlineStr">
        <is>
          <t>LN200423</t>
        </is>
      </c>
      <c r="C2947" t="n">
        <v>3</v>
      </c>
      <c r="D2947" s="8" t="n">
        <v>45934</v>
      </c>
      <c r="E2947" s="9" t="n">
        <v>12404.33</v>
      </c>
      <c r="F2947" s="8" t="n">
        <v>45932</v>
      </c>
      <c r="G2947" s="9" t="n">
        <v>12404.33</v>
      </c>
      <c r="H2947" t="inlineStr">
        <is>
          <t>PAID_ON_TIME</t>
        </is>
      </c>
      <c r="I2947">
        <f>IF(H2947="UNPAID", AsOfDate-D2947, 0)</f>
        <v/>
      </c>
      <c r="J2947">
        <f>IF(F2947&lt;&gt;"", TEXT(F2947, "yyyy-mm"), "")</f>
        <v/>
      </c>
    </row>
    <row r="2948">
      <c r="A2948" t="inlineStr">
        <is>
          <t>RP0002947</t>
        </is>
      </c>
      <c r="B2948" t="inlineStr">
        <is>
          <t>LN200423</t>
        </is>
      </c>
      <c r="C2948" t="n">
        <v>4</v>
      </c>
      <c r="D2948" s="8" t="n">
        <v>45965</v>
      </c>
      <c r="E2948" s="9" t="n">
        <v>12404.33</v>
      </c>
      <c r="F2948" s="8" t="n">
        <v>46012</v>
      </c>
      <c r="G2948" s="9" t="n">
        <v>12404.33</v>
      </c>
      <c r="H2948" t="inlineStr">
        <is>
          <t>PAID_LATE</t>
        </is>
      </c>
      <c r="I2948">
        <f>IF(H2948="UNPAID", AsOfDate-D2948, 0)</f>
        <v/>
      </c>
      <c r="J2948">
        <f>IF(F2948&lt;&gt;"", TEXT(F2948, "yyyy-mm"), "")</f>
        <v/>
      </c>
    </row>
    <row r="2949">
      <c r="A2949" t="inlineStr">
        <is>
          <t>RP0002948</t>
        </is>
      </c>
      <c r="B2949" t="inlineStr">
        <is>
          <t>LN200423</t>
        </is>
      </c>
      <c r="C2949" t="n">
        <v>5</v>
      </c>
      <c r="D2949" s="8" t="n">
        <v>45995</v>
      </c>
      <c r="E2949" s="9" t="n">
        <v>12404.33</v>
      </c>
      <c r="F2949" s="8" t="n">
        <v>45996</v>
      </c>
      <c r="G2949" s="9" t="n">
        <v>12404.33</v>
      </c>
      <c r="H2949" t="inlineStr">
        <is>
          <t>PAID_ON_TIME</t>
        </is>
      </c>
      <c r="I2949">
        <f>IF(H2949="UNPAID", AsOfDate-D2949, 0)</f>
        <v/>
      </c>
      <c r="J2949">
        <f>IF(F2949&lt;&gt;"", TEXT(F2949, "yyyy-mm"), "")</f>
        <v/>
      </c>
    </row>
    <row r="2950">
      <c r="A2950" t="inlineStr">
        <is>
          <t>RP0002949</t>
        </is>
      </c>
      <c r="B2950" t="inlineStr">
        <is>
          <t>LN200423</t>
        </is>
      </c>
      <c r="C2950" t="n">
        <v>6</v>
      </c>
      <c r="D2950" s="8" t="n">
        <v>46026</v>
      </c>
      <c r="E2950" s="9" t="n">
        <v>12404.33</v>
      </c>
      <c r="F2950" s="8" t="n">
        <v>46028</v>
      </c>
      <c r="G2950" s="9" t="n">
        <v>12404.33</v>
      </c>
      <c r="H2950" t="inlineStr">
        <is>
          <t>PAID_ON_TIME</t>
        </is>
      </c>
      <c r="I2950">
        <f>IF(H2950="UNPAID", AsOfDate-D2950, 0)</f>
        <v/>
      </c>
      <c r="J2950">
        <f>IF(F2950&lt;&gt;"", TEXT(F2950, "yyyy-mm"), "")</f>
        <v/>
      </c>
    </row>
    <row r="2951">
      <c r="A2951" t="inlineStr">
        <is>
          <t>RP0002950</t>
        </is>
      </c>
      <c r="B2951" t="inlineStr">
        <is>
          <t>LN200424</t>
        </is>
      </c>
      <c r="C2951" t="n">
        <v>1</v>
      </c>
      <c r="D2951" s="8" t="n">
        <v>45872</v>
      </c>
      <c r="E2951" s="9" t="n">
        <v>4563.75</v>
      </c>
      <c r="F2951" s="8" t="n">
        <v>45876</v>
      </c>
      <c r="G2951" s="9" t="n">
        <v>4563.75</v>
      </c>
      <c r="H2951" t="inlineStr">
        <is>
          <t>PAID_ON_TIME</t>
        </is>
      </c>
      <c r="I2951">
        <f>IF(H2951="UNPAID", AsOfDate-D2951, 0)</f>
        <v/>
      </c>
      <c r="J2951">
        <f>IF(F2951&lt;&gt;"", TEXT(F2951, "yyyy-mm"), "")</f>
        <v/>
      </c>
    </row>
    <row r="2952">
      <c r="A2952" t="inlineStr">
        <is>
          <t>RP0002951</t>
        </is>
      </c>
      <c r="B2952" t="inlineStr">
        <is>
          <t>LN200424</t>
        </is>
      </c>
      <c r="C2952" t="n">
        <v>2</v>
      </c>
      <c r="D2952" s="8" t="n">
        <v>45903</v>
      </c>
      <c r="E2952" s="9" t="n">
        <v>4563.75</v>
      </c>
      <c r="F2952" s="8" t="n">
        <v>45905</v>
      </c>
      <c r="G2952" s="9" t="n">
        <v>4563.75</v>
      </c>
      <c r="H2952" t="inlineStr">
        <is>
          <t>PAID_ON_TIME</t>
        </is>
      </c>
      <c r="I2952">
        <f>IF(H2952="UNPAID", AsOfDate-D2952, 0)</f>
        <v/>
      </c>
      <c r="J2952">
        <f>IF(F2952&lt;&gt;"", TEXT(F2952, "yyyy-mm"), "")</f>
        <v/>
      </c>
    </row>
    <row r="2953">
      <c r="A2953" t="inlineStr">
        <is>
          <t>RP0002952</t>
        </is>
      </c>
      <c r="B2953" t="inlineStr">
        <is>
          <t>LN200424</t>
        </is>
      </c>
      <c r="C2953" t="n">
        <v>3</v>
      </c>
      <c r="D2953" s="8" t="n">
        <v>45933</v>
      </c>
      <c r="E2953" s="9" t="n">
        <v>4563.75</v>
      </c>
      <c r="F2953" s="8" t="n">
        <v>45935</v>
      </c>
      <c r="G2953" s="9" t="n">
        <v>4563.75</v>
      </c>
      <c r="H2953" t="inlineStr">
        <is>
          <t>PAID_ON_TIME</t>
        </is>
      </c>
      <c r="I2953">
        <f>IF(H2953="UNPAID", AsOfDate-D2953, 0)</f>
        <v/>
      </c>
      <c r="J2953">
        <f>IF(F2953&lt;&gt;"", TEXT(F2953, "yyyy-mm"), "")</f>
        <v/>
      </c>
    </row>
    <row r="2954">
      <c r="A2954" t="inlineStr">
        <is>
          <t>RP0002953</t>
        </is>
      </c>
      <c r="B2954" t="inlineStr">
        <is>
          <t>LN200424</t>
        </is>
      </c>
      <c r="C2954" t="n">
        <v>4</v>
      </c>
      <c r="D2954" s="8" t="n">
        <v>45964</v>
      </c>
      <c r="E2954" s="9" t="n">
        <v>4563.75</v>
      </c>
      <c r="F2954" s="8" t="n">
        <v>45968</v>
      </c>
      <c r="G2954" s="9" t="n">
        <v>4563.75</v>
      </c>
      <c r="H2954" t="inlineStr">
        <is>
          <t>PAID_ON_TIME</t>
        </is>
      </c>
      <c r="I2954">
        <f>IF(H2954="UNPAID", AsOfDate-D2954, 0)</f>
        <v/>
      </c>
      <c r="J2954">
        <f>IF(F2954&lt;&gt;"", TEXT(F2954, "yyyy-mm"), "")</f>
        <v/>
      </c>
    </row>
    <row r="2955">
      <c r="A2955" t="inlineStr">
        <is>
          <t>RP0002954</t>
        </is>
      </c>
      <c r="B2955" t="inlineStr">
        <is>
          <t>LN200424</t>
        </is>
      </c>
      <c r="C2955" t="n">
        <v>5</v>
      </c>
      <c r="D2955" s="8" t="n">
        <v>45994</v>
      </c>
      <c r="E2955" s="9" t="n">
        <v>4563.75</v>
      </c>
      <c r="F2955" s="8" t="n">
        <v>46004</v>
      </c>
      <c r="G2955" s="9" t="n">
        <v>4563.75</v>
      </c>
      <c r="H2955" t="inlineStr">
        <is>
          <t>PAID_LATE</t>
        </is>
      </c>
      <c r="I2955">
        <f>IF(H2955="UNPAID", AsOfDate-D2955, 0)</f>
        <v/>
      </c>
      <c r="J2955">
        <f>IF(F2955&lt;&gt;"", TEXT(F2955, "yyyy-mm"), "")</f>
        <v/>
      </c>
    </row>
    <row r="2956">
      <c r="A2956" t="inlineStr">
        <is>
          <t>RP0002955</t>
        </is>
      </c>
      <c r="B2956" t="inlineStr">
        <is>
          <t>LN200424</t>
        </is>
      </c>
      <c r="C2956" t="n">
        <v>6</v>
      </c>
      <c r="D2956" s="8" t="n">
        <v>46025</v>
      </c>
      <c r="E2956" s="9" t="n">
        <v>4563.75</v>
      </c>
      <c r="F2956" s="8" t="n">
        <v>46028</v>
      </c>
      <c r="G2956" s="9" t="n">
        <v>4563.75</v>
      </c>
      <c r="H2956" t="inlineStr">
        <is>
          <t>PAID_ON_TIME</t>
        </is>
      </c>
      <c r="I2956">
        <f>IF(H2956="UNPAID", AsOfDate-D2956, 0)</f>
        <v/>
      </c>
      <c r="J2956">
        <f>IF(F2956&lt;&gt;"", TEXT(F2956, "yyyy-mm"), "")</f>
        <v/>
      </c>
    </row>
    <row r="2957">
      <c r="A2957" t="inlineStr">
        <is>
          <t>RP0002956</t>
        </is>
      </c>
      <c r="B2957" t="inlineStr">
        <is>
          <t>LN200424</t>
        </is>
      </c>
      <c r="C2957" t="n">
        <v>7</v>
      </c>
      <c r="D2957" s="8" t="n">
        <v>46056</v>
      </c>
      <c r="E2957" s="9" t="n">
        <v>4563.75</v>
      </c>
      <c r="F2957" s="8" t="n">
        <v>46059</v>
      </c>
      <c r="G2957" s="9" t="n">
        <v>4563.75</v>
      </c>
      <c r="H2957" t="inlineStr">
        <is>
          <t>PAID_ON_TIME</t>
        </is>
      </c>
      <c r="I2957">
        <f>IF(H2957="UNPAID", AsOfDate-D2957, 0)</f>
        <v/>
      </c>
      <c r="J2957">
        <f>IF(F2957&lt;&gt;"", TEXT(F2957, "yyyy-mm"), "")</f>
        <v/>
      </c>
    </row>
    <row r="2958">
      <c r="A2958" t="inlineStr">
        <is>
          <t>RP0002957</t>
        </is>
      </c>
      <c r="B2958" t="inlineStr">
        <is>
          <t>LN200424</t>
        </is>
      </c>
      <c r="C2958" t="n">
        <v>8</v>
      </c>
      <c r="D2958" s="8" t="n">
        <v>46084</v>
      </c>
      <c r="E2958" s="9" t="n">
        <v>4563.75</v>
      </c>
      <c r="F2958" s="8" t="n">
        <v>46087</v>
      </c>
      <c r="G2958" s="9" t="n">
        <v>4563.75</v>
      </c>
      <c r="H2958" t="inlineStr">
        <is>
          <t>PAID_ON_TIME</t>
        </is>
      </c>
      <c r="I2958">
        <f>IF(H2958="UNPAID", AsOfDate-D2958, 0)</f>
        <v/>
      </c>
      <c r="J2958">
        <f>IF(F2958&lt;&gt;"", TEXT(F2958, "yyyy-mm"), "")</f>
        <v/>
      </c>
    </row>
    <row r="2959">
      <c r="A2959" t="inlineStr">
        <is>
          <t>RP0002958</t>
        </is>
      </c>
      <c r="B2959" t="inlineStr">
        <is>
          <t>LN200424</t>
        </is>
      </c>
      <c r="C2959" t="n">
        <v>9</v>
      </c>
      <c r="D2959" s="8" t="n">
        <v>46115</v>
      </c>
      <c r="E2959" s="9" t="n">
        <v>4563.75</v>
      </c>
      <c r="F2959" s="8" t="n">
        <v>46117</v>
      </c>
      <c r="G2959" s="9" t="n">
        <v>4563.75</v>
      </c>
      <c r="H2959" t="inlineStr">
        <is>
          <t>PAID_ON_TIME</t>
        </is>
      </c>
      <c r="I2959">
        <f>IF(H2959="UNPAID", AsOfDate-D2959, 0)</f>
        <v/>
      </c>
      <c r="J2959">
        <f>IF(F2959&lt;&gt;"", TEXT(F2959, "yyyy-mm"), "")</f>
        <v/>
      </c>
    </row>
    <row r="2960">
      <c r="A2960" t="inlineStr">
        <is>
          <t>RP0002959</t>
        </is>
      </c>
      <c r="B2960" t="inlineStr">
        <is>
          <t>LN200424</t>
        </is>
      </c>
      <c r="C2960" t="n">
        <v>10</v>
      </c>
      <c r="D2960" s="8" t="n">
        <v>46145</v>
      </c>
      <c r="E2960" s="9" t="n">
        <v>4563.75</v>
      </c>
      <c r="F2960" s="8" t="n">
        <v>46146</v>
      </c>
      <c r="G2960" s="9" t="n">
        <v>4563.75</v>
      </c>
      <c r="H2960" t="inlineStr">
        <is>
          <t>PAID_ON_TIME</t>
        </is>
      </c>
      <c r="I2960">
        <f>IF(H2960="UNPAID", AsOfDate-D2960, 0)</f>
        <v/>
      </c>
      <c r="J2960">
        <f>IF(F2960&lt;&gt;"", TEXT(F2960, "yyyy-mm"), "")</f>
        <v/>
      </c>
    </row>
    <row r="2961">
      <c r="A2961" t="inlineStr">
        <is>
          <t>RP0002960</t>
        </is>
      </c>
      <c r="B2961" t="inlineStr">
        <is>
          <t>LN200424</t>
        </is>
      </c>
      <c r="C2961" t="n">
        <v>11</v>
      </c>
      <c r="D2961" s="8" t="n">
        <v>46176</v>
      </c>
      <c r="E2961" s="9" t="n">
        <v>4563.75</v>
      </c>
      <c r="F2961" s="8" t="n">
        <v>46178</v>
      </c>
      <c r="G2961" s="9" t="n">
        <v>4563.75</v>
      </c>
      <c r="H2961" t="inlineStr">
        <is>
          <t>PAID_ON_TIME</t>
        </is>
      </c>
      <c r="I2961">
        <f>IF(H2961="UNPAID", AsOfDate-D2961, 0)</f>
        <v/>
      </c>
      <c r="J2961">
        <f>IF(F2961&lt;&gt;"", TEXT(F2961, "yyyy-mm"), "")</f>
        <v/>
      </c>
    </row>
    <row r="2962">
      <c r="A2962" t="inlineStr">
        <is>
          <t>RP0002961</t>
        </is>
      </c>
      <c r="B2962" t="inlineStr">
        <is>
          <t>LN200424</t>
        </is>
      </c>
      <c r="C2962" t="n">
        <v>12</v>
      </c>
      <c r="D2962" s="8" t="n">
        <v>46206</v>
      </c>
      <c r="E2962" s="9" t="n">
        <v>4563.75</v>
      </c>
      <c r="F2962" s="8" t="n">
        <v>46208</v>
      </c>
      <c r="G2962" s="9" t="n">
        <v>4563.75</v>
      </c>
      <c r="H2962" t="inlineStr">
        <is>
          <t>PAID_ON_TIME</t>
        </is>
      </c>
      <c r="I2962">
        <f>IF(H2962="UNPAID", AsOfDate-D2962, 0)</f>
        <v/>
      </c>
      <c r="J2962">
        <f>IF(F2962&lt;&gt;"", TEXT(F2962, "yyyy-mm"), "")</f>
        <v/>
      </c>
    </row>
    <row r="2963">
      <c r="A2963" t="inlineStr">
        <is>
          <t>RP0002962</t>
        </is>
      </c>
      <c r="B2963" t="inlineStr">
        <is>
          <t>LN200425</t>
        </is>
      </c>
      <c r="C2963" t="n">
        <v>1</v>
      </c>
      <c r="D2963" s="8" t="n">
        <v>46097</v>
      </c>
      <c r="E2963" s="9" t="n">
        <v>11332.03</v>
      </c>
      <c r="F2963" s="8" t="n">
        <v>46095</v>
      </c>
      <c r="G2963" s="9" t="n">
        <v>11332.03</v>
      </c>
      <c r="H2963" t="inlineStr">
        <is>
          <t>PAID_ON_TIME</t>
        </is>
      </c>
      <c r="I2963">
        <f>IF(H2963="UNPAID", AsOfDate-D2963, 0)</f>
        <v/>
      </c>
      <c r="J2963">
        <f>IF(F2963&lt;&gt;"", TEXT(F2963, "yyyy-mm"), "")</f>
        <v/>
      </c>
    </row>
    <row r="2964">
      <c r="A2964" t="inlineStr">
        <is>
          <t>RP0002963</t>
        </is>
      </c>
      <c r="B2964" t="inlineStr">
        <is>
          <t>LN200425</t>
        </is>
      </c>
      <c r="C2964" t="n">
        <v>2</v>
      </c>
      <c r="D2964" s="8" t="n">
        <v>46128</v>
      </c>
      <c r="E2964" s="9" t="n">
        <v>11332.03</v>
      </c>
      <c r="F2964" s="8" t="n">
        <v>46127</v>
      </c>
      <c r="G2964" s="9" t="n">
        <v>11332.03</v>
      </c>
      <c r="H2964" t="inlineStr">
        <is>
          <t>PAID_ON_TIME</t>
        </is>
      </c>
      <c r="I2964">
        <f>IF(H2964="UNPAID", AsOfDate-D2964, 0)</f>
        <v/>
      </c>
      <c r="J2964">
        <f>IF(F2964&lt;&gt;"", TEXT(F2964, "yyyy-mm"), "")</f>
        <v/>
      </c>
    </row>
    <row r="2965">
      <c r="A2965" t="inlineStr">
        <is>
          <t>RP0002964</t>
        </is>
      </c>
      <c r="B2965" t="inlineStr">
        <is>
          <t>LN200425</t>
        </is>
      </c>
      <c r="C2965" t="n">
        <v>3</v>
      </c>
      <c r="D2965" s="8" t="n">
        <v>46158</v>
      </c>
      <c r="E2965" s="9" t="n">
        <v>11332.03</v>
      </c>
      <c r="F2965" s="8" t="n"/>
      <c r="G2965" s="9" t="n">
        <v>0</v>
      </c>
      <c r="H2965" t="inlineStr">
        <is>
          <t>UNPAID</t>
        </is>
      </c>
      <c r="I2965">
        <f>IF(H2965="UNPAID", AsOfDate-D2965, 0)</f>
        <v/>
      </c>
      <c r="J2965">
        <f>IF(F2965&lt;&gt;"", TEXT(F2965, "yyyy-mm"), "")</f>
        <v/>
      </c>
    </row>
    <row r="2966">
      <c r="A2966" t="inlineStr">
        <is>
          <t>RP0002965</t>
        </is>
      </c>
      <c r="B2966" t="inlineStr">
        <is>
          <t>LN200425</t>
        </is>
      </c>
      <c r="C2966" t="n">
        <v>4</v>
      </c>
      <c r="D2966" s="8" t="n">
        <v>46189</v>
      </c>
      <c r="E2966" s="9" t="n">
        <v>11332.03</v>
      </c>
      <c r="F2966" s="8" t="n">
        <v>46188</v>
      </c>
      <c r="G2966" s="9" t="n">
        <v>11332.03</v>
      </c>
      <c r="H2966" t="inlineStr">
        <is>
          <t>PAID_ON_TIME</t>
        </is>
      </c>
      <c r="I2966">
        <f>IF(H2966="UNPAID", AsOfDate-D2966, 0)</f>
        <v/>
      </c>
      <c r="J2966">
        <f>IF(F2966&lt;&gt;"", TEXT(F2966, "yyyy-mm"), "")</f>
        <v/>
      </c>
    </row>
    <row r="2967">
      <c r="A2967" t="inlineStr">
        <is>
          <t>RP0002966</t>
        </is>
      </c>
      <c r="B2967" t="inlineStr">
        <is>
          <t>LN200425</t>
        </is>
      </c>
      <c r="C2967" t="n">
        <v>5</v>
      </c>
      <c r="D2967" s="8" t="n">
        <v>46219</v>
      </c>
      <c r="E2967" s="9" t="n">
        <v>11332.03</v>
      </c>
      <c r="F2967" s="8" t="n">
        <v>46223</v>
      </c>
      <c r="G2967" s="9" t="n">
        <v>11332.03</v>
      </c>
      <c r="H2967" t="inlineStr">
        <is>
          <t>PAID_ON_TIME</t>
        </is>
      </c>
      <c r="I2967">
        <f>IF(H2967="UNPAID", AsOfDate-D2967, 0)</f>
        <v/>
      </c>
      <c r="J2967">
        <f>IF(F2967&lt;&gt;"", TEXT(F2967, "yyyy-mm"), "")</f>
        <v/>
      </c>
    </row>
    <row r="2968">
      <c r="A2968" t="inlineStr">
        <is>
          <t>RP0002967</t>
        </is>
      </c>
      <c r="B2968" t="inlineStr">
        <is>
          <t>LN200425</t>
        </is>
      </c>
      <c r="C2968" t="n">
        <v>6</v>
      </c>
      <c r="D2968" s="8" t="n">
        <v>46250</v>
      </c>
      <c r="E2968" s="9" t="n">
        <v>11332.03</v>
      </c>
      <c r="F2968" s="8" t="n">
        <v>46251</v>
      </c>
      <c r="G2968" s="9" t="n">
        <v>11332.03</v>
      </c>
      <c r="H2968" t="inlineStr">
        <is>
          <t>PAID_ON_TIME</t>
        </is>
      </c>
      <c r="I2968">
        <f>IF(H2968="UNPAID", AsOfDate-D2968, 0)</f>
        <v/>
      </c>
      <c r="J2968">
        <f>IF(F2968&lt;&gt;"", TEXT(F2968, "yyyy-mm"), "")</f>
        <v/>
      </c>
    </row>
    <row r="2969">
      <c r="A2969" t="inlineStr">
        <is>
          <t>RP0002968</t>
        </is>
      </c>
      <c r="B2969" t="inlineStr">
        <is>
          <t>LN200425</t>
        </is>
      </c>
      <c r="C2969" t="n">
        <v>7</v>
      </c>
      <c r="D2969" s="8" t="n">
        <v>46281</v>
      </c>
      <c r="E2969" s="9" t="n">
        <v>11332.03</v>
      </c>
      <c r="F2969" s="8" t="n"/>
      <c r="G2969" s="9" t="n">
        <v>0</v>
      </c>
      <c r="H2969" t="inlineStr">
        <is>
          <t>NOT_DUE</t>
        </is>
      </c>
      <c r="I2969">
        <f>IF(H2969="UNPAID", AsOfDate-D2969, 0)</f>
        <v/>
      </c>
      <c r="J2969">
        <f>IF(F2969&lt;&gt;"", TEXT(F2969, "yyyy-mm"), "")</f>
        <v/>
      </c>
    </row>
    <row r="2970">
      <c r="A2970" t="inlineStr">
        <is>
          <t>RP0002969</t>
        </is>
      </c>
      <c r="B2970" t="inlineStr">
        <is>
          <t>LN200425</t>
        </is>
      </c>
      <c r="C2970" t="n">
        <v>8</v>
      </c>
      <c r="D2970" s="8" t="n">
        <v>46311</v>
      </c>
      <c r="E2970" s="9" t="n">
        <v>11332.03</v>
      </c>
      <c r="F2970" s="8" t="n"/>
      <c r="G2970" s="9" t="n">
        <v>0</v>
      </c>
      <c r="H2970" t="inlineStr">
        <is>
          <t>NOT_DUE</t>
        </is>
      </c>
      <c r="I2970">
        <f>IF(H2970="UNPAID", AsOfDate-D2970, 0)</f>
        <v/>
      </c>
      <c r="J2970">
        <f>IF(F2970&lt;&gt;"", TEXT(F2970, "yyyy-mm"), "")</f>
        <v/>
      </c>
    </row>
    <row r="2971">
      <c r="A2971" t="inlineStr">
        <is>
          <t>RP0002970</t>
        </is>
      </c>
      <c r="B2971" t="inlineStr">
        <is>
          <t>LN200425</t>
        </is>
      </c>
      <c r="C2971" t="n">
        <v>9</v>
      </c>
      <c r="D2971" s="8" t="n">
        <v>46342</v>
      </c>
      <c r="E2971" s="9" t="n">
        <v>11332.03</v>
      </c>
      <c r="F2971" s="8" t="n"/>
      <c r="G2971" s="9" t="n">
        <v>0</v>
      </c>
      <c r="H2971" t="inlineStr">
        <is>
          <t>NOT_DUE</t>
        </is>
      </c>
      <c r="I2971">
        <f>IF(H2971="UNPAID", AsOfDate-D2971, 0)</f>
        <v/>
      </c>
      <c r="J2971">
        <f>IF(F2971&lt;&gt;"", TEXT(F2971, "yyyy-mm"), "")</f>
        <v/>
      </c>
    </row>
    <row r="2972">
      <c r="A2972" t="inlineStr">
        <is>
          <t>RP0002971</t>
        </is>
      </c>
      <c r="B2972" t="inlineStr">
        <is>
          <t>LN200426</t>
        </is>
      </c>
      <c r="C2972" t="n">
        <v>1</v>
      </c>
      <c r="D2972" s="8" t="n">
        <v>46249</v>
      </c>
      <c r="E2972" s="9" t="n">
        <v>21340.67</v>
      </c>
      <c r="F2972" s="8" t="n">
        <v>46253</v>
      </c>
      <c r="G2972" s="9" t="n">
        <v>21340.67</v>
      </c>
      <c r="H2972" t="inlineStr">
        <is>
          <t>PAID_ON_TIME</t>
        </is>
      </c>
      <c r="I2972">
        <f>IF(H2972="UNPAID", AsOfDate-D2972, 0)</f>
        <v/>
      </c>
      <c r="J2972">
        <f>IF(F2972&lt;&gt;"", TEXT(F2972, "yyyy-mm"), "")</f>
        <v/>
      </c>
    </row>
    <row r="2973">
      <c r="A2973" t="inlineStr">
        <is>
          <t>RP0002972</t>
        </is>
      </c>
      <c r="B2973" t="inlineStr">
        <is>
          <t>LN200426</t>
        </is>
      </c>
      <c r="C2973" t="n">
        <v>2</v>
      </c>
      <c r="D2973" s="8" t="n">
        <v>46280</v>
      </c>
      <c r="E2973" s="9" t="n">
        <v>21340.67</v>
      </c>
      <c r="F2973" s="8" t="n"/>
      <c r="G2973" s="9" t="n">
        <v>0</v>
      </c>
      <c r="H2973" t="inlineStr">
        <is>
          <t>NOT_DUE</t>
        </is>
      </c>
      <c r="I2973">
        <f>IF(H2973="UNPAID", AsOfDate-D2973, 0)</f>
        <v/>
      </c>
      <c r="J2973">
        <f>IF(F2973&lt;&gt;"", TEXT(F2973, "yyyy-mm"), "")</f>
        <v/>
      </c>
    </row>
    <row r="2974">
      <c r="A2974" t="inlineStr">
        <is>
          <t>RP0002973</t>
        </is>
      </c>
      <c r="B2974" t="inlineStr">
        <is>
          <t>LN200426</t>
        </is>
      </c>
      <c r="C2974" t="n">
        <v>3</v>
      </c>
      <c r="D2974" s="8" t="n">
        <v>46310</v>
      </c>
      <c r="E2974" s="9" t="n">
        <v>21340.67</v>
      </c>
      <c r="F2974" s="8" t="n"/>
      <c r="G2974" s="9" t="n">
        <v>0</v>
      </c>
      <c r="H2974" t="inlineStr">
        <is>
          <t>NOT_DUE</t>
        </is>
      </c>
      <c r="I2974">
        <f>IF(H2974="UNPAID", AsOfDate-D2974, 0)</f>
        <v/>
      </c>
      <c r="J2974">
        <f>IF(F2974&lt;&gt;"", TEXT(F2974, "yyyy-mm"), "")</f>
        <v/>
      </c>
    </row>
    <row r="2975">
      <c r="A2975" t="inlineStr">
        <is>
          <t>RP0002974</t>
        </is>
      </c>
      <c r="B2975" t="inlineStr">
        <is>
          <t>LN200426</t>
        </is>
      </c>
      <c r="C2975" t="n">
        <v>4</v>
      </c>
      <c r="D2975" s="8" t="n">
        <v>46341</v>
      </c>
      <c r="E2975" s="9" t="n">
        <v>21340.67</v>
      </c>
      <c r="F2975" s="8" t="n"/>
      <c r="G2975" s="9" t="n">
        <v>0</v>
      </c>
      <c r="H2975" t="inlineStr">
        <is>
          <t>NOT_DUE</t>
        </is>
      </c>
      <c r="I2975">
        <f>IF(H2975="UNPAID", AsOfDate-D2975, 0)</f>
        <v/>
      </c>
      <c r="J2975">
        <f>IF(F2975&lt;&gt;"", TEXT(F2975, "yyyy-mm"), "")</f>
        <v/>
      </c>
    </row>
    <row r="2976">
      <c r="A2976" t="inlineStr">
        <is>
          <t>RP0002975</t>
        </is>
      </c>
      <c r="B2976" t="inlineStr">
        <is>
          <t>LN200426</t>
        </is>
      </c>
      <c r="C2976" t="n">
        <v>5</v>
      </c>
      <c r="D2976" s="8" t="n">
        <v>46371</v>
      </c>
      <c r="E2976" s="9" t="n">
        <v>21340.67</v>
      </c>
      <c r="F2976" s="8" t="n"/>
      <c r="G2976" s="9" t="n">
        <v>0</v>
      </c>
      <c r="H2976" t="inlineStr">
        <is>
          <t>NOT_DUE</t>
        </is>
      </c>
      <c r="I2976">
        <f>IF(H2976="UNPAID", AsOfDate-D2976, 0)</f>
        <v/>
      </c>
      <c r="J2976">
        <f>IF(F2976&lt;&gt;"", TEXT(F2976, "yyyy-mm"), "")</f>
        <v/>
      </c>
    </row>
    <row r="2977">
      <c r="A2977" t="inlineStr">
        <is>
          <t>RP0002976</t>
        </is>
      </c>
      <c r="B2977" t="inlineStr">
        <is>
          <t>LN200426</t>
        </is>
      </c>
      <c r="C2977" t="n">
        <v>6</v>
      </c>
      <c r="D2977" s="8" t="n">
        <v>46402</v>
      </c>
      <c r="E2977" s="9" t="n">
        <v>21340.67</v>
      </c>
      <c r="F2977" s="8" t="n"/>
      <c r="G2977" s="9" t="n">
        <v>0</v>
      </c>
      <c r="H2977" t="inlineStr">
        <is>
          <t>NOT_DUE</t>
        </is>
      </c>
      <c r="I2977">
        <f>IF(H2977="UNPAID", AsOfDate-D2977, 0)</f>
        <v/>
      </c>
      <c r="J2977">
        <f>IF(F2977&lt;&gt;"", TEXT(F2977, "yyyy-mm"), "")</f>
        <v/>
      </c>
    </row>
    <row r="2978">
      <c r="A2978" t="inlineStr">
        <is>
          <t>RP0002977</t>
        </is>
      </c>
      <c r="B2978" t="inlineStr">
        <is>
          <t>LN200427</t>
        </is>
      </c>
      <c r="C2978" t="n">
        <v>1</v>
      </c>
      <c r="D2978" s="8" t="n">
        <v>45726</v>
      </c>
      <c r="E2978" s="9" t="n">
        <v>14843.17</v>
      </c>
      <c r="F2978" s="8" t="n">
        <v>45724</v>
      </c>
      <c r="G2978" s="9" t="n">
        <v>14843.17</v>
      </c>
      <c r="H2978" t="inlineStr">
        <is>
          <t>PAID_ON_TIME</t>
        </is>
      </c>
      <c r="I2978">
        <f>IF(H2978="UNPAID", AsOfDate-D2978, 0)</f>
        <v/>
      </c>
      <c r="J2978">
        <f>IF(F2978&lt;&gt;"", TEXT(F2978, "yyyy-mm"), "")</f>
        <v/>
      </c>
    </row>
    <row r="2979">
      <c r="A2979" t="inlineStr">
        <is>
          <t>RP0002978</t>
        </is>
      </c>
      <c r="B2979" t="inlineStr">
        <is>
          <t>LN200427</t>
        </is>
      </c>
      <c r="C2979" t="n">
        <v>2</v>
      </c>
      <c r="D2979" s="8" t="n">
        <v>45757</v>
      </c>
      <c r="E2979" s="9" t="n">
        <v>14843.17</v>
      </c>
      <c r="F2979" s="8" t="n">
        <v>45761</v>
      </c>
      <c r="G2979" s="9" t="n">
        <v>14843.17</v>
      </c>
      <c r="H2979" t="inlineStr">
        <is>
          <t>PAID_ON_TIME</t>
        </is>
      </c>
      <c r="I2979">
        <f>IF(H2979="UNPAID", AsOfDate-D2979, 0)</f>
        <v/>
      </c>
      <c r="J2979">
        <f>IF(F2979&lt;&gt;"", TEXT(F2979, "yyyy-mm"), "")</f>
        <v/>
      </c>
    </row>
    <row r="2980">
      <c r="A2980" t="inlineStr">
        <is>
          <t>RP0002979</t>
        </is>
      </c>
      <c r="B2980" t="inlineStr">
        <is>
          <t>LN200427</t>
        </is>
      </c>
      <c r="C2980" t="n">
        <v>3</v>
      </c>
      <c r="D2980" s="8" t="n">
        <v>45787</v>
      </c>
      <c r="E2980" s="9" t="n">
        <v>14843.17</v>
      </c>
      <c r="F2980" s="8" t="n">
        <v>45790</v>
      </c>
      <c r="G2980" s="9" t="n">
        <v>14843.17</v>
      </c>
      <c r="H2980" t="inlineStr">
        <is>
          <t>PAID_ON_TIME</t>
        </is>
      </c>
      <c r="I2980">
        <f>IF(H2980="UNPAID", AsOfDate-D2980, 0)</f>
        <v/>
      </c>
      <c r="J2980">
        <f>IF(F2980&lt;&gt;"", TEXT(F2980, "yyyy-mm"), "")</f>
        <v/>
      </c>
    </row>
    <row r="2981">
      <c r="A2981" t="inlineStr">
        <is>
          <t>RP0002980</t>
        </is>
      </c>
      <c r="B2981" t="inlineStr">
        <is>
          <t>LN200427</t>
        </is>
      </c>
      <c r="C2981" t="n">
        <v>4</v>
      </c>
      <c r="D2981" s="8" t="n">
        <v>45818</v>
      </c>
      <c r="E2981" s="9" t="n">
        <v>14843.17</v>
      </c>
      <c r="F2981" s="8" t="n">
        <v>45817</v>
      </c>
      <c r="G2981" s="9" t="n">
        <v>14843.17</v>
      </c>
      <c r="H2981" t="inlineStr">
        <is>
          <t>PAID_ON_TIME</t>
        </is>
      </c>
      <c r="I2981">
        <f>IF(H2981="UNPAID", AsOfDate-D2981, 0)</f>
        <v/>
      </c>
      <c r="J2981">
        <f>IF(F2981&lt;&gt;"", TEXT(F2981, "yyyy-mm"), "")</f>
        <v/>
      </c>
    </row>
    <row r="2982">
      <c r="A2982" t="inlineStr">
        <is>
          <t>RP0002981</t>
        </is>
      </c>
      <c r="B2982" t="inlineStr">
        <is>
          <t>LN200427</t>
        </is>
      </c>
      <c r="C2982" t="n">
        <v>5</v>
      </c>
      <c r="D2982" s="8" t="n">
        <v>45848</v>
      </c>
      <c r="E2982" s="9" t="n">
        <v>14843.17</v>
      </c>
      <c r="F2982" s="8" t="n">
        <v>45850</v>
      </c>
      <c r="G2982" s="9" t="n">
        <v>14843.17</v>
      </c>
      <c r="H2982" t="inlineStr">
        <is>
          <t>PAID_ON_TIME</t>
        </is>
      </c>
      <c r="I2982">
        <f>IF(H2982="UNPAID", AsOfDate-D2982, 0)</f>
        <v/>
      </c>
      <c r="J2982">
        <f>IF(F2982&lt;&gt;"", TEXT(F2982, "yyyy-mm"), "")</f>
        <v/>
      </c>
    </row>
    <row r="2983">
      <c r="A2983" t="inlineStr">
        <is>
          <t>RP0002982</t>
        </is>
      </c>
      <c r="B2983" t="inlineStr">
        <is>
          <t>LN200427</t>
        </is>
      </c>
      <c r="C2983" t="n">
        <v>6</v>
      </c>
      <c r="D2983" s="8" t="n">
        <v>45879</v>
      </c>
      <c r="E2983" s="9" t="n">
        <v>14843.17</v>
      </c>
      <c r="F2983" s="8" t="n">
        <v>45877</v>
      </c>
      <c r="G2983" s="9" t="n">
        <v>14843.17</v>
      </c>
      <c r="H2983" t="inlineStr">
        <is>
          <t>PAID_ON_TIME</t>
        </is>
      </c>
      <c r="I2983">
        <f>IF(H2983="UNPAID", AsOfDate-D2983, 0)</f>
        <v/>
      </c>
      <c r="J2983">
        <f>IF(F2983&lt;&gt;"", TEXT(F2983, "yyyy-mm"), "")</f>
        <v/>
      </c>
    </row>
    <row r="2984">
      <c r="A2984" t="inlineStr">
        <is>
          <t>RP0002983</t>
        </is>
      </c>
      <c r="B2984" t="inlineStr">
        <is>
          <t>LN200428</t>
        </is>
      </c>
      <c r="C2984" t="n">
        <v>1</v>
      </c>
      <c r="D2984" s="8" t="n">
        <v>46092</v>
      </c>
      <c r="E2984" s="9" t="n">
        <v>7383.33</v>
      </c>
      <c r="F2984" s="8" t="n">
        <v>46101</v>
      </c>
      <c r="G2984" s="9" t="n">
        <v>7383.33</v>
      </c>
      <c r="H2984" t="inlineStr">
        <is>
          <t>PAID_LATE</t>
        </is>
      </c>
      <c r="I2984">
        <f>IF(H2984="UNPAID", AsOfDate-D2984, 0)</f>
        <v/>
      </c>
      <c r="J2984">
        <f>IF(F2984&lt;&gt;"", TEXT(F2984, "yyyy-mm"), "")</f>
        <v/>
      </c>
    </row>
    <row r="2985">
      <c r="A2985" t="inlineStr">
        <is>
          <t>RP0002984</t>
        </is>
      </c>
      <c r="B2985" t="inlineStr">
        <is>
          <t>LN200428</t>
        </is>
      </c>
      <c r="C2985" t="n">
        <v>2</v>
      </c>
      <c r="D2985" s="8" t="n">
        <v>46123</v>
      </c>
      <c r="E2985" s="9" t="n">
        <v>7383.33</v>
      </c>
      <c r="F2985" s="8" t="n">
        <v>46127</v>
      </c>
      <c r="G2985" s="9" t="n">
        <v>7383.33</v>
      </c>
      <c r="H2985" t="inlineStr">
        <is>
          <t>PAID_ON_TIME</t>
        </is>
      </c>
      <c r="I2985">
        <f>IF(H2985="UNPAID", AsOfDate-D2985, 0)</f>
        <v/>
      </c>
      <c r="J2985">
        <f>IF(F2985&lt;&gt;"", TEXT(F2985, "yyyy-mm"), "")</f>
        <v/>
      </c>
    </row>
    <row r="2986">
      <c r="A2986" t="inlineStr">
        <is>
          <t>RP0002985</t>
        </is>
      </c>
      <c r="B2986" t="inlineStr">
        <is>
          <t>LN200428</t>
        </is>
      </c>
      <c r="C2986" t="n">
        <v>3</v>
      </c>
      <c r="D2986" s="8" t="n">
        <v>46153</v>
      </c>
      <c r="E2986" s="9" t="n">
        <v>7383.33</v>
      </c>
      <c r="F2986" s="8" t="n">
        <v>46150</v>
      </c>
      <c r="G2986" s="9" t="n">
        <v>7383.33</v>
      </c>
      <c r="H2986" t="inlineStr">
        <is>
          <t>PAID_ON_TIME</t>
        </is>
      </c>
      <c r="I2986">
        <f>IF(H2986="UNPAID", AsOfDate-D2986, 0)</f>
        <v/>
      </c>
      <c r="J2986">
        <f>IF(F2986&lt;&gt;"", TEXT(F2986, "yyyy-mm"), "")</f>
        <v/>
      </c>
    </row>
    <row r="2987">
      <c r="A2987" t="inlineStr">
        <is>
          <t>RP0002986</t>
        </is>
      </c>
      <c r="B2987" t="inlineStr">
        <is>
          <t>LN200428</t>
        </is>
      </c>
      <c r="C2987" t="n">
        <v>4</v>
      </c>
      <c r="D2987" s="8" t="n">
        <v>46184</v>
      </c>
      <c r="E2987" s="9" t="n">
        <v>7383.33</v>
      </c>
      <c r="F2987" s="8" t="n">
        <v>46183</v>
      </c>
      <c r="G2987" s="9" t="n">
        <v>7383.33</v>
      </c>
      <c r="H2987" t="inlineStr">
        <is>
          <t>PAID_ON_TIME</t>
        </is>
      </c>
      <c r="I2987">
        <f>IF(H2987="UNPAID", AsOfDate-D2987, 0)</f>
        <v/>
      </c>
      <c r="J2987">
        <f>IF(F2987&lt;&gt;"", TEXT(F2987, "yyyy-mm"), "")</f>
        <v/>
      </c>
    </row>
    <row r="2988">
      <c r="A2988" t="inlineStr">
        <is>
          <t>RP0002987</t>
        </is>
      </c>
      <c r="B2988" t="inlineStr">
        <is>
          <t>LN200428</t>
        </is>
      </c>
      <c r="C2988" t="n">
        <v>5</v>
      </c>
      <c r="D2988" s="8" t="n">
        <v>46214</v>
      </c>
      <c r="E2988" s="9" t="n">
        <v>7383.33</v>
      </c>
      <c r="F2988" s="8" t="n">
        <v>46218</v>
      </c>
      <c r="G2988" s="9" t="n">
        <v>7383.33</v>
      </c>
      <c r="H2988" t="inlineStr">
        <is>
          <t>PAID_ON_TIME</t>
        </is>
      </c>
      <c r="I2988">
        <f>IF(H2988="UNPAID", AsOfDate-D2988, 0)</f>
        <v/>
      </c>
      <c r="J2988">
        <f>IF(F2988&lt;&gt;"", TEXT(F2988, "yyyy-mm"), "")</f>
        <v/>
      </c>
    </row>
    <row r="2989">
      <c r="A2989" t="inlineStr">
        <is>
          <t>RP0002988</t>
        </is>
      </c>
      <c r="B2989" t="inlineStr">
        <is>
          <t>LN200428</t>
        </is>
      </c>
      <c r="C2989" t="n">
        <v>6</v>
      </c>
      <c r="D2989" s="8" t="n">
        <v>46245</v>
      </c>
      <c r="E2989" s="9" t="n">
        <v>7383.33</v>
      </c>
      <c r="F2989" s="8" t="n">
        <v>46245</v>
      </c>
      <c r="G2989" s="9" t="n">
        <v>7383.33</v>
      </c>
      <c r="H2989" t="inlineStr">
        <is>
          <t>PAID_ON_TIME</t>
        </is>
      </c>
      <c r="I2989">
        <f>IF(H2989="UNPAID", AsOfDate-D2989, 0)</f>
        <v/>
      </c>
      <c r="J2989">
        <f>IF(F2989&lt;&gt;"", TEXT(F2989, "yyyy-mm"), "")</f>
        <v/>
      </c>
    </row>
    <row r="2990">
      <c r="A2990" t="inlineStr">
        <is>
          <t>RP0002989</t>
        </is>
      </c>
      <c r="B2990" t="inlineStr">
        <is>
          <t>LN200429</t>
        </is>
      </c>
      <c r="C2990" t="n">
        <v>1</v>
      </c>
      <c r="D2990" s="8" t="n">
        <v>46247</v>
      </c>
      <c r="E2990" s="9" t="n">
        <v>2936.67</v>
      </c>
      <c r="F2990" s="8" t="n">
        <v>46246</v>
      </c>
      <c r="G2990" s="9" t="n">
        <v>2936.67</v>
      </c>
      <c r="H2990" t="inlineStr">
        <is>
          <t>PAID_ON_TIME</t>
        </is>
      </c>
      <c r="I2990">
        <f>IF(H2990="UNPAID", AsOfDate-D2990, 0)</f>
        <v/>
      </c>
      <c r="J2990">
        <f>IF(F2990&lt;&gt;"", TEXT(F2990, "yyyy-mm"), "")</f>
        <v/>
      </c>
    </row>
    <row r="2991">
      <c r="A2991" t="inlineStr">
        <is>
          <t>RP0002990</t>
        </is>
      </c>
      <c r="B2991" t="inlineStr">
        <is>
          <t>LN200429</t>
        </is>
      </c>
      <c r="C2991" t="n">
        <v>2</v>
      </c>
      <c r="D2991" s="8" t="n">
        <v>46278</v>
      </c>
      <c r="E2991" s="9" t="n">
        <v>2936.67</v>
      </c>
      <c r="F2991" s="8" t="n"/>
      <c r="G2991" s="9" t="n">
        <v>0</v>
      </c>
      <c r="H2991" t="inlineStr">
        <is>
          <t>NOT_DUE</t>
        </is>
      </c>
      <c r="I2991">
        <f>IF(H2991="UNPAID", AsOfDate-D2991, 0)</f>
        <v/>
      </c>
      <c r="J2991">
        <f>IF(F2991&lt;&gt;"", TEXT(F2991, "yyyy-mm"), "")</f>
        <v/>
      </c>
    </row>
    <row r="2992">
      <c r="A2992" t="inlineStr">
        <is>
          <t>RP0002991</t>
        </is>
      </c>
      <c r="B2992" t="inlineStr">
        <is>
          <t>LN200429</t>
        </is>
      </c>
      <c r="C2992" t="n">
        <v>3</v>
      </c>
      <c r="D2992" s="8" t="n">
        <v>46308</v>
      </c>
      <c r="E2992" s="9" t="n">
        <v>2936.67</v>
      </c>
      <c r="F2992" s="8" t="n"/>
      <c r="G2992" s="9" t="n">
        <v>0</v>
      </c>
      <c r="H2992" t="inlineStr">
        <is>
          <t>NOT_DUE</t>
        </is>
      </c>
      <c r="I2992">
        <f>IF(H2992="UNPAID", AsOfDate-D2992, 0)</f>
        <v/>
      </c>
      <c r="J2992">
        <f>IF(F2992&lt;&gt;"", TEXT(F2992, "yyyy-mm"), "")</f>
        <v/>
      </c>
    </row>
    <row r="2993">
      <c r="A2993" t="inlineStr">
        <is>
          <t>RP0002992</t>
        </is>
      </c>
      <c r="B2993" t="inlineStr">
        <is>
          <t>LN200429</t>
        </is>
      </c>
      <c r="C2993" t="n">
        <v>4</v>
      </c>
      <c r="D2993" s="8" t="n">
        <v>46339</v>
      </c>
      <c r="E2993" s="9" t="n">
        <v>2936.67</v>
      </c>
      <c r="F2993" s="8" t="n"/>
      <c r="G2993" s="9" t="n">
        <v>0</v>
      </c>
      <c r="H2993" t="inlineStr">
        <is>
          <t>NOT_DUE</t>
        </is>
      </c>
      <c r="I2993">
        <f>IF(H2993="UNPAID", AsOfDate-D2993, 0)</f>
        <v/>
      </c>
      <c r="J2993">
        <f>IF(F2993&lt;&gt;"", TEXT(F2993, "yyyy-mm"), "")</f>
        <v/>
      </c>
    </row>
    <row r="2994">
      <c r="A2994" t="inlineStr">
        <is>
          <t>RP0002993</t>
        </is>
      </c>
      <c r="B2994" t="inlineStr">
        <is>
          <t>LN200429</t>
        </is>
      </c>
      <c r="C2994" t="n">
        <v>5</v>
      </c>
      <c r="D2994" s="8" t="n">
        <v>46369</v>
      </c>
      <c r="E2994" s="9" t="n">
        <v>2936.67</v>
      </c>
      <c r="F2994" s="8" t="n"/>
      <c r="G2994" s="9" t="n">
        <v>0</v>
      </c>
      <c r="H2994" t="inlineStr">
        <is>
          <t>NOT_DUE</t>
        </is>
      </c>
      <c r="I2994">
        <f>IF(H2994="UNPAID", AsOfDate-D2994, 0)</f>
        <v/>
      </c>
      <c r="J2994">
        <f>IF(F2994&lt;&gt;"", TEXT(F2994, "yyyy-mm"), "")</f>
        <v/>
      </c>
    </row>
    <row r="2995">
      <c r="A2995" t="inlineStr">
        <is>
          <t>RP0002994</t>
        </is>
      </c>
      <c r="B2995" t="inlineStr">
        <is>
          <t>LN200429</t>
        </is>
      </c>
      <c r="C2995" t="n">
        <v>6</v>
      </c>
      <c r="D2995" s="8" t="n">
        <v>46400</v>
      </c>
      <c r="E2995" s="9" t="n">
        <v>2936.67</v>
      </c>
      <c r="F2995" s="8" t="n"/>
      <c r="G2995" s="9" t="n">
        <v>0</v>
      </c>
      <c r="H2995" t="inlineStr">
        <is>
          <t>NOT_DUE</t>
        </is>
      </c>
      <c r="I2995">
        <f>IF(H2995="UNPAID", AsOfDate-D2995, 0)</f>
        <v/>
      </c>
      <c r="J2995">
        <f>IF(F2995&lt;&gt;"", TEXT(F2995, "yyyy-mm"), "")</f>
        <v/>
      </c>
    </row>
    <row r="2996">
      <c r="A2996" t="inlineStr">
        <is>
          <t>RP0002995</t>
        </is>
      </c>
      <c r="B2996" t="inlineStr">
        <is>
          <t>LN200429</t>
        </is>
      </c>
      <c r="C2996" t="n">
        <v>7</v>
      </c>
      <c r="D2996" s="8" t="n">
        <v>46431</v>
      </c>
      <c r="E2996" s="9" t="n">
        <v>2936.67</v>
      </c>
      <c r="F2996" s="8" t="n"/>
      <c r="G2996" s="9" t="n">
        <v>0</v>
      </c>
      <c r="H2996" t="inlineStr">
        <is>
          <t>NOT_DUE</t>
        </is>
      </c>
      <c r="I2996">
        <f>IF(H2996="UNPAID", AsOfDate-D2996, 0)</f>
        <v/>
      </c>
      <c r="J2996">
        <f>IF(F2996&lt;&gt;"", TEXT(F2996, "yyyy-mm"), "")</f>
        <v/>
      </c>
    </row>
    <row r="2997">
      <c r="A2997" t="inlineStr">
        <is>
          <t>RP0002996</t>
        </is>
      </c>
      <c r="B2997" t="inlineStr">
        <is>
          <t>LN200429</t>
        </is>
      </c>
      <c r="C2997" t="n">
        <v>8</v>
      </c>
      <c r="D2997" s="8" t="n">
        <v>46459</v>
      </c>
      <c r="E2997" s="9" t="n">
        <v>2936.67</v>
      </c>
      <c r="F2997" s="8" t="n"/>
      <c r="G2997" s="9" t="n">
        <v>0</v>
      </c>
      <c r="H2997" t="inlineStr">
        <is>
          <t>NOT_DUE</t>
        </is>
      </c>
      <c r="I2997">
        <f>IF(H2997="UNPAID", AsOfDate-D2997, 0)</f>
        <v/>
      </c>
      <c r="J2997">
        <f>IF(F2997&lt;&gt;"", TEXT(F2997, "yyyy-mm"), "")</f>
        <v/>
      </c>
    </row>
    <row r="2998">
      <c r="A2998" t="inlineStr">
        <is>
          <t>RP0002997</t>
        </is>
      </c>
      <c r="B2998" t="inlineStr">
        <is>
          <t>LN200429</t>
        </is>
      </c>
      <c r="C2998" t="n">
        <v>9</v>
      </c>
      <c r="D2998" s="8" t="n">
        <v>46490</v>
      </c>
      <c r="E2998" s="9" t="n">
        <v>2936.67</v>
      </c>
      <c r="F2998" s="8" t="n"/>
      <c r="G2998" s="9" t="n">
        <v>0</v>
      </c>
      <c r="H2998" t="inlineStr">
        <is>
          <t>NOT_DUE</t>
        </is>
      </c>
      <c r="I2998">
        <f>IF(H2998="UNPAID", AsOfDate-D2998, 0)</f>
        <v/>
      </c>
      <c r="J2998">
        <f>IF(F2998&lt;&gt;"", TEXT(F2998, "yyyy-mm"), "")</f>
        <v/>
      </c>
    </row>
    <row r="2999">
      <c r="A2999" t="inlineStr">
        <is>
          <t>RP0002998</t>
        </is>
      </c>
      <c r="B2999" t="inlineStr">
        <is>
          <t>LN200430</t>
        </is>
      </c>
      <c r="C2999" t="n">
        <v>1</v>
      </c>
      <c r="D2999" s="8" t="n">
        <v>46122</v>
      </c>
      <c r="E2999" s="9" t="n">
        <v>21715.5</v>
      </c>
      <c r="F2999" s="8" t="n">
        <v>46124</v>
      </c>
      <c r="G2999" s="9" t="n">
        <v>21715.5</v>
      </c>
      <c r="H2999" t="inlineStr">
        <is>
          <t>PAID_ON_TIME</t>
        </is>
      </c>
      <c r="I2999">
        <f>IF(H2999="UNPAID", AsOfDate-D2999, 0)</f>
        <v/>
      </c>
      <c r="J2999">
        <f>IF(F2999&lt;&gt;"", TEXT(F2999, "yyyy-mm"), "")</f>
        <v/>
      </c>
    </row>
    <row r="3000">
      <c r="A3000" t="inlineStr">
        <is>
          <t>RP0002999</t>
        </is>
      </c>
      <c r="B3000" t="inlineStr">
        <is>
          <t>LN200430</t>
        </is>
      </c>
      <c r="C3000" t="n">
        <v>2</v>
      </c>
      <c r="D3000" s="8" t="n">
        <v>46152</v>
      </c>
      <c r="E3000" s="9" t="n">
        <v>21715.5</v>
      </c>
      <c r="F3000" s="8" t="n">
        <v>46153</v>
      </c>
      <c r="G3000" s="9" t="n">
        <v>21715.5</v>
      </c>
      <c r="H3000" t="inlineStr">
        <is>
          <t>PAID_ON_TIME</t>
        </is>
      </c>
      <c r="I3000">
        <f>IF(H3000="UNPAID", AsOfDate-D3000, 0)</f>
        <v/>
      </c>
      <c r="J3000">
        <f>IF(F3000&lt;&gt;"", TEXT(F3000, "yyyy-mm"), "")</f>
        <v/>
      </c>
    </row>
    <row r="3001">
      <c r="A3001" t="inlineStr">
        <is>
          <t>RP0003000</t>
        </is>
      </c>
      <c r="B3001" t="inlineStr">
        <is>
          <t>LN200430</t>
        </is>
      </c>
      <c r="C3001" t="n">
        <v>3</v>
      </c>
      <c r="D3001" s="8" t="n">
        <v>46183</v>
      </c>
      <c r="E3001" s="9" t="n">
        <v>21715.5</v>
      </c>
      <c r="F3001" s="8" t="n">
        <v>46183</v>
      </c>
      <c r="G3001" s="9" t="n">
        <v>21715.5</v>
      </c>
      <c r="H3001" t="inlineStr">
        <is>
          <t>PAID_ON_TIME</t>
        </is>
      </c>
      <c r="I3001">
        <f>IF(H3001="UNPAID", AsOfDate-D3001, 0)</f>
        <v/>
      </c>
      <c r="J3001">
        <f>IF(F3001&lt;&gt;"", TEXT(F3001, "yyyy-mm"), "")</f>
        <v/>
      </c>
    </row>
    <row r="3002">
      <c r="A3002" t="inlineStr">
        <is>
          <t>RP0003001</t>
        </is>
      </c>
      <c r="B3002" t="inlineStr">
        <is>
          <t>LN200432</t>
        </is>
      </c>
      <c r="C3002" t="n">
        <v>1</v>
      </c>
      <c r="D3002" s="8" t="n">
        <v>45714</v>
      </c>
      <c r="E3002" s="9" t="n">
        <v>3663.33</v>
      </c>
      <c r="F3002" s="8" t="n">
        <v>45715</v>
      </c>
      <c r="G3002" s="9" t="n">
        <v>3663.33</v>
      </c>
      <c r="H3002" t="inlineStr">
        <is>
          <t>PAID_ON_TIME</t>
        </is>
      </c>
      <c r="I3002">
        <f>IF(H3002="UNPAID", AsOfDate-D3002, 0)</f>
        <v/>
      </c>
      <c r="J3002">
        <f>IF(F3002&lt;&gt;"", TEXT(F3002, "yyyy-mm"), "")</f>
        <v/>
      </c>
    </row>
    <row r="3003">
      <c r="A3003" t="inlineStr">
        <is>
          <t>RP0003002</t>
        </is>
      </c>
      <c r="B3003" t="inlineStr">
        <is>
          <t>LN200432</t>
        </is>
      </c>
      <c r="C3003" t="n">
        <v>2</v>
      </c>
      <c r="D3003" s="8" t="n">
        <v>45742</v>
      </c>
      <c r="E3003" s="9" t="n">
        <v>3663.33</v>
      </c>
      <c r="F3003" s="8" t="n">
        <v>45745</v>
      </c>
      <c r="G3003" s="9" t="n">
        <v>3663.33</v>
      </c>
      <c r="H3003" t="inlineStr">
        <is>
          <t>PAID_ON_TIME</t>
        </is>
      </c>
      <c r="I3003">
        <f>IF(H3003="UNPAID", AsOfDate-D3003, 0)</f>
        <v/>
      </c>
      <c r="J3003">
        <f>IF(F3003&lt;&gt;"", TEXT(F3003, "yyyy-mm"), "")</f>
        <v/>
      </c>
    </row>
    <row r="3004">
      <c r="A3004" t="inlineStr">
        <is>
          <t>RP0003003</t>
        </is>
      </c>
      <c r="B3004" t="inlineStr">
        <is>
          <t>LN200432</t>
        </is>
      </c>
      <c r="C3004" t="n">
        <v>3</v>
      </c>
      <c r="D3004" s="8" t="n">
        <v>45773</v>
      </c>
      <c r="E3004" s="9" t="n">
        <v>3663.33</v>
      </c>
      <c r="F3004" s="8" t="n">
        <v>45776</v>
      </c>
      <c r="G3004" s="9" t="n">
        <v>3663.33</v>
      </c>
      <c r="H3004" t="inlineStr">
        <is>
          <t>PAID_ON_TIME</t>
        </is>
      </c>
      <c r="I3004">
        <f>IF(H3004="UNPAID", AsOfDate-D3004, 0)</f>
        <v/>
      </c>
      <c r="J3004">
        <f>IF(F3004&lt;&gt;"", TEXT(F3004, "yyyy-mm"), "")</f>
        <v/>
      </c>
    </row>
    <row r="3005">
      <c r="A3005" t="inlineStr">
        <is>
          <t>RP0003004</t>
        </is>
      </c>
      <c r="B3005" t="inlineStr">
        <is>
          <t>LN200432</t>
        </is>
      </c>
      <c r="C3005" t="n">
        <v>4</v>
      </c>
      <c r="D3005" s="8" t="n">
        <v>45803</v>
      </c>
      <c r="E3005" s="9" t="n">
        <v>3663.33</v>
      </c>
      <c r="F3005" s="8" t="n">
        <v>45801</v>
      </c>
      <c r="G3005" s="9" t="n">
        <v>3663.33</v>
      </c>
      <c r="H3005" t="inlineStr">
        <is>
          <t>PAID_ON_TIME</t>
        </is>
      </c>
      <c r="I3005">
        <f>IF(H3005="UNPAID", AsOfDate-D3005, 0)</f>
        <v/>
      </c>
      <c r="J3005">
        <f>IF(F3005&lt;&gt;"", TEXT(F3005, "yyyy-mm"), "")</f>
        <v/>
      </c>
    </row>
    <row r="3006">
      <c r="A3006" t="inlineStr">
        <is>
          <t>RP0003005</t>
        </is>
      </c>
      <c r="B3006" t="inlineStr">
        <is>
          <t>LN200432</t>
        </is>
      </c>
      <c r="C3006" t="n">
        <v>5</v>
      </c>
      <c r="D3006" s="8" t="n">
        <v>45834</v>
      </c>
      <c r="E3006" s="9" t="n">
        <v>3663.33</v>
      </c>
      <c r="F3006" s="8" t="n">
        <v>45836</v>
      </c>
      <c r="G3006" s="9" t="n">
        <v>3663.33</v>
      </c>
      <c r="H3006" t="inlineStr">
        <is>
          <t>PAID_ON_TIME</t>
        </is>
      </c>
      <c r="I3006">
        <f>IF(H3006="UNPAID", AsOfDate-D3006, 0)</f>
        <v/>
      </c>
      <c r="J3006">
        <f>IF(F3006&lt;&gt;"", TEXT(F3006, "yyyy-mm"), "")</f>
        <v/>
      </c>
    </row>
    <row r="3007">
      <c r="A3007" t="inlineStr">
        <is>
          <t>RP0003006</t>
        </is>
      </c>
      <c r="B3007" t="inlineStr">
        <is>
          <t>LN200432</t>
        </is>
      </c>
      <c r="C3007" t="n">
        <v>6</v>
      </c>
      <c r="D3007" s="8" t="n">
        <v>45864</v>
      </c>
      <c r="E3007" s="9" t="n">
        <v>3663.33</v>
      </c>
      <c r="F3007" s="8" t="n">
        <v>45863</v>
      </c>
      <c r="G3007" s="9" t="n">
        <v>3663.33</v>
      </c>
      <c r="H3007" t="inlineStr">
        <is>
          <t>PAID_ON_TIME</t>
        </is>
      </c>
      <c r="I3007">
        <f>IF(H3007="UNPAID", AsOfDate-D3007, 0)</f>
        <v/>
      </c>
      <c r="J3007">
        <f>IF(F3007&lt;&gt;"", TEXT(F3007, "yyyy-mm"), "")</f>
        <v/>
      </c>
    </row>
    <row r="3008">
      <c r="A3008" t="inlineStr">
        <is>
          <t>RP0003007</t>
        </is>
      </c>
      <c r="B3008" t="inlineStr">
        <is>
          <t>LN200433</t>
        </is>
      </c>
      <c r="C3008" t="n">
        <v>1</v>
      </c>
      <c r="D3008" s="8" t="n">
        <v>46138</v>
      </c>
      <c r="E3008" s="9" t="n">
        <v>35742.5</v>
      </c>
      <c r="F3008" s="8" t="n">
        <v>46137</v>
      </c>
      <c r="G3008" s="9" t="n">
        <v>35742.5</v>
      </c>
      <c r="H3008" t="inlineStr">
        <is>
          <t>PAID_ON_TIME</t>
        </is>
      </c>
      <c r="I3008">
        <f>IF(H3008="UNPAID", AsOfDate-D3008, 0)</f>
        <v/>
      </c>
      <c r="J3008">
        <f>IF(F3008&lt;&gt;"", TEXT(F3008, "yyyy-mm"), "")</f>
        <v/>
      </c>
    </row>
    <row r="3009">
      <c r="A3009" t="inlineStr">
        <is>
          <t>RP0003008</t>
        </is>
      </c>
      <c r="B3009" t="inlineStr">
        <is>
          <t>LN200433</t>
        </is>
      </c>
      <c r="C3009" t="n">
        <v>2</v>
      </c>
      <c r="D3009" s="8" t="n">
        <v>46168</v>
      </c>
      <c r="E3009" s="9" t="n">
        <v>35742.5</v>
      </c>
      <c r="F3009" s="8" t="n">
        <v>46202</v>
      </c>
      <c r="G3009" s="9" t="n">
        <v>35742.5</v>
      </c>
      <c r="H3009" t="inlineStr">
        <is>
          <t>PAID_LATE</t>
        </is>
      </c>
      <c r="I3009">
        <f>IF(H3009="UNPAID", AsOfDate-D3009, 0)</f>
        <v/>
      </c>
      <c r="J3009">
        <f>IF(F3009&lt;&gt;"", TEXT(F3009, "yyyy-mm"), "")</f>
        <v/>
      </c>
    </row>
    <row r="3010">
      <c r="A3010" t="inlineStr">
        <is>
          <t>RP0003009</t>
        </is>
      </c>
      <c r="B3010" t="inlineStr">
        <is>
          <t>LN200433</t>
        </is>
      </c>
      <c r="C3010" t="n">
        <v>3</v>
      </c>
      <c r="D3010" s="8" t="n">
        <v>46199</v>
      </c>
      <c r="E3010" s="9" t="n">
        <v>35742.5</v>
      </c>
      <c r="F3010" s="8" t="n"/>
      <c r="G3010" s="9" t="n">
        <v>0</v>
      </c>
      <c r="H3010" t="inlineStr">
        <is>
          <t>UNPAID</t>
        </is>
      </c>
      <c r="I3010">
        <f>IF(H3010="UNPAID", AsOfDate-D3010, 0)</f>
        <v/>
      </c>
      <c r="J3010">
        <f>IF(F3010&lt;&gt;"", TEXT(F3010, "yyyy-mm"), "")</f>
        <v/>
      </c>
    </row>
    <row r="3011">
      <c r="A3011" t="inlineStr">
        <is>
          <t>RP0003010</t>
        </is>
      </c>
      <c r="B3011" t="inlineStr">
        <is>
          <t>LN200434</t>
        </is>
      </c>
      <c r="C3011" t="n">
        <v>1</v>
      </c>
      <c r="D3011" s="8" t="n">
        <v>46254</v>
      </c>
      <c r="E3011" s="9" t="n">
        <v>19725.33</v>
      </c>
      <c r="F3011" s="8" t="n">
        <v>46254</v>
      </c>
      <c r="G3011" s="9" t="n">
        <v>19725.33</v>
      </c>
      <c r="H3011" t="inlineStr">
        <is>
          <t>PAID_ON_TIME</t>
        </is>
      </c>
      <c r="I3011">
        <f>IF(H3011="UNPAID", AsOfDate-D3011, 0)</f>
        <v/>
      </c>
      <c r="J3011">
        <f>IF(F3011&lt;&gt;"", TEXT(F3011, "yyyy-mm"), "")</f>
        <v/>
      </c>
    </row>
    <row r="3012">
      <c r="A3012" t="inlineStr">
        <is>
          <t>RP0003011</t>
        </is>
      </c>
      <c r="B3012" t="inlineStr">
        <is>
          <t>LN200434</t>
        </is>
      </c>
      <c r="C3012" t="n">
        <v>2</v>
      </c>
      <c r="D3012" s="8" t="n">
        <v>46285</v>
      </c>
      <c r="E3012" s="9" t="n">
        <v>19725.33</v>
      </c>
      <c r="F3012" s="8" t="n"/>
      <c r="G3012" s="9" t="n">
        <v>0</v>
      </c>
      <c r="H3012" t="inlineStr">
        <is>
          <t>NOT_DUE</t>
        </is>
      </c>
      <c r="I3012">
        <f>IF(H3012="UNPAID", AsOfDate-D3012, 0)</f>
        <v/>
      </c>
      <c r="J3012">
        <f>IF(F3012&lt;&gt;"", TEXT(F3012, "yyyy-mm"), "")</f>
        <v/>
      </c>
    </row>
    <row r="3013">
      <c r="A3013" t="inlineStr">
        <is>
          <t>RP0003012</t>
        </is>
      </c>
      <c r="B3013" t="inlineStr">
        <is>
          <t>LN200434</t>
        </is>
      </c>
      <c r="C3013" t="n">
        <v>3</v>
      </c>
      <c r="D3013" s="8" t="n">
        <v>46315</v>
      </c>
      <c r="E3013" s="9" t="n">
        <v>19725.33</v>
      </c>
      <c r="F3013" s="8" t="n"/>
      <c r="G3013" s="9" t="n">
        <v>0</v>
      </c>
      <c r="H3013" t="inlineStr">
        <is>
          <t>NOT_DUE</t>
        </is>
      </c>
      <c r="I3013">
        <f>IF(H3013="UNPAID", AsOfDate-D3013, 0)</f>
        <v/>
      </c>
      <c r="J3013">
        <f>IF(F3013&lt;&gt;"", TEXT(F3013, "yyyy-mm"), "")</f>
        <v/>
      </c>
    </row>
    <row r="3014">
      <c r="A3014" t="inlineStr">
        <is>
          <t>RP0003013</t>
        </is>
      </c>
      <c r="B3014" t="inlineStr">
        <is>
          <t>LN200434</t>
        </is>
      </c>
      <c r="C3014" t="n">
        <v>4</v>
      </c>
      <c r="D3014" s="8" t="n">
        <v>46346</v>
      </c>
      <c r="E3014" s="9" t="n">
        <v>19725.33</v>
      </c>
      <c r="F3014" s="8" t="n"/>
      <c r="G3014" s="9" t="n">
        <v>0</v>
      </c>
      <c r="H3014" t="inlineStr">
        <is>
          <t>NOT_DUE</t>
        </is>
      </c>
      <c r="I3014">
        <f>IF(H3014="UNPAID", AsOfDate-D3014, 0)</f>
        <v/>
      </c>
      <c r="J3014">
        <f>IF(F3014&lt;&gt;"", TEXT(F3014, "yyyy-mm"), "")</f>
        <v/>
      </c>
    </row>
    <row r="3015">
      <c r="A3015" t="inlineStr">
        <is>
          <t>RP0003014</t>
        </is>
      </c>
      <c r="B3015" t="inlineStr">
        <is>
          <t>LN200434</t>
        </is>
      </c>
      <c r="C3015" t="n">
        <v>5</v>
      </c>
      <c r="D3015" s="8" t="n">
        <v>46376</v>
      </c>
      <c r="E3015" s="9" t="n">
        <v>19725.33</v>
      </c>
      <c r="F3015" s="8" t="n"/>
      <c r="G3015" s="9" t="n">
        <v>0</v>
      </c>
      <c r="H3015" t="inlineStr">
        <is>
          <t>NOT_DUE</t>
        </is>
      </c>
      <c r="I3015">
        <f>IF(H3015="UNPAID", AsOfDate-D3015, 0)</f>
        <v/>
      </c>
      <c r="J3015">
        <f>IF(F3015&lt;&gt;"", TEXT(F3015, "yyyy-mm"), "")</f>
        <v/>
      </c>
    </row>
    <row r="3016">
      <c r="A3016" t="inlineStr">
        <is>
          <t>RP0003015</t>
        </is>
      </c>
      <c r="B3016" t="inlineStr">
        <is>
          <t>LN200434</t>
        </is>
      </c>
      <c r="C3016" t="n">
        <v>6</v>
      </c>
      <c r="D3016" s="8" t="n">
        <v>46407</v>
      </c>
      <c r="E3016" s="9" t="n">
        <v>19725.33</v>
      </c>
      <c r="F3016" s="8" t="n"/>
      <c r="G3016" s="9" t="n">
        <v>0</v>
      </c>
      <c r="H3016" t="inlineStr">
        <is>
          <t>NOT_DUE</t>
        </is>
      </c>
      <c r="I3016">
        <f>IF(H3016="UNPAID", AsOfDate-D3016, 0)</f>
        <v/>
      </c>
      <c r="J3016">
        <f>IF(F3016&lt;&gt;"", TEXT(F3016, "yyyy-mm"), "")</f>
        <v/>
      </c>
    </row>
    <row r="3017">
      <c r="A3017" t="inlineStr">
        <is>
          <t>RP0003016</t>
        </is>
      </c>
      <c r="B3017" t="inlineStr">
        <is>
          <t>LN200434</t>
        </is>
      </c>
      <c r="C3017" t="n">
        <v>7</v>
      </c>
      <c r="D3017" s="8" t="n">
        <v>46438</v>
      </c>
      <c r="E3017" s="9" t="n">
        <v>19725.33</v>
      </c>
      <c r="F3017" s="8" t="n"/>
      <c r="G3017" s="9" t="n">
        <v>0</v>
      </c>
      <c r="H3017" t="inlineStr">
        <is>
          <t>NOT_DUE</t>
        </is>
      </c>
      <c r="I3017">
        <f>IF(H3017="UNPAID", AsOfDate-D3017, 0)</f>
        <v/>
      </c>
      <c r="J3017">
        <f>IF(F3017&lt;&gt;"", TEXT(F3017, "yyyy-mm"), "")</f>
        <v/>
      </c>
    </row>
    <row r="3018">
      <c r="A3018" t="inlineStr">
        <is>
          <t>RP0003017</t>
        </is>
      </c>
      <c r="B3018" t="inlineStr">
        <is>
          <t>LN200434</t>
        </is>
      </c>
      <c r="C3018" t="n">
        <v>8</v>
      </c>
      <c r="D3018" s="8" t="n">
        <v>46466</v>
      </c>
      <c r="E3018" s="9" t="n">
        <v>19725.33</v>
      </c>
      <c r="F3018" s="8" t="n"/>
      <c r="G3018" s="9" t="n">
        <v>0</v>
      </c>
      <c r="H3018" t="inlineStr">
        <is>
          <t>NOT_DUE</t>
        </is>
      </c>
      <c r="I3018">
        <f>IF(H3018="UNPAID", AsOfDate-D3018, 0)</f>
        <v/>
      </c>
      <c r="J3018">
        <f>IF(F3018&lt;&gt;"", TEXT(F3018, "yyyy-mm"), "")</f>
        <v/>
      </c>
    </row>
    <row r="3019">
      <c r="A3019" t="inlineStr">
        <is>
          <t>RP0003018</t>
        </is>
      </c>
      <c r="B3019" t="inlineStr">
        <is>
          <t>LN200434</t>
        </is>
      </c>
      <c r="C3019" t="n">
        <v>9</v>
      </c>
      <c r="D3019" s="8" t="n">
        <v>46497</v>
      </c>
      <c r="E3019" s="9" t="n">
        <v>19725.33</v>
      </c>
      <c r="F3019" s="8" t="n"/>
      <c r="G3019" s="9" t="n">
        <v>0</v>
      </c>
      <c r="H3019" t="inlineStr">
        <is>
          <t>NOT_DUE</t>
        </is>
      </c>
      <c r="I3019">
        <f>IF(H3019="UNPAID", AsOfDate-D3019, 0)</f>
        <v/>
      </c>
      <c r="J3019">
        <f>IF(F3019&lt;&gt;"", TEXT(F3019, "yyyy-mm"), "")</f>
        <v/>
      </c>
    </row>
    <row r="3020">
      <c r="A3020" t="inlineStr">
        <is>
          <t>RP0003019</t>
        </is>
      </c>
      <c r="B3020" t="inlineStr">
        <is>
          <t>LN200435</t>
        </is>
      </c>
      <c r="C3020" t="n">
        <v>1</v>
      </c>
      <c r="D3020" s="8" t="n">
        <v>46088</v>
      </c>
      <c r="E3020" s="9" t="n">
        <v>19497.78</v>
      </c>
      <c r="F3020" s="8" t="n">
        <v>46085</v>
      </c>
      <c r="G3020" s="9" t="n">
        <v>19497.78</v>
      </c>
      <c r="H3020" t="inlineStr">
        <is>
          <t>PAID_ON_TIME</t>
        </is>
      </c>
      <c r="I3020">
        <f>IF(H3020="UNPAID", AsOfDate-D3020, 0)</f>
        <v/>
      </c>
      <c r="J3020">
        <f>IF(F3020&lt;&gt;"", TEXT(F3020, "yyyy-mm"), "")</f>
        <v/>
      </c>
    </row>
    <row r="3021">
      <c r="A3021" t="inlineStr">
        <is>
          <t>RP0003020</t>
        </is>
      </c>
      <c r="B3021" t="inlineStr">
        <is>
          <t>LN200435</t>
        </is>
      </c>
      <c r="C3021" t="n">
        <v>2</v>
      </c>
      <c r="D3021" s="8" t="n">
        <v>46119</v>
      </c>
      <c r="E3021" s="9" t="n">
        <v>19497.78</v>
      </c>
      <c r="F3021" s="8" t="n">
        <v>46116</v>
      </c>
      <c r="G3021" s="9" t="n">
        <v>19497.78</v>
      </c>
      <c r="H3021" t="inlineStr">
        <is>
          <t>PAID_ON_TIME</t>
        </is>
      </c>
      <c r="I3021">
        <f>IF(H3021="UNPAID", AsOfDate-D3021, 0)</f>
        <v/>
      </c>
      <c r="J3021">
        <f>IF(F3021&lt;&gt;"", TEXT(F3021, "yyyy-mm"), "")</f>
        <v/>
      </c>
    </row>
    <row r="3022">
      <c r="A3022" t="inlineStr">
        <is>
          <t>RP0003021</t>
        </is>
      </c>
      <c r="B3022" t="inlineStr">
        <is>
          <t>LN200435</t>
        </is>
      </c>
      <c r="C3022" t="n">
        <v>3</v>
      </c>
      <c r="D3022" s="8" t="n">
        <v>46149</v>
      </c>
      <c r="E3022" s="9" t="n">
        <v>19497.78</v>
      </c>
      <c r="F3022" s="8" t="n">
        <v>46228</v>
      </c>
      <c r="G3022" s="9" t="n">
        <v>19497.78</v>
      </c>
      <c r="H3022" t="inlineStr">
        <is>
          <t>PAID_LATE</t>
        </is>
      </c>
      <c r="I3022">
        <f>IF(H3022="UNPAID", AsOfDate-D3022, 0)</f>
        <v/>
      </c>
      <c r="J3022">
        <f>IF(F3022&lt;&gt;"", TEXT(F3022, "yyyy-mm"), "")</f>
        <v/>
      </c>
    </row>
    <row r="3023">
      <c r="A3023" t="inlineStr">
        <is>
          <t>RP0003022</t>
        </is>
      </c>
      <c r="B3023" t="inlineStr">
        <is>
          <t>LN200435</t>
        </is>
      </c>
      <c r="C3023" t="n">
        <v>4</v>
      </c>
      <c r="D3023" s="8" t="n">
        <v>46180</v>
      </c>
      <c r="E3023" s="9" t="n">
        <v>19497.78</v>
      </c>
      <c r="F3023" s="8" t="n">
        <v>46177</v>
      </c>
      <c r="G3023" s="9" t="n">
        <v>19497.78</v>
      </c>
      <c r="H3023" t="inlineStr">
        <is>
          <t>PAID_ON_TIME</t>
        </is>
      </c>
      <c r="I3023">
        <f>IF(H3023="UNPAID", AsOfDate-D3023, 0)</f>
        <v/>
      </c>
      <c r="J3023">
        <f>IF(F3023&lt;&gt;"", TEXT(F3023, "yyyy-mm"), "")</f>
        <v/>
      </c>
    </row>
    <row r="3024">
      <c r="A3024" t="inlineStr">
        <is>
          <t>RP0003023</t>
        </is>
      </c>
      <c r="B3024" t="inlineStr">
        <is>
          <t>LN200435</t>
        </is>
      </c>
      <c r="C3024" t="n">
        <v>5</v>
      </c>
      <c r="D3024" s="8" t="n">
        <v>46210</v>
      </c>
      <c r="E3024" s="9" t="n">
        <v>19497.78</v>
      </c>
      <c r="F3024" s="8" t="n">
        <v>46209</v>
      </c>
      <c r="G3024" s="9" t="n">
        <v>19497.78</v>
      </c>
      <c r="H3024" t="inlineStr">
        <is>
          <t>PAID_ON_TIME</t>
        </is>
      </c>
      <c r="I3024">
        <f>IF(H3024="UNPAID", AsOfDate-D3024, 0)</f>
        <v/>
      </c>
      <c r="J3024">
        <f>IF(F3024&lt;&gt;"", TEXT(F3024, "yyyy-mm"), "")</f>
        <v/>
      </c>
    </row>
    <row r="3025">
      <c r="A3025" t="inlineStr">
        <is>
          <t>RP0003024</t>
        </is>
      </c>
      <c r="B3025" t="inlineStr">
        <is>
          <t>LN200435</t>
        </is>
      </c>
      <c r="C3025" t="n">
        <v>6</v>
      </c>
      <c r="D3025" s="8" t="n">
        <v>46241</v>
      </c>
      <c r="E3025" s="9" t="n">
        <v>19497.78</v>
      </c>
      <c r="F3025" s="8" t="n">
        <v>46243</v>
      </c>
      <c r="G3025" s="9" t="n">
        <v>19497.78</v>
      </c>
      <c r="H3025" t="inlineStr">
        <is>
          <t>PAID_ON_TIME</t>
        </is>
      </c>
      <c r="I3025">
        <f>IF(H3025="UNPAID", AsOfDate-D3025, 0)</f>
        <v/>
      </c>
      <c r="J3025">
        <f>IF(F3025&lt;&gt;"", TEXT(F3025, "yyyy-mm"), "")</f>
        <v/>
      </c>
    </row>
    <row r="3026">
      <c r="A3026" t="inlineStr">
        <is>
          <t>RP0003025</t>
        </is>
      </c>
      <c r="B3026" t="inlineStr">
        <is>
          <t>LN200435</t>
        </is>
      </c>
      <c r="C3026" t="n">
        <v>7</v>
      </c>
      <c r="D3026" s="8" t="n">
        <v>46272</v>
      </c>
      <c r="E3026" s="9" t="n">
        <v>19497.78</v>
      </c>
      <c r="F3026" s="8" t="n"/>
      <c r="G3026" s="9" t="n">
        <v>0</v>
      </c>
      <c r="H3026" t="inlineStr">
        <is>
          <t>NOT_DUE</t>
        </is>
      </c>
      <c r="I3026">
        <f>IF(H3026="UNPAID", AsOfDate-D3026, 0)</f>
        <v/>
      </c>
      <c r="J3026">
        <f>IF(F3026&lt;&gt;"", TEXT(F3026, "yyyy-mm"), "")</f>
        <v/>
      </c>
    </row>
    <row r="3027">
      <c r="A3027" t="inlineStr">
        <is>
          <t>RP0003026</t>
        </is>
      </c>
      <c r="B3027" t="inlineStr">
        <is>
          <t>LN200435</t>
        </is>
      </c>
      <c r="C3027" t="n">
        <v>8</v>
      </c>
      <c r="D3027" s="8" t="n">
        <v>46302</v>
      </c>
      <c r="E3027" s="9" t="n">
        <v>19497.78</v>
      </c>
      <c r="F3027" s="8" t="n"/>
      <c r="G3027" s="9" t="n">
        <v>0</v>
      </c>
      <c r="H3027" t="inlineStr">
        <is>
          <t>NOT_DUE</t>
        </is>
      </c>
      <c r="I3027">
        <f>IF(H3027="UNPAID", AsOfDate-D3027, 0)</f>
        <v/>
      </c>
      <c r="J3027">
        <f>IF(F3027&lt;&gt;"", TEXT(F3027, "yyyy-mm"), "")</f>
        <v/>
      </c>
    </row>
    <row r="3028">
      <c r="A3028" t="inlineStr">
        <is>
          <t>RP0003027</t>
        </is>
      </c>
      <c r="B3028" t="inlineStr">
        <is>
          <t>LN200435</t>
        </is>
      </c>
      <c r="C3028" t="n">
        <v>9</v>
      </c>
      <c r="D3028" s="8" t="n">
        <v>46333</v>
      </c>
      <c r="E3028" s="9" t="n">
        <v>19497.78</v>
      </c>
      <c r="F3028" s="8" t="n"/>
      <c r="G3028" s="9" t="n">
        <v>0</v>
      </c>
      <c r="H3028" t="inlineStr">
        <is>
          <t>NOT_DUE</t>
        </is>
      </c>
      <c r="I3028">
        <f>IF(H3028="UNPAID", AsOfDate-D3028, 0)</f>
        <v/>
      </c>
      <c r="J3028">
        <f>IF(F3028&lt;&gt;"", TEXT(F3028, "yyyy-mm"), "")</f>
        <v/>
      </c>
    </row>
    <row r="3029">
      <c r="A3029" t="inlineStr">
        <is>
          <t>RP0003028</t>
        </is>
      </c>
      <c r="B3029" t="inlineStr">
        <is>
          <t>LN200436</t>
        </is>
      </c>
      <c r="C3029" t="n">
        <v>1</v>
      </c>
      <c r="D3029" s="8" t="n">
        <v>45895</v>
      </c>
      <c r="E3029" s="9" t="n">
        <v>10519.44</v>
      </c>
      <c r="F3029" s="8" t="n">
        <v>45894</v>
      </c>
      <c r="G3029" s="9" t="n">
        <v>10519.44</v>
      </c>
      <c r="H3029" t="inlineStr">
        <is>
          <t>PAID_ON_TIME</t>
        </is>
      </c>
      <c r="I3029">
        <f>IF(H3029="UNPAID", AsOfDate-D3029, 0)</f>
        <v/>
      </c>
      <c r="J3029">
        <f>IF(F3029&lt;&gt;"", TEXT(F3029, "yyyy-mm"), "")</f>
        <v/>
      </c>
    </row>
    <row r="3030">
      <c r="A3030" t="inlineStr">
        <is>
          <t>RP0003029</t>
        </is>
      </c>
      <c r="B3030" t="inlineStr">
        <is>
          <t>LN200436</t>
        </is>
      </c>
      <c r="C3030" t="n">
        <v>2</v>
      </c>
      <c r="D3030" s="8" t="n">
        <v>45926</v>
      </c>
      <c r="E3030" s="9" t="n">
        <v>10519.44</v>
      </c>
      <c r="F3030" s="8" t="n"/>
      <c r="G3030" s="9" t="n">
        <v>0</v>
      </c>
      <c r="H3030" t="inlineStr">
        <is>
          <t>UNPAID</t>
        </is>
      </c>
      <c r="I3030">
        <f>IF(H3030="UNPAID", AsOfDate-D3030, 0)</f>
        <v/>
      </c>
      <c r="J3030">
        <f>IF(F3030&lt;&gt;"", TEXT(F3030, "yyyy-mm"), "")</f>
        <v/>
      </c>
    </row>
    <row r="3031">
      <c r="A3031" t="inlineStr">
        <is>
          <t>RP0003030</t>
        </is>
      </c>
      <c r="B3031" t="inlineStr">
        <is>
          <t>LN200436</t>
        </is>
      </c>
      <c r="C3031" t="n">
        <v>3</v>
      </c>
      <c r="D3031" s="8" t="n">
        <v>45956</v>
      </c>
      <c r="E3031" s="9" t="n">
        <v>10519.44</v>
      </c>
      <c r="F3031" s="8" t="n">
        <v>45955</v>
      </c>
      <c r="G3031" s="9" t="n">
        <v>10519.44</v>
      </c>
      <c r="H3031" t="inlineStr">
        <is>
          <t>PAID_ON_TIME</t>
        </is>
      </c>
      <c r="I3031">
        <f>IF(H3031="UNPAID", AsOfDate-D3031, 0)</f>
        <v/>
      </c>
      <c r="J3031">
        <f>IF(F3031&lt;&gt;"", TEXT(F3031, "yyyy-mm"), "")</f>
        <v/>
      </c>
    </row>
    <row r="3032">
      <c r="A3032" t="inlineStr">
        <is>
          <t>RP0003031</t>
        </is>
      </c>
      <c r="B3032" t="inlineStr">
        <is>
          <t>LN200436</t>
        </is>
      </c>
      <c r="C3032" t="n">
        <v>4</v>
      </c>
      <c r="D3032" s="8" t="n">
        <v>45987</v>
      </c>
      <c r="E3032" s="9" t="n">
        <v>10519.44</v>
      </c>
      <c r="F3032" s="8" t="n">
        <v>45989</v>
      </c>
      <c r="G3032" s="9" t="n">
        <v>10519.44</v>
      </c>
      <c r="H3032" t="inlineStr">
        <is>
          <t>PAID_ON_TIME</t>
        </is>
      </c>
      <c r="I3032">
        <f>IF(H3032="UNPAID", AsOfDate-D3032, 0)</f>
        <v/>
      </c>
      <c r="J3032">
        <f>IF(F3032&lt;&gt;"", TEXT(F3032, "yyyy-mm"), "")</f>
        <v/>
      </c>
    </row>
    <row r="3033">
      <c r="A3033" t="inlineStr">
        <is>
          <t>RP0003032</t>
        </is>
      </c>
      <c r="B3033" t="inlineStr">
        <is>
          <t>LN200436</t>
        </is>
      </c>
      <c r="C3033" t="n">
        <v>5</v>
      </c>
      <c r="D3033" s="8" t="n">
        <v>46017</v>
      </c>
      <c r="E3033" s="9" t="n">
        <v>10519.44</v>
      </c>
      <c r="F3033" s="8" t="n">
        <v>46016</v>
      </c>
      <c r="G3033" s="9" t="n">
        <v>10519.44</v>
      </c>
      <c r="H3033" t="inlineStr">
        <is>
          <t>PAID_ON_TIME</t>
        </is>
      </c>
      <c r="I3033">
        <f>IF(H3033="UNPAID", AsOfDate-D3033, 0)</f>
        <v/>
      </c>
      <c r="J3033">
        <f>IF(F3033&lt;&gt;"", TEXT(F3033, "yyyy-mm"), "")</f>
        <v/>
      </c>
    </row>
    <row r="3034">
      <c r="A3034" t="inlineStr">
        <is>
          <t>RP0003033</t>
        </is>
      </c>
      <c r="B3034" t="inlineStr">
        <is>
          <t>LN200436</t>
        </is>
      </c>
      <c r="C3034" t="n">
        <v>6</v>
      </c>
      <c r="D3034" s="8" t="n">
        <v>46048</v>
      </c>
      <c r="E3034" s="9" t="n">
        <v>10519.44</v>
      </c>
      <c r="F3034" s="8" t="n">
        <v>46156</v>
      </c>
      <c r="G3034" s="9" t="n">
        <v>10519.44</v>
      </c>
      <c r="H3034" t="inlineStr">
        <is>
          <t>PAID_LATE</t>
        </is>
      </c>
      <c r="I3034">
        <f>IF(H3034="UNPAID", AsOfDate-D3034, 0)</f>
        <v/>
      </c>
      <c r="J3034">
        <f>IF(F3034&lt;&gt;"", TEXT(F3034, "yyyy-mm"), "")</f>
        <v/>
      </c>
    </row>
    <row r="3035">
      <c r="A3035" t="inlineStr">
        <is>
          <t>RP0003034</t>
        </is>
      </c>
      <c r="B3035" t="inlineStr">
        <is>
          <t>LN200436</t>
        </is>
      </c>
      <c r="C3035" t="n">
        <v>7</v>
      </c>
      <c r="D3035" s="8" t="n">
        <v>46079</v>
      </c>
      <c r="E3035" s="9" t="n">
        <v>10519.44</v>
      </c>
      <c r="F3035" s="8" t="n">
        <v>46076</v>
      </c>
      <c r="G3035" s="9" t="n">
        <v>10519.44</v>
      </c>
      <c r="H3035" t="inlineStr">
        <is>
          <t>PAID_ON_TIME</t>
        </is>
      </c>
      <c r="I3035">
        <f>IF(H3035="UNPAID", AsOfDate-D3035, 0)</f>
        <v/>
      </c>
      <c r="J3035">
        <f>IF(F3035&lt;&gt;"", TEXT(F3035, "yyyy-mm"), "")</f>
        <v/>
      </c>
    </row>
    <row r="3036">
      <c r="A3036" t="inlineStr">
        <is>
          <t>RP0003035</t>
        </is>
      </c>
      <c r="B3036" t="inlineStr">
        <is>
          <t>LN200436</t>
        </is>
      </c>
      <c r="C3036" t="n">
        <v>8</v>
      </c>
      <c r="D3036" s="8" t="n">
        <v>46107</v>
      </c>
      <c r="E3036" s="9" t="n">
        <v>10519.44</v>
      </c>
      <c r="F3036" s="8" t="n">
        <v>46104</v>
      </c>
      <c r="G3036" s="9" t="n">
        <v>10519.44</v>
      </c>
      <c r="H3036" t="inlineStr">
        <is>
          <t>PAID_ON_TIME</t>
        </is>
      </c>
      <c r="I3036">
        <f>IF(H3036="UNPAID", AsOfDate-D3036, 0)</f>
        <v/>
      </c>
      <c r="J3036">
        <f>IF(F3036&lt;&gt;"", TEXT(F3036, "yyyy-mm"), "")</f>
        <v/>
      </c>
    </row>
    <row r="3037">
      <c r="A3037" t="inlineStr">
        <is>
          <t>RP0003036</t>
        </is>
      </c>
      <c r="B3037" t="inlineStr">
        <is>
          <t>LN200436</t>
        </is>
      </c>
      <c r="C3037" t="n">
        <v>9</v>
      </c>
      <c r="D3037" s="8" t="n">
        <v>46138</v>
      </c>
      <c r="E3037" s="9" t="n">
        <v>10519.44</v>
      </c>
      <c r="F3037" s="8" t="n">
        <v>46185</v>
      </c>
      <c r="G3037" s="9" t="n">
        <v>10519.44</v>
      </c>
      <c r="H3037" t="inlineStr">
        <is>
          <t>PAID_LATE</t>
        </is>
      </c>
      <c r="I3037">
        <f>IF(H3037="UNPAID", AsOfDate-D3037, 0)</f>
        <v/>
      </c>
      <c r="J3037">
        <f>IF(F3037&lt;&gt;"", TEXT(F3037, "yyyy-mm"), "")</f>
        <v/>
      </c>
    </row>
    <row r="3038">
      <c r="A3038" t="inlineStr">
        <is>
          <t>RP0003037</t>
        </is>
      </c>
      <c r="B3038" t="inlineStr">
        <is>
          <t>LN200436</t>
        </is>
      </c>
      <c r="C3038" t="n">
        <v>10</v>
      </c>
      <c r="D3038" s="8" t="n">
        <v>46168</v>
      </c>
      <c r="E3038" s="9" t="n">
        <v>10519.44</v>
      </c>
      <c r="F3038" s="8" t="n">
        <v>46167</v>
      </c>
      <c r="G3038" s="9" t="n">
        <v>10519.44</v>
      </c>
      <c r="H3038" t="inlineStr">
        <is>
          <t>PAID_ON_TIME</t>
        </is>
      </c>
      <c r="I3038">
        <f>IF(H3038="UNPAID", AsOfDate-D3038, 0)</f>
        <v/>
      </c>
      <c r="J3038">
        <f>IF(F3038&lt;&gt;"", TEXT(F3038, "yyyy-mm"), "")</f>
        <v/>
      </c>
    </row>
    <row r="3039">
      <c r="A3039" t="inlineStr">
        <is>
          <t>RP0003038</t>
        </is>
      </c>
      <c r="B3039" t="inlineStr">
        <is>
          <t>LN200436</t>
        </is>
      </c>
      <c r="C3039" t="n">
        <v>11</v>
      </c>
      <c r="D3039" s="8" t="n">
        <v>46199</v>
      </c>
      <c r="E3039" s="9" t="n">
        <v>10519.44</v>
      </c>
      <c r="F3039" s="8" t="n">
        <v>46203</v>
      </c>
      <c r="G3039" s="9" t="n">
        <v>10519.44</v>
      </c>
      <c r="H3039" t="inlineStr">
        <is>
          <t>PAID_ON_TIME</t>
        </is>
      </c>
      <c r="I3039">
        <f>IF(H3039="UNPAID", AsOfDate-D3039, 0)</f>
        <v/>
      </c>
      <c r="J3039">
        <f>IF(F3039&lt;&gt;"", TEXT(F3039, "yyyy-mm"), "")</f>
        <v/>
      </c>
    </row>
    <row r="3040">
      <c r="A3040" t="inlineStr">
        <is>
          <t>RP0003039</t>
        </is>
      </c>
      <c r="B3040" t="inlineStr">
        <is>
          <t>LN200436</t>
        </is>
      </c>
      <c r="C3040" t="n">
        <v>12</v>
      </c>
      <c r="D3040" s="8" t="n">
        <v>46229</v>
      </c>
      <c r="E3040" s="9" t="n">
        <v>10519.44</v>
      </c>
      <c r="F3040" s="8" t="n">
        <v>46226</v>
      </c>
      <c r="G3040" s="9" t="n">
        <v>10519.44</v>
      </c>
      <c r="H3040" t="inlineStr">
        <is>
          <t>PAID_ON_TIME</t>
        </is>
      </c>
      <c r="I3040">
        <f>IF(H3040="UNPAID", AsOfDate-D3040, 0)</f>
        <v/>
      </c>
      <c r="J3040">
        <f>IF(F3040&lt;&gt;"", TEXT(F3040, "yyyy-mm"), "")</f>
        <v/>
      </c>
    </row>
    <row r="3041">
      <c r="A3041" t="inlineStr">
        <is>
          <t>RP0003040</t>
        </is>
      </c>
      <c r="B3041" t="inlineStr">
        <is>
          <t>LN200436</t>
        </is>
      </c>
      <c r="C3041" t="n">
        <v>13</v>
      </c>
      <c r="D3041" s="8" t="n">
        <v>46260</v>
      </c>
      <c r="E3041" s="9" t="n">
        <v>10519.44</v>
      </c>
      <c r="F3041" s="8" t="n">
        <v>46259</v>
      </c>
      <c r="G3041" s="9" t="n">
        <v>10519.44</v>
      </c>
      <c r="H3041" t="inlineStr">
        <is>
          <t>PAID_ON_TIME</t>
        </is>
      </c>
      <c r="I3041">
        <f>IF(H3041="UNPAID", AsOfDate-D3041, 0)</f>
        <v/>
      </c>
      <c r="J3041">
        <f>IF(F3041&lt;&gt;"", TEXT(F3041, "yyyy-mm"), "")</f>
        <v/>
      </c>
    </row>
    <row r="3042">
      <c r="A3042" t="inlineStr">
        <is>
          <t>RP0003041</t>
        </is>
      </c>
      <c r="B3042" t="inlineStr">
        <is>
          <t>LN200436</t>
        </is>
      </c>
      <c r="C3042" t="n">
        <v>14</v>
      </c>
      <c r="D3042" s="8" t="n">
        <v>46291</v>
      </c>
      <c r="E3042" s="9" t="n">
        <v>10519.44</v>
      </c>
      <c r="F3042" s="8" t="n"/>
      <c r="G3042" s="9" t="n">
        <v>0</v>
      </c>
      <c r="H3042" t="inlineStr">
        <is>
          <t>NOT_DUE</t>
        </is>
      </c>
      <c r="I3042">
        <f>IF(H3042="UNPAID", AsOfDate-D3042, 0)</f>
        <v/>
      </c>
      <c r="J3042">
        <f>IF(F3042&lt;&gt;"", TEXT(F3042, "yyyy-mm"), "")</f>
        <v/>
      </c>
    </row>
    <row r="3043">
      <c r="A3043" t="inlineStr">
        <is>
          <t>RP0003042</t>
        </is>
      </c>
      <c r="B3043" t="inlineStr">
        <is>
          <t>LN200436</t>
        </is>
      </c>
      <c r="C3043" t="n">
        <v>15</v>
      </c>
      <c r="D3043" s="8" t="n">
        <v>46321</v>
      </c>
      <c r="E3043" s="9" t="n">
        <v>10519.44</v>
      </c>
      <c r="F3043" s="8" t="n"/>
      <c r="G3043" s="9" t="n">
        <v>0</v>
      </c>
      <c r="H3043" t="inlineStr">
        <is>
          <t>NOT_DUE</t>
        </is>
      </c>
      <c r="I3043">
        <f>IF(H3043="UNPAID", AsOfDate-D3043, 0)</f>
        <v/>
      </c>
      <c r="J3043">
        <f>IF(F3043&lt;&gt;"", TEXT(F3043, "yyyy-mm"), "")</f>
        <v/>
      </c>
    </row>
    <row r="3044">
      <c r="A3044" t="inlineStr">
        <is>
          <t>RP0003043</t>
        </is>
      </c>
      <c r="B3044" t="inlineStr">
        <is>
          <t>LN200436</t>
        </is>
      </c>
      <c r="C3044" t="n">
        <v>16</v>
      </c>
      <c r="D3044" s="8" t="n">
        <v>46352</v>
      </c>
      <c r="E3044" s="9" t="n">
        <v>10519.44</v>
      </c>
      <c r="F3044" s="8" t="n"/>
      <c r="G3044" s="9" t="n">
        <v>0</v>
      </c>
      <c r="H3044" t="inlineStr">
        <is>
          <t>NOT_DUE</t>
        </is>
      </c>
      <c r="I3044">
        <f>IF(H3044="UNPAID", AsOfDate-D3044, 0)</f>
        <v/>
      </c>
      <c r="J3044">
        <f>IF(F3044&lt;&gt;"", TEXT(F3044, "yyyy-mm"), "")</f>
        <v/>
      </c>
    </row>
    <row r="3045">
      <c r="A3045" t="inlineStr">
        <is>
          <t>RP0003044</t>
        </is>
      </c>
      <c r="B3045" t="inlineStr">
        <is>
          <t>LN200436</t>
        </is>
      </c>
      <c r="C3045" t="n">
        <v>17</v>
      </c>
      <c r="D3045" s="8" t="n">
        <v>46382</v>
      </c>
      <c r="E3045" s="9" t="n">
        <v>10519.44</v>
      </c>
      <c r="F3045" s="8" t="n"/>
      <c r="G3045" s="9" t="n">
        <v>0</v>
      </c>
      <c r="H3045" t="inlineStr">
        <is>
          <t>NOT_DUE</t>
        </is>
      </c>
      <c r="I3045">
        <f>IF(H3045="UNPAID", AsOfDate-D3045, 0)</f>
        <v/>
      </c>
      <c r="J3045">
        <f>IF(F3045&lt;&gt;"", TEXT(F3045, "yyyy-mm"), "")</f>
        <v/>
      </c>
    </row>
    <row r="3046">
      <c r="A3046" t="inlineStr">
        <is>
          <t>RP0003045</t>
        </is>
      </c>
      <c r="B3046" t="inlineStr">
        <is>
          <t>LN200436</t>
        </is>
      </c>
      <c r="C3046" t="n">
        <v>18</v>
      </c>
      <c r="D3046" s="8" t="n">
        <v>46413</v>
      </c>
      <c r="E3046" s="9" t="n">
        <v>10519.44</v>
      </c>
      <c r="F3046" s="8" t="n"/>
      <c r="G3046" s="9" t="n">
        <v>0</v>
      </c>
      <c r="H3046" t="inlineStr">
        <is>
          <t>NOT_DUE</t>
        </is>
      </c>
      <c r="I3046">
        <f>IF(H3046="UNPAID", AsOfDate-D3046, 0)</f>
        <v/>
      </c>
      <c r="J3046">
        <f>IF(F3046&lt;&gt;"", TEXT(F3046, "yyyy-mm"), "")</f>
        <v/>
      </c>
    </row>
    <row r="3047">
      <c r="A3047" t="inlineStr">
        <is>
          <t>RP0003046</t>
        </is>
      </c>
      <c r="B3047" t="inlineStr">
        <is>
          <t>LN200437</t>
        </is>
      </c>
      <c r="C3047" t="n">
        <v>1</v>
      </c>
      <c r="D3047" s="8" t="n">
        <v>46240</v>
      </c>
      <c r="E3047" s="9" t="n">
        <v>55562</v>
      </c>
      <c r="F3047" s="8" t="n">
        <v>46242</v>
      </c>
      <c r="G3047" s="9" t="n">
        <v>55562</v>
      </c>
      <c r="H3047" t="inlineStr">
        <is>
          <t>PAID_ON_TIME</t>
        </is>
      </c>
      <c r="I3047">
        <f>IF(H3047="UNPAID", AsOfDate-D3047, 0)</f>
        <v/>
      </c>
      <c r="J3047">
        <f>IF(F3047&lt;&gt;"", TEXT(F3047, "yyyy-mm"), "")</f>
        <v/>
      </c>
    </row>
    <row r="3048">
      <c r="A3048" t="inlineStr">
        <is>
          <t>RP0003047</t>
        </is>
      </c>
      <c r="B3048" t="inlineStr">
        <is>
          <t>LN200437</t>
        </is>
      </c>
      <c r="C3048" t="n">
        <v>2</v>
      </c>
      <c r="D3048" s="8" t="n">
        <v>46271</v>
      </c>
      <c r="E3048" s="9" t="n">
        <v>55562</v>
      </c>
      <c r="F3048" s="8" t="n"/>
      <c r="G3048" s="9" t="n">
        <v>0</v>
      </c>
      <c r="H3048" t="inlineStr">
        <is>
          <t>NOT_DUE</t>
        </is>
      </c>
      <c r="I3048">
        <f>IF(H3048="UNPAID", AsOfDate-D3048, 0)</f>
        <v/>
      </c>
      <c r="J3048">
        <f>IF(F3048&lt;&gt;"", TEXT(F3048, "yyyy-mm"), "")</f>
        <v/>
      </c>
    </row>
    <row r="3049">
      <c r="A3049" t="inlineStr">
        <is>
          <t>RP0003048</t>
        </is>
      </c>
      <c r="B3049" t="inlineStr">
        <is>
          <t>LN200437</t>
        </is>
      </c>
      <c r="C3049" t="n">
        <v>3</v>
      </c>
      <c r="D3049" s="8" t="n">
        <v>46301</v>
      </c>
      <c r="E3049" s="9" t="n">
        <v>55562</v>
      </c>
      <c r="F3049" s="8" t="n"/>
      <c r="G3049" s="9" t="n">
        <v>0</v>
      </c>
      <c r="H3049" t="inlineStr">
        <is>
          <t>NOT_DUE</t>
        </is>
      </c>
      <c r="I3049">
        <f>IF(H3049="UNPAID", AsOfDate-D3049, 0)</f>
        <v/>
      </c>
      <c r="J3049">
        <f>IF(F3049&lt;&gt;"", TEXT(F3049, "yyyy-mm"), "")</f>
        <v/>
      </c>
    </row>
    <row r="3050">
      <c r="A3050" t="inlineStr">
        <is>
          <t>RP0003049</t>
        </is>
      </c>
      <c r="B3050" t="inlineStr">
        <is>
          <t>LN200437</t>
        </is>
      </c>
      <c r="C3050" t="n">
        <v>4</v>
      </c>
      <c r="D3050" s="8" t="n">
        <v>46332</v>
      </c>
      <c r="E3050" s="9" t="n">
        <v>55562</v>
      </c>
      <c r="F3050" s="8" t="n"/>
      <c r="G3050" s="9" t="n">
        <v>0</v>
      </c>
      <c r="H3050" t="inlineStr">
        <is>
          <t>NOT_DUE</t>
        </is>
      </c>
      <c r="I3050">
        <f>IF(H3050="UNPAID", AsOfDate-D3050, 0)</f>
        <v/>
      </c>
      <c r="J3050">
        <f>IF(F3050&lt;&gt;"", TEXT(F3050, "yyyy-mm"), "")</f>
        <v/>
      </c>
    </row>
    <row r="3051">
      <c r="A3051" t="inlineStr">
        <is>
          <t>RP0003050</t>
        </is>
      </c>
      <c r="B3051" t="inlineStr">
        <is>
          <t>LN200437</t>
        </is>
      </c>
      <c r="C3051" t="n">
        <v>5</v>
      </c>
      <c r="D3051" s="8" t="n">
        <v>46362</v>
      </c>
      <c r="E3051" s="9" t="n">
        <v>55562</v>
      </c>
      <c r="F3051" s="8" t="n"/>
      <c r="G3051" s="9" t="n">
        <v>0</v>
      </c>
      <c r="H3051" t="inlineStr">
        <is>
          <t>NOT_DUE</t>
        </is>
      </c>
      <c r="I3051">
        <f>IF(H3051="UNPAID", AsOfDate-D3051, 0)</f>
        <v/>
      </c>
      <c r="J3051">
        <f>IF(F3051&lt;&gt;"", TEXT(F3051, "yyyy-mm"), "")</f>
        <v/>
      </c>
    </row>
    <row r="3052">
      <c r="A3052" t="inlineStr">
        <is>
          <t>RP0003051</t>
        </is>
      </c>
      <c r="B3052" t="inlineStr">
        <is>
          <t>LN200437</t>
        </is>
      </c>
      <c r="C3052" t="n">
        <v>6</v>
      </c>
      <c r="D3052" s="8" t="n">
        <v>46393</v>
      </c>
      <c r="E3052" s="9" t="n">
        <v>55562</v>
      </c>
      <c r="F3052" s="8" t="n"/>
      <c r="G3052" s="9" t="n">
        <v>0</v>
      </c>
      <c r="H3052" t="inlineStr">
        <is>
          <t>NOT_DUE</t>
        </is>
      </c>
      <c r="I3052">
        <f>IF(H3052="UNPAID", AsOfDate-D3052, 0)</f>
        <v/>
      </c>
      <c r="J3052">
        <f>IF(F3052&lt;&gt;"", TEXT(F3052, "yyyy-mm"), "")</f>
        <v/>
      </c>
    </row>
    <row r="3053">
      <c r="A3053" t="inlineStr">
        <is>
          <t>RP0003052</t>
        </is>
      </c>
      <c r="B3053" t="inlineStr">
        <is>
          <t>LN200438</t>
        </is>
      </c>
      <c r="C3053" t="n">
        <v>1</v>
      </c>
      <c r="D3053" s="8" t="n">
        <v>46220</v>
      </c>
      <c r="E3053" s="9" t="n">
        <v>4722.67</v>
      </c>
      <c r="F3053" s="8" t="n">
        <v>46218</v>
      </c>
      <c r="G3053" s="9" t="n">
        <v>4722.67</v>
      </c>
      <c r="H3053" t="inlineStr">
        <is>
          <t>PAID_ON_TIME</t>
        </is>
      </c>
      <c r="I3053">
        <f>IF(H3053="UNPAID", AsOfDate-D3053, 0)</f>
        <v/>
      </c>
      <c r="J3053">
        <f>IF(F3053&lt;&gt;"", TEXT(F3053, "yyyy-mm"), "")</f>
        <v/>
      </c>
    </row>
    <row r="3054">
      <c r="A3054" t="inlineStr">
        <is>
          <t>RP0003053</t>
        </is>
      </c>
      <c r="B3054" t="inlineStr">
        <is>
          <t>LN200438</t>
        </is>
      </c>
      <c r="C3054" t="n">
        <v>2</v>
      </c>
      <c r="D3054" s="8" t="n">
        <v>46251</v>
      </c>
      <c r="E3054" s="9" t="n">
        <v>4722.67</v>
      </c>
      <c r="F3054" s="8" t="n">
        <v>46253</v>
      </c>
      <c r="G3054" s="9" t="n">
        <v>4722.67</v>
      </c>
      <c r="H3054" t="inlineStr">
        <is>
          <t>PAID_ON_TIME</t>
        </is>
      </c>
      <c r="I3054">
        <f>IF(H3054="UNPAID", AsOfDate-D3054, 0)</f>
        <v/>
      </c>
      <c r="J3054">
        <f>IF(F3054&lt;&gt;"", TEXT(F3054, "yyyy-mm"), "")</f>
        <v/>
      </c>
    </row>
    <row r="3055">
      <c r="A3055" t="inlineStr">
        <is>
          <t>RP0003054</t>
        </is>
      </c>
      <c r="B3055" t="inlineStr">
        <is>
          <t>LN200438</t>
        </is>
      </c>
      <c r="C3055" t="n">
        <v>3</v>
      </c>
      <c r="D3055" s="8" t="n">
        <v>46282</v>
      </c>
      <c r="E3055" s="9" t="n">
        <v>4722.67</v>
      </c>
      <c r="F3055" s="8" t="n"/>
      <c r="G3055" s="9" t="n">
        <v>0</v>
      </c>
      <c r="H3055" t="inlineStr">
        <is>
          <t>NOT_DUE</t>
        </is>
      </c>
      <c r="I3055">
        <f>IF(H3055="UNPAID", AsOfDate-D3055, 0)</f>
        <v/>
      </c>
      <c r="J3055">
        <f>IF(F3055&lt;&gt;"", TEXT(F3055, "yyyy-mm"), "")</f>
        <v/>
      </c>
    </row>
    <row r="3056">
      <c r="A3056" t="inlineStr">
        <is>
          <t>RP0003055</t>
        </is>
      </c>
      <c r="B3056" t="inlineStr">
        <is>
          <t>LN200438</t>
        </is>
      </c>
      <c r="C3056" t="n">
        <v>4</v>
      </c>
      <c r="D3056" s="8" t="n">
        <v>46312</v>
      </c>
      <c r="E3056" s="9" t="n">
        <v>4722.67</v>
      </c>
      <c r="F3056" s="8" t="n"/>
      <c r="G3056" s="9" t="n">
        <v>0</v>
      </c>
      <c r="H3056" t="inlineStr">
        <is>
          <t>NOT_DUE</t>
        </is>
      </c>
      <c r="I3056">
        <f>IF(H3056="UNPAID", AsOfDate-D3056, 0)</f>
        <v/>
      </c>
      <c r="J3056">
        <f>IF(F3056&lt;&gt;"", TEXT(F3056, "yyyy-mm"), "")</f>
        <v/>
      </c>
    </row>
    <row r="3057">
      <c r="A3057" t="inlineStr">
        <is>
          <t>RP0003056</t>
        </is>
      </c>
      <c r="B3057" t="inlineStr">
        <is>
          <t>LN200438</t>
        </is>
      </c>
      <c r="C3057" t="n">
        <v>5</v>
      </c>
      <c r="D3057" s="8" t="n">
        <v>46343</v>
      </c>
      <c r="E3057" s="9" t="n">
        <v>4722.67</v>
      </c>
      <c r="F3057" s="8" t="n"/>
      <c r="G3057" s="9" t="n">
        <v>0</v>
      </c>
      <c r="H3057" t="inlineStr">
        <is>
          <t>NOT_DUE</t>
        </is>
      </c>
      <c r="I3057">
        <f>IF(H3057="UNPAID", AsOfDate-D3057, 0)</f>
        <v/>
      </c>
      <c r="J3057">
        <f>IF(F3057&lt;&gt;"", TEXT(F3057, "yyyy-mm"), "")</f>
        <v/>
      </c>
    </row>
    <row r="3058">
      <c r="A3058" t="inlineStr">
        <is>
          <t>RP0003057</t>
        </is>
      </c>
      <c r="B3058" t="inlineStr">
        <is>
          <t>LN200438</t>
        </is>
      </c>
      <c r="C3058" t="n">
        <v>6</v>
      </c>
      <c r="D3058" s="8" t="n">
        <v>46373</v>
      </c>
      <c r="E3058" s="9" t="n">
        <v>4722.67</v>
      </c>
      <c r="F3058" s="8" t="n"/>
      <c r="G3058" s="9" t="n">
        <v>0</v>
      </c>
      <c r="H3058" t="inlineStr">
        <is>
          <t>NOT_DUE</t>
        </is>
      </c>
      <c r="I3058">
        <f>IF(H3058="UNPAID", AsOfDate-D3058, 0)</f>
        <v/>
      </c>
      <c r="J3058">
        <f>IF(F3058&lt;&gt;"", TEXT(F3058, "yyyy-mm"), "")</f>
        <v/>
      </c>
    </row>
    <row r="3059">
      <c r="A3059" t="inlineStr">
        <is>
          <t>RP0003058</t>
        </is>
      </c>
      <c r="B3059" t="inlineStr">
        <is>
          <t>LN200438</t>
        </is>
      </c>
      <c r="C3059" t="n">
        <v>7</v>
      </c>
      <c r="D3059" s="8" t="n">
        <v>46404</v>
      </c>
      <c r="E3059" s="9" t="n">
        <v>4722.67</v>
      </c>
      <c r="F3059" s="8" t="n"/>
      <c r="G3059" s="9" t="n">
        <v>0</v>
      </c>
      <c r="H3059" t="inlineStr">
        <is>
          <t>NOT_DUE</t>
        </is>
      </c>
      <c r="I3059">
        <f>IF(H3059="UNPAID", AsOfDate-D3059, 0)</f>
        <v/>
      </c>
      <c r="J3059">
        <f>IF(F3059&lt;&gt;"", TEXT(F3059, "yyyy-mm"), "")</f>
        <v/>
      </c>
    </row>
    <row r="3060">
      <c r="A3060" t="inlineStr">
        <is>
          <t>RP0003059</t>
        </is>
      </c>
      <c r="B3060" t="inlineStr">
        <is>
          <t>LN200438</t>
        </is>
      </c>
      <c r="C3060" t="n">
        <v>8</v>
      </c>
      <c r="D3060" s="8" t="n">
        <v>46435</v>
      </c>
      <c r="E3060" s="9" t="n">
        <v>4722.67</v>
      </c>
      <c r="F3060" s="8" t="n"/>
      <c r="G3060" s="9" t="n">
        <v>0</v>
      </c>
      <c r="H3060" t="inlineStr">
        <is>
          <t>NOT_DUE</t>
        </is>
      </c>
      <c r="I3060">
        <f>IF(H3060="UNPAID", AsOfDate-D3060, 0)</f>
        <v/>
      </c>
      <c r="J3060">
        <f>IF(F3060&lt;&gt;"", TEXT(F3060, "yyyy-mm"), "")</f>
        <v/>
      </c>
    </row>
    <row r="3061">
      <c r="A3061" t="inlineStr">
        <is>
          <t>RP0003060</t>
        </is>
      </c>
      <c r="B3061" t="inlineStr">
        <is>
          <t>LN200438</t>
        </is>
      </c>
      <c r="C3061" t="n">
        <v>9</v>
      </c>
      <c r="D3061" s="8" t="n">
        <v>46463</v>
      </c>
      <c r="E3061" s="9" t="n">
        <v>4722.67</v>
      </c>
      <c r="F3061" s="8" t="n"/>
      <c r="G3061" s="9" t="n">
        <v>0</v>
      </c>
      <c r="H3061" t="inlineStr">
        <is>
          <t>NOT_DUE</t>
        </is>
      </c>
      <c r="I3061">
        <f>IF(H3061="UNPAID", AsOfDate-D3061, 0)</f>
        <v/>
      </c>
      <c r="J3061">
        <f>IF(F3061&lt;&gt;"", TEXT(F3061, "yyyy-mm"), "")</f>
        <v/>
      </c>
    </row>
    <row r="3062">
      <c r="A3062" t="inlineStr">
        <is>
          <t>RP0003061</t>
        </is>
      </c>
      <c r="B3062" t="inlineStr">
        <is>
          <t>LN200438</t>
        </is>
      </c>
      <c r="C3062" t="n">
        <v>10</v>
      </c>
      <c r="D3062" s="8" t="n">
        <v>46494</v>
      </c>
      <c r="E3062" s="9" t="n">
        <v>4722.67</v>
      </c>
      <c r="F3062" s="8" t="n"/>
      <c r="G3062" s="9" t="n">
        <v>0</v>
      </c>
      <c r="H3062" t="inlineStr">
        <is>
          <t>NOT_DUE</t>
        </is>
      </c>
      <c r="I3062">
        <f>IF(H3062="UNPAID", AsOfDate-D3062, 0)</f>
        <v/>
      </c>
      <c r="J3062">
        <f>IF(F3062&lt;&gt;"", TEXT(F3062, "yyyy-mm"), "")</f>
        <v/>
      </c>
    </row>
    <row r="3063">
      <c r="A3063" t="inlineStr">
        <is>
          <t>RP0003062</t>
        </is>
      </c>
      <c r="B3063" t="inlineStr">
        <is>
          <t>LN200438</t>
        </is>
      </c>
      <c r="C3063" t="n">
        <v>11</v>
      </c>
      <c r="D3063" s="8" t="n">
        <v>46524</v>
      </c>
      <c r="E3063" s="9" t="n">
        <v>4722.67</v>
      </c>
      <c r="F3063" s="8" t="n"/>
      <c r="G3063" s="9" t="n">
        <v>0</v>
      </c>
      <c r="H3063" t="inlineStr">
        <is>
          <t>NOT_DUE</t>
        </is>
      </c>
      <c r="I3063">
        <f>IF(H3063="UNPAID", AsOfDate-D3063, 0)</f>
        <v/>
      </c>
      <c r="J3063">
        <f>IF(F3063&lt;&gt;"", TEXT(F3063, "yyyy-mm"), "")</f>
        <v/>
      </c>
    </row>
    <row r="3064">
      <c r="A3064" t="inlineStr">
        <is>
          <t>RP0003063</t>
        </is>
      </c>
      <c r="B3064" t="inlineStr">
        <is>
          <t>LN200438</t>
        </is>
      </c>
      <c r="C3064" t="n">
        <v>12</v>
      </c>
      <c r="D3064" s="8" t="n">
        <v>46555</v>
      </c>
      <c r="E3064" s="9" t="n">
        <v>4722.67</v>
      </c>
      <c r="F3064" s="8" t="n"/>
      <c r="G3064" s="9" t="n">
        <v>0</v>
      </c>
      <c r="H3064" t="inlineStr">
        <is>
          <t>NOT_DUE</t>
        </is>
      </c>
      <c r="I3064">
        <f>IF(H3064="UNPAID", AsOfDate-D3064, 0)</f>
        <v/>
      </c>
      <c r="J3064">
        <f>IF(F3064&lt;&gt;"", TEXT(F3064, "yyyy-mm"), "")</f>
        <v/>
      </c>
    </row>
    <row r="3065">
      <c r="A3065" t="inlineStr">
        <is>
          <t>RP0003064</t>
        </is>
      </c>
      <c r="B3065" t="inlineStr">
        <is>
          <t>LN200440</t>
        </is>
      </c>
      <c r="C3065" t="n">
        <v>1</v>
      </c>
      <c r="D3065" s="8" t="n">
        <v>46065</v>
      </c>
      <c r="E3065" s="9" t="n">
        <v>22883.17</v>
      </c>
      <c r="F3065" s="8" t="n">
        <v>46068</v>
      </c>
      <c r="G3065" s="9" t="n">
        <v>22883.17</v>
      </c>
      <c r="H3065" t="inlineStr">
        <is>
          <t>PAID_ON_TIME</t>
        </is>
      </c>
      <c r="I3065">
        <f>IF(H3065="UNPAID", AsOfDate-D3065, 0)</f>
        <v/>
      </c>
      <c r="J3065">
        <f>IF(F3065&lt;&gt;"", TEXT(F3065, "yyyy-mm"), "")</f>
        <v/>
      </c>
    </row>
    <row r="3066">
      <c r="A3066" t="inlineStr">
        <is>
          <t>RP0003065</t>
        </is>
      </c>
      <c r="B3066" t="inlineStr">
        <is>
          <t>LN200440</t>
        </is>
      </c>
      <c r="C3066" t="n">
        <v>2</v>
      </c>
      <c r="D3066" s="8" t="n">
        <v>46093</v>
      </c>
      <c r="E3066" s="9" t="n">
        <v>22883.17</v>
      </c>
      <c r="F3066" s="8" t="n">
        <v>46092</v>
      </c>
      <c r="G3066" s="9" t="n">
        <v>22883.17</v>
      </c>
      <c r="H3066" t="inlineStr">
        <is>
          <t>PAID_ON_TIME</t>
        </is>
      </c>
      <c r="I3066">
        <f>IF(H3066="UNPAID", AsOfDate-D3066, 0)</f>
        <v/>
      </c>
      <c r="J3066">
        <f>IF(F3066&lt;&gt;"", TEXT(F3066, "yyyy-mm"), "")</f>
        <v/>
      </c>
    </row>
    <row r="3067">
      <c r="A3067" t="inlineStr">
        <is>
          <t>RP0003066</t>
        </is>
      </c>
      <c r="B3067" t="inlineStr">
        <is>
          <t>LN200440</t>
        </is>
      </c>
      <c r="C3067" t="n">
        <v>3</v>
      </c>
      <c r="D3067" s="8" t="n">
        <v>46124</v>
      </c>
      <c r="E3067" s="9" t="n">
        <v>22883.17</v>
      </c>
      <c r="F3067" s="8" t="n">
        <v>46121</v>
      </c>
      <c r="G3067" s="9" t="n">
        <v>22883.17</v>
      </c>
      <c r="H3067" t="inlineStr">
        <is>
          <t>PAID_ON_TIME</t>
        </is>
      </c>
      <c r="I3067">
        <f>IF(H3067="UNPAID", AsOfDate-D3067, 0)</f>
        <v/>
      </c>
      <c r="J3067">
        <f>IF(F3067&lt;&gt;"", TEXT(F3067, "yyyy-mm"), "")</f>
        <v/>
      </c>
    </row>
    <row r="3068">
      <c r="A3068" t="inlineStr">
        <is>
          <t>RP0003067</t>
        </is>
      </c>
      <c r="B3068" t="inlineStr">
        <is>
          <t>LN200440</t>
        </is>
      </c>
      <c r="C3068" t="n">
        <v>4</v>
      </c>
      <c r="D3068" s="8" t="n">
        <v>46154</v>
      </c>
      <c r="E3068" s="9" t="n">
        <v>22883.17</v>
      </c>
      <c r="F3068" s="8" t="n">
        <v>46151</v>
      </c>
      <c r="G3068" s="9" t="n">
        <v>22883.17</v>
      </c>
      <c r="H3068" t="inlineStr">
        <is>
          <t>PAID_ON_TIME</t>
        </is>
      </c>
      <c r="I3068">
        <f>IF(H3068="UNPAID", AsOfDate-D3068, 0)</f>
        <v/>
      </c>
      <c r="J3068">
        <f>IF(F3068&lt;&gt;"", TEXT(F3068, "yyyy-mm"), "")</f>
        <v/>
      </c>
    </row>
    <row r="3069">
      <c r="A3069" t="inlineStr">
        <is>
          <t>RP0003068</t>
        </is>
      </c>
      <c r="B3069" t="inlineStr">
        <is>
          <t>LN200440</t>
        </is>
      </c>
      <c r="C3069" t="n">
        <v>5</v>
      </c>
      <c r="D3069" s="8" t="n">
        <v>46185</v>
      </c>
      <c r="E3069" s="9" t="n">
        <v>22883.17</v>
      </c>
      <c r="F3069" s="8" t="n">
        <v>46189</v>
      </c>
      <c r="G3069" s="9" t="n">
        <v>22883.17</v>
      </c>
      <c r="H3069" t="inlineStr">
        <is>
          <t>PAID_ON_TIME</t>
        </is>
      </c>
      <c r="I3069">
        <f>IF(H3069="UNPAID", AsOfDate-D3069, 0)</f>
        <v/>
      </c>
      <c r="J3069">
        <f>IF(F3069&lt;&gt;"", TEXT(F3069, "yyyy-mm"), "")</f>
        <v/>
      </c>
    </row>
    <row r="3070">
      <c r="A3070" t="inlineStr">
        <is>
          <t>RP0003069</t>
        </is>
      </c>
      <c r="B3070" t="inlineStr">
        <is>
          <t>LN200440</t>
        </is>
      </c>
      <c r="C3070" t="n">
        <v>6</v>
      </c>
      <c r="D3070" s="8" t="n">
        <v>46215</v>
      </c>
      <c r="E3070" s="9" t="n">
        <v>22883.17</v>
      </c>
      <c r="F3070" s="8" t="n">
        <v>46216</v>
      </c>
      <c r="G3070" s="9" t="n">
        <v>22883.17</v>
      </c>
      <c r="H3070" t="inlineStr">
        <is>
          <t>PAID_ON_TIME</t>
        </is>
      </c>
      <c r="I3070">
        <f>IF(H3070="UNPAID", AsOfDate-D3070, 0)</f>
        <v/>
      </c>
      <c r="J3070">
        <f>IF(F3070&lt;&gt;"", TEXT(F3070, "yyyy-mm"), "")</f>
        <v/>
      </c>
    </row>
    <row r="3071">
      <c r="A3071" t="inlineStr">
        <is>
          <t>RP0003070</t>
        </is>
      </c>
      <c r="B3071" t="inlineStr">
        <is>
          <t>LN200440</t>
        </is>
      </c>
      <c r="C3071" t="n">
        <v>7</v>
      </c>
      <c r="D3071" s="8" t="n">
        <v>46246</v>
      </c>
      <c r="E3071" s="9" t="n">
        <v>22883.17</v>
      </c>
      <c r="F3071" s="8" t="n">
        <v>46245</v>
      </c>
      <c r="G3071" s="9" t="n">
        <v>22883.17</v>
      </c>
      <c r="H3071" t="inlineStr">
        <is>
          <t>PAID_ON_TIME</t>
        </is>
      </c>
      <c r="I3071">
        <f>IF(H3071="UNPAID", AsOfDate-D3071, 0)</f>
        <v/>
      </c>
      <c r="J3071">
        <f>IF(F3071&lt;&gt;"", TEXT(F3071, "yyyy-mm"), "")</f>
        <v/>
      </c>
    </row>
    <row r="3072">
      <c r="A3072" t="inlineStr">
        <is>
          <t>RP0003071</t>
        </is>
      </c>
      <c r="B3072" t="inlineStr">
        <is>
          <t>LN200440</t>
        </is>
      </c>
      <c r="C3072" t="n">
        <v>8</v>
      </c>
      <c r="D3072" s="8" t="n">
        <v>46277</v>
      </c>
      <c r="E3072" s="9" t="n">
        <v>22883.17</v>
      </c>
      <c r="F3072" s="8" t="n"/>
      <c r="G3072" s="9" t="n">
        <v>0</v>
      </c>
      <c r="H3072" t="inlineStr">
        <is>
          <t>NOT_DUE</t>
        </is>
      </c>
      <c r="I3072">
        <f>IF(H3072="UNPAID", AsOfDate-D3072, 0)</f>
        <v/>
      </c>
      <c r="J3072">
        <f>IF(F3072&lt;&gt;"", TEXT(F3072, "yyyy-mm"), "")</f>
        <v/>
      </c>
    </row>
    <row r="3073">
      <c r="A3073" t="inlineStr">
        <is>
          <t>RP0003072</t>
        </is>
      </c>
      <c r="B3073" t="inlineStr">
        <is>
          <t>LN200440</t>
        </is>
      </c>
      <c r="C3073" t="n">
        <v>9</v>
      </c>
      <c r="D3073" s="8" t="n">
        <v>46307</v>
      </c>
      <c r="E3073" s="9" t="n">
        <v>22883.17</v>
      </c>
      <c r="F3073" s="8" t="n"/>
      <c r="G3073" s="9" t="n">
        <v>0</v>
      </c>
      <c r="H3073" t="inlineStr">
        <is>
          <t>NOT_DUE</t>
        </is>
      </c>
      <c r="I3073">
        <f>IF(H3073="UNPAID", AsOfDate-D3073, 0)</f>
        <v/>
      </c>
      <c r="J3073">
        <f>IF(F3073&lt;&gt;"", TEXT(F3073, "yyyy-mm"), "")</f>
        <v/>
      </c>
    </row>
    <row r="3074">
      <c r="A3074" t="inlineStr">
        <is>
          <t>RP0003073</t>
        </is>
      </c>
      <c r="B3074" t="inlineStr">
        <is>
          <t>LN200441</t>
        </is>
      </c>
      <c r="C3074" t="n">
        <v>1</v>
      </c>
      <c r="D3074" s="8" t="n">
        <v>45794</v>
      </c>
      <c r="E3074" s="9" t="n">
        <v>23230.67</v>
      </c>
      <c r="F3074" s="8" t="n">
        <v>45792</v>
      </c>
      <c r="G3074" s="9" t="n">
        <v>23230.67</v>
      </c>
      <c r="H3074" t="inlineStr">
        <is>
          <t>PAID_ON_TIME</t>
        </is>
      </c>
      <c r="I3074">
        <f>IF(H3074="UNPAID", AsOfDate-D3074, 0)</f>
        <v/>
      </c>
      <c r="J3074">
        <f>IF(F3074&lt;&gt;"", TEXT(F3074, "yyyy-mm"), "")</f>
        <v/>
      </c>
    </row>
    <row r="3075">
      <c r="A3075" t="inlineStr">
        <is>
          <t>RP0003074</t>
        </is>
      </c>
      <c r="B3075" t="inlineStr">
        <is>
          <t>LN200441</t>
        </is>
      </c>
      <c r="C3075" t="n">
        <v>2</v>
      </c>
      <c r="D3075" s="8" t="n">
        <v>45825</v>
      </c>
      <c r="E3075" s="9" t="n">
        <v>23230.67</v>
      </c>
      <c r="F3075" s="8" t="n">
        <v>45826</v>
      </c>
      <c r="G3075" s="9" t="n">
        <v>23230.67</v>
      </c>
      <c r="H3075" t="inlineStr">
        <is>
          <t>PAID_ON_TIME</t>
        </is>
      </c>
      <c r="I3075">
        <f>IF(H3075="UNPAID", AsOfDate-D3075, 0)</f>
        <v/>
      </c>
      <c r="J3075">
        <f>IF(F3075&lt;&gt;"", TEXT(F3075, "yyyy-mm"), "")</f>
        <v/>
      </c>
    </row>
    <row r="3076">
      <c r="A3076" t="inlineStr">
        <is>
          <t>RP0003075</t>
        </is>
      </c>
      <c r="B3076" t="inlineStr">
        <is>
          <t>LN200441</t>
        </is>
      </c>
      <c r="C3076" t="n">
        <v>3</v>
      </c>
      <c r="D3076" s="8" t="n">
        <v>45855</v>
      </c>
      <c r="E3076" s="9" t="n">
        <v>23230.67</v>
      </c>
      <c r="F3076" s="8" t="n">
        <v>45853</v>
      </c>
      <c r="G3076" s="9" t="n">
        <v>23230.67</v>
      </c>
      <c r="H3076" t="inlineStr">
        <is>
          <t>PAID_ON_TIME</t>
        </is>
      </c>
      <c r="I3076">
        <f>IF(H3076="UNPAID", AsOfDate-D3076, 0)</f>
        <v/>
      </c>
      <c r="J3076">
        <f>IF(F3076&lt;&gt;"", TEXT(F3076, "yyyy-mm"), "")</f>
        <v/>
      </c>
    </row>
    <row r="3077">
      <c r="A3077" t="inlineStr">
        <is>
          <t>RP0003076</t>
        </is>
      </c>
      <c r="B3077" t="inlineStr">
        <is>
          <t>LN200441</t>
        </is>
      </c>
      <c r="C3077" t="n">
        <v>4</v>
      </c>
      <c r="D3077" s="8" t="n">
        <v>45886</v>
      </c>
      <c r="E3077" s="9" t="n">
        <v>23230.67</v>
      </c>
      <c r="F3077" s="8" t="n">
        <v>45885</v>
      </c>
      <c r="G3077" s="9" t="n">
        <v>23230.67</v>
      </c>
      <c r="H3077" t="inlineStr">
        <is>
          <t>PAID_ON_TIME</t>
        </is>
      </c>
      <c r="I3077">
        <f>IF(H3077="UNPAID", AsOfDate-D3077, 0)</f>
        <v/>
      </c>
      <c r="J3077">
        <f>IF(F3077&lt;&gt;"", TEXT(F3077, "yyyy-mm"), "")</f>
        <v/>
      </c>
    </row>
    <row r="3078">
      <c r="A3078" t="inlineStr">
        <is>
          <t>RP0003077</t>
        </is>
      </c>
      <c r="B3078" t="inlineStr">
        <is>
          <t>LN200441</t>
        </is>
      </c>
      <c r="C3078" t="n">
        <v>5</v>
      </c>
      <c r="D3078" s="8" t="n">
        <v>45917</v>
      </c>
      <c r="E3078" s="9" t="n">
        <v>23230.67</v>
      </c>
      <c r="F3078" s="8" t="n">
        <v>45917</v>
      </c>
      <c r="G3078" s="9" t="n">
        <v>23230.67</v>
      </c>
      <c r="H3078" t="inlineStr">
        <is>
          <t>PAID_ON_TIME</t>
        </is>
      </c>
      <c r="I3078">
        <f>IF(H3078="UNPAID", AsOfDate-D3078, 0)</f>
        <v/>
      </c>
      <c r="J3078">
        <f>IF(F3078&lt;&gt;"", TEXT(F3078, "yyyy-mm"), "")</f>
        <v/>
      </c>
    </row>
    <row r="3079">
      <c r="A3079" t="inlineStr">
        <is>
          <t>RP0003078</t>
        </is>
      </c>
      <c r="B3079" t="inlineStr">
        <is>
          <t>LN200441</t>
        </is>
      </c>
      <c r="C3079" t="n">
        <v>6</v>
      </c>
      <c r="D3079" s="8" t="n">
        <v>45947</v>
      </c>
      <c r="E3079" s="9" t="n">
        <v>23230.67</v>
      </c>
      <c r="F3079" s="8" t="n">
        <v>45944</v>
      </c>
      <c r="G3079" s="9" t="n">
        <v>23230.67</v>
      </c>
      <c r="H3079" t="inlineStr">
        <is>
          <t>PAID_ON_TIME</t>
        </is>
      </c>
      <c r="I3079">
        <f>IF(H3079="UNPAID", AsOfDate-D3079, 0)</f>
        <v/>
      </c>
      <c r="J3079">
        <f>IF(F3079&lt;&gt;"", TEXT(F3079, "yyyy-mm"), "")</f>
        <v/>
      </c>
    </row>
    <row r="3080">
      <c r="A3080" t="inlineStr">
        <is>
          <t>RP0003079</t>
        </is>
      </c>
      <c r="B3080" t="inlineStr">
        <is>
          <t>LN200442</t>
        </is>
      </c>
      <c r="C3080" t="n">
        <v>1</v>
      </c>
      <c r="D3080" s="8" t="n">
        <v>45786</v>
      </c>
      <c r="E3080" s="9" t="n">
        <v>20625.42</v>
      </c>
      <c r="F3080" s="8" t="n">
        <v>45862</v>
      </c>
      <c r="G3080" s="9" t="n">
        <v>20625.42</v>
      </c>
      <c r="H3080" t="inlineStr">
        <is>
          <t>PAID_LATE</t>
        </is>
      </c>
      <c r="I3080">
        <f>IF(H3080="UNPAID", AsOfDate-D3080, 0)</f>
        <v/>
      </c>
      <c r="J3080">
        <f>IF(F3080&lt;&gt;"", TEXT(F3080, "yyyy-mm"), "")</f>
        <v/>
      </c>
    </row>
    <row r="3081">
      <c r="A3081" t="inlineStr">
        <is>
          <t>RP0003080</t>
        </is>
      </c>
      <c r="B3081" t="inlineStr">
        <is>
          <t>LN200442</t>
        </is>
      </c>
      <c r="C3081" t="n">
        <v>2</v>
      </c>
      <c r="D3081" s="8" t="n">
        <v>45817</v>
      </c>
      <c r="E3081" s="9" t="n">
        <v>20625.42</v>
      </c>
      <c r="F3081" s="8" t="n">
        <v>45817</v>
      </c>
      <c r="G3081" s="9" t="n">
        <v>20625.42</v>
      </c>
      <c r="H3081" t="inlineStr">
        <is>
          <t>PAID_ON_TIME</t>
        </is>
      </c>
      <c r="I3081">
        <f>IF(H3081="UNPAID", AsOfDate-D3081, 0)</f>
        <v/>
      </c>
      <c r="J3081">
        <f>IF(F3081&lt;&gt;"", TEXT(F3081, "yyyy-mm"), "")</f>
        <v/>
      </c>
    </row>
    <row r="3082">
      <c r="A3082" t="inlineStr">
        <is>
          <t>RP0003081</t>
        </is>
      </c>
      <c r="B3082" t="inlineStr">
        <is>
          <t>LN200442</t>
        </is>
      </c>
      <c r="C3082" t="n">
        <v>3</v>
      </c>
      <c r="D3082" s="8" t="n">
        <v>45847</v>
      </c>
      <c r="E3082" s="9" t="n">
        <v>20625.42</v>
      </c>
      <c r="F3082" s="8" t="n">
        <v>45849</v>
      </c>
      <c r="G3082" s="9" t="n">
        <v>20625.42</v>
      </c>
      <c r="H3082" t="inlineStr">
        <is>
          <t>PAID_ON_TIME</t>
        </is>
      </c>
      <c r="I3082">
        <f>IF(H3082="UNPAID", AsOfDate-D3082, 0)</f>
        <v/>
      </c>
      <c r="J3082">
        <f>IF(F3082&lt;&gt;"", TEXT(F3082, "yyyy-mm"), "")</f>
        <v/>
      </c>
    </row>
    <row r="3083">
      <c r="A3083" t="inlineStr">
        <is>
          <t>RP0003082</t>
        </is>
      </c>
      <c r="B3083" t="inlineStr">
        <is>
          <t>LN200443</t>
        </is>
      </c>
      <c r="C3083" t="n">
        <v>1</v>
      </c>
      <c r="D3083" s="8" t="n">
        <v>45784</v>
      </c>
      <c r="E3083" s="9" t="n">
        <v>6130.89</v>
      </c>
      <c r="F3083" s="8" t="n">
        <v>45782</v>
      </c>
      <c r="G3083" s="9" t="n">
        <v>6130.89</v>
      </c>
      <c r="H3083" t="inlineStr">
        <is>
          <t>PAID_ON_TIME</t>
        </is>
      </c>
      <c r="I3083">
        <f>IF(H3083="UNPAID", AsOfDate-D3083, 0)</f>
        <v/>
      </c>
      <c r="J3083">
        <f>IF(F3083&lt;&gt;"", TEXT(F3083, "yyyy-mm"), "")</f>
        <v/>
      </c>
    </row>
    <row r="3084">
      <c r="A3084" t="inlineStr">
        <is>
          <t>RP0003083</t>
        </is>
      </c>
      <c r="B3084" t="inlineStr">
        <is>
          <t>LN200443</t>
        </is>
      </c>
      <c r="C3084" t="n">
        <v>2</v>
      </c>
      <c r="D3084" s="8" t="n">
        <v>45815</v>
      </c>
      <c r="E3084" s="9" t="n">
        <v>6130.89</v>
      </c>
      <c r="F3084" s="8" t="n">
        <v>45814</v>
      </c>
      <c r="G3084" s="9" t="n">
        <v>6130.89</v>
      </c>
      <c r="H3084" t="inlineStr">
        <is>
          <t>PAID_ON_TIME</t>
        </is>
      </c>
      <c r="I3084">
        <f>IF(H3084="UNPAID", AsOfDate-D3084, 0)</f>
        <v/>
      </c>
      <c r="J3084">
        <f>IF(F3084&lt;&gt;"", TEXT(F3084, "yyyy-mm"), "")</f>
        <v/>
      </c>
    </row>
    <row r="3085">
      <c r="A3085" t="inlineStr">
        <is>
          <t>RP0003084</t>
        </is>
      </c>
      <c r="B3085" t="inlineStr">
        <is>
          <t>LN200443</t>
        </is>
      </c>
      <c r="C3085" t="n">
        <v>3</v>
      </c>
      <c r="D3085" s="8" t="n">
        <v>45845</v>
      </c>
      <c r="E3085" s="9" t="n">
        <v>6130.89</v>
      </c>
      <c r="F3085" s="8" t="n">
        <v>45889</v>
      </c>
      <c r="G3085" s="9" t="n">
        <v>6130.89</v>
      </c>
      <c r="H3085" t="inlineStr">
        <is>
          <t>PAID_LATE</t>
        </is>
      </c>
      <c r="I3085">
        <f>IF(H3085="UNPAID", AsOfDate-D3085, 0)</f>
        <v/>
      </c>
      <c r="J3085">
        <f>IF(F3085&lt;&gt;"", TEXT(F3085, "yyyy-mm"), "")</f>
        <v/>
      </c>
    </row>
    <row r="3086">
      <c r="A3086" t="inlineStr">
        <is>
          <t>RP0003085</t>
        </is>
      </c>
      <c r="B3086" t="inlineStr">
        <is>
          <t>LN200443</t>
        </is>
      </c>
      <c r="C3086" t="n">
        <v>4</v>
      </c>
      <c r="D3086" s="8" t="n">
        <v>45876</v>
      </c>
      <c r="E3086" s="9" t="n">
        <v>6130.89</v>
      </c>
      <c r="F3086" s="8" t="n">
        <v>45879</v>
      </c>
      <c r="G3086" s="9" t="n">
        <v>6130.89</v>
      </c>
      <c r="H3086" t="inlineStr">
        <is>
          <t>PAID_ON_TIME</t>
        </is>
      </c>
      <c r="I3086">
        <f>IF(H3086="UNPAID", AsOfDate-D3086, 0)</f>
        <v/>
      </c>
      <c r="J3086">
        <f>IF(F3086&lt;&gt;"", TEXT(F3086, "yyyy-mm"), "")</f>
        <v/>
      </c>
    </row>
    <row r="3087">
      <c r="A3087" t="inlineStr">
        <is>
          <t>RP0003086</t>
        </is>
      </c>
      <c r="B3087" t="inlineStr">
        <is>
          <t>LN200443</t>
        </is>
      </c>
      <c r="C3087" t="n">
        <v>5</v>
      </c>
      <c r="D3087" s="8" t="n">
        <v>45907</v>
      </c>
      <c r="E3087" s="9" t="n">
        <v>6130.89</v>
      </c>
      <c r="F3087" s="8" t="n">
        <v>45993</v>
      </c>
      <c r="G3087" s="9" t="n">
        <v>6130.89</v>
      </c>
      <c r="H3087" t="inlineStr">
        <is>
          <t>PAID_LATE</t>
        </is>
      </c>
      <c r="I3087">
        <f>IF(H3087="UNPAID", AsOfDate-D3087, 0)</f>
        <v/>
      </c>
      <c r="J3087">
        <f>IF(F3087&lt;&gt;"", TEXT(F3087, "yyyy-mm"), "")</f>
        <v/>
      </c>
    </row>
    <row r="3088">
      <c r="A3088" t="inlineStr">
        <is>
          <t>RP0003087</t>
        </is>
      </c>
      <c r="B3088" t="inlineStr">
        <is>
          <t>LN200443</t>
        </is>
      </c>
      <c r="C3088" t="n">
        <v>6</v>
      </c>
      <c r="D3088" s="8" t="n">
        <v>45937</v>
      </c>
      <c r="E3088" s="9" t="n">
        <v>6130.89</v>
      </c>
      <c r="F3088" s="8" t="n">
        <v>45939</v>
      </c>
      <c r="G3088" s="9" t="n">
        <v>6130.89</v>
      </c>
      <c r="H3088" t="inlineStr">
        <is>
          <t>PAID_LATE</t>
        </is>
      </c>
      <c r="I3088">
        <f>IF(H3088="UNPAID", AsOfDate-D3088, 0)</f>
        <v/>
      </c>
      <c r="J3088">
        <f>IF(F3088&lt;&gt;"", TEXT(F3088, "yyyy-mm"), "")</f>
        <v/>
      </c>
    </row>
    <row r="3089">
      <c r="A3089" t="inlineStr">
        <is>
          <t>RP0003088</t>
        </is>
      </c>
      <c r="B3089" t="inlineStr">
        <is>
          <t>LN200443</t>
        </is>
      </c>
      <c r="C3089" t="n">
        <v>7</v>
      </c>
      <c r="D3089" s="8" t="n">
        <v>45968</v>
      </c>
      <c r="E3089" s="9" t="n">
        <v>6130.89</v>
      </c>
      <c r="F3089" s="8" t="n">
        <v>45966</v>
      </c>
      <c r="G3089" s="9" t="n">
        <v>6130.89</v>
      </c>
      <c r="H3089" t="inlineStr">
        <is>
          <t>PAID_ON_TIME</t>
        </is>
      </c>
      <c r="I3089">
        <f>IF(H3089="UNPAID", AsOfDate-D3089, 0)</f>
        <v/>
      </c>
      <c r="J3089">
        <f>IF(F3089&lt;&gt;"", TEXT(F3089, "yyyy-mm"), "")</f>
        <v/>
      </c>
    </row>
    <row r="3090">
      <c r="A3090" t="inlineStr">
        <is>
          <t>RP0003089</t>
        </is>
      </c>
      <c r="B3090" t="inlineStr">
        <is>
          <t>LN200443</t>
        </is>
      </c>
      <c r="C3090" t="n">
        <v>8</v>
      </c>
      <c r="D3090" s="8" t="n">
        <v>45998</v>
      </c>
      <c r="E3090" s="9" t="n">
        <v>6130.89</v>
      </c>
      <c r="F3090" s="8" t="n">
        <v>46081</v>
      </c>
      <c r="G3090" s="9" t="n">
        <v>6130.89</v>
      </c>
      <c r="H3090" t="inlineStr">
        <is>
          <t>PAID_LATE</t>
        </is>
      </c>
      <c r="I3090">
        <f>IF(H3090="UNPAID", AsOfDate-D3090, 0)</f>
        <v/>
      </c>
      <c r="J3090">
        <f>IF(F3090&lt;&gt;"", TEXT(F3090, "yyyy-mm"), "")</f>
        <v/>
      </c>
    </row>
    <row r="3091">
      <c r="A3091" t="inlineStr">
        <is>
          <t>RP0003090</t>
        </is>
      </c>
      <c r="B3091" t="inlineStr">
        <is>
          <t>LN200443</t>
        </is>
      </c>
      <c r="C3091" t="n">
        <v>9</v>
      </c>
      <c r="D3091" s="8" t="n">
        <v>46029</v>
      </c>
      <c r="E3091" s="9" t="n">
        <v>6130.89</v>
      </c>
      <c r="F3091" s="8" t="n">
        <v>46057</v>
      </c>
      <c r="G3091" s="9" t="n">
        <v>6130.89</v>
      </c>
      <c r="H3091" t="inlineStr">
        <is>
          <t>PAID_LATE</t>
        </is>
      </c>
      <c r="I3091">
        <f>IF(H3091="UNPAID", AsOfDate-D3091, 0)</f>
        <v/>
      </c>
      <c r="J3091">
        <f>IF(F3091&lt;&gt;"", TEXT(F3091, "yyyy-mm"), "")</f>
        <v/>
      </c>
    </row>
    <row r="3092">
      <c r="A3092" t="inlineStr">
        <is>
          <t>RP0003091</t>
        </is>
      </c>
      <c r="B3092" t="inlineStr">
        <is>
          <t>LN200444</t>
        </is>
      </c>
      <c r="C3092" t="n">
        <v>1</v>
      </c>
      <c r="D3092" s="8" t="n">
        <v>45928</v>
      </c>
      <c r="E3092" s="9" t="n">
        <v>84212.56</v>
      </c>
      <c r="F3092" s="8" t="n">
        <v>45929</v>
      </c>
      <c r="G3092" s="9" t="n">
        <v>84212.56</v>
      </c>
      <c r="H3092" t="inlineStr">
        <is>
          <t>PAID_ON_TIME</t>
        </is>
      </c>
      <c r="I3092">
        <f>IF(H3092="UNPAID", AsOfDate-D3092, 0)</f>
        <v/>
      </c>
      <c r="J3092">
        <f>IF(F3092&lt;&gt;"", TEXT(F3092, "yyyy-mm"), "")</f>
        <v/>
      </c>
    </row>
    <row r="3093">
      <c r="A3093" t="inlineStr">
        <is>
          <t>RP0003092</t>
        </is>
      </c>
      <c r="B3093" t="inlineStr">
        <is>
          <t>LN200444</t>
        </is>
      </c>
      <c r="C3093" t="n">
        <v>2</v>
      </c>
      <c r="D3093" s="8" t="n">
        <v>45958</v>
      </c>
      <c r="E3093" s="9" t="n">
        <v>84212.56</v>
      </c>
      <c r="F3093" s="8" t="n">
        <v>45958</v>
      </c>
      <c r="G3093" s="9" t="n">
        <v>84212.56</v>
      </c>
      <c r="H3093" t="inlineStr">
        <is>
          <t>PAID_ON_TIME</t>
        </is>
      </c>
      <c r="I3093">
        <f>IF(H3093="UNPAID", AsOfDate-D3093, 0)</f>
        <v/>
      </c>
      <c r="J3093">
        <f>IF(F3093&lt;&gt;"", TEXT(F3093, "yyyy-mm"), "")</f>
        <v/>
      </c>
    </row>
    <row r="3094">
      <c r="A3094" t="inlineStr">
        <is>
          <t>RP0003093</t>
        </is>
      </c>
      <c r="B3094" t="inlineStr">
        <is>
          <t>LN200444</t>
        </is>
      </c>
      <c r="C3094" t="n">
        <v>3</v>
      </c>
      <c r="D3094" s="8" t="n">
        <v>45989</v>
      </c>
      <c r="E3094" s="9" t="n">
        <v>84212.56</v>
      </c>
      <c r="F3094" s="8" t="n">
        <v>45986</v>
      </c>
      <c r="G3094" s="9" t="n">
        <v>84212.56</v>
      </c>
      <c r="H3094" t="inlineStr">
        <is>
          <t>PAID_ON_TIME</t>
        </is>
      </c>
      <c r="I3094">
        <f>IF(H3094="UNPAID", AsOfDate-D3094, 0)</f>
        <v/>
      </c>
      <c r="J3094">
        <f>IF(F3094&lt;&gt;"", TEXT(F3094, "yyyy-mm"), "")</f>
        <v/>
      </c>
    </row>
    <row r="3095">
      <c r="A3095" t="inlineStr">
        <is>
          <t>RP0003094</t>
        </is>
      </c>
      <c r="B3095" t="inlineStr">
        <is>
          <t>LN200444</t>
        </is>
      </c>
      <c r="C3095" t="n">
        <v>4</v>
      </c>
      <c r="D3095" s="8" t="n">
        <v>46019</v>
      </c>
      <c r="E3095" s="9" t="n">
        <v>84212.56</v>
      </c>
      <c r="F3095" s="8" t="n">
        <v>46023</v>
      </c>
      <c r="G3095" s="9" t="n">
        <v>84212.56</v>
      </c>
      <c r="H3095" t="inlineStr">
        <is>
          <t>PAID_ON_TIME</t>
        </is>
      </c>
      <c r="I3095">
        <f>IF(H3095="UNPAID", AsOfDate-D3095, 0)</f>
        <v/>
      </c>
      <c r="J3095">
        <f>IF(F3095&lt;&gt;"", TEXT(F3095, "yyyy-mm"), "")</f>
        <v/>
      </c>
    </row>
    <row r="3096">
      <c r="A3096" t="inlineStr">
        <is>
          <t>RP0003095</t>
        </is>
      </c>
      <c r="B3096" t="inlineStr">
        <is>
          <t>LN200444</t>
        </is>
      </c>
      <c r="C3096" t="n">
        <v>5</v>
      </c>
      <c r="D3096" s="8" t="n">
        <v>46050</v>
      </c>
      <c r="E3096" s="9" t="n">
        <v>84212.56</v>
      </c>
      <c r="F3096" s="8" t="n">
        <v>46052</v>
      </c>
      <c r="G3096" s="9" t="n">
        <v>84212.56</v>
      </c>
      <c r="H3096" t="inlineStr">
        <is>
          <t>PAID_ON_TIME</t>
        </is>
      </c>
      <c r="I3096">
        <f>IF(H3096="UNPAID", AsOfDate-D3096, 0)</f>
        <v/>
      </c>
      <c r="J3096">
        <f>IF(F3096&lt;&gt;"", TEXT(F3096, "yyyy-mm"), "")</f>
        <v/>
      </c>
    </row>
    <row r="3097">
      <c r="A3097" t="inlineStr">
        <is>
          <t>RP0003096</t>
        </is>
      </c>
      <c r="B3097" t="inlineStr">
        <is>
          <t>LN200444</t>
        </is>
      </c>
      <c r="C3097" t="n">
        <v>6</v>
      </c>
      <c r="D3097" s="8" t="n">
        <v>46081</v>
      </c>
      <c r="E3097" s="9" t="n">
        <v>84212.56</v>
      </c>
      <c r="F3097" s="8" t="n">
        <v>46079</v>
      </c>
      <c r="G3097" s="9" t="n">
        <v>84212.56</v>
      </c>
      <c r="H3097" t="inlineStr">
        <is>
          <t>PAID_ON_TIME</t>
        </is>
      </c>
      <c r="I3097">
        <f>IF(H3097="UNPAID", AsOfDate-D3097, 0)</f>
        <v/>
      </c>
      <c r="J3097">
        <f>IF(F3097&lt;&gt;"", TEXT(F3097, "yyyy-mm"), "")</f>
        <v/>
      </c>
    </row>
    <row r="3098">
      <c r="A3098" t="inlineStr">
        <is>
          <t>RP0003097</t>
        </is>
      </c>
      <c r="B3098" t="inlineStr">
        <is>
          <t>LN200444</t>
        </is>
      </c>
      <c r="C3098" t="n">
        <v>7</v>
      </c>
      <c r="D3098" s="8" t="n">
        <v>46109</v>
      </c>
      <c r="E3098" s="9" t="n">
        <v>84212.56</v>
      </c>
      <c r="F3098" s="8" t="n">
        <v>46113</v>
      </c>
      <c r="G3098" s="9" t="n">
        <v>84212.56</v>
      </c>
      <c r="H3098" t="inlineStr">
        <is>
          <t>PAID_ON_TIME</t>
        </is>
      </c>
      <c r="I3098">
        <f>IF(H3098="UNPAID", AsOfDate-D3098, 0)</f>
        <v/>
      </c>
      <c r="J3098">
        <f>IF(F3098&lt;&gt;"", TEXT(F3098, "yyyy-mm"), "")</f>
        <v/>
      </c>
    </row>
    <row r="3099">
      <c r="A3099" t="inlineStr">
        <is>
          <t>RP0003098</t>
        </is>
      </c>
      <c r="B3099" t="inlineStr">
        <is>
          <t>LN200444</t>
        </is>
      </c>
      <c r="C3099" t="n">
        <v>8</v>
      </c>
      <c r="D3099" s="8" t="n">
        <v>46140</v>
      </c>
      <c r="E3099" s="9" t="n">
        <v>84212.56</v>
      </c>
      <c r="F3099" s="8" t="n">
        <v>46157</v>
      </c>
      <c r="G3099" s="9" t="n">
        <v>84212.56</v>
      </c>
      <c r="H3099" t="inlineStr">
        <is>
          <t>PAID_LATE</t>
        </is>
      </c>
      <c r="I3099">
        <f>IF(H3099="UNPAID", AsOfDate-D3099, 0)</f>
        <v/>
      </c>
      <c r="J3099">
        <f>IF(F3099&lt;&gt;"", TEXT(F3099, "yyyy-mm"), "")</f>
        <v/>
      </c>
    </row>
    <row r="3100">
      <c r="A3100" t="inlineStr">
        <is>
          <t>RP0003099</t>
        </is>
      </c>
      <c r="B3100" t="inlineStr">
        <is>
          <t>LN200444</t>
        </is>
      </c>
      <c r="C3100" t="n">
        <v>9</v>
      </c>
      <c r="D3100" s="8" t="n">
        <v>46170</v>
      </c>
      <c r="E3100" s="9" t="n">
        <v>84212.56</v>
      </c>
      <c r="F3100" s="8" t="n">
        <v>46215</v>
      </c>
      <c r="G3100" s="9" t="n">
        <v>84212.56</v>
      </c>
      <c r="H3100" t="inlineStr">
        <is>
          <t>PAID_LATE</t>
        </is>
      </c>
      <c r="I3100">
        <f>IF(H3100="UNPAID", AsOfDate-D3100, 0)</f>
        <v/>
      </c>
      <c r="J3100">
        <f>IF(F3100&lt;&gt;"", TEXT(F3100, "yyyy-mm"), "")</f>
        <v/>
      </c>
    </row>
    <row r="3101">
      <c r="A3101" t="inlineStr">
        <is>
          <t>RP0003100</t>
        </is>
      </c>
      <c r="B3101" t="inlineStr">
        <is>
          <t>LN200445</t>
        </is>
      </c>
      <c r="C3101" t="n">
        <v>1</v>
      </c>
      <c r="D3101" s="8" t="n">
        <v>46186</v>
      </c>
      <c r="E3101" s="9" t="n">
        <v>249254.25</v>
      </c>
      <c r="F3101" s="8" t="n">
        <v>46187</v>
      </c>
      <c r="G3101" s="9" t="n">
        <v>249254.25</v>
      </c>
      <c r="H3101" t="inlineStr">
        <is>
          <t>PAID_ON_TIME</t>
        </is>
      </c>
      <c r="I3101">
        <f>IF(H3101="UNPAID", AsOfDate-D3101, 0)</f>
        <v/>
      </c>
      <c r="J3101">
        <f>IF(F3101&lt;&gt;"", TEXT(F3101, "yyyy-mm"), "")</f>
        <v/>
      </c>
    </row>
    <row r="3102">
      <c r="A3102" t="inlineStr">
        <is>
          <t>RP0003101</t>
        </is>
      </c>
      <c r="B3102" t="inlineStr">
        <is>
          <t>LN200445</t>
        </is>
      </c>
      <c r="C3102" t="n">
        <v>2</v>
      </c>
      <c r="D3102" s="8" t="n">
        <v>46216</v>
      </c>
      <c r="E3102" s="9" t="n">
        <v>249254.25</v>
      </c>
      <c r="F3102" s="8" t="n">
        <v>46220</v>
      </c>
      <c r="G3102" s="9" t="n">
        <v>249254.25</v>
      </c>
      <c r="H3102" t="inlineStr">
        <is>
          <t>PAID_ON_TIME</t>
        </is>
      </c>
      <c r="I3102">
        <f>IF(H3102="UNPAID", AsOfDate-D3102, 0)</f>
        <v/>
      </c>
      <c r="J3102">
        <f>IF(F3102&lt;&gt;"", TEXT(F3102, "yyyy-mm"), "")</f>
        <v/>
      </c>
    </row>
    <row r="3103">
      <c r="A3103" t="inlineStr">
        <is>
          <t>RP0003102</t>
        </is>
      </c>
      <c r="B3103" t="inlineStr">
        <is>
          <t>LN200445</t>
        </is>
      </c>
      <c r="C3103" t="n">
        <v>3</v>
      </c>
      <c r="D3103" s="8" t="n">
        <v>46247</v>
      </c>
      <c r="E3103" s="9" t="n">
        <v>249254.25</v>
      </c>
      <c r="F3103" s="8" t="n"/>
      <c r="G3103" s="9" t="n">
        <v>0</v>
      </c>
      <c r="H3103" t="inlineStr">
        <is>
          <t>UNPAID</t>
        </is>
      </c>
      <c r="I3103">
        <f>IF(H3103="UNPAID", AsOfDate-D3103, 0)</f>
        <v/>
      </c>
      <c r="J3103">
        <f>IF(F3103&lt;&gt;"", TEXT(F3103, "yyyy-mm"), "")</f>
        <v/>
      </c>
    </row>
    <row r="3104">
      <c r="A3104" t="inlineStr">
        <is>
          <t>RP0003103</t>
        </is>
      </c>
      <c r="B3104" t="inlineStr">
        <is>
          <t>LN200446</t>
        </is>
      </c>
      <c r="C3104" t="n">
        <v>1</v>
      </c>
      <c r="D3104" s="8" t="n">
        <v>46205</v>
      </c>
      <c r="E3104" s="9" t="n">
        <v>7433.83</v>
      </c>
      <c r="F3104" s="8" t="n">
        <v>46231</v>
      </c>
      <c r="G3104" s="9" t="n">
        <v>7433.83</v>
      </c>
      <c r="H3104" t="inlineStr">
        <is>
          <t>PAID_LATE</t>
        </is>
      </c>
      <c r="I3104">
        <f>IF(H3104="UNPAID", AsOfDate-D3104, 0)</f>
        <v/>
      </c>
      <c r="J3104">
        <f>IF(F3104&lt;&gt;"", TEXT(F3104, "yyyy-mm"), "")</f>
        <v/>
      </c>
    </row>
    <row r="3105">
      <c r="A3105" t="inlineStr">
        <is>
          <t>RP0003104</t>
        </is>
      </c>
      <c r="B3105" t="inlineStr">
        <is>
          <t>LN200446</t>
        </is>
      </c>
      <c r="C3105" t="n">
        <v>2</v>
      </c>
      <c r="D3105" s="8" t="n">
        <v>46236</v>
      </c>
      <c r="E3105" s="9" t="n">
        <v>7433.83</v>
      </c>
      <c r="F3105" s="8" t="n">
        <v>46240</v>
      </c>
      <c r="G3105" s="9" t="n">
        <v>7433.83</v>
      </c>
      <c r="H3105" t="inlineStr">
        <is>
          <t>PAID_ON_TIME</t>
        </is>
      </c>
      <c r="I3105">
        <f>IF(H3105="UNPAID", AsOfDate-D3105, 0)</f>
        <v/>
      </c>
      <c r="J3105">
        <f>IF(F3105&lt;&gt;"", TEXT(F3105, "yyyy-mm"), "")</f>
        <v/>
      </c>
    </row>
    <row r="3106">
      <c r="A3106" t="inlineStr">
        <is>
          <t>RP0003105</t>
        </is>
      </c>
      <c r="B3106" t="inlineStr">
        <is>
          <t>LN200446</t>
        </is>
      </c>
      <c r="C3106" t="n">
        <v>3</v>
      </c>
      <c r="D3106" s="8" t="n">
        <v>46267</v>
      </c>
      <c r="E3106" s="9" t="n">
        <v>7433.83</v>
      </c>
      <c r="F3106" s="8" t="n"/>
      <c r="G3106" s="9" t="n">
        <v>0</v>
      </c>
      <c r="H3106" t="inlineStr">
        <is>
          <t>NOT_DUE</t>
        </is>
      </c>
      <c r="I3106">
        <f>IF(H3106="UNPAID", AsOfDate-D3106, 0)</f>
        <v/>
      </c>
      <c r="J3106">
        <f>IF(F3106&lt;&gt;"", TEXT(F3106, "yyyy-mm"), "")</f>
        <v/>
      </c>
    </row>
    <row r="3107">
      <c r="A3107" t="inlineStr">
        <is>
          <t>RP0003106</t>
        </is>
      </c>
      <c r="B3107" t="inlineStr">
        <is>
          <t>LN200446</t>
        </is>
      </c>
      <c r="C3107" t="n">
        <v>4</v>
      </c>
      <c r="D3107" s="8" t="n">
        <v>46297</v>
      </c>
      <c r="E3107" s="9" t="n">
        <v>7433.83</v>
      </c>
      <c r="F3107" s="8" t="n"/>
      <c r="G3107" s="9" t="n">
        <v>0</v>
      </c>
      <c r="H3107" t="inlineStr">
        <is>
          <t>NOT_DUE</t>
        </is>
      </c>
      <c r="I3107">
        <f>IF(H3107="UNPAID", AsOfDate-D3107, 0)</f>
        <v/>
      </c>
      <c r="J3107">
        <f>IF(F3107&lt;&gt;"", TEXT(F3107, "yyyy-mm"), "")</f>
        <v/>
      </c>
    </row>
    <row r="3108">
      <c r="A3108" t="inlineStr">
        <is>
          <t>RP0003107</t>
        </is>
      </c>
      <c r="B3108" t="inlineStr">
        <is>
          <t>LN200446</t>
        </is>
      </c>
      <c r="C3108" t="n">
        <v>5</v>
      </c>
      <c r="D3108" s="8" t="n">
        <v>46328</v>
      </c>
      <c r="E3108" s="9" t="n">
        <v>7433.83</v>
      </c>
      <c r="F3108" s="8" t="n"/>
      <c r="G3108" s="9" t="n">
        <v>0</v>
      </c>
      <c r="H3108" t="inlineStr">
        <is>
          <t>NOT_DUE</t>
        </is>
      </c>
      <c r="I3108">
        <f>IF(H3108="UNPAID", AsOfDate-D3108, 0)</f>
        <v/>
      </c>
      <c r="J3108">
        <f>IF(F3108&lt;&gt;"", TEXT(F3108, "yyyy-mm"), "")</f>
        <v/>
      </c>
    </row>
    <row r="3109">
      <c r="A3109" t="inlineStr">
        <is>
          <t>RP0003108</t>
        </is>
      </c>
      <c r="B3109" t="inlineStr">
        <is>
          <t>LN200446</t>
        </is>
      </c>
      <c r="C3109" t="n">
        <v>6</v>
      </c>
      <c r="D3109" s="8" t="n">
        <v>46358</v>
      </c>
      <c r="E3109" s="9" t="n">
        <v>7433.83</v>
      </c>
      <c r="F3109" s="8" t="n"/>
      <c r="G3109" s="9" t="n">
        <v>0</v>
      </c>
      <c r="H3109" t="inlineStr">
        <is>
          <t>NOT_DUE</t>
        </is>
      </c>
      <c r="I3109">
        <f>IF(H3109="UNPAID", AsOfDate-D3109, 0)</f>
        <v/>
      </c>
      <c r="J3109">
        <f>IF(F3109&lt;&gt;"", TEXT(F3109, "yyyy-mm"), "")</f>
        <v/>
      </c>
    </row>
    <row r="3110">
      <c r="A3110" t="inlineStr">
        <is>
          <t>RP0003109</t>
        </is>
      </c>
      <c r="B3110" t="inlineStr">
        <is>
          <t>LN200446</t>
        </is>
      </c>
      <c r="C3110" t="n">
        <v>7</v>
      </c>
      <c r="D3110" s="8" t="n">
        <v>46389</v>
      </c>
      <c r="E3110" s="9" t="n">
        <v>7433.83</v>
      </c>
      <c r="F3110" s="8" t="n"/>
      <c r="G3110" s="9" t="n">
        <v>0</v>
      </c>
      <c r="H3110" t="inlineStr">
        <is>
          <t>NOT_DUE</t>
        </is>
      </c>
      <c r="I3110">
        <f>IF(H3110="UNPAID", AsOfDate-D3110, 0)</f>
        <v/>
      </c>
      <c r="J3110">
        <f>IF(F3110&lt;&gt;"", TEXT(F3110, "yyyy-mm"), "")</f>
        <v/>
      </c>
    </row>
    <row r="3111">
      <c r="A3111" t="inlineStr">
        <is>
          <t>RP0003110</t>
        </is>
      </c>
      <c r="B3111" t="inlineStr">
        <is>
          <t>LN200446</t>
        </is>
      </c>
      <c r="C3111" t="n">
        <v>8</v>
      </c>
      <c r="D3111" s="8" t="n">
        <v>46420</v>
      </c>
      <c r="E3111" s="9" t="n">
        <v>7433.83</v>
      </c>
      <c r="F3111" s="8" t="n"/>
      <c r="G3111" s="9" t="n">
        <v>0</v>
      </c>
      <c r="H3111" t="inlineStr">
        <is>
          <t>NOT_DUE</t>
        </is>
      </c>
      <c r="I3111">
        <f>IF(H3111="UNPAID", AsOfDate-D3111, 0)</f>
        <v/>
      </c>
      <c r="J3111">
        <f>IF(F3111&lt;&gt;"", TEXT(F3111, "yyyy-mm"), "")</f>
        <v/>
      </c>
    </row>
    <row r="3112">
      <c r="A3112" t="inlineStr">
        <is>
          <t>RP0003111</t>
        </is>
      </c>
      <c r="B3112" t="inlineStr">
        <is>
          <t>LN200446</t>
        </is>
      </c>
      <c r="C3112" t="n">
        <v>9</v>
      </c>
      <c r="D3112" s="8" t="n">
        <v>46448</v>
      </c>
      <c r="E3112" s="9" t="n">
        <v>7433.83</v>
      </c>
      <c r="F3112" s="8" t="n"/>
      <c r="G3112" s="9" t="n">
        <v>0</v>
      </c>
      <c r="H3112" t="inlineStr">
        <is>
          <t>NOT_DUE</t>
        </is>
      </c>
      <c r="I3112">
        <f>IF(H3112="UNPAID", AsOfDate-D3112, 0)</f>
        <v/>
      </c>
      <c r="J3112">
        <f>IF(F3112&lt;&gt;"", TEXT(F3112, "yyyy-mm"), "")</f>
        <v/>
      </c>
    </row>
    <row r="3113">
      <c r="A3113" t="inlineStr">
        <is>
          <t>RP0003112</t>
        </is>
      </c>
      <c r="B3113" t="inlineStr">
        <is>
          <t>LN200446</t>
        </is>
      </c>
      <c r="C3113" t="n">
        <v>10</v>
      </c>
      <c r="D3113" s="8" t="n">
        <v>46479</v>
      </c>
      <c r="E3113" s="9" t="n">
        <v>7433.83</v>
      </c>
      <c r="F3113" s="8" t="n"/>
      <c r="G3113" s="9" t="n">
        <v>0</v>
      </c>
      <c r="H3113" t="inlineStr">
        <is>
          <t>NOT_DUE</t>
        </is>
      </c>
      <c r="I3113">
        <f>IF(H3113="UNPAID", AsOfDate-D3113, 0)</f>
        <v/>
      </c>
      <c r="J3113">
        <f>IF(F3113&lt;&gt;"", TEXT(F3113, "yyyy-mm"), "")</f>
        <v/>
      </c>
    </row>
    <row r="3114">
      <c r="A3114" t="inlineStr">
        <is>
          <t>RP0003113</t>
        </is>
      </c>
      <c r="B3114" t="inlineStr">
        <is>
          <t>LN200446</t>
        </is>
      </c>
      <c r="C3114" t="n">
        <v>11</v>
      </c>
      <c r="D3114" s="8" t="n">
        <v>46509</v>
      </c>
      <c r="E3114" s="9" t="n">
        <v>7433.83</v>
      </c>
      <c r="F3114" s="8" t="n"/>
      <c r="G3114" s="9" t="n">
        <v>0</v>
      </c>
      <c r="H3114" t="inlineStr">
        <is>
          <t>NOT_DUE</t>
        </is>
      </c>
      <c r="I3114">
        <f>IF(H3114="UNPAID", AsOfDate-D3114, 0)</f>
        <v/>
      </c>
      <c r="J3114">
        <f>IF(F3114&lt;&gt;"", TEXT(F3114, "yyyy-mm"), "")</f>
        <v/>
      </c>
    </row>
    <row r="3115">
      <c r="A3115" t="inlineStr">
        <is>
          <t>RP0003114</t>
        </is>
      </c>
      <c r="B3115" t="inlineStr">
        <is>
          <t>LN200446</t>
        </is>
      </c>
      <c r="C3115" t="n">
        <v>12</v>
      </c>
      <c r="D3115" s="8" t="n">
        <v>46540</v>
      </c>
      <c r="E3115" s="9" t="n">
        <v>7433.83</v>
      </c>
      <c r="F3115" s="8" t="n"/>
      <c r="G3115" s="9" t="n">
        <v>0</v>
      </c>
      <c r="H3115" t="inlineStr">
        <is>
          <t>NOT_DUE</t>
        </is>
      </c>
      <c r="I3115">
        <f>IF(H3115="UNPAID", AsOfDate-D3115, 0)</f>
        <v/>
      </c>
      <c r="J3115">
        <f>IF(F3115&lt;&gt;"", TEXT(F3115, "yyyy-mm"), "")</f>
        <v/>
      </c>
    </row>
    <row r="3116">
      <c r="A3116" t="inlineStr">
        <is>
          <t>RP0003115</t>
        </is>
      </c>
      <c r="B3116" t="inlineStr">
        <is>
          <t>LN200447</t>
        </is>
      </c>
      <c r="C3116" t="n">
        <v>1</v>
      </c>
      <c r="D3116" s="8" t="n">
        <v>45911</v>
      </c>
      <c r="E3116" s="9" t="n">
        <v>4428</v>
      </c>
      <c r="F3116" s="8" t="n">
        <v>45908</v>
      </c>
      <c r="G3116" s="9" t="n">
        <v>4428</v>
      </c>
      <c r="H3116" t="inlineStr">
        <is>
          <t>PAID_ON_TIME</t>
        </is>
      </c>
      <c r="I3116">
        <f>IF(H3116="UNPAID", AsOfDate-D3116, 0)</f>
        <v/>
      </c>
      <c r="J3116">
        <f>IF(F3116&lt;&gt;"", TEXT(F3116, "yyyy-mm"), "")</f>
        <v/>
      </c>
    </row>
    <row r="3117">
      <c r="A3117" t="inlineStr">
        <is>
          <t>RP0003116</t>
        </is>
      </c>
      <c r="B3117" t="inlineStr">
        <is>
          <t>LN200447</t>
        </is>
      </c>
      <c r="C3117" t="n">
        <v>2</v>
      </c>
      <c r="D3117" s="8" t="n">
        <v>45941</v>
      </c>
      <c r="E3117" s="9" t="n">
        <v>4428</v>
      </c>
      <c r="F3117" s="8" t="n">
        <v>45940</v>
      </c>
      <c r="G3117" s="9" t="n">
        <v>4428</v>
      </c>
      <c r="H3117" t="inlineStr">
        <is>
          <t>PAID_ON_TIME</t>
        </is>
      </c>
      <c r="I3117">
        <f>IF(H3117="UNPAID", AsOfDate-D3117, 0)</f>
        <v/>
      </c>
      <c r="J3117">
        <f>IF(F3117&lt;&gt;"", TEXT(F3117, "yyyy-mm"), "")</f>
        <v/>
      </c>
    </row>
    <row r="3118">
      <c r="A3118" t="inlineStr">
        <is>
          <t>RP0003117</t>
        </is>
      </c>
      <c r="B3118" t="inlineStr">
        <is>
          <t>LN200447</t>
        </is>
      </c>
      <c r="C3118" t="n">
        <v>3</v>
      </c>
      <c r="D3118" s="8" t="n">
        <v>45972</v>
      </c>
      <c r="E3118" s="9" t="n">
        <v>4428</v>
      </c>
      <c r="F3118" s="8" t="n">
        <v>45969</v>
      </c>
      <c r="G3118" s="9" t="n">
        <v>4428</v>
      </c>
      <c r="H3118" t="inlineStr">
        <is>
          <t>PAID_ON_TIME</t>
        </is>
      </c>
      <c r="I3118">
        <f>IF(H3118="UNPAID", AsOfDate-D3118, 0)</f>
        <v/>
      </c>
      <c r="J3118">
        <f>IF(F3118&lt;&gt;"", TEXT(F3118, "yyyy-mm"), "")</f>
        <v/>
      </c>
    </row>
    <row r="3119">
      <c r="A3119" t="inlineStr">
        <is>
          <t>RP0003118</t>
        </is>
      </c>
      <c r="B3119" t="inlineStr">
        <is>
          <t>LN200447</t>
        </is>
      </c>
      <c r="C3119" t="n">
        <v>4</v>
      </c>
      <c r="D3119" s="8" t="n">
        <v>46002</v>
      </c>
      <c r="E3119" s="9" t="n">
        <v>4428</v>
      </c>
      <c r="F3119" s="8" t="n">
        <v>46004</v>
      </c>
      <c r="G3119" s="9" t="n">
        <v>4428</v>
      </c>
      <c r="H3119" t="inlineStr">
        <is>
          <t>PAID_ON_TIME</t>
        </is>
      </c>
      <c r="I3119">
        <f>IF(H3119="UNPAID", AsOfDate-D3119, 0)</f>
        <v/>
      </c>
      <c r="J3119">
        <f>IF(F3119&lt;&gt;"", TEXT(F3119, "yyyy-mm"), "")</f>
        <v/>
      </c>
    </row>
    <row r="3120">
      <c r="A3120" t="inlineStr">
        <is>
          <t>RP0003119</t>
        </is>
      </c>
      <c r="B3120" t="inlineStr">
        <is>
          <t>LN200447</t>
        </is>
      </c>
      <c r="C3120" t="n">
        <v>5</v>
      </c>
      <c r="D3120" s="8" t="n">
        <v>46033</v>
      </c>
      <c r="E3120" s="9" t="n">
        <v>4428</v>
      </c>
      <c r="F3120" s="8" t="n"/>
      <c r="G3120" s="9" t="n">
        <v>0</v>
      </c>
      <c r="H3120" t="inlineStr">
        <is>
          <t>UNPAID</t>
        </is>
      </c>
      <c r="I3120">
        <f>IF(H3120="UNPAID", AsOfDate-D3120, 0)</f>
        <v/>
      </c>
      <c r="J3120">
        <f>IF(F3120&lt;&gt;"", TEXT(F3120, "yyyy-mm"), "")</f>
        <v/>
      </c>
    </row>
    <row r="3121">
      <c r="A3121" t="inlineStr">
        <is>
          <t>RP0003120</t>
        </is>
      </c>
      <c r="B3121" t="inlineStr">
        <is>
          <t>LN200447</t>
        </is>
      </c>
      <c r="C3121" t="n">
        <v>6</v>
      </c>
      <c r="D3121" s="8" t="n">
        <v>46064</v>
      </c>
      <c r="E3121" s="9" t="n">
        <v>4428</v>
      </c>
      <c r="F3121" s="8" t="n"/>
      <c r="G3121" s="9" t="n">
        <v>0</v>
      </c>
      <c r="H3121" t="inlineStr">
        <is>
          <t>UNPAID</t>
        </is>
      </c>
      <c r="I3121">
        <f>IF(H3121="UNPAID", AsOfDate-D3121, 0)</f>
        <v/>
      </c>
      <c r="J3121">
        <f>IF(F3121&lt;&gt;"", TEXT(F3121, "yyyy-mm"), "")</f>
        <v/>
      </c>
    </row>
    <row r="3122">
      <c r="A3122" t="inlineStr">
        <is>
          <t>RP0003121</t>
        </is>
      </c>
      <c r="B3122" t="inlineStr">
        <is>
          <t>LN200448</t>
        </is>
      </c>
      <c r="C3122" t="n">
        <v>1</v>
      </c>
      <c r="D3122" s="8" t="n">
        <v>45984</v>
      </c>
      <c r="E3122" s="9" t="n">
        <v>21723</v>
      </c>
      <c r="F3122" s="8" t="n">
        <v>45986</v>
      </c>
      <c r="G3122" s="9" t="n">
        <v>21723</v>
      </c>
      <c r="H3122" t="inlineStr">
        <is>
          <t>PAID_ON_TIME</t>
        </is>
      </c>
      <c r="I3122">
        <f>IF(H3122="UNPAID", AsOfDate-D3122, 0)</f>
        <v/>
      </c>
      <c r="J3122">
        <f>IF(F3122&lt;&gt;"", TEXT(F3122, "yyyy-mm"), "")</f>
        <v/>
      </c>
    </row>
    <row r="3123">
      <c r="A3123" t="inlineStr">
        <is>
          <t>RP0003122</t>
        </is>
      </c>
      <c r="B3123" t="inlineStr">
        <is>
          <t>LN200448</t>
        </is>
      </c>
      <c r="C3123" t="n">
        <v>2</v>
      </c>
      <c r="D3123" s="8" t="n">
        <v>46014</v>
      </c>
      <c r="E3123" s="9" t="n">
        <v>21723</v>
      </c>
      <c r="F3123" s="8" t="n">
        <v>46017</v>
      </c>
      <c r="G3123" s="9" t="n">
        <v>21723</v>
      </c>
      <c r="H3123" t="inlineStr">
        <is>
          <t>PAID_ON_TIME</t>
        </is>
      </c>
      <c r="I3123">
        <f>IF(H3123="UNPAID", AsOfDate-D3123, 0)</f>
        <v/>
      </c>
      <c r="J3123">
        <f>IF(F3123&lt;&gt;"", TEXT(F3123, "yyyy-mm"), "")</f>
        <v/>
      </c>
    </row>
    <row r="3124">
      <c r="A3124" t="inlineStr">
        <is>
          <t>RP0003123</t>
        </is>
      </c>
      <c r="B3124" t="inlineStr">
        <is>
          <t>LN200448</t>
        </is>
      </c>
      <c r="C3124" t="n">
        <v>3</v>
      </c>
      <c r="D3124" s="8" t="n">
        <v>46045</v>
      </c>
      <c r="E3124" s="9" t="n">
        <v>21723</v>
      </c>
      <c r="F3124" s="8" t="n">
        <v>46043</v>
      </c>
      <c r="G3124" s="9" t="n">
        <v>21723</v>
      </c>
      <c r="H3124" t="inlineStr">
        <is>
          <t>PAID_ON_TIME</t>
        </is>
      </c>
      <c r="I3124">
        <f>IF(H3124="UNPAID", AsOfDate-D3124, 0)</f>
        <v/>
      </c>
      <c r="J3124">
        <f>IF(F3124&lt;&gt;"", TEXT(F3124, "yyyy-mm"), "")</f>
        <v/>
      </c>
    </row>
    <row r="3125">
      <c r="A3125" t="inlineStr">
        <is>
          <t>RP0003124</t>
        </is>
      </c>
      <c r="B3125" t="inlineStr">
        <is>
          <t>LN200448</t>
        </is>
      </c>
      <c r="C3125" t="n">
        <v>4</v>
      </c>
      <c r="D3125" s="8" t="n">
        <v>46076</v>
      </c>
      <c r="E3125" s="9" t="n">
        <v>21723</v>
      </c>
      <c r="F3125" s="8" t="n">
        <v>46075</v>
      </c>
      <c r="G3125" s="9" t="n">
        <v>21723</v>
      </c>
      <c r="H3125" t="inlineStr">
        <is>
          <t>PAID_ON_TIME</t>
        </is>
      </c>
      <c r="I3125">
        <f>IF(H3125="UNPAID", AsOfDate-D3125, 0)</f>
        <v/>
      </c>
      <c r="J3125">
        <f>IF(F3125&lt;&gt;"", TEXT(F3125, "yyyy-mm"), "")</f>
        <v/>
      </c>
    </row>
    <row r="3126">
      <c r="A3126" t="inlineStr">
        <is>
          <t>RP0003125</t>
        </is>
      </c>
      <c r="B3126" t="inlineStr">
        <is>
          <t>LN200448</t>
        </is>
      </c>
      <c r="C3126" t="n">
        <v>5</v>
      </c>
      <c r="D3126" s="8" t="n">
        <v>46104</v>
      </c>
      <c r="E3126" s="9" t="n">
        <v>21723</v>
      </c>
      <c r="F3126" s="8" t="n">
        <v>46102</v>
      </c>
      <c r="G3126" s="9" t="n">
        <v>21723</v>
      </c>
      <c r="H3126" t="inlineStr">
        <is>
          <t>PAID_ON_TIME</t>
        </is>
      </c>
      <c r="I3126">
        <f>IF(H3126="UNPAID", AsOfDate-D3126, 0)</f>
        <v/>
      </c>
      <c r="J3126">
        <f>IF(F3126&lt;&gt;"", TEXT(F3126, "yyyy-mm"), "")</f>
        <v/>
      </c>
    </row>
    <row r="3127">
      <c r="A3127" t="inlineStr">
        <is>
          <t>RP0003126</t>
        </is>
      </c>
      <c r="B3127" t="inlineStr">
        <is>
          <t>LN200448</t>
        </is>
      </c>
      <c r="C3127" t="n">
        <v>6</v>
      </c>
      <c r="D3127" s="8" t="n">
        <v>46135</v>
      </c>
      <c r="E3127" s="9" t="n">
        <v>21723</v>
      </c>
      <c r="F3127" s="8" t="n">
        <v>46138</v>
      </c>
      <c r="G3127" s="9" t="n">
        <v>21723</v>
      </c>
      <c r="H3127" t="inlineStr">
        <is>
          <t>PAID_ON_TIME</t>
        </is>
      </c>
      <c r="I3127">
        <f>IF(H3127="UNPAID", AsOfDate-D3127, 0)</f>
        <v/>
      </c>
      <c r="J3127">
        <f>IF(F3127&lt;&gt;"", TEXT(F3127, "yyyy-mm"), "")</f>
        <v/>
      </c>
    </row>
    <row r="3128">
      <c r="A3128" t="inlineStr">
        <is>
          <t>RP0003127</t>
        </is>
      </c>
      <c r="B3128" t="inlineStr">
        <is>
          <t>LN200449</t>
        </is>
      </c>
      <c r="C3128" t="n">
        <v>1</v>
      </c>
      <c r="D3128" s="8" t="n">
        <v>46262</v>
      </c>
      <c r="E3128" s="9" t="n">
        <v>73742.17</v>
      </c>
      <c r="F3128" s="8" t="n">
        <v>46260</v>
      </c>
      <c r="G3128" s="9" t="n">
        <v>73742.17</v>
      </c>
      <c r="H3128" t="inlineStr">
        <is>
          <t>PAID_ON_TIME</t>
        </is>
      </c>
      <c r="I3128">
        <f>IF(H3128="UNPAID", AsOfDate-D3128, 0)</f>
        <v/>
      </c>
      <c r="J3128">
        <f>IF(F3128&lt;&gt;"", TEXT(F3128, "yyyy-mm"), "")</f>
        <v/>
      </c>
    </row>
    <row r="3129">
      <c r="A3129" t="inlineStr">
        <is>
          <t>RP0003128</t>
        </is>
      </c>
      <c r="B3129" t="inlineStr">
        <is>
          <t>LN200449</t>
        </is>
      </c>
      <c r="C3129" t="n">
        <v>2</v>
      </c>
      <c r="D3129" s="8" t="n">
        <v>46293</v>
      </c>
      <c r="E3129" s="9" t="n">
        <v>73742.17</v>
      </c>
      <c r="F3129" s="8" t="n"/>
      <c r="G3129" s="9" t="n">
        <v>0</v>
      </c>
      <c r="H3129" t="inlineStr">
        <is>
          <t>NOT_DUE</t>
        </is>
      </c>
      <c r="I3129">
        <f>IF(H3129="UNPAID", AsOfDate-D3129, 0)</f>
        <v/>
      </c>
      <c r="J3129">
        <f>IF(F3129&lt;&gt;"", TEXT(F3129, "yyyy-mm"), "")</f>
        <v/>
      </c>
    </row>
    <row r="3130">
      <c r="A3130" t="inlineStr">
        <is>
          <t>RP0003129</t>
        </is>
      </c>
      <c r="B3130" t="inlineStr">
        <is>
          <t>LN200449</t>
        </is>
      </c>
      <c r="C3130" t="n">
        <v>3</v>
      </c>
      <c r="D3130" s="8" t="n">
        <v>46323</v>
      </c>
      <c r="E3130" s="9" t="n">
        <v>73742.17</v>
      </c>
      <c r="F3130" s="8" t="n"/>
      <c r="G3130" s="9" t="n">
        <v>0</v>
      </c>
      <c r="H3130" t="inlineStr">
        <is>
          <t>NOT_DUE</t>
        </is>
      </c>
      <c r="I3130">
        <f>IF(H3130="UNPAID", AsOfDate-D3130, 0)</f>
        <v/>
      </c>
      <c r="J3130">
        <f>IF(F3130&lt;&gt;"", TEXT(F3130, "yyyy-mm"), "")</f>
        <v/>
      </c>
    </row>
    <row r="3131">
      <c r="A3131" t="inlineStr">
        <is>
          <t>RP0003130</t>
        </is>
      </c>
      <c r="B3131" t="inlineStr">
        <is>
          <t>LN200450</t>
        </is>
      </c>
      <c r="C3131" t="n">
        <v>1</v>
      </c>
      <c r="D3131" s="8" t="n">
        <v>46074</v>
      </c>
      <c r="E3131" s="9" t="n">
        <v>59153.67</v>
      </c>
      <c r="F3131" s="8" t="n">
        <v>46073</v>
      </c>
      <c r="G3131" s="9" t="n">
        <v>59153.67</v>
      </c>
      <c r="H3131" t="inlineStr">
        <is>
          <t>PAID_ON_TIME</t>
        </is>
      </c>
      <c r="I3131">
        <f>IF(H3131="UNPAID", AsOfDate-D3131, 0)</f>
        <v/>
      </c>
      <c r="J3131">
        <f>IF(F3131&lt;&gt;"", TEXT(F3131, "yyyy-mm"), "")</f>
        <v/>
      </c>
    </row>
    <row r="3132">
      <c r="A3132" t="inlineStr">
        <is>
          <t>RP0003131</t>
        </is>
      </c>
      <c r="B3132" t="inlineStr">
        <is>
          <t>LN200450</t>
        </is>
      </c>
      <c r="C3132" t="n">
        <v>2</v>
      </c>
      <c r="D3132" s="8" t="n">
        <v>46102</v>
      </c>
      <c r="E3132" s="9" t="n">
        <v>59153.67</v>
      </c>
      <c r="F3132" s="8" t="n">
        <v>46103</v>
      </c>
      <c r="G3132" s="9" t="n">
        <v>59153.67</v>
      </c>
      <c r="H3132" t="inlineStr">
        <is>
          <t>PAID_ON_TIME</t>
        </is>
      </c>
      <c r="I3132">
        <f>IF(H3132="UNPAID", AsOfDate-D3132, 0)</f>
        <v/>
      </c>
      <c r="J3132">
        <f>IF(F3132&lt;&gt;"", TEXT(F3132, "yyyy-mm"), "")</f>
        <v/>
      </c>
    </row>
    <row r="3133">
      <c r="A3133" t="inlineStr">
        <is>
          <t>RP0003132</t>
        </is>
      </c>
      <c r="B3133" t="inlineStr">
        <is>
          <t>LN200450</t>
        </is>
      </c>
      <c r="C3133" t="n">
        <v>3</v>
      </c>
      <c r="D3133" s="8" t="n">
        <v>46133</v>
      </c>
      <c r="E3133" s="9" t="n">
        <v>59153.67</v>
      </c>
      <c r="F3133" s="8" t="n">
        <v>46134</v>
      </c>
      <c r="G3133" s="9" t="n">
        <v>59153.67</v>
      </c>
      <c r="H3133" t="inlineStr">
        <is>
          <t>PAID_ON_TIME</t>
        </is>
      </c>
      <c r="I3133">
        <f>IF(H3133="UNPAID", AsOfDate-D3133, 0)</f>
        <v/>
      </c>
      <c r="J3133">
        <f>IF(F3133&lt;&gt;"", TEXT(F3133, "yyyy-mm"), "")</f>
        <v/>
      </c>
    </row>
    <row r="3134">
      <c r="A3134" t="inlineStr">
        <is>
          <t>RP0003133</t>
        </is>
      </c>
      <c r="B3134" t="inlineStr">
        <is>
          <t>LN200451</t>
        </is>
      </c>
      <c r="C3134" t="n">
        <v>1</v>
      </c>
      <c r="D3134" s="8" t="n">
        <v>45885</v>
      </c>
      <c r="E3134" s="9" t="n">
        <v>2982.22</v>
      </c>
      <c r="F3134" s="8" t="n">
        <v>45884</v>
      </c>
      <c r="G3134" s="9" t="n">
        <v>2982.22</v>
      </c>
      <c r="H3134" t="inlineStr">
        <is>
          <t>PAID_ON_TIME</t>
        </is>
      </c>
      <c r="I3134">
        <f>IF(H3134="UNPAID", AsOfDate-D3134, 0)</f>
        <v/>
      </c>
      <c r="J3134">
        <f>IF(F3134&lt;&gt;"", TEXT(F3134, "yyyy-mm"), "")</f>
        <v/>
      </c>
    </row>
    <row r="3135">
      <c r="A3135" t="inlineStr">
        <is>
          <t>RP0003134</t>
        </is>
      </c>
      <c r="B3135" t="inlineStr">
        <is>
          <t>LN200451</t>
        </is>
      </c>
      <c r="C3135" t="n">
        <v>2</v>
      </c>
      <c r="D3135" s="8" t="n">
        <v>45916</v>
      </c>
      <c r="E3135" s="9" t="n">
        <v>2982.22</v>
      </c>
      <c r="F3135" s="8" t="n">
        <v>45917</v>
      </c>
      <c r="G3135" s="9" t="n">
        <v>2982.22</v>
      </c>
      <c r="H3135" t="inlineStr">
        <is>
          <t>PAID_ON_TIME</t>
        </is>
      </c>
      <c r="I3135">
        <f>IF(H3135="UNPAID", AsOfDate-D3135, 0)</f>
        <v/>
      </c>
      <c r="J3135">
        <f>IF(F3135&lt;&gt;"", TEXT(F3135, "yyyy-mm"), "")</f>
        <v/>
      </c>
    </row>
    <row r="3136">
      <c r="A3136" t="inlineStr">
        <is>
          <t>RP0003135</t>
        </is>
      </c>
      <c r="B3136" t="inlineStr">
        <is>
          <t>LN200451</t>
        </is>
      </c>
      <c r="C3136" t="n">
        <v>3</v>
      </c>
      <c r="D3136" s="8" t="n">
        <v>45946</v>
      </c>
      <c r="E3136" s="9" t="n">
        <v>2982.22</v>
      </c>
      <c r="F3136" s="8" t="n">
        <v>45948</v>
      </c>
      <c r="G3136" s="9" t="n">
        <v>2982.22</v>
      </c>
      <c r="H3136" t="inlineStr">
        <is>
          <t>PAID_ON_TIME</t>
        </is>
      </c>
      <c r="I3136">
        <f>IF(H3136="UNPAID", AsOfDate-D3136, 0)</f>
        <v/>
      </c>
      <c r="J3136">
        <f>IF(F3136&lt;&gt;"", TEXT(F3136, "yyyy-mm"), "")</f>
        <v/>
      </c>
    </row>
    <row r="3137">
      <c r="A3137" t="inlineStr">
        <is>
          <t>RP0003136</t>
        </is>
      </c>
      <c r="B3137" t="inlineStr">
        <is>
          <t>LN200451</t>
        </is>
      </c>
      <c r="C3137" t="n">
        <v>4</v>
      </c>
      <c r="D3137" s="8" t="n">
        <v>45977</v>
      </c>
      <c r="E3137" s="9" t="n">
        <v>2982.22</v>
      </c>
      <c r="F3137" s="8" t="n"/>
      <c r="G3137" s="9" t="n">
        <v>0</v>
      </c>
      <c r="H3137" t="inlineStr">
        <is>
          <t>UNPAID</t>
        </is>
      </c>
      <c r="I3137">
        <f>IF(H3137="UNPAID", AsOfDate-D3137, 0)</f>
        <v/>
      </c>
      <c r="J3137">
        <f>IF(F3137&lt;&gt;"", TEXT(F3137, "yyyy-mm"), "")</f>
        <v/>
      </c>
    </row>
    <row r="3138">
      <c r="A3138" t="inlineStr">
        <is>
          <t>RP0003137</t>
        </is>
      </c>
      <c r="B3138" t="inlineStr">
        <is>
          <t>LN200451</t>
        </is>
      </c>
      <c r="C3138" t="n">
        <v>5</v>
      </c>
      <c r="D3138" s="8" t="n">
        <v>46007</v>
      </c>
      <c r="E3138" s="9" t="n">
        <v>2982.22</v>
      </c>
      <c r="F3138" s="8" t="n">
        <v>46009</v>
      </c>
      <c r="G3138" s="9" t="n">
        <v>2982.22</v>
      </c>
      <c r="H3138" t="inlineStr">
        <is>
          <t>PAID_ON_TIME</t>
        </is>
      </c>
      <c r="I3138">
        <f>IF(H3138="UNPAID", AsOfDate-D3138, 0)</f>
        <v/>
      </c>
      <c r="J3138">
        <f>IF(F3138&lt;&gt;"", TEXT(F3138, "yyyy-mm"), "")</f>
        <v/>
      </c>
    </row>
    <row r="3139">
      <c r="A3139" t="inlineStr">
        <is>
          <t>RP0003138</t>
        </is>
      </c>
      <c r="B3139" t="inlineStr">
        <is>
          <t>LN200451</t>
        </is>
      </c>
      <c r="C3139" t="n">
        <v>6</v>
      </c>
      <c r="D3139" s="8" t="n">
        <v>46038</v>
      </c>
      <c r="E3139" s="9" t="n">
        <v>2982.22</v>
      </c>
      <c r="F3139" s="8" t="n">
        <v>46039</v>
      </c>
      <c r="G3139" s="9" t="n">
        <v>2982.22</v>
      </c>
      <c r="H3139" t="inlineStr">
        <is>
          <t>PAID_ON_TIME</t>
        </is>
      </c>
      <c r="I3139">
        <f>IF(H3139="UNPAID", AsOfDate-D3139, 0)</f>
        <v/>
      </c>
      <c r="J3139">
        <f>IF(F3139&lt;&gt;"", TEXT(F3139, "yyyy-mm"), "")</f>
        <v/>
      </c>
    </row>
    <row r="3140">
      <c r="A3140" t="inlineStr">
        <is>
          <t>RP0003139</t>
        </is>
      </c>
      <c r="B3140" t="inlineStr">
        <is>
          <t>LN200451</t>
        </is>
      </c>
      <c r="C3140" t="n">
        <v>7</v>
      </c>
      <c r="D3140" s="8" t="n">
        <v>46069</v>
      </c>
      <c r="E3140" s="9" t="n">
        <v>2982.22</v>
      </c>
      <c r="F3140" s="8" t="n"/>
      <c r="G3140" s="9" t="n">
        <v>0</v>
      </c>
      <c r="H3140" t="inlineStr">
        <is>
          <t>UNPAID</t>
        </is>
      </c>
      <c r="I3140">
        <f>IF(H3140="UNPAID", AsOfDate-D3140, 0)</f>
        <v/>
      </c>
      <c r="J3140">
        <f>IF(F3140&lt;&gt;"", TEXT(F3140, "yyyy-mm"), "")</f>
        <v/>
      </c>
    </row>
    <row r="3141">
      <c r="A3141" t="inlineStr">
        <is>
          <t>RP0003140</t>
        </is>
      </c>
      <c r="B3141" t="inlineStr">
        <is>
          <t>LN200451</t>
        </is>
      </c>
      <c r="C3141" t="n">
        <v>8</v>
      </c>
      <c r="D3141" s="8" t="n">
        <v>46097</v>
      </c>
      <c r="E3141" s="9" t="n">
        <v>2982.22</v>
      </c>
      <c r="F3141" s="8" t="n">
        <v>46095</v>
      </c>
      <c r="G3141" s="9" t="n">
        <v>2982.22</v>
      </c>
      <c r="H3141" t="inlineStr">
        <is>
          <t>PAID_ON_TIME</t>
        </is>
      </c>
      <c r="I3141">
        <f>IF(H3141="UNPAID", AsOfDate-D3141, 0)</f>
        <v/>
      </c>
      <c r="J3141">
        <f>IF(F3141&lt;&gt;"", TEXT(F3141, "yyyy-mm"), "")</f>
        <v/>
      </c>
    </row>
    <row r="3142">
      <c r="A3142" t="inlineStr">
        <is>
          <t>RP0003141</t>
        </is>
      </c>
      <c r="B3142" t="inlineStr">
        <is>
          <t>LN200451</t>
        </is>
      </c>
      <c r="C3142" t="n">
        <v>9</v>
      </c>
      <c r="D3142" s="8" t="n">
        <v>46128</v>
      </c>
      <c r="E3142" s="9" t="n">
        <v>2982.22</v>
      </c>
      <c r="F3142" s="8" t="n">
        <v>46131</v>
      </c>
      <c r="G3142" s="9" t="n">
        <v>2982.22</v>
      </c>
      <c r="H3142" t="inlineStr">
        <is>
          <t>PAID_ON_TIME</t>
        </is>
      </c>
      <c r="I3142">
        <f>IF(H3142="UNPAID", AsOfDate-D3142, 0)</f>
        <v/>
      </c>
      <c r="J3142">
        <f>IF(F3142&lt;&gt;"", TEXT(F3142, "yyyy-mm"), "")</f>
        <v/>
      </c>
    </row>
    <row r="3143">
      <c r="A3143" t="inlineStr">
        <is>
          <t>RP0003142</t>
        </is>
      </c>
      <c r="B3143" t="inlineStr">
        <is>
          <t>LN200451</t>
        </is>
      </c>
      <c r="C3143" t="n">
        <v>10</v>
      </c>
      <c r="D3143" s="8" t="n">
        <v>46158</v>
      </c>
      <c r="E3143" s="9" t="n">
        <v>2982.22</v>
      </c>
      <c r="F3143" s="8" t="n">
        <v>46160</v>
      </c>
      <c r="G3143" s="9" t="n">
        <v>2982.22</v>
      </c>
      <c r="H3143" t="inlineStr">
        <is>
          <t>PAID_ON_TIME</t>
        </is>
      </c>
      <c r="I3143">
        <f>IF(H3143="UNPAID", AsOfDate-D3143, 0)</f>
        <v/>
      </c>
      <c r="J3143">
        <f>IF(F3143&lt;&gt;"", TEXT(F3143, "yyyy-mm"), "")</f>
        <v/>
      </c>
    </row>
    <row r="3144">
      <c r="A3144" t="inlineStr">
        <is>
          <t>RP0003143</t>
        </is>
      </c>
      <c r="B3144" t="inlineStr">
        <is>
          <t>LN200451</t>
        </is>
      </c>
      <c r="C3144" t="n">
        <v>11</v>
      </c>
      <c r="D3144" s="8" t="n">
        <v>46189</v>
      </c>
      <c r="E3144" s="9" t="n">
        <v>2982.22</v>
      </c>
      <c r="F3144" s="8" t="n">
        <v>46190</v>
      </c>
      <c r="G3144" s="9" t="n">
        <v>2982.22</v>
      </c>
      <c r="H3144" t="inlineStr">
        <is>
          <t>PAID_ON_TIME</t>
        </is>
      </c>
      <c r="I3144">
        <f>IF(H3144="UNPAID", AsOfDate-D3144, 0)</f>
        <v/>
      </c>
      <c r="J3144">
        <f>IF(F3144&lt;&gt;"", TEXT(F3144, "yyyy-mm"), "")</f>
        <v/>
      </c>
    </row>
    <row r="3145">
      <c r="A3145" t="inlineStr">
        <is>
          <t>RP0003144</t>
        </is>
      </c>
      <c r="B3145" t="inlineStr">
        <is>
          <t>LN200451</t>
        </is>
      </c>
      <c r="C3145" t="n">
        <v>12</v>
      </c>
      <c r="D3145" s="8" t="n">
        <v>46219</v>
      </c>
      <c r="E3145" s="9" t="n">
        <v>2982.22</v>
      </c>
      <c r="F3145" s="8" t="n">
        <v>46220</v>
      </c>
      <c r="G3145" s="9" t="n">
        <v>2982.22</v>
      </c>
      <c r="H3145" t="inlineStr">
        <is>
          <t>PAID_ON_TIME</t>
        </is>
      </c>
      <c r="I3145">
        <f>IF(H3145="UNPAID", AsOfDate-D3145, 0)</f>
        <v/>
      </c>
      <c r="J3145">
        <f>IF(F3145&lt;&gt;"", TEXT(F3145, "yyyy-mm"), "")</f>
        <v/>
      </c>
    </row>
    <row r="3146">
      <c r="A3146" t="inlineStr">
        <is>
          <t>RP0003145</t>
        </is>
      </c>
      <c r="B3146" t="inlineStr">
        <is>
          <t>LN200451</t>
        </is>
      </c>
      <c r="C3146" t="n">
        <v>13</v>
      </c>
      <c r="D3146" s="8" t="n">
        <v>46250</v>
      </c>
      <c r="E3146" s="9" t="n">
        <v>2982.22</v>
      </c>
      <c r="F3146" s="8" t="n">
        <v>46252</v>
      </c>
      <c r="G3146" s="9" t="n">
        <v>2982.22</v>
      </c>
      <c r="H3146" t="inlineStr">
        <is>
          <t>PAID_ON_TIME</t>
        </is>
      </c>
      <c r="I3146">
        <f>IF(H3146="UNPAID", AsOfDate-D3146, 0)</f>
        <v/>
      </c>
      <c r="J3146">
        <f>IF(F3146&lt;&gt;"", TEXT(F3146, "yyyy-mm"), "")</f>
        <v/>
      </c>
    </row>
    <row r="3147">
      <c r="A3147" t="inlineStr">
        <is>
          <t>RP0003146</t>
        </is>
      </c>
      <c r="B3147" t="inlineStr">
        <is>
          <t>LN200451</t>
        </is>
      </c>
      <c r="C3147" t="n">
        <v>14</v>
      </c>
      <c r="D3147" s="8" t="n">
        <v>46281</v>
      </c>
      <c r="E3147" s="9" t="n">
        <v>2982.22</v>
      </c>
      <c r="F3147" s="8" t="n"/>
      <c r="G3147" s="9" t="n">
        <v>0</v>
      </c>
      <c r="H3147" t="inlineStr">
        <is>
          <t>NOT_DUE</t>
        </is>
      </c>
      <c r="I3147">
        <f>IF(H3147="UNPAID", AsOfDate-D3147, 0)</f>
        <v/>
      </c>
      <c r="J3147">
        <f>IF(F3147&lt;&gt;"", TEXT(F3147, "yyyy-mm"), "")</f>
        <v/>
      </c>
    </row>
    <row r="3148">
      <c r="A3148" t="inlineStr">
        <is>
          <t>RP0003147</t>
        </is>
      </c>
      <c r="B3148" t="inlineStr">
        <is>
          <t>LN200451</t>
        </is>
      </c>
      <c r="C3148" t="n">
        <v>15</v>
      </c>
      <c r="D3148" s="8" t="n">
        <v>46311</v>
      </c>
      <c r="E3148" s="9" t="n">
        <v>2982.22</v>
      </c>
      <c r="F3148" s="8" t="n"/>
      <c r="G3148" s="9" t="n">
        <v>0</v>
      </c>
      <c r="H3148" t="inlineStr">
        <is>
          <t>NOT_DUE</t>
        </is>
      </c>
      <c r="I3148">
        <f>IF(H3148="UNPAID", AsOfDate-D3148, 0)</f>
        <v/>
      </c>
      <c r="J3148">
        <f>IF(F3148&lt;&gt;"", TEXT(F3148, "yyyy-mm"), "")</f>
        <v/>
      </c>
    </row>
    <row r="3149">
      <c r="A3149" t="inlineStr">
        <is>
          <t>RP0003148</t>
        </is>
      </c>
      <c r="B3149" t="inlineStr">
        <is>
          <t>LN200451</t>
        </is>
      </c>
      <c r="C3149" t="n">
        <v>16</v>
      </c>
      <c r="D3149" s="8" t="n">
        <v>46342</v>
      </c>
      <c r="E3149" s="9" t="n">
        <v>2982.22</v>
      </c>
      <c r="F3149" s="8" t="n"/>
      <c r="G3149" s="9" t="n">
        <v>0</v>
      </c>
      <c r="H3149" t="inlineStr">
        <is>
          <t>NOT_DUE</t>
        </is>
      </c>
      <c r="I3149">
        <f>IF(H3149="UNPAID", AsOfDate-D3149, 0)</f>
        <v/>
      </c>
      <c r="J3149">
        <f>IF(F3149&lt;&gt;"", TEXT(F3149, "yyyy-mm"), "")</f>
        <v/>
      </c>
    </row>
    <row r="3150">
      <c r="A3150" t="inlineStr">
        <is>
          <t>RP0003149</t>
        </is>
      </c>
      <c r="B3150" t="inlineStr">
        <is>
          <t>LN200451</t>
        </is>
      </c>
      <c r="C3150" t="n">
        <v>17</v>
      </c>
      <c r="D3150" s="8" t="n">
        <v>46372</v>
      </c>
      <c r="E3150" s="9" t="n">
        <v>2982.22</v>
      </c>
      <c r="F3150" s="8" t="n"/>
      <c r="G3150" s="9" t="n">
        <v>0</v>
      </c>
      <c r="H3150" t="inlineStr">
        <is>
          <t>NOT_DUE</t>
        </is>
      </c>
      <c r="I3150">
        <f>IF(H3150="UNPAID", AsOfDate-D3150, 0)</f>
        <v/>
      </c>
      <c r="J3150">
        <f>IF(F3150&lt;&gt;"", TEXT(F3150, "yyyy-mm"), "")</f>
        <v/>
      </c>
    </row>
    <row r="3151">
      <c r="A3151" t="inlineStr">
        <is>
          <t>RP0003150</t>
        </is>
      </c>
      <c r="B3151" t="inlineStr">
        <is>
          <t>LN200451</t>
        </is>
      </c>
      <c r="C3151" t="n">
        <v>18</v>
      </c>
      <c r="D3151" s="8" t="n">
        <v>46403</v>
      </c>
      <c r="E3151" s="9" t="n">
        <v>2982.22</v>
      </c>
      <c r="F3151" s="8" t="n"/>
      <c r="G3151" s="9" t="n">
        <v>0</v>
      </c>
      <c r="H3151" t="inlineStr">
        <is>
          <t>NOT_DUE</t>
        </is>
      </c>
      <c r="I3151">
        <f>IF(H3151="UNPAID", AsOfDate-D3151, 0)</f>
        <v/>
      </c>
      <c r="J3151">
        <f>IF(F3151&lt;&gt;"", TEXT(F3151, "yyyy-mm"), "")</f>
        <v/>
      </c>
    </row>
    <row r="3152">
      <c r="A3152" t="inlineStr">
        <is>
          <t>RP0003151</t>
        </is>
      </c>
      <c r="B3152" t="inlineStr">
        <is>
          <t>LN200452</t>
        </is>
      </c>
      <c r="C3152" t="n">
        <v>1</v>
      </c>
      <c r="D3152" s="8" t="n">
        <v>45848</v>
      </c>
      <c r="E3152" s="9" t="n">
        <v>56080.25</v>
      </c>
      <c r="F3152" s="8" t="n">
        <v>45849</v>
      </c>
      <c r="G3152" s="9" t="n">
        <v>56080.25</v>
      </c>
      <c r="H3152" t="inlineStr">
        <is>
          <t>PAID_ON_TIME</t>
        </is>
      </c>
      <c r="I3152">
        <f>IF(H3152="UNPAID", AsOfDate-D3152, 0)</f>
        <v/>
      </c>
      <c r="J3152">
        <f>IF(F3152&lt;&gt;"", TEXT(F3152, "yyyy-mm"), "")</f>
        <v/>
      </c>
    </row>
    <row r="3153">
      <c r="A3153" t="inlineStr">
        <is>
          <t>RP0003152</t>
        </is>
      </c>
      <c r="B3153" t="inlineStr">
        <is>
          <t>LN200452</t>
        </is>
      </c>
      <c r="C3153" t="n">
        <v>2</v>
      </c>
      <c r="D3153" s="8" t="n">
        <v>45879</v>
      </c>
      <c r="E3153" s="9" t="n">
        <v>56080.25</v>
      </c>
      <c r="F3153" s="8" t="n">
        <v>45877</v>
      </c>
      <c r="G3153" s="9" t="n">
        <v>56080.25</v>
      </c>
      <c r="H3153" t="inlineStr">
        <is>
          <t>PAID_ON_TIME</t>
        </is>
      </c>
      <c r="I3153">
        <f>IF(H3153="UNPAID", AsOfDate-D3153, 0)</f>
        <v/>
      </c>
      <c r="J3153">
        <f>IF(F3153&lt;&gt;"", TEXT(F3153, "yyyy-mm"), "")</f>
        <v/>
      </c>
    </row>
    <row r="3154">
      <c r="A3154" t="inlineStr">
        <is>
          <t>RP0003153</t>
        </is>
      </c>
      <c r="B3154" t="inlineStr">
        <is>
          <t>LN200452</t>
        </is>
      </c>
      <c r="C3154" t="n">
        <v>3</v>
      </c>
      <c r="D3154" s="8" t="n">
        <v>45910</v>
      </c>
      <c r="E3154" s="9" t="n">
        <v>56080.25</v>
      </c>
      <c r="F3154" s="8" t="n">
        <v>45914</v>
      </c>
      <c r="G3154" s="9" t="n">
        <v>56080.25</v>
      </c>
      <c r="H3154" t="inlineStr">
        <is>
          <t>PAID_ON_TIME</t>
        </is>
      </c>
      <c r="I3154">
        <f>IF(H3154="UNPAID", AsOfDate-D3154, 0)</f>
        <v/>
      </c>
      <c r="J3154">
        <f>IF(F3154&lt;&gt;"", TEXT(F3154, "yyyy-mm"), "")</f>
        <v/>
      </c>
    </row>
    <row r="3155">
      <c r="A3155" t="inlineStr">
        <is>
          <t>RP0003154</t>
        </is>
      </c>
      <c r="B3155" t="inlineStr">
        <is>
          <t>LN200452</t>
        </is>
      </c>
      <c r="C3155" t="n">
        <v>4</v>
      </c>
      <c r="D3155" s="8" t="n">
        <v>45940</v>
      </c>
      <c r="E3155" s="9" t="n">
        <v>56080.25</v>
      </c>
      <c r="F3155" s="8" t="n">
        <v>45940</v>
      </c>
      <c r="G3155" s="9" t="n">
        <v>56080.25</v>
      </c>
      <c r="H3155" t="inlineStr">
        <is>
          <t>PAID_ON_TIME</t>
        </is>
      </c>
      <c r="I3155">
        <f>IF(H3155="UNPAID", AsOfDate-D3155, 0)</f>
        <v/>
      </c>
      <c r="J3155">
        <f>IF(F3155&lt;&gt;"", TEXT(F3155, "yyyy-mm"), "")</f>
        <v/>
      </c>
    </row>
    <row r="3156">
      <c r="A3156" t="inlineStr">
        <is>
          <t>RP0003155</t>
        </is>
      </c>
      <c r="B3156" t="inlineStr">
        <is>
          <t>LN200452</t>
        </is>
      </c>
      <c r="C3156" t="n">
        <v>5</v>
      </c>
      <c r="D3156" s="8" t="n">
        <v>45971</v>
      </c>
      <c r="E3156" s="9" t="n">
        <v>56080.25</v>
      </c>
      <c r="F3156" s="8" t="n">
        <v>46080</v>
      </c>
      <c r="G3156" s="9" t="n">
        <v>56080.25</v>
      </c>
      <c r="H3156" t="inlineStr">
        <is>
          <t>PAID_LATE</t>
        </is>
      </c>
      <c r="I3156">
        <f>IF(H3156="UNPAID", AsOfDate-D3156, 0)</f>
        <v/>
      </c>
      <c r="J3156">
        <f>IF(F3156&lt;&gt;"", TEXT(F3156, "yyyy-mm"), "")</f>
        <v/>
      </c>
    </row>
    <row r="3157">
      <c r="A3157" t="inlineStr">
        <is>
          <t>RP0003156</t>
        </is>
      </c>
      <c r="B3157" t="inlineStr">
        <is>
          <t>LN200452</t>
        </is>
      </c>
      <c r="C3157" t="n">
        <v>6</v>
      </c>
      <c r="D3157" s="8" t="n">
        <v>46001</v>
      </c>
      <c r="E3157" s="9" t="n">
        <v>56080.25</v>
      </c>
      <c r="F3157" s="8" t="n">
        <v>46003</v>
      </c>
      <c r="G3157" s="9" t="n">
        <v>56080.25</v>
      </c>
      <c r="H3157" t="inlineStr">
        <is>
          <t>PAID_ON_TIME</t>
        </is>
      </c>
      <c r="I3157">
        <f>IF(H3157="UNPAID", AsOfDate-D3157, 0)</f>
        <v/>
      </c>
      <c r="J3157">
        <f>IF(F3157&lt;&gt;"", TEXT(F3157, "yyyy-mm"), "")</f>
        <v/>
      </c>
    </row>
    <row r="3158">
      <c r="A3158" t="inlineStr">
        <is>
          <t>RP0003157</t>
        </is>
      </c>
      <c r="B3158" t="inlineStr">
        <is>
          <t>LN200453</t>
        </is>
      </c>
      <c r="C3158" t="n">
        <v>1</v>
      </c>
      <c r="D3158" s="8" t="n">
        <v>46153</v>
      </c>
      <c r="E3158" s="9" t="n">
        <v>14505.75</v>
      </c>
      <c r="F3158" s="8" t="n">
        <v>46151</v>
      </c>
      <c r="G3158" s="9" t="n">
        <v>14505.75</v>
      </c>
      <c r="H3158" t="inlineStr">
        <is>
          <t>PAID_ON_TIME</t>
        </is>
      </c>
      <c r="I3158">
        <f>IF(H3158="UNPAID", AsOfDate-D3158, 0)</f>
        <v/>
      </c>
      <c r="J3158">
        <f>IF(F3158&lt;&gt;"", TEXT(F3158, "yyyy-mm"), "")</f>
        <v/>
      </c>
    </row>
    <row r="3159">
      <c r="A3159" t="inlineStr">
        <is>
          <t>RP0003158</t>
        </is>
      </c>
      <c r="B3159" t="inlineStr">
        <is>
          <t>LN200453</t>
        </is>
      </c>
      <c r="C3159" t="n">
        <v>2</v>
      </c>
      <c r="D3159" s="8" t="n">
        <v>46184</v>
      </c>
      <c r="E3159" s="9" t="n">
        <v>14505.75</v>
      </c>
      <c r="F3159" s="8" t="n">
        <v>46225</v>
      </c>
      <c r="G3159" s="9" t="n">
        <v>14505.75</v>
      </c>
      <c r="H3159" t="inlineStr">
        <is>
          <t>PAID_LATE</t>
        </is>
      </c>
      <c r="I3159">
        <f>IF(H3159="UNPAID", AsOfDate-D3159, 0)</f>
        <v/>
      </c>
      <c r="J3159">
        <f>IF(F3159&lt;&gt;"", TEXT(F3159, "yyyy-mm"), "")</f>
        <v/>
      </c>
    </row>
    <row r="3160">
      <c r="A3160" t="inlineStr">
        <is>
          <t>RP0003159</t>
        </is>
      </c>
      <c r="B3160" t="inlineStr">
        <is>
          <t>LN200453</t>
        </is>
      </c>
      <c r="C3160" t="n">
        <v>3</v>
      </c>
      <c r="D3160" s="8" t="n">
        <v>46214</v>
      </c>
      <c r="E3160" s="9" t="n">
        <v>14505.75</v>
      </c>
      <c r="F3160" s="8" t="n">
        <v>46217</v>
      </c>
      <c r="G3160" s="9" t="n">
        <v>14505.75</v>
      </c>
      <c r="H3160" t="inlineStr">
        <is>
          <t>PAID_ON_TIME</t>
        </is>
      </c>
      <c r="I3160">
        <f>IF(H3160="UNPAID", AsOfDate-D3160, 0)</f>
        <v/>
      </c>
      <c r="J3160">
        <f>IF(F3160&lt;&gt;"", TEXT(F3160, "yyyy-mm"), "")</f>
        <v/>
      </c>
    </row>
    <row r="3161">
      <c r="A3161" t="inlineStr">
        <is>
          <t>RP0003160</t>
        </is>
      </c>
      <c r="B3161" t="inlineStr">
        <is>
          <t>LN200453</t>
        </is>
      </c>
      <c r="C3161" t="n">
        <v>4</v>
      </c>
      <c r="D3161" s="8" t="n">
        <v>46245</v>
      </c>
      <c r="E3161" s="9" t="n">
        <v>14505.75</v>
      </c>
      <c r="F3161" s="8" t="n"/>
      <c r="G3161" s="9" t="n">
        <v>0</v>
      </c>
      <c r="H3161" t="inlineStr">
        <is>
          <t>UNPAID</t>
        </is>
      </c>
      <c r="I3161">
        <f>IF(H3161="UNPAID", AsOfDate-D3161, 0)</f>
        <v/>
      </c>
      <c r="J3161">
        <f>IF(F3161&lt;&gt;"", TEXT(F3161, "yyyy-mm"), "")</f>
        <v/>
      </c>
    </row>
    <row r="3162">
      <c r="A3162" t="inlineStr">
        <is>
          <t>RP0003161</t>
        </is>
      </c>
      <c r="B3162" t="inlineStr">
        <is>
          <t>LN200453</t>
        </is>
      </c>
      <c r="C3162" t="n">
        <v>5</v>
      </c>
      <c r="D3162" s="8" t="n">
        <v>46276</v>
      </c>
      <c r="E3162" s="9" t="n">
        <v>14505.75</v>
      </c>
      <c r="F3162" s="8" t="n"/>
      <c r="G3162" s="9" t="n">
        <v>0</v>
      </c>
      <c r="H3162" t="inlineStr">
        <is>
          <t>NOT_DUE</t>
        </is>
      </c>
      <c r="I3162">
        <f>IF(H3162="UNPAID", AsOfDate-D3162, 0)</f>
        <v/>
      </c>
      <c r="J3162">
        <f>IF(F3162&lt;&gt;"", TEXT(F3162, "yyyy-mm"), "")</f>
        <v/>
      </c>
    </row>
    <row r="3163">
      <c r="A3163" t="inlineStr">
        <is>
          <t>RP0003162</t>
        </is>
      </c>
      <c r="B3163" t="inlineStr">
        <is>
          <t>LN200453</t>
        </is>
      </c>
      <c r="C3163" t="n">
        <v>6</v>
      </c>
      <c r="D3163" s="8" t="n">
        <v>46306</v>
      </c>
      <c r="E3163" s="9" t="n">
        <v>14505.75</v>
      </c>
      <c r="F3163" s="8" t="n"/>
      <c r="G3163" s="9" t="n">
        <v>0</v>
      </c>
      <c r="H3163" t="inlineStr">
        <is>
          <t>NOT_DUE</t>
        </is>
      </c>
      <c r="I3163">
        <f>IF(H3163="UNPAID", AsOfDate-D3163, 0)</f>
        <v/>
      </c>
      <c r="J3163">
        <f>IF(F3163&lt;&gt;"", TEXT(F3163, "yyyy-mm"), "")</f>
        <v/>
      </c>
    </row>
    <row r="3164">
      <c r="A3164" t="inlineStr">
        <is>
          <t>RP0003163</t>
        </is>
      </c>
      <c r="B3164" t="inlineStr">
        <is>
          <t>LN200454</t>
        </is>
      </c>
      <c r="C3164" t="n">
        <v>1</v>
      </c>
      <c r="D3164" s="8" t="n">
        <v>45859</v>
      </c>
      <c r="E3164" s="9" t="n">
        <v>22934.17</v>
      </c>
      <c r="F3164" s="8" t="n">
        <v>45863</v>
      </c>
      <c r="G3164" s="9" t="n">
        <v>22934.17</v>
      </c>
      <c r="H3164" t="inlineStr">
        <is>
          <t>PAID_ON_TIME</t>
        </is>
      </c>
      <c r="I3164">
        <f>IF(H3164="UNPAID", AsOfDate-D3164, 0)</f>
        <v/>
      </c>
      <c r="J3164">
        <f>IF(F3164&lt;&gt;"", TEXT(F3164, "yyyy-mm"), "")</f>
        <v/>
      </c>
    </row>
    <row r="3165">
      <c r="A3165" t="inlineStr">
        <is>
          <t>RP0003164</t>
        </is>
      </c>
      <c r="B3165" t="inlineStr">
        <is>
          <t>LN200454</t>
        </is>
      </c>
      <c r="C3165" t="n">
        <v>2</v>
      </c>
      <c r="D3165" s="8" t="n">
        <v>45890</v>
      </c>
      <c r="E3165" s="9" t="n">
        <v>22934.17</v>
      </c>
      <c r="F3165" s="8" t="n">
        <v>45887</v>
      </c>
      <c r="G3165" s="9" t="n">
        <v>22934.17</v>
      </c>
      <c r="H3165" t="inlineStr">
        <is>
          <t>PAID_ON_TIME</t>
        </is>
      </c>
      <c r="I3165">
        <f>IF(H3165="UNPAID", AsOfDate-D3165, 0)</f>
        <v/>
      </c>
      <c r="J3165">
        <f>IF(F3165&lt;&gt;"", TEXT(F3165, "yyyy-mm"), "")</f>
        <v/>
      </c>
    </row>
    <row r="3166">
      <c r="A3166" t="inlineStr">
        <is>
          <t>RP0003165</t>
        </is>
      </c>
      <c r="B3166" t="inlineStr">
        <is>
          <t>LN200454</t>
        </is>
      </c>
      <c r="C3166" t="n">
        <v>3</v>
      </c>
      <c r="D3166" s="8" t="n">
        <v>45921</v>
      </c>
      <c r="E3166" s="9" t="n">
        <v>22934.17</v>
      </c>
      <c r="F3166" s="8" t="n">
        <v>45918</v>
      </c>
      <c r="G3166" s="9" t="n">
        <v>22934.17</v>
      </c>
      <c r="H3166" t="inlineStr">
        <is>
          <t>PAID_ON_TIME</t>
        </is>
      </c>
      <c r="I3166">
        <f>IF(H3166="UNPAID", AsOfDate-D3166, 0)</f>
        <v/>
      </c>
      <c r="J3166">
        <f>IF(F3166&lt;&gt;"", TEXT(F3166, "yyyy-mm"), "")</f>
        <v/>
      </c>
    </row>
    <row r="3167">
      <c r="A3167" t="inlineStr">
        <is>
          <t>RP0003166</t>
        </is>
      </c>
      <c r="B3167" t="inlineStr">
        <is>
          <t>LN200455</t>
        </is>
      </c>
      <c r="C3167" t="n">
        <v>1</v>
      </c>
      <c r="D3167" s="8" t="n">
        <v>46064</v>
      </c>
      <c r="E3167" s="9" t="n">
        <v>22163.75</v>
      </c>
      <c r="F3167" s="8" t="n">
        <v>46068</v>
      </c>
      <c r="G3167" s="9" t="n">
        <v>22163.75</v>
      </c>
      <c r="H3167" t="inlineStr">
        <is>
          <t>PAID_ON_TIME</t>
        </is>
      </c>
      <c r="I3167">
        <f>IF(H3167="UNPAID", AsOfDate-D3167, 0)</f>
        <v/>
      </c>
      <c r="J3167">
        <f>IF(F3167&lt;&gt;"", TEXT(F3167, "yyyy-mm"), "")</f>
        <v/>
      </c>
    </row>
    <row r="3168">
      <c r="A3168" t="inlineStr">
        <is>
          <t>RP0003167</t>
        </is>
      </c>
      <c r="B3168" t="inlineStr">
        <is>
          <t>LN200455</t>
        </is>
      </c>
      <c r="C3168" t="n">
        <v>2</v>
      </c>
      <c r="D3168" s="8" t="n">
        <v>46092</v>
      </c>
      <c r="E3168" s="9" t="n">
        <v>22163.75</v>
      </c>
      <c r="F3168" s="8" t="n">
        <v>46089</v>
      </c>
      <c r="G3168" s="9" t="n">
        <v>22163.75</v>
      </c>
      <c r="H3168" t="inlineStr">
        <is>
          <t>PAID_ON_TIME</t>
        </is>
      </c>
      <c r="I3168">
        <f>IF(H3168="UNPAID", AsOfDate-D3168, 0)</f>
        <v/>
      </c>
      <c r="J3168">
        <f>IF(F3168&lt;&gt;"", TEXT(F3168, "yyyy-mm"), "")</f>
        <v/>
      </c>
    </row>
    <row r="3169">
      <c r="A3169" t="inlineStr">
        <is>
          <t>RP0003168</t>
        </is>
      </c>
      <c r="B3169" t="inlineStr">
        <is>
          <t>LN200455</t>
        </is>
      </c>
      <c r="C3169" t="n">
        <v>3</v>
      </c>
      <c r="D3169" s="8" t="n">
        <v>46123</v>
      </c>
      <c r="E3169" s="9" t="n">
        <v>22163.75</v>
      </c>
      <c r="F3169" s="8" t="n">
        <v>46127</v>
      </c>
      <c r="G3169" s="9" t="n">
        <v>22163.75</v>
      </c>
      <c r="H3169" t="inlineStr">
        <is>
          <t>PAID_ON_TIME</t>
        </is>
      </c>
      <c r="I3169">
        <f>IF(H3169="UNPAID", AsOfDate-D3169, 0)</f>
        <v/>
      </c>
      <c r="J3169">
        <f>IF(F3169&lt;&gt;"", TEXT(F3169, "yyyy-mm"), "")</f>
        <v/>
      </c>
    </row>
    <row r="3170">
      <c r="A3170" t="inlineStr">
        <is>
          <t>RP0003169</t>
        </is>
      </c>
      <c r="B3170" t="inlineStr">
        <is>
          <t>LN200455</t>
        </is>
      </c>
      <c r="C3170" t="n">
        <v>4</v>
      </c>
      <c r="D3170" s="8" t="n">
        <v>46153</v>
      </c>
      <c r="E3170" s="9" t="n">
        <v>22163.75</v>
      </c>
      <c r="F3170" s="8" t="n">
        <v>46151</v>
      </c>
      <c r="G3170" s="9" t="n">
        <v>22163.75</v>
      </c>
      <c r="H3170" t="inlineStr">
        <is>
          <t>PAID_ON_TIME</t>
        </is>
      </c>
      <c r="I3170">
        <f>IF(H3170="UNPAID", AsOfDate-D3170, 0)</f>
        <v/>
      </c>
      <c r="J3170">
        <f>IF(F3170&lt;&gt;"", TEXT(F3170, "yyyy-mm"), "")</f>
        <v/>
      </c>
    </row>
    <row r="3171">
      <c r="A3171" t="inlineStr">
        <is>
          <t>RP0003170</t>
        </is>
      </c>
      <c r="B3171" t="inlineStr">
        <is>
          <t>LN200455</t>
        </is>
      </c>
      <c r="C3171" t="n">
        <v>5</v>
      </c>
      <c r="D3171" s="8" t="n">
        <v>46184</v>
      </c>
      <c r="E3171" s="9" t="n">
        <v>22163.75</v>
      </c>
      <c r="F3171" s="8" t="n">
        <v>46183</v>
      </c>
      <c r="G3171" s="9" t="n">
        <v>22163.75</v>
      </c>
      <c r="H3171" t="inlineStr">
        <is>
          <t>PAID_ON_TIME</t>
        </is>
      </c>
      <c r="I3171">
        <f>IF(H3171="UNPAID", AsOfDate-D3171, 0)</f>
        <v/>
      </c>
      <c r="J3171">
        <f>IF(F3171&lt;&gt;"", TEXT(F3171, "yyyy-mm"), "")</f>
        <v/>
      </c>
    </row>
    <row r="3172">
      <c r="A3172" t="inlineStr">
        <is>
          <t>RP0003171</t>
        </is>
      </c>
      <c r="B3172" t="inlineStr">
        <is>
          <t>LN200455</t>
        </is>
      </c>
      <c r="C3172" t="n">
        <v>6</v>
      </c>
      <c r="D3172" s="8" t="n">
        <v>46214</v>
      </c>
      <c r="E3172" s="9" t="n">
        <v>22163.75</v>
      </c>
      <c r="F3172" s="8" t="n">
        <v>46211</v>
      </c>
      <c r="G3172" s="9" t="n">
        <v>22163.75</v>
      </c>
      <c r="H3172" t="inlineStr">
        <is>
          <t>PAID_ON_TIME</t>
        </is>
      </c>
      <c r="I3172">
        <f>IF(H3172="UNPAID", AsOfDate-D3172, 0)</f>
        <v/>
      </c>
      <c r="J3172">
        <f>IF(F3172&lt;&gt;"", TEXT(F3172, "yyyy-mm"), "")</f>
        <v/>
      </c>
    </row>
    <row r="3173">
      <c r="A3173" t="inlineStr">
        <is>
          <t>RP0003172</t>
        </is>
      </c>
      <c r="B3173" t="inlineStr">
        <is>
          <t>LN200456</t>
        </is>
      </c>
      <c r="C3173" t="n">
        <v>1</v>
      </c>
      <c r="D3173" s="8" t="n">
        <v>46031</v>
      </c>
      <c r="E3173" s="9" t="n">
        <v>3706.67</v>
      </c>
      <c r="F3173" s="8" t="n">
        <v>46030</v>
      </c>
      <c r="G3173" s="9" t="n">
        <v>3706.67</v>
      </c>
      <c r="H3173" t="inlineStr">
        <is>
          <t>PAID_ON_TIME</t>
        </is>
      </c>
      <c r="I3173">
        <f>IF(H3173="UNPAID", AsOfDate-D3173, 0)</f>
        <v/>
      </c>
      <c r="J3173">
        <f>IF(F3173&lt;&gt;"", TEXT(F3173, "yyyy-mm"), "")</f>
        <v/>
      </c>
    </row>
    <row r="3174">
      <c r="A3174" t="inlineStr">
        <is>
          <t>RP0003173</t>
        </is>
      </c>
      <c r="B3174" t="inlineStr">
        <is>
          <t>LN200456</t>
        </is>
      </c>
      <c r="C3174" t="n">
        <v>2</v>
      </c>
      <c r="D3174" s="8" t="n">
        <v>46062</v>
      </c>
      <c r="E3174" s="9" t="n">
        <v>3706.67</v>
      </c>
      <c r="F3174" s="8" t="n">
        <v>46059</v>
      </c>
      <c r="G3174" s="9" t="n">
        <v>3706.67</v>
      </c>
      <c r="H3174" t="inlineStr">
        <is>
          <t>PAID_ON_TIME</t>
        </is>
      </c>
      <c r="I3174">
        <f>IF(H3174="UNPAID", AsOfDate-D3174, 0)</f>
        <v/>
      </c>
      <c r="J3174">
        <f>IF(F3174&lt;&gt;"", TEXT(F3174, "yyyy-mm"), "")</f>
        <v/>
      </c>
    </row>
    <row r="3175">
      <c r="A3175" t="inlineStr">
        <is>
          <t>RP0003174</t>
        </is>
      </c>
      <c r="B3175" t="inlineStr">
        <is>
          <t>LN200456</t>
        </is>
      </c>
      <c r="C3175" t="n">
        <v>3</v>
      </c>
      <c r="D3175" s="8" t="n">
        <v>46090</v>
      </c>
      <c r="E3175" s="9" t="n">
        <v>3706.67</v>
      </c>
      <c r="F3175" s="8" t="n">
        <v>46089</v>
      </c>
      <c r="G3175" s="9" t="n">
        <v>3706.67</v>
      </c>
      <c r="H3175" t="inlineStr">
        <is>
          <t>PAID_ON_TIME</t>
        </is>
      </c>
      <c r="I3175">
        <f>IF(H3175="UNPAID", AsOfDate-D3175, 0)</f>
        <v/>
      </c>
      <c r="J3175">
        <f>IF(F3175&lt;&gt;"", TEXT(F3175, "yyyy-mm"), "")</f>
        <v/>
      </c>
    </row>
    <row r="3176">
      <c r="A3176" t="inlineStr">
        <is>
          <t>RP0003175</t>
        </is>
      </c>
      <c r="B3176" t="inlineStr">
        <is>
          <t>LN200456</t>
        </is>
      </c>
      <c r="C3176" t="n">
        <v>4</v>
      </c>
      <c r="D3176" s="8" t="n">
        <v>46121</v>
      </c>
      <c r="E3176" s="9" t="n">
        <v>3706.67</v>
      </c>
      <c r="F3176" s="8" t="n">
        <v>46118</v>
      </c>
      <c r="G3176" s="9" t="n">
        <v>3706.67</v>
      </c>
      <c r="H3176" t="inlineStr">
        <is>
          <t>PAID_ON_TIME</t>
        </is>
      </c>
      <c r="I3176">
        <f>IF(H3176="UNPAID", AsOfDate-D3176, 0)</f>
        <v/>
      </c>
      <c r="J3176">
        <f>IF(F3176&lt;&gt;"", TEXT(F3176, "yyyy-mm"), "")</f>
        <v/>
      </c>
    </row>
    <row r="3177">
      <c r="A3177" t="inlineStr">
        <is>
          <t>RP0003176</t>
        </is>
      </c>
      <c r="B3177" t="inlineStr">
        <is>
          <t>LN200456</t>
        </is>
      </c>
      <c r="C3177" t="n">
        <v>5</v>
      </c>
      <c r="D3177" s="8" t="n">
        <v>46151</v>
      </c>
      <c r="E3177" s="9" t="n">
        <v>3706.67</v>
      </c>
      <c r="F3177" s="8" t="n">
        <v>46148</v>
      </c>
      <c r="G3177" s="9" t="n">
        <v>3706.67</v>
      </c>
      <c r="H3177" t="inlineStr">
        <is>
          <t>PAID_ON_TIME</t>
        </is>
      </c>
      <c r="I3177">
        <f>IF(H3177="UNPAID", AsOfDate-D3177, 0)</f>
        <v/>
      </c>
      <c r="J3177">
        <f>IF(F3177&lt;&gt;"", TEXT(F3177, "yyyy-mm"), "")</f>
        <v/>
      </c>
    </row>
    <row r="3178">
      <c r="A3178" t="inlineStr">
        <is>
          <t>RP0003177</t>
        </is>
      </c>
      <c r="B3178" t="inlineStr">
        <is>
          <t>LN200456</t>
        </is>
      </c>
      <c r="C3178" t="n">
        <v>6</v>
      </c>
      <c r="D3178" s="8" t="n">
        <v>46182</v>
      </c>
      <c r="E3178" s="9" t="n">
        <v>3706.67</v>
      </c>
      <c r="F3178" s="8" t="n">
        <v>46179</v>
      </c>
      <c r="G3178" s="9" t="n">
        <v>3706.67</v>
      </c>
      <c r="H3178" t="inlineStr">
        <is>
          <t>PAID_ON_TIME</t>
        </is>
      </c>
      <c r="I3178">
        <f>IF(H3178="UNPAID", AsOfDate-D3178, 0)</f>
        <v/>
      </c>
      <c r="J3178">
        <f>IF(F3178&lt;&gt;"", TEXT(F3178, "yyyy-mm"), "")</f>
        <v/>
      </c>
    </row>
    <row r="3179">
      <c r="A3179" t="inlineStr">
        <is>
          <t>RP0003178</t>
        </is>
      </c>
      <c r="B3179" t="inlineStr">
        <is>
          <t>LN200457</t>
        </is>
      </c>
      <c r="C3179" t="n">
        <v>1</v>
      </c>
      <c r="D3179" s="8" t="n">
        <v>45936</v>
      </c>
      <c r="E3179" s="9" t="n">
        <v>70701.75</v>
      </c>
      <c r="F3179" s="8" t="n">
        <v>45940</v>
      </c>
      <c r="G3179" s="9" t="n">
        <v>70701.75</v>
      </c>
      <c r="H3179" t="inlineStr">
        <is>
          <t>PAID_ON_TIME</t>
        </is>
      </c>
      <c r="I3179">
        <f>IF(H3179="UNPAID", AsOfDate-D3179, 0)</f>
        <v/>
      </c>
      <c r="J3179">
        <f>IF(F3179&lt;&gt;"", TEXT(F3179, "yyyy-mm"), "")</f>
        <v/>
      </c>
    </row>
    <row r="3180">
      <c r="A3180" t="inlineStr">
        <is>
          <t>RP0003179</t>
        </is>
      </c>
      <c r="B3180" t="inlineStr">
        <is>
          <t>LN200457</t>
        </is>
      </c>
      <c r="C3180" t="n">
        <v>2</v>
      </c>
      <c r="D3180" s="8" t="n">
        <v>45967</v>
      </c>
      <c r="E3180" s="9" t="n">
        <v>70701.75</v>
      </c>
      <c r="F3180" s="8" t="n">
        <v>45965</v>
      </c>
      <c r="G3180" s="9" t="n">
        <v>70701.75</v>
      </c>
      <c r="H3180" t="inlineStr">
        <is>
          <t>PAID_ON_TIME</t>
        </is>
      </c>
      <c r="I3180">
        <f>IF(H3180="UNPAID", AsOfDate-D3180, 0)</f>
        <v/>
      </c>
      <c r="J3180">
        <f>IF(F3180&lt;&gt;"", TEXT(F3180, "yyyy-mm"), "")</f>
        <v/>
      </c>
    </row>
    <row r="3181">
      <c r="A3181" t="inlineStr">
        <is>
          <t>RP0003180</t>
        </is>
      </c>
      <c r="B3181" t="inlineStr">
        <is>
          <t>LN200457</t>
        </is>
      </c>
      <c r="C3181" t="n">
        <v>3</v>
      </c>
      <c r="D3181" s="8" t="n">
        <v>45997</v>
      </c>
      <c r="E3181" s="9" t="n">
        <v>70701.75</v>
      </c>
      <c r="F3181" s="8" t="n">
        <v>45999</v>
      </c>
      <c r="G3181" s="9" t="n">
        <v>70701.75</v>
      </c>
      <c r="H3181" t="inlineStr">
        <is>
          <t>PAID_ON_TIME</t>
        </is>
      </c>
      <c r="I3181">
        <f>IF(H3181="UNPAID", AsOfDate-D3181, 0)</f>
        <v/>
      </c>
      <c r="J3181">
        <f>IF(F3181&lt;&gt;"", TEXT(F3181, "yyyy-mm"), "")</f>
        <v/>
      </c>
    </row>
    <row r="3182">
      <c r="A3182" t="inlineStr">
        <is>
          <t>RP0003181</t>
        </is>
      </c>
      <c r="B3182" t="inlineStr">
        <is>
          <t>LN200458</t>
        </is>
      </c>
      <c r="C3182" t="n">
        <v>1</v>
      </c>
      <c r="D3182" s="8" t="n">
        <v>45952</v>
      </c>
      <c r="E3182" s="9" t="n">
        <v>11812.97</v>
      </c>
      <c r="F3182" s="8" t="n">
        <v>45956</v>
      </c>
      <c r="G3182" s="9" t="n">
        <v>11812.97</v>
      </c>
      <c r="H3182" t="inlineStr">
        <is>
          <t>PAID_ON_TIME</t>
        </is>
      </c>
      <c r="I3182">
        <f>IF(H3182="UNPAID", AsOfDate-D3182, 0)</f>
        <v/>
      </c>
      <c r="J3182">
        <f>IF(F3182&lt;&gt;"", TEXT(F3182, "yyyy-mm"), "")</f>
        <v/>
      </c>
    </row>
    <row r="3183">
      <c r="A3183" t="inlineStr">
        <is>
          <t>RP0003182</t>
        </is>
      </c>
      <c r="B3183" t="inlineStr">
        <is>
          <t>LN200458</t>
        </is>
      </c>
      <c r="C3183" t="n">
        <v>2</v>
      </c>
      <c r="D3183" s="8" t="n">
        <v>45983</v>
      </c>
      <c r="E3183" s="9" t="n">
        <v>11812.97</v>
      </c>
      <c r="F3183" s="8" t="n">
        <v>45981</v>
      </c>
      <c r="G3183" s="9" t="n">
        <v>11812.97</v>
      </c>
      <c r="H3183" t="inlineStr">
        <is>
          <t>PAID_ON_TIME</t>
        </is>
      </c>
      <c r="I3183">
        <f>IF(H3183="UNPAID", AsOfDate-D3183, 0)</f>
        <v/>
      </c>
      <c r="J3183">
        <f>IF(F3183&lt;&gt;"", TEXT(F3183, "yyyy-mm"), "")</f>
        <v/>
      </c>
    </row>
    <row r="3184">
      <c r="A3184" t="inlineStr">
        <is>
          <t>RP0003183</t>
        </is>
      </c>
      <c r="B3184" t="inlineStr">
        <is>
          <t>LN200458</t>
        </is>
      </c>
      <c r="C3184" t="n">
        <v>3</v>
      </c>
      <c r="D3184" s="8" t="n">
        <v>46013</v>
      </c>
      <c r="E3184" s="9" t="n">
        <v>11812.97</v>
      </c>
      <c r="F3184" s="8" t="n">
        <v>46012</v>
      </c>
      <c r="G3184" s="9" t="n">
        <v>11812.97</v>
      </c>
      <c r="H3184" t="inlineStr">
        <is>
          <t>PAID_ON_TIME</t>
        </is>
      </c>
      <c r="I3184">
        <f>IF(H3184="UNPAID", AsOfDate-D3184, 0)</f>
        <v/>
      </c>
      <c r="J3184">
        <f>IF(F3184&lt;&gt;"", TEXT(F3184, "yyyy-mm"), "")</f>
        <v/>
      </c>
    </row>
    <row r="3185">
      <c r="A3185" t="inlineStr">
        <is>
          <t>RP0003184</t>
        </is>
      </c>
      <c r="B3185" t="inlineStr">
        <is>
          <t>LN200458</t>
        </is>
      </c>
      <c r="C3185" t="n">
        <v>4</v>
      </c>
      <c r="D3185" s="8" t="n">
        <v>46044</v>
      </c>
      <c r="E3185" s="9" t="n">
        <v>11812.97</v>
      </c>
      <c r="F3185" s="8" t="n">
        <v>46048</v>
      </c>
      <c r="G3185" s="9" t="n">
        <v>11812.97</v>
      </c>
      <c r="H3185" t="inlineStr">
        <is>
          <t>PAID_ON_TIME</t>
        </is>
      </c>
      <c r="I3185">
        <f>IF(H3185="UNPAID", AsOfDate-D3185, 0)</f>
        <v/>
      </c>
      <c r="J3185">
        <f>IF(F3185&lt;&gt;"", TEXT(F3185, "yyyy-mm"), "")</f>
        <v/>
      </c>
    </row>
    <row r="3186">
      <c r="A3186" t="inlineStr">
        <is>
          <t>RP0003185</t>
        </is>
      </c>
      <c r="B3186" t="inlineStr">
        <is>
          <t>LN200458</t>
        </is>
      </c>
      <c r="C3186" t="n">
        <v>5</v>
      </c>
      <c r="D3186" s="8" t="n">
        <v>46075</v>
      </c>
      <c r="E3186" s="9" t="n">
        <v>11812.97</v>
      </c>
      <c r="F3186" s="8" t="n">
        <v>46079</v>
      </c>
      <c r="G3186" s="9" t="n">
        <v>11812.97</v>
      </c>
      <c r="H3186" t="inlineStr">
        <is>
          <t>PAID_ON_TIME</t>
        </is>
      </c>
      <c r="I3186">
        <f>IF(H3186="UNPAID", AsOfDate-D3186, 0)</f>
        <v/>
      </c>
      <c r="J3186">
        <f>IF(F3186&lt;&gt;"", TEXT(F3186, "yyyy-mm"), "")</f>
        <v/>
      </c>
    </row>
    <row r="3187">
      <c r="A3187" t="inlineStr">
        <is>
          <t>RP0003186</t>
        </is>
      </c>
      <c r="B3187" t="inlineStr">
        <is>
          <t>LN200458</t>
        </is>
      </c>
      <c r="C3187" t="n">
        <v>6</v>
      </c>
      <c r="D3187" s="8" t="n">
        <v>46103</v>
      </c>
      <c r="E3187" s="9" t="n">
        <v>11812.97</v>
      </c>
      <c r="F3187" s="8" t="n">
        <v>46103</v>
      </c>
      <c r="G3187" s="9" t="n">
        <v>11812.97</v>
      </c>
      <c r="H3187" t="inlineStr">
        <is>
          <t>PAID_ON_TIME</t>
        </is>
      </c>
      <c r="I3187">
        <f>IF(H3187="UNPAID", AsOfDate-D3187, 0)</f>
        <v/>
      </c>
      <c r="J3187">
        <f>IF(F3187&lt;&gt;"", TEXT(F3187, "yyyy-mm"), "")</f>
        <v/>
      </c>
    </row>
    <row r="3188">
      <c r="A3188" t="inlineStr">
        <is>
          <t>RP0003187</t>
        </is>
      </c>
      <c r="B3188" t="inlineStr">
        <is>
          <t>LN200458</t>
        </is>
      </c>
      <c r="C3188" t="n">
        <v>7</v>
      </c>
      <c r="D3188" s="8" t="n">
        <v>46134</v>
      </c>
      <c r="E3188" s="9" t="n">
        <v>11812.97</v>
      </c>
      <c r="F3188" s="8" t="n">
        <v>46138</v>
      </c>
      <c r="G3188" s="9" t="n">
        <v>11812.97</v>
      </c>
      <c r="H3188" t="inlineStr">
        <is>
          <t>PAID_ON_TIME</t>
        </is>
      </c>
      <c r="I3188">
        <f>IF(H3188="UNPAID", AsOfDate-D3188, 0)</f>
        <v/>
      </c>
      <c r="J3188">
        <f>IF(F3188&lt;&gt;"", TEXT(F3188, "yyyy-mm"), "")</f>
        <v/>
      </c>
    </row>
    <row r="3189">
      <c r="A3189" t="inlineStr">
        <is>
          <t>RP0003188</t>
        </is>
      </c>
      <c r="B3189" t="inlineStr">
        <is>
          <t>LN200458</t>
        </is>
      </c>
      <c r="C3189" t="n">
        <v>8</v>
      </c>
      <c r="D3189" s="8" t="n">
        <v>46164</v>
      </c>
      <c r="E3189" s="9" t="n">
        <v>11812.97</v>
      </c>
      <c r="F3189" s="8" t="n">
        <v>46167</v>
      </c>
      <c r="G3189" s="9" t="n">
        <v>11812.97</v>
      </c>
      <c r="H3189" t="inlineStr">
        <is>
          <t>PAID_ON_TIME</t>
        </is>
      </c>
      <c r="I3189">
        <f>IF(H3189="UNPAID", AsOfDate-D3189, 0)</f>
        <v/>
      </c>
      <c r="J3189">
        <f>IF(F3189&lt;&gt;"", TEXT(F3189, "yyyy-mm"), "")</f>
        <v/>
      </c>
    </row>
    <row r="3190">
      <c r="A3190" t="inlineStr">
        <is>
          <t>RP0003189</t>
        </is>
      </c>
      <c r="B3190" t="inlineStr">
        <is>
          <t>LN200458</t>
        </is>
      </c>
      <c r="C3190" t="n">
        <v>9</v>
      </c>
      <c r="D3190" s="8" t="n">
        <v>46195</v>
      </c>
      <c r="E3190" s="9" t="n">
        <v>11812.97</v>
      </c>
      <c r="F3190" s="8" t="n">
        <v>46195</v>
      </c>
      <c r="G3190" s="9" t="n">
        <v>11812.97</v>
      </c>
      <c r="H3190" t="inlineStr">
        <is>
          <t>PAID_ON_TIME</t>
        </is>
      </c>
      <c r="I3190">
        <f>IF(H3190="UNPAID", AsOfDate-D3190, 0)</f>
        <v/>
      </c>
      <c r="J3190">
        <f>IF(F3190&lt;&gt;"", TEXT(F3190, "yyyy-mm"), "")</f>
        <v/>
      </c>
    </row>
    <row r="3191">
      <c r="A3191" t="inlineStr">
        <is>
          <t>RP0003190</t>
        </is>
      </c>
      <c r="B3191" t="inlineStr">
        <is>
          <t>LN200458</t>
        </is>
      </c>
      <c r="C3191" t="n">
        <v>10</v>
      </c>
      <c r="D3191" s="8" t="n">
        <v>46225</v>
      </c>
      <c r="E3191" s="9" t="n">
        <v>11812.97</v>
      </c>
      <c r="F3191" s="8" t="n">
        <v>46228</v>
      </c>
      <c r="G3191" s="9" t="n">
        <v>11812.97</v>
      </c>
      <c r="H3191" t="inlineStr">
        <is>
          <t>PAID_ON_TIME</t>
        </is>
      </c>
      <c r="I3191">
        <f>IF(H3191="UNPAID", AsOfDate-D3191, 0)</f>
        <v/>
      </c>
      <c r="J3191">
        <f>IF(F3191&lt;&gt;"", TEXT(F3191, "yyyy-mm"), "")</f>
        <v/>
      </c>
    </row>
    <row r="3192">
      <c r="A3192" t="inlineStr">
        <is>
          <t>RP0003191</t>
        </is>
      </c>
      <c r="B3192" t="inlineStr">
        <is>
          <t>LN200458</t>
        </is>
      </c>
      <c r="C3192" t="n">
        <v>11</v>
      </c>
      <c r="D3192" s="8" t="n">
        <v>46256</v>
      </c>
      <c r="E3192" s="9" t="n">
        <v>11812.97</v>
      </c>
      <c r="F3192" s="8" t="n">
        <v>46256</v>
      </c>
      <c r="G3192" s="9" t="n">
        <v>11812.97</v>
      </c>
      <c r="H3192" t="inlineStr">
        <is>
          <t>PAID_ON_TIME</t>
        </is>
      </c>
      <c r="I3192">
        <f>IF(H3192="UNPAID", AsOfDate-D3192, 0)</f>
        <v/>
      </c>
      <c r="J3192">
        <f>IF(F3192&lt;&gt;"", TEXT(F3192, "yyyy-mm"), "")</f>
        <v/>
      </c>
    </row>
    <row r="3193">
      <c r="A3193" t="inlineStr">
        <is>
          <t>RP0003192</t>
        </is>
      </c>
      <c r="B3193" t="inlineStr">
        <is>
          <t>LN200458</t>
        </is>
      </c>
      <c r="C3193" t="n">
        <v>12</v>
      </c>
      <c r="D3193" s="8" t="n">
        <v>46287</v>
      </c>
      <c r="E3193" s="9" t="n">
        <v>11812.97</v>
      </c>
      <c r="F3193" s="8" t="n"/>
      <c r="G3193" s="9" t="n">
        <v>0</v>
      </c>
      <c r="H3193" t="inlineStr">
        <is>
          <t>NOT_DUE</t>
        </is>
      </c>
      <c r="I3193">
        <f>IF(H3193="UNPAID", AsOfDate-D3193, 0)</f>
        <v/>
      </c>
      <c r="J3193">
        <f>IF(F3193&lt;&gt;"", TEXT(F3193, "yyyy-mm"), "")</f>
        <v/>
      </c>
    </row>
    <row r="3194">
      <c r="A3194" t="inlineStr">
        <is>
          <t>RP0003193</t>
        </is>
      </c>
      <c r="B3194" t="inlineStr">
        <is>
          <t>LN200458</t>
        </is>
      </c>
      <c r="C3194" t="n">
        <v>13</v>
      </c>
      <c r="D3194" s="8" t="n">
        <v>46317</v>
      </c>
      <c r="E3194" s="9" t="n">
        <v>11812.97</v>
      </c>
      <c r="F3194" s="8" t="n"/>
      <c r="G3194" s="9" t="n">
        <v>0</v>
      </c>
      <c r="H3194" t="inlineStr">
        <is>
          <t>NOT_DUE</t>
        </is>
      </c>
      <c r="I3194">
        <f>IF(H3194="UNPAID", AsOfDate-D3194, 0)</f>
        <v/>
      </c>
      <c r="J3194">
        <f>IF(F3194&lt;&gt;"", TEXT(F3194, "yyyy-mm"), "")</f>
        <v/>
      </c>
    </row>
    <row r="3195">
      <c r="A3195" t="inlineStr">
        <is>
          <t>RP0003194</t>
        </is>
      </c>
      <c r="B3195" t="inlineStr">
        <is>
          <t>LN200458</t>
        </is>
      </c>
      <c r="C3195" t="n">
        <v>14</v>
      </c>
      <c r="D3195" s="8" t="n">
        <v>46348</v>
      </c>
      <c r="E3195" s="9" t="n">
        <v>11812.97</v>
      </c>
      <c r="F3195" s="8" t="n"/>
      <c r="G3195" s="9" t="n">
        <v>0</v>
      </c>
      <c r="H3195" t="inlineStr">
        <is>
          <t>NOT_DUE</t>
        </is>
      </c>
      <c r="I3195">
        <f>IF(H3195="UNPAID", AsOfDate-D3195, 0)</f>
        <v/>
      </c>
      <c r="J3195">
        <f>IF(F3195&lt;&gt;"", TEXT(F3195, "yyyy-mm"), "")</f>
        <v/>
      </c>
    </row>
    <row r="3196">
      <c r="A3196" t="inlineStr">
        <is>
          <t>RP0003195</t>
        </is>
      </c>
      <c r="B3196" t="inlineStr">
        <is>
          <t>LN200458</t>
        </is>
      </c>
      <c r="C3196" t="n">
        <v>15</v>
      </c>
      <c r="D3196" s="8" t="n">
        <v>46378</v>
      </c>
      <c r="E3196" s="9" t="n">
        <v>11812.97</v>
      </c>
      <c r="F3196" s="8" t="n"/>
      <c r="G3196" s="9" t="n">
        <v>0</v>
      </c>
      <c r="H3196" t="inlineStr">
        <is>
          <t>NOT_DUE</t>
        </is>
      </c>
      <c r="I3196">
        <f>IF(H3196="UNPAID", AsOfDate-D3196, 0)</f>
        <v/>
      </c>
      <c r="J3196">
        <f>IF(F3196&lt;&gt;"", TEXT(F3196, "yyyy-mm"), "")</f>
        <v/>
      </c>
    </row>
    <row r="3197">
      <c r="A3197" t="inlineStr">
        <is>
          <t>RP0003196</t>
        </is>
      </c>
      <c r="B3197" t="inlineStr">
        <is>
          <t>LN200458</t>
        </is>
      </c>
      <c r="C3197" t="n">
        <v>16</v>
      </c>
      <c r="D3197" s="8" t="n">
        <v>46409</v>
      </c>
      <c r="E3197" s="9" t="n">
        <v>11812.97</v>
      </c>
      <c r="F3197" s="8" t="n"/>
      <c r="G3197" s="9" t="n">
        <v>0</v>
      </c>
      <c r="H3197" t="inlineStr">
        <is>
          <t>NOT_DUE</t>
        </is>
      </c>
      <c r="I3197">
        <f>IF(H3197="UNPAID", AsOfDate-D3197, 0)</f>
        <v/>
      </c>
      <c r="J3197">
        <f>IF(F3197&lt;&gt;"", TEXT(F3197, "yyyy-mm"), "")</f>
        <v/>
      </c>
    </row>
    <row r="3198">
      <c r="A3198" t="inlineStr">
        <is>
          <t>RP0003197</t>
        </is>
      </c>
      <c r="B3198" t="inlineStr">
        <is>
          <t>LN200458</t>
        </is>
      </c>
      <c r="C3198" t="n">
        <v>17</v>
      </c>
      <c r="D3198" s="8" t="n">
        <v>46440</v>
      </c>
      <c r="E3198" s="9" t="n">
        <v>11812.97</v>
      </c>
      <c r="F3198" s="8" t="n"/>
      <c r="G3198" s="9" t="n">
        <v>0</v>
      </c>
      <c r="H3198" t="inlineStr">
        <is>
          <t>NOT_DUE</t>
        </is>
      </c>
      <c r="I3198">
        <f>IF(H3198="UNPAID", AsOfDate-D3198, 0)</f>
        <v/>
      </c>
      <c r="J3198">
        <f>IF(F3198&lt;&gt;"", TEXT(F3198, "yyyy-mm"), "")</f>
        <v/>
      </c>
    </row>
    <row r="3199">
      <c r="A3199" t="inlineStr">
        <is>
          <t>RP0003198</t>
        </is>
      </c>
      <c r="B3199" t="inlineStr">
        <is>
          <t>LN200458</t>
        </is>
      </c>
      <c r="C3199" t="n">
        <v>18</v>
      </c>
      <c r="D3199" s="8" t="n">
        <v>46468</v>
      </c>
      <c r="E3199" s="9" t="n">
        <v>11812.97</v>
      </c>
      <c r="F3199" s="8" t="n"/>
      <c r="G3199" s="9" t="n">
        <v>0</v>
      </c>
      <c r="H3199" t="inlineStr">
        <is>
          <t>NOT_DUE</t>
        </is>
      </c>
      <c r="I3199">
        <f>IF(H3199="UNPAID", AsOfDate-D3199, 0)</f>
        <v/>
      </c>
      <c r="J3199">
        <f>IF(F3199&lt;&gt;"", TEXT(F3199, "yyyy-mm"), "")</f>
        <v/>
      </c>
    </row>
    <row r="3200">
      <c r="A3200" t="inlineStr">
        <is>
          <t>RP0003199</t>
        </is>
      </c>
      <c r="B3200" t="inlineStr">
        <is>
          <t>LN200459</t>
        </is>
      </c>
      <c r="C3200" t="n">
        <v>1</v>
      </c>
      <c r="D3200" s="8" t="n">
        <v>45916</v>
      </c>
      <c r="E3200" s="9" t="n">
        <v>3208.75</v>
      </c>
      <c r="F3200" s="8" t="n">
        <v>45917</v>
      </c>
      <c r="G3200" s="9" t="n">
        <v>3208.75</v>
      </c>
      <c r="H3200" t="inlineStr">
        <is>
          <t>PAID_ON_TIME</t>
        </is>
      </c>
      <c r="I3200">
        <f>IF(H3200="UNPAID", AsOfDate-D3200, 0)</f>
        <v/>
      </c>
      <c r="J3200">
        <f>IF(F3200&lt;&gt;"", TEXT(F3200, "yyyy-mm"), "")</f>
        <v/>
      </c>
    </row>
    <row r="3201">
      <c r="A3201" t="inlineStr">
        <is>
          <t>RP0003200</t>
        </is>
      </c>
      <c r="B3201" t="inlineStr">
        <is>
          <t>LN200459</t>
        </is>
      </c>
      <c r="C3201" t="n">
        <v>2</v>
      </c>
      <c r="D3201" s="8" t="n">
        <v>45946</v>
      </c>
      <c r="E3201" s="9" t="n">
        <v>3208.75</v>
      </c>
      <c r="F3201" s="8" t="n">
        <v>45945</v>
      </c>
      <c r="G3201" s="9" t="n">
        <v>3208.75</v>
      </c>
      <c r="H3201" t="inlineStr">
        <is>
          <t>PAID_ON_TIME</t>
        </is>
      </c>
      <c r="I3201">
        <f>IF(H3201="UNPAID", AsOfDate-D3201, 0)</f>
        <v/>
      </c>
      <c r="J3201">
        <f>IF(F3201&lt;&gt;"", TEXT(F3201, "yyyy-mm"), "")</f>
        <v/>
      </c>
    </row>
    <row r="3202">
      <c r="A3202" t="inlineStr">
        <is>
          <t>RP0003201</t>
        </is>
      </c>
      <c r="B3202" t="inlineStr">
        <is>
          <t>LN200459</t>
        </is>
      </c>
      <c r="C3202" t="n">
        <v>3</v>
      </c>
      <c r="D3202" s="8" t="n">
        <v>45977</v>
      </c>
      <c r="E3202" s="9" t="n">
        <v>3208.75</v>
      </c>
      <c r="F3202" s="8" t="n">
        <v>45981</v>
      </c>
      <c r="G3202" s="9" t="n">
        <v>3208.75</v>
      </c>
      <c r="H3202" t="inlineStr">
        <is>
          <t>PAID_ON_TIME</t>
        </is>
      </c>
      <c r="I3202">
        <f>IF(H3202="UNPAID", AsOfDate-D3202, 0)</f>
        <v/>
      </c>
      <c r="J3202">
        <f>IF(F3202&lt;&gt;"", TEXT(F3202, "yyyy-mm"), "")</f>
        <v/>
      </c>
    </row>
    <row r="3203">
      <c r="A3203" t="inlineStr">
        <is>
          <t>RP0003202</t>
        </is>
      </c>
      <c r="B3203" t="inlineStr">
        <is>
          <t>LN200459</t>
        </is>
      </c>
      <c r="C3203" t="n">
        <v>4</v>
      </c>
      <c r="D3203" s="8" t="n">
        <v>46007</v>
      </c>
      <c r="E3203" s="9" t="n">
        <v>3208.75</v>
      </c>
      <c r="F3203" s="8" t="n">
        <v>46009</v>
      </c>
      <c r="G3203" s="9" t="n">
        <v>3208.75</v>
      </c>
      <c r="H3203" t="inlineStr">
        <is>
          <t>PAID_ON_TIME</t>
        </is>
      </c>
      <c r="I3203">
        <f>IF(H3203="UNPAID", AsOfDate-D3203, 0)</f>
        <v/>
      </c>
      <c r="J3203">
        <f>IF(F3203&lt;&gt;"", TEXT(F3203, "yyyy-mm"), "")</f>
        <v/>
      </c>
    </row>
    <row r="3204">
      <c r="A3204" t="inlineStr">
        <is>
          <t>RP0003203</t>
        </is>
      </c>
      <c r="B3204" t="inlineStr">
        <is>
          <t>LN200459</t>
        </is>
      </c>
      <c r="C3204" t="n">
        <v>5</v>
      </c>
      <c r="D3204" s="8" t="n">
        <v>46038</v>
      </c>
      <c r="E3204" s="9" t="n">
        <v>3208.75</v>
      </c>
      <c r="F3204" s="8" t="n">
        <v>46041</v>
      </c>
      <c r="G3204" s="9" t="n">
        <v>3208.75</v>
      </c>
      <c r="H3204" t="inlineStr">
        <is>
          <t>PAID_ON_TIME</t>
        </is>
      </c>
      <c r="I3204">
        <f>IF(H3204="UNPAID", AsOfDate-D3204, 0)</f>
        <v/>
      </c>
      <c r="J3204">
        <f>IF(F3204&lt;&gt;"", TEXT(F3204, "yyyy-mm"), "")</f>
        <v/>
      </c>
    </row>
    <row r="3205">
      <c r="A3205" t="inlineStr">
        <is>
          <t>RP0003204</t>
        </is>
      </c>
      <c r="B3205" t="inlineStr">
        <is>
          <t>LN200459</t>
        </is>
      </c>
      <c r="C3205" t="n">
        <v>6</v>
      </c>
      <c r="D3205" s="8" t="n">
        <v>46069</v>
      </c>
      <c r="E3205" s="9" t="n">
        <v>3208.75</v>
      </c>
      <c r="F3205" s="8" t="n">
        <v>46067</v>
      </c>
      <c r="G3205" s="9" t="n">
        <v>3208.75</v>
      </c>
      <c r="H3205" t="inlineStr">
        <is>
          <t>PAID_ON_TIME</t>
        </is>
      </c>
      <c r="I3205">
        <f>IF(H3205="UNPAID", AsOfDate-D3205, 0)</f>
        <v/>
      </c>
      <c r="J3205">
        <f>IF(F3205&lt;&gt;"", TEXT(F3205, "yyyy-mm"), "")</f>
        <v/>
      </c>
    </row>
    <row r="3206">
      <c r="A3206" t="inlineStr">
        <is>
          <t>RP0003205</t>
        </is>
      </c>
      <c r="B3206" t="inlineStr">
        <is>
          <t>LN200459</t>
        </is>
      </c>
      <c r="C3206" t="n">
        <v>7</v>
      </c>
      <c r="D3206" s="8" t="n">
        <v>46097</v>
      </c>
      <c r="E3206" s="9" t="n">
        <v>3208.75</v>
      </c>
      <c r="F3206" s="8" t="n">
        <v>46101</v>
      </c>
      <c r="G3206" s="9" t="n">
        <v>3208.75</v>
      </c>
      <c r="H3206" t="inlineStr">
        <is>
          <t>PAID_ON_TIME</t>
        </is>
      </c>
      <c r="I3206">
        <f>IF(H3206="UNPAID", AsOfDate-D3206, 0)</f>
        <v/>
      </c>
      <c r="J3206">
        <f>IF(F3206&lt;&gt;"", TEXT(F3206, "yyyy-mm"), "")</f>
        <v/>
      </c>
    </row>
    <row r="3207">
      <c r="A3207" t="inlineStr">
        <is>
          <t>RP0003206</t>
        </is>
      </c>
      <c r="B3207" t="inlineStr">
        <is>
          <t>LN200459</t>
        </is>
      </c>
      <c r="C3207" t="n">
        <v>8</v>
      </c>
      <c r="D3207" s="8" t="n">
        <v>46128</v>
      </c>
      <c r="E3207" s="9" t="n">
        <v>3208.75</v>
      </c>
      <c r="F3207" s="8" t="n">
        <v>46128</v>
      </c>
      <c r="G3207" s="9" t="n">
        <v>3208.75</v>
      </c>
      <c r="H3207" t="inlineStr">
        <is>
          <t>PAID_ON_TIME</t>
        </is>
      </c>
      <c r="I3207">
        <f>IF(H3207="UNPAID", AsOfDate-D3207, 0)</f>
        <v/>
      </c>
      <c r="J3207">
        <f>IF(F3207&lt;&gt;"", TEXT(F3207, "yyyy-mm"), "")</f>
        <v/>
      </c>
    </row>
    <row r="3208">
      <c r="A3208" t="inlineStr">
        <is>
          <t>RP0003207</t>
        </is>
      </c>
      <c r="B3208" t="inlineStr">
        <is>
          <t>LN200459</t>
        </is>
      </c>
      <c r="C3208" t="n">
        <v>9</v>
      </c>
      <c r="D3208" s="8" t="n">
        <v>46158</v>
      </c>
      <c r="E3208" s="9" t="n">
        <v>3208.75</v>
      </c>
      <c r="F3208" s="8" t="n">
        <v>46162</v>
      </c>
      <c r="G3208" s="9" t="n">
        <v>3208.75</v>
      </c>
      <c r="H3208" t="inlineStr">
        <is>
          <t>PAID_ON_TIME</t>
        </is>
      </c>
      <c r="I3208">
        <f>IF(H3208="UNPAID", AsOfDate-D3208, 0)</f>
        <v/>
      </c>
      <c r="J3208">
        <f>IF(F3208&lt;&gt;"", TEXT(F3208, "yyyy-mm"), "")</f>
        <v/>
      </c>
    </row>
    <row r="3209">
      <c r="A3209" t="inlineStr">
        <is>
          <t>RP0003208</t>
        </is>
      </c>
      <c r="B3209" t="inlineStr">
        <is>
          <t>LN200459</t>
        </is>
      </c>
      <c r="C3209" t="n">
        <v>10</v>
      </c>
      <c r="D3209" s="8" t="n">
        <v>46189</v>
      </c>
      <c r="E3209" s="9" t="n">
        <v>3208.75</v>
      </c>
      <c r="F3209" s="8" t="n">
        <v>46189</v>
      </c>
      <c r="G3209" s="9" t="n">
        <v>3208.75</v>
      </c>
      <c r="H3209" t="inlineStr">
        <is>
          <t>PAID_ON_TIME</t>
        </is>
      </c>
      <c r="I3209">
        <f>IF(H3209="UNPAID", AsOfDate-D3209, 0)</f>
        <v/>
      </c>
      <c r="J3209">
        <f>IF(F3209&lt;&gt;"", TEXT(F3209, "yyyy-mm"), "")</f>
        <v/>
      </c>
    </row>
    <row r="3210">
      <c r="A3210" t="inlineStr">
        <is>
          <t>RP0003209</t>
        </is>
      </c>
      <c r="B3210" t="inlineStr">
        <is>
          <t>LN200459</t>
        </is>
      </c>
      <c r="C3210" t="n">
        <v>11</v>
      </c>
      <c r="D3210" s="8" t="n">
        <v>46219</v>
      </c>
      <c r="E3210" s="9" t="n">
        <v>3208.75</v>
      </c>
      <c r="F3210" s="8" t="n">
        <v>46222</v>
      </c>
      <c r="G3210" s="9" t="n">
        <v>3208.75</v>
      </c>
      <c r="H3210" t="inlineStr">
        <is>
          <t>PAID_ON_TIME</t>
        </is>
      </c>
      <c r="I3210">
        <f>IF(H3210="UNPAID", AsOfDate-D3210, 0)</f>
        <v/>
      </c>
      <c r="J3210">
        <f>IF(F3210&lt;&gt;"", TEXT(F3210, "yyyy-mm"), "")</f>
        <v/>
      </c>
    </row>
    <row r="3211">
      <c r="A3211" t="inlineStr">
        <is>
          <t>RP0003210</t>
        </is>
      </c>
      <c r="B3211" t="inlineStr">
        <is>
          <t>LN200459</t>
        </is>
      </c>
      <c r="C3211" t="n">
        <v>12</v>
      </c>
      <c r="D3211" s="8" t="n">
        <v>46250</v>
      </c>
      <c r="E3211" s="9" t="n">
        <v>3208.75</v>
      </c>
      <c r="F3211" s="8" t="n">
        <v>46253</v>
      </c>
      <c r="G3211" s="9" t="n">
        <v>3208.75</v>
      </c>
      <c r="H3211" t="inlineStr">
        <is>
          <t>PAID_ON_TIME</t>
        </is>
      </c>
      <c r="I3211">
        <f>IF(H3211="UNPAID", AsOfDate-D3211, 0)</f>
        <v/>
      </c>
      <c r="J3211">
        <f>IF(F3211&lt;&gt;"", TEXT(F3211, "yyyy-mm"), "")</f>
        <v/>
      </c>
    </row>
    <row r="3212">
      <c r="A3212" t="inlineStr">
        <is>
          <t>RP0003211</t>
        </is>
      </c>
      <c r="B3212" t="inlineStr">
        <is>
          <t>LN200459</t>
        </is>
      </c>
      <c r="C3212" t="n">
        <v>13</v>
      </c>
      <c r="D3212" s="8" t="n">
        <v>46281</v>
      </c>
      <c r="E3212" s="9" t="n">
        <v>3208.75</v>
      </c>
      <c r="F3212" s="8" t="n"/>
      <c r="G3212" s="9" t="n">
        <v>0</v>
      </c>
      <c r="H3212" t="inlineStr">
        <is>
          <t>NOT_DUE</t>
        </is>
      </c>
      <c r="I3212">
        <f>IF(H3212="UNPAID", AsOfDate-D3212, 0)</f>
        <v/>
      </c>
      <c r="J3212">
        <f>IF(F3212&lt;&gt;"", TEXT(F3212, "yyyy-mm"), "")</f>
        <v/>
      </c>
    </row>
    <row r="3213">
      <c r="A3213" t="inlineStr">
        <is>
          <t>RP0003212</t>
        </is>
      </c>
      <c r="B3213" t="inlineStr">
        <is>
          <t>LN200459</t>
        </is>
      </c>
      <c r="C3213" t="n">
        <v>14</v>
      </c>
      <c r="D3213" s="8" t="n">
        <v>46311</v>
      </c>
      <c r="E3213" s="9" t="n">
        <v>3208.75</v>
      </c>
      <c r="F3213" s="8" t="n"/>
      <c r="G3213" s="9" t="n">
        <v>0</v>
      </c>
      <c r="H3213" t="inlineStr">
        <is>
          <t>NOT_DUE</t>
        </is>
      </c>
      <c r="I3213">
        <f>IF(H3213="UNPAID", AsOfDate-D3213, 0)</f>
        <v/>
      </c>
      <c r="J3213">
        <f>IF(F3213&lt;&gt;"", TEXT(F3213, "yyyy-mm"), "")</f>
        <v/>
      </c>
    </row>
    <row r="3214">
      <c r="A3214" t="inlineStr">
        <is>
          <t>RP0003213</t>
        </is>
      </c>
      <c r="B3214" t="inlineStr">
        <is>
          <t>LN200459</t>
        </is>
      </c>
      <c r="C3214" t="n">
        <v>15</v>
      </c>
      <c r="D3214" s="8" t="n">
        <v>46342</v>
      </c>
      <c r="E3214" s="9" t="n">
        <v>3208.75</v>
      </c>
      <c r="F3214" s="8" t="n"/>
      <c r="G3214" s="9" t="n">
        <v>0</v>
      </c>
      <c r="H3214" t="inlineStr">
        <is>
          <t>NOT_DUE</t>
        </is>
      </c>
      <c r="I3214">
        <f>IF(H3214="UNPAID", AsOfDate-D3214, 0)</f>
        <v/>
      </c>
      <c r="J3214">
        <f>IF(F3214&lt;&gt;"", TEXT(F3214, "yyyy-mm"), "")</f>
        <v/>
      </c>
    </row>
    <row r="3215">
      <c r="A3215" t="inlineStr">
        <is>
          <t>RP0003214</t>
        </is>
      </c>
      <c r="B3215" t="inlineStr">
        <is>
          <t>LN200459</t>
        </is>
      </c>
      <c r="C3215" t="n">
        <v>16</v>
      </c>
      <c r="D3215" s="8" t="n">
        <v>46372</v>
      </c>
      <c r="E3215" s="9" t="n">
        <v>3208.75</v>
      </c>
      <c r="F3215" s="8" t="n"/>
      <c r="G3215" s="9" t="n">
        <v>0</v>
      </c>
      <c r="H3215" t="inlineStr">
        <is>
          <t>NOT_DUE</t>
        </is>
      </c>
      <c r="I3215">
        <f>IF(H3215="UNPAID", AsOfDate-D3215, 0)</f>
        <v/>
      </c>
      <c r="J3215">
        <f>IF(F3215&lt;&gt;"", TEXT(F3215, "yyyy-mm"), "")</f>
        <v/>
      </c>
    </row>
    <row r="3216">
      <c r="A3216" t="inlineStr">
        <is>
          <t>RP0003215</t>
        </is>
      </c>
      <c r="B3216" t="inlineStr">
        <is>
          <t>LN200459</t>
        </is>
      </c>
      <c r="C3216" t="n">
        <v>17</v>
      </c>
      <c r="D3216" s="8" t="n">
        <v>46403</v>
      </c>
      <c r="E3216" s="9" t="n">
        <v>3208.75</v>
      </c>
      <c r="F3216" s="8" t="n"/>
      <c r="G3216" s="9" t="n">
        <v>0</v>
      </c>
      <c r="H3216" t="inlineStr">
        <is>
          <t>NOT_DUE</t>
        </is>
      </c>
      <c r="I3216">
        <f>IF(H3216="UNPAID", AsOfDate-D3216, 0)</f>
        <v/>
      </c>
      <c r="J3216">
        <f>IF(F3216&lt;&gt;"", TEXT(F3216, "yyyy-mm"), "")</f>
        <v/>
      </c>
    </row>
    <row r="3217">
      <c r="A3217" t="inlineStr">
        <is>
          <t>RP0003216</t>
        </is>
      </c>
      <c r="B3217" t="inlineStr">
        <is>
          <t>LN200459</t>
        </is>
      </c>
      <c r="C3217" t="n">
        <v>18</v>
      </c>
      <c r="D3217" s="8" t="n">
        <v>46434</v>
      </c>
      <c r="E3217" s="9" t="n">
        <v>3208.75</v>
      </c>
      <c r="F3217" s="8" t="n"/>
      <c r="G3217" s="9" t="n">
        <v>0</v>
      </c>
      <c r="H3217" t="inlineStr">
        <is>
          <t>NOT_DUE</t>
        </is>
      </c>
      <c r="I3217">
        <f>IF(H3217="UNPAID", AsOfDate-D3217, 0)</f>
        <v/>
      </c>
      <c r="J3217">
        <f>IF(F3217&lt;&gt;"", TEXT(F3217, "yyyy-mm"), "")</f>
        <v/>
      </c>
    </row>
    <row r="3218">
      <c r="A3218" t="inlineStr">
        <is>
          <t>RP0003217</t>
        </is>
      </c>
      <c r="B3218" t="inlineStr">
        <is>
          <t>LN200460</t>
        </is>
      </c>
      <c r="C3218" t="n">
        <v>1</v>
      </c>
      <c r="D3218" s="8" t="n">
        <v>46163</v>
      </c>
      <c r="E3218" s="9" t="n">
        <v>15089.42</v>
      </c>
      <c r="F3218" s="8" t="n">
        <v>46161</v>
      </c>
      <c r="G3218" s="9" t="n">
        <v>15089.42</v>
      </c>
      <c r="H3218" t="inlineStr">
        <is>
          <t>PAID_ON_TIME</t>
        </is>
      </c>
      <c r="I3218">
        <f>IF(H3218="UNPAID", AsOfDate-D3218, 0)</f>
        <v/>
      </c>
      <c r="J3218">
        <f>IF(F3218&lt;&gt;"", TEXT(F3218, "yyyy-mm"), "")</f>
        <v/>
      </c>
    </row>
    <row r="3219">
      <c r="A3219" t="inlineStr">
        <is>
          <t>RP0003218</t>
        </is>
      </c>
      <c r="B3219" t="inlineStr">
        <is>
          <t>LN200460</t>
        </is>
      </c>
      <c r="C3219" t="n">
        <v>2</v>
      </c>
      <c r="D3219" s="8" t="n">
        <v>46194</v>
      </c>
      <c r="E3219" s="9" t="n">
        <v>15089.42</v>
      </c>
      <c r="F3219" s="8" t="n">
        <v>46198</v>
      </c>
      <c r="G3219" s="9" t="n">
        <v>15089.42</v>
      </c>
      <c r="H3219" t="inlineStr">
        <is>
          <t>PAID_ON_TIME</t>
        </is>
      </c>
      <c r="I3219">
        <f>IF(H3219="UNPAID", AsOfDate-D3219, 0)</f>
        <v/>
      </c>
      <c r="J3219">
        <f>IF(F3219&lt;&gt;"", TEXT(F3219, "yyyy-mm"), "")</f>
        <v/>
      </c>
    </row>
    <row r="3220">
      <c r="A3220" t="inlineStr">
        <is>
          <t>RP0003219</t>
        </is>
      </c>
      <c r="B3220" t="inlineStr">
        <is>
          <t>LN200460</t>
        </is>
      </c>
      <c r="C3220" t="n">
        <v>3</v>
      </c>
      <c r="D3220" s="8" t="n">
        <v>46224</v>
      </c>
      <c r="E3220" s="9" t="n">
        <v>15089.42</v>
      </c>
      <c r="F3220" s="8" t="n">
        <v>46225</v>
      </c>
      <c r="G3220" s="9" t="n">
        <v>15089.42</v>
      </c>
      <c r="H3220" t="inlineStr">
        <is>
          <t>PAID_ON_TIME</t>
        </is>
      </c>
      <c r="I3220">
        <f>IF(H3220="UNPAID", AsOfDate-D3220, 0)</f>
        <v/>
      </c>
      <c r="J3220">
        <f>IF(F3220&lt;&gt;"", TEXT(F3220, "yyyy-mm"), "")</f>
        <v/>
      </c>
    </row>
    <row r="3221">
      <c r="A3221" t="inlineStr">
        <is>
          <t>RP0003220</t>
        </is>
      </c>
      <c r="B3221" t="inlineStr">
        <is>
          <t>LN200461</t>
        </is>
      </c>
      <c r="C3221" t="n">
        <v>1</v>
      </c>
      <c r="D3221" s="8" t="n">
        <v>45710</v>
      </c>
      <c r="E3221" s="9" t="n">
        <v>191170.83</v>
      </c>
      <c r="F3221" s="8" t="n">
        <v>45817</v>
      </c>
      <c r="G3221" s="9" t="n">
        <v>191170.83</v>
      </c>
      <c r="H3221" t="inlineStr">
        <is>
          <t>PAID_LATE</t>
        </is>
      </c>
      <c r="I3221">
        <f>IF(H3221="UNPAID", AsOfDate-D3221, 0)</f>
        <v/>
      </c>
      <c r="J3221">
        <f>IF(F3221&lt;&gt;"", TEXT(F3221, "yyyy-mm"), "")</f>
        <v/>
      </c>
    </row>
    <row r="3222">
      <c r="A3222" t="inlineStr">
        <is>
          <t>RP0003221</t>
        </is>
      </c>
      <c r="B3222" t="inlineStr">
        <is>
          <t>LN200461</t>
        </is>
      </c>
      <c r="C3222" t="n">
        <v>2</v>
      </c>
      <c r="D3222" s="8" t="n">
        <v>45738</v>
      </c>
      <c r="E3222" s="9" t="n">
        <v>191170.83</v>
      </c>
      <c r="F3222" s="8" t="n">
        <v>45740</v>
      </c>
      <c r="G3222" s="9" t="n">
        <v>191170.83</v>
      </c>
      <c r="H3222" t="inlineStr">
        <is>
          <t>PAID_ON_TIME</t>
        </is>
      </c>
      <c r="I3222">
        <f>IF(H3222="UNPAID", AsOfDate-D3222, 0)</f>
        <v/>
      </c>
      <c r="J3222">
        <f>IF(F3222&lt;&gt;"", TEXT(F3222, "yyyy-mm"), "")</f>
        <v/>
      </c>
    </row>
    <row r="3223">
      <c r="A3223" t="inlineStr">
        <is>
          <t>RP0003222</t>
        </is>
      </c>
      <c r="B3223" t="inlineStr">
        <is>
          <t>LN200461</t>
        </is>
      </c>
      <c r="C3223" t="n">
        <v>3</v>
      </c>
      <c r="D3223" s="8" t="n">
        <v>45769</v>
      </c>
      <c r="E3223" s="9" t="n">
        <v>191170.83</v>
      </c>
      <c r="F3223" s="8" t="n">
        <v>45771</v>
      </c>
      <c r="G3223" s="9" t="n">
        <v>191170.83</v>
      </c>
      <c r="H3223" t="inlineStr">
        <is>
          <t>PAID_ON_TIME</t>
        </is>
      </c>
      <c r="I3223">
        <f>IF(H3223="UNPAID", AsOfDate-D3223, 0)</f>
        <v/>
      </c>
      <c r="J3223">
        <f>IF(F3223&lt;&gt;"", TEXT(F3223, "yyyy-mm"), "")</f>
        <v/>
      </c>
    </row>
    <row r="3224">
      <c r="A3224" t="inlineStr">
        <is>
          <t>RP0003223</t>
        </is>
      </c>
      <c r="B3224" t="inlineStr">
        <is>
          <t>LN200462</t>
        </is>
      </c>
      <c r="C3224" t="n">
        <v>1</v>
      </c>
      <c r="D3224" s="8" t="n">
        <v>45903</v>
      </c>
      <c r="E3224" s="9" t="n">
        <v>10745</v>
      </c>
      <c r="F3224" s="8" t="n">
        <v>45905</v>
      </c>
      <c r="G3224" s="9" t="n">
        <v>10745</v>
      </c>
      <c r="H3224" t="inlineStr">
        <is>
          <t>PAID_ON_TIME</t>
        </is>
      </c>
      <c r="I3224">
        <f>IF(H3224="UNPAID", AsOfDate-D3224, 0)</f>
        <v/>
      </c>
      <c r="J3224">
        <f>IF(F3224&lt;&gt;"", TEXT(F3224, "yyyy-mm"), "")</f>
        <v/>
      </c>
    </row>
    <row r="3225">
      <c r="A3225" t="inlineStr">
        <is>
          <t>RP0003224</t>
        </is>
      </c>
      <c r="B3225" t="inlineStr">
        <is>
          <t>LN200462</t>
        </is>
      </c>
      <c r="C3225" t="n">
        <v>2</v>
      </c>
      <c r="D3225" s="8" t="n">
        <v>45933</v>
      </c>
      <c r="E3225" s="9" t="n">
        <v>10745</v>
      </c>
      <c r="F3225" s="8" t="n">
        <v>45936</v>
      </c>
      <c r="G3225" s="9" t="n">
        <v>10745</v>
      </c>
      <c r="H3225" t="inlineStr">
        <is>
          <t>PAID_ON_TIME</t>
        </is>
      </c>
      <c r="I3225">
        <f>IF(H3225="UNPAID", AsOfDate-D3225, 0)</f>
        <v/>
      </c>
      <c r="J3225">
        <f>IF(F3225&lt;&gt;"", TEXT(F3225, "yyyy-mm"), "")</f>
        <v/>
      </c>
    </row>
    <row r="3226">
      <c r="A3226" t="inlineStr">
        <is>
          <t>RP0003225</t>
        </is>
      </c>
      <c r="B3226" t="inlineStr">
        <is>
          <t>LN200462</t>
        </is>
      </c>
      <c r="C3226" t="n">
        <v>3</v>
      </c>
      <c r="D3226" s="8" t="n">
        <v>45964</v>
      </c>
      <c r="E3226" s="9" t="n">
        <v>10745</v>
      </c>
      <c r="F3226" s="8" t="n">
        <v>46079</v>
      </c>
      <c r="G3226" s="9" t="n">
        <v>10745</v>
      </c>
      <c r="H3226" t="inlineStr">
        <is>
          <t>PAID_LATE</t>
        </is>
      </c>
      <c r="I3226">
        <f>IF(H3226="UNPAID", AsOfDate-D3226, 0)</f>
        <v/>
      </c>
      <c r="J3226">
        <f>IF(F3226&lt;&gt;"", TEXT(F3226, "yyyy-mm"), "")</f>
        <v/>
      </c>
    </row>
    <row r="3227">
      <c r="A3227" t="inlineStr">
        <is>
          <t>RP0003226</t>
        </is>
      </c>
      <c r="B3227" t="inlineStr">
        <is>
          <t>LN200462</t>
        </is>
      </c>
      <c r="C3227" t="n">
        <v>4</v>
      </c>
      <c r="D3227" s="8" t="n">
        <v>45994</v>
      </c>
      <c r="E3227" s="9" t="n">
        <v>10745</v>
      </c>
      <c r="F3227" s="8" t="n">
        <v>46067</v>
      </c>
      <c r="G3227" s="9" t="n">
        <v>10745</v>
      </c>
      <c r="H3227" t="inlineStr">
        <is>
          <t>PAID_LATE</t>
        </is>
      </c>
      <c r="I3227">
        <f>IF(H3227="UNPAID", AsOfDate-D3227, 0)</f>
        <v/>
      </c>
      <c r="J3227">
        <f>IF(F3227&lt;&gt;"", TEXT(F3227, "yyyy-mm"), "")</f>
        <v/>
      </c>
    </row>
    <row r="3228">
      <c r="A3228" t="inlineStr">
        <is>
          <t>RP0003227</t>
        </is>
      </c>
      <c r="B3228" t="inlineStr">
        <is>
          <t>LN200462</t>
        </is>
      </c>
      <c r="C3228" t="n">
        <v>5</v>
      </c>
      <c r="D3228" s="8" t="n">
        <v>46025</v>
      </c>
      <c r="E3228" s="9" t="n">
        <v>10745</v>
      </c>
      <c r="F3228" s="8" t="n">
        <v>46022</v>
      </c>
      <c r="G3228" s="9" t="n">
        <v>10745</v>
      </c>
      <c r="H3228" t="inlineStr">
        <is>
          <t>PAID_ON_TIME</t>
        </is>
      </c>
      <c r="I3228">
        <f>IF(H3228="UNPAID", AsOfDate-D3228, 0)</f>
        <v/>
      </c>
      <c r="J3228">
        <f>IF(F3228&lt;&gt;"", TEXT(F3228, "yyyy-mm"), "")</f>
        <v/>
      </c>
    </row>
    <row r="3229">
      <c r="A3229" t="inlineStr">
        <is>
          <t>RP0003228</t>
        </is>
      </c>
      <c r="B3229" t="inlineStr">
        <is>
          <t>LN200462</t>
        </is>
      </c>
      <c r="C3229" t="n">
        <v>6</v>
      </c>
      <c r="D3229" s="8" t="n">
        <v>46056</v>
      </c>
      <c r="E3229" s="9" t="n">
        <v>10745</v>
      </c>
      <c r="F3229" s="8" t="n">
        <v>46057</v>
      </c>
      <c r="G3229" s="9" t="n">
        <v>10745</v>
      </c>
      <c r="H3229" t="inlineStr">
        <is>
          <t>PAID_ON_TIME</t>
        </is>
      </c>
      <c r="I3229">
        <f>IF(H3229="UNPAID", AsOfDate-D3229, 0)</f>
        <v/>
      </c>
      <c r="J3229">
        <f>IF(F3229&lt;&gt;"", TEXT(F3229, "yyyy-mm"), "")</f>
        <v/>
      </c>
    </row>
    <row r="3230">
      <c r="A3230" t="inlineStr">
        <is>
          <t>RP0003229</t>
        </is>
      </c>
      <c r="B3230" t="inlineStr">
        <is>
          <t>LN200463</t>
        </is>
      </c>
      <c r="C3230" t="n">
        <v>1</v>
      </c>
      <c r="D3230" s="8" t="n">
        <v>46037</v>
      </c>
      <c r="E3230" s="9" t="n">
        <v>37215</v>
      </c>
      <c r="F3230" s="8" t="n">
        <v>46034</v>
      </c>
      <c r="G3230" s="9" t="n">
        <v>37215</v>
      </c>
      <c r="H3230" t="inlineStr">
        <is>
          <t>PAID_ON_TIME</t>
        </is>
      </c>
      <c r="I3230">
        <f>IF(H3230="UNPAID", AsOfDate-D3230, 0)</f>
        <v/>
      </c>
      <c r="J3230">
        <f>IF(F3230&lt;&gt;"", TEXT(F3230, "yyyy-mm"), "")</f>
        <v/>
      </c>
    </row>
    <row r="3231">
      <c r="A3231" t="inlineStr">
        <is>
          <t>RP0003230</t>
        </is>
      </c>
      <c r="B3231" t="inlineStr">
        <is>
          <t>LN200463</t>
        </is>
      </c>
      <c r="C3231" t="n">
        <v>2</v>
      </c>
      <c r="D3231" s="8" t="n">
        <v>46068</v>
      </c>
      <c r="E3231" s="9" t="n">
        <v>37215</v>
      </c>
      <c r="F3231" s="8" t="n">
        <v>46067</v>
      </c>
      <c r="G3231" s="9" t="n">
        <v>37215</v>
      </c>
      <c r="H3231" t="inlineStr">
        <is>
          <t>PAID_ON_TIME</t>
        </is>
      </c>
      <c r="I3231">
        <f>IF(H3231="UNPAID", AsOfDate-D3231, 0)</f>
        <v/>
      </c>
      <c r="J3231">
        <f>IF(F3231&lt;&gt;"", TEXT(F3231, "yyyy-mm"), "")</f>
        <v/>
      </c>
    </row>
    <row r="3232">
      <c r="A3232" t="inlineStr">
        <is>
          <t>RP0003231</t>
        </is>
      </c>
      <c r="B3232" t="inlineStr">
        <is>
          <t>LN200463</t>
        </is>
      </c>
      <c r="C3232" t="n">
        <v>3</v>
      </c>
      <c r="D3232" s="8" t="n">
        <v>46096</v>
      </c>
      <c r="E3232" s="9" t="n">
        <v>37215</v>
      </c>
      <c r="F3232" s="8" t="n">
        <v>46099</v>
      </c>
      <c r="G3232" s="9" t="n">
        <v>37215</v>
      </c>
      <c r="H3232" t="inlineStr">
        <is>
          <t>PAID_ON_TIME</t>
        </is>
      </c>
      <c r="I3232">
        <f>IF(H3232="UNPAID", AsOfDate-D3232, 0)</f>
        <v/>
      </c>
      <c r="J3232">
        <f>IF(F3232&lt;&gt;"", TEXT(F3232, "yyyy-mm"), "")</f>
        <v/>
      </c>
    </row>
    <row r="3233">
      <c r="A3233" t="inlineStr">
        <is>
          <t>RP0003232</t>
        </is>
      </c>
      <c r="B3233" t="inlineStr">
        <is>
          <t>LN200464</t>
        </is>
      </c>
      <c r="C3233" t="n">
        <v>1</v>
      </c>
      <c r="D3233" s="8" t="n">
        <v>46266</v>
      </c>
      <c r="E3233" s="9" t="n">
        <v>8824.08</v>
      </c>
      <c r="F3233" s="8" t="n">
        <v>46269</v>
      </c>
      <c r="G3233" s="9" t="n">
        <v>8824.08</v>
      </c>
      <c r="H3233" t="inlineStr">
        <is>
          <t>PAID_ON_TIME</t>
        </is>
      </c>
      <c r="I3233">
        <f>IF(H3233="UNPAID", AsOfDate-D3233, 0)</f>
        <v/>
      </c>
      <c r="J3233">
        <f>IF(F3233&lt;&gt;"", TEXT(F3233, "yyyy-mm"), "")</f>
        <v/>
      </c>
    </row>
    <row r="3234">
      <c r="A3234" t="inlineStr">
        <is>
          <t>RP0003233</t>
        </is>
      </c>
      <c r="B3234" t="inlineStr">
        <is>
          <t>LN200464</t>
        </is>
      </c>
      <c r="C3234" t="n">
        <v>2</v>
      </c>
      <c r="D3234" s="8" t="n">
        <v>46296</v>
      </c>
      <c r="E3234" s="9" t="n">
        <v>8824.08</v>
      </c>
      <c r="F3234" s="8" t="n"/>
      <c r="G3234" s="9" t="n">
        <v>0</v>
      </c>
      <c r="H3234" t="inlineStr">
        <is>
          <t>NOT_DUE</t>
        </is>
      </c>
      <c r="I3234">
        <f>IF(H3234="UNPAID", AsOfDate-D3234, 0)</f>
        <v/>
      </c>
      <c r="J3234">
        <f>IF(F3234&lt;&gt;"", TEXT(F3234, "yyyy-mm"), "")</f>
        <v/>
      </c>
    </row>
    <row r="3235">
      <c r="A3235" t="inlineStr">
        <is>
          <t>RP0003234</t>
        </is>
      </c>
      <c r="B3235" t="inlineStr">
        <is>
          <t>LN200464</t>
        </is>
      </c>
      <c r="C3235" t="n">
        <v>3</v>
      </c>
      <c r="D3235" s="8" t="n">
        <v>46327</v>
      </c>
      <c r="E3235" s="9" t="n">
        <v>8824.08</v>
      </c>
      <c r="F3235" s="8" t="n"/>
      <c r="G3235" s="9" t="n">
        <v>0</v>
      </c>
      <c r="H3235" t="inlineStr">
        <is>
          <t>NOT_DUE</t>
        </is>
      </c>
      <c r="I3235">
        <f>IF(H3235="UNPAID", AsOfDate-D3235, 0)</f>
        <v/>
      </c>
      <c r="J3235">
        <f>IF(F3235&lt;&gt;"", TEXT(F3235, "yyyy-mm"), "")</f>
        <v/>
      </c>
    </row>
    <row r="3236">
      <c r="A3236" t="inlineStr">
        <is>
          <t>RP0003235</t>
        </is>
      </c>
      <c r="B3236" t="inlineStr">
        <is>
          <t>LN200464</t>
        </is>
      </c>
      <c r="C3236" t="n">
        <v>4</v>
      </c>
      <c r="D3236" s="8" t="n">
        <v>46357</v>
      </c>
      <c r="E3236" s="9" t="n">
        <v>8824.08</v>
      </c>
      <c r="F3236" s="8" t="n"/>
      <c r="G3236" s="9" t="n">
        <v>0</v>
      </c>
      <c r="H3236" t="inlineStr">
        <is>
          <t>NOT_DUE</t>
        </is>
      </c>
      <c r="I3236">
        <f>IF(H3236="UNPAID", AsOfDate-D3236, 0)</f>
        <v/>
      </c>
      <c r="J3236">
        <f>IF(F3236&lt;&gt;"", TEXT(F3236, "yyyy-mm"), "")</f>
        <v/>
      </c>
    </row>
    <row r="3237">
      <c r="A3237" t="inlineStr">
        <is>
          <t>RP0003236</t>
        </is>
      </c>
      <c r="B3237" t="inlineStr">
        <is>
          <t>LN200464</t>
        </is>
      </c>
      <c r="C3237" t="n">
        <v>5</v>
      </c>
      <c r="D3237" s="8" t="n">
        <v>46388</v>
      </c>
      <c r="E3237" s="9" t="n">
        <v>8824.08</v>
      </c>
      <c r="F3237" s="8" t="n"/>
      <c r="G3237" s="9" t="n">
        <v>0</v>
      </c>
      <c r="H3237" t="inlineStr">
        <is>
          <t>NOT_DUE</t>
        </is>
      </c>
      <c r="I3237">
        <f>IF(H3237="UNPAID", AsOfDate-D3237, 0)</f>
        <v/>
      </c>
      <c r="J3237">
        <f>IF(F3237&lt;&gt;"", TEXT(F3237, "yyyy-mm"), "")</f>
        <v/>
      </c>
    </row>
    <row r="3238">
      <c r="A3238" t="inlineStr">
        <is>
          <t>RP0003237</t>
        </is>
      </c>
      <c r="B3238" t="inlineStr">
        <is>
          <t>LN200464</t>
        </is>
      </c>
      <c r="C3238" t="n">
        <v>6</v>
      </c>
      <c r="D3238" s="8" t="n">
        <v>46419</v>
      </c>
      <c r="E3238" s="9" t="n">
        <v>8824.08</v>
      </c>
      <c r="F3238" s="8" t="n"/>
      <c r="G3238" s="9" t="n">
        <v>0</v>
      </c>
      <c r="H3238" t="inlineStr">
        <is>
          <t>NOT_DUE</t>
        </is>
      </c>
      <c r="I3238">
        <f>IF(H3238="UNPAID", AsOfDate-D3238, 0)</f>
        <v/>
      </c>
      <c r="J3238">
        <f>IF(F3238&lt;&gt;"", TEXT(F3238, "yyyy-mm"), "")</f>
        <v/>
      </c>
    </row>
    <row r="3239">
      <c r="A3239" t="inlineStr">
        <is>
          <t>RP0003238</t>
        </is>
      </c>
      <c r="B3239" t="inlineStr">
        <is>
          <t>LN200466</t>
        </is>
      </c>
      <c r="C3239" t="n">
        <v>1</v>
      </c>
      <c r="D3239" s="8" t="n">
        <v>45942</v>
      </c>
      <c r="E3239" s="9" t="n">
        <v>108176.17</v>
      </c>
      <c r="F3239" s="8" t="n">
        <v>45940</v>
      </c>
      <c r="G3239" s="9" t="n">
        <v>108176.17</v>
      </c>
      <c r="H3239" t="inlineStr">
        <is>
          <t>PAID_ON_TIME</t>
        </is>
      </c>
      <c r="I3239">
        <f>IF(H3239="UNPAID", AsOfDate-D3239, 0)</f>
        <v/>
      </c>
      <c r="J3239">
        <f>IF(F3239&lt;&gt;"", TEXT(F3239, "yyyy-mm"), "")</f>
        <v/>
      </c>
    </row>
    <row r="3240">
      <c r="A3240" t="inlineStr">
        <is>
          <t>RP0003239</t>
        </is>
      </c>
      <c r="B3240" t="inlineStr">
        <is>
          <t>LN200466</t>
        </is>
      </c>
      <c r="C3240" t="n">
        <v>2</v>
      </c>
      <c r="D3240" s="8" t="n">
        <v>45973</v>
      </c>
      <c r="E3240" s="9" t="n">
        <v>108176.17</v>
      </c>
      <c r="F3240" s="8" t="n">
        <v>45974</v>
      </c>
      <c r="G3240" s="9" t="n">
        <v>108176.17</v>
      </c>
      <c r="H3240" t="inlineStr">
        <is>
          <t>PAID_ON_TIME</t>
        </is>
      </c>
      <c r="I3240">
        <f>IF(H3240="UNPAID", AsOfDate-D3240, 0)</f>
        <v/>
      </c>
      <c r="J3240">
        <f>IF(F3240&lt;&gt;"", TEXT(F3240, "yyyy-mm"), "")</f>
        <v/>
      </c>
    </row>
    <row r="3241">
      <c r="A3241" t="inlineStr">
        <is>
          <t>RP0003240</t>
        </is>
      </c>
      <c r="B3241" t="inlineStr">
        <is>
          <t>LN200466</t>
        </is>
      </c>
      <c r="C3241" t="n">
        <v>3</v>
      </c>
      <c r="D3241" s="8" t="n">
        <v>46003</v>
      </c>
      <c r="E3241" s="9" t="n">
        <v>108176.17</v>
      </c>
      <c r="F3241" s="8" t="n">
        <v>46005</v>
      </c>
      <c r="G3241" s="9" t="n">
        <v>108176.17</v>
      </c>
      <c r="H3241" t="inlineStr">
        <is>
          <t>PAID_ON_TIME</t>
        </is>
      </c>
      <c r="I3241">
        <f>IF(H3241="UNPAID", AsOfDate-D3241, 0)</f>
        <v/>
      </c>
      <c r="J3241">
        <f>IF(F3241&lt;&gt;"", TEXT(F3241, "yyyy-mm"), "")</f>
        <v/>
      </c>
    </row>
    <row r="3242">
      <c r="A3242" t="inlineStr">
        <is>
          <t>RP0003241</t>
        </is>
      </c>
      <c r="B3242" t="inlineStr">
        <is>
          <t>LN200467</t>
        </is>
      </c>
      <c r="C3242" t="n">
        <v>1</v>
      </c>
      <c r="D3242" s="8" t="n">
        <v>46167</v>
      </c>
      <c r="E3242" s="9" t="n">
        <v>49450.89</v>
      </c>
      <c r="F3242" s="8" t="n">
        <v>46248</v>
      </c>
      <c r="G3242" s="9" t="n">
        <v>49450.89</v>
      </c>
      <c r="H3242" t="inlineStr">
        <is>
          <t>PAID_LATE</t>
        </is>
      </c>
      <c r="I3242">
        <f>IF(H3242="UNPAID", AsOfDate-D3242, 0)</f>
        <v/>
      </c>
      <c r="J3242">
        <f>IF(F3242&lt;&gt;"", TEXT(F3242, "yyyy-mm"), "")</f>
        <v/>
      </c>
    </row>
    <row r="3243">
      <c r="A3243" t="inlineStr">
        <is>
          <t>RP0003242</t>
        </is>
      </c>
      <c r="B3243" t="inlineStr">
        <is>
          <t>LN200467</t>
        </is>
      </c>
      <c r="C3243" t="n">
        <v>2</v>
      </c>
      <c r="D3243" s="8" t="n">
        <v>46198</v>
      </c>
      <c r="E3243" s="9" t="n">
        <v>49450.89</v>
      </c>
      <c r="F3243" s="8" t="n">
        <v>46197</v>
      </c>
      <c r="G3243" s="9" t="n">
        <v>49450.89</v>
      </c>
      <c r="H3243" t="inlineStr">
        <is>
          <t>PAID_ON_TIME</t>
        </is>
      </c>
      <c r="I3243">
        <f>IF(H3243="UNPAID", AsOfDate-D3243, 0)</f>
        <v/>
      </c>
      <c r="J3243">
        <f>IF(F3243&lt;&gt;"", TEXT(F3243, "yyyy-mm"), "")</f>
        <v/>
      </c>
    </row>
    <row r="3244">
      <c r="A3244" t="inlineStr">
        <is>
          <t>RP0003243</t>
        </is>
      </c>
      <c r="B3244" t="inlineStr">
        <is>
          <t>LN200467</t>
        </is>
      </c>
      <c r="C3244" t="n">
        <v>3</v>
      </c>
      <c r="D3244" s="8" t="n">
        <v>46228</v>
      </c>
      <c r="E3244" s="9" t="n">
        <v>49450.89</v>
      </c>
      <c r="F3244" s="8" t="n">
        <v>46225</v>
      </c>
      <c r="G3244" s="9" t="n">
        <v>49450.89</v>
      </c>
      <c r="H3244" t="inlineStr">
        <is>
          <t>PAID_ON_TIME</t>
        </is>
      </c>
      <c r="I3244">
        <f>IF(H3244="UNPAID", AsOfDate-D3244, 0)</f>
        <v/>
      </c>
      <c r="J3244">
        <f>IF(F3244&lt;&gt;"", TEXT(F3244, "yyyy-mm"), "")</f>
        <v/>
      </c>
    </row>
    <row r="3245">
      <c r="A3245" t="inlineStr">
        <is>
          <t>RP0003244</t>
        </is>
      </c>
      <c r="B3245" t="inlineStr">
        <is>
          <t>LN200467</t>
        </is>
      </c>
      <c r="C3245" t="n">
        <v>4</v>
      </c>
      <c r="D3245" s="8" t="n">
        <v>46259</v>
      </c>
      <c r="E3245" s="9" t="n">
        <v>49450.89</v>
      </c>
      <c r="F3245" s="8" t="n">
        <v>46260</v>
      </c>
      <c r="G3245" s="9" t="n">
        <v>49450.89</v>
      </c>
      <c r="H3245" t="inlineStr">
        <is>
          <t>PAID_ON_TIME</t>
        </is>
      </c>
      <c r="I3245">
        <f>IF(H3245="UNPAID", AsOfDate-D3245, 0)</f>
        <v/>
      </c>
      <c r="J3245">
        <f>IF(F3245&lt;&gt;"", TEXT(F3245, "yyyy-mm"), "")</f>
        <v/>
      </c>
    </row>
    <row r="3246">
      <c r="A3246" t="inlineStr">
        <is>
          <t>RP0003245</t>
        </is>
      </c>
      <c r="B3246" t="inlineStr">
        <is>
          <t>LN200467</t>
        </is>
      </c>
      <c r="C3246" t="n">
        <v>5</v>
      </c>
      <c r="D3246" s="8" t="n">
        <v>46290</v>
      </c>
      <c r="E3246" s="9" t="n">
        <v>49450.89</v>
      </c>
      <c r="F3246" s="8" t="n"/>
      <c r="G3246" s="9" t="n">
        <v>0</v>
      </c>
      <c r="H3246" t="inlineStr">
        <is>
          <t>NOT_DUE</t>
        </is>
      </c>
      <c r="I3246">
        <f>IF(H3246="UNPAID", AsOfDate-D3246, 0)</f>
        <v/>
      </c>
      <c r="J3246">
        <f>IF(F3246&lt;&gt;"", TEXT(F3246, "yyyy-mm"), "")</f>
        <v/>
      </c>
    </row>
    <row r="3247">
      <c r="A3247" t="inlineStr">
        <is>
          <t>RP0003246</t>
        </is>
      </c>
      <c r="B3247" t="inlineStr">
        <is>
          <t>LN200467</t>
        </is>
      </c>
      <c r="C3247" t="n">
        <v>6</v>
      </c>
      <c r="D3247" s="8" t="n">
        <v>46320</v>
      </c>
      <c r="E3247" s="9" t="n">
        <v>49450.89</v>
      </c>
      <c r="F3247" s="8" t="n"/>
      <c r="G3247" s="9" t="n">
        <v>0</v>
      </c>
      <c r="H3247" t="inlineStr">
        <is>
          <t>NOT_DUE</t>
        </is>
      </c>
      <c r="I3247">
        <f>IF(H3247="UNPAID", AsOfDate-D3247, 0)</f>
        <v/>
      </c>
      <c r="J3247">
        <f>IF(F3247&lt;&gt;"", TEXT(F3247, "yyyy-mm"), "")</f>
        <v/>
      </c>
    </row>
    <row r="3248">
      <c r="A3248" t="inlineStr">
        <is>
          <t>RP0003247</t>
        </is>
      </c>
      <c r="B3248" t="inlineStr">
        <is>
          <t>LN200467</t>
        </is>
      </c>
      <c r="C3248" t="n">
        <v>7</v>
      </c>
      <c r="D3248" s="8" t="n">
        <v>46351</v>
      </c>
      <c r="E3248" s="9" t="n">
        <v>49450.89</v>
      </c>
      <c r="F3248" s="8" t="n"/>
      <c r="G3248" s="9" t="n">
        <v>0</v>
      </c>
      <c r="H3248" t="inlineStr">
        <is>
          <t>NOT_DUE</t>
        </is>
      </c>
      <c r="I3248">
        <f>IF(H3248="UNPAID", AsOfDate-D3248, 0)</f>
        <v/>
      </c>
      <c r="J3248">
        <f>IF(F3248&lt;&gt;"", TEXT(F3248, "yyyy-mm"), "")</f>
        <v/>
      </c>
    </row>
    <row r="3249">
      <c r="A3249" t="inlineStr">
        <is>
          <t>RP0003248</t>
        </is>
      </c>
      <c r="B3249" t="inlineStr">
        <is>
          <t>LN200467</t>
        </is>
      </c>
      <c r="C3249" t="n">
        <v>8</v>
      </c>
      <c r="D3249" s="8" t="n">
        <v>46381</v>
      </c>
      <c r="E3249" s="9" t="n">
        <v>49450.89</v>
      </c>
      <c r="F3249" s="8" t="n"/>
      <c r="G3249" s="9" t="n">
        <v>0</v>
      </c>
      <c r="H3249" t="inlineStr">
        <is>
          <t>NOT_DUE</t>
        </is>
      </c>
      <c r="I3249">
        <f>IF(H3249="UNPAID", AsOfDate-D3249, 0)</f>
        <v/>
      </c>
      <c r="J3249">
        <f>IF(F3249&lt;&gt;"", TEXT(F3249, "yyyy-mm"), "")</f>
        <v/>
      </c>
    </row>
    <row r="3250">
      <c r="A3250" t="inlineStr">
        <is>
          <t>RP0003249</t>
        </is>
      </c>
      <c r="B3250" t="inlineStr">
        <is>
          <t>LN200467</t>
        </is>
      </c>
      <c r="C3250" t="n">
        <v>9</v>
      </c>
      <c r="D3250" s="8" t="n">
        <v>46412</v>
      </c>
      <c r="E3250" s="9" t="n">
        <v>49450.89</v>
      </c>
      <c r="F3250" s="8" t="n"/>
      <c r="G3250" s="9" t="n">
        <v>0</v>
      </c>
      <c r="H3250" t="inlineStr">
        <is>
          <t>NOT_DUE</t>
        </is>
      </c>
      <c r="I3250">
        <f>IF(H3250="UNPAID", AsOfDate-D3250, 0)</f>
        <v/>
      </c>
      <c r="J3250">
        <f>IF(F3250&lt;&gt;"", TEXT(F3250, "yyyy-mm"), "")</f>
        <v/>
      </c>
    </row>
    <row r="3251">
      <c r="A3251" t="inlineStr">
        <is>
          <t>RP0003250</t>
        </is>
      </c>
      <c r="B3251" t="inlineStr">
        <is>
          <t>LN200468</t>
        </is>
      </c>
      <c r="C3251" t="n">
        <v>1</v>
      </c>
      <c r="D3251" s="8" t="n">
        <v>46265</v>
      </c>
      <c r="E3251" s="9" t="n">
        <v>27583.86</v>
      </c>
      <c r="F3251" s="8" t="n"/>
      <c r="G3251" s="9" t="n">
        <v>0</v>
      </c>
      <c r="H3251" t="inlineStr">
        <is>
          <t>UNPAID</t>
        </is>
      </c>
      <c r="I3251">
        <f>IF(H3251="UNPAID", AsOfDate-D3251, 0)</f>
        <v/>
      </c>
      <c r="J3251">
        <f>IF(F3251&lt;&gt;"", TEXT(F3251, "yyyy-mm"), "")</f>
        <v/>
      </c>
    </row>
    <row r="3252">
      <c r="A3252" t="inlineStr">
        <is>
          <t>RP0003251</t>
        </is>
      </c>
      <c r="B3252" t="inlineStr">
        <is>
          <t>LN200468</t>
        </is>
      </c>
      <c r="C3252" t="n">
        <v>2</v>
      </c>
      <c r="D3252" s="8" t="n">
        <v>46295</v>
      </c>
      <c r="E3252" s="9" t="n">
        <v>27583.86</v>
      </c>
      <c r="F3252" s="8" t="n"/>
      <c r="G3252" s="9" t="n">
        <v>0</v>
      </c>
      <c r="H3252" t="inlineStr">
        <is>
          <t>NOT_DUE</t>
        </is>
      </c>
      <c r="I3252">
        <f>IF(H3252="UNPAID", AsOfDate-D3252, 0)</f>
        <v/>
      </c>
      <c r="J3252">
        <f>IF(F3252&lt;&gt;"", TEXT(F3252, "yyyy-mm"), "")</f>
        <v/>
      </c>
    </row>
    <row r="3253">
      <c r="A3253" t="inlineStr">
        <is>
          <t>RP0003252</t>
        </is>
      </c>
      <c r="B3253" t="inlineStr">
        <is>
          <t>LN200468</t>
        </is>
      </c>
      <c r="C3253" t="n">
        <v>3</v>
      </c>
      <c r="D3253" s="8" t="n">
        <v>46326</v>
      </c>
      <c r="E3253" s="9" t="n">
        <v>27583.86</v>
      </c>
      <c r="F3253" s="8" t="n"/>
      <c r="G3253" s="9" t="n">
        <v>0</v>
      </c>
      <c r="H3253" t="inlineStr">
        <is>
          <t>NOT_DUE</t>
        </is>
      </c>
      <c r="I3253">
        <f>IF(H3253="UNPAID", AsOfDate-D3253, 0)</f>
        <v/>
      </c>
      <c r="J3253">
        <f>IF(F3253&lt;&gt;"", TEXT(F3253, "yyyy-mm"), "")</f>
        <v/>
      </c>
    </row>
    <row r="3254">
      <c r="A3254" t="inlineStr">
        <is>
          <t>RP0003253</t>
        </is>
      </c>
      <c r="B3254" t="inlineStr">
        <is>
          <t>LN200468</t>
        </is>
      </c>
      <c r="C3254" t="n">
        <v>4</v>
      </c>
      <c r="D3254" s="8" t="n">
        <v>46356</v>
      </c>
      <c r="E3254" s="9" t="n">
        <v>27583.86</v>
      </c>
      <c r="F3254" s="8" t="n"/>
      <c r="G3254" s="9" t="n">
        <v>0</v>
      </c>
      <c r="H3254" t="inlineStr">
        <is>
          <t>NOT_DUE</t>
        </is>
      </c>
      <c r="I3254">
        <f>IF(H3254="UNPAID", AsOfDate-D3254, 0)</f>
        <v/>
      </c>
      <c r="J3254">
        <f>IF(F3254&lt;&gt;"", TEXT(F3254, "yyyy-mm"), "")</f>
        <v/>
      </c>
    </row>
    <row r="3255">
      <c r="A3255" t="inlineStr">
        <is>
          <t>RP0003254</t>
        </is>
      </c>
      <c r="B3255" t="inlineStr">
        <is>
          <t>LN200468</t>
        </is>
      </c>
      <c r="C3255" t="n">
        <v>5</v>
      </c>
      <c r="D3255" s="8" t="n">
        <v>46387</v>
      </c>
      <c r="E3255" s="9" t="n">
        <v>27583.86</v>
      </c>
      <c r="F3255" s="8" t="n"/>
      <c r="G3255" s="9" t="n">
        <v>0</v>
      </c>
      <c r="H3255" t="inlineStr">
        <is>
          <t>NOT_DUE</t>
        </is>
      </c>
      <c r="I3255">
        <f>IF(H3255="UNPAID", AsOfDate-D3255, 0)</f>
        <v/>
      </c>
      <c r="J3255">
        <f>IF(F3255&lt;&gt;"", TEXT(F3255, "yyyy-mm"), "")</f>
        <v/>
      </c>
    </row>
    <row r="3256">
      <c r="A3256" t="inlineStr">
        <is>
          <t>RP0003255</t>
        </is>
      </c>
      <c r="B3256" t="inlineStr">
        <is>
          <t>LN200468</t>
        </is>
      </c>
      <c r="C3256" t="n">
        <v>6</v>
      </c>
      <c r="D3256" s="8" t="n">
        <v>46418</v>
      </c>
      <c r="E3256" s="9" t="n">
        <v>27583.86</v>
      </c>
      <c r="F3256" s="8" t="n"/>
      <c r="G3256" s="9" t="n">
        <v>0</v>
      </c>
      <c r="H3256" t="inlineStr">
        <is>
          <t>NOT_DUE</t>
        </is>
      </c>
      <c r="I3256">
        <f>IF(H3256="UNPAID", AsOfDate-D3256, 0)</f>
        <v/>
      </c>
      <c r="J3256">
        <f>IF(F3256&lt;&gt;"", TEXT(F3256, "yyyy-mm"), "")</f>
        <v/>
      </c>
    </row>
    <row r="3257">
      <c r="A3257" t="inlineStr">
        <is>
          <t>RP0003256</t>
        </is>
      </c>
      <c r="B3257" t="inlineStr">
        <is>
          <t>LN200468</t>
        </is>
      </c>
      <c r="C3257" t="n">
        <v>7</v>
      </c>
      <c r="D3257" s="8" t="n">
        <v>46446</v>
      </c>
      <c r="E3257" s="9" t="n">
        <v>27583.86</v>
      </c>
      <c r="F3257" s="8" t="n"/>
      <c r="G3257" s="9" t="n">
        <v>0</v>
      </c>
      <c r="H3257" t="inlineStr">
        <is>
          <t>NOT_DUE</t>
        </is>
      </c>
      <c r="I3257">
        <f>IF(H3257="UNPAID", AsOfDate-D3257, 0)</f>
        <v/>
      </c>
      <c r="J3257">
        <f>IF(F3257&lt;&gt;"", TEXT(F3257, "yyyy-mm"), "")</f>
        <v/>
      </c>
    </row>
    <row r="3258">
      <c r="A3258" t="inlineStr">
        <is>
          <t>RP0003257</t>
        </is>
      </c>
      <c r="B3258" t="inlineStr">
        <is>
          <t>LN200468</t>
        </is>
      </c>
      <c r="C3258" t="n">
        <v>8</v>
      </c>
      <c r="D3258" s="8" t="n">
        <v>46477</v>
      </c>
      <c r="E3258" s="9" t="n">
        <v>27583.86</v>
      </c>
      <c r="F3258" s="8" t="n"/>
      <c r="G3258" s="9" t="n">
        <v>0</v>
      </c>
      <c r="H3258" t="inlineStr">
        <is>
          <t>NOT_DUE</t>
        </is>
      </c>
      <c r="I3258">
        <f>IF(H3258="UNPAID", AsOfDate-D3258, 0)</f>
        <v/>
      </c>
      <c r="J3258">
        <f>IF(F3258&lt;&gt;"", TEXT(F3258, "yyyy-mm"), "")</f>
        <v/>
      </c>
    </row>
    <row r="3259">
      <c r="A3259" t="inlineStr">
        <is>
          <t>RP0003258</t>
        </is>
      </c>
      <c r="B3259" t="inlineStr">
        <is>
          <t>LN200468</t>
        </is>
      </c>
      <c r="C3259" t="n">
        <v>9</v>
      </c>
      <c r="D3259" s="8" t="n">
        <v>46507</v>
      </c>
      <c r="E3259" s="9" t="n">
        <v>27583.86</v>
      </c>
      <c r="F3259" s="8" t="n"/>
      <c r="G3259" s="9" t="n">
        <v>0</v>
      </c>
      <c r="H3259" t="inlineStr">
        <is>
          <t>NOT_DUE</t>
        </is>
      </c>
      <c r="I3259">
        <f>IF(H3259="UNPAID", AsOfDate-D3259, 0)</f>
        <v/>
      </c>
      <c r="J3259">
        <f>IF(F3259&lt;&gt;"", TEXT(F3259, "yyyy-mm"), "")</f>
        <v/>
      </c>
    </row>
    <row r="3260">
      <c r="A3260" t="inlineStr">
        <is>
          <t>RP0003259</t>
        </is>
      </c>
      <c r="B3260" t="inlineStr">
        <is>
          <t>LN200469</t>
        </is>
      </c>
      <c r="C3260" t="n">
        <v>1</v>
      </c>
      <c r="D3260" s="8" t="n">
        <v>46225</v>
      </c>
      <c r="E3260" s="9" t="n">
        <v>10884.67</v>
      </c>
      <c r="F3260" s="8" t="n">
        <v>46222</v>
      </c>
      <c r="G3260" s="9" t="n">
        <v>10884.67</v>
      </c>
      <c r="H3260" t="inlineStr">
        <is>
          <t>PAID_ON_TIME</t>
        </is>
      </c>
      <c r="I3260">
        <f>IF(H3260="UNPAID", AsOfDate-D3260, 0)</f>
        <v/>
      </c>
      <c r="J3260">
        <f>IF(F3260&lt;&gt;"", TEXT(F3260, "yyyy-mm"), "")</f>
        <v/>
      </c>
    </row>
    <row r="3261">
      <c r="A3261" t="inlineStr">
        <is>
          <t>RP0003260</t>
        </is>
      </c>
      <c r="B3261" t="inlineStr">
        <is>
          <t>LN200469</t>
        </is>
      </c>
      <c r="C3261" t="n">
        <v>2</v>
      </c>
      <c r="D3261" s="8" t="n">
        <v>46256</v>
      </c>
      <c r="E3261" s="9" t="n">
        <v>10884.67</v>
      </c>
      <c r="F3261" s="8" t="n">
        <v>46260</v>
      </c>
      <c r="G3261" s="9" t="n">
        <v>10884.67</v>
      </c>
      <c r="H3261" t="inlineStr">
        <is>
          <t>PAID_ON_TIME</t>
        </is>
      </c>
      <c r="I3261">
        <f>IF(H3261="UNPAID", AsOfDate-D3261, 0)</f>
        <v/>
      </c>
      <c r="J3261">
        <f>IF(F3261&lt;&gt;"", TEXT(F3261, "yyyy-mm"), "")</f>
        <v/>
      </c>
    </row>
    <row r="3262">
      <c r="A3262" t="inlineStr">
        <is>
          <t>RP0003261</t>
        </is>
      </c>
      <c r="B3262" t="inlineStr">
        <is>
          <t>LN200469</t>
        </is>
      </c>
      <c r="C3262" t="n">
        <v>3</v>
      </c>
      <c r="D3262" s="8" t="n">
        <v>46287</v>
      </c>
      <c r="E3262" s="9" t="n">
        <v>10884.67</v>
      </c>
      <c r="F3262" s="8" t="n"/>
      <c r="G3262" s="9" t="n">
        <v>0</v>
      </c>
      <c r="H3262" t="inlineStr">
        <is>
          <t>NOT_DUE</t>
        </is>
      </c>
      <c r="I3262">
        <f>IF(H3262="UNPAID", AsOfDate-D3262, 0)</f>
        <v/>
      </c>
      <c r="J3262">
        <f>IF(F3262&lt;&gt;"", TEXT(F3262, "yyyy-mm"), "")</f>
        <v/>
      </c>
    </row>
    <row r="3263">
      <c r="A3263" t="inlineStr">
        <is>
          <t>RP0003262</t>
        </is>
      </c>
      <c r="B3263" t="inlineStr">
        <is>
          <t>LN200469</t>
        </is>
      </c>
      <c r="C3263" t="n">
        <v>4</v>
      </c>
      <c r="D3263" s="8" t="n">
        <v>46317</v>
      </c>
      <c r="E3263" s="9" t="n">
        <v>10884.67</v>
      </c>
      <c r="F3263" s="8" t="n"/>
      <c r="G3263" s="9" t="n">
        <v>0</v>
      </c>
      <c r="H3263" t="inlineStr">
        <is>
          <t>NOT_DUE</t>
        </is>
      </c>
      <c r="I3263">
        <f>IF(H3263="UNPAID", AsOfDate-D3263, 0)</f>
        <v/>
      </c>
      <c r="J3263">
        <f>IF(F3263&lt;&gt;"", TEXT(F3263, "yyyy-mm"), "")</f>
        <v/>
      </c>
    </row>
    <row r="3264">
      <c r="A3264" t="inlineStr">
        <is>
          <t>RP0003263</t>
        </is>
      </c>
      <c r="B3264" t="inlineStr">
        <is>
          <t>LN200469</t>
        </is>
      </c>
      <c r="C3264" t="n">
        <v>5</v>
      </c>
      <c r="D3264" s="8" t="n">
        <v>46348</v>
      </c>
      <c r="E3264" s="9" t="n">
        <v>10884.67</v>
      </c>
      <c r="F3264" s="8" t="n"/>
      <c r="G3264" s="9" t="n">
        <v>0</v>
      </c>
      <c r="H3264" t="inlineStr">
        <is>
          <t>NOT_DUE</t>
        </is>
      </c>
      <c r="I3264">
        <f>IF(H3264="UNPAID", AsOfDate-D3264, 0)</f>
        <v/>
      </c>
      <c r="J3264">
        <f>IF(F3264&lt;&gt;"", TEXT(F3264, "yyyy-mm"), "")</f>
        <v/>
      </c>
    </row>
    <row r="3265">
      <c r="A3265" t="inlineStr">
        <is>
          <t>RP0003264</t>
        </is>
      </c>
      <c r="B3265" t="inlineStr">
        <is>
          <t>LN200469</t>
        </is>
      </c>
      <c r="C3265" t="n">
        <v>6</v>
      </c>
      <c r="D3265" s="8" t="n">
        <v>46378</v>
      </c>
      <c r="E3265" s="9" t="n">
        <v>10884.67</v>
      </c>
      <c r="F3265" s="8" t="n"/>
      <c r="G3265" s="9" t="n">
        <v>0</v>
      </c>
      <c r="H3265" t="inlineStr">
        <is>
          <t>NOT_DUE</t>
        </is>
      </c>
      <c r="I3265">
        <f>IF(H3265="UNPAID", AsOfDate-D3265, 0)</f>
        <v/>
      </c>
      <c r="J3265">
        <f>IF(F3265&lt;&gt;"", TEXT(F3265, "yyyy-mm"), "")</f>
        <v/>
      </c>
    </row>
    <row r="3266">
      <c r="A3266" t="inlineStr">
        <is>
          <t>RP0003265</t>
        </is>
      </c>
      <c r="B3266" t="inlineStr">
        <is>
          <t>LN200469</t>
        </is>
      </c>
      <c r="C3266" t="n">
        <v>7</v>
      </c>
      <c r="D3266" s="8" t="n">
        <v>46409</v>
      </c>
      <c r="E3266" s="9" t="n">
        <v>10884.67</v>
      </c>
      <c r="F3266" s="8" t="n"/>
      <c r="G3266" s="9" t="n">
        <v>0</v>
      </c>
      <c r="H3266" t="inlineStr">
        <is>
          <t>NOT_DUE</t>
        </is>
      </c>
      <c r="I3266">
        <f>IF(H3266="UNPAID", AsOfDate-D3266, 0)</f>
        <v/>
      </c>
      <c r="J3266">
        <f>IF(F3266&lt;&gt;"", TEXT(F3266, "yyyy-mm"), "")</f>
        <v/>
      </c>
    </row>
    <row r="3267">
      <c r="A3267" t="inlineStr">
        <is>
          <t>RP0003266</t>
        </is>
      </c>
      <c r="B3267" t="inlineStr">
        <is>
          <t>LN200469</t>
        </is>
      </c>
      <c r="C3267" t="n">
        <v>8</v>
      </c>
      <c r="D3267" s="8" t="n">
        <v>46440</v>
      </c>
      <c r="E3267" s="9" t="n">
        <v>10884.67</v>
      </c>
      <c r="F3267" s="8" t="n"/>
      <c r="G3267" s="9" t="n">
        <v>0</v>
      </c>
      <c r="H3267" t="inlineStr">
        <is>
          <t>NOT_DUE</t>
        </is>
      </c>
      <c r="I3267">
        <f>IF(H3267="UNPAID", AsOfDate-D3267, 0)</f>
        <v/>
      </c>
      <c r="J3267">
        <f>IF(F3267&lt;&gt;"", TEXT(F3267, "yyyy-mm"), "")</f>
        <v/>
      </c>
    </row>
    <row r="3268">
      <c r="A3268" t="inlineStr">
        <is>
          <t>RP0003267</t>
        </is>
      </c>
      <c r="B3268" t="inlineStr">
        <is>
          <t>LN200469</t>
        </is>
      </c>
      <c r="C3268" t="n">
        <v>9</v>
      </c>
      <c r="D3268" s="8" t="n">
        <v>46468</v>
      </c>
      <c r="E3268" s="9" t="n">
        <v>10884.67</v>
      </c>
      <c r="F3268" s="8" t="n"/>
      <c r="G3268" s="9" t="n">
        <v>0</v>
      </c>
      <c r="H3268" t="inlineStr">
        <is>
          <t>NOT_DUE</t>
        </is>
      </c>
      <c r="I3268">
        <f>IF(H3268="UNPAID", AsOfDate-D3268, 0)</f>
        <v/>
      </c>
      <c r="J3268">
        <f>IF(F3268&lt;&gt;"", TEXT(F3268, "yyyy-mm"), "")</f>
        <v/>
      </c>
    </row>
    <row r="3269">
      <c r="A3269" t="inlineStr">
        <is>
          <t>RP0003268</t>
        </is>
      </c>
      <c r="B3269" t="inlineStr">
        <is>
          <t>LN200471</t>
        </is>
      </c>
      <c r="C3269" t="n">
        <v>1</v>
      </c>
      <c r="D3269" s="8" t="n">
        <v>45906</v>
      </c>
      <c r="E3269" s="9" t="n">
        <v>52384.42</v>
      </c>
      <c r="F3269" s="8" t="n">
        <v>45904</v>
      </c>
      <c r="G3269" s="9" t="n">
        <v>52384.42</v>
      </c>
      <c r="H3269" t="inlineStr">
        <is>
          <t>PAID_ON_TIME</t>
        </is>
      </c>
      <c r="I3269">
        <f>IF(H3269="UNPAID", AsOfDate-D3269, 0)</f>
        <v/>
      </c>
      <c r="J3269">
        <f>IF(F3269&lt;&gt;"", TEXT(F3269, "yyyy-mm"), "")</f>
        <v/>
      </c>
    </row>
    <row r="3270">
      <c r="A3270" t="inlineStr">
        <is>
          <t>RP0003269</t>
        </is>
      </c>
      <c r="B3270" t="inlineStr">
        <is>
          <t>LN200471</t>
        </is>
      </c>
      <c r="C3270" t="n">
        <v>2</v>
      </c>
      <c r="D3270" s="8" t="n">
        <v>45936</v>
      </c>
      <c r="E3270" s="9" t="n">
        <v>52384.42</v>
      </c>
      <c r="F3270" s="8" t="n">
        <v>45935</v>
      </c>
      <c r="G3270" s="9" t="n">
        <v>52384.42</v>
      </c>
      <c r="H3270" t="inlineStr">
        <is>
          <t>PAID_ON_TIME</t>
        </is>
      </c>
      <c r="I3270">
        <f>IF(H3270="UNPAID", AsOfDate-D3270, 0)</f>
        <v/>
      </c>
      <c r="J3270">
        <f>IF(F3270&lt;&gt;"", TEXT(F3270, "yyyy-mm"), "")</f>
        <v/>
      </c>
    </row>
    <row r="3271">
      <c r="A3271" t="inlineStr">
        <is>
          <t>RP0003270</t>
        </is>
      </c>
      <c r="B3271" t="inlineStr">
        <is>
          <t>LN200471</t>
        </is>
      </c>
      <c r="C3271" t="n">
        <v>3</v>
      </c>
      <c r="D3271" s="8" t="n">
        <v>45967</v>
      </c>
      <c r="E3271" s="9" t="n">
        <v>52384.42</v>
      </c>
      <c r="F3271" s="8" t="n">
        <v>45968</v>
      </c>
      <c r="G3271" s="9" t="n">
        <v>52384.42</v>
      </c>
      <c r="H3271" t="inlineStr">
        <is>
          <t>PAID_ON_TIME</t>
        </is>
      </c>
      <c r="I3271">
        <f>IF(H3271="UNPAID", AsOfDate-D3271, 0)</f>
        <v/>
      </c>
      <c r="J3271">
        <f>IF(F3271&lt;&gt;"", TEXT(F3271, "yyyy-mm"), "")</f>
        <v/>
      </c>
    </row>
    <row r="3272">
      <c r="A3272" t="inlineStr">
        <is>
          <t>RP0003271</t>
        </is>
      </c>
      <c r="B3272" t="inlineStr">
        <is>
          <t>LN200472</t>
        </is>
      </c>
      <c r="C3272" t="n">
        <v>1</v>
      </c>
      <c r="D3272" s="8" t="n">
        <v>45930</v>
      </c>
      <c r="E3272" s="9" t="n">
        <v>12136.44</v>
      </c>
      <c r="F3272" s="8" t="n">
        <v>45928</v>
      </c>
      <c r="G3272" s="9" t="n">
        <v>12136.44</v>
      </c>
      <c r="H3272" t="inlineStr">
        <is>
          <t>PAID_ON_TIME</t>
        </is>
      </c>
      <c r="I3272">
        <f>IF(H3272="UNPAID", AsOfDate-D3272, 0)</f>
        <v/>
      </c>
      <c r="J3272">
        <f>IF(F3272&lt;&gt;"", TEXT(F3272, "yyyy-mm"), "")</f>
        <v/>
      </c>
    </row>
    <row r="3273">
      <c r="A3273" t="inlineStr">
        <is>
          <t>RP0003272</t>
        </is>
      </c>
      <c r="B3273" t="inlineStr">
        <is>
          <t>LN200472</t>
        </is>
      </c>
      <c r="C3273" t="n">
        <v>2</v>
      </c>
      <c r="D3273" s="8" t="n">
        <v>45961</v>
      </c>
      <c r="E3273" s="9" t="n">
        <v>12136.44</v>
      </c>
      <c r="F3273" s="8" t="n">
        <v>45965</v>
      </c>
      <c r="G3273" s="9" t="n">
        <v>12136.44</v>
      </c>
      <c r="H3273" t="inlineStr">
        <is>
          <t>PAID_ON_TIME</t>
        </is>
      </c>
      <c r="I3273">
        <f>IF(H3273="UNPAID", AsOfDate-D3273, 0)</f>
        <v/>
      </c>
      <c r="J3273">
        <f>IF(F3273&lt;&gt;"", TEXT(F3273, "yyyy-mm"), "")</f>
        <v/>
      </c>
    </row>
    <row r="3274">
      <c r="A3274" t="inlineStr">
        <is>
          <t>RP0003273</t>
        </is>
      </c>
      <c r="B3274" t="inlineStr">
        <is>
          <t>LN200472</t>
        </is>
      </c>
      <c r="C3274" t="n">
        <v>3</v>
      </c>
      <c r="D3274" s="8" t="n">
        <v>45991</v>
      </c>
      <c r="E3274" s="9" t="n">
        <v>12136.44</v>
      </c>
      <c r="F3274" s="8" t="n"/>
      <c r="G3274" s="9" t="n">
        <v>0</v>
      </c>
      <c r="H3274" t="inlineStr">
        <is>
          <t>UNPAID</t>
        </is>
      </c>
      <c r="I3274">
        <f>IF(H3274="UNPAID", AsOfDate-D3274, 0)</f>
        <v/>
      </c>
      <c r="J3274">
        <f>IF(F3274&lt;&gt;"", TEXT(F3274, "yyyy-mm"), "")</f>
        <v/>
      </c>
    </row>
    <row r="3275">
      <c r="A3275" t="inlineStr">
        <is>
          <t>RP0003274</t>
        </is>
      </c>
      <c r="B3275" t="inlineStr">
        <is>
          <t>LN200472</t>
        </is>
      </c>
      <c r="C3275" t="n">
        <v>4</v>
      </c>
      <c r="D3275" s="8" t="n">
        <v>46022</v>
      </c>
      <c r="E3275" s="9" t="n">
        <v>12136.44</v>
      </c>
      <c r="F3275" s="8" t="n">
        <v>46021</v>
      </c>
      <c r="G3275" s="9" t="n">
        <v>12136.44</v>
      </c>
      <c r="H3275" t="inlineStr">
        <is>
          <t>PAID_ON_TIME</t>
        </is>
      </c>
      <c r="I3275">
        <f>IF(H3275="UNPAID", AsOfDate-D3275, 0)</f>
        <v/>
      </c>
      <c r="J3275">
        <f>IF(F3275&lt;&gt;"", TEXT(F3275, "yyyy-mm"), "")</f>
        <v/>
      </c>
    </row>
    <row r="3276">
      <c r="A3276" t="inlineStr">
        <is>
          <t>RP0003275</t>
        </is>
      </c>
      <c r="B3276" t="inlineStr">
        <is>
          <t>LN200472</t>
        </is>
      </c>
      <c r="C3276" t="n">
        <v>5</v>
      </c>
      <c r="D3276" s="8" t="n">
        <v>46053</v>
      </c>
      <c r="E3276" s="9" t="n">
        <v>12136.44</v>
      </c>
      <c r="F3276" s="8" t="n">
        <v>46053</v>
      </c>
      <c r="G3276" s="9" t="n">
        <v>12136.44</v>
      </c>
      <c r="H3276" t="inlineStr">
        <is>
          <t>PAID_ON_TIME</t>
        </is>
      </c>
      <c r="I3276">
        <f>IF(H3276="UNPAID", AsOfDate-D3276, 0)</f>
        <v/>
      </c>
      <c r="J3276">
        <f>IF(F3276&lt;&gt;"", TEXT(F3276, "yyyy-mm"), "")</f>
        <v/>
      </c>
    </row>
    <row r="3277">
      <c r="A3277" t="inlineStr">
        <is>
          <t>RP0003276</t>
        </is>
      </c>
      <c r="B3277" t="inlineStr">
        <is>
          <t>LN200472</t>
        </is>
      </c>
      <c r="C3277" t="n">
        <v>6</v>
      </c>
      <c r="D3277" s="8" t="n">
        <v>46081</v>
      </c>
      <c r="E3277" s="9" t="n">
        <v>12136.44</v>
      </c>
      <c r="F3277" s="8" t="n">
        <v>46081</v>
      </c>
      <c r="G3277" s="9" t="n">
        <v>12136.44</v>
      </c>
      <c r="H3277" t="inlineStr">
        <is>
          <t>PAID_ON_TIME</t>
        </is>
      </c>
      <c r="I3277">
        <f>IF(H3277="UNPAID", AsOfDate-D3277, 0)</f>
        <v/>
      </c>
      <c r="J3277">
        <f>IF(F3277&lt;&gt;"", TEXT(F3277, "yyyy-mm"), "")</f>
        <v/>
      </c>
    </row>
    <row r="3278">
      <c r="A3278" t="inlineStr">
        <is>
          <t>RP0003277</t>
        </is>
      </c>
      <c r="B3278" t="inlineStr">
        <is>
          <t>LN200472</t>
        </is>
      </c>
      <c r="C3278" t="n">
        <v>7</v>
      </c>
      <c r="D3278" s="8" t="n">
        <v>46112</v>
      </c>
      <c r="E3278" s="9" t="n">
        <v>12136.44</v>
      </c>
      <c r="F3278" s="8" t="n">
        <v>46111</v>
      </c>
      <c r="G3278" s="9" t="n">
        <v>12136.44</v>
      </c>
      <c r="H3278" t="inlineStr">
        <is>
          <t>PAID_ON_TIME</t>
        </is>
      </c>
      <c r="I3278">
        <f>IF(H3278="UNPAID", AsOfDate-D3278, 0)</f>
        <v/>
      </c>
      <c r="J3278">
        <f>IF(F3278&lt;&gt;"", TEXT(F3278, "yyyy-mm"), "")</f>
        <v/>
      </c>
    </row>
    <row r="3279">
      <c r="A3279" t="inlineStr">
        <is>
          <t>RP0003278</t>
        </is>
      </c>
      <c r="B3279" t="inlineStr">
        <is>
          <t>LN200472</t>
        </is>
      </c>
      <c r="C3279" t="n">
        <v>8</v>
      </c>
      <c r="D3279" s="8" t="n">
        <v>46142</v>
      </c>
      <c r="E3279" s="9" t="n">
        <v>12136.44</v>
      </c>
      <c r="F3279" s="8" t="n">
        <v>46144</v>
      </c>
      <c r="G3279" s="9" t="n">
        <v>12136.44</v>
      </c>
      <c r="H3279" t="inlineStr">
        <is>
          <t>PAID_ON_TIME</t>
        </is>
      </c>
      <c r="I3279">
        <f>IF(H3279="UNPAID", AsOfDate-D3279, 0)</f>
        <v/>
      </c>
      <c r="J3279">
        <f>IF(F3279&lt;&gt;"", TEXT(F3279, "yyyy-mm"), "")</f>
        <v/>
      </c>
    </row>
    <row r="3280">
      <c r="A3280" t="inlineStr">
        <is>
          <t>RP0003279</t>
        </is>
      </c>
      <c r="B3280" t="inlineStr">
        <is>
          <t>LN200472</t>
        </is>
      </c>
      <c r="C3280" t="n">
        <v>9</v>
      </c>
      <c r="D3280" s="8" t="n">
        <v>46173</v>
      </c>
      <c r="E3280" s="9" t="n">
        <v>12136.44</v>
      </c>
      <c r="F3280" s="8" t="n">
        <v>46173</v>
      </c>
      <c r="G3280" s="9" t="n">
        <v>12136.44</v>
      </c>
      <c r="H3280" t="inlineStr">
        <is>
          <t>PAID_ON_TIME</t>
        </is>
      </c>
      <c r="I3280">
        <f>IF(H3280="UNPAID", AsOfDate-D3280, 0)</f>
        <v/>
      </c>
      <c r="J3280">
        <f>IF(F3280&lt;&gt;"", TEXT(F3280, "yyyy-mm"), "")</f>
        <v/>
      </c>
    </row>
    <row r="3281">
      <c r="A3281" t="inlineStr">
        <is>
          <t>RP0003280</t>
        </is>
      </c>
      <c r="B3281" t="inlineStr">
        <is>
          <t>LN200473</t>
        </is>
      </c>
      <c r="C3281" t="n">
        <v>1</v>
      </c>
      <c r="D3281" s="8" t="n">
        <v>46164</v>
      </c>
      <c r="E3281" s="9" t="n">
        <v>68970.08</v>
      </c>
      <c r="F3281" s="8" t="n">
        <v>46241</v>
      </c>
      <c r="G3281" s="9" t="n">
        <v>68970.08</v>
      </c>
      <c r="H3281" t="inlineStr">
        <is>
          <t>PAID_LATE</t>
        </is>
      </c>
      <c r="I3281">
        <f>IF(H3281="UNPAID", AsOfDate-D3281, 0)</f>
        <v/>
      </c>
      <c r="J3281">
        <f>IF(F3281&lt;&gt;"", TEXT(F3281, "yyyy-mm"), "")</f>
        <v/>
      </c>
    </row>
    <row r="3282">
      <c r="A3282" t="inlineStr">
        <is>
          <t>RP0003281</t>
        </is>
      </c>
      <c r="B3282" t="inlineStr">
        <is>
          <t>LN200473</t>
        </is>
      </c>
      <c r="C3282" t="n">
        <v>2</v>
      </c>
      <c r="D3282" s="8" t="n">
        <v>46195</v>
      </c>
      <c r="E3282" s="9" t="n">
        <v>68970.08</v>
      </c>
      <c r="F3282" s="8" t="n">
        <v>46194</v>
      </c>
      <c r="G3282" s="9" t="n">
        <v>68970.08</v>
      </c>
      <c r="H3282" t="inlineStr">
        <is>
          <t>PAID_ON_TIME</t>
        </is>
      </c>
      <c r="I3282">
        <f>IF(H3282="UNPAID", AsOfDate-D3282, 0)</f>
        <v/>
      </c>
      <c r="J3282">
        <f>IF(F3282&lt;&gt;"", TEXT(F3282, "yyyy-mm"), "")</f>
        <v/>
      </c>
    </row>
    <row r="3283">
      <c r="A3283" t="inlineStr">
        <is>
          <t>RP0003282</t>
        </is>
      </c>
      <c r="B3283" t="inlineStr">
        <is>
          <t>LN200473</t>
        </is>
      </c>
      <c r="C3283" t="n">
        <v>3</v>
      </c>
      <c r="D3283" s="8" t="n">
        <v>46225</v>
      </c>
      <c r="E3283" s="9" t="n">
        <v>68970.08</v>
      </c>
      <c r="F3283" s="8" t="n">
        <v>46222</v>
      </c>
      <c r="G3283" s="9" t="n">
        <v>68970.08</v>
      </c>
      <c r="H3283" t="inlineStr">
        <is>
          <t>PAID_ON_TIME</t>
        </is>
      </c>
      <c r="I3283">
        <f>IF(H3283="UNPAID", AsOfDate-D3283, 0)</f>
        <v/>
      </c>
      <c r="J3283">
        <f>IF(F3283&lt;&gt;"", TEXT(F3283, "yyyy-mm"), "")</f>
        <v/>
      </c>
    </row>
    <row r="3284">
      <c r="A3284" t="inlineStr">
        <is>
          <t>RP0003283</t>
        </is>
      </c>
      <c r="B3284" t="inlineStr">
        <is>
          <t>LN200474</t>
        </is>
      </c>
      <c r="C3284" t="n">
        <v>1</v>
      </c>
      <c r="D3284" s="8" t="n">
        <v>45851</v>
      </c>
      <c r="E3284" s="9" t="n">
        <v>18801.56</v>
      </c>
      <c r="F3284" s="8" t="n">
        <v>45855</v>
      </c>
      <c r="G3284" s="9" t="n">
        <v>18801.56</v>
      </c>
      <c r="H3284" t="inlineStr">
        <is>
          <t>PAID_ON_TIME</t>
        </is>
      </c>
      <c r="I3284">
        <f>IF(H3284="UNPAID", AsOfDate-D3284, 0)</f>
        <v/>
      </c>
      <c r="J3284">
        <f>IF(F3284&lt;&gt;"", TEXT(F3284, "yyyy-mm"), "")</f>
        <v/>
      </c>
    </row>
    <row r="3285">
      <c r="A3285" t="inlineStr">
        <is>
          <t>RP0003284</t>
        </is>
      </c>
      <c r="B3285" t="inlineStr">
        <is>
          <t>LN200474</t>
        </is>
      </c>
      <c r="C3285" t="n">
        <v>2</v>
      </c>
      <c r="D3285" s="8" t="n">
        <v>45882</v>
      </c>
      <c r="E3285" s="9" t="n">
        <v>18801.56</v>
      </c>
      <c r="F3285" s="8" t="n">
        <v>45985</v>
      </c>
      <c r="G3285" s="9" t="n">
        <v>18801.56</v>
      </c>
      <c r="H3285" t="inlineStr">
        <is>
          <t>PAID_LATE</t>
        </is>
      </c>
      <c r="I3285">
        <f>IF(H3285="UNPAID", AsOfDate-D3285, 0)</f>
        <v/>
      </c>
      <c r="J3285">
        <f>IF(F3285&lt;&gt;"", TEXT(F3285, "yyyy-mm"), "")</f>
        <v/>
      </c>
    </row>
    <row r="3286">
      <c r="A3286" t="inlineStr">
        <is>
          <t>RP0003285</t>
        </is>
      </c>
      <c r="B3286" t="inlineStr">
        <is>
          <t>LN200474</t>
        </is>
      </c>
      <c r="C3286" t="n">
        <v>3</v>
      </c>
      <c r="D3286" s="8" t="n">
        <v>45913</v>
      </c>
      <c r="E3286" s="9" t="n">
        <v>18801.56</v>
      </c>
      <c r="F3286" s="8" t="n">
        <v>45914</v>
      </c>
      <c r="G3286" s="9" t="n">
        <v>18801.56</v>
      </c>
      <c r="H3286" t="inlineStr">
        <is>
          <t>PAID_ON_TIME</t>
        </is>
      </c>
      <c r="I3286">
        <f>IF(H3286="UNPAID", AsOfDate-D3286, 0)</f>
        <v/>
      </c>
      <c r="J3286">
        <f>IF(F3286&lt;&gt;"", TEXT(F3286, "yyyy-mm"), "")</f>
        <v/>
      </c>
    </row>
    <row r="3287">
      <c r="A3287" t="inlineStr">
        <is>
          <t>RP0003286</t>
        </is>
      </c>
      <c r="B3287" t="inlineStr">
        <is>
          <t>LN200474</t>
        </is>
      </c>
      <c r="C3287" t="n">
        <v>4</v>
      </c>
      <c r="D3287" s="8" t="n">
        <v>45943</v>
      </c>
      <c r="E3287" s="9" t="n">
        <v>18801.56</v>
      </c>
      <c r="F3287" s="8" t="n">
        <v>45942</v>
      </c>
      <c r="G3287" s="9" t="n">
        <v>18801.56</v>
      </c>
      <c r="H3287" t="inlineStr">
        <is>
          <t>PAID_ON_TIME</t>
        </is>
      </c>
      <c r="I3287">
        <f>IF(H3287="UNPAID", AsOfDate-D3287, 0)</f>
        <v/>
      </c>
      <c r="J3287">
        <f>IF(F3287&lt;&gt;"", TEXT(F3287, "yyyy-mm"), "")</f>
        <v/>
      </c>
    </row>
    <row r="3288">
      <c r="A3288" t="inlineStr">
        <is>
          <t>RP0003287</t>
        </is>
      </c>
      <c r="B3288" t="inlineStr">
        <is>
          <t>LN200474</t>
        </is>
      </c>
      <c r="C3288" t="n">
        <v>5</v>
      </c>
      <c r="D3288" s="8" t="n">
        <v>45974</v>
      </c>
      <c r="E3288" s="9" t="n">
        <v>18801.56</v>
      </c>
      <c r="F3288" s="8" t="n">
        <v>45971</v>
      </c>
      <c r="G3288" s="9" t="n">
        <v>18801.56</v>
      </c>
      <c r="H3288" t="inlineStr">
        <is>
          <t>PAID_ON_TIME</t>
        </is>
      </c>
      <c r="I3288">
        <f>IF(H3288="UNPAID", AsOfDate-D3288, 0)</f>
        <v/>
      </c>
      <c r="J3288">
        <f>IF(F3288&lt;&gt;"", TEXT(F3288, "yyyy-mm"), "")</f>
        <v/>
      </c>
    </row>
    <row r="3289">
      <c r="A3289" t="inlineStr">
        <is>
          <t>RP0003288</t>
        </is>
      </c>
      <c r="B3289" t="inlineStr">
        <is>
          <t>LN200474</t>
        </is>
      </c>
      <c r="C3289" t="n">
        <v>6</v>
      </c>
      <c r="D3289" s="8" t="n">
        <v>46004</v>
      </c>
      <c r="E3289" s="9" t="n">
        <v>18801.56</v>
      </c>
      <c r="F3289" s="8" t="n">
        <v>46006</v>
      </c>
      <c r="G3289" s="9" t="n">
        <v>18801.56</v>
      </c>
      <c r="H3289" t="inlineStr">
        <is>
          <t>PAID_ON_TIME</t>
        </is>
      </c>
      <c r="I3289">
        <f>IF(H3289="UNPAID", AsOfDate-D3289, 0)</f>
        <v/>
      </c>
      <c r="J3289">
        <f>IF(F3289&lt;&gt;"", TEXT(F3289, "yyyy-mm"), "")</f>
        <v/>
      </c>
    </row>
    <row r="3290">
      <c r="A3290" t="inlineStr">
        <is>
          <t>RP0003289</t>
        </is>
      </c>
      <c r="B3290" t="inlineStr">
        <is>
          <t>LN200474</t>
        </is>
      </c>
      <c r="C3290" t="n">
        <v>7</v>
      </c>
      <c r="D3290" s="8" t="n">
        <v>46035</v>
      </c>
      <c r="E3290" s="9" t="n">
        <v>18801.56</v>
      </c>
      <c r="F3290" s="8" t="n">
        <v>46032</v>
      </c>
      <c r="G3290" s="9" t="n">
        <v>18801.56</v>
      </c>
      <c r="H3290" t="inlineStr">
        <is>
          <t>PAID_ON_TIME</t>
        </is>
      </c>
      <c r="I3290">
        <f>IF(H3290="UNPAID", AsOfDate-D3290, 0)</f>
        <v/>
      </c>
      <c r="J3290">
        <f>IF(F3290&lt;&gt;"", TEXT(F3290, "yyyy-mm"), "")</f>
        <v/>
      </c>
    </row>
    <row r="3291">
      <c r="A3291" t="inlineStr">
        <is>
          <t>RP0003290</t>
        </is>
      </c>
      <c r="B3291" t="inlineStr">
        <is>
          <t>LN200474</t>
        </is>
      </c>
      <c r="C3291" t="n">
        <v>8</v>
      </c>
      <c r="D3291" s="8" t="n">
        <v>46066</v>
      </c>
      <c r="E3291" s="9" t="n">
        <v>18801.56</v>
      </c>
      <c r="F3291" s="8" t="n">
        <v>46070</v>
      </c>
      <c r="G3291" s="9" t="n">
        <v>18801.56</v>
      </c>
      <c r="H3291" t="inlineStr">
        <is>
          <t>PAID_ON_TIME</t>
        </is>
      </c>
      <c r="I3291">
        <f>IF(H3291="UNPAID", AsOfDate-D3291, 0)</f>
        <v/>
      </c>
      <c r="J3291">
        <f>IF(F3291&lt;&gt;"", TEXT(F3291, "yyyy-mm"), "")</f>
        <v/>
      </c>
    </row>
    <row r="3292">
      <c r="A3292" t="inlineStr">
        <is>
          <t>RP0003291</t>
        </is>
      </c>
      <c r="B3292" t="inlineStr">
        <is>
          <t>LN200474</t>
        </is>
      </c>
      <c r="C3292" t="n">
        <v>9</v>
      </c>
      <c r="D3292" s="8" t="n">
        <v>46094</v>
      </c>
      <c r="E3292" s="9" t="n">
        <v>18801.56</v>
      </c>
      <c r="F3292" s="8" t="n">
        <v>46091</v>
      </c>
      <c r="G3292" s="9" t="n">
        <v>18801.56</v>
      </c>
      <c r="H3292" t="inlineStr">
        <is>
          <t>PAID_ON_TIME</t>
        </is>
      </c>
      <c r="I3292">
        <f>IF(H3292="UNPAID", AsOfDate-D3292, 0)</f>
        <v/>
      </c>
      <c r="J3292">
        <f>IF(F3292&lt;&gt;"", TEXT(F3292, "yyyy-mm"), "")</f>
        <v/>
      </c>
    </row>
    <row r="3293">
      <c r="A3293" t="inlineStr">
        <is>
          <t>RP0003292</t>
        </is>
      </c>
      <c r="B3293" t="inlineStr">
        <is>
          <t>LN200475</t>
        </is>
      </c>
      <c r="C3293" t="n">
        <v>1</v>
      </c>
      <c r="D3293" s="8" t="n">
        <v>45807</v>
      </c>
      <c r="E3293" s="9" t="n">
        <v>20219.5</v>
      </c>
      <c r="F3293" s="8" t="n">
        <v>45804</v>
      </c>
      <c r="G3293" s="9" t="n">
        <v>20219.5</v>
      </c>
      <c r="H3293" t="inlineStr">
        <is>
          <t>PAID_ON_TIME</t>
        </is>
      </c>
      <c r="I3293">
        <f>IF(H3293="UNPAID", AsOfDate-D3293, 0)</f>
        <v/>
      </c>
      <c r="J3293">
        <f>IF(F3293&lt;&gt;"", TEXT(F3293, "yyyy-mm"), "")</f>
        <v/>
      </c>
    </row>
    <row r="3294">
      <c r="A3294" t="inlineStr">
        <is>
          <t>RP0003293</t>
        </is>
      </c>
      <c r="B3294" t="inlineStr">
        <is>
          <t>LN200475</t>
        </is>
      </c>
      <c r="C3294" t="n">
        <v>2</v>
      </c>
      <c r="D3294" s="8" t="n">
        <v>45838</v>
      </c>
      <c r="E3294" s="9" t="n">
        <v>20219.5</v>
      </c>
      <c r="F3294" s="8" t="n">
        <v>45841</v>
      </c>
      <c r="G3294" s="9" t="n">
        <v>20219.5</v>
      </c>
      <c r="H3294" t="inlineStr">
        <is>
          <t>PAID_ON_TIME</t>
        </is>
      </c>
      <c r="I3294">
        <f>IF(H3294="UNPAID", AsOfDate-D3294, 0)</f>
        <v/>
      </c>
      <c r="J3294">
        <f>IF(F3294&lt;&gt;"", TEXT(F3294, "yyyy-mm"), "")</f>
        <v/>
      </c>
    </row>
    <row r="3295">
      <c r="A3295" t="inlineStr">
        <is>
          <t>RP0003294</t>
        </is>
      </c>
      <c r="B3295" t="inlineStr">
        <is>
          <t>LN200475</t>
        </is>
      </c>
      <c r="C3295" t="n">
        <v>3</v>
      </c>
      <c r="D3295" s="8" t="n">
        <v>45868</v>
      </c>
      <c r="E3295" s="9" t="n">
        <v>20219.5</v>
      </c>
      <c r="F3295" s="8" t="n">
        <v>45869</v>
      </c>
      <c r="G3295" s="9" t="n">
        <v>20219.5</v>
      </c>
      <c r="H3295" t="inlineStr">
        <is>
          <t>PAID_ON_TIME</t>
        </is>
      </c>
      <c r="I3295">
        <f>IF(H3295="UNPAID", AsOfDate-D3295, 0)</f>
        <v/>
      </c>
      <c r="J3295">
        <f>IF(F3295&lt;&gt;"", TEXT(F3295, "yyyy-mm"), "")</f>
        <v/>
      </c>
    </row>
    <row r="3296">
      <c r="A3296" t="inlineStr">
        <is>
          <t>RP0003295</t>
        </is>
      </c>
      <c r="B3296" t="inlineStr">
        <is>
          <t>LN200475</t>
        </is>
      </c>
      <c r="C3296" t="n">
        <v>4</v>
      </c>
      <c r="D3296" s="8" t="n">
        <v>45899</v>
      </c>
      <c r="E3296" s="9" t="n">
        <v>20219.5</v>
      </c>
      <c r="F3296" s="8" t="n">
        <v>45903</v>
      </c>
      <c r="G3296" s="9" t="n">
        <v>20219.5</v>
      </c>
      <c r="H3296" t="inlineStr">
        <is>
          <t>PAID_ON_TIME</t>
        </is>
      </c>
      <c r="I3296">
        <f>IF(H3296="UNPAID", AsOfDate-D3296, 0)</f>
        <v/>
      </c>
      <c r="J3296">
        <f>IF(F3296&lt;&gt;"", TEXT(F3296, "yyyy-mm"), "")</f>
        <v/>
      </c>
    </row>
    <row r="3297">
      <c r="A3297" t="inlineStr">
        <is>
          <t>RP0003296</t>
        </is>
      </c>
      <c r="B3297" t="inlineStr">
        <is>
          <t>LN200475</t>
        </is>
      </c>
      <c r="C3297" t="n">
        <v>5</v>
      </c>
      <c r="D3297" s="8" t="n">
        <v>45930</v>
      </c>
      <c r="E3297" s="9" t="n">
        <v>20219.5</v>
      </c>
      <c r="F3297" s="8" t="n">
        <v>45929</v>
      </c>
      <c r="G3297" s="9" t="n">
        <v>20219.5</v>
      </c>
      <c r="H3297" t="inlineStr">
        <is>
          <t>PAID_ON_TIME</t>
        </is>
      </c>
      <c r="I3297">
        <f>IF(H3297="UNPAID", AsOfDate-D3297, 0)</f>
        <v/>
      </c>
      <c r="J3297">
        <f>IF(F3297&lt;&gt;"", TEXT(F3297, "yyyy-mm"), "")</f>
        <v/>
      </c>
    </row>
    <row r="3298">
      <c r="A3298" t="inlineStr">
        <is>
          <t>RP0003297</t>
        </is>
      </c>
      <c r="B3298" t="inlineStr">
        <is>
          <t>LN200475</t>
        </is>
      </c>
      <c r="C3298" t="n">
        <v>6</v>
      </c>
      <c r="D3298" s="8" t="n">
        <v>45960</v>
      </c>
      <c r="E3298" s="9" t="n">
        <v>20219.5</v>
      </c>
      <c r="F3298" s="8" t="n">
        <v>45958</v>
      </c>
      <c r="G3298" s="9" t="n">
        <v>20219.5</v>
      </c>
      <c r="H3298" t="inlineStr">
        <is>
          <t>PAID_ON_TIME</t>
        </is>
      </c>
      <c r="I3298">
        <f>IF(H3298="UNPAID", AsOfDate-D3298, 0)</f>
        <v/>
      </c>
      <c r="J3298">
        <f>IF(F3298&lt;&gt;"", TEXT(F3298, "yyyy-mm"), "")</f>
        <v/>
      </c>
    </row>
    <row r="3299">
      <c r="A3299" t="inlineStr">
        <is>
          <t>RP0003298</t>
        </is>
      </c>
      <c r="B3299" t="inlineStr">
        <is>
          <t>LN200476</t>
        </is>
      </c>
      <c r="C3299" t="n">
        <v>1</v>
      </c>
      <c r="D3299" s="8" t="n">
        <v>46049</v>
      </c>
      <c r="E3299" s="9" t="n">
        <v>15973.5</v>
      </c>
      <c r="F3299" s="8" t="n">
        <v>46049</v>
      </c>
      <c r="G3299" s="9" t="n">
        <v>15973.5</v>
      </c>
      <c r="H3299" t="inlineStr">
        <is>
          <t>PAID_ON_TIME</t>
        </is>
      </c>
      <c r="I3299">
        <f>IF(H3299="UNPAID", AsOfDate-D3299, 0)</f>
        <v/>
      </c>
      <c r="J3299">
        <f>IF(F3299&lt;&gt;"", TEXT(F3299, "yyyy-mm"), "")</f>
        <v/>
      </c>
    </row>
    <row r="3300">
      <c r="A3300" t="inlineStr">
        <is>
          <t>RP0003299</t>
        </is>
      </c>
      <c r="B3300" t="inlineStr">
        <is>
          <t>LN200476</t>
        </is>
      </c>
      <c r="C3300" t="n">
        <v>2</v>
      </c>
      <c r="D3300" s="8" t="n">
        <v>46080</v>
      </c>
      <c r="E3300" s="9" t="n">
        <v>15973.5</v>
      </c>
      <c r="F3300" s="8" t="n">
        <v>46081</v>
      </c>
      <c r="G3300" s="9" t="n">
        <v>15973.5</v>
      </c>
      <c r="H3300" t="inlineStr">
        <is>
          <t>PAID_ON_TIME</t>
        </is>
      </c>
      <c r="I3300">
        <f>IF(H3300="UNPAID", AsOfDate-D3300, 0)</f>
        <v/>
      </c>
      <c r="J3300">
        <f>IF(F3300&lt;&gt;"", TEXT(F3300, "yyyy-mm"), "")</f>
        <v/>
      </c>
    </row>
    <row r="3301">
      <c r="A3301" t="inlineStr">
        <is>
          <t>RP0003300</t>
        </is>
      </c>
      <c r="B3301" t="inlineStr">
        <is>
          <t>LN200476</t>
        </is>
      </c>
      <c r="C3301" t="n">
        <v>3</v>
      </c>
      <c r="D3301" s="8" t="n">
        <v>46108</v>
      </c>
      <c r="E3301" s="9" t="n">
        <v>15973.5</v>
      </c>
      <c r="F3301" s="8" t="n">
        <v>46111</v>
      </c>
      <c r="G3301" s="9" t="n">
        <v>15973.5</v>
      </c>
      <c r="H3301" t="inlineStr">
        <is>
          <t>PAID_ON_TIME</t>
        </is>
      </c>
      <c r="I3301">
        <f>IF(H3301="UNPAID", AsOfDate-D3301, 0)</f>
        <v/>
      </c>
      <c r="J3301">
        <f>IF(F3301&lt;&gt;"", TEXT(F3301, "yyyy-mm"), "")</f>
        <v/>
      </c>
    </row>
    <row r="3302">
      <c r="A3302" t="inlineStr">
        <is>
          <t>RP0003301</t>
        </is>
      </c>
      <c r="B3302" t="inlineStr">
        <is>
          <t>LN200477</t>
        </is>
      </c>
      <c r="C3302" t="n">
        <v>1</v>
      </c>
      <c r="D3302" s="8" t="n">
        <v>46225</v>
      </c>
      <c r="E3302" s="9" t="n">
        <v>9160.280000000001</v>
      </c>
      <c r="F3302" s="8" t="n">
        <v>46229</v>
      </c>
      <c r="G3302" s="9" t="n">
        <v>9160.280000000001</v>
      </c>
      <c r="H3302" t="inlineStr">
        <is>
          <t>PAID_ON_TIME</t>
        </is>
      </c>
      <c r="I3302">
        <f>IF(H3302="UNPAID", AsOfDate-D3302, 0)</f>
        <v/>
      </c>
      <c r="J3302">
        <f>IF(F3302&lt;&gt;"", TEXT(F3302, "yyyy-mm"), "")</f>
        <v/>
      </c>
    </row>
    <row r="3303">
      <c r="A3303" t="inlineStr">
        <is>
          <t>RP0003302</t>
        </is>
      </c>
      <c r="B3303" t="inlineStr">
        <is>
          <t>LN200477</t>
        </is>
      </c>
      <c r="C3303" t="n">
        <v>2</v>
      </c>
      <c r="D3303" s="8" t="n">
        <v>46256</v>
      </c>
      <c r="E3303" s="9" t="n">
        <v>9160.280000000001</v>
      </c>
      <c r="F3303" s="8" t="n">
        <v>46258</v>
      </c>
      <c r="G3303" s="9" t="n">
        <v>9160.280000000001</v>
      </c>
      <c r="H3303" t="inlineStr">
        <is>
          <t>PAID_ON_TIME</t>
        </is>
      </c>
      <c r="I3303">
        <f>IF(H3303="UNPAID", AsOfDate-D3303, 0)</f>
        <v/>
      </c>
      <c r="J3303">
        <f>IF(F3303&lt;&gt;"", TEXT(F3303, "yyyy-mm"), "")</f>
        <v/>
      </c>
    </row>
    <row r="3304">
      <c r="A3304" t="inlineStr">
        <is>
          <t>RP0003303</t>
        </is>
      </c>
      <c r="B3304" t="inlineStr">
        <is>
          <t>LN200477</t>
        </is>
      </c>
      <c r="C3304" t="n">
        <v>3</v>
      </c>
      <c r="D3304" s="8" t="n">
        <v>46287</v>
      </c>
      <c r="E3304" s="9" t="n">
        <v>9160.280000000001</v>
      </c>
      <c r="F3304" s="8" t="n"/>
      <c r="G3304" s="9" t="n">
        <v>0</v>
      </c>
      <c r="H3304" t="inlineStr">
        <is>
          <t>NOT_DUE</t>
        </is>
      </c>
      <c r="I3304">
        <f>IF(H3304="UNPAID", AsOfDate-D3304, 0)</f>
        <v/>
      </c>
      <c r="J3304">
        <f>IF(F3304&lt;&gt;"", TEXT(F3304, "yyyy-mm"), "")</f>
        <v/>
      </c>
    </row>
    <row r="3305">
      <c r="A3305" t="inlineStr">
        <is>
          <t>RP0003304</t>
        </is>
      </c>
      <c r="B3305" t="inlineStr">
        <is>
          <t>LN200477</t>
        </is>
      </c>
      <c r="C3305" t="n">
        <v>4</v>
      </c>
      <c r="D3305" s="8" t="n">
        <v>46317</v>
      </c>
      <c r="E3305" s="9" t="n">
        <v>9160.280000000001</v>
      </c>
      <c r="F3305" s="8" t="n"/>
      <c r="G3305" s="9" t="n">
        <v>0</v>
      </c>
      <c r="H3305" t="inlineStr">
        <is>
          <t>NOT_DUE</t>
        </is>
      </c>
      <c r="I3305">
        <f>IF(H3305="UNPAID", AsOfDate-D3305, 0)</f>
        <v/>
      </c>
      <c r="J3305">
        <f>IF(F3305&lt;&gt;"", TEXT(F3305, "yyyy-mm"), "")</f>
        <v/>
      </c>
    </row>
    <row r="3306">
      <c r="A3306" t="inlineStr">
        <is>
          <t>RP0003305</t>
        </is>
      </c>
      <c r="B3306" t="inlineStr">
        <is>
          <t>LN200477</t>
        </is>
      </c>
      <c r="C3306" t="n">
        <v>5</v>
      </c>
      <c r="D3306" s="8" t="n">
        <v>46348</v>
      </c>
      <c r="E3306" s="9" t="n">
        <v>9160.280000000001</v>
      </c>
      <c r="F3306" s="8" t="n"/>
      <c r="G3306" s="9" t="n">
        <v>0</v>
      </c>
      <c r="H3306" t="inlineStr">
        <is>
          <t>NOT_DUE</t>
        </is>
      </c>
      <c r="I3306">
        <f>IF(H3306="UNPAID", AsOfDate-D3306, 0)</f>
        <v/>
      </c>
      <c r="J3306">
        <f>IF(F3306&lt;&gt;"", TEXT(F3306, "yyyy-mm"), "")</f>
        <v/>
      </c>
    </row>
    <row r="3307">
      <c r="A3307" t="inlineStr">
        <is>
          <t>RP0003306</t>
        </is>
      </c>
      <c r="B3307" t="inlineStr">
        <is>
          <t>LN200477</t>
        </is>
      </c>
      <c r="C3307" t="n">
        <v>6</v>
      </c>
      <c r="D3307" s="8" t="n">
        <v>46378</v>
      </c>
      <c r="E3307" s="9" t="n">
        <v>9160.280000000001</v>
      </c>
      <c r="F3307" s="8" t="n"/>
      <c r="G3307" s="9" t="n">
        <v>0</v>
      </c>
      <c r="H3307" t="inlineStr">
        <is>
          <t>NOT_DUE</t>
        </is>
      </c>
      <c r="I3307">
        <f>IF(H3307="UNPAID", AsOfDate-D3307, 0)</f>
        <v/>
      </c>
      <c r="J3307">
        <f>IF(F3307&lt;&gt;"", TEXT(F3307, "yyyy-mm"), "")</f>
        <v/>
      </c>
    </row>
    <row r="3308">
      <c r="A3308" t="inlineStr">
        <is>
          <t>RP0003307</t>
        </is>
      </c>
      <c r="B3308" t="inlineStr">
        <is>
          <t>LN200477</t>
        </is>
      </c>
      <c r="C3308" t="n">
        <v>7</v>
      </c>
      <c r="D3308" s="8" t="n">
        <v>46409</v>
      </c>
      <c r="E3308" s="9" t="n">
        <v>9160.280000000001</v>
      </c>
      <c r="F3308" s="8" t="n"/>
      <c r="G3308" s="9" t="n">
        <v>0</v>
      </c>
      <c r="H3308" t="inlineStr">
        <is>
          <t>NOT_DUE</t>
        </is>
      </c>
      <c r="I3308">
        <f>IF(H3308="UNPAID", AsOfDate-D3308, 0)</f>
        <v/>
      </c>
      <c r="J3308">
        <f>IF(F3308&lt;&gt;"", TEXT(F3308, "yyyy-mm"), "")</f>
        <v/>
      </c>
    </row>
    <row r="3309">
      <c r="A3309" t="inlineStr">
        <is>
          <t>RP0003308</t>
        </is>
      </c>
      <c r="B3309" t="inlineStr">
        <is>
          <t>LN200477</t>
        </is>
      </c>
      <c r="C3309" t="n">
        <v>8</v>
      </c>
      <c r="D3309" s="8" t="n">
        <v>46440</v>
      </c>
      <c r="E3309" s="9" t="n">
        <v>9160.280000000001</v>
      </c>
      <c r="F3309" s="8" t="n"/>
      <c r="G3309" s="9" t="n">
        <v>0</v>
      </c>
      <c r="H3309" t="inlineStr">
        <is>
          <t>NOT_DUE</t>
        </is>
      </c>
      <c r="I3309">
        <f>IF(H3309="UNPAID", AsOfDate-D3309, 0)</f>
        <v/>
      </c>
      <c r="J3309">
        <f>IF(F3309&lt;&gt;"", TEXT(F3309, "yyyy-mm"), "")</f>
        <v/>
      </c>
    </row>
    <row r="3310">
      <c r="A3310" t="inlineStr">
        <is>
          <t>RP0003309</t>
        </is>
      </c>
      <c r="B3310" t="inlineStr">
        <is>
          <t>LN200477</t>
        </is>
      </c>
      <c r="C3310" t="n">
        <v>9</v>
      </c>
      <c r="D3310" s="8" t="n">
        <v>46468</v>
      </c>
      <c r="E3310" s="9" t="n">
        <v>9160.280000000001</v>
      </c>
      <c r="F3310" s="8" t="n"/>
      <c r="G3310" s="9" t="n">
        <v>0</v>
      </c>
      <c r="H3310" t="inlineStr">
        <is>
          <t>NOT_DUE</t>
        </is>
      </c>
      <c r="I3310">
        <f>IF(H3310="UNPAID", AsOfDate-D3310, 0)</f>
        <v/>
      </c>
      <c r="J3310">
        <f>IF(F3310&lt;&gt;"", TEXT(F3310, "yyyy-mm"), "")</f>
        <v/>
      </c>
    </row>
    <row r="3311">
      <c r="A3311" t="inlineStr">
        <is>
          <t>RP0003310</t>
        </is>
      </c>
      <c r="B3311" t="inlineStr">
        <is>
          <t>LN200478</t>
        </is>
      </c>
      <c r="C3311" t="n">
        <v>1</v>
      </c>
      <c r="D3311" s="8" t="n">
        <v>46170</v>
      </c>
      <c r="E3311" s="9" t="n">
        <v>13892.17</v>
      </c>
      <c r="F3311" s="8" t="n">
        <v>46170</v>
      </c>
      <c r="G3311" s="9" t="n">
        <v>13892.17</v>
      </c>
      <c r="H3311" t="inlineStr">
        <is>
          <t>PAID_ON_TIME</t>
        </is>
      </c>
      <c r="I3311">
        <f>IF(H3311="UNPAID", AsOfDate-D3311, 0)</f>
        <v/>
      </c>
      <c r="J3311">
        <f>IF(F3311&lt;&gt;"", TEXT(F3311, "yyyy-mm"), "")</f>
        <v/>
      </c>
    </row>
    <row r="3312">
      <c r="A3312" t="inlineStr">
        <is>
          <t>RP0003311</t>
        </is>
      </c>
      <c r="B3312" t="inlineStr">
        <is>
          <t>LN200478</t>
        </is>
      </c>
      <c r="C3312" t="n">
        <v>2</v>
      </c>
      <c r="D3312" s="8" t="n">
        <v>46201</v>
      </c>
      <c r="E3312" s="9" t="n">
        <v>13892.17</v>
      </c>
      <c r="F3312" s="8" t="n">
        <v>46201</v>
      </c>
      <c r="G3312" s="9" t="n">
        <v>13892.17</v>
      </c>
      <c r="H3312" t="inlineStr">
        <is>
          <t>PAID_ON_TIME</t>
        </is>
      </c>
      <c r="I3312">
        <f>IF(H3312="UNPAID", AsOfDate-D3312, 0)</f>
        <v/>
      </c>
      <c r="J3312">
        <f>IF(F3312&lt;&gt;"", TEXT(F3312, "yyyy-mm"), "")</f>
        <v/>
      </c>
    </row>
    <row r="3313">
      <c r="A3313" t="inlineStr">
        <is>
          <t>RP0003312</t>
        </is>
      </c>
      <c r="B3313" t="inlineStr">
        <is>
          <t>LN200478</t>
        </is>
      </c>
      <c r="C3313" t="n">
        <v>3</v>
      </c>
      <c r="D3313" s="8" t="n">
        <v>46231</v>
      </c>
      <c r="E3313" s="9" t="n">
        <v>13892.17</v>
      </c>
      <c r="F3313" s="8" t="n">
        <v>46233</v>
      </c>
      <c r="G3313" s="9" t="n">
        <v>13892.17</v>
      </c>
      <c r="H3313" t="inlineStr">
        <is>
          <t>PAID_ON_TIME</t>
        </is>
      </c>
      <c r="I3313">
        <f>IF(H3313="UNPAID", AsOfDate-D3313, 0)</f>
        <v/>
      </c>
      <c r="J3313">
        <f>IF(F3313&lt;&gt;"", TEXT(F3313, "yyyy-mm"), "")</f>
        <v/>
      </c>
    </row>
    <row r="3314">
      <c r="A3314" t="inlineStr">
        <is>
          <t>RP0003313</t>
        </is>
      </c>
      <c r="B3314" t="inlineStr">
        <is>
          <t>LN200478</t>
        </is>
      </c>
      <c r="C3314" t="n">
        <v>4</v>
      </c>
      <c r="D3314" s="8" t="n">
        <v>46262</v>
      </c>
      <c r="E3314" s="9" t="n">
        <v>13892.17</v>
      </c>
      <c r="F3314" s="8" t="n">
        <v>46260</v>
      </c>
      <c r="G3314" s="9" t="n">
        <v>13892.17</v>
      </c>
      <c r="H3314" t="inlineStr">
        <is>
          <t>PAID_ON_TIME</t>
        </is>
      </c>
      <c r="I3314">
        <f>IF(H3314="UNPAID", AsOfDate-D3314, 0)</f>
        <v/>
      </c>
      <c r="J3314">
        <f>IF(F3314&lt;&gt;"", TEXT(F3314, "yyyy-mm"), "")</f>
        <v/>
      </c>
    </row>
    <row r="3315">
      <c r="A3315" t="inlineStr">
        <is>
          <t>RP0003314</t>
        </is>
      </c>
      <c r="B3315" t="inlineStr">
        <is>
          <t>LN200478</t>
        </is>
      </c>
      <c r="C3315" t="n">
        <v>5</v>
      </c>
      <c r="D3315" s="8" t="n">
        <v>46293</v>
      </c>
      <c r="E3315" s="9" t="n">
        <v>13892.17</v>
      </c>
      <c r="F3315" s="8" t="n"/>
      <c r="G3315" s="9" t="n">
        <v>0</v>
      </c>
      <c r="H3315" t="inlineStr">
        <is>
          <t>NOT_DUE</t>
        </is>
      </c>
      <c r="I3315">
        <f>IF(H3315="UNPAID", AsOfDate-D3315, 0)</f>
        <v/>
      </c>
      <c r="J3315">
        <f>IF(F3315&lt;&gt;"", TEXT(F3315, "yyyy-mm"), "")</f>
        <v/>
      </c>
    </row>
    <row r="3316">
      <c r="A3316" t="inlineStr">
        <is>
          <t>RP0003315</t>
        </is>
      </c>
      <c r="B3316" t="inlineStr">
        <is>
          <t>LN200478</t>
        </is>
      </c>
      <c r="C3316" t="n">
        <v>6</v>
      </c>
      <c r="D3316" s="8" t="n">
        <v>46323</v>
      </c>
      <c r="E3316" s="9" t="n">
        <v>13892.17</v>
      </c>
      <c r="F3316" s="8" t="n"/>
      <c r="G3316" s="9" t="n">
        <v>0</v>
      </c>
      <c r="H3316" t="inlineStr">
        <is>
          <t>NOT_DUE</t>
        </is>
      </c>
      <c r="I3316">
        <f>IF(H3316="UNPAID", AsOfDate-D3316, 0)</f>
        <v/>
      </c>
      <c r="J3316">
        <f>IF(F3316&lt;&gt;"", TEXT(F3316, "yyyy-mm"), "")</f>
        <v/>
      </c>
    </row>
    <row r="3317">
      <c r="A3317" t="inlineStr">
        <is>
          <t>RP0003316</t>
        </is>
      </c>
      <c r="B3317" t="inlineStr">
        <is>
          <t>LN200478</t>
        </is>
      </c>
      <c r="C3317" t="n">
        <v>7</v>
      </c>
      <c r="D3317" s="8" t="n">
        <v>46354</v>
      </c>
      <c r="E3317" s="9" t="n">
        <v>13892.17</v>
      </c>
      <c r="F3317" s="8" t="n"/>
      <c r="G3317" s="9" t="n">
        <v>0</v>
      </c>
      <c r="H3317" t="inlineStr">
        <is>
          <t>NOT_DUE</t>
        </is>
      </c>
      <c r="I3317">
        <f>IF(H3317="UNPAID", AsOfDate-D3317, 0)</f>
        <v/>
      </c>
      <c r="J3317">
        <f>IF(F3317&lt;&gt;"", TEXT(F3317, "yyyy-mm"), "")</f>
        <v/>
      </c>
    </row>
    <row r="3318">
      <c r="A3318" t="inlineStr">
        <is>
          <t>RP0003317</t>
        </is>
      </c>
      <c r="B3318" t="inlineStr">
        <is>
          <t>LN200478</t>
        </is>
      </c>
      <c r="C3318" t="n">
        <v>8</v>
      </c>
      <c r="D3318" s="8" t="n">
        <v>46384</v>
      </c>
      <c r="E3318" s="9" t="n">
        <v>13892.17</v>
      </c>
      <c r="F3318" s="8" t="n"/>
      <c r="G3318" s="9" t="n">
        <v>0</v>
      </c>
      <c r="H3318" t="inlineStr">
        <is>
          <t>NOT_DUE</t>
        </is>
      </c>
      <c r="I3318">
        <f>IF(H3318="UNPAID", AsOfDate-D3318, 0)</f>
        <v/>
      </c>
      <c r="J3318">
        <f>IF(F3318&lt;&gt;"", TEXT(F3318, "yyyy-mm"), "")</f>
        <v/>
      </c>
    </row>
    <row r="3319">
      <c r="A3319" t="inlineStr">
        <is>
          <t>RP0003318</t>
        </is>
      </c>
      <c r="B3319" t="inlineStr">
        <is>
          <t>LN200478</t>
        </is>
      </c>
      <c r="C3319" t="n">
        <v>9</v>
      </c>
      <c r="D3319" s="8" t="n">
        <v>46415</v>
      </c>
      <c r="E3319" s="9" t="n">
        <v>13892.17</v>
      </c>
      <c r="F3319" s="8" t="n"/>
      <c r="G3319" s="9" t="n">
        <v>0</v>
      </c>
      <c r="H3319" t="inlineStr">
        <is>
          <t>NOT_DUE</t>
        </is>
      </c>
      <c r="I3319">
        <f>IF(H3319="UNPAID", AsOfDate-D3319, 0)</f>
        <v/>
      </c>
      <c r="J3319">
        <f>IF(F3319&lt;&gt;"", TEXT(F3319, "yyyy-mm"), "")</f>
        <v/>
      </c>
    </row>
    <row r="3320">
      <c r="A3320" t="inlineStr">
        <is>
          <t>RP0003319</t>
        </is>
      </c>
      <c r="B3320" t="inlineStr">
        <is>
          <t>LN200479</t>
        </is>
      </c>
      <c r="C3320" t="n">
        <v>1</v>
      </c>
      <c r="D3320" s="8" t="n">
        <v>45827</v>
      </c>
      <c r="E3320" s="9" t="n">
        <v>11976.25</v>
      </c>
      <c r="F3320" s="8" t="n">
        <v>45829</v>
      </c>
      <c r="G3320" s="9" t="n">
        <v>11976.25</v>
      </c>
      <c r="H3320" t="inlineStr">
        <is>
          <t>PAID_ON_TIME</t>
        </is>
      </c>
      <c r="I3320">
        <f>IF(H3320="UNPAID", AsOfDate-D3320, 0)</f>
        <v/>
      </c>
      <c r="J3320">
        <f>IF(F3320&lt;&gt;"", TEXT(F3320, "yyyy-mm"), "")</f>
        <v/>
      </c>
    </row>
    <row r="3321">
      <c r="A3321" t="inlineStr">
        <is>
          <t>RP0003320</t>
        </is>
      </c>
      <c r="B3321" t="inlineStr">
        <is>
          <t>LN200479</t>
        </is>
      </c>
      <c r="C3321" t="n">
        <v>2</v>
      </c>
      <c r="D3321" s="8" t="n">
        <v>45857</v>
      </c>
      <c r="E3321" s="9" t="n">
        <v>11976.25</v>
      </c>
      <c r="F3321" s="8" t="n">
        <v>45857</v>
      </c>
      <c r="G3321" s="9" t="n">
        <v>11976.25</v>
      </c>
      <c r="H3321" t="inlineStr">
        <is>
          <t>PAID_ON_TIME</t>
        </is>
      </c>
      <c r="I3321">
        <f>IF(H3321="UNPAID", AsOfDate-D3321, 0)</f>
        <v/>
      </c>
      <c r="J3321">
        <f>IF(F3321&lt;&gt;"", TEXT(F3321, "yyyy-mm"), "")</f>
        <v/>
      </c>
    </row>
    <row r="3322">
      <c r="A3322" t="inlineStr">
        <is>
          <t>RP0003321</t>
        </is>
      </c>
      <c r="B3322" t="inlineStr">
        <is>
          <t>LN200479</t>
        </is>
      </c>
      <c r="C3322" t="n">
        <v>3</v>
      </c>
      <c r="D3322" s="8" t="n">
        <v>45888</v>
      </c>
      <c r="E3322" s="9" t="n">
        <v>11976.25</v>
      </c>
      <c r="F3322" s="8" t="n">
        <v>45891</v>
      </c>
      <c r="G3322" s="9" t="n">
        <v>11976.25</v>
      </c>
      <c r="H3322" t="inlineStr">
        <is>
          <t>PAID_ON_TIME</t>
        </is>
      </c>
      <c r="I3322">
        <f>IF(H3322="UNPAID", AsOfDate-D3322, 0)</f>
        <v/>
      </c>
      <c r="J3322">
        <f>IF(F3322&lt;&gt;"", TEXT(F3322, "yyyy-mm"), "")</f>
        <v/>
      </c>
    </row>
    <row r="3323">
      <c r="A3323" t="inlineStr">
        <is>
          <t>RP0003322</t>
        </is>
      </c>
      <c r="B3323" t="inlineStr">
        <is>
          <t>LN200479</t>
        </is>
      </c>
      <c r="C3323" t="n">
        <v>4</v>
      </c>
      <c r="D3323" s="8" t="n">
        <v>45919</v>
      </c>
      <c r="E3323" s="9" t="n">
        <v>11976.25</v>
      </c>
      <c r="F3323" s="8" t="n">
        <v>45918</v>
      </c>
      <c r="G3323" s="9" t="n">
        <v>11976.25</v>
      </c>
      <c r="H3323" t="inlineStr">
        <is>
          <t>PAID_ON_TIME</t>
        </is>
      </c>
      <c r="I3323">
        <f>IF(H3323="UNPAID", AsOfDate-D3323, 0)</f>
        <v/>
      </c>
      <c r="J3323">
        <f>IF(F3323&lt;&gt;"", TEXT(F3323, "yyyy-mm"), "")</f>
        <v/>
      </c>
    </row>
    <row r="3324">
      <c r="A3324" t="inlineStr">
        <is>
          <t>RP0003323</t>
        </is>
      </c>
      <c r="B3324" t="inlineStr">
        <is>
          <t>LN200479</t>
        </is>
      </c>
      <c r="C3324" t="n">
        <v>5</v>
      </c>
      <c r="D3324" s="8" t="n">
        <v>45949</v>
      </c>
      <c r="E3324" s="9" t="n">
        <v>11976.25</v>
      </c>
      <c r="F3324" s="8" t="n">
        <v>45946</v>
      </c>
      <c r="G3324" s="9" t="n">
        <v>11976.25</v>
      </c>
      <c r="H3324" t="inlineStr">
        <is>
          <t>PAID_ON_TIME</t>
        </is>
      </c>
      <c r="I3324">
        <f>IF(H3324="UNPAID", AsOfDate-D3324, 0)</f>
        <v/>
      </c>
      <c r="J3324">
        <f>IF(F3324&lt;&gt;"", TEXT(F3324, "yyyy-mm"), "")</f>
        <v/>
      </c>
    </row>
    <row r="3325">
      <c r="A3325" t="inlineStr">
        <is>
          <t>RP0003324</t>
        </is>
      </c>
      <c r="B3325" t="inlineStr">
        <is>
          <t>LN200479</t>
        </is>
      </c>
      <c r="C3325" t="n">
        <v>6</v>
      </c>
      <c r="D3325" s="8" t="n">
        <v>45980</v>
      </c>
      <c r="E3325" s="9" t="n">
        <v>11976.25</v>
      </c>
      <c r="F3325" s="8" t="n">
        <v>45977</v>
      </c>
      <c r="G3325" s="9" t="n">
        <v>11976.25</v>
      </c>
      <c r="H3325" t="inlineStr">
        <is>
          <t>PAID_ON_TIME</t>
        </is>
      </c>
      <c r="I3325">
        <f>IF(H3325="UNPAID", AsOfDate-D3325, 0)</f>
        <v/>
      </c>
      <c r="J3325">
        <f>IF(F3325&lt;&gt;"", TEXT(F3325, "yyyy-mm"), "")</f>
        <v/>
      </c>
    </row>
    <row r="3326">
      <c r="A3326" t="inlineStr">
        <is>
          <t>RP0003325</t>
        </is>
      </c>
      <c r="B3326" t="inlineStr">
        <is>
          <t>LN200480</t>
        </is>
      </c>
      <c r="C3326" t="n">
        <v>1</v>
      </c>
      <c r="D3326" s="8" t="n">
        <v>45997</v>
      </c>
      <c r="E3326" s="9" t="n">
        <v>6402.08</v>
      </c>
      <c r="F3326" s="8" t="n">
        <v>45999</v>
      </c>
      <c r="G3326" s="9" t="n">
        <v>6402.08</v>
      </c>
      <c r="H3326" t="inlineStr">
        <is>
          <t>PAID_ON_TIME</t>
        </is>
      </c>
      <c r="I3326">
        <f>IF(H3326="UNPAID", AsOfDate-D3326, 0)</f>
        <v/>
      </c>
      <c r="J3326">
        <f>IF(F3326&lt;&gt;"", TEXT(F3326, "yyyy-mm"), "")</f>
        <v/>
      </c>
    </row>
    <row r="3327">
      <c r="A3327" t="inlineStr">
        <is>
          <t>RP0003326</t>
        </is>
      </c>
      <c r="B3327" t="inlineStr">
        <is>
          <t>LN200480</t>
        </is>
      </c>
      <c r="C3327" t="n">
        <v>2</v>
      </c>
      <c r="D3327" s="8" t="n">
        <v>46028</v>
      </c>
      <c r="E3327" s="9" t="n">
        <v>6402.08</v>
      </c>
      <c r="F3327" s="8" t="n">
        <v>46136</v>
      </c>
      <c r="G3327" s="9" t="n">
        <v>6402.08</v>
      </c>
      <c r="H3327" t="inlineStr">
        <is>
          <t>PAID_LATE</t>
        </is>
      </c>
      <c r="I3327">
        <f>IF(H3327="UNPAID", AsOfDate-D3327, 0)</f>
        <v/>
      </c>
      <c r="J3327">
        <f>IF(F3327&lt;&gt;"", TEXT(F3327, "yyyy-mm"), "")</f>
        <v/>
      </c>
    </row>
    <row r="3328">
      <c r="A3328" t="inlineStr">
        <is>
          <t>RP0003327</t>
        </is>
      </c>
      <c r="B3328" t="inlineStr">
        <is>
          <t>LN200480</t>
        </is>
      </c>
      <c r="C3328" t="n">
        <v>3</v>
      </c>
      <c r="D3328" s="8" t="n">
        <v>46059</v>
      </c>
      <c r="E3328" s="9" t="n">
        <v>6402.08</v>
      </c>
      <c r="F3328" s="8" t="n">
        <v>46056</v>
      </c>
      <c r="G3328" s="9" t="n">
        <v>6402.08</v>
      </c>
      <c r="H3328" t="inlineStr">
        <is>
          <t>PAID_ON_TIME</t>
        </is>
      </c>
      <c r="I3328">
        <f>IF(H3328="UNPAID", AsOfDate-D3328, 0)</f>
        <v/>
      </c>
      <c r="J3328">
        <f>IF(F3328&lt;&gt;"", TEXT(F3328, "yyyy-mm"), "")</f>
        <v/>
      </c>
    </row>
    <row r="3329">
      <c r="A3329" t="inlineStr">
        <is>
          <t>RP0003328</t>
        </is>
      </c>
      <c r="B3329" t="inlineStr">
        <is>
          <t>LN200480</t>
        </is>
      </c>
      <c r="C3329" t="n">
        <v>4</v>
      </c>
      <c r="D3329" s="8" t="n">
        <v>46087</v>
      </c>
      <c r="E3329" s="9" t="n">
        <v>6402.08</v>
      </c>
      <c r="F3329" s="8" t="n">
        <v>46087</v>
      </c>
      <c r="G3329" s="9" t="n">
        <v>6402.08</v>
      </c>
      <c r="H3329" t="inlineStr">
        <is>
          <t>PAID_ON_TIME</t>
        </is>
      </c>
      <c r="I3329">
        <f>IF(H3329="UNPAID", AsOfDate-D3329, 0)</f>
        <v/>
      </c>
      <c r="J3329">
        <f>IF(F3329&lt;&gt;"", TEXT(F3329, "yyyy-mm"), "")</f>
        <v/>
      </c>
    </row>
    <row r="3330">
      <c r="A3330" t="inlineStr">
        <is>
          <t>RP0003329</t>
        </is>
      </c>
      <c r="B3330" t="inlineStr">
        <is>
          <t>LN200480</t>
        </is>
      </c>
      <c r="C3330" t="n">
        <v>5</v>
      </c>
      <c r="D3330" s="8" t="n">
        <v>46118</v>
      </c>
      <c r="E3330" s="9" t="n">
        <v>6402.08</v>
      </c>
      <c r="F3330" s="8" t="n">
        <v>46119</v>
      </c>
      <c r="G3330" s="9" t="n">
        <v>6402.08</v>
      </c>
      <c r="H3330" t="inlineStr">
        <is>
          <t>PAID_ON_TIME</t>
        </is>
      </c>
      <c r="I3330">
        <f>IF(H3330="UNPAID", AsOfDate-D3330, 0)</f>
        <v/>
      </c>
      <c r="J3330">
        <f>IF(F3330&lt;&gt;"", TEXT(F3330, "yyyy-mm"), "")</f>
        <v/>
      </c>
    </row>
    <row r="3331">
      <c r="A3331" t="inlineStr">
        <is>
          <t>RP0003330</t>
        </is>
      </c>
      <c r="B3331" t="inlineStr">
        <is>
          <t>LN200480</t>
        </is>
      </c>
      <c r="C3331" t="n">
        <v>6</v>
      </c>
      <c r="D3331" s="8" t="n">
        <v>46148</v>
      </c>
      <c r="E3331" s="9" t="n">
        <v>6402.08</v>
      </c>
      <c r="F3331" s="8" t="n">
        <v>46148</v>
      </c>
      <c r="G3331" s="9" t="n">
        <v>6402.08</v>
      </c>
      <c r="H3331" t="inlineStr">
        <is>
          <t>PAID_ON_TIME</t>
        </is>
      </c>
      <c r="I3331">
        <f>IF(H3331="UNPAID", AsOfDate-D3331, 0)</f>
        <v/>
      </c>
      <c r="J3331">
        <f>IF(F3331&lt;&gt;"", TEXT(F3331, "yyyy-mm"), "")</f>
        <v/>
      </c>
    </row>
    <row r="3332">
      <c r="A3332" t="inlineStr">
        <is>
          <t>RP0003331</t>
        </is>
      </c>
      <c r="B3332" t="inlineStr">
        <is>
          <t>LN200481</t>
        </is>
      </c>
      <c r="C3332" t="n">
        <v>1</v>
      </c>
      <c r="D3332" s="8" t="n">
        <v>46257</v>
      </c>
      <c r="E3332" s="9" t="n">
        <v>3748.28</v>
      </c>
      <c r="F3332" s="8" t="n">
        <v>46257</v>
      </c>
      <c r="G3332" s="9" t="n">
        <v>3748.28</v>
      </c>
      <c r="H3332" t="inlineStr">
        <is>
          <t>PAID_ON_TIME</t>
        </is>
      </c>
      <c r="I3332">
        <f>IF(H3332="UNPAID", AsOfDate-D3332, 0)</f>
        <v/>
      </c>
      <c r="J3332">
        <f>IF(F3332&lt;&gt;"", TEXT(F3332, "yyyy-mm"), "")</f>
        <v/>
      </c>
    </row>
    <row r="3333">
      <c r="A3333" t="inlineStr">
        <is>
          <t>RP0003332</t>
        </is>
      </c>
      <c r="B3333" t="inlineStr">
        <is>
          <t>LN200481</t>
        </is>
      </c>
      <c r="C3333" t="n">
        <v>2</v>
      </c>
      <c r="D3333" s="8" t="n">
        <v>46288</v>
      </c>
      <c r="E3333" s="9" t="n">
        <v>3748.28</v>
      </c>
      <c r="F3333" s="8" t="n"/>
      <c r="G3333" s="9" t="n">
        <v>0</v>
      </c>
      <c r="H3333" t="inlineStr">
        <is>
          <t>NOT_DUE</t>
        </is>
      </c>
      <c r="I3333">
        <f>IF(H3333="UNPAID", AsOfDate-D3333, 0)</f>
        <v/>
      </c>
      <c r="J3333">
        <f>IF(F3333&lt;&gt;"", TEXT(F3333, "yyyy-mm"), "")</f>
        <v/>
      </c>
    </row>
    <row r="3334">
      <c r="A3334" t="inlineStr">
        <is>
          <t>RP0003333</t>
        </is>
      </c>
      <c r="B3334" t="inlineStr">
        <is>
          <t>LN200481</t>
        </is>
      </c>
      <c r="C3334" t="n">
        <v>3</v>
      </c>
      <c r="D3334" s="8" t="n">
        <v>46318</v>
      </c>
      <c r="E3334" s="9" t="n">
        <v>3748.28</v>
      </c>
      <c r="F3334" s="8" t="n"/>
      <c r="G3334" s="9" t="n">
        <v>0</v>
      </c>
      <c r="H3334" t="inlineStr">
        <is>
          <t>NOT_DUE</t>
        </is>
      </c>
      <c r="I3334">
        <f>IF(H3334="UNPAID", AsOfDate-D3334, 0)</f>
        <v/>
      </c>
      <c r="J3334">
        <f>IF(F3334&lt;&gt;"", TEXT(F3334, "yyyy-mm"), "")</f>
        <v/>
      </c>
    </row>
    <row r="3335">
      <c r="A3335" t="inlineStr">
        <is>
          <t>RP0003334</t>
        </is>
      </c>
      <c r="B3335" t="inlineStr">
        <is>
          <t>LN200481</t>
        </is>
      </c>
      <c r="C3335" t="n">
        <v>4</v>
      </c>
      <c r="D3335" s="8" t="n">
        <v>46349</v>
      </c>
      <c r="E3335" s="9" t="n">
        <v>3748.28</v>
      </c>
      <c r="F3335" s="8" t="n"/>
      <c r="G3335" s="9" t="n">
        <v>0</v>
      </c>
      <c r="H3335" t="inlineStr">
        <is>
          <t>NOT_DUE</t>
        </is>
      </c>
      <c r="I3335">
        <f>IF(H3335="UNPAID", AsOfDate-D3335, 0)</f>
        <v/>
      </c>
      <c r="J3335">
        <f>IF(F3335&lt;&gt;"", TEXT(F3335, "yyyy-mm"), "")</f>
        <v/>
      </c>
    </row>
    <row r="3336">
      <c r="A3336" t="inlineStr">
        <is>
          <t>RP0003335</t>
        </is>
      </c>
      <c r="B3336" t="inlineStr">
        <is>
          <t>LN200481</t>
        </is>
      </c>
      <c r="C3336" t="n">
        <v>5</v>
      </c>
      <c r="D3336" s="8" t="n">
        <v>46379</v>
      </c>
      <c r="E3336" s="9" t="n">
        <v>3748.28</v>
      </c>
      <c r="F3336" s="8" t="n"/>
      <c r="G3336" s="9" t="n">
        <v>0</v>
      </c>
      <c r="H3336" t="inlineStr">
        <is>
          <t>NOT_DUE</t>
        </is>
      </c>
      <c r="I3336">
        <f>IF(H3336="UNPAID", AsOfDate-D3336, 0)</f>
        <v/>
      </c>
      <c r="J3336">
        <f>IF(F3336&lt;&gt;"", TEXT(F3336, "yyyy-mm"), "")</f>
        <v/>
      </c>
    </row>
    <row r="3337">
      <c r="A3337" t="inlineStr">
        <is>
          <t>RP0003336</t>
        </is>
      </c>
      <c r="B3337" t="inlineStr">
        <is>
          <t>LN200481</t>
        </is>
      </c>
      <c r="C3337" t="n">
        <v>6</v>
      </c>
      <c r="D3337" s="8" t="n">
        <v>46410</v>
      </c>
      <c r="E3337" s="9" t="n">
        <v>3748.28</v>
      </c>
      <c r="F3337" s="8" t="n"/>
      <c r="G3337" s="9" t="n">
        <v>0</v>
      </c>
      <c r="H3337" t="inlineStr">
        <is>
          <t>NOT_DUE</t>
        </is>
      </c>
      <c r="I3337">
        <f>IF(H3337="UNPAID", AsOfDate-D3337, 0)</f>
        <v/>
      </c>
      <c r="J3337">
        <f>IF(F3337&lt;&gt;"", TEXT(F3337, "yyyy-mm"), "")</f>
        <v/>
      </c>
    </row>
    <row r="3338">
      <c r="A3338" t="inlineStr">
        <is>
          <t>RP0003337</t>
        </is>
      </c>
      <c r="B3338" t="inlineStr">
        <is>
          <t>LN200481</t>
        </is>
      </c>
      <c r="C3338" t="n">
        <v>7</v>
      </c>
      <c r="D3338" s="8" t="n">
        <v>46441</v>
      </c>
      <c r="E3338" s="9" t="n">
        <v>3748.28</v>
      </c>
      <c r="F3338" s="8" t="n"/>
      <c r="G3338" s="9" t="n">
        <v>0</v>
      </c>
      <c r="H3338" t="inlineStr">
        <is>
          <t>NOT_DUE</t>
        </is>
      </c>
      <c r="I3338">
        <f>IF(H3338="UNPAID", AsOfDate-D3338, 0)</f>
        <v/>
      </c>
      <c r="J3338">
        <f>IF(F3338&lt;&gt;"", TEXT(F3338, "yyyy-mm"), "")</f>
        <v/>
      </c>
    </row>
    <row r="3339">
      <c r="A3339" t="inlineStr">
        <is>
          <t>RP0003338</t>
        </is>
      </c>
      <c r="B3339" t="inlineStr">
        <is>
          <t>LN200481</t>
        </is>
      </c>
      <c r="C3339" t="n">
        <v>8</v>
      </c>
      <c r="D3339" s="8" t="n">
        <v>46469</v>
      </c>
      <c r="E3339" s="9" t="n">
        <v>3748.28</v>
      </c>
      <c r="F3339" s="8" t="n"/>
      <c r="G3339" s="9" t="n">
        <v>0</v>
      </c>
      <c r="H3339" t="inlineStr">
        <is>
          <t>NOT_DUE</t>
        </is>
      </c>
      <c r="I3339">
        <f>IF(H3339="UNPAID", AsOfDate-D3339, 0)</f>
        <v/>
      </c>
      <c r="J3339">
        <f>IF(F3339&lt;&gt;"", TEXT(F3339, "yyyy-mm"), "")</f>
        <v/>
      </c>
    </row>
    <row r="3340">
      <c r="A3340" t="inlineStr">
        <is>
          <t>RP0003339</t>
        </is>
      </c>
      <c r="B3340" t="inlineStr">
        <is>
          <t>LN200481</t>
        </is>
      </c>
      <c r="C3340" t="n">
        <v>9</v>
      </c>
      <c r="D3340" s="8" t="n">
        <v>46500</v>
      </c>
      <c r="E3340" s="9" t="n">
        <v>3748.28</v>
      </c>
      <c r="F3340" s="8" t="n"/>
      <c r="G3340" s="9" t="n">
        <v>0</v>
      </c>
      <c r="H3340" t="inlineStr">
        <is>
          <t>NOT_DUE</t>
        </is>
      </c>
      <c r="I3340">
        <f>IF(H3340="UNPAID", AsOfDate-D3340, 0)</f>
        <v/>
      </c>
      <c r="J3340">
        <f>IF(F3340&lt;&gt;"", TEXT(F3340, "yyyy-mm"), "")</f>
        <v/>
      </c>
    </row>
    <row r="3341">
      <c r="A3341" t="inlineStr">
        <is>
          <t>RP0003340</t>
        </is>
      </c>
      <c r="B3341" t="inlineStr">
        <is>
          <t>LN200481</t>
        </is>
      </c>
      <c r="C3341" t="n">
        <v>10</v>
      </c>
      <c r="D3341" s="8" t="n">
        <v>46530</v>
      </c>
      <c r="E3341" s="9" t="n">
        <v>3748.28</v>
      </c>
      <c r="F3341" s="8" t="n"/>
      <c r="G3341" s="9" t="n">
        <v>0</v>
      </c>
      <c r="H3341" t="inlineStr">
        <is>
          <t>NOT_DUE</t>
        </is>
      </c>
      <c r="I3341">
        <f>IF(H3341="UNPAID", AsOfDate-D3341, 0)</f>
        <v/>
      </c>
      <c r="J3341">
        <f>IF(F3341&lt;&gt;"", TEXT(F3341, "yyyy-mm"), "")</f>
        <v/>
      </c>
    </row>
    <row r="3342">
      <c r="A3342" t="inlineStr">
        <is>
          <t>RP0003341</t>
        </is>
      </c>
      <c r="B3342" t="inlineStr">
        <is>
          <t>LN200481</t>
        </is>
      </c>
      <c r="C3342" t="n">
        <v>11</v>
      </c>
      <c r="D3342" s="8" t="n">
        <v>46561</v>
      </c>
      <c r="E3342" s="9" t="n">
        <v>3748.28</v>
      </c>
      <c r="F3342" s="8" t="n"/>
      <c r="G3342" s="9" t="n">
        <v>0</v>
      </c>
      <c r="H3342" t="inlineStr">
        <is>
          <t>NOT_DUE</t>
        </is>
      </c>
      <c r="I3342">
        <f>IF(H3342="UNPAID", AsOfDate-D3342, 0)</f>
        <v/>
      </c>
      <c r="J3342">
        <f>IF(F3342&lt;&gt;"", TEXT(F3342, "yyyy-mm"), "")</f>
        <v/>
      </c>
    </row>
    <row r="3343">
      <c r="A3343" t="inlineStr">
        <is>
          <t>RP0003342</t>
        </is>
      </c>
      <c r="B3343" t="inlineStr">
        <is>
          <t>LN200481</t>
        </is>
      </c>
      <c r="C3343" t="n">
        <v>12</v>
      </c>
      <c r="D3343" s="8" t="n">
        <v>46591</v>
      </c>
      <c r="E3343" s="9" t="n">
        <v>3748.28</v>
      </c>
      <c r="F3343" s="8" t="n"/>
      <c r="G3343" s="9" t="n">
        <v>0</v>
      </c>
      <c r="H3343" t="inlineStr">
        <is>
          <t>NOT_DUE</t>
        </is>
      </c>
      <c r="I3343">
        <f>IF(H3343="UNPAID", AsOfDate-D3343, 0)</f>
        <v/>
      </c>
      <c r="J3343">
        <f>IF(F3343&lt;&gt;"", TEXT(F3343, "yyyy-mm"), "")</f>
        <v/>
      </c>
    </row>
    <row r="3344">
      <c r="A3344" t="inlineStr">
        <is>
          <t>RP0003343</t>
        </is>
      </c>
      <c r="B3344" t="inlineStr">
        <is>
          <t>LN200481</t>
        </is>
      </c>
      <c r="C3344" t="n">
        <v>13</v>
      </c>
      <c r="D3344" s="8" t="n">
        <v>46622</v>
      </c>
      <c r="E3344" s="9" t="n">
        <v>3748.28</v>
      </c>
      <c r="F3344" s="8" t="n"/>
      <c r="G3344" s="9" t="n">
        <v>0</v>
      </c>
      <c r="H3344" t="inlineStr">
        <is>
          <t>NOT_DUE</t>
        </is>
      </c>
      <c r="I3344">
        <f>IF(H3344="UNPAID", AsOfDate-D3344, 0)</f>
        <v/>
      </c>
      <c r="J3344">
        <f>IF(F3344&lt;&gt;"", TEXT(F3344, "yyyy-mm"), "")</f>
        <v/>
      </c>
    </row>
    <row r="3345">
      <c r="A3345" t="inlineStr">
        <is>
          <t>RP0003344</t>
        </is>
      </c>
      <c r="B3345" t="inlineStr">
        <is>
          <t>LN200481</t>
        </is>
      </c>
      <c r="C3345" t="n">
        <v>14</v>
      </c>
      <c r="D3345" s="8" t="n">
        <v>46653</v>
      </c>
      <c r="E3345" s="9" t="n">
        <v>3748.28</v>
      </c>
      <c r="F3345" s="8" t="n"/>
      <c r="G3345" s="9" t="n">
        <v>0</v>
      </c>
      <c r="H3345" t="inlineStr">
        <is>
          <t>NOT_DUE</t>
        </is>
      </c>
      <c r="I3345">
        <f>IF(H3345="UNPAID", AsOfDate-D3345, 0)</f>
        <v/>
      </c>
      <c r="J3345">
        <f>IF(F3345&lt;&gt;"", TEXT(F3345, "yyyy-mm"), "")</f>
        <v/>
      </c>
    </row>
    <row r="3346">
      <c r="A3346" t="inlineStr">
        <is>
          <t>RP0003345</t>
        </is>
      </c>
      <c r="B3346" t="inlineStr">
        <is>
          <t>LN200481</t>
        </is>
      </c>
      <c r="C3346" t="n">
        <v>15</v>
      </c>
      <c r="D3346" s="8" t="n">
        <v>46683</v>
      </c>
      <c r="E3346" s="9" t="n">
        <v>3748.28</v>
      </c>
      <c r="F3346" s="8" t="n"/>
      <c r="G3346" s="9" t="n">
        <v>0</v>
      </c>
      <c r="H3346" t="inlineStr">
        <is>
          <t>NOT_DUE</t>
        </is>
      </c>
      <c r="I3346">
        <f>IF(H3346="UNPAID", AsOfDate-D3346, 0)</f>
        <v/>
      </c>
      <c r="J3346">
        <f>IF(F3346&lt;&gt;"", TEXT(F3346, "yyyy-mm"), "")</f>
        <v/>
      </c>
    </row>
    <row r="3347">
      <c r="A3347" t="inlineStr">
        <is>
          <t>RP0003346</t>
        </is>
      </c>
      <c r="B3347" t="inlineStr">
        <is>
          <t>LN200481</t>
        </is>
      </c>
      <c r="C3347" t="n">
        <v>16</v>
      </c>
      <c r="D3347" s="8" t="n">
        <v>46714</v>
      </c>
      <c r="E3347" s="9" t="n">
        <v>3748.28</v>
      </c>
      <c r="F3347" s="8" t="n"/>
      <c r="G3347" s="9" t="n">
        <v>0</v>
      </c>
      <c r="H3347" t="inlineStr">
        <is>
          <t>NOT_DUE</t>
        </is>
      </c>
      <c r="I3347">
        <f>IF(H3347="UNPAID", AsOfDate-D3347, 0)</f>
        <v/>
      </c>
      <c r="J3347">
        <f>IF(F3347&lt;&gt;"", TEXT(F3347, "yyyy-mm"), "")</f>
        <v/>
      </c>
    </row>
    <row r="3348">
      <c r="A3348" t="inlineStr">
        <is>
          <t>RP0003347</t>
        </is>
      </c>
      <c r="B3348" t="inlineStr">
        <is>
          <t>LN200481</t>
        </is>
      </c>
      <c r="C3348" t="n">
        <v>17</v>
      </c>
      <c r="D3348" s="8" t="n">
        <v>46744</v>
      </c>
      <c r="E3348" s="9" t="n">
        <v>3748.28</v>
      </c>
      <c r="F3348" s="8" t="n"/>
      <c r="G3348" s="9" t="n">
        <v>0</v>
      </c>
      <c r="H3348" t="inlineStr">
        <is>
          <t>NOT_DUE</t>
        </is>
      </c>
      <c r="I3348">
        <f>IF(H3348="UNPAID", AsOfDate-D3348, 0)</f>
        <v/>
      </c>
      <c r="J3348">
        <f>IF(F3348&lt;&gt;"", TEXT(F3348, "yyyy-mm"), "")</f>
        <v/>
      </c>
    </row>
    <row r="3349">
      <c r="A3349" t="inlineStr">
        <is>
          <t>RP0003348</t>
        </is>
      </c>
      <c r="B3349" t="inlineStr">
        <is>
          <t>LN200481</t>
        </is>
      </c>
      <c r="C3349" t="n">
        <v>18</v>
      </c>
      <c r="D3349" s="8" t="n">
        <v>46775</v>
      </c>
      <c r="E3349" s="9" t="n">
        <v>3748.28</v>
      </c>
      <c r="F3349" s="8" t="n"/>
      <c r="G3349" s="9" t="n">
        <v>0</v>
      </c>
      <c r="H3349" t="inlineStr">
        <is>
          <t>NOT_DUE</t>
        </is>
      </c>
      <c r="I3349">
        <f>IF(H3349="UNPAID", AsOfDate-D3349, 0)</f>
        <v/>
      </c>
      <c r="J3349">
        <f>IF(F3349&lt;&gt;"", TEXT(F3349, "yyyy-mm"), "")</f>
        <v/>
      </c>
    </row>
    <row r="3350">
      <c r="A3350" t="inlineStr">
        <is>
          <t>RP0003349</t>
        </is>
      </c>
      <c r="B3350" t="inlineStr">
        <is>
          <t>LN200482</t>
        </is>
      </c>
      <c r="C3350" t="n">
        <v>1</v>
      </c>
      <c r="D3350" s="8" t="n">
        <v>45952</v>
      </c>
      <c r="E3350" s="9" t="n">
        <v>81290.42</v>
      </c>
      <c r="F3350" s="8" t="n">
        <v>45955</v>
      </c>
      <c r="G3350" s="9" t="n">
        <v>81290.42</v>
      </c>
      <c r="H3350" t="inlineStr">
        <is>
          <t>PAID_ON_TIME</t>
        </is>
      </c>
      <c r="I3350">
        <f>IF(H3350="UNPAID", AsOfDate-D3350, 0)</f>
        <v/>
      </c>
      <c r="J3350">
        <f>IF(F3350&lt;&gt;"", TEXT(F3350, "yyyy-mm"), "")</f>
        <v/>
      </c>
    </row>
    <row r="3351">
      <c r="A3351" t="inlineStr">
        <is>
          <t>RP0003350</t>
        </is>
      </c>
      <c r="B3351" t="inlineStr">
        <is>
          <t>LN200482</t>
        </is>
      </c>
      <c r="C3351" t="n">
        <v>2</v>
      </c>
      <c r="D3351" s="8" t="n">
        <v>45983</v>
      </c>
      <c r="E3351" s="9" t="n">
        <v>81290.42</v>
      </c>
      <c r="F3351" s="8" t="n">
        <v>45980</v>
      </c>
      <c r="G3351" s="9" t="n">
        <v>81290.42</v>
      </c>
      <c r="H3351" t="inlineStr">
        <is>
          <t>PAID_ON_TIME</t>
        </is>
      </c>
      <c r="I3351">
        <f>IF(H3351="UNPAID", AsOfDate-D3351, 0)</f>
        <v/>
      </c>
      <c r="J3351">
        <f>IF(F3351&lt;&gt;"", TEXT(F3351, "yyyy-mm"), "")</f>
        <v/>
      </c>
    </row>
    <row r="3352">
      <c r="A3352" t="inlineStr">
        <is>
          <t>RP0003351</t>
        </is>
      </c>
      <c r="B3352" t="inlineStr">
        <is>
          <t>LN200482</t>
        </is>
      </c>
      <c r="C3352" t="n">
        <v>3</v>
      </c>
      <c r="D3352" s="8" t="n">
        <v>46013</v>
      </c>
      <c r="E3352" s="9" t="n">
        <v>81290.42</v>
      </c>
      <c r="F3352" s="8" t="n">
        <v>46026</v>
      </c>
      <c r="G3352" s="9" t="n">
        <v>81290.42</v>
      </c>
      <c r="H3352" t="inlineStr">
        <is>
          <t>PAID_LATE</t>
        </is>
      </c>
      <c r="I3352">
        <f>IF(H3352="UNPAID", AsOfDate-D3352, 0)</f>
        <v/>
      </c>
      <c r="J3352">
        <f>IF(F3352&lt;&gt;"", TEXT(F3352, "yyyy-mm"), "")</f>
        <v/>
      </c>
    </row>
    <row r="3353">
      <c r="A3353" t="inlineStr">
        <is>
          <t>RP0003352</t>
        </is>
      </c>
      <c r="B3353" t="inlineStr">
        <is>
          <t>LN200483</t>
        </is>
      </c>
      <c r="C3353" t="n">
        <v>1</v>
      </c>
      <c r="D3353" s="8" t="n">
        <v>46263</v>
      </c>
      <c r="E3353" s="9" t="n">
        <v>4470</v>
      </c>
      <c r="F3353" s="8" t="n">
        <v>46263</v>
      </c>
      <c r="G3353" s="9" t="n">
        <v>4470</v>
      </c>
      <c r="H3353" t="inlineStr">
        <is>
          <t>PAID_ON_TIME</t>
        </is>
      </c>
      <c r="I3353">
        <f>IF(H3353="UNPAID", AsOfDate-D3353, 0)</f>
        <v/>
      </c>
      <c r="J3353">
        <f>IF(F3353&lt;&gt;"", TEXT(F3353, "yyyy-mm"), "")</f>
        <v/>
      </c>
    </row>
    <row r="3354">
      <c r="A3354" t="inlineStr">
        <is>
          <t>RP0003353</t>
        </is>
      </c>
      <c r="B3354" t="inlineStr">
        <is>
          <t>LN200483</t>
        </is>
      </c>
      <c r="C3354" t="n">
        <v>2</v>
      </c>
      <c r="D3354" s="8" t="n">
        <v>46294</v>
      </c>
      <c r="E3354" s="9" t="n">
        <v>4470</v>
      </c>
      <c r="F3354" s="8" t="n"/>
      <c r="G3354" s="9" t="n">
        <v>0</v>
      </c>
      <c r="H3354" t="inlineStr">
        <is>
          <t>NOT_DUE</t>
        </is>
      </c>
      <c r="I3354">
        <f>IF(H3354="UNPAID", AsOfDate-D3354, 0)</f>
        <v/>
      </c>
      <c r="J3354">
        <f>IF(F3354&lt;&gt;"", TEXT(F3354, "yyyy-mm"), "")</f>
        <v/>
      </c>
    </row>
    <row r="3355">
      <c r="A3355" t="inlineStr">
        <is>
          <t>RP0003354</t>
        </is>
      </c>
      <c r="B3355" t="inlineStr">
        <is>
          <t>LN200483</t>
        </is>
      </c>
      <c r="C3355" t="n">
        <v>3</v>
      </c>
      <c r="D3355" s="8" t="n">
        <v>46324</v>
      </c>
      <c r="E3355" s="9" t="n">
        <v>4470</v>
      </c>
      <c r="F3355" s="8" t="n"/>
      <c r="G3355" s="9" t="n">
        <v>0</v>
      </c>
      <c r="H3355" t="inlineStr">
        <is>
          <t>NOT_DUE</t>
        </is>
      </c>
      <c r="I3355">
        <f>IF(H3355="UNPAID", AsOfDate-D3355, 0)</f>
        <v/>
      </c>
      <c r="J3355">
        <f>IF(F3355&lt;&gt;"", TEXT(F3355, "yyyy-mm"), "")</f>
        <v/>
      </c>
    </row>
    <row r="3356">
      <c r="A3356" t="inlineStr">
        <is>
          <t>RP0003355</t>
        </is>
      </c>
      <c r="B3356" t="inlineStr">
        <is>
          <t>LN200483</t>
        </is>
      </c>
      <c r="C3356" t="n">
        <v>4</v>
      </c>
      <c r="D3356" s="8" t="n">
        <v>46355</v>
      </c>
      <c r="E3356" s="9" t="n">
        <v>4470</v>
      </c>
      <c r="F3356" s="8" t="n"/>
      <c r="G3356" s="9" t="n">
        <v>0</v>
      </c>
      <c r="H3356" t="inlineStr">
        <is>
          <t>NOT_DUE</t>
        </is>
      </c>
      <c r="I3356">
        <f>IF(H3356="UNPAID", AsOfDate-D3356, 0)</f>
        <v/>
      </c>
      <c r="J3356">
        <f>IF(F3356&lt;&gt;"", TEXT(F3356, "yyyy-mm"), "")</f>
        <v/>
      </c>
    </row>
    <row r="3357">
      <c r="A3357" t="inlineStr">
        <is>
          <t>RP0003356</t>
        </is>
      </c>
      <c r="B3357" t="inlineStr">
        <is>
          <t>LN200483</t>
        </is>
      </c>
      <c r="C3357" t="n">
        <v>5</v>
      </c>
      <c r="D3357" s="8" t="n">
        <v>46385</v>
      </c>
      <c r="E3357" s="9" t="n">
        <v>4470</v>
      </c>
      <c r="F3357" s="8" t="n"/>
      <c r="G3357" s="9" t="n">
        <v>0</v>
      </c>
      <c r="H3357" t="inlineStr">
        <is>
          <t>NOT_DUE</t>
        </is>
      </c>
      <c r="I3357">
        <f>IF(H3357="UNPAID", AsOfDate-D3357, 0)</f>
        <v/>
      </c>
      <c r="J3357">
        <f>IF(F3357&lt;&gt;"", TEXT(F3357, "yyyy-mm"), "")</f>
        <v/>
      </c>
    </row>
    <row r="3358">
      <c r="A3358" t="inlineStr">
        <is>
          <t>RP0003357</t>
        </is>
      </c>
      <c r="B3358" t="inlineStr">
        <is>
          <t>LN200483</t>
        </is>
      </c>
      <c r="C3358" t="n">
        <v>6</v>
      </c>
      <c r="D3358" s="8" t="n">
        <v>46416</v>
      </c>
      <c r="E3358" s="9" t="n">
        <v>4470</v>
      </c>
      <c r="F3358" s="8" t="n"/>
      <c r="G3358" s="9" t="n">
        <v>0</v>
      </c>
      <c r="H3358" t="inlineStr">
        <is>
          <t>NOT_DUE</t>
        </is>
      </c>
      <c r="I3358">
        <f>IF(H3358="UNPAID", AsOfDate-D3358, 0)</f>
        <v/>
      </c>
      <c r="J3358">
        <f>IF(F3358&lt;&gt;"", TEXT(F3358, "yyyy-mm"), "")</f>
        <v/>
      </c>
    </row>
    <row r="3359">
      <c r="A3359" t="inlineStr">
        <is>
          <t>RP0003358</t>
        </is>
      </c>
      <c r="B3359" t="inlineStr">
        <is>
          <t>LN200484</t>
        </is>
      </c>
      <c r="C3359" t="n">
        <v>1</v>
      </c>
      <c r="D3359" s="8" t="n">
        <v>46125</v>
      </c>
      <c r="E3359" s="9" t="n">
        <v>17943.5</v>
      </c>
      <c r="F3359" s="8" t="n">
        <v>46127</v>
      </c>
      <c r="G3359" s="9" t="n">
        <v>17943.5</v>
      </c>
      <c r="H3359" t="inlineStr">
        <is>
          <t>PAID_ON_TIME</t>
        </is>
      </c>
      <c r="I3359">
        <f>IF(H3359="UNPAID", AsOfDate-D3359, 0)</f>
        <v/>
      </c>
      <c r="J3359">
        <f>IF(F3359&lt;&gt;"", TEXT(F3359, "yyyy-mm"), "")</f>
        <v/>
      </c>
    </row>
    <row r="3360">
      <c r="A3360" t="inlineStr">
        <is>
          <t>RP0003359</t>
        </is>
      </c>
      <c r="B3360" t="inlineStr">
        <is>
          <t>LN200484</t>
        </is>
      </c>
      <c r="C3360" t="n">
        <v>2</v>
      </c>
      <c r="D3360" s="8" t="n">
        <v>46155</v>
      </c>
      <c r="E3360" s="9" t="n">
        <v>17943.5</v>
      </c>
      <c r="F3360" s="8" t="n">
        <v>46257</v>
      </c>
      <c r="G3360" s="9" t="n">
        <v>17943.5</v>
      </c>
      <c r="H3360" t="inlineStr">
        <is>
          <t>PAID_LATE</t>
        </is>
      </c>
      <c r="I3360">
        <f>IF(H3360="UNPAID", AsOfDate-D3360, 0)</f>
        <v/>
      </c>
      <c r="J3360">
        <f>IF(F3360&lt;&gt;"", TEXT(F3360, "yyyy-mm"), "")</f>
        <v/>
      </c>
    </row>
    <row r="3361">
      <c r="A3361" t="inlineStr">
        <is>
          <t>RP0003360</t>
        </is>
      </c>
      <c r="B3361" t="inlineStr">
        <is>
          <t>LN200484</t>
        </is>
      </c>
      <c r="C3361" t="n">
        <v>3</v>
      </c>
      <c r="D3361" s="8" t="n">
        <v>46186</v>
      </c>
      <c r="E3361" s="9" t="n">
        <v>17943.5</v>
      </c>
      <c r="F3361" s="8" t="n">
        <v>46188</v>
      </c>
      <c r="G3361" s="9" t="n">
        <v>17943.5</v>
      </c>
      <c r="H3361" t="inlineStr">
        <is>
          <t>PAID_ON_TIME</t>
        </is>
      </c>
      <c r="I3361">
        <f>IF(H3361="UNPAID", AsOfDate-D3361, 0)</f>
        <v/>
      </c>
      <c r="J3361">
        <f>IF(F3361&lt;&gt;"", TEXT(F3361, "yyyy-mm"), "")</f>
        <v/>
      </c>
    </row>
    <row r="3362">
      <c r="A3362" t="inlineStr">
        <is>
          <t>RP0003361</t>
        </is>
      </c>
      <c r="B3362" t="inlineStr">
        <is>
          <t>LN200485</t>
        </is>
      </c>
      <c r="C3362" t="n">
        <v>1</v>
      </c>
      <c r="D3362" s="8" t="n">
        <v>46230</v>
      </c>
      <c r="E3362" s="9" t="n">
        <v>27887.08</v>
      </c>
      <c r="F3362" s="8" t="n">
        <v>46233</v>
      </c>
      <c r="G3362" s="9" t="n">
        <v>27887.08</v>
      </c>
      <c r="H3362" t="inlineStr">
        <is>
          <t>PAID_ON_TIME</t>
        </is>
      </c>
      <c r="I3362">
        <f>IF(H3362="UNPAID", AsOfDate-D3362, 0)</f>
        <v/>
      </c>
      <c r="J3362">
        <f>IF(F3362&lt;&gt;"", TEXT(F3362, "yyyy-mm"), "")</f>
        <v/>
      </c>
    </row>
    <row r="3363">
      <c r="A3363" t="inlineStr">
        <is>
          <t>RP0003362</t>
        </is>
      </c>
      <c r="B3363" t="inlineStr">
        <is>
          <t>LN200485</t>
        </is>
      </c>
      <c r="C3363" t="n">
        <v>2</v>
      </c>
      <c r="D3363" s="8" t="n">
        <v>46261</v>
      </c>
      <c r="E3363" s="9" t="n">
        <v>27887.08</v>
      </c>
      <c r="F3363" s="8" t="n">
        <v>46260</v>
      </c>
      <c r="G3363" s="9" t="n">
        <v>27887.08</v>
      </c>
      <c r="H3363" t="inlineStr">
        <is>
          <t>PAID_ON_TIME</t>
        </is>
      </c>
      <c r="I3363">
        <f>IF(H3363="UNPAID", AsOfDate-D3363, 0)</f>
        <v/>
      </c>
      <c r="J3363">
        <f>IF(F3363&lt;&gt;"", TEXT(F3363, "yyyy-mm"), "")</f>
        <v/>
      </c>
    </row>
    <row r="3364">
      <c r="A3364" t="inlineStr">
        <is>
          <t>RP0003363</t>
        </is>
      </c>
      <c r="B3364" t="inlineStr">
        <is>
          <t>LN200485</t>
        </is>
      </c>
      <c r="C3364" t="n">
        <v>3</v>
      </c>
      <c r="D3364" s="8" t="n">
        <v>46292</v>
      </c>
      <c r="E3364" s="9" t="n">
        <v>27887.08</v>
      </c>
      <c r="F3364" s="8" t="n"/>
      <c r="G3364" s="9" t="n">
        <v>0</v>
      </c>
      <c r="H3364" t="inlineStr">
        <is>
          <t>NOT_DUE</t>
        </is>
      </c>
      <c r="I3364">
        <f>IF(H3364="UNPAID", AsOfDate-D3364, 0)</f>
        <v/>
      </c>
      <c r="J3364">
        <f>IF(F3364&lt;&gt;"", TEXT(F3364, "yyyy-mm"), "")</f>
        <v/>
      </c>
    </row>
    <row r="3365">
      <c r="A3365" t="inlineStr">
        <is>
          <t>RP0003364</t>
        </is>
      </c>
      <c r="B3365" t="inlineStr">
        <is>
          <t>LN200485</t>
        </is>
      </c>
      <c r="C3365" t="n">
        <v>4</v>
      </c>
      <c r="D3365" s="8" t="n">
        <v>46322</v>
      </c>
      <c r="E3365" s="9" t="n">
        <v>27887.08</v>
      </c>
      <c r="F3365" s="8" t="n"/>
      <c r="G3365" s="9" t="n">
        <v>0</v>
      </c>
      <c r="H3365" t="inlineStr">
        <is>
          <t>NOT_DUE</t>
        </is>
      </c>
      <c r="I3365">
        <f>IF(H3365="UNPAID", AsOfDate-D3365, 0)</f>
        <v/>
      </c>
      <c r="J3365">
        <f>IF(F3365&lt;&gt;"", TEXT(F3365, "yyyy-mm"), "")</f>
        <v/>
      </c>
    </row>
    <row r="3366">
      <c r="A3366" t="inlineStr">
        <is>
          <t>RP0003365</t>
        </is>
      </c>
      <c r="B3366" t="inlineStr">
        <is>
          <t>LN200485</t>
        </is>
      </c>
      <c r="C3366" t="n">
        <v>5</v>
      </c>
      <c r="D3366" s="8" t="n">
        <v>46353</v>
      </c>
      <c r="E3366" s="9" t="n">
        <v>27887.08</v>
      </c>
      <c r="F3366" s="8" t="n"/>
      <c r="G3366" s="9" t="n">
        <v>0</v>
      </c>
      <c r="H3366" t="inlineStr">
        <is>
          <t>NOT_DUE</t>
        </is>
      </c>
      <c r="I3366">
        <f>IF(H3366="UNPAID", AsOfDate-D3366, 0)</f>
        <v/>
      </c>
      <c r="J3366">
        <f>IF(F3366&lt;&gt;"", TEXT(F3366, "yyyy-mm"), "")</f>
        <v/>
      </c>
    </row>
    <row r="3367">
      <c r="A3367" t="inlineStr">
        <is>
          <t>RP0003366</t>
        </is>
      </c>
      <c r="B3367" t="inlineStr">
        <is>
          <t>LN200485</t>
        </is>
      </c>
      <c r="C3367" t="n">
        <v>6</v>
      </c>
      <c r="D3367" s="8" t="n">
        <v>46383</v>
      </c>
      <c r="E3367" s="9" t="n">
        <v>27887.08</v>
      </c>
      <c r="F3367" s="8" t="n"/>
      <c r="G3367" s="9" t="n">
        <v>0</v>
      </c>
      <c r="H3367" t="inlineStr">
        <is>
          <t>NOT_DUE</t>
        </is>
      </c>
      <c r="I3367">
        <f>IF(H3367="UNPAID", AsOfDate-D3367, 0)</f>
        <v/>
      </c>
      <c r="J3367">
        <f>IF(F3367&lt;&gt;"", TEXT(F3367, "yyyy-mm"), "")</f>
        <v/>
      </c>
    </row>
    <row r="3368">
      <c r="A3368" t="inlineStr">
        <is>
          <t>RP0003367</t>
        </is>
      </c>
      <c r="B3368" t="inlineStr">
        <is>
          <t>LN200487</t>
        </is>
      </c>
      <c r="C3368" t="n">
        <v>1</v>
      </c>
      <c r="D3368" s="8" t="n">
        <v>46153</v>
      </c>
      <c r="E3368" s="9" t="n">
        <v>5702.67</v>
      </c>
      <c r="F3368" s="8" t="n">
        <v>46151</v>
      </c>
      <c r="G3368" s="9" t="n">
        <v>5702.67</v>
      </c>
      <c r="H3368" t="inlineStr">
        <is>
          <t>PAID_ON_TIME</t>
        </is>
      </c>
      <c r="I3368">
        <f>IF(H3368="UNPAID", AsOfDate-D3368, 0)</f>
        <v/>
      </c>
      <c r="J3368">
        <f>IF(F3368&lt;&gt;"", TEXT(F3368, "yyyy-mm"), "")</f>
        <v/>
      </c>
    </row>
    <row r="3369">
      <c r="A3369" t="inlineStr">
        <is>
          <t>RP0003368</t>
        </is>
      </c>
      <c r="B3369" t="inlineStr">
        <is>
          <t>LN200487</t>
        </is>
      </c>
      <c r="C3369" t="n">
        <v>2</v>
      </c>
      <c r="D3369" s="8" t="n">
        <v>46184</v>
      </c>
      <c r="E3369" s="9" t="n">
        <v>5702.67</v>
      </c>
      <c r="F3369" s="8" t="n">
        <v>46181</v>
      </c>
      <c r="G3369" s="9" t="n">
        <v>5702.67</v>
      </c>
      <c r="H3369" t="inlineStr">
        <is>
          <t>PAID_ON_TIME</t>
        </is>
      </c>
      <c r="I3369">
        <f>IF(H3369="UNPAID", AsOfDate-D3369, 0)</f>
        <v/>
      </c>
      <c r="J3369">
        <f>IF(F3369&lt;&gt;"", TEXT(F3369, "yyyy-mm"), "")</f>
        <v/>
      </c>
    </row>
    <row r="3370">
      <c r="A3370" t="inlineStr">
        <is>
          <t>RP0003369</t>
        </is>
      </c>
      <c r="B3370" t="inlineStr">
        <is>
          <t>LN200487</t>
        </is>
      </c>
      <c r="C3370" t="n">
        <v>3</v>
      </c>
      <c r="D3370" s="8" t="n">
        <v>46214</v>
      </c>
      <c r="E3370" s="9" t="n">
        <v>5702.67</v>
      </c>
      <c r="F3370" s="8" t="n">
        <v>46212</v>
      </c>
      <c r="G3370" s="9" t="n">
        <v>5702.67</v>
      </c>
      <c r="H3370" t="inlineStr">
        <is>
          <t>PAID_ON_TIME</t>
        </is>
      </c>
      <c r="I3370">
        <f>IF(H3370="UNPAID", AsOfDate-D3370, 0)</f>
        <v/>
      </c>
      <c r="J3370">
        <f>IF(F3370&lt;&gt;"", TEXT(F3370, "yyyy-mm"), "")</f>
        <v/>
      </c>
    </row>
    <row r="3371">
      <c r="A3371" t="inlineStr">
        <is>
          <t>RP0003370</t>
        </is>
      </c>
      <c r="B3371" t="inlineStr">
        <is>
          <t>LN200487</t>
        </is>
      </c>
      <c r="C3371" t="n">
        <v>4</v>
      </c>
      <c r="D3371" s="8" t="n">
        <v>46245</v>
      </c>
      <c r="E3371" s="9" t="n">
        <v>5702.67</v>
      </c>
      <c r="F3371" s="8" t="n">
        <v>46247</v>
      </c>
      <c r="G3371" s="9" t="n">
        <v>5702.67</v>
      </c>
      <c r="H3371" t="inlineStr">
        <is>
          <t>PAID_ON_TIME</t>
        </is>
      </c>
      <c r="I3371">
        <f>IF(H3371="UNPAID", AsOfDate-D3371, 0)</f>
        <v/>
      </c>
      <c r="J3371">
        <f>IF(F3371&lt;&gt;"", TEXT(F3371, "yyyy-mm"), "")</f>
        <v/>
      </c>
    </row>
    <row r="3372">
      <c r="A3372" t="inlineStr">
        <is>
          <t>RP0003371</t>
        </is>
      </c>
      <c r="B3372" t="inlineStr">
        <is>
          <t>LN200487</t>
        </is>
      </c>
      <c r="C3372" t="n">
        <v>5</v>
      </c>
      <c r="D3372" s="8" t="n">
        <v>46276</v>
      </c>
      <c r="E3372" s="9" t="n">
        <v>5702.67</v>
      </c>
      <c r="F3372" s="8" t="n"/>
      <c r="G3372" s="9" t="n">
        <v>0</v>
      </c>
      <c r="H3372" t="inlineStr">
        <is>
          <t>NOT_DUE</t>
        </is>
      </c>
      <c r="I3372">
        <f>IF(H3372="UNPAID", AsOfDate-D3372, 0)</f>
        <v/>
      </c>
      <c r="J3372">
        <f>IF(F3372&lt;&gt;"", TEXT(F3372, "yyyy-mm"), "")</f>
        <v/>
      </c>
    </row>
    <row r="3373">
      <c r="A3373" t="inlineStr">
        <is>
          <t>RP0003372</t>
        </is>
      </c>
      <c r="B3373" t="inlineStr">
        <is>
          <t>LN200487</t>
        </is>
      </c>
      <c r="C3373" t="n">
        <v>6</v>
      </c>
      <c r="D3373" s="8" t="n">
        <v>46306</v>
      </c>
      <c r="E3373" s="9" t="n">
        <v>5702.67</v>
      </c>
      <c r="F3373" s="8" t="n"/>
      <c r="G3373" s="9" t="n">
        <v>0</v>
      </c>
      <c r="H3373" t="inlineStr">
        <is>
          <t>NOT_DUE</t>
        </is>
      </c>
      <c r="I3373">
        <f>IF(H3373="UNPAID", AsOfDate-D3373, 0)</f>
        <v/>
      </c>
      <c r="J3373">
        <f>IF(F3373&lt;&gt;"", TEXT(F3373, "yyyy-mm"), "")</f>
        <v/>
      </c>
    </row>
    <row r="3374">
      <c r="A3374" t="inlineStr">
        <is>
          <t>RP0003373</t>
        </is>
      </c>
      <c r="B3374" t="inlineStr">
        <is>
          <t>LN200487</t>
        </is>
      </c>
      <c r="C3374" t="n">
        <v>7</v>
      </c>
      <c r="D3374" s="8" t="n">
        <v>46337</v>
      </c>
      <c r="E3374" s="9" t="n">
        <v>5702.67</v>
      </c>
      <c r="F3374" s="8" t="n"/>
      <c r="G3374" s="9" t="n">
        <v>0</v>
      </c>
      <c r="H3374" t="inlineStr">
        <is>
          <t>NOT_DUE</t>
        </is>
      </c>
      <c r="I3374">
        <f>IF(H3374="UNPAID", AsOfDate-D3374, 0)</f>
        <v/>
      </c>
      <c r="J3374">
        <f>IF(F3374&lt;&gt;"", TEXT(F3374, "yyyy-mm"), "")</f>
        <v/>
      </c>
    </row>
    <row r="3375">
      <c r="A3375" t="inlineStr">
        <is>
          <t>RP0003374</t>
        </is>
      </c>
      <c r="B3375" t="inlineStr">
        <is>
          <t>LN200487</t>
        </is>
      </c>
      <c r="C3375" t="n">
        <v>8</v>
      </c>
      <c r="D3375" s="8" t="n">
        <v>46367</v>
      </c>
      <c r="E3375" s="9" t="n">
        <v>5702.67</v>
      </c>
      <c r="F3375" s="8" t="n"/>
      <c r="G3375" s="9" t="n">
        <v>0</v>
      </c>
      <c r="H3375" t="inlineStr">
        <is>
          <t>NOT_DUE</t>
        </is>
      </c>
      <c r="I3375">
        <f>IF(H3375="UNPAID", AsOfDate-D3375, 0)</f>
        <v/>
      </c>
      <c r="J3375">
        <f>IF(F3375&lt;&gt;"", TEXT(F3375, "yyyy-mm"), "")</f>
        <v/>
      </c>
    </row>
    <row r="3376">
      <c r="A3376" t="inlineStr">
        <is>
          <t>RP0003375</t>
        </is>
      </c>
      <c r="B3376" t="inlineStr">
        <is>
          <t>LN200487</t>
        </is>
      </c>
      <c r="C3376" t="n">
        <v>9</v>
      </c>
      <c r="D3376" s="8" t="n">
        <v>46398</v>
      </c>
      <c r="E3376" s="9" t="n">
        <v>5702.67</v>
      </c>
      <c r="F3376" s="8" t="n"/>
      <c r="G3376" s="9" t="n">
        <v>0</v>
      </c>
      <c r="H3376" t="inlineStr">
        <is>
          <t>NOT_DUE</t>
        </is>
      </c>
      <c r="I3376">
        <f>IF(H3376="UNPAID", AsOfDate-D3376, 0)</f>
        <v/>
      </c>
      <c r="J3376">
        <f>IF(F3376&lt;&gt;"", TEXT(F3376, "yyyy-mm"), "")</f>
        <v/>
      </c>
    </row>
    <row r="3377">
      <c r="A3377" t="inlineStr">
        <is>
          <t>RP0003376</t>
        </is>
      </c>
      <c r="B3377" t="inlineStr">
        <is>
          <t>LN200487</t>
        </is>
      </c>
      <c r="C3377" t="n">
        <v>10</v>
      </c>
      <c r="D3377" s="8" t="n">
        <v>46429</v>
      </c>
      <c r="E3377" s="9" t="n">
        <v>5702.67</v>
      </c>
      <c r="F3377" s="8" t="n"/>
      <c r="G3377" s="9" t="n">
        <v>0</v>
      </c>
      <c r="H3377" t="inlineStr">
        <is>
          <t>NOT_DUE</t>
        </is>
      </c>
      <c r="I3377">
        <f>IF(H3377="UNPAID", AsOfDate-D3377, 0)</f>
        <v/>
      </c>
      <c r="J3377">
        <f>IF(F3377&lt;&gt;"", TEXT(F3377, "yyyy-mm"), "")</f>
        <v/>
      </c>
    </row>
    <row r="3378">
      <c r="A3378" t="inlineStr">
        <is>
          <t>RP0003377</t>
        </is>
      </c>
      <c r="B3378" t="inlineStr">
        <is>
          <t>LN200487</t>
        </is>
      </c>
      <c r="C3378" t="n">
        <v>11</v>
      </c>
      <c r="D3378" s="8" t="n">
        <v>46457</v>
      </c>
      <c r="E3378" s="9" t="n">
        <v>5702.67</v>
      </c>
      <c r="F3378" s="8" t="n"/>
      <c r="G3378" s="9" t="n">
        <v>0</v>
      </c>
      <c r="H3378" t="inlineStr">
        <is>
          <t>NOT_DUE</t>
        </is>
      </c>
      <c r="I3378">
        <f>IF(H3378="UNPAID", AsOfDate-D3378, 0)</f>
        <v/>
      </c>
      <c r="J3378">
        <f>IF(F3378&lt;&gt;"", TEXT(F3378, "yyyy-mm"), "")</f>
        <v/>
      </c>
    </row>
    <row r="3379">
      <c r="A3379" t="inlineStr">
        <is>
          <t>RP0003378</t>
        </is>
      </c>
      <c r="B3379" t="inlineStr">
        <is>
          <t>LN200487</t>
        </is>
      </c>
      <c r="C3379" t="n">
        <v>12</v>
      </c>
      <c r="D3379" s="8" t="n">
        <v>46488</v>
      </c>
      <c r="E3379" s="9" t="n">
        <v>5702.67</v>
      </c>
      <c r="F3379" s="8" t="n"/>
      <c r="G3379" s="9" t="n">
        <v>0</v>
      </c>
      <c r="H3379" t="inlineStr">
        <is>
          <t>NOT_DUE</t>
        </is>
      </c>
      <c r="I3379">
        <f>IF(H3379="UNPAID", AsOfDate-D3379, 0)</f>
        <v/>
      </c>
      <c r="J3379">
        <f>IF(F3379&lt;&gt;"", TEXT(F3379, "yyyy-mm"), "")</f>
        <v/>
      </c>
    </row>
    <row r="3380">
      <c r="A3380" t="inlineStr">
        <is>
          <t>RP0003379</t>
        </is>
      </c>
      <c r="B3380" t="inlineStr">
        <is>
          <t>LN200487</t>
        </is>
      </c>
      <c r="C3380" t="n">
        <v>13</v>
      </c>
      <c r="D3380" s="8" t="n">
        <v>46518</v>
      </c>
      <c r="E3380" s="9" t="n">
        <v>5702.67</v>
      </c>
      <c r="F3380" s="8" t="n"/>
      <c r="G3380" s="9" t="n">
        <v>0</v>
      </c>
      <c r="H3380" t="inlineStr">
        <is>
          <t>NOT_DUE</t>
        </is>
      </c>
      <c r="I3380">
        <f>IF(H3380="UNPAID", AsOfDate-D3380, 0)</f>
        <v/>
      </c>
      <c r="J3380">
        <f>IF(F3380&lt;&gt;"", TEXT(F3380, "yyyy-mm"), "")</f>
        <v/>
      </c>
    </row>
    <row r="3381">
      <c r="A3381" t="inlineStr">
        <is>
          <t>RP0003380</t>
        </is>
      </c>
      <c r="B3381" t="inlineStr">
        <is>
          <t>LN200487</t>
        </is>
      </c>
      <c r="C3381" t="n">
        <v>14</v>
      </c>
      <c r="D3381" s="8" t="n">
        <v>46549</v>
      </c>
      <c r="E3381" s="9" t="n">
        <v>5702.67</v>
      </c>
      <c r="F3381" s="8" t="n"/>
      <c r="G3381" s="9" t="n">
        <v>0</v>
      </c>
      <c r="H3381" t="inlineStr">
        <is>
          <t>NOT_DUE</t>
        </is>
      </c>
      <c r="I3381">
        <f>IF(H3381="UNPAID", AsOfDate-D3381, 0)</f>
        <v/>
      </c>
      <c r="J3381">
        <f>IF(F3381&lt;&gt;"", TEXT(F3381, "yyyy-mm"), "")</f>
        <v/>
      </c>
    </row>
    <row r="3382">
      <c r="A3382" t="inlineStr">
        <is>
          <t>RP0003381</t>
        </is>
      </c>
      <c r="B3382" t="inlineStr">
        <is>
          <t>LN200487</t>
        </is>
      </c>
      <c r="C3382" t="n">
        <v>15</v>
      </c>
      <c r="D3382" s="8" t="n">
        <v>46579</v>
      </c>
      <c r="E3382" s="9" t="n">
        <v>5702.67</v>
      </c>
      <c r="F3382" s="8" t="n"/>
      <c r="G3382" s="9" t="n">
        <v>0</v>
      </c>
      <c r="H3382" t="inlineStr">
        <is>
          <t>NOT_DUE</t>
        </is>
      </c>
      <c r="I3382">
        <f>IF(H3382="UNPAID", AsOfDate-D3382, 0)</f>
        <v/>
      </c>
      <c r="J3382">
        <f>IF(F3382&lt;&gt;"", TEXT(F3382, "yyyy-mm"), "")</f>
        <v/>
      </c>
    </row>
    <row r="3383">
      <c r="A3383" t="inlineStr">
        <is>
          <t>RP0003382</t>
        </is>
      </c>
      <c r="B3383" t="inlineStr">
        <is>
          <t>LN200487</t>
        </is>
      </c>
      <c r="C3383" t="n">
        <v>16</v>
      </c>
      <c r="D3383" s="8" t="n">
        <v>46610</v>
      </c>
      <c r="E3383" s="9" t="n">
        <v>5702.67</v>
      </c>
      <c r="F3383" s="8" t="n"/>
      <c r="G3383" s="9" t="n">
        <v>0</v>
      </c>
      <c r="H3383" t="inlineStr">
        <is>
          <t>NOT_DUE</t>
        </is>
      </c>
      <c r="I3383">
        <f>IF(H3383="UNPAID", AsOfDate-D3383, 0)</f>
        <v/>
      </c>
      <c r="J3383">
        <f>IF(F3383&lt;&gt;"", TEXT(F3383, "yyyy-mm"), "")</f>
        <v/>
      </c>
    </row>
    <row r="3384">
      <c r="A3384" t="inlineStr">
        <is>
          <t>RP0003383</t>
        </is>
      </c>
      <c r="B3384" t="inlineStr">
        <is>
          <t>LN200487</t>
        </is>
      </c>
      <c r="C3384" t="n">
        <v>17</v>
      </c>
      <c r="D3384" s="8" t="n">
        <v>46641</v>
      </c>
      <c r="E3384" s="9" t="n">
        <v>5702.67</v>
      </c>
      <c r="F3384" s="8" t="n"/>
      <c r="G3384" s="9" t="n">
        <v>0</v>
      </c>
      <c r="H3384" t="inlineStr">
        <is>
          <t>NOT_DUE</t>
        </is>
      </c>
      <c r="I3384">
        <f>IF(H3384="UNPAID", AsOfDate-D3384, 0)</f>
        <v/>
      </c>
      <c r="J3384">
        <f>IF(F3384&lt;&gt;"", TEXT(F3384, "yyyy-mm"), "")</f>
        <v/>
      </c>
    </row>
    <row r="3385">
      <c r="A3385" t="inlineStr">
        <is>
          <t>RP0003384</t>
        </is>
      </c>
      <c r="B3385" t="inlineStr">
        <is>
          <t>LN200487</t>
        </is>
      </c>
      <c r="C3385" t="n">
        <v>18</v>
      </c>
      <c r="D3385" s="8" t="n">
        <v>46671</v>
      </c>
      <c r="E3385" s="9" t="n">
        <v>5702.67</v>
      </c>
      <c r="F3385" s="8" t="n"/>
      <c r="G3385" s="9" t="n">
        <v>0</v>
      </c>
      <c r="H3385" t="inlineStr">
        <is>
          <t>NOT_DUE</t>
        </is>
      </c>
      <c r="I3385">
        <f>IF(H3385="UNPAID", AsOfDate-D3385, 0)</f>
        <v/>
      </c>
      <c r="J3385">
        <f>IF(F3385&lt;&gt;"", TEXT(F3385, "yyyy-mm"), "")</f>
        <v/>
      </c>
    </row>
    <row r="3386">
      <c r="A3386" t="inlineStr">
        <is>
          <t>RP0003385</t>
        </is>
      </c>
      <c r="B3386" t="inlineStr">
        <is>
          <t>LN200488</t>
        </is>
      </c>
      <c r="C3386" t="n">
        <v>1</v>
      </c>
      <c r="D3386" s="8" t="n">
        <v>45864</v>
      </c>
      <c r="E3386" s="9" t="n">
        <v>132081.5</v>
      </c>
      <c r="F3386" s="8" t="n">
        <v>45867</v>
      </c>
      <c r="G3386" s="9" t="n">
        <v>132081.5</v>
      </c>
      <c r="H3386" t="inlineStr">
        <is>
          <t>PAID_ON_TIME</t>
        </is>
      </c>
      <c r="I3386">
        <f>IF(H3386="UNPAID", AsOfDate-D3386, 0)</f>
        <v/>
      </c>
      <c r="J3386">
        <f>IF(F3386&lt;&gt;"", TEXT(F3386, "yyyy-mm"), "")</f>
        <v/>
      </c>
    </row>
    <row r="3387">
      <c r="A3387" t="inlineStr">
        <is>
          <t>RP0003386</t>
        </is>
      </c>
      <c r="B3387" t="inlineStr">
        <is>
          <t>LN200488</t>
        </is>
      </c>
      <c r="C3387" t="n">
        <v>2</v>
      </c>
      <c r="D3387" s="8" t="n">
        <v>45895</v>
      </c>
      <c r="E3387" s="9" t="n">
        <v>132081.5</v>
      </c>
      <c r="F3387" s="8" t="n">
        <v>45895</v>
      </c>
      <c r="G3387" s="9" t="n">
        <v>132081.5</v>
      </c>
      <c r="H3387" t="inlineStr">
        <is>
          <t>PAID_ON_TIME</t>
        </is>
      </c>
      <c r="I3387">
        <f>IF(H3387="UNPAID", AsOfDate-D3387, 0)</f>
        <v/>
      </c>
      <c r="J3387">
        <f>IF(F3387&lt;&gt;"", TEXT(F3387, "yyyy-mm"), "")</f>
        <v/>
      </c>
    </row>
    <row r="3388">
      <c r="A3388" t="inlineStr">
        <is>
          <t>RP0003387</t>
        </is>
      </c>
      <c r="B3388" t="inlineStr">
        <is>
          <t>LN200488</t>
        </is>
      </c>
      <c r="C3388" t="n">
        <v>3</v>
      </c>
      <c r="D3388" s="8" t="n">
        <v>45926</v>
      </c>
      <c r="E3388" s="9" t="n">
        <v>132081.5</v>
      </c>
      <c r="F3388" s="8" t="n">
        <v>45924</v>
      </c>
      <c r="G3388" s="9" t="n">
        <v>132081.5</v>
      </c>
      <c r="H3388" t="inlineStr">
        <is>
          <t>PAID_ON_TIME</t>
        </is>
      </c>
      <c r="I3388">
        <f>IF(H3388="UNPAID", AsOfDate-D3388, 0)</f>
        <v/>
      </c>
      <c r="J3388">
        <f>IF(F3388&lt;&gt;"", TEXT(F3388, "yyyy-mm"), "")</f>
        <v/>
      </c>
    </row>
    <row r="3389">
      <c r="A3389" t="inlineStr">
        <is>
          <t>RP0003388</t>
        </is>
      </c>
      <c r="B3389" t="inlineStr">
        <is>
          <t>LN200489</t>
        </is>
      </c>
      <c r="C3389" t="n">
        <v>1</v>
      </c>
      <c r="D3389" s="8" t="n">
        <v>46137</v>
      </c>
      <c r="E3389" s="9" t="n">
        <v>27688.89</v>
      </c>
      <c r="F3389" s="8" t="n">
        <v>46141</v>
      </c>
      <c r="G3389" s="9" t="n">
        <v>27688.89</v>
      </c>
      <c r="H3389" t="inlineStr">
        <is>
          <t>PAID_ON_TIME</t>
        </is>
      </c>
      <c r="I3389">
        <f>IF(H3389="UNPAID", AsOfDate-D3389, 0)</f>
        <v/>
      </c>
      <c r="J3389">
        <f>IF(F3389&lt;&gt;"", TEXT(F3389, "yyyy-mm"), "")</f>
        <v/>
      </c>
    </row>
    <row r="3390">
      <c r="A3390" t="inlineStr">
        <is>
          <t>RP0003389</t>
        </is>
      </c>
      <c r="B3390" t="inlineStr">
        <is>
          <t>LN200489</t>
        </is>
      </c>
      <c r="C3390" t="n">
        <v>2</v>
      </c>
      <c r="D3390" s="8" t="n">
        <v>46167</v>
      </c>
      <c r="E3390" s="9" t="n">
        <v>27688.89</v>
      </c>
      <c r="F3390" s="8" t="n">
        <v>46170</v>
      </c>
      <c r="G3390" s="9" t="n">
        <v>27688.89</v>
      </c>
      <c r="H3390" t="inlineStr">
        <is>
          <t>PAID_ON_TIME</t>
        </is>
      </c>
      <c r="I3390">
        <f>IF(H3390="UNPAID", AsOfDate-D3390, 0)</f>
        <v/>
      </c>
      <c r="J3390">
        <f>IF(F3390&lt;&gt;"", TEXT(F3390, "yyyy-mm"), "")</f>
        <v/>
      </c>
    </row>
    <row r="3391">
      <c r="A3391" t="inlineStr">
        <is>
          <t>RP0003390</t>
        </is>
      </c>
      <c r="B3391" t="inlineStr">
        <is>
          <t>LN200489</t>
        </is>
      </c>
      <c r="C3391" t="n">
        <v>3</v>
      </c>
      <c r="D3391" s="8" t="n">
        <v>46198</v>
      </c>
      <c r="E3391" s="9" t="n">
        <v>27688.89</v>
      </c>
      <c r="F3391" s="8" t="n">
        <v>46198</v>
      </c>
      <c r="G3391" s="9" t="n">
        <v>27688.89</v>
      </c>
      <c r="H3391" t="inlineStr">
        <is>
          <t>PAID_ON_TIME</t>
        </is>
      </c>
      <c r="I3391">
        <f>IF(H3391="UNPAID", AsOfDate-D3391, 0)</f>
        <v/>
      </c>
      <c r="J3391">
        <f>IF(F3391&lt;&gt;"", TEXT(F3391, "yyyy-mm"), "")</f>
        <v/>
      </c>
    </row>
    <row r="3392">
      <c r="A3392" t="inlineStr">
        <is>
          <t>RP0003391</t>
        </is>
      </c>
      <c r="B3392" t="inlineStr">
        <is>
          <t>LN200489</t>
        </is>
      </c>
      <c r="C3392" t="n">
        <v>4</v>
      </c>
      <c r="D3392" s="8" t="n">
        <v>46228</v>
      </c>
      <c r="E3392" s="9" t="n">
        <v>27688.89</v>
      </c>
      <c r="F3392" s="8" t="n">
        <v>46230</v>
      </c>
      <c r="G3392" s="9" t="n">
        <v>27688.89</v>
      </c>
      <c r="H3392" t="inlineStr">
        <is>
          <t>PAID_ON_TIME</t>
        </is>
      </c>
      <c r="I3392">
        <f>IF(H3392="UNPAID", AsOfDate-D3392, 0)</f>
        <v/>
      </c>
      <c r="J3392">
        <f>IF(F3392&lt;&gt;"", TEXT(F3392, "yyyy-mm"), "")</f>
        <v/>
      </c>
    </row>
    <row r="3393">
      <c r="A3393" t="inlineStr">
        <is>
          <t>RP0003392</t>
        </is>
      </c>
      <c r="B3393" t="inlineStr">
        <is>
          <t>LN200489</t>
        </is>
      </c>
      <c r="C3393" t="n">
        <v>5</v>
      </c>
      <c r="D3393" s="8" t="n">
        <v>46259</v>
      </c>
      <c r="E3393" s="9" t="n">
        <v>27688.89</v>
      </c>
      <c r="F3393" s="8" t="n">
        <v>46262</v>
      </c>
      <c r="G3393" s="9" t="n">
        <v>27688.89</v>
      </c>
      <c r="H3393" t="inlineStr">
        <is>
          <t>PAID_ON_TIME</t>
        </is>
      </c>
      <c r="I3393">
        <f>IF(H3393="UNPAID", AsOfDate-D3393, 0)</f>
        <v/>
      </c>
      <c r="J3393">
        <f>IF(F3393&lt;&gt;"", TEXT(F3393, "yyyy-mm"), "")</f>
        <v/>
      </c>
    </row>
    <row r="3394">
      <c r="A3394" t="inlineStr">
        <is>
          <t>RP0003393</t>
        </is>
      </c>
      <c r="B3394" t="inlineStr">
        <is>
          <t>LN200489</t>
        </is>
      </c>
      <c r="C3394" t="n">
        <v>6</v>
      </c>
      <c r="D3394" s="8" t="n">
        <v>46290</v>
      </c>
      <c r="E3394" s="9" t="n">
        <v>27688.89</v>
      </c>
      <c r="F3394" s="8" t="n"/>
      <c r="G3394" s="9" t="n">
        <v>0</v>
      </c>
      <c r="H3394" t="inlineStr">
        <is>
          <t>NOT_DUE</t>
        </is>
      </c>
      <c r="I3394">
        <f>IF(H3394="UNPAID", AsOfDate-D3394, 0)</f>
        <v/>
      </c>
      <c r="J3394">
        <f>IF(F3394&lt;&gt;"", TEXT(F3394, "yyyy-mm"), "")</f>
        <v/>
      </c>
    </row>
    <row r="3395">
      <c r="A3395" t="inlineStr">
        <is>
          <t>RP0003394</t>
        </is>
      </c>
      <c r="B3395" t="inlineStr">
        <is>
          <t>LN200489</t>
        </is>
      </c>
      <c r="C3395" t="n">
        <v>7</v>
      </c>
      <c r="D3395" s="8" t="n">
        <v>46320</v>
      </c>
      <c r="E3395" s="9" t="n">
        <v>27688.89</v>
      </c>
      <c r="F3395" s="8" t="n"/>
      <c r="G3395" s="9" t="n">
        <v>0</v>
      </c>
      <c r="H3395" t="inlineStr">
        <is>
          <t>NOT_DUE</t>
        </is>
      </c>
      <c r="I3395">
        <f>IF(H3395="UNPAID", AsOfDate-D3395, 0)</f>
        <v/>
      </c>
      <c r="J3395">
        <f>IF(F3395&lt;&gt;"", TEXT(F3395, "yyyy-mm"), "")</f>
        <v/>
      </c>
    </row>
    <row r="3396">
      <c r="A3396" t="inlineStr">
        <is>
          <t>RP0003395</t>
        </is>
      </c>
      <c r="B3396" t="inlineStr">
        <is>
          <t>LN200489</t>
        </is>
      </c>
      <c r="C3396" t="n">
        <v>8</v>
      </c>
      <c r="D3396" s="8" t="n">
        <v>46351</v>
      </c>
      <c r="E3396" s="9" t="n">
        <v>27688.89</v>
      </c>
      <c r="F3396" s="8" t="n"/>
      <c r="G3396" s="9" t="n">
        <v>0</v>
      </c>
      <c r="H3396" t="inlineStr">
        <is>
          <t>NOT_DUE</t>
        </is>
      </c>
      <c r="I3396">
        <f>IF(H3396="UNPAID", AsOfDate-D3396, 0)</f>
        <v/>
      </c>
      <c r="J3396">
        <f>IF(F3396&lt;&gt;"", TEXT(F3396, "yyyy-mm"), "")</f>
        <v/>
      </c>
    </row>
    <row r="3397">
      <c r="A3397" t="inlineStr">
        <is>
          <t>RP0003396</t>
        </is>
      </c>
      <c r="B3397" t="inlineStr">
        <is>
          <t>LN200489</t>
        </is>
      </c>
      <c r="C3397" t="n">
        <v>9</v>
      </c>
      <c r="D3397" s="8" t="n">
        <v>46381</v>
      </c>
      <c r="E3397" s="9" t="n">
        <v>27688.89</v>
      </c>
      <c r="F3397" s="8" t="n"/>
      <c r="G3397" s="9" t="n">
        <v>0</v>
      </c>
      <c r="H3397" t="inlineStr">
        <is>
          <t>NOT_DUE</t>
        </is>
      </c>
      <c r="I3397">
        <f>IF(H3397="UNPAID", AsOfDate-D3397, 0)</f>
        <v/>
      </c>
      <c r="J3397">
        <f>IF(F3397&lt;&gt;"", TEXT(F3397, "yyyy-mm"), "")</f>
        <v/>
      </c>
    </row>
    <row r="3398">
      <c r="A3398" t="inlineStr">
        <is>
          <t>RP0003397</t>
        </is>
      </c>
      <c r="B3398" t="inlineStr">
        <is>
          <t>LN200489</t>
        </is>
      </c>
      <c r="C3398" t="n">
        <v>10</v>
      </c>
      <c r="D3398" s="8" t="n">
        <v>46412</v>
      </c>
      <c r="E3398" s="9" t="n">
        <v>27688.89</v>
      </c>
      <c r="F3398" s="8" t="n"/>
      <c r="G3398" s="9" t="n">
        <v>0</v>
      </c>
      <c r="H3398" t="inlineStr">
        <is>
          <t>NOT_DUE</t>
        </is>
      </c>
      <c r="I3398">
        <f>IF(H3398="UNPAID", AsOfDate-D3398, 0)</f>
        <v/>
      </c>
      <c r="J3398">
        <f>IF(F3398&lt;&gt;"", TEXT(F3398, "yyyy-mm"), "")</f>
        <v/>
      </c>
    </row>
    <row r="3399">
      <c r="A3399" t="inlineStr">
        <is>
          <t>RP0003398</t>
        </is>
      </c>
      <c r="B3399" t="inlineStr">
        <is>
          <t>LN200489</t>
        </is>
      </c>
      <c r="C3399" t="n">
        <v>11</v>
      </c>
      <c r="D3399" s="8" t="n">
        <v>46443</v>
      </c>
      <c r="E3399" s="9" t="n">
        <v>27688.89</v>
      </c>
      <c r="F3399" s="8" t="n"/>
      <c r="G3399" s="9" t="n">
        <v>0</v>
      </c>
      <c r="H3399" t="inlineStr">
        <is>
          <t>NOT_DUE</t>
        </is>
      </c>
      <c r="I3399">
        <f>IF(H3399="UNPAID", AsOfDate-D3399, 0)</f>
        <v/>
      </c>
      <c r="J3399">
        <f>IF(F3399&lt;&gt;"", TEXT(F3399, "yyyy-mm"), "")</f>
        <v/>
      </c>
    </row>
    <row r="3400">
      <c r="A3400" t="inlineStr">
        <is>
          <t>RP0003399</t>
        </is>
      </c>
      <c r="B3400" t="inlineStr">
        <is>
          <t>LN200489</t>
        </is>
      </c>
      <c r="C3400" t="n">
        <v>12</v>
      </c>
      <c r="D3400" s="8" t="n">
        <v>46471</v>
      </c>
      <c r="E3400" s="9" t="n">
        <v>27688.89</v>
      </c>
      <c r="F3400" s="8" t="n"/>
      <c r="G3400" s="9" t="n">
        <v>0</v>
      </c>
      <c r="H3400" t="inlineStr">
        <is>
          <t>NOT_DUE</t>
        </is>
      </c>
      <c r="I3400">
        <f>IF(H3400="UNPAID", AsOfDate-D3400, 0)</f>
        <v/>
      </c>
      <c r="J3400">
        <f>IF(F3400&lt;&gt;"", TEXT(F3400, "yyyy-mm"), "")</f>
        <v/>
      </c>
    </row>
    <row r="3401">
      <c r="A3401" t="inlineStr">
        <is>
          <t>RP0003400</t>
        </is>
      </c>
      <c r="B3401" t="inlineStr">
        <is>
          <t>LN200489</t>
        </is>
      </c>
      <c r="C3401" t="n">
        <v>13</v>
      </c>
      <c r="D3401" s="8" t="n">
        <v>46502</v>
      </c>
      <c r="E3401" s="9" t="n">
        <v>27688.89</v>
      </c>
      <c r="F3401" s="8" t="n"/>
      <c r="G3401" s="9" t="n">
        <v>0</v>
      </c>
      <c r="H3401" t="inlineStr">
        <is>
          <t>NOT_DUE</t>
        </is>
      </c>
      <c r="I3401">
        <f>IF(H3401="UNPAID", AsOfDate-D3401, 0)</f>
        <v/>
      </c>
      <c r="J3401">
        <f>IF(F3401&lt;&gt;"", TEXT(F3401, "yyyy-mm"), "")</f>
        <v/>
      </c>
    </row>
    <row r="3402">
      <c r="A3402" t="inlineStr">
        <is>
          <t>RP0003401</t>
        </is>
      </c>
      <c r="B3402" t="inlineStr">
        <is>
          <t>LN200489</t>
        </is>
      </c>
      <c r="C3402" t="n">
        <v>14</v>
      </c>
      <c r="D3402" s="8" t="n">
        <v>46532</v>
      </c>
      <c r="E3402" s="9" t="n">
        <v>27688.89</v>
      </c>
      <c r="F3402" s="8" t="n"/>
      <c r="G3402" s="9" t="n">
        <v>0</v>
      </c>
      <c r="H3402" t="inlineStr">
        <is>
          <t>NOT_DUE</t>
        </is>
      </c>
      <c r="I3402">
        <f>IF(H3402="UNPAID", AsOfDate-D3402, 0)</f>
        <v/>
      </c>
      <c r="J3402">
        <f>IF(F3402&lt;&gt;"", TEXT(F3402, "yyyy-mm"), "")</f>
        <v/>
      </c>
    </row>
    <row r="3403">
      <c r="A3403" t="inlineStr">
        <is>
          <t>RP0003402</t>
        </is>
      </c>
      <c r="B3403" t="inlineStr">
        <is>
          <t>LN200489</t>
        </is>
      </c>
      <c r="C3403" t="n">
        <v>15</v>
      </c>
      <c r="D3403" s="8" t="n">
        <v>46563</v>
      </c>
      <c r="E3403" s="9" t="n">
        <v>27688.89</v>
      </c>
      <c r="F3403" s="8" t="n"/>
      <c r="G3403" s="9" t="n">
        <v>0</v>
      </c>
      <c r="H3403" t="inlineStr">
        <is>
          <t>NOT_DUE</t>
        </is>
      </c>
      <c r="I3403">
        <f>IF(H3403="UNPAID", AsOfDate-D3403, 0)</f>
        <v/>
      </c>
      <c r="J3403">
        <f>IF(F3403&lt;&gt;"", TEXT(F3403, "yyyy-mm"), "")</f>
        <v/>
      </c>
    </row>
    <row r="3404">
      <c r="A3404" t="inlineStr">
        <is>
          <t>RP0003403</t>
        </is>
      </c>
      <c r="B3404" t="inlineStr">
        <is>
          <t>LN200489</t>
        </is>
      </c>
      <c r="C3404" t="n">
        <v>16</v>
      </c>
      <c r="D3404" s="8" t="n">
        <v>46593</v>
      </c>
      <c r="E3404" s="9" t="n">
        <v>27688.89</v>
      </c>
      <c r="F3404" s="8" t="n"/>
      <c r="G3404" s="9" t="n">
        <v>0</v>
      </c>
      <c r="H3404" t="inlineStr">
        <is>
          <t>NOT_DUE</t>
        </is>
      </c>
      <c r="I3404">
        <f>IF(H3404="UNPAID", AsOfDate-D3404, 0)</f>
        <v/>
      </c>
      <c r="J3404">
        <f>IF(F3404&lt;&gt;"", TEXT(F3404, "yyyy-mm"), "")</f>
        <v/>
      </c>
    </row>
    <row r="3405">
      <c r="A3405" t="inlineStr">
        <is>
          <t>RP0003404</t>
        </is>
      </c>
      <c r="B3405" t="inlineStr">
        <is>
          <t>LN200489</t>
        </is>
      </c>
      <c r="C3405" t="n">
        <v>17</v>
      </c>
      <c r="D3405" s="8" t="n">
        <v>46624</v>
      </c>
      <c r="E3405" s="9" t="n">
        <v>27688.89</v>
      </c>
      <c r="F3405" s="8" t="n"/>
      <c r="G3405" s="9" t="n">
        <v>0</v>
      </c>
      <c r="H3405" t="inlineStr">
        <is>
          <t>NOT_DUE</t>
        </is>
      </c>
      <c r="I3405">
        <f>IF(H3405="UNPAID", AsOfDate-D3405, 0)</f>
        <v/>
      </c>
      <c r="J3405">
        <f>IF(F3405&lt;&gt;"", TEXT(F3405, "yyyy-mm"), "")</f>
        <v/>
      </c>
    </row>
    <row r="3406">
      <c r="A3406" t="inlineStr">
        <is>
          <t>RP0003405</t>
        </is>
      </c>
      <c r="B3406" t="inlineStr">
        <is>
          <t>LN200489</t>
        </is>
      </c>
      <c r="C3406" t="n">
        <v>18</v>
      </c>
      <c r="D3406" s="8" t="n">
        <v>46655</v>
      </c>
      <c r="E3406" s="9" t="n">
        <v>27688.89</v>
      </c>
      <c r="F3406" s="8" t="n"/>
      <c r="G3406" s="9" t="n">
        <v>0</v>
      </c>
      <c r="H3406" t="inlineStr">
        <is>
          <t>NOT_DUE</t>
        </is>
      </c>
      <c r="I3406">
        <f>IF(H3406="UNPAID", AsOfDate-D3406, 0)</f>
        <v/>
      </c>
      <c r="J3406">
        <f>IF(F3406&lt;&gt;"", TEXT(F3406, "yyyy-mm"), "")</f>
        <v/>
      </c>
    </row>
    <row r="3407">
      <c r="A3407" t="inlineStr">
        <is>
          <t>RP0003406</t>
        </is>
      </c>
      <c r="B3407" t="inlineStr">
        <is>
          <t>LN200490</t>
        </is>
      </c>
      <c r="C3407" t="n">
        <v>1</v>
      </c>
      <c r="D3407" s="8" t="n">
        <v>46233</v>
      </c>
      <c r="E3407" s="9" t="n">
        <v>5598.08</v>
      </c>
      <c r="F3407" s="8" t="n">
        <v>46231</v>
      </c>
      <c r="G3407" s="9" t="n">
        <v>5598.08</v>
      </c>
      <c r="H3407" t="inlineStr">
        <is>
          <t>PAID_ON_TIME</t>
        </is>
      </c>
      <c r="I3407">
        <f>IF(H3407="UNPAID", AsOfDate-D3407, 0)</f>
        <v/>
      </c>
      <c r="J3407">
        <f>IF(F3407&lt;&gt;"", TEXT(F3407, "yyyy-mm"), "")</f>
        <v/>
      </c>
    </row>
    <row r="3408">
      <c r="A3408" t="inlineStr">
        <is>
          <t>RP0003407</t>
        </is>
      </c>
      <c r="B3408" t="inlineStr">
        <is>
          <t>LN200490</t>
        </is>
      </c>
      <c r="C3408" t="n">
        <v>2</v>
      </c>
      <c r="D3408" s="8" t="n">
        <v>46264</v>
      </c>
      <c r="E3408" s="9" t="n">
        <v>5598.08</v>
      </c>
      <c r="F3408" s="8" t="n">
        <v>46268</v>
      </c>
      <c r="G3408" s="9" t="n">
        <v>5598.08</v>
      </c>
      <c r="H3408" t="inlineStr">
        <is>
          <t>PAID_ON_TIME</t>
        </is>
      </c>
      <c r="I3408">
        <f>IF(H3408="UNPAID", AsOfDate-D3408, 0)</f>
        <v/>
      </c>
      <c r="J3408">
        <f>IF(F3408&lt;&gt;"", TEXT(F3408, "yyyy-mm"), "")</f>
        <v/>
      </c>
    </row>
    <row r="3409">
      <c r="A3409" t="inlineStr">
        <is>
          <t>RP0003408</t>
        </is>
      </c>
      <c r="B3409" t="inlineStr">
        <is>
          <t>LN200490</t>
        </is>
      </c>
      <c r="C3409" t="n">
        <v>3</v>
      </c>
      <c r="D3409" s="8" t="n">
        <v>46295</v>
      </c>
      <c r="E3409" s="9" t="n">
        <v>5598.08</v>
      </c>
      <c r="F3409" s="8" t="n"/>
      <c r="G3409" s="9" t="n">
        <v>0</v>
      </c>
      <c r="H3409" t="inlineStr">
        <is>
          <t>NOT_DUE</t>
        </is>
      </c>
      <c r="I3409">
        <f>IF(H3409="UNPAID", AsOfDate-D3409, 0)</f>
        <v/>
      </c>
      <c r="J3409">
        <f>IF(F3409&lt;&gt;"", TEXT(F3409, "yyyy-mm"), "")</f>
        <v/>
      </c>
    </row>
    <row r="3410">
      <c r="A3410" t="inlineStr">
        <is>
          <t>RP0003409</t>
        </is>
      </c>
      <c r="B3410" t="inlineStr">
        <is>
          <t>LN200490</t>
        </is>
      </c>
      <c r="C3410" t="n">
        <v>4</v>
      </c>
      <c r="D3410" s="8" t="n">
        <v>46325</v>
      </c>
      <c r="E3410" s="9" t="n">
        <v>5598.08</v>
      </c>
      <c r="F3410" s="8" t="n"/>
      <c r="G3410" s="9" t="n">
        <v>0</v>
      </c>
      <c r="H3410" t="inlineStr">
        <is>
          <t>NOT_DUE</t>
        </is>
      </c>
      <c r="I3410">
        <f>IF(H3410="UNPAID", AsOfDate-D3410, 0)</f>
        <v/>
      </c>
      <c r="J3410">
        <f>IF(F3410&lt;&gt;"", TEXT(F3410, "yyyy-mm"), "")</f>
        <v/>
      </c>
    </row>
    <row r="3411">
      <c r="A3411" t="inlineStr">
        <is>
          <t>RP0003410</t>
        </is>
      </c>
      <c r="B3411" t="inlineStr">
        <is>
          <t>LN200490</t>
        </is>
      </c>
      <c r="C3411" t="n">
        <v>5</v>
      </c>
      <c r="D3411" s="8" t="n">
        <v>46356</v>
      </c>
      <c r="E3411" s="9" t="n">
        <v>5598.08</v>
      </c>
      <c r="F3411" s="8" t="n"/>
      <c r="G3411" s="9" t="n">
        <v>0</v>
      </c>
      <c r="H3411" t="inlineStr">
        <is>
          <t>NOT_DUE</t>
        </is>
      </c>
      <c r="I3411">
        <f>IF(H3411="UNPAID", AsOfDate-D3411, 0)</f>
        <v/>
      </c>
      <c r="J3411">
        <f>IF(F3411&lt;&gt;"", TEXT(F3411, "yyyy-mm"), "")</f>
        <v/>
      </c>
    </row>
    <row r="3412">
      <c r="A3412" t="inlineStr">
        <is>
          <t>RP0003411</t>
        </is>
      </c>
      <c r="B3412" t="inlineStr">
        <is>
          <t>LN200490</t>
        </is>
      </c>
      <c r="C3412" t="n">
        <v>6</v>
      </c>
      <c r="D3412" s="8" t="n">
        <v>46386</v>
      </c>
      <c r="E3412" s="9" t="n">
        <v>5598.08</v>
      </c>
      <c r="F3412" s="8" t="n"/>
      <c r="G3412" s="9" t="n">
        <v>0</v>
      </c>
      <c r="H3412" t="inlineStr">
        <is>
          <t>NOT_DUE</t>
        </is>
      </c>
      <c r="I3412">
        <f>IF(H3412="UNPAID", AsOfDate-D3412, 0)</f>
        <v/>
      </c>
      <c r="J3412">
        <f>IF(F3412&lt;&gt;"", TEXT(F3412, "yyyy-mm"), "")</f>
        <v/>
      </c>
    </row>
    <row r="3413">
      <c r="A3413" t="inlineStr">
        <is>
          <t>RP0003412</t>
        </is>
      </c>
      <c r="B3413" t="inlineStr">
        <is>
          <t>LN200491</t>
        </is>
      </c>
      <c r="C3413" t="n">
        <v>1</v>
      </c>
      <c r="D3413" s="8" t="n">
        <v>45768</v>
      </c>
      <c r="E3413" s="9" t="n">
        <v>72279.17</v>
      </c>
      <c r="F3413" s="8" t="n">
        <v>45769</v>
      </c>
      <c r="G3413" s="9" t="n">
        <v>72279.17</v>
      </c>
      <c r="H3413" t="inlineStr">
        <is>
          <t>PAID_ON_TIME</t>
        </is>
      </c>
      <c r="I3413">
        <f>IF(H3413="UNPAID", AsOfDate-D3413, 0)</f>
        <v/>
      </c>
      <c r="J3413">
        <f>IF(F3413&lt;&gt;"", TEXT(F3413, "yyyy-mm"), "")</f>
        <v/>
      </c>
    </row>
    <row r="3414">
      <c r="A3414" t="inlineStr">
        <is>
          <t>RP0003413</t>
        </is>
      </c>
      <c r="B3414" t="inlineStr">
        <is>
          <t>LN200491</t>
        </is>
      </c>
      <c r="C3414" t="n">
        <v>2</v>
      </c>
      <c r="D3414" s="8" t="n">
        <v>45798</v>
      </c>
      <c r="E3414" s="9" t="n">
        <v>72279.17</v>
      </c>
      <c r="F3414" s="8" t="n">
        <v>45799</v>
      </c>
      <c r="G3414" s="9" t="n">
        <v>72279.17</v>
      </c>
      <c r="H3414" t="inlineStr">
        <is>
          <t>PAID_ON_TIME</t>
        </is>
      </c>
      <c r="I3414">
        <f>IF(H3414="UNPAID", AsOfDate-D3414, 0)</f>
        <v/>
      </c>
      <c r="J3414">
        <f>IF(F3414&lt;&gt;"", TEXT(F3414, "yyyy-mm"), "")</f>
        <v/>
      </c>
    </row>
    <row r="3415">
      <c r="A3415" t="inlineStr">
        <is>
          <t>RP0003414</t>
        </is>
      </c>
      <c r="B3415" t="inlineStr">
        <is>
          <t>LN200491</t>
        </is>
      </c>
      <c r="C3415" t="n">
        <v>3</v>
      </c>
      <c r="D3415" s="8" t="n">
        <v>45829</v>
      </c>
      <c r="E3415" s="9" t="n">
        <v>72279.17</v>
      </c>
      <c r="F3415" s="8" t="n">
        <v>45832</v>
      </c>
      <c r="G3415" s="9" t="n">
        <v>72279.17</v>
      </c>
      <c r="H3415" t="inlineStr">
        <is>
          <t>PAID_ON_TIME</t>
        </is>
      </c>
      <c r="I3415">
        <f>IF(H3415="UNPAID", AsOfDate-D3415, 0)</f>
        <v/>
      </c>
      <c r="J3415">
        <f>IF(F3415&lt;&gt;"", TEXT(F3415, "yyyy-mm"), "")</f>
        <v/>
      </c>
    </row>
    <row r="3416">
      <c r="A3416" t="inlineStr">
        <is>
          <t>RP0003415</t>
        </is>
      </c>
      <c r="B3416" t="inlineStr">
        <is>
          <t>LN200492</t>
        </is>
      </c>
      <c r="C3416" t="n">
        <v>1</v>
      </c>
      <c r="D3416" s="8" t="n">
        <v>46116</v>
      </c>
      <c r="E3416" s="9" t="n">
        <v>24300</v>
      </c>
      <c r="F3416" s="8" t="n">
        <v>46113</v>
      </c>
      <c r="G3416" s="9" t="n">
        <v>24300</v>
      </c>
      <c r="H3416" t="inlineStr">
        <is>
          <t>PAID_ON_TIME</t>
        </is>
      </c>
      <c r="I3416">
        <f>IF(H3416="UNPAID", AsOfDate-D3416, 0)</f>
        <v/>
      </c>
      <c r="J3416">
        <f>IF(F3416&lt;&gt;"", TEXT(F3416, "yyyy-mm"), "")</f>
        <v/>
      </c>
    </row>
    <row r="3417">
      <c r="A3417" t="inlineStr">
        <is>
          <t>RP0003416</t>
        </is>
      </c>
      <c r="B3417" t="inlineStr">
        <is>
          <t>LN200492</t>
        </is>
      </c>
      <c r="C3417" t="n">
        <v>2</v>
      </c>
      <c r="D3417" s="8" t="n">
        <v>46146</v>
      </c>
      <c r="E3417" s="9" t="n">
        <v>24300</v>
      </c>
      <c r="F3417" s="8" t="n">
        <v>46145</v>
      </c>
      <c r="G3417" s="9" t="n">
        <v>24300</v>
      </c>
      <c r="H3417" t="inlineStr">
        <is>
          <t>PAID_ON_TIME</t>
        </is>
      </c>
      <c r="I3417">
        <f>IF(H3417="UNPAID", AsOfDate-D3417, 0)</f>
        <v/>
      </c>
      <c r="J3417">
        <f>IF(F3417&lt;&gt;"", TEXT(F3417, "yyyy-mm"), "")</f>
        <v/>
      </c>
    </row>
    <row r="3418">
      <c r="A3418" t="inlineStr">
        <is>
          <t>RP0003417</t>
        </is>
      </c>
      <c r="B3418" t="inlineStr">
        <is>
          <t>LN200492</t>
        </is>
      </c>
      <c r="C3418" t="n">
        <v>3</v>
      </c>
      <c r="D3418" s="8" t="n">
        <v>46177</v>
      </c>
      <c r="E3418" s="9" t="n">
        <v>24300</v>
      </c>
      <c r="F3418" s="8" t="n">
        <v>46176</v>
      </c>
      <c r="G3418" s="9" t="n">
        <v>24300</v>
      </c>
      <c r="H3418" t="inlineStr">
        <is>
          <t>PAID_ON_TIME</t>
        </is>
      </c>
      <c r="I3418">
        <f>IF(H3418="UNPAID", AsOfDate-D3418, 0)</f>
        <v/>
      </c>
      <c r="J3418">
        <f>IF(F3418&lt;&gt;"", TEXT(F3418, "yyyy-mm"), "")</f>
        <v/>
      </c>
    </row>
    <row r="3419">
      <c r="A3419" t="inlineStr">
        <is>
          <t>RP0003418</t>
        </is>
      </c>
      <c r="B3419" t="inlineStr">
        <is>
          <t>LN200492</t>
        </is>
      </c>
      <c r="C3419" t="n">
        <v>4</v>
      </c>
      <c r="D3419" s="8" t="n">
        <v>46207</v>
      </c>
      <c r="E3419" s="9" t="n">
        <v>24300</v>
      </c>
      <c r="F3419" s="8" t="n">
        <v>46205</v>
      </c>
      <c r="G3419" s="9" t="n">
        <v>24300</v>
      </c>
      <c r="H3419" t="inlineStr">
        <is>
          <t>PAID_ON_TIME</t>
        </is>
      </c>
      <c r="I3419">
        <f>IF(H3419="UNPAID", AsOfDate-D3419, 0)</f>
        <v/>
      </c>
      <c r="J3419">
        <f>IF(F3419&lt;&gt;"", TEXT(F3419, "yyyy-mm"), "")</f>
        <v/>
      </c>
    </row>
    <row r="3420">
      <c r="A3420" t="inlineStr">
        <is>
          <t>RP0003419</t>
        </is>
      </c>
      <c r="B3420" t="inlineStr">
        <is>
          <t>LN200492</t>
        </is>
      </c>
      <c r="C3420" t="n">
        <v>5</v>
      </c>
      <c r="D3420" s="8" t="n">
        <v>46238</v>
      </c>
      <c r="E3420" s="9" t="n">
        <v>24300</v>
      </c>
      <c r="F3420" s="8" t="n">
        <v>46242</v>
      </c>
      <c r="G3420" s="9" t="n">
        <v>24300</v>
      </c>
      <c r="H3420" t="inlineStr">
        <is>
          <t>PAID_ON_TIME</t>
        </is>
      </c>
      <c r="I3420">
        <f>IF(H3420="UNPAID", AsOfDate-D3420, 0)</f>
        <v/>
      </c>
      <c r="J3420">
        <f>IF(F3420&lt;&gt;"", TEXT(F3420, "yyyy-mm"), "")</f>
        <v/>
      </c>
    </row>
    <row r="3421">
      <c r="A3421" t="inlineStr">
        <is>
          <t>RP0003420</t>
        </is>
      </c>
      <c r="B3421" t="inlineStr">
        <is>
          <t>LN200492</t>
        </is>
      </c>
      <c r="C3421" t="n">
        <v>6</v>
      </c>
      <c r="D3421" s="8" t="n">
        <v>46269</v>
      </c>
      <c r="E3421" s="9" t="n">
        <v>24300</v>
      </c>
      <c r="F3421" s="8" t="n"/>
      <c r="G3421" s="9" t="n">
        <v>0</v>
      </c>
      <c r="H3421" t="inlineStr">
        <is>
          <t>NOT_DUE</t>
        </is>
      </c>
      <c r="I3421">
        <f>IF(H3421="UNPAID", AsOfDate-D3421, 0)</f>
        <v/>
      </c>
      <c r="J3421">
        <f>IF(F3421&lt;&gt;"", TEXT(F3421, "yyyy-mm"), "")</f>
        <v/>
      </c>
    </row>
    <row r="3422">
      <c r="A3422" t="inlineStr">
        <is>
          <t>RP0003421</t>
        </is>
      </c>
      <c r="B3422" t="inlineStr">
        <is>
          <t>LN200492</t>
        </is>
      </c>
      <c r="C3422" t="n">
        <v>7</v>
      </c>
      <c r="D3422" s="8" t="n">
        <v>46299</v>
      </c>
      <c r="E3422" s="9" t="n">
        <v>24300</v>
      </c>
      <c r="F3422" s="8" t="n"/>
      <c r="G3422" s="9" t="n">
        <v>0</v>
      </c>
      <c r="H3422" t="inlineStr">
        <is>
          <t>NOT_DUE</t>
        </is>
      </c>
      <c r="I3422">
        <f>IF(H3422="UNPAID", AsOfDate-D3422, 0)</f>
        <v/>
      </c>
      <c r="J3422">
        <f>IF(F3422&lt;&gt;"", TEXT(F3422, "yyyy-mm"), "")</f>
        <v/>
      </c>
    </row>
    <row r="3423">
      <c r="A3423" t="inlineStr">
        <is>
          <t>RP0003422</t>
        </is>
      </c>
      <c r="B3423" t="inlineStr">
        <is>
          <t>LN200492</t>
        </is>
      </c>
      <c r="C3423" t="n">
        <v>8</v>
      </c>
      <c r="D3423" s="8" t="n">
        <v>46330</v>
      </c>
      <c r="E3423" s="9" t="n">
        <v>24300</v>
      </c>
      <c r="F3423" s="8" t="n"/>
      <c r="G3423" s="9" t="n">
        <v>0</v>
      </c>
      <c r="H3423" t="inlineStr">
        <is>
          <t>NOT_DUE</t>
        </is>
      </c>
      <c r="I3423">
        <f>IF(H3423="UNPAID", AsOfDate-D3423, 0)</f>
        <v/>
      </c>
      <c r="J3423">
        <f>IF(F3423&lt;&gt;"", TEXT(F3423, "yyyy-mm"), "")</f>
        <v/>
      </c>
    </row>
    <row r="3424">
      <c r="A3424" t="inlineStr">
        <is>
          <t>RP0003423</t>
        </is>
      </c>
      <c r="B3424" t="inlineStr">
        <is>
          <t>LN200492</t>
        </is>
      </c>
      <c r="C3424" t="n">
        <v>9</v>
      </c>
      <c r="D3424" s="8" t="n">
        <v>46360</v>
      </c>
      <c r="E3424" s="9" t="n">
        <v>24300</v>
      </c>
      <c r="F3424" s="8" t="n"/>
      <c r="G3424" s="9" t="n">
        <v>0</v>
      </c>
      <c r="H3424" t="inlineStr">
        <is>
          <t>NOT_DUE</t>
        </is>
      </c>
      <c r="I3424">
        <f>IF(H3424="UNPAID", AsOfDate-D3424, 0)</f>
        <v/>
      </c>
      <c r="J3424">
        <f>IF(F3424&lt;&gt;"", TEXT(F3424, "yyyy-mm"), "")</f>
        <v/>
      </c>
    </row>
    <row r="3425">
      <c r="A3425" t="inlineStr">
        <is>
          <t>RP0003424</t>
        </is>
      </c>
      <c r="B3425" t="inlineStr">
        <is>
          <t>LN200492</t>
        </is>
      </c>
      <c r="C3425" t="n">
        <v>10</v>
      </c>
      <c r="D3425" s="8" t="n">
        <v>46391</v>
      </c>
      <c r="E3425" s="9" t="n">
        <v>24300</v>
      </c>
      <c r="F3425" s="8" t="n"/>
      <c r="G3425" s="9" t="n">
        <v>0</v>
      </c>
      <c r="H3425" t="inlineStr">
        <is>
          <t>NOT_DUE</t>
        </is>
      </c>
      <c r="I3425">
        <f>IF(H3425="UNPAID", AsOfDate-D3425, 0)</f>
        <v/>
      </c>
      <c r="J3425">
        <f>IF(F3425&lt;&gt;"", TEXT(F3425, "yyyy-mm"), "")</f>
        <v/>
      </c>
    </row>
    <row r="3426">
      <c r="A3426" t="inlineStr">
        <is>
          <t>RP0003425</t>
        </is>
      </c>
      <c r="B3426" t="inlineStr">
        <is>
          <t>LN200492</t>
        </is>
      </c>
      <c r="C3426" t="n">
        <v>11</v>
      </c>
      <c r="D3426" s="8" t="n">
        <v>46422</v>
      </c>
      <c r="E3426" s="9" t="n">
        <v>24300</v>
      </c>
      <c r="F3426" s="8" t="n"/>
      <c r="G3426" s="9" t="n">
        <v>0</v>
      </c>
      <c r="H3426" t="inlineStr">
        <is>
          <t>NOT_DUE</t>
        </is>
      </c>
      <c r="I3426">
        <f>IF(H3426="UNPAID", AsOfDate-D3426, 0)</f>
        <v/>
      </c>
      <c r="J3426">
        <f>IF(F3426&lt;&gt;"", TEXT(F3426, "yyyy-mm"), "")</f>
        <v/>
      </c>
    </row>
    <row r="3427">
      <c r="A3427" t="inlineStr">
        <is>
          <t>RP0003426</t>
        </is>
      </c>
      <c r="B3427" t="inlineStr">
        <is>
          <t>LN200492</t>
        </is>
      </c>
      <c r="C3427" t="n">
        <v>12</v>
      </c>
      <c r="D3427" s="8" t="n">
        <v>46450</v>
      </c>
      <c r="E3427" s="9" t="n">
        <v>24300</v>
      </c>
      <c r="F3427" s="8" t="n"/>
      <c r="G3427" s="9" t="n">
        <v>0</v>
      </c>
      <c r="H3427" t="inlineStr">
        <is>
          <t>NOT_DUE</t>
        </is>
      </c>
      <c r="I3427">
        <f>IF(H3427="UNPAID", AsOfDate-D3427, 0)</f>
        <v/>
      </c>
      <c r="J3427">
        <f>IF(F3427&lt;&gt;"", TEXT(F3427, "yyyy-mm"), "")</f>
        <v/>
      </c>
    </row>
    <row r="3428">
      <c r="A3428" t="inlineStr">
        <is>
          <t>RP0003427</t>
        </is>
      </c>
      <c r="B3428" t="inlineStr">
        <is>
          <t>LN200493</t>
        </is>
      </c>
      <c r="C3428" t="n">
        <v>1</v>
      </c>
      <c r="D3428" s="8" t="n">
        <v>46254</v>
      </c>
      <c r="E3428" s="9" t="n">
        <v>13190.5</v>
      </c>
      <c r="F3428" s="8" t="n">
        <v>46258</v>
      </c>
      <c r="G3428" s="9" t="n">
        <v>13190.5</v>
      </c>
      <c r="H3428" t="inlineStr">
        <is>
          <t>PAID_ON_TIME</t>
        </is>
      </c>
      <c r="I3428">
        <f>IF(H3428="UNPAID", AsOfDate-D3428, 0)</f>
        <v/>
      </c>
      <c r="J3428">
        <f>IF(F3428&lt;&gt;"", TEXT(F3428, "yyyy-mm"), "")</f>
        <v/>
      </c>
    </row>
    <row r="3429">
      <c r="A3429" t="inlineStr">
        <is>
          <t>RP0003428</t>
        </is>
      </c>
      <c r="B3429" t="inlineStr">
        <is>
          <t>LN200493</t>
        </is>
      </c>
      <c r="C3429" t="n">
        <v>2</v>
      </c>
      <c r="D3429" s="8" t="n">
        <v>46285</v>
      </c>
      <c r="E3429" s="9" t="n">
        <v>13190.5</v>
      </c>
      <c r="F3429" s="8" t="n"/>
      <c r="G3429" s="9" t="n">
        <v>0</v>
      </c>
      <c r="H3429" t="inlineStr">
        <is>
          <t>NOT_DUE</t>
        </is>
      </c>
      <c r="I3429">
        <f>IF(H3429="UNPAID", AsOfDate-D3429, 0)</f>
        <v/>
      </c>
      <c r="J3429">
        <f>IF(F3429&lt;&gt;"", TEXT(F3429, "yyyy-mm"), "")</f>
        <v/>
      </c>
    </row>
    <row r="3430">
      <c r="A3430" t="inlineStr">
        <is>
          <t>RP0003429</t>
        </is>
      </c>
      <c r="B3430" t="inlineStr">
        <is>
          <t>LN200493</t>
        </is>
      </c>
      <c r="C3430" t="n">
        <v>3</v>
      </c>
      <c r="D3430" s="8" t="n">
        <v>46315</v>
      </c>
      <c r="E3430" s="9" t="n">
        <v>13190.5</v>
      </c>
      <c r="F3430" s="8" t="n"/>
      <c r="G3430" s="9" t="n">
        <v>0</v>
      </c>
      <c r="H3430" t="inlineStr">
        <is>
          <t>NOT_DUE</t>
        </is>
      </c>
      <c r="I3430">
        <f>IF(H3430="UNPAID", AsOfDate-D3430, 0)</f>
        <v/>
      </c>
      <c r="J3430">
        <f>IF(F3430&lt;&gt;"", TEXT(F3430, "yyyy-mm"), "")</f>
        <v/>
      </c>
    </row>
    <row r="3431">
      <c r="A3431" t="inlineStr">
        <is>
          <t>RP0003430</t>
        </is>
      </c>
      <c r="B3431" t="inlineStr">
        <is>
          <t>LN200493</t>
        </is>
      </c>
      <c r="C3431" t="n">
        <v>4</v>
      </c>
      <c r="D3431" s="8" t="n">
        <v>46346</v>
      </c>
      <c r="E3431" s="9" t="n">
        <v>13190.5</v>
      </c>
      <c r="F3431" s="8" t="n"/>
      <c r="G3431" s="9" t="n">
        <v>0</v>
      </c>
      <c r="H3431" t="inlineStr">
        <is>
          <t>NOT_DUE</t>
        </is>
      </c>
      <c r="I3431">
        <f>IF(H3431="UNPAID", AsOfDate-D3431, 0)</f>
        <v/>
      </c>
      <c r="J3431">
        <f>IF(F3431&lt;&gt;"", TEXT(F3431, "yyyy-mm"), "")</f>
        <v/>
      </c>
    </row>
    <row r="3432">
      <c r="A3432" t="inlineStr">
        <is>
          <t>RP0003431</t>
        </is>
      </c>
      <c r="B3432" t="inlineStr">
        <is>
          <t>LN200493</t>
        </is>
      </c>
      <c r="C3432" t="n">
        <v>5</v>
      </c>
      <c r="D3432" s="8" t="n">
        <v>46376</v>
      </c>
      <c r="E3432" s="9" t="n">
        <v>13190.5</v>
      </c>
      <c r="F3432" s="8" t="n"/>
      <c r="G3432" s="9" t="n">
        <v>0</v>
      </c>
      <c r="H3432" t="inlineStr">
        <is>
          <t>NOT_DUE</t>
        </is>
      </c>
      <c r="I3432">
        <f>IF(H3432="UNPAID", AsOfDate-D3432, 0)</f>
        <v/>
      </c>
      <c r="J3432">
        <f>IF(F3432&lt;&gt;"", TEXT(F3432, "yyyy-mm"), "")</f>
        <v/>
      </c>
    </row>
    <row r="3433">
      <c r="A3433" t="inlineStr">
        <is>
          <t>RP0003432</t>
        </is>
      </c>
      <c r="B3433" t="inlineStr">
        <is>
          <t>LN200493</t>
        </is>
      </c>
      <c r="C3433" t="n">
        <v>6</v>
      </c>
      <c r="D3433" s="8" t="n">
        <v>46407</v>
      </c>
      <c r="E3433" s="9" t="n">
        <v>13190.5</v>
      </c>
      <c r="F3433" s="8" t="n"/>
      <c r="G3433" s="9" t="n">
        <v>0</v>
      </c>
      <c r="H3433" t="inlineStr">
        <is>
          <t>NOT_DUE</t>
        </is>
      </c>
      <c r="I3433">
        <f>IF(H3433="UNPAID", AsOfDate-D3433, 0)</f>
        <v/>
      </c>
      <c r="J3433">
        <f>IF(F3433&lt;&gt;"", TEXT(F3433, "yyyy-mm"), "")</f>
        <v/>
      </c>
    </row>
    <row r="3434">
      <c r="A3434" t="inlineStr">
        <is>
          <t>RP0003433</t>
        </is>
      </c>
      <c r="B3434" t="inlineStr">
        <is>
          <t>LN200495</t>
        </is>
      </c>
      <c r="C3434" t="n">
        <v>1</v>
      </c>
      <c r="D3434" s="8" t="n">
        <v>46105</v>
      </c>
      <c r="E3434" s="9" t="n">
        <v>26028.33</v>
      </c>
      <c r="F3434" s="8" t="n">
        <v>46103</v>
      </c>
      <c r="G3434" s="9" t="n">
        <v>26028.33</v>
      </c>
      <c r="H3434" t="inlineStr">
        <is>
          <t>PAID_ON_TIME</t>
        </is>
      </c>
      <c r="I3434">
        <f>IF(H3434="UNPAID", AsOfDate-D3434, 0)</f>
        <v/>
      </c>
      <c r="J3434">
        <f>IF(F3434&lt;&gt;"", TEXT(F3434, "yyyy-mm"), "")</f>
        <v/>
      </c>
    </row>
    <row r="3435">
      <c r="A3435" t="inlineStr">
        <is>
          <t>RP0003434</t>
        </is>
      </c>
      <c r="B3435" t="inlineStr">
        <is>
          <t>LN200495</t>
        </is>
      </c>
      <c r="C3435" t="n">
        <v>2</v>
      </c>
      <c r="D3435" s="8" t="n">
        <v>46136</v>
      </c>
      <c r="E3435" s="9" t="n">
        <v>26028.33</v>
      </c>
      <c r="F3435" s="8" t="n">
        <v>46140</v>
      </c>
      <c r="G3435" s="9" t="n">
        <v>26028.33</v>
      </c>
      <c r="H3435" t="inlineStr">
        <is>
          <t>PAID_ON_TIME</t>
        </is>
      </c>
      <c r="I3435">
        <f>IF(H3435="UNPAID", AsOfDate-D3435, 0)</f>
        <v/>
      </c>
      <c r="J3435">
        <f>IF(F3435&lt;&gt;"", TEXT(F3435, "yyyy-mm"), "")</f>
        <v/>
      </c>
    </row>
    <row r="3436">
      <c r="A3436" t="inlineStr">
        <is>
          <t>RP0003435</t>
        </is>
      </c>
      <c r="B3436" t="inlineStr">
        <is>
          <t>LN200495</t>
        </is>
      </c>
      <c r="C3436" t="n">
        <v>3</v>
      </c>
      <c r="D3436" s="8" t="n">
        <v>46166</v>
      </c>
      <c r="E3436" s="9" t="n">
        <v>26028.33</v>
      </c>
      <c r="F3436" s="8" t="n">
        <v>46165</v>
      </c>
      <c r="G3436" s="9" t="n">
        <v>26028.33</v>
      </c>
      <c r="H3436" t="inlineStr">
        <is>
          <t>PAID_ON_TIME</t>
        </is>
      </c>
      <c r="I3436">
        <f>IF(H3436="UNPAID", AsOfDate-D3436, 0)</f>
        <v/>
      </c>
      <c r="J3436">
        <f>IF(F3436&lt;&gt;"", TEXT(F3436, "yyyy-mm"), "")</f>
        <v/>
      </c>
    </row>
    <row r="3437">
      <c r="A3437" t="inlineStr">
        <is>
          <t>RP0003436</t>
        </is>
      </c>
      <c r="B3437" t="inlineStr">
        <is>
          <t>LN200495</t>
        </is>
      </c>
      <c r="C3437" t="n">
        <v>4</v>
      </c>
      <c r="D3437" s="8" t="n">
        <v>46197</v>
      </c>
      <c r="E3437" s="9" t="n">
        <v>26028.33</v>
      </c>
      <c r="F3437" s="8" t="n">
        <v>46198</v>
      </c>
      <c r="G3437" s="9" t="n">
        <v>26028.33</v>
      </c>
      <c r="H3437" t="inlineStr">
        <is>
          <t>PAID_ON_TIME</t>
        </is>
      </c>
      <c r="I3437">
        <f>IF(H3437="UNPAID", AsOfDate-D3437, 0)</f>
        <v/>
      </c>
      <c r="J3437">
        <f>IF(F3437&lt;&gt;"", TEXT(F3437, "yyyy-mm"), "")</f>
        <v/>
      </c>
    </row>
    <row r="3438">
      <c r="A3438" t="inlineStr">
        <is>
          <t>RP0003437</t>
        </is>
      </c>
      <c r="B3438" t="inlineStr">
        <is>
          <t>LN200495</t>
        </is>
      </c>
      <c r="C3438" t="n">
        <v>5</v>
      </c>
      <c r="D3438" s="8" t="n">
        <v>46227</v>
      </c>
      <c r="E3438" s="9" t="n">
        <v>26028.33</v>
      </c>
      <c r="F3438" s="8" t="n">
        <v>46224</v>
      </c>
      <c r="G3438" s="9" t="n">
        <v>26028.33</v>
      </c>
      <c r="H3438" t="inlineStr">
        <is>
          <t>PAID_ON_TIME</t>
        </is>
      </c>
      <c r="I3438">
        <f>IF(H3438="UNPAID", AsOfDate-D3438, 0)</f>
        <v/>
      </c>
      <c r="J3438">
        <f>IF(F3438&lt;&gt;"", TEXT(F3438, "yyyy-mm"), "")</f>
        <v/>
      </c>
    </row>
    <row r="3439">
      <c r="A3439" t="inlineStr">
        <is>
          <t>RP0003438</t>
        </is>
      </c>
      <c r="B3439" t="inlineStr">
        <is>
          <t>LN200495</t>
        </is>
      </c>
      <c r="C3439" t="n">
        <v>6</v>
      </c>
      <c r="D3439" s="8" t="n">
        <v>46258</v>
      </c>
      <c r="E3439" s="9" t="n">
        <v>26028.33</v>
      </c>
      <c r="F3439" s="8" t="n">
        <v>46262</v>
      </c>
      <c r="G3439" s="9" t="n">
        <v>26028.33</v>
      </c>
      <c r="H3439" t="inlineStr">
        <is>
          <t>PAID_ON_TIME</t>
        </is>
      </c>
      <c r="I3439">
        <f>IF(H3439="UNPAID", AsOfDate-D3439, 0)</f>
        <v/>
      </c>
      <c r="J3439">
        <f>IF(F3439&lt;&gt;"", TEXT(F3439, "yyyy-mm"), "")</f>
        <v/>
      </c>
    </row>
    <row r="3440">
      <c r="A3440" t="inlineStr">
        <is>
          <t>RP0003439</t>
        </is>
      </c>
      <c r="B3440" t="inlineStr">
        <is>
          <t>LN200496</t>
        </is>
      </c>
      <c r="C3440" t="n">
        <v>1</v>
      </c>
      <c r="D3440" s="8" t="n">
        <v>45874</v>
      </c>
      <c r="E3440" s="9" t="n">
        <v>14801.67</v>
      </c>
      <c r="F3440" s="8" t="n">
        <v>45913</v>
      </c>
      <c r="G3440" s="9" t="n">
        <v>14801.67</v>
      </c>
      <c r="H3440" t="inlineStr">
        <is>
          <t>PAID_LATE</t>
        </is>
      </c>
      <c r="I3440">
        <f>IF(H3440="UNPAID", AsOfDate-D3440, 0)</f>
        <v/>
      </c>
      <c r="J3440">
        <f>IF(F3440&lt;&gt;"", TEXT(F3440, "yyyy-mm"), "")</f>
        <v/>
      </c>
    </row>
    <row r="3441">
      <c r="A3441" t="inlineStr">
        <is>
          <t>RP0003440</t>
        </is>
      </c>
      <c r="B3441" t="inlineStr">
        <is>
          <t>LN200496</t>
        </is>
      </c>
      <c r="C3441" t="n">
        <v>2</v>
      </c>
      <c r="D3441" s="8" t="n">
        <v>45905</v>
      </c>
      <c r="E3441" s="9" t="n">
        <v>14801.67</v>
      </c>
      <c r="F3441" s="8" t="n">
        <v>45906</v>
      </c>
      <c r="G3441" s="9" t="n">
        <v>14801.67</v>
      </c>
      <c r="H3441" t="inlineStr">
        <is>
          <t>PAID_ON_TIME</t>
        </is>
      </c>
      <c r="I3441">
        <f>IF(H3441="UNPAID", AsOfDate-D3441, 0)</f>
        <v/>
      </c>
      <c r="J3441">
        <f>IF(F3441&lt;&gt;"", TEXT(F3441, "yyyy-mm"), "")</f>
        <v/>
      </c>
    </row>
    <row r="3442">
      <c r="A3442" t="inlineStr">
        <is>
          <t>RP0003441</t>
        </is>
      </c>
      <c r="B3442" t="inlineStr">
        <is>
          <t>LN200496</t>
        </is>
      </c>
      <c r="C3442" t="n">
        <v>3</v>
      </c>
      <c r="D3442" s="8" t="n">
        <v>45935</v>
      </c>
      <c r="E3442" s="9" t="n">
        <v>14801.67</v>
      </c>
      <c r="F3442" s="8" t="n">
        <v>45936</v>
      </c>
      <c r="G3442" s="9" t="n">
        <v>14801.67</v>
      </c>
      <c r="H3442" t="inlineStr">
        <is>
          <t>PAID_ON_TIME</t>
        </is>
      </c>
      <c r="I3442">
        <f>IF(H3442="UNPAID", AsOfDate-D3442, 0)</f>
        <v/>
      </c>
      <c r="J3442">
        <f>IF(F3442&lt;&gt;"", TEXT(F3442, "yyyy-mm"), "")</f>
        <v/>
      </c>
    </row>
    <row r="3443">
      <c r="A3443" t="inlineStr">
        <is>
          <t>RP0003442</t>
        </is>
      </c>
      <c r="B3443" t="inlineStr">
        <is>
          <t>LN200496</t>
        </is>
      </c>
      <c r="C3443" t="n">
        <v>4</v>
      </c>
      <c r="D3443" s="8" t="n">
        <v>45966</v>
      </c>
      <c r="E3443" s="9" t="n">
        <v>14801.67</v>
      </c>
      <c r="F3443" s="8" t="n">
        <v>45963</v>
      </c>
      <c r="G3443" s="9" t="n">
        <v>14801.67</v>
      </c>
      <c r="H3443" t="inlineStr">
        <is>
          <t>PAID_ON_TIME</t>
        </is>
      </c>
      <c r="I3443">
        <f>IF(H3443="UNPAID", AsOfDate-D3443, 0)</f>
        <v/>
      </c>
      <c r="J3443">
        <f>IF(F3443&lt;&gt;"", TEXT(F3443, "yyyy-mm"), "")</f>
        <v/>
      </c>
    </row>
    <row r="3444">
      <c r="A3444" t="inlineStr">
        <is>
          <t>RP0003443</t>
        </is>
      </c>
      <c r="B3444" t="inlineStr">
        <is>
          <t>LN200496</t>
        </is>
      </c>
      <c r="C3444" t="n">
        <v>5</v>
      </c>
      <c r="D3444" s="8" t="n">
        <v>45996</v>
      </c>
      <c r="E3444" s="9" t="n">
        <v>14801.67</v>
      </c>
      <c r="F3444" s="8" t="n">
        <v>45998</v>
      </c>
      <c r="G3444" s="9" t="n">
        <v>14801.67</v>
      </c>
      <c r="H3444" t="inlineStr">
        <is>
          <t>PAID_ON_TIME</t>
        </is>
      </c>
      <c r="I3444">
        <f>IF(H3444="UNPAID", AsOfDate-D3444, 0)</f>
        <v/>
      </c>
      <c r="J3444">
        <f>IF(F3444&lt;&gt;"", TEXT(F3444, "yyyy-mm"), "")</f>
        <v/>
      </c>
    </row>
    <row r="3445">
      <c r="A3445" t="inlineStr">
        <is>
          <t>RP0003444</t>
        </is>
      </c>
      <c r="B3445" t="inlineStr">
        <is>
          <t>LN200496</t>
        </is>
      </c>
      <c r="C3445" t="n">
        <v>6</v>
      </c>
      <c r="D3445" s="8" t="n">
        <v>46027</v>
      </c>
      <c r="E3445" s="9" t="n">
        <v>14801.67</v>
      </c>
      <c r="F3445" s="8" t="n">
        <v>46055</v>
      </c>
      <c r="G3445" s="9" t="n">
        <v>14801.67</v>
      </c>
      <c r="H3445" t="inlineStr">
        <is>
          <t>PAID_LATE</t>
        </is>
      </c>
      <c r="I3445">
        <f>IF(H3445="UNPAID", AsOfDate-D3445, 0)</f>
        <v/>
      </c>
      <c r="J3445">
        <f>IF(F3445&lt;&gt;"", TEXT(F3445, "yyyy-mm"), "")</f>
        <v/>
      </c>
    </row>
    <row r="3446">
      <c r="A3446" t="inlineStr">
        <is>
          <t>RP0003445</t>
        </is>
      </c>
      <c r="B3446" t="inlineStr">
        <is>
          <t>LN200497</t>
        </is>
      </c>
      <c r="C3446" t="n">
        <v>1</v>
      </c>
      <c r="D3446" s="8" t="n">
        <v>45920</v>
      </c>
      <c r="E3446" s="9" t="n">
        <v>14077.78</v>
      </c>
      <c r="F3446" s="8" t="n">
        <v>45923</v>
      </c>
      <c r="G3446" s="9" t="n">
        <v>14077.78</v>
      </c>
      <c r="H3446" t="inlineStr">
        <is>
          <t>PAID_ON_TIME</t>
        </is>
      </c>
      <c r="I3446">
        <f>IF(H3446="UNPAID", AsOfDate-D3446, 0)</f>
        <v/>
      </c>
      <c r="J3446">
        <f>IF(F3446&lt;&gt;"", TEXT(F3446, "yyyy-mm"), "")</f>
        <v/>
      </c>
    </row>
    <row r="3447">
      <c r="A3447" t="inlineStr">
        <is>
          <t>RP0003446</t>
        </is>
      </c>
      <c r="B3447" t="inlineStr">
        <is>
          <t>LN200497</t>
        </is>
      </c>
      <c r="C3447" t="n">
        <v>2</v>
      </c>
      <c r="D3447" s="8" t="n">
        <v>45950</v>
      </c>
      <c r="E3447" s="9" t="n">
        <v>14077.78</v>
      </c>
      <c r="F3447" s="8" t="n">
        <v>45954</v>
      </c>
      <c r="G3447" s="9" t="n">
        <v>14077.78</v>
      </c>
      <c r="H3447" t="inlineStr">
        <is>
          <t>PAID_ON_TIME</t>
        </is>
      </c>
      <c r="I3447">
        <f>IF(H3447="UNPAID", AsOfDate-D3447, 0)</f>
        <v/>
      </c>
      <c r="J3447">
        <f>IF(F3447&lt;&gt;"", TEXT(F3447, "yyyy-mm"), "")</f>
        <v/>
      </c>
    </row>
    <row r="3448">
      <c r="A3448" t="inlineStr">
        <is>
          <t>RP0003447</t>
        </is>
      </c>
      <c r="B3448" t="inlineStr">
        <is>
          <t>LN200497</t>
        </is>
      </c>
      <c r="C3448" t="n">
        <v>3</v>
      </c>
      <c r="D3448" s="8" t="n">
        <v>45981</v>
      </c>
      <c r="E3448" s="9" t="n">
        <v>14077.78</v>
      </c>
      <c r="F3448" s="8" t="n">
        <v>45979</v>
      </c>
      <c r="G3448" s="9" t="n">
        <v>14077.78</v>
      </c>
      <c r="H3448" t="inlineStr">
        <is>
          <t>PAID_ON_TIME</t>
        </is>
      </c>
      <c r="I3448">
        <f>IF(H3448="UNPAID", AsOfDate-D3448, 0)</f>
        <v/>
      </c>
      <c r="J3448">
        <f>IF(F3448&lt;&gt;"", TEXT(F3448, "yyyy-mm"), "")</f>
        <v/>
      </c>
    </row>
    <row r="3449">
      <c r="A3449" t="inlineStr">
        <is>
          <t>RP0003448</t>
        </is>
      </c>
      <c r="B3449" t="inlineStr">
        <is>
          <t>LN200497</t>
        </is>
      </c>
      <c r="C3449" t="n">
        <v>4</v>
      </c>
      <c r="D3449" s="8" t="n">
        <v>46011</v>
      </c>
      <c r="E3449" s="9" t="n">
        <v>14077.78</v>
      </c>
      <c r="F3449" s="8" t="n">
        <v>46019</v>
      </c>
      <c r="G3449" s="9" t="n">
        <v>14077.78</v>
      </c>
      <c r="H3449" t="inlineStr">
        <is>
          <t>PAID_LATE</t>
        </is>
      </c>
      <c r="I3449">
        <f>IF(H3449="UNPAID", AsOfDate-D3449, 0)</f>
        <v/>
      </c>
      <c r="J3449">
        <f>IF(F3449&lt;&gt;"", TEXT(F3449, "yyyy-mm"), "")</f>
        <v/>
      </c>
    </row>
    <row r="3450">
      <c r="A3450" t="inlineStr">
        <is>
          <t>RP0003449</t>
        </is>
      </c>
      <c r="B3450" t="inlineStr">
        <is>
          <t>LN200497</t>
        </is>
      </c>
      <c r="C3450" t="n">
        <v>5</v>
      </c>
      <c r="D3450" s="8" t="n">
        <v>46042</v>
      </c>
      <c r="E3450" s="9" t="n">
        <v>14077.78</v>
      </c>
      <c r="F3450" s="8" t="n">
        <v>46039</v>
      </c>
      <c r="G3450" s="9" t="n">
        <v>14077.78</v>
      </c>
      <c r="H3450" t="inlineStr">
        <is>
          <t>PAID_ON_TIME</t>
        </is>
      </c>
      <c r="I3450">
        <f>IF(H3450="UNPAID", AsOfDate-D3450, 0)</f>
        <v/>
      </c>
      <c r="J3450">
        <f>IF(F3450&lt;&gt;"", TEXT(F3450, "yyyy-mm"), "")</f>
        <v/>
      </c>
    </row>
    <row r="3451">
      <c r="A3451" t="inlineStr">
        <is>
          <t>RP0003450</t>
        </is>
      </c>
      <c r="B3451" t="inlineStr">
        <is>
          <t>LN200497</t>
        </is>
      </c>
      <c r="C3451" t="n">
        <v>6</v>
      </c>
      <c r="D3451" s="8" t="n">
        <v>46073</v>
      </c>
      <c r="E3451" s="9" t="n">
        <v>14077.78</v>
      </c>
      <c r="F3451" s="8" t="n">
        <v>46077</v>
      </c>
      <c r="G3451" s="9" t="n">
        <v>14077.78</v>
      </c>
      <c r="H3451" t="inlineStr">
        <is>
          <t>PAID_ON_TIME</t>
        </is>
      </c>
      <c r="I3451">
        <f>IF(H3451="UNPAID", AsOfDate-D3451, 0)</f>
        <v/>
      </c>
      <c r="J3451">
        <f>IF(F3451&lt;&gt;"", TEXT(F3451, "yyyy-mm"), "")</f>
        <v/>
      </c>
    </row>
    <row r="3452">
      <c r="A3452" t="inlineStr">
        <is>
          <t>RP0003451</t>
        </is>
      </c>
      <c r="B3452" t="inlineStr">
        <is>
          <t>LN200497</t>
        </is>
      </c>
      <c r="C3452" t="n">
        <v>7</v>
      </c>
      <c r="D3452" s="8" t="n">
        <v>46101</v>
      </c>
      <c r="E3452" s="9" t="n">
        <v>14077.78</v>
      </c>
      <c r="F3452" s="8" t="n">
        <v>46104</v>
      </c>
      <c r="G3452" s="9" t="n">
        <v>14077.78</v>
      </c>
      <c r="H3452" t="inlineStr">
        <is>
          <t>PAID_ON_TIME</t>
        </is>
      </c>
      <c r="I3452">
        <f>IF(H3452="UNPAID", AsOfDate-D3452, 0)</f>
        <v/>
      </c>
      <c r="J3452">
        <f>IF(F3452&lt;&gt;"", TEXT(F3452, "yyyy-mm"), "")</f>
        <v/>
      </c>
    </row>
    <row r="3453">
      <c r="A3453" t="inlineStr">
        <is>
          <t>RP0003452</t>
        </is>
      </c>
      <c r="B3453" t="inlineStr">
        <is>
          <t>LN200497</t>
        </is>
      </c>
      <c r="C3453" t="n">
        <v>8</v>
      </c>
      <c r="D3453" s="8" t="n">
        <v>46132</v>
      </c>
      <c r="E3453" s="9" t="n">
        <v>14077.78</v>
      </c>
      <c r="F3453" s="8" t="n">
        <v>46129</v>
      </c>
      <c r="G3453" s="9" t="n">
        <v>14077.78</v>
      </c>
      <c r="H3453" t="inlineStr">
        <is>
          <t>PAID_ON_TIME</t>
        </is>
      </c>
      <c r="I3453">
        <f>IF(H3453="UNPAID", AsOfDate-D3453, 0)</f>
        <v/>
      </c>
      <c r="J3453">
        <f>IF(F3453&lt;&gt;"", TEXT(F3453, "yyyy-mm"), "")</f>
        <v/>
      </c>
    </row>
    <row r="3454">
      <c r="A3454" t="inlineStr">
        <is>
          <t>RP0003453</t>
        </is>
      </c>
      <c r="B3454" t="inlineStr">
        <is>
          <t>LN200497</t>
        </is>
      </c>
      <c r="C3454" t="n">
        <v>9</v>
      </c>
      <c r="D3454" s="8" t="n">
        <v>46162</v>
      </c>
      <c r="E3454" s="9" t="n">
        <v>14077.78</v>
      </c>
      <c r="F3454" s="8" t="n">
        <v>46160</v>
      </c>
      <c r="G3454" s="9" t="n">
        <v>14077.78</v>
      </c>
      <c r="H3454" t="inlineStr">
        <is>
          <t>PAID_ON_TIME</t>
        </is>
      </c>
      <c r="I3454">
        <f>IF(H3454="UNPAID", AsOfDate-D3454, 0)</f>
        <v/>
      </c>
      <c r="J3454">
        <f>IF(F3454&lt;&gt;"", TEXT(F3454, "yyyy-mm"), "")</f>
        <v/>
      </c>
    </row>
    <row r="3455">
      <c r="A3455" t="inlineStr">
        <is>
          <t>RP0003454</t>
        </is>
      </c>
      <c r="B3455" t="inlineStr">
        <is>
          <t>LN200498</t>
        </is>
      </c>
      <c r="C3455" t="n">
        <v>1</v>
      </c>
      <c r="D3455" s="8" t="n">
        <v>45693</v>
      </c>
      <c r="E3455" s="9" t="n">
        <v>13326.17</v>
      </c>
      <c r="F3455" s="8" t="n">
        <v>45692</v>
      </c>
      <c r="G3455" s="9" t="n">
        <v>13326.17</v>
      </c>
      <c r="H3455" t="inlineStr">
        <is>
          <t>PAID_ON_TIME</t>
        </is>
      </c>
      <c r="I3455">
        <f>IF(H3455="UNPAID", AsOfDate-D3455, 0)</f>
        <v/>
      </c>
      <c r="J3455">
        <f>IF(F3455&lt;&gt;"", TEXT(F3455, "yyyy-mm"), "")</f>
        <v/>
      </c>
    </row>
    <row r="3456">
      <c r="A3456" t="inlineStr">
        <is>
          <t>RP0003455</t>
        </is>
      </c>
      <c r="B3456" t="inlineStr">
        <is>
          <t>LN200498</t>
        </is>
      </c>
      <c r="C3456" t="n">
        <v>2</v>
      </c>
      <c r="D3456" s="8" t="n">
        <v>45721</v>
      </c>
      <c r="E3456" s="9" t="n">
        <v>13326.17</v>
      </c>
      <c r="F3456" s="8" t="n">
        <v>45718</v>
      </c>
      <c r="G3456" s="9" t="n">
        <v>13326.17</v>
      </c>
      <c r="H3456" t="inlineStr">
        <is>
          <t>PAID_ON_TIME</t>
        </is>
      </c>
      <c r="I3456">
        <f>IF(H3456="UNPAID", AsOfDate-D3456, 0)</f>
        <v/>
      </c>
      <c r="J3456">
        <f>IF(F3456&lt;&gt;"", TEXT(F3456, "yyyy-mm"), "")</f>
        <v/>
      </c>
    </row>
    <row r="3457">
      <c r="A3457" t="inlineStr">
        <is>
          <t>RP0003456</t>
        </is>
      </c>
      <c r="B3457" t="inlineStr">
        <is>
          <t>LN200498</t>
        </is>
      </c>
      <c r="C3457" t="n">
        <v>3</v>
      </c>
      <c r="D3457" s="8" t="n">
        <v>45752</v>
      </c>
      <c r="E3457" s="9" t="n">
        <v>13326.17</v>
      </c>
      <c r="F3457" s="8" t="n">
        <v>45755</v>
      </c>
      <c r="G3457" s="9" t="n">
        <v>13326.17</v>
      </c>
      <c r="H3457" t="inlineStr">
        <is>
          <t>PAID_ON_TIME</t>
        </is>
      </c>
      <c r="I3457">
        <f>IF(H3457="UNPAID", AsOfDate-D3457, 0)</f>
        <v/>
      </c>
      <c r="J3457">
        <f>IF(F3457&lt;&gt;"", TEXT(F3457, "yyyy-mm"), "")</f>
        <v/>
      </c>
    </row>
    <row r="3458">
      <c r="A3458" t="inlineStr">
        <is>
          <t>RP0003457</t>
        </is>
      </c>
      <c r="B3458" t="inlineStr">
        <is>
          <t>LN200498</t>
        </is>
      </c>
      <c r="C3458" t="n">
        <v>4</v>
      </c>
      <c r="D3458" s="8" t="n">
        <v>45782</v>
      </c>
      <c r="E3458" s="9" t="n">
        <v>13326.17</v>
      </c>
      <c r="F3458" s="8" t="n">
        <v>45781</v>
      </c>
      <c r="G3458" s="9" t="n">
        <v>13326.17</v>
      </c>
      <c r="H3458" t="inlineStr">
        <is>
          <t>PAID_ON_TIME</t>
        </is>
      </c>
      <c r="I3458">
        <f>IF(H3458="UNPAID", AsOfDate-D3458, 0)</f>
        <v/>
      </c>
      <c r="J3458">
        <f>IF(F3458&lt;&gt;"", TEXT(F3458, "yyyy-mm"), "")</f>
        <v/>
      </c>
    </row>
    <row r="3459">
      <c r="A3459" t="inlineStr">
        <is>
          <t>RP0003458</t>
        </is>
      </c>
      <c r="B3459" t="inlineStr">
        <is>
          <t>LN200498</t>
        </is>
      </c>
      <c r="C3459" t="n">
        <v>5</v>
      </c>
      <c r="D3459" s="8" t="n">
        <v>45813</v>
      </c>
      <c r="E3459" s="9" t="n">
        <v>13326.17</v>
      </c>
      <c r="F3459" s="8" t="n">
        <v>45811</v>
      </c>
      <c r="G3459" s="9" t="n">
        <v>13326.17</v>
      </c>
      <c r="H3459" t="inlineStr">
        <is>
          <t>PAID_ON_TIME</t>
        </is>
      </c>
      <c r="I3459">
        <f>IF(H3459="UNPAID", AsOfDate-D3459, 0)</f>
        <v/>
      </c>
      <c r="J3459">
        <f>IF(F3459&lt;&gt;"", TEXT(F3459, "yyyy-mm"), "")</f>
        <v/>
      </c>
    </row>
    <row r="3460">
      <c r="A3460" t="inlineStr">
        <is>
          <t>RP0003459</t>
        </is>
      </c>
      <c r="B3460" t="inlineStr">
        <is>
          <t>LN200498</t>
        </is>
      </c>
      <c r="C3460" t="n">
        <v>6</v>
      </c>
      <c r="D3460" s="8" t="n">
        <v>45843</v>
      </c>
      <c r="E3460" s="9" t="n">
        <v>13326.17</v>
      </c>
      <c r="F3460" s="8" t="n">
        <v>45843</v>
      </c>
      <c r="G3460" s="9" t="n">
        <v>13326.17</v>
      </c>
      <c r="H3460" t="inlineStr">
        <is>
          <t>PAID_ON_TIME</t>
        </is>
      </c>
      <c r="I3460">
        <f>IF(H3460="UNPAID", AsOfDate-D3460, 0)</f>
        <v/>
      </c>
      <c r="J3460">
        <f>IF(F3460&lt;&gt;"", TEXT(F3460, "yyyy-mm"), "")</f>
        <v/>
      </c>
    </row>
    <row r="3461">
      <c r="A3461" t="inlineStr">
        <is>
          <t>RP0003460</t>
        </is>
      </c>
      <c r="B3461" t="inlineStr">
        <is>
          <t>LN200499</t>
        </is>
      </c>
      <c r="C3461" t="n">
        <v>1</v>
      </c>
      <c r="D3461" s="8" t="n">
        <v>46093</v>
      </c>
      <c r="E3461" s="9" t="n">
        <v>2606.5</v>
      </c>
      <c r="F3461" s="8" t="n">
        <v>46092</v>
      </c>
      <c r="G3461" s="9" t="n">
        <v>2606.5</v>
      </c>
      <c r="H3461" t="inlineStr">
        <is>
          <t>PAID_ON_TIME</t>
        </is>
      </c>
      <c r="I3461">
        <f>IF(H3461="UNPAID", AsOfDate-D3461, 0)</f>
        <v/>
      </c>
      <c r="J3461">
        <f>IF(F3461&lt;&gt;"", TEXT(F3461, "yyyy-mm"), "")</f>
        <v/>
      </c>
    </row>
    <row r="3462">
      <c r="A3462" t="inlineStr">
        <is>
          <t>RP0003461</t>
        </is>
      </c>
      <c r="B3462" t="inlineStr">
        <is>
          <t>LN200499</t>
        </is>
      </c>
      <c r="C3462" t="n">
        <v>2</v>
      </c>
      <c r="D3462" s="8" t="n">
        <v>46124</v>
      </c>
      <c r="E3462" s="9" t="n">
        <v>2606.5</v>
      </c>
      <c r="F3462" s="8" t="n">
        <v>46124</v>
      </c>
      <c r="G3462" s="9" t="n">
        <v>2606.5</v>
      </c>
      <c r="H3462" t="inlineStr">
        <is>
          <t>PAID_ON_TIME</t>
        </is>
      </c>
      <c r="I3462">
        <f>IF(H3462="UNPAID", AsOfDate-D3462, 0)</f>
        <v/>
      </c>
      <c r="J3462">
        <f>IF(F3462&lt;&gt;"", TEXT(F3462, "yyyy-mm"), "")</f>
        <v/>
      </c>
    </row>
    <row r="3463">
      <c r="A3463" t="inlineStr">
        <is>
          <t>RP0003462</t>
        </is>
      </c>
      <c r="B3463" t="inlineStr">
        <is>
          <t>LN200499</t>
        </is>
      </c>
      <c r="C3463" t="n">
        <v>3</v>
      </c>
      <c r="D3463" s="8" t="n">
        <v>46154</v>
      </c>
      <c r="E3463" s="9" t="n">
        <v>2606.5</v>
      </c>
      <c r="F3463" s="8" t="n">
        <v>46153</v>
      </c>
      <c r="G3463" s="9" t="n">
        <v>2606.5</v>
      </c>
      <c r="H3463" t="inlineStr">
        <is>
          <t>PAID_ON_TIME</t>
        </is>
      </c>
      <c r="I3463">
        <f>IF(H3463="UNPAID", AsOfDate-D3463, 0)</f>
        <v/>
      </c>
      <c r="J3463">
        <f>IF(F3463&lt;&gt;"", TEXT(F3463, "yyyy-mm"), "")</f>
        <v/>
      </c>
    </row>
    <row r="3464">
      <c r="A3464" t="inlineStr">
        <is>
          <t>RP0003463</t>
        </is>
      </c>
      <c r="B3464" t="inlineStr">
        <is>
          <t>LN200499</t>
        </is>
      </c>
      <c r="C3464" t="n">
        <v>4</v>
      </c>
      <c r="D3464" s="8" t="n">
        <v>46185</v>
      </c>
      <c r="E3464" s="9" t="n">
        <v>2606.5</v>
      </c>
      <c r="F3464" s="8" t="n">
        <v>46188</v>
      </c>
      <c r="G3464" s="9" t="n">
        <v>2606.5</v>
      </c>
      <c r="H3464" t="inlineStr">
        <is>
          <t>PAID_ON_TIME</t>
        </is>
      </c>
      <c r="I3464">
        <f>IF(H3464="UNPAID", AsOfDate-D3464, 0)</f>
        <v/>
      </c>
      <c r="J3464">
        <f>IF(F3464&lt;&gt;"", TEXT(F3464, "yyyy-mm"), "")</f>
        <v/>
      </c>
    </row>
    <row r="3465">
      <c r="A3465" t="inlineStr">
        <is>
          <t>RP0003464</t>
        </is>
      </c>
      <c r="B3465" t="inlineStr">
        <is>
          <t>LN200499</t>
        </is>
      </c>
      <c r="C3465" t="n">
        <v>5</v>
      </c>
      <c r="D3465" s="8" t="n">
        <v>46215</v>
      </c>
      <c r="E3465" s="9" t="n">
        <v>2606.5</v>
      </c>
      <c r="F3465" s="8" t="n">
        <v>46215</v>
      </c>
      <c r="G3465" s="9" t="n">
        <v>2606.5</v>
      </c>
      <c r="H3465" t="inlineStr">
        <is>
          <t>PAID_ON_TIME</t>
        </is>
      </c>
      <c r="I3465">
        <f>IF(H3465="UNPAID", AsOfDate-D3465, 0)</f>
        <v/>
      </c>
      <c r="J3465">
        <f>IF(F3465&lt;&gt;"", TEXT(F3465, "yyyy-mm"), "")</f>
        <v/>
      </c>
    </row>
    <row r="3466">
      <c r="A3466" t="inlineStr">
        <is>
          <t>RP0003465</t>
        </is>
      </c>
      <c r="B3466" t="inlineStr">
        <is>
          <t>LN200499</t>
        </is>
      </c>
      <c r="C3466" t="n">
        <v>6</v>
      </c>
      <c r="D3466" s="8" t="n">
        <v>46246</v>
      </c>
      <c r="E3466" s="9" t="n">
        <v>2606.5</v>
      </c>
      <c r="F3466" s="8" t="n">
        <v>46243</v>
      </c>
      <c r="G3466" s="9" t="n">
        <v>2606.5</v>
      </c>
      <c r="H3466" t="inlineStr">
        <is>
          <t>PAID_ON_TIME</t>
        </is>
      </c>
      <c r="I3466">
        <f>IF(H3466="UNPAID", AsOfDate-D3466, 0)</f>
        <v/>
      </c>
      <c r="J3466">
        <f>IF(F3466&lt;&gt;"", TEXT(F3466, "yyyy-mm"), "")</f>
        <v/>
      </c>
    </row>
    <row r="3467">
      <c r="A3467" t="inlineStr">
        <is>
          <t>RP0003466</t>
        </is>
      </c>
      <c r="B3467" t="inlineStr">
        <is>
          <t>LN200499</t>
        </is>
      </c>
      <c r="C3467" t="n">
        <v>7</v>
      </c>
      <c r="D3467" s="8" t="n">
        <v>46277</v>
      </c>
      <c r="E3467" s="9" t="n">
        <v>2606.5</v>
      </c>
      <c r="F3467" s="8" t="n"/>
      <c r="G3467" s="9" t="n">
        <v>0</v>
      </c>
      <c r="H3467" t="inlineStr">
        <is>
          <t>NOT_DUE</t>
        </is>
      </c>
      <c r="I3467">
        <f>IF(H3467="UNPAID", AsOfDate-D3467, 0)</f>
        <v/>
      </c>
      <c r="J3467">
        <f>IF(F3467&lt;&gt;"", TEXT(F3467, "yyyy-mm"), "")</f>
        <v/>
      </c>
    </row>
    <row r="3468">
      <c r="A3468" t="inlineStr">
        <is>
          <t>RP0003467</t>
        </is>
      </c>
      <c r="B3468" t="inlineStr">
        <is>
          <t>LN200499</t>
        </is>
      </c>
      <c r="C3468" t="n">
        <v>8</v>
      </c>
      <c r="D3468" s="8" t="n">
        <v>46307</v>
      </c>
      <c r="E3468" s="9" t="n">
        <v>2606.5</v>
      </c>
      <c r="F3468" s="8" t="n"/>
      <c r="G3468" s="9" t="n">
        <v>0</v>
      </c>
      <c r="H3468" t="inlineStr">
        <is>
          <t>NOT_DUE</t>
        </is>
      </c>
      <c r="I3468">
        <f>IF(H3468="UNPAID", AsOfDate-D3468, 0)</f>
        <v/>
      </c>
      <c r="J3468">
        <f>IF(F3468&lt;&gt;"", TEXT(F3468, "yyyy-mm"), "")</f>
        <v/>
      </c>
    </row>
    <row r="3469">
      <c r="A3469" t="inlineStr">
        <is>
          <t>RP0003468</t>
        </is>
      </c>
      <c r="B3469" t="inlineStr">
        <is>
          <t>LN200499</t>
        </is>
      </c>
      <c r="C3469" t="n">
        <v>9</v>
      </c>
      <c r="D3469" s="8" t="n">
        <v>46338</v>
      </c>
      <c r="E3469" s="9" t="n">
        <v>2606.5</v>
      </c>
      <c r="F3469" s="8" t="n"/>
      <c r="G3469" s="9" t="n">
        <v>0</v>
      </c>
      <c r="H3469" t="inlineStr">
        <is>
          <t>NOT_DUE</t>
        </is>
      </c>
      <c r="I3469">
        <f>IF(H3469="UNPAID", AsOfDate-D3469, 0)</f>
        <v/>
      </c>
      <c r="J3469">
        <f>IF(F3469&lt;&gt;"", TEXT(F3469, "yyyy-mm"), "")</f>
        <v/>
      </c>
    </row>
    <row r="3470">
      <c r="A3470" t="inlineStr">
        <is>
          <t>RP0003469</t>
        </is>
      </c>
      <c r="B3470" t="inlineStr">
        <is>
          <t>LN200499</t>
        </is>
      </c>
      <c r="C3470" t="n">
        <v>10</v>
      </c>
      <c r="D3470" s="8" t="n">
        <v>46368</v>
      </c>
      <c r="E3470" s="9" t="n">
        <v>2606.5</v>
      </c>
      <c r="F3470" s="8" t="n"/>
      <c r="G3470" s="9" t="n">
        <v>0</v>
      </c>
      <c r="H3470" t="inlineStr">
        <is>
          <t>NOT_DUE</t>
        </is>
      </c>
      <c r="I3470">
        <f>IF(H3470="UNPAID", AsOfDate-D3470, 0)</f>
        <v/>
      </c>
      <c r="J3470">
        <f>IF(F3470&lt;&gt;"", TEXT(F3470, "yyyy-mm"), "")</f>
        <v/>
      </c>
    </row>
    <row r="3471">
      <c r="A3471" t="inlineStr">
        <is>
          <t>RP0003470</t>
        </is>
      </c>
      <c r="B3471" t="inlineStr">
        <is>
          <t>LN200499</t>
        </is>
      </c>
      <c r="C3471" t="n">
        <v>11</v>
      </c>
      <c r="D3471" s="8" t="n">
        <v>46399</v>
      </c>
      <c r="E3471" s="9" t="n">
        <v>2606.5</v>
      </c>
      <c r="F3471" s="8" t="n"/>
      <c r="G3471" s="9" t="n">
        <v>0</v>
      </c>
      <c r="H3471" t="inlineStr">
        <is>
          <t>NOT_DUE</t>
        </is>
      </c>
      <c r="I3471">
        <f>IF(H3471="UNPAID", AsOfDate-D3471, 0)</f>
        <v/>
      </c>
      <c r="J3471">
        <f>IF(F3471&lt;&gt;"", TEXT(F3471, "yyyy-mm"), "")</f>
        <v/>
      </c>
    </row>
    <row r="3472">
      <c r="A3472" t="inlineStr">
        <is>
          <t>RP0003471</t>
        </is>
      </c>
      <c r="B3472" t="inlineStr">
        <is>
          <t>LN200499</t>
        </is>
      </c>
      <c r="C3472" t="n">
        <v>12</v>
      </c>
      <c r="D3472" s="8" t="n">
        <v>46430</v>
      </c>
      <c r="E3472" s="9" t="n">
        <v>2606.5</v>
      </c>
      <c r="F3472" s="8" t="n"/>
      <c r="G3472" s="9" t="n">
        <v>0</v>
      </c>
      <c r="H3472" t="inlineStr">
        <is>
          <t>NOT_DUE</t>
        </is>
      </c>
      <c r="I3472">
        <f>IF(H3472="UNPAID", AsOfDate-D3472, 0)</f>
        <v/>
      </c>
      <c r="J3472">
        <f>IF(F3472&lt;&gt;"", TEXT(F3472, "yyyy-mm"), "")</f>
        <v/>
      </c>
    </row>
    <row r="3473">
      <c r="A3473" t="inlineStr">
        <is>
          <t>RP0003472</t>
        </is>
      </c>
      <c r="B3473" t="inlineStr">
        <is>
          <t>LN200500</t>
        </is>
      </c>
      <c r="C3473" t="n">
        <v>1</v>
      </c>
      <c r="D3473" s="8" t="n">
        <v>46074</v>
      </c>
      <c r="E3473" s="9" t="n">
        <v>8987.5</v>
      </c>
      <c r="F3473" s="8" t="n">
        <v>46075</v>
      </c>
      <c r="G3473" s="9" t="n">
        <v>8987.5</v>
      </c>
      <c r="H3473" t="inlineStr">
        <is>
          <t>PAID_ON_TIME</t>
        </is>
      </c>
      <c r="I3473">
        <f>IF(H3473="UNPAID", AsOfDate-D3473, 0)</f>
        <v/>
      </c>
      <c r="J3473">
        <f>IF(F3473&lt;&gt;"", TEXT(F3473, "yyyy-mm"), "")</f>
        <v/>
      </c>
    </row>
    <row r="3474">
      <c r="A3474" t="inlineStr">
        <is>
          <t>RP0003473</t>
        </is>
      </c>
      <c r="B3474" t="inlineStr">
        <is>
          <t>LN200500</t>
        </is>
      </c>
      <c r="C3474" t="n">
        <v>2</v>
      </c>
      <c r="D3474" s="8" t="n">
        <v>46102</v>
      </c>
      <c r="E3474" s="9" t="n">
        <v>8987.5</v>
      </c>
      <c r="F3474" s="8" t="n">
        <v>46099</v>
      </c>
      <c r="G3474" s="9" t="n">
        <v>8987.5</v>
      </c>
      <c r="H3474" t="inlineStr">
        <is>
          <t>PAID_ON_TIME</t>
        </is>
      </c>
      <c r="I3474">
        <f>IF(H3474="UNPAID", AsOfDate-D3474, 0)</f>
        <v/>
      </c>
      <c r="J3474">
        <f>IF(F3474&lt;&gt;"", TEXT(F3474, "yyyy-mm"), "")</f>
        <v/>
      </c>
    </row>
    <row r="3475">
      <c r="A3475" t="inlineStr">
        <is>
          <t>RP0003474</t>
        </is>
      </c>
      <c r="B3475" t="inlineStr">
        <is>
          <t>LN200500</t>
        </is>
      </c>
      <c r="C3475" t="n">
        <v>3</v>
      </c>
      <c r="D3475" s="8" t="n">
        <v>46133</v>
      </c>
      <c r="E3475" s="9" t="n">
        <v>8987.5</v>
      </c>
      <c r="F3475" s="8" t="n">
        <v>46134</v>
      </c>
      <c r="G3475" s="9" t="n">
        <v>8987.5</v>
      </c>
      <c r="H3475" t="inlineStr">
        <is>
          <t>PAID_ON_TIME</t>
        </is>
      </c>
      <c r="I3475">
        <f>IF(H3475="UNPAID", AsOfDate-D3475, 0)</f>
        <v/>
      </c>
      <c r="J3475">
        <f>IF(F3475&lt;&gt;"", TEXT(F3475, "yyyy-mm"), "")</f>
        <v/>
      </c>
    </row>
    <row r="3476">
      <c r="A3476" t="inlineStr">
        <is>
          <t>RP0003475</t>
        </is>
      </c>
      <c r="B3476" t="inlineStr">
        <is>
          <t>LN200500</t>
        </is>
      </c>
      <c r="C3476" t="n">
        <v>4</v>
      </c>
      <c r="D3476" s="8" t="n">
        <v>46163</v>
      </c>
      <c r="E3476" s="9" t="n">
        <v>8987.5</v>
      </c>
      <c r="F3476" s="8" t="n">
        <v>46160</v>
      </c>
      <c r="G3476" s="9" t="n">
        <v>8987.5</v>
      </c>
      <c r="H3476" t="inlineStr">
        <is>
          <t>PAID_ON_TIME</t>
        </is>
      </c>
      <c r="I3476">
        <f>IF(H3476="UNPAID", AsOfDate-D3476, 0)</f>
        <v/>
      </c>
      <c r="J3476">
        <f>IF(F3476&lt;&gt;"", TEXT(F3476, "yyyy-mm"), "")</f>
        <v/>
      </c>
    </row>
    <row r="3477">
      <c r="A3477" t="inlineStr">
        <is>
          <t>RP0003476</t>
        </is>
      </c>
      <c r="B3477" t="inlineStr">
        <is>
          <t>LN200500</t>
        </is>
      </c>
      <c r="C3477" t="n">
        <v>5</v>
      </c>
      <c r="D3477" s="8" t="n">
        <v>46194</v>
      </c>
      <c r="E3477" s="9" t="n">
        <v>8987.5</v>
      </c>
      <c r="F3477" s="8" t="n">
        <v>46195</v>
      </c>
      <c r="G3477" s="9" t="n">
        <v>8987.5</v>
      </c>
      <c r="H3477" t="inlineStr">
        <is>
          <t>PAID_ON_TIME</t>
        </is>
      </c>
      <c r="I3477">
        <f>IF(H3477="UNPAID", AsOfDate-D3477, 0)</f>
        <v/>
      </c>
      <c r="J3477">
        <f>IF(F3477&lt;&gt;"", TEXT(F3477, "yyyy-mm"), "")</f>
        <v/>
      </c>
    </row>
    <row r="3478">
      <c r="A3478" t="inlineStr">
        <is>
          <t>RP0003477</t>
        </is>
      </c>
      <c r="B3478" t="inlineStr">
        <is>
          <t>LN200500</t>
        </is>
      </c>
      <c r="C3478" t="n">
        <v>6</v>
      </c>
      <c r="D3478" s="8" t="n">
        <v>46224</v>
      </c>
      <c r="E3478" s="9" t="n">
        <v>8987.5</v>
      </c>
      <c r="F3478" s="8" t="n"/>
      <c r="G3478" s="9" t="n">
        <v>0</v>
      </c>
      <c r="H3478" t="inlineStr">
        <is>
          <t>UNPAID</t>
        </is>
      </c>
      <c r="I3478">
        <f>IF(H3478="UNPAID", AsOfDate-D3478, 0)</f>
        <v/>
      </c>
      <c r="J3478">
        <f>IF(F3478&lt;&gt;"", TEXT(F3478, "yyyy-mm"), "")</f>
        <v/>
      </c>
    </row>
    <row r="3479">
      <c r="A3479" t="inlineStr">
        <is>
          <t>RP0003478</t>
        </is>
      </c>
      <c r="B3479" t="inlineStr">
        <is>
          <t>LN200501</t>
        </is>
      </c>
      <c r="C3479" t="n">
        <v>1</v>
      </c>
      <c r="D3479" s="8" t="n">
        <v>46203</v>
      </c>
      <c r="E3479" s="9" t="n">
        <v>19470</v>
      </c>
      <c r="F3479" s="8" t="n">
        <v>46204</v>
      </c>
      <c r="G3479" s="9" t="n">
        <v>19470</v>
      </c>
      <c r="H3479" t="inlineStr">
        <is>
          <t>PAID_ON_TIME</t>
        </is>
      </c>
      <c r="I3479">
        <f>IF(H3479="UNPAID", AsOfDate-D3479, 0)</f>
        <v/>
      </c>
      <c r="J3479">
        <f>IF(F3479&lt;&gt;"", TEXT(F3479, "yyyy-mm"), "")</f>
        <v/>
      </c>
    </row>
    <row r="3480">
      <c r="A3480" t="inlineStr">
        <is>
          <t>RP0003479</t>
        </is>
      </c>
      <c r="B3480" t="inlineStr">
        <is>
          <t>LN200501</t>
        </is>
      </c>
      <c r="C3480" t="n">
        <v>2</v>
      </c>
      <c r="D3480" s="8" t="n">
        <v>46234</v>
      </c>
      <c r="E3480" s="9" t="n">
        <v>19470</v>
      </c>
      <c r="F3480" s="8" t="n">
        <v>46231</v>
      </c>
      <c r="G3480" s="9" t="n">
        <v>19470</v>
      </c>
      <c r="H3480" t="inlineStr">
        <is>
          <t>PAID_ON_TIME</t>
        </is>
      </c>
      <c r="I3480">
        <f>IF(H3480="UNPAID", AsOfDate-D3480, 0)</f>
        <v/>
      </c>
      <c r="J3480">
        <f>IF(F3480&lt;&gt;"", TEXT(F3480, "yyyy-mm"), "")</f>
        <v/>
      </c>
    </row>
    <row r="3481">
      <c r="A3481" t="inlineStr">
        <is>
          <t>RP0003480</t>
        </is>
      </c>
      <c r="B3481" t="inlineStr">
        <is>
          <t>LN200501</t>
        </is>
      </c>
      <c r="C3481" t="n">
        <v>3</v>
      </c>
      <c r="D3481" s="8" t="n">
        <v>46265</v>
      </c>
      <c r="E3481" s="9" t="n">
        <v>19470</v>
      </c>
      <c r="F3481" s="8" t="n">
        <v>46266</v>
      </c>
      <c r="G3481" s="9" t="n">
        <v>19470</v>
      </c>
      <c r="H3481" t="inlineStr">
        <is>
          <t>PAID_ON_TIME</t>
        </is>
      </c>
      <c r="I3481">
        <f>IF(H3481="UNPAID", AsOfDate-D3481, 0)</f>
        <v/>
      </c>
      <c r="J3481">
        <f>IF(F3481&lt;&gt;"", TEXT(F3481, "yyyy-mm"), "")</f>
        <v/>
      </c>
    </row>
    <row r="3482">
      <c r="A3482" t="inlineStr">
        <is>
          <t>RP0003481</t>
        </is>
      </c>
      <c r="B3482" t="inlineStr">
        <is>
          <t>LN200501</t>
        </is>
      </c>
      <c r="C3482" t="n">
        <v>4</v>
      </c>
      <c r="D3482" s="8" t="n">
        <v>46295</v>
      </c>
      <c r="E3482" s="9" t="n">
        <v>19470</v>
      </c>
      <c r="F3482" s="8" t="n"/>
      <c r="G3482" s="9" t="n">
        <v>0</v>
      </c>
      <c r="H3482" t="inlineStr">
        <is>
          <t>NOT_DUE</t>
        </is>
      </c>
      <c r="I3482">
        <f>IF(H3482="UNPAID", AsOfDate-D3482, 0)</f>
        <v/>
      </c>
      <c r="J3482">
        <f>IF(F3482&lt;&gt;"", TEXT(F3482, "yyyy-mm"), "")</f>
        <v/>
      </c>
    </row>
    <row r="3483">
      <c r="A3483" t="inlineStr">
        <is>
          <t>RP0003482</t>
        </is>
      </c>
      <c r="B3483" t="inlineStr">
        <is>
          <t>LN200501</t>
        </is>
      </c>
      <c r="C3483" t="n">
        <v>5</v>
      </c>
      <c r="D3483" s="8" t="n">
        <v>46326</v>
      </c>
      <c r="E3483" s="9" t="n">
        <v>19470</v>
      </c>
      <c r="F3483" s="8" t="n"/>
      <c r="G3483" s="9" t="n">
        <v>0</v>
      </c>
      <c r="H3483" t="inlineStr">
        <is>
          <t>NOT_DUE</t>
        </is>
      </c>
      <c r="I3483">
        <f>IF(H3483="UNPAID", AsOfDate-D3483, 0)</f>
        <v/>
      </c>
      <c r="J3483">
        <f>IF(F3483&lt;&gt;"", TEXT(F3483, "yyyy-mm"), "")</f>
        <v/>
      </c>
    </row>
    <row r="3484">
      <c r="A3484" t="inlineStr">
        <is>
          <t>RP0003483</t>
        </is>
      </c>
      <c r="B3484" t="inlineStr">
        <is>
          <t>LN200501</t>
        </is>
      </c>
      <c r="C3484" t="n">
        <v>6</v>
      </c>
      <c r="D3484" s="8" t="n">
        <v>46356</v>
      </c>
      <c r="E3484" s="9" t="n">
        <v>19470</v>
      </c>
      <c r="F3484" s="8" t="n"/>
      <c r="G3484" s="9" t="n">
        <v>0</v>
      </c>
      <c r="H3484" t="inlineStr">
        <is>
          <t>NOT_DUE</t>
        </is>
      </c>
      <c r="I3484">
        <f>IF(H3484="UNPAID", AsOfDate-D3484, 0)</f>
        <v/>
      </c>
      <c r="J3484">
        <f>IF(F3484&lt;&gt;"", TEXT(F3484, "yyyy-mm"), "")</f>
        <v/>
      </c>
    </row>
    <row r="3485">
      <c r="A3485" t="inlineStr">
        <is>
          <t>RP0003484</t>
        </is>
      </c>
      <c r="B3485" t="inlineStr">
        <is>
          <t>LN200503</t>
        </is>
      </c>
      <c r="C3485" t="n">
        <v>1</v>
      </c>
      <c r="D3485" s="8" t="n">
        <v>45722</v>
      </c>
      <c r="E3485" s="9" t="n">
        <v>82364</v>
      </c>
      <c r="F3485" s="8" t="n">
        <v>45724</v>
      </c>
      <c r="G3485" s="9" t="n">
        <v>82364</v>
      </c>
      <c r="H3485" t="inlineStr">
        <is>
          <t>PAID_ON_TIME</t>
        </is>
      </c>
      <c r="I3485">
        <f>IF(H3485="UNPAID", AsOfDate-D3485, 0)</f>
        <v/>
      </c>
      <c r="J3485">
        <f>IF(F3485&lt;&gt;"", TEXT(F3485, "yyyy-mm"), "")</f>
        <v/>
      </c>
    </row>
    <row r="3486">
      <c r="A3486" t="inlineStr">
        <is>
          <t>RP0003485</t>
        </is>
      </c>
      <c r="B3486" t="inlineStr">
        <is>
          <t>LN200503</t>
        </is>
      </c>
      <c r="C3486" t="n">
        <v>2</v>
      </c>
      <c r="D3486" s="8" t="n">
        <v>45753</v>
      </c>
      <c r="E3486" s="9" t="n">
        <v>82364</v>
      </c>
      <c r="F3486" s="8" t="n">
        <v>45752</v>
      </c>
      <c r="G3486" s="9" t="n">
        <v>82364</v>
      </c>
      <c r="H3486" t="inlineStr">
        <is>
          <t>PAID_ON_TIME</t>
        </is>
      </c>
      <c r="I3486">
        <f>IF(H3486="UNPAID", AsOfDate-D3486, 0)</f>
        <v/>
      </c>
      <c r="J3486">
        <f>IF(F3486&lt;&gt;"", TEXT(F3486, "yyyy-mm"), "")</f>
        <v/>
      </c>
    </row>
    <row r="3487">
      <c r="A3487" t="inlineStr">
        <is>
          <t>RP0003486</t>
        </is>
      </c>
      <c r="B3487" t="inlineStr">
        <is>
          <t>LN200503</t>
        </is>
      </c>
      <c r="C3487" t="n">
        <v>3</v>
      </c>
      <c r="D3487" s="8" t="n">
        <v>45783</v>
      </c>
      <c r="E3487" s="9" t="n">
        <v>82364</v>
      </c>
      <c r="F3487" s="8" t="n">
        <v>45790</v>
      </c>
      <c r="G3487" s="9" t="n">
        <v>82364</v>
      </c>
      <c r="H3487" t="inlineStr">
        <is>
          <t>PAID_LATE</t>
        </is>
      </c>
      <c r="I3487">
        <f>IF(H3487="UNPAID", AsOfDate-D3487, 0)</f>
        <v/>
      </c>
      <c r="J3487">
        <f>IF(F3487&lt;&gt;"", TEXT(F3487, "yyyy-mm"), "")</f>
        <v/>
      </c>
    </row>
    <row r="3488">
      <c r="A3488" t="inlineStr">
        <is>
          <t>RP0003487</t>
        </is>
      </c>
      <c r="B3488" t="inlineStr">
        <is>
          <t>LN200504</t>
        </is>
      </c>
      <c r="C3488" t="n">
        <v>1</v>
      </c>
      <c r="D3488" s="8" t="n">
        <v>46030</v>
      </c>
      <c r="E3488" s="9" t="n">
        <v>71864</v>
      </c>
      <c r="F3488" s="8" t="n"/>
      <c r="G3488" s="9" t="n">
        <v>0</v>
      </c>
      <c r="H3488" t="inlineStr">
        <is>
          <t>UNPAID</t>
        </is>
      </c>
      <c r="I3488">
        <f>IF(H3488="UNPAID", AsOfDate-D3488, 0)</f>
        <v/>
      </c>
      <c r="J3488">
        <f>IF(F3488&lt;&gt;"", TEXT(F3488, "yyyy-mm"), "")</f>
        <v/>
      </c>
    </row>
    <row r="3489">
      <c r="A3489" t="inlineStr">
        <is>
          <t>RP0003488</t>
        </is>
      </c>
      <c r="B3489" t="inlineStr">
        <is>
          <t>LN200504</t>
        </is>
      </c>
      <c r="C3489" t="n">
        <v>2</v>
      </c>
      <c r="D3489" s="8" t="n">
        <v>46061</v>
      </c>
      <c r="E3489" s="9" t="n">
        <v>71864</v>
      </c>
      <c r="F3489" s="8" t="n">
        <v>46060</v>
      </c>
      <c r="G3489" s="9" t="n">
        <v>71864</v>
      </c>
      <c r="H3489" t="inlineStr">
        <is>
          <t>PAID_ON_TIME</t>
        </is>
      </c>
      <c r="I3489">
        <f>IF(H3489="UNPAID", AsOfDate-D3489, 0)</f>
        <v/>
      </c>
      <c r="J3489">
        <f>IF(F3489&lt;&gt;"", TEXT(F3489, "yyyy-mm"), "")</f>
        <v/>
      </c>
    </row>
    <row r="3490">
      <c r="A3490" t="inlineStr">
        <is>
          <t>RP0003489</t>
        </is>
      </c>
      <c r="B3490" t="inlineStr">
        <is>
          <t>LN200504</t>
        </is>
      </c>
      <c r="C3490" t="n">
        <v>3</v>
      </c>
      <c r="D3490" s="8" t="n">
        <v>46089</v>
      </c>
      <c r="E3490" s="9" t="n">
        <v>71864</v>
      </c>
      <c r="F3490" s="8" t="n"/>
      <c r="G3490" s="9" t="n">
        <v>0</v>
      </c>
      <c r="H3490" t="inlineStr">
        <is>
          <t>UNPAID</t>
        </is>
      </c>
      <c r="I3490">
        <f>IF(H3490="UNPAID", AsOfDate-D3490, 0)</f>
        <v/>
      </c>
      <c r="J3490">
        <f>IF(F3490&lt;&gt;"", TEXT(F3490, "yyyy-mm"), "")</f>
        <v/>
      </c>
    </row>
    <row r="3491">
      <c r="A3491" t="inlineStr">
        <is>
          <t>RP0003490</t>
        </is>
      </c>
      <c r="B3491" t="inlineStr">
        <is>
          <t>LN200505</t>
        </is>
      </c>
      <c r="C3491" t="n">
        <v>1</v>
      </c>
      <c r="D3491" s="8" t="n">
        <v>45902</v>
      </c>
      <c r="E3491" s="9" t="n">
        <v>11410</v>
      </c>
      <c r="F3491" s="8" t="n">
        <v>45905</v>
      </c>
      <c r="G3491" s="9" t="n">
        <v>11410</v>
      </c>
      <c r="H3491" t="inlineStr">
        <is>
          <t>PAID_ON_TIME</t>
        </is>
      </c>
      <c r="I3491">
        <f>IF(H3491="UNPAID", AsOfDate-D3491, 0)</f>
        <v/>
      </c>
      <c r="J3491">
        <f>IF(F3491&lt;&gt;"", TEXT(F3491, "yyyy-mm"), "")</f>
        <v/>
      </c>
    </row>
    <row r="3492">
      <c r="A3492" t="inlineStr">
        <is>
          <t>RP0003491</t>
        </is>
      </c>
      <c r="B3492" t="inlineStr">
        <is>
          <t>LN200505</t>
        </is>
      </c>
      <c r="C3492" t="n">
        <v>2</v>
      </c>
      <c r="D3492" s="8" t="n">
        <v>45932</v>
      </c>
      <c r="E3492" s="9" t="n">
        <v>11410</v>
      </c>
      <c r="F3492" s="8" t="n"/>
      <c r="G3492" s="9" t="n">
        <v>0</v>
      </c>
      <c r="H3492" t="inlineStr">
        <is>
          <t>UNPAID</t>
        </is>
      </c>
      <c r="I3492">
        <f>IF(H3492="UNPAID", AsOfDate-D3492, 0)</f>
        <v/>
      </c>
      <c r="J3492">
        <f>IF(F3492&lt;&gt;"", TEXT(F3492, "yyyy-mm"), "")</f>
        <v/>
      </c>
    </row>
    <row r="3493">
      <c r="A3493" t="inlineStr">
        <is>
          <t>RP0003492</t>
        </is>
      </c>
      <c r="B3493" t="inlineStr">
        <is>
          <t>LN200505</t>
        </is>
      </c>
      <c r="C3493" t="n">
        <v>3</v>
      </c>
      <c r="D3493" s="8" t="n">
        <v>45963</v>
      </c>
      <c r="E3493" s="9" t="n">
        <v>11410</v>
      </c>
      <c r="F3493" s="8" t="n">
        <v>45960</v>
      </c>
      <c r="G3493" s="9" t="n">
        <v>11410</v>
      </c>
      <c r="H3493" t="inlineStr">
        <is>
          <t>PAID_ON_TIME</t>
        </is>
      </c>
      <c r="I3493">
        <f>IF(H3493="UNPAID", AsOfDate-D3493, 0)</f>
        <v/>
      </c>
      <c r="J3493">
        <f>IF(F3493&lt;&gt;"", TEXT(F3493, "yyyy-mm"), "")</f>
        <v/>
      </c>
    </row>
    <row r="3494">
      <c r="A3494" t="inlineStr">
        <is>
          <t>RP0003493</t>
        </is>
      </c>
      <c r="B3494" t="inlineStr">
        <is>
          <t>LN200505</t>
        </is>
      </c>
      <c r="C3494" t="n">
        <v>4</v>
      </c>
      <c r="D3494" s="8" t="n">
        <v>45993</v>
      </c>
      <c r="E3494" s="9" t="n">
        <v>11410</v>
      </c>
      <c r="F3494" s="8" t="n">
        <v>45997</v>
      </c>
      <c r="G3494" s="9" t="n">
        <v>11410</v>
      </c>
      <c r="H3494" t="inlineStr">
        <is>
          <t>PAID_ON_TIME</t>
        </is>
      </c>
      <c r="I3494">
        <f>IF(H3494="UNPAID", AsOfDate-D3494, 0)</f>
        <v/>
      </c>
      <c r="J3494">
        <f>IF(F3494&lt;&gt;"", TEXT(F3494, "yyyy-mm"), "")</f>
        <v/>
      </c>
    </row>
    <row r="3495">
      <c r="A3495" t="inlineStr">
        <is>
          <t>RP0003494</t>
        </is>
      </c>
      <c r="B3495" t="inlineStr">
        <is>
          <t>LN200505</t>
        </is>
      </c>
      <c r="C3495" t="n">
        <v>5</v>
      </c>
      <c r="D3495" s="8" t="n">
        <v>46024</v>
      </c>
      <c r="E3495" s="9" t="n">
        <v>11410</v>
      </c>
      <c r="F3495" s="8" t="n">
        <v>46027</v>
      </c>
      <c r="G3495" s="9" t="n">
        <v>11410</v>
      </c>
      <c r="H3495" t="inlineStr">
        <is>
          <t>PAID_ON_TIME</t>
        </is>
      </c>
      <c r="I3495">
        <f>IF(H3495="UNPAID", AsOfDate-D3495, 0)</f>
        <v/>
      </c>
      <c r="J3495">
        <f>IF(F3495&lt;&gt;"", TEXT(F3495, "yyyy-mm"), "")</f>
        <v/>
      </c>
    </row>
    <row r="3496">
      <c r="A3496" t="inlineStr">
        <is>
          <t>RP0003495</t>
        </is>
      </c>
      <c r="B3496" t="inlineStr">
        <is>
          <t>LN200505</t>
        </is>
      </c>
      <c r="C3496" t="n">
        <v>6</v>
      </c>
      <c r="D3496" s="8" t="n">
        <v>46055</v>
      </c>
      <c r="E3496" s="9" t="n">
        <v>11410</v>
      </c>
      <c r="F3496" s="8" t="n">
        <v>46059</v>
      </c>
      <c r="G3496" s="9" t="n">
        <v>11410</v>
      </c>
      <c r="H3496" t="inlineStr">
        <is>
          <t>PAID_ON_TIME</t>
        </is>
      </c>
      <c r="I3496">
        <f>IF(H3496="UNPAID", AsOfDate-D3496, 0)</f>
        <v/>
      </c>
      <c r="J3496">
        <f>IF(F3496&lt;&gt;"", TEXT(F3496, "yyyy-mm"), "")</f>
        <v/>
      </c>
    </row>
    <row r="3497">
      <c r="A3497" t="inlineStr">
        <is>
          <t>RP0003496</t>
        </is>
      </c>
      <c r="B3497" t="inlineStr">
        <is>
          <t>LN200505</t>
        </is>
      </c>
      <c r="C3497" t="n">
        <v>7</v>
      </c>
      <c r="D3497" s="8" t="n">
        <v>46083</v>
      </c>
      <c r="E3497" s="9" t="n">
        <v>11410</v>
      </c>
      <c r="F3497" s="8" t="n">
        <v>46086</v>
      </c>
      <c r="G3497" s="9" t="n">
        <v>11410</v>
      </c>
      <c r="H3497" t="inlineStr">
        <is>
          <t>PAID_ON_TIME</t>
        </is>
      </c>
      <c r="I3497">
        <f>IF(H3497="UNPAID", AsOfDate-D3497, 0)</f>
        <v/>
      </c>
      <c r="J3497">
        <f>IF(F3497&lt;&gt;"", TEXT(F3497, "yyyy-mm"), "")</f>
        <v/>
      </c>
    </row>
    <row r="3498">
      <c r="A3498" t="inlineStr">
        <is>
          <t>RP0003497</t>
        </is>
      </c>
      <c r="B3498" t="inlineStr">
        <is>
          <t>LN200505</t>
        </is>
      </c>
      <c r="C3498" t="n">
        <v>8</v>
      </c>
      <c r="D3498" s="8" t="n">
        <v>46114</v>
      </c>
      <c r="E3498" s="9" t="n">
        <v>11410</v>
      </c>
      <c r="F3498" s="8" t="n">
        <v>46112</v>
      </c>
      <c r="G3498" s="9" t="n">
        <v>11410</v>
      </c>
      <c r="H3498" t="inlineStr">
        <is>
          <t>PAID_ON_TIME</t>
        </is>
      </c>
      <c r="I3498">
        <f>IF(H3498="UNPAID", AsOfDate-D3498, 0)</f>
        <v/>
      </c>
      <c r="J3498">
        <f>IF(F3498&lt;&gt;"", TEXT(F3498, "yyyy-mm"), "")</f>
        <v/>
      </c>
    </row>
    <row r="3499">
      <c r="A3499" t="inlineStr">
        <is>
          <t>RP0003498</t>
        </is>
      </c>
      <c r="B3499" t="inlineStr">
        <is>
          <t>LN200505</t>
        </is>
      </c>
      <c r="C3499" t="n">
        <v>9</v>
      </c>
      <c r="D3499" s="8" t="n">
        <v>46144</v>
      </c>
      <c r="E3499" s="9" t="n">
        <v>11410</v>
      </c>
      <c r="F3499" s="8" t="n">
        <v>46145</v>
      </c>
      <c r="G3499" s="9" t="n">
        <v>11410</v>
      </c>
      <c r="H3499" t="inlineStr">
        <is>
          <t>PAID_ON_TIME</t>
        </is>
      </c>
      <c r="I3499">
        <f>IF(H3499="UNPAID", AsOfDate-D3499, 0)</f>
        <v/>
      </c>
      <c r="J3499">
        <f>IF(F3499&lt;&gt;"", TEXT(F3499, "yyyy-mm"), "")</f>
        <v/>
      </c>
    </row>
    <row r="3500">
      <c r="A3500" t="inlineStr">
        <is>
          <t>RP0003499</t>
        </is>
      </c>
      <c r="B3500" t="inlineStr">
        <is>
          <t>LN200506</t>
        </is>
      </c>
      <c r="C3500" t="n">
        <v>1</v>
      </c>
      <c r="D3500" s="8" t="n">
        <v>46177</v>
      </c>
      <c r="E3500" s="9" t="n">
        <v>32411.17</v>
      </c>
      <c r="F3500" s="8" t="n">
        <v>46176</v>
      </c>
      <c r="G3500" s="9" t="n">
        <v>32411.17</v>
      </c>
      <c r="H3500" t="inlineStr">
        <is>
          <t>PAID_ON_TIME</t>
        </is>
      </c>
      <c r="I3500">
        <f>IF(H3500="UNPAID", AsOfDate-D3500, 0)</f>
        <v/>
      </c>
      <c r="J3500">
        <f>IF(F3500&lt;&gt;"", TEXT(F3500, "yyyy-mm"), "")</f>
        <v/>
      </c>
    </row>
    <row r="3501">
      <c r="A3501" t="inlineStr">
        <is>
          <t>RP0003500</t>
        </is>
      </c>
      <c r="B3501" t="inlineStr">
        <is>
          <t>LN200506</t>
        </is>
      </c>
      <c r="C3501" t="n">
        <v>2</v>
      </c>
      <c r="D3501" s="8" t="n">
        <v>46207</v>
      </c>
      <c r="E3501" s="9" t="n">
        <v>32411.17</v>
      </c>
      <c r="F3501" s="8" t="n">
        <v>46209</v>
      </c>
      <c r="G3501" s="9" t="n">
        <v>32411.17</v>
      </c>
      <c r="H3501" t="inlineStr">
        <is>
          <t>PAID_ON_TIME</t>
        </is>
      </c>
      <c r="I3501">
        <f>IF(H3501="UNPAID", AsOfDate-D3501, 0)</f>
        <v/>
      </c>
      <c r="J3501">
        <f>IF(F3501&lt;&gt;"", TEXT(F3501, "yyyy-mm"), "")</f>
        <v/>
      </c>
    </row>
    <row r="3502">
      <c r="A3502" t="inlineStr">
        <is>
          <t>RP0003501</t>
        </is>
      </c>
      <c r="B3502" t="inlineStr">
        <is>
          <t>LN200506</t>
        </is>
      </c>
      <c r="C3502" t="n">
        <v>3</v>
      </c>
      <c r="D3502" s="8" t="n">
        <v>46238</v>
      </c>
      <c r="E3502" s="9" t="n">
        <v>32411.17</v>
      </c>
      <c r="F3502" s="8" t="n">
        <v>46237</v>
      </c>
      <c r="G3502" s="9" t="n">
        <v>32411.17</v>
      </c>
      <c r="H3502" t="inlineStr">
        <is>
          <t>PAID_ON_TIME</t>
        </is>
      </c>
      <c r="I3502">
        <f>IF(H3502="UNPAID", AsOfDate-D3502, 0)</f>
        <v/>
      </c>
      <c r="J3502">
        <f>IF(F3502&lt;&gt;"", TEXT(F3502, "yyyy-mm"), "")</f>
        <v/>
      </c>
    </row>
    <row r="3503">
      <c r="A3503" t="inlineStr">
        <is>
          <t>RP0003502</t>
        </is>
      </c>
      <c r="B3503" t="inlineStr">
        <is>
          <t>LN200506</t>
        </is>
      </c>
      <c r="C3503" t="n">
        <v>4</v>
      </c>
      <c r="D3503" s="8" t="n">
        <v>46269</v>
      </c>
      <c r="E3503" s="9" t="n">
        <v>32411.17</v>
      </c>
      <c r="F3503" s="8" t="n"/>
      <c r="G3503" s="9" t="n">
        <v>0</v>
      </c>
      <c r="H3503" t="inlineStr">
        <is>
          <t>NOT_DUE</t>
        </is>
      </c>
      <c r="I3503">
        <f>IF(H3503="UNPAID", AsOfDate-D3503, 0)</f>
        <v/>
      </c>
      <c r="J3503">
        <f>IF(F3503&lt;&gt;"", TEXT(F3503, "yyyy-mm"), "")</f>
        <v/>
      </c>
    </row>
    <row r="3504">
      <c r="A3504" t="inlineStr">
        <is>
          <t>RP0003503</t>
        </is>
      </c>
      <c r="B3504" t="inlineStr">
        <is>
          <t>LN200506</t>
        </is>
      </c>
      <c r="C3504" t="n">
        <v>5</v>
      </c>
      <c r="D3504" s="8" t="n">
        <v>46299</v>
      </c>
      <c r="E3504" s="9" t="n">
        <v>32411.17</v>
      </c>
      <c r="F3504" s="8" t="n"/>
      <c r="G3504" s="9" t="n">
        <v>0</v>
      </c>
      <c r="H3504" t="inlineStr">
        <is>
          <t>NOT_DUE</t>
        </is>
      </c>
      <c r="I3504">
        <f>IF(H3504="UNPAID", AsOfDate-D3504, 0)</f>
        <v/>
      </c>
      <c r="J3504">
        <f>IF(F3504&lt;&gt;"", TEXT(F3504, "yyyy-mm"), "")</f>
        <v/>
      </c>
    </row>
    <row r="3505">
      <c r="A3505" t="inlineStr">
        <is>
          <t>RP0003504</t>
        </is>
      </c>
      <c r="B3505" t="inlineStr">
        <is>
          <t>LN200506</t>
        </is>
      </c>
      <c r="C3505" t="n">
        <v>6</v>
      </c>
      <c r="D3505" s="8" t="n">
        <v>46330</v>
      </c>
      <c r="E3505" s="9" t="n">
        <v>32411.17</v>
      </c>
      <c r="F3505" s="8" t="n"/>
      <c r="G3505" s="9" t="n">
        <v>0</v>
      </c>
      <c r="H3505" t="inlineStr">
        <is>
          <t>NOT_DUE</t>
        </is>
      </c>
      <c r="I3505">
        <f>IF(H3505="UNPAID", AsOfDate-D3505, 0)</f>
        <v/>
      </c>
      <c r="J3505">
        <f>IF(F3505&lt;&gt;"", TEXT(F3505, "yyyy-mm"), "")</f>
        <v/>
      </c>
    </row>
    <row r="3506">
      <c r="A3506" t="inlineStr">
        <is>
          <t>RP0003505</t>
        </is>
      </c>
      <c r="B3506" t="inlineStr">
        <is>
          <t>LN200507</t>
        </is>
      </c>
      <c r="C3506" t="n">
        <v>1</v>
      </c>
      <c r="D3506" s="8" t="n">
        <v>45702</v>
      </c>
      <c r="E3506" s="9" t="n">
        <v>23167.08</v>
      </c>
      <c r="F3506" s="8" t="n">
        <v>45705</v>
      </c>
      <c r="G3506" s="9" t="n">
        <v>23167.08</v>
      </c>
      <c r="H3506" t="inlineStr">
        <is>
          <t>PAID_ON_TIME</t>
        </is>
      </c>
      <c r="I3506">
        <f>IF(H3506="UNPAID", AsOfDate-D3506, 0)</f>
        <v/>
      </c>
      <c r="J3506">
        <f>IF(F3506&lt;&gt;"", TEXT(F3506, "yyyy-mm"), "")</f>
        <v/>
      </c>
    </row>
    <row r="3507">
      <c r="A3507" t="inlineStr">
        <is>
          <t>RP0003506</t>
        </is>
      </c>
      <c r="B3507" t="inlineStr">
        <is>
          <t>LN200507</t>
        </is>
      </c>
      <c r="C3507" t="n">
        <v>2</v>
      </c>
      <c r="D3507" s="8" t="n">
        <v>45730</v>
      </c>
      <c r="E3507" s="9" t="n">
        <v>23167.08</v>
      </c>
      <c r="F3507" s="8" t="n">
        <v>45732</v>
      </c>
      <c r="G3507" s="9" t="n">
        <v>23167.08</v>
      </c>
      <c r="H3507" t="inlineStr">
        <is>
          <t>PAID_ON_TIME</t>
        </is>
      </c>
      <c r="I3507">
        <f>IF(H3507="UNPAID", AsOfDate-D3507, 0)</f>
        <v/>
      </c>
      <c r="J3507">
        <f>IF(F3507&lt;&gt;"", TEXT(F3507, "yyyy-mm"), "")</f>
        <v/>
      </c>
    </row>
    <row r="3508">
      <c r="A3508" t="inlineStr">
        <is>
          <t>RP0003507</t>
        </is>
      </c>
      <c r="B3508" t="inlineStr">
        <is>
          <t>LN200507</t>
        </is>
      </c>
      <c r="C3508" t="n">
        <v>3</v>
      </c>
      <c r="D3508" s="8" t="n">
        <v>45761</v>
      </c>
      <c r="E3508" s="9" t="n">
        <v>23167.08</v>
      </c>
      <c r="F3508" s="8" t="n">
        <v>45762</v>
      </c>
      <c r="G3508" s="9" t="n">
        <v>23167.08</v>
      </c>
      <c r="H3508" t="inlineStr">
        <is>
          <t>PAID_ON_TIME</t>
        </is>
      </c>
      <c r="I3508">
        <f>IF(H3508="UNPAID", AsOfDate-D3508, 0)</f>
        <v/>
      </c>
      <c r="J3508">
        <f>IF(F3508&lt;&gt;"", TEXT(F3508, "yyyy-mm"), "")</f>
        <v/>
      </c>
    </row>
    <row r="3509">
      <c r="A3509" t="inlineStr">
        <is>
          <t>RP0003508</t>
        </is>
      </c>
      <c r="B3509" t="inlineStr">
        <is>
          <t>LN200507</t>
        </is>
      </c>
      <c r="C3509" t="n">
        <v>4</v>
      </c>
      <c r="D3509" s="8" t="n">
        <v>45791</v>
      </c>
      <c r="E3509" s="9" t="n">
        <v>23167.08</v>
      </c>
      <c r="F3509" s="8" t="n">
        <v>45825</v>
      </c>
      <c r="G3509" s="9" t="n">
        <v>23167.08</v>
      </c>
      <c r="H3509" t="inlineStr">
        <is>
          <t>PAID_LATE</t>
        </is>
      </c>
      <c r="I3509">
        <f>IF(H3509="UNPAID", AsOfDate-D3509, 0)</f>
        <v/>
      </c>
      <c r="J3509">
        <f>IF(F3509&lt;&gt;"", TEXT(F3509, "yyyy-mm"), "")</f>
        <v/>
      </c>
    </row>
    <row r="3510">
      <c r="A3510" t="inlineStr">
        <is>
          <t>RP0003509</t>
        </is>
      </c>
      <c r="B3510" t="inlineStr">
        <is>
          <t>LN200507</t>
        </is>
      </c>
      <c r="C3510" t="n">
        <v>5</v>
      </c>
      <c r="D3510" s="8" t="n">
        <v>45822</v>
      </c>
      <c r="E3510" s="9" t="n">
        <v>23167.08</v>
      </c>
      <c r="F3510" s="8" t="n">
        <v>45823</v>
      </c>
      <c r="G3510" s="9" t="n">
        <v>23167.08</v>
      </c>
      <c r="H3510" t="inlineStr">
        <is>
          <t>PAID_ON_TIME</t>
        </is>
      </c>
      <c r="I3510">
        <f>IF(H3510="UNPAID", AsOfDate-D3510, 0)</f>
        <v/>
      </c>
      <c r="J3510">
        <f>IF(F3510&lt;&gt;"", TEXT(F3510, "yyyy-mm"), "")</f>
        <v/>
      </c>
    </row>
    <row r="3511">
      <c r="A3511" t="inlineStr">
        <is>
          <t>RP0003510</t>
        </is>
      </c>
      <c r="B3511" t="inlineStr">
        <is>
          <t>LN200507</t>
        </is>
      </c>
      <c r="C3511" t="n">
        <v>6</v>
      </c>
      <c r="D3511" s="8" t="n">
        <v>45852</v>
      </c>
      <c r="E3511" s="9" t="n">
        <v>23167.08</v>
      </c>
      <c r="F3511" s="8" t="n">
        <v>45851</v>
      </c>
      <c r="G3511" s="9" t="n">
        <v>23167.08</v>
      </c>
      <c r="H3511" t="inlineStr">
        <is>
          <t>PAID_ON_TIME</t>
        </is>
      </c>
      <c r="I3511">
        <f>IF(H3511="UNPAID", AsOfDate-D3511, 0)</f>
        <v/>
      </c>
      <c r="J3511">
        <f>IF(F3511&lt;&gt;"", TEXT(F3511, "yyyy-mm"), "")</f>
        <v/>
      </c>
    </row>
    <row r="3512">
      <c r="A3512" t="inlineStr">
        <is>
          <t>RP0003511</t>
        </is>
      </c>
      <c r="B3512" t="inlineStr">
        <is>
          <t>LN200507</t>
        </is>
      </c>
      <c r="C3512" t="n">
        <v>7</v>
      </c>
      <c r="D3512" s="8" t="n">
        <v>45883</v>
      </c>
      <c r="E3512" s="9" t="n">
        <v>23167.08</v>
      </c>
      <c r="F3512" s="8" t="n">
        <v>45884</v>
      </c>
      <c r="G3512" s="9" t="n">
        <v>23167.08</v>
      </c>
      <c r="H3512" t="inlineStr">
        <is>
          <t>PAID_ON_TIME</t>
        </is>
      </c>
      <c r="I3512">
        <f>IF(H3512="UNPAID", AsOfDate-D3512, 0)</f>
        <v/>
      </c>
      <c r="J3512">
        <f>IF(F3512&lt;&gt;"", TEXT(F3512, "yyyy-mm"), "")</f>
        <v/>
      </c>
    </row>
    <row r="3513">
      <c r="A3513" t="inlineStr">
        <is>
          <t>RP0003512</t>
        </is>
      </c>
      <c r="B3513" t="inlineStr">
        <is>
          <t>LN200507</t>
        </is>
      </c>
      <c r="C3513" t="n">
        <v>8</v>
      </c>
      <c r="D3513" s="8" t="n">
        <v>45914</v>
      </c>
      <c r="E3513" s="9" t="n">
        <v>23167.08</v>
      </c>
      <c r="F3513" s="8" t="n">
        <v>45916</v>
      </c>
      <c r="G3513" s="9" t="n">
        <v>23167.08</v>
      </c>
      <c r="H3513" t="inlineStr">
        <is>
          <t>PAID_ON_TIME</t>
        </is>
      </c>
      <c r="I3513">
        <f>IF(H3513="UNPAID", AsOfDate-D3513, 0)</f>
        <v/>
      </c>
      <c r="J3513">
        <f>IF(F3513&lt;&gt;"", TEXT(F3513, "yyyy-mm"), "")</f>
        <v/>
      </c>
    </row>
    <row r="3514">
      <c r="A3514" t="inlineStr">
        <is>
          <t>RP0003513</t>
        </is>
      </c>
      <c r="B3514" t="inlineStr">
        <is>
          <t>LN200507</t>
        </is>
      </c>
      <c r="C3514" t="n">
        <v>9</v>
      </c>
      <c r="D3514" s="8" t="n">
        <v>45944</v>
      </c>
      <c r="E3514" s="9" t="n">
        <v>23167.08</v>
      </c>
      <c r="F3514" s="8" t="n">
        <v>45943</v>
      </c>
      <c r="G3514" s="9" t="n">
        <v>23167.08</v>
      </c>
      <c r="H3514" t="inlineStr">
        <is>
          <t>PAID_ON_TIME</t>
        </is>
      </c>
      <c r="I3514">
        <f>IF(H3514="UNPAID", AsOfDate-D3514, 0)</f>
        <v/>
      </c>
      <c r="J3514">
        <f>IF(F3514&lt;&gt;"", TEXT(F3514, "yyyy-mm"), "")</f>
        <v/>
      </c>
    </row>
    <row r="3515">
      <c r="A3515" t="inlineStr">
        <is>
          <t>RP0003514</t>
        </is>
      </c>
      <c r="B3515" t="inlineStr">
        <is>
          <t>LN200507</t>
        </is>
      </c>
      <c r="C3515" t="n">
        <v>10</v>
      </c>
      <c r="D3515" s="8" t="n">
        <v>45975</v>
      </c>
      <c r="E3515" s="9" t="n">
        <v>23167.08</v>
      </c>
      <c r="F3515" s="8" t="n">
        <v>45977</v>
      </c>
      <c r="G3515" s="9" t="n">
        <v>23167.08</v>
      </c>
      <c r="H3515" t="inlineStr">
        <is>
          <t>PAID_ON_TIME</t>
        </is>
      </c>
      <c r="I3515">
        <f>IF(H3515="UNPAID", AsOfDate-D3515, 0)</f>
        <v/>
      </c>
      <c r="J3515">
        <f>IF(F3515&lt;&gt;"", TEXT(F3515, "yyyy-mm"), "")</f>
        <v/>
      </c>
    </row>
    <row r="3516">
      <c r="A3516" t="inlineStr">
        <is>
          <t>RP0003515</t>
        </is>
      </c>
      <c r="B3516" t="inlineStr">
        <is>
          <t>LN200507</t>
        </is>
      </c>
      <c r="C3516" t="n">
        <v>11</v>
      </c>
      <c r="D3516" s="8" t="n">
        <v>46005</v>
      </c>
      <c r="E3516" s="9" t="n">
        <v>23167.08</v>
      </c>
      <c r="F3516" s="8" t="n">
        <v>46003</v>
      </c>
      <c r="G3516" s="9" t="n">
        <v>23167.08</v>
      </c>
      <c r="H3516" t="inlineStr">
        <is>
          <t>PAID_ON_TIME</t>
        </is>
      </c>
      <c r="I3516">
        <f>IF(H3516="UNPAID", AsOfDate-D3516, 0)</f>
        <v/>
      </c>
      <c r="J3516">
        <f>IF(F3516&lt;&gt;"", TEXT(F3516, "yyyy-mm"), "")</f>
        <v/>
      </c>
    </row>
    <row r="3517">
      <c r="A3517" t="inlineStr">
        <is>
          <t>RP0003516</t>
        </is>
      </c>
      <c r="B3517" t="inlineStr">
        <is>
          <t>LN200507</t>
        </is>
      </c>
      <c r="C3517" t="n">
        <v>12</v>
      </c>
      <c r="D3517" s="8" t="n">
        <v>46036</v>
      </c>
      <c r="E3517" s="9" t="n">
        <v>23167.08</v>
      </c>
      <c r="F3517" s="8" t="n">
        <v>46039</v>
      </c>
      <c r="G3517" s="9" t="n">
        <v>23167.08</v>
      </c>
      <c r="H3517" t="inlineStr">
        <is>
          <t>PAID_ON_TIME</t>
        </is>
      </c>
      <c r="I3517">
        <f>IF(H3517="UNPAID", AsOfDate-D3517, 0)</f>
        <v/>
      </c>
      <c r="J3517">
        <f>IF(F3517&lt;&gt;"", TEXT(F3517, "yyyy-mm"), "")</f>
        <v/>
      </c>
    </row>
    <row r="3518">
      <c r="A3518" t="inlineStr">
        <is>
          <t>RP0003517</t>
        </is>
      </c>
      <c r="B3518" t="inlineStr">
        <is>
          <t>LN200508</t>
        </is>
      </c>
      <c r="C3518" t="n">
        <v>1</v>
      </c>
      <c r="D3518" s="8" t="n">
        <v>46205</v>
      </c>
      <c r="E3518" s="9" t="n">
        <v>78218</v>
      </c>
      <c r="F3518" s="8" t="n">
        <v>46205</v>
      </c>
      <c r="G3518" s="9" t="n">
        <v>78218</v>
      </c>
      <c r="H3518" t="inlineStr">
        <is>
          <t>PAID_ON_TIME</t>
        </is>
      </c>
      <c r="I3518">
        <f>IF(H3518="UNPAID", AsOfDate-D3518, 0)</f>
        <v/>
      </c>
      <c r="J3518">
        <f>IF(F3518&lt;&gt;"", TEXT(F3518, "yyyy-mm"), "")</f>
        <v/>
      </c>
    </row>
    <row r="3519">
      <c r="A3519" t="inlineStr">
        <is>
          <t>RP0003518</t>
        </is>
      </c>
      <c r="B3519" t="inlineStr">
        <is>
          <t>LN200508</t>
        </is>
      </c>
      <c r="C3519" t="n">
        <v>2</v>
      </c>
      <c r="D3519" s="8" t="n">
        <v>46236</v>
      </c>
      <c r="E3519" s="9" t="n">
        <v>78218</v>
      </c>
      <c r="F3519" s="8" t="n"/>
      <c r="G3519" s="9" t="n">
        <v>0</v>
      </c>
      <c r="H3519" t="inlineStr">
        <is>
          <t>UNPAID</t>
        </is>
      </c>
      <c r="I3519">
        <f>IF(H3519="UNPAID", AsOfDate-D3519, 0)</f>
        <v/>
      </c>
      <c r="J3519">
        <f>IF(F3519&lt;&gt;"", TEXT(F3519, "yyyy-mm"), "")</f>
        <v/>
      </c>
    </row>
    <row r="3520">
      <c r="A3520" t="inlineStr">
        <is>
          <t>RP0003519</t>
        </is>
      </c>
      <c r="B3520" t="inlineStr">
        <is>
          <t>LN200508</t>
        </is>
      </c>
      <c r="C3520" t="n">
        <v>3</v>
      </c>
      <c r="D3520" s="8" t="n">
        <v>46267</v>
      </c>
      <c r="E3520" s="9" t="n">
        <v>78218</v>
      </c>
      <c r="F3520" s="8" t="n"/>
      <c r="G3520" s="9" t="n">
        <v>0</v>
      </c>
      <c r="H3520" t="inlineStr">
        <is>
          <t>NOT_DUE</t>
        </is>
      </c>
      <c r="I3520">
        <f>IF(H3520="UNPAID", AsOfDate-D3520, 0)</f>
        <v/>
      </c>
      <c r="J3520">
        <f>IF(F3520&lt;&gt;"", TEXT(F3520, "yyyy-mm"), "")</f>
        <v/>
      </c>
    </row>
    <row r="3521">
      <c r="A3521" t="inlineStr">
        <is>
          <t>RP0003520</t>
        </is>
      </c>
      <c r="B3521" t="inlineStr">
        <is>
          <t>LN200509</t>
        </is>
      </c>
      <c r="C3521" t="n">
        <v>1</v>
      </c>
      <c r="D3521" s="8" t="n">
        <v>45908</v>
      </c>
      <c r="E3521" s="9" t="n">
        <v>26693.33</v>
      </c>
      <c r="F3521" s="8" t="n">
        <v>45910</v>
      </c>
      <c r="G3521" s="9" t="n">
        <v>26693.33</v>
      </c>
      <c r="H3521" t="inlineStr">
        <is>
          <t>PAID_ON_TIME</t>
        </is>
      </c>
      <c r="I3521">
        <f>IF(H3521="UNPAID", AsOfDate-D3521, 0)</f>
        <v/>
      </c>
      <c r="J3521">
        <f>IF(F3521&lt;&gt;"", TEXT(F3521, "yyyy-mm"), "")</f>
        <v/>
      </c>
    </row>
    <row r="3522">
      <c r="A3522" t="inlineStr">
        <is>
          <t>RP0003521</t>
        </is>
      </c>
      <c r="B3522" t="inlineStr">
        <is>
          <t>LN200509</t>
        </is>
      </c>
      <c r="C3522" t="n">
        <v>2</v>
      </c>
      <c r="D3522" s="8" t="n">
        <v>45938</v>
      </c>
      <c r="E3522" s="9" t="n">
        <v>26693.33</v>
      </c>
      <c r="F3522" s="8" t="n">
        <v>45936</v>
      </c>
      <c r="G3522" s="9" t="n">
        <v>26693.33</v>
      </c>
      <c r="H3522" t="inlineStr">
        <is>
          <t>PAID_ON_TIME</t>
        </is>
      </c>
      <c r="I3522">
        <f>IF(H3522="UNPAID", AsOfDate-D3522, 0)</f>
        <v/>
      </c>
      <c r="J3522">
        <f>IF(F3522&lt;&gt;"", TEXT(F3522, "yyyy-mm"), "")</f>
        <v/>
      </c>
    </row>
    <row r="3523">
      <c r="A3523" t="inlineStr">
        <is>
          <t>RP0003522</t>
        </is>
      </c>
      <c r="B3523" t="inlineStr">
        <is>
          <t>LN200509</t>
        </is>
      </c>
      <c r="C3523" t="n">
        <v>3</v>
      </c>
      <c r="D3523" s="8" t="n">
        <v>45969</v>
      </c>
      <c r="E3523" s="9" t="n">
        <v>26693.33</v>
      </c>
      <c r="F3523" s="8" t="n">
        <v>45983</v>
      </c>
      <c r="G3523" s="9" t="n">
        <v>26693.33</v>
      </c>
      <c r="H3523" t="inlineStr">
        <is>
          <t>PAID_LATE</t>
        </is>
      </c>
      <c r="I3523">
        <f>IF(H3523="UNPAID", AsOfDate-D3523, 0)</f>
        <v/>
      </c>
      <c r="J3523">
        <f>IF(F3523&lt;&gt;"", TEXT(F3523, "yyyy-mm"), "")</f>
        <v/>
      </c>
    </row>
    <row r="3524">
      <c r="A3524" t="inlineStr">
        <is>
          <t>RP0003523</t>
        </is>
      </c>
      <c r="B3524" t="inlineStr">
        <is>
          <t>LN200510</t>
        </is>
      </c>
      <c r="C3524" t="n">
        <v>1</v>
      </c>
      <c r="D3524" s="8" t="n">
        <v>45929</v>
      </c>
      <c r="E3524" s="9" t="n">
        <v>8026.33</v>
      </c>
      <c r="F3524" s="8" t="n">
        <v>45968</v>
      </c>
      <c r="G3524" s="9" t="n">
        <v>8026.33</v>
      </c>
      <c r="H3524" t="inlineStr">
        <is>
          <t>PAID_LATE</t>
        </is>
      </c>
      <c r="I3524">
        <f>IF(H3524="UNPAID", AsOfDate-D3524, 0)</f>
        <v/>
      </c>
      <c r="J3524">
        <f>IF(F3524&lt;&gt;"", TEXT(F3524, "yyyy-mm"), "")</f>
        <v/>
      </c>
    </row>
    <row r="3525">
      <c r="A3525" t="inlineStr">
        <is>
          <t>RP0003524</t>
        </is>
      </c>
      <c r="B3525" t="inlineStr">
        <is>
          <t>LN200510</t>
        </is>
      </c>
      <c r="C3525" t="n">
        <v>2</v>
      </c>
      <c r="D3525" s="8" t="n">
        <v>45959</v>
      </c>
      <c r="E3525" s="9" t="n">
        <v>8026.33</v>
      </c>
      <c r="F3525" s="8" t="n">
        <v>45962</v>
      </c>
      <c r="G3525" s="9" t="n">
        <v>8026.33</v>
      </c>
      <c r="H3525" t="inlineStr">
        <is>
          <t>PAID_LATE</t>
        </is>
      </c>
      <c r="I3525">
        <f>IF(H3525="UNPAID", AsOfDate-D3525, 0)</f>
        <v/>
      </c>
      <c r="J3525">
        <f>IF(F3525&lt;&gt;"", TEXT(F3525, "yyyy-mm"), "")</f>
        <v/>
      </c>
    </row>
    <row r="3526">
      <c r="A3526" t="inlineStr">
        <is>
          <t>RP0003525</t>
        </is>
      </c>
      <c r="B3526" t="inlineStr">
        <is>
          <t>LN200510</t>
        </is>
      </c>
      <c r="C3526" t="n">
        <v>3</v>
      </c>
      <c r="D3526" s="8" t="n">
        <v>45990</v>
      </c>
      <c r="E3526" s="9" t="n">
        <v>8026.33</v>
      </c>
      <c r="F3526" s="8" t="n">
        <v>45987</v>
      </c>
      <c r="G3526" s="9" t="n">
        <v>8026.33</v>
      </c>
      <c r="H3526" t="inlineStr">
        <is>
          <t>PAID_ON_TIME</t>
        </is>
      </c>
      <c r="I3526">
        <f>IF(H3526="UNPAID", AsOfDate-D3526, 0)</f>
        <v/>
      </c>
      <c r="J3526">
        <f>IF(F3526&lt;&gt;"", TEXT(F3526, "yyyy-mm"), "")</f>
        <v/>
      </c>
    </row>
    <row r="3527">
      <c r="A3527" t="inlineStr">
        <is>
          <t>RP0003526</t>
        </is>
      </c>
      <c r="B3527" t="inlineStr">
        <is>
          <t>LN200510</t>
        </is>
      </c>
      <c r="C3527" t="n">
        <v>4</v>
      </c>
      <c r="D3527" s="8" t="n">
        <v>46020</v>
      </c>
      <c r="E3527" s="9" t="n">
        <v>8026.33</v>
      </c>
      <c r="F3527" s="8" t="n">
        <v>46020</v>
      </c>
      <c r="G3527" s="9" t="n">
        <v>8026.33</v>
      </c>
      <c r="H3527" t="inlineStr">
        <is>
          <t>PAID_ON_TIME</t>
        </is>
      </c>
      <c r="I3527">
        <f>IF(H3527="UNPAID", AsOfDate-D3527, 0)</f>
        <v/>
      </c>
      <c r="J3527">
        <f>IF(F3527&lt;&gt;"", TEXT(F3527, "yyyy-mm"), "")</f>
        <v/>
      </c>
    </row>
    <row r="3528">
      <c r="A3528" t="inlineStr">
        <is>
          <t>RP0003527</t>
        </is>
      </c>
      <c r="B3528" t="inlineStr">
        <is>
          <t>LN200510</t>
        </is>
      </c>
      <c r="C3528" t="n">
        <v>5</v>
      </c>
      <c r="D3528" s="8" t="n">
        <v>46051</v>
      </c>
      <c r="E3528" s="9" t="n">
        <v>8026.33</v>
      </c>
      <c r="F3528" s="8" t="n">
        <v>46050</v>
      </c>
      <c r="G3528" s="9" t="n">
        <v>8026.33</v>
      </c>
      <c r="H3528" t="inlineStr">
        <is>
          <t>PAID_ON_TIME</t>
        </is>
      </c>
      <c r="I3528">
        <f>IF(H3528="UNPAID", AsOfDate-D3528, 0)</f>
        <v/>
      </c>
      <c r="J3528">
        <f>IF(F3528&lt;&gt;"", TEXT(F3528, "yyyy-mm"), "")</f>
        <v/>
      </c>
    </row>
    <row r="3529">
      <c r="A3529" t="inlineStr">
        <is>
          <t>RP0003528</t>
        </is>
      </c>
      <c r="B3529" t="inlineStr">
        <is>
          <t>LN200510</t>
        </is>
      </c>
      <c r="C3529" t="n">
        <v>6</v>
      </c>
      <c r="D3529" s="8" t="n">
        <v>46081</v>
      </c>
      <c r="E3529" s="9" t="n">
        <v>8026.33</v>
      </c>
      <c r="F3529" s="8" t="n">
        <v>46079</v>
      </c>
      <c r="G3529" s="9" t="n">
        <v>8026.33</v>
      </c>
      <c r="H3529" t="inlineStr">
        <is>
          <t>PAID_ON_TIME</t>
        </is>
      </c>
      <c r="I3529">
        <f>IF(H3529="UNPAID", AsOfDate-D3529, 0)</f>
        <v/>
      </c>
      <c r="J3529">
        <f>IF(F3529&lt;&gt;"", TEXT(F3529, "yyyy-mm"), "")</f>
        <v/>
      </c>
    </row>
    <row r="3530">
      <c r="A3530" t="inlineStr">
        <is>
          <t>RP0003529</t>
        </is>
      </c>
      <c r="B3530" t="inlineStr">
        <is>
          <t>LN200511</t>
        </is>
      </c>
      <c r="C3530" t="n">
        <v>1</v>
      </c>
      <c r="D3530" s="8" t="n">
        <v>45933</v>
      </c>
      <c r="E3530" s="9" t="n">
        <v>9420.75</v>
      </c>
      <c r="F3530" s="8" t="n">
        <v>45931</v>
      </c>
      <c r="G3530" s="9" t="n">
        <v>9420.75</v>
      </c>
      <c r="H3530" t="inlineStr">
        <is>
          <t>PAID_ON_TIME</t>
        </is>
      </c>
      <c r="I3530">
        <f>IF(H3530="UNPAID", AsOfDate-D3530, 0)</f>
        <v/>
      </c>
      <c r="J3530">
        <f>IF(F3530&lt;&gt;"", TEXT(F3530, "yyyy-mm"), "")</f>
        <v/>
      </c>
    </row>
    <row r="3531">
      <c r="A3531" t="inlineStr">
        <is>
          <t>RP0003530</t>
        </is>
      </c>
      <c r="B3531" t="inlineStr">
        <is>
          <t>LN200511</t>
        </is>
      </c>
      <c r="C3531" t="n">
        <v>2</v>
      </c>
      <c r="D3531" s="8" t="n">
        <v>45964</v>
      </c>
      <c r="E3531" s="9" t="n">
        <v>9420.75</v>
      </c>
      <c r="F3531" s="8" t="n">
        <v>45964</v>
      </c>
      <c r="G3531" s="9" t="n">
        <v>9420.75</v>
      </c>
      <c r="H3531" t="inlineStr">
        <is>
          <t>PAID_ON_TIME</t>
        </is>
      </c>
      <c r="I3531">
        <f>IF(H3531="UNPAID", AsOfDate-D3531, 0)</f>
        <v/>
      </c>
      <c r="J3531">
        <f>IF(F3531&lt;&gt;"", TEXT(F3531, "yyyy-mm"), "")</f>
        <v/>
      </c>
    </row>
    <row r="3532">
      <c r="A3532" t="inlineStr">
        <is>
          <t>RP0003531</t>
        </is>
      </c>
      <c r="B3532" t="inlineStr">
        <is>
          <t>LN200511</t>
        </is>
      </c>
      <c r="C3532" t="n">
        <v>3</v>
      </c>
      <c r="D3532" s="8" t="n">
        <v>45994</v>
      </c>
      <c r="E3532" s="9" t="n">
        <v>9420.75</v>
      </c>
      <c r="F3532" s="8" t="n">
        <v>45994</v>
      </c>
      <c r="G3532" s="9" t="n">
        <v>9420.75</v>
      </c>
      <c r="H3532" t="inlineStr">
        <is>
          <t>PAID_ON_TIME</t>
        </is>
      </c>
      <c r="I3532">
        <f>IF(H3532="UNPAID", AsOfDate-D3532, 0)</f>
        <v/>
      </c>
      <c r="J3532">
        <f>IF(F3532&lt;&gt;"", TEXT(F3532, "yyyy-mm"), "")</f>
        <v/>
      </c>
    </row>
    <row r="3533">
      <c r="A3533" t="inlineStr">
        <is>
          <t>RP0003532</t>
        </is>
      </c>
      <c r="B3533" t="inlineStr">
        <is>
          <t>LN200511</t>
        </is>
      </c>
      <c r="C3533" t="n">
        <v>4</v>
      </c>
      <c r="D3533" s="8" t="n">
        <v>46025</v>
      </c>
      <c r="E3533" s="9" t="n">
        <v>9420.75</v>
      </c>
      <c r="F3533" s="8" t="n">
        <v>46024</v>
      </c>
      <c r="G3533" s="9" t="n">
        <v>9420.75</v>
      </c>
      <c r="H3533" t="inlineStr">
        <is>
          <t>PAID_ON_TIME</t>
        </is>
      </c>
      <c r="I3533">
        <f>IF(H3533="UNPAID", AsOfDate-D3533, 0)</f>
        <v/>
      </c>
      <c r="J3533">
        <f>IF(F3533&lt;&gt;"", TEXT(F3533, "yyyy-mm"), "")</f>
        <v/>
      </c>
    </row>
    <row r="3534">
      <c r="A3534" t="inlineStr">
        <is>
          <t>RP0003533</t>
        </is>
      </c>
      <c r="B3534" t="inlineStr">
        <is>
          <t>LN200511</t>
        </is>
      </c>
      <c r="C3534" t="n">
        <v>5</v>
      </c>
      <c r="D3534" s="8" t="n">
        <v>46056</v>
      </c>
      <c r="E3534" s="9" t="n">
        <v>9420.75</v>
      </c>
      <c r="F3534" s="8" t="n">
        <v>46059</v>
      </c>
      <c r="G3534" s="9" t="n">
        <v>9420.75</v>
      </c>
      <c r="H3534" t="inlineStr">
        <is>
          <t>PAID_ON_TIME</t>
        </is>
      </c>
      <c r="I3534">
        <f>IF(H3534="UNPAID", AsOfDate-D3534, 0)</f>
        <v/>
      </c>
      <c r="J3534">
        <f>IF(F3534&lt;&gt;"", TEXT(F3534, "yyyy-mm"), "")</f>
        <v/>
      </c>
    </row>
    <row r="3535">
      <c r="A3535" t="inlineStr">
        <is>
          <t>RP0003534</t>
        </is>
      </c>
      <c r="B3535" t="inlineStr">
        <is>
          <t>LN200511</t>
        </is>
      </c>
      <c r="C3535" t="n">
        <v>6</v>
      </c>
      <c r="D3535" s="8" t="n">
        <v>46084</v>
      </c>
      <c r="E3535" s="9" t="n">
        <v>9420.75</v>
      </c>
      <c r="F3535" s="8" t="n">
        <v>46087</v>
      </c>
      <c r="G3535" s="9" t="n">
        <v>9420.75</v>
      </c>
      <c r="H3535" t="inlineStr">
        <is>
          <t>PAID_ON_TIME</t>
        </is>
      </c>
      <c r="I3535">
        <f>IF(H3535="UNPAID", AsOfDate-D3535, 0)</f>
        <v/>
      </c>
      <c r="J3535">
        <f>IF(F3535&lt;&gt;"", TEXT(F3535, "yyyy-mm"), "")</f>
        <v/>
      </c>
    </row>
    <row r="3536">
      <c r="A3536" t="inlineStr">
        <is>
          <t>RP0003535</t>
        </is>
      </c>
      <c r="B3536" t="inlineStr">
        <is>
          <t>LN200512</t>
        </is>
      </c>
      <c r="C3536" t="n">
        <v>1</v>
      </c>
      <c r="D3536" s="8" t="n">
        <v>46129</v>
      </c>
      <c r="E3536" s="9" t="n">
        <v>3774</v>
      </c>
      <c r="F3536" s="8" t="n">
        <v>46128</v>
      </c>
      <c r="G3536" s="9" t="n">
        <v>3774</v>
      </c>
      <c r="H3536" t="inlineStr">
        <is>
          <t>PAID_ON_TIME</t>
        </is>
      </c>
      <c r="I3536">
        <f>IF(H3536="UNPAID", AsOfDate-D3536, 0)</f>
        <v/>
      </c>
      <c r="J3536">
        <f>IF(F3536&lt;&gt;"", TEXT(F3536, "yyyy-mm"), "")</f>
        <v/>
      </c>
    </row>
    <row r="3537">
      <c r="A3537" t="inlineStr">
        <is>
          <t>RP0003536</t>
        </is>
      </c>
      <c r="B3537" t="inlineStr">
        <is>
          <t>LN200512</t>
        </is>
      </c>
      <c r="C3537" t="n">
        <v>2</v>
      </c>
      <c r="D3537" s="8" t="n">
        <v>46159</v>
      </c>
      <c r="E3537" s="9" t="n">
        <v>3774</v>
      </c>
      <c r="F3537" s="8" t="n">
        <v>46162</v>
      </c>
      <c r="G3537" s="9" t="n">
        <v>3774</v>
      </c>
      <c r="H3537" t="inlineStr">
        <is>
          <t>PAID_ON_TIME</t>
        </is>
      </c>
      <c r="I3537">
        <f>IF(H3537="UNPAID", AsOfDate-D3537, 0)</f>
        <v/>
      </c>
      <c r="J3537">
        <f>IF(F3537&lt;&gt;"", TEXT(F3537, "yyyy-mm"), "")</f>
        <v/>
      </c>
    </row>
    <row r="3538">
      <c r="A3538" t="inlineStr">
        <is>
          <t>RP0003537</t>
        </is>
      </c>
      <c r="B3538" t="inlineStr">
        <is>
          <t>LN200512</t>
        </is>
      </c>
      <c r="C3538" t="n">
        <v>3</v>
      </c>
      <c r="D3538" s="8" t="n">
        <v>46190</v>
      </c>
      <c r="E3538" s="9" t="n">
        <v>3774</v>
      </c>
      <c r="F3538" s="8" t="n"/>
      <c r="G3538" s="9" t="n">
        <v>0</v>
      </c>
      <c r="H3538" t="inlineStr">
        <is>
          <t>UNPAID</t>
        </is>
      </c>
      <c r="I3538">
        <f>IF(H3538="UNPAID", AsOfDate-D3538, 0)</f>
        <v/>
      </c>
      <c r="J3538">
        <f>IF(F3538&lt;&gt;"", TEXT(F3538, "yyyy-mm"), "")</f>
        <v/>
      </c>
    </row>
    <row r="3539">
      <c r="A3539" t="inlineStr">
        <is>
          <t>RP0003538</t>
        </is>
      </c>
      <c r="B3539" t="inlineStr">
        <is>
          <t>LN200512</t>
        </is>
      </c>
      <c r="C3539" t="n">
        <v>4</v>
      </c>
      <c r="D3539" s="8" t="n">
        <v>46220</v>
      </c>
      <c r="E3539" s="9" t="n">
        <v>3774</v>
      </c>
      <c r="F3539" s="8" t="n">
        <v>46223</v>
      </c>
      <c r="G3539" s="9" t="n">
        <v>3774</v>
      </c>
      <c r="H3539" t="inlineStr">
        <is>
          <t>PAID_ON_TIME</t>
        </is>
      </c>
      <c r="I3539">
        <f>IF(H3539="UNPAID", AsOfDate-D3539, 0)</f>
        <v/>
      </c>
      <c r="J3539">
        <f>IF(F3539&lt;&gt;"", TEXT(F3539, "yyyy-mm"), "")</f>
        <v/>
      </c>
    </row>
    <row r="3540">
      <c r="A3540" t="inlineStr">
        <is>
          <t>RP0003539</t>
        </is>
      </c>
      <c r="B3540" t="inlineStr">
        <is>
          <t>LN200512</t>
        </is>
      </c>
      <c r="C3540" t="n">
        <v>5</v>
      </c>
      <c r="D3540" s="8" t="n">
        <v>46251</v>
      </c>
      <c r="E3540" s="9" t="n">
        <v>3774</v>
      </c>
      <c r="F3540" s="8" t="n">
        <v>46255</v>
      </c>
      <c r="G3540" s="9" t="n">
        <v>3774</v>
      </c>
      <c r="H3540" t="inlineStr">
        <is>
          <t>PAID_ON_TIME</t>
        </is>
      </c>
      <c r="I3540">
        <f>IF(H3540="UNPAID", AsOfDate-D3540, 0)</f>
        <v/>
      </c>
      <c r="J3540">
        <f>IF(F3540&lt;&gt;"", TEXT(F3540, "yyyy-mm"), "")</f>
        <v/>
      </c>
    </row>
    <row r="3541">
      <c r="A3541" t="inlineStr">
        <is>
          <t>RP0003540</t>
        </is>
      </c>
      <c r="B3541" t="inlineStr">
        <is>
          <t>LN200512</t>
        </is>
      </c>
      <c r="C3541" t="n">
        <v>6</v>
      </c>
      <c r="D3541" s="8" t="n">
        <v>46282</v>
      </c>
      <c r="E3541" s="9" t="n">
        <v>3774</v>
      </c>
      <c r="F3541" s="8" t="n"/>
      <c r="G3541" s="9" t="n">
        <v>0</v>
      </c>
      <c r="H3541" t="inlineStr">
        <is>
          <t>NOT_DUE</t>
        </is>
      </c>
      <c r="I3541">
        <f>IF(H3541="UNPAID", AsOfDate-D3541, 0)</f>
        <v/>
      </c>
      <c r="J3541">
        <f>IF(F3541&lt;&gt;"", TEXT(F3541, "yyyy-mm"), "")</f>
        <v/>
      </c>
    </row>
    <row r="3542">
      <c r="A3542" t="inlineStr">
        <is>
          <t>RP0003541</t>
        </is>
      </c>
      <c r="B3542" t="inlineStr">
        <is>
          <t>LN200512</t>
        </is>
      </c>
      <c r="C3542" t="n">
        <v>7</v>
      </c>
      <c r="D3542" s="8" t="n">
        <v>46312</v>
      </c>
      <c r="E3542" s="9" t="n">
        <v>3774</v>
      </c>
      <c r="F3542" s="8" t="n"/>
      <c r="G3542" s="9" t="n">
        <v>0</v>
      </c>
      <c r="H3542" t="inlineStr">
        <is>
          <t>NOT_DUE</t>
        </is>
      </c>
      <c r="I3542">
        <f>IF(H3542="UNPAID", AsOfDate-D3542, 0)</f>
        <v/>
      </c>
      <c r="J3542">
        <f>IF(F3542&lt;&gt;"", TEXT(F3542, "yyyy-mm"), "")</f>
        <v/>
      </c>
    </row>
    <row r="3543">
      <c r="A3543" t="inlineStr">
        <is>
          <t>RP0003542</t>
        </is>
      </c>
      <c r="B3543" t="inlineStr">
        <is>
          <t>LN200512</t>
        </is>
      </c>
      <c r="C3543" t="n">
        <v>8</v>
      </c>
      <c r="D3543" s="8" t="n">
        <v>46343</v>
      </c>
      <c r="E3543" s="9" t="n">
        <v>3774</v>
      </c>
      <c r="F3543" s="8" t="n"/>
      <c r="G3543" s="9" t="n">
        <v>0</v>
      </c>
      <c r="H3543" t="inlineStr">
        <is>
          <t>NOT_DUE</t>
        </is>
      </c>
      <c r="I3543">
        <f>IF(H3543="UNPAID", AsOfDate-D3543, 0)</f>
        <v/>
      </c>
      <c r="J3543">
        <f>IF(F3543&lt;&gt;"", TEXT(F3543, "yyyy-mm"), "")</f>
        <v/>
      </c>
    </row>
    <row r="3544">
      <c r="A3544" t="inlineStr">
        <is>
          <t>RP0003543</t>
        </is>
      </c>
      <c r="B3544" t="inlineStr">
        <is>
          <t>LN200512</t>
        </is>
      </c>
      <c r="C3544" t="n">
        <v>9</v>
      </c>
      <c r="D3544" s="8" t="n">
        <v>46373</v>
      </c>
      <c r="E3544" s="9" t="n">
        <v>3774</v>
      </c>
      <c r="F3544" s="8" t="n"/>
      <c r="G3544" s="9" t="n">
        <v>0</v>
      </c>
      <c r="H3544" t="inlineStr">
        <is>
          <t>NOT_DUE</t>
        </is>
      </c>
      <c r="I3544">
        <f>IF(H3544="UNPAID", AsOfDate-D3544, 0)</f>
        <v/>
      </c>
      <c r="J3544">
        <f>IF(F3544&lt;&gt;"", TEXT(F3544, "yyyy-mm"), "")</f>
        <v/>
      </c>
    </row>
    <row r="3545">
      <c r="A3545" t="inlineStr">
        <is>
          <t>RP0003544</t>
        </is>
      </c>
      <c r="B3545" t="inlineStr">
        <is>
          <t>LN200512</t>
        </is>
      </c>
      <c r="C3545" t="n">
        <v>10</v>
      </c>
      <c r="D3545" s="8" t="n">
        <v>46404</v>
      </c>
      <c r="E3545" s="9" t="n">
        <v>3774</v>
      </c>
      <c r="F3545" s="8" t="n"/>
      <c r="G3545" s="9" t="n">
        <v>0</v>
      </c>
      <c r="H3545" t="inlineStr">
        <is>
          <t>NOT_DUE</t>
        </is>
      </c>
      <c r="I3545">
        <f>IF(H3545="UNPAID", AsOfDate-D3545, 0)</f>
        <v/>
      </c>
      <c r="J3545">
        <f>IF(F3545&lt;&gt;"", TEXT(F3545, "yyyy-mm"), "")</f>
        <v/>
      </c>
    </row>
    <row r="3546">
      <c r="A3546" t="inlineStr">
        <is>
          <t>RP0003545</t>
        </is>
      </c>
      <c r="B3546" t="inlineStr">
        <is>
          <t>LN200512</t>
        </is>
      </c>
      <c r="C3546" t="n">
        <v>11</v>
      </c>
      <c r="D3546" s="8" t="n">
        <v>46435</v>
      </c>
      <c r="E3546" s="9" t="n">
        <v>3774</v>
      </c>
      <c r="F3546" s="8" t="n"/>
      <c r="G3546" s="9" t="n">
        <v>0</v>
      </c>
      <c r="H3546" t="inlineStr">
        <is>
          <t>NOT_DUE</t>
        </is>
      </c>
      <c r="I3546">
        <f>IF(H3546="UNPAID", AsOfDate-D3546, 0)</f>
        <v/>
      </c>
      <c r="J3546">
        <f>IF(F3546&lt;&gt;"", TEXT(F3546, "yyyy-mm"), "")</f>
        <v/>
      </c>
    </row>
    <row r="3547">
      <c r="A3547" t="inlineStr">
        <is>
          <t>RP0003546</t>
        </is>
      </c>
      <c r="B3547" t="inlineStr">
        <is>
          <t>LN200512</t>
        </is>
      </c>
      <c r="C3547" t="n">
        <v>12</v>
      </c>
      <c r="D3547" s="8" t="n">
        <v>46463</v>
      </c>
      <c r="E3547" s="9" t="n">
        <v>3774</v>
      </c>
      <c r="F3547" s="8" t="n"/>
      <c r="G3547" s="9" t="n">
        <v>0</v>
      </c>
      <c r="H3547" t="inlineStr">
        <is>
          <t>NOT_DUE</t>
        </is>
      </c>
      <c r="I3547">
        <f>IF(H3547="UNPAID", AsOfDate-D3547, 0)</f>
        <v/>
      </c>
      <c r="J3547">
        <f>IF(F3547&lt;&gt;"", TEXT(F3547, "yyyy-mm"), "")</f>
        <v/>
      </c>
    </row>
    <row r="3548">
      <c r="A3548" t="inlineStr">
        <is>
          <t>RP0003547</t>
        </is>
      </c>
      <c r="B3548" t="inlineStr">
        <is>
          <t>LN200512</t>
        </is>
      </c>
      <c r="C3548" t="n">
        <v>13</v>
      </c>
      <c r="D3548" s="8" t="n">
        <v>46494</v>
      </c>
      <c r="E3548" s="9" t="n">
        <v>3774</v>
      </c>
      <c r="F3548" s="8" t="n"/>
      <c r="G3548" s="9" t="n">
        <v>0</v>
      </c>
      <c r="H3548" t="inlineStr">
        <is>
          <t>NOT_DUE</t>
        </is>
      </c>
      <c r="I3548">
        <f>IF(H3548="UNPAID", AsOfDate-D3548, 0)</f>
        <v/>
      </c>
      <c r="J3548">
        <f>IF(F3548&lt;&gt;"", TEXT(F3548, "yyyy-mm"), "")</f>
        <v/>
      </c>
    </row>
    <row r="3549">
      <c r="A3549" t="inlineStr">
        <is>
          <t>RP0003548</t>
        </is>
      </c>
      <c r="B3549" t="inlineStr">
        <is>
          <t>LN200512</t>
        </is>
      </c>
      <c r="C3549" t="n">
        <v>14</v>
      </c>
      <c r="D3549" s="8" t="n">
        <v>46524</v>
      </c>
      <c r="E3549" s="9" t="n">
        <v>3774</v>
      </c>
      <c r="F3549" s="8" t="n"/>
      <c r="G3549" s="9" t="n">
        <v>0</v>
      </c>
      <c r="H3549" t="inlineStr">
        <is>
          <t>NOT_DUE</t>
        </is>
      </c>
      <c r="I3549">
        <f>IF(H3549="UNPAID", AsOfDate-D3549, 0)</f>
        <v/>
      </c>
      <c r="J3549">
        <f>IF(F3549&lt;&gt;"", TEXT(F3549, "yyyy-mm"), "")</f>
        <v/>
      </c>
    </row>
    <row r="3550">
      <c r="A3550" t="inlineStr">
        <is>
          <t>RP0003549</t>
        </is>
      </c>
      <c r="B3550" t="inlineStr">
        <is>
          <t>LN200512</t>
        </is>
      </c>
      <c r="C3550" t="n">
        <v>15</v>
      </c>
      <c r="D3550" s="8" t="n">
        <v>46555</v>
      </c>
      <c r="E3550" s="9" t="n">
        <v>3774</v>
      </c>
      <c r="F3550" s="8" t="n"/>
      <c r="G3550" s="9" t="n">
        <v>0</v>
      </c>
      <c r="H3550" t="inlineStr">
        <is>
          <t>NOT_DUE</t>
        </is>
      </c>
      <c r="I3550">
        <f>IF(H3550="UNPAID", AsOfDate-D3550, 0)</f>
        <v/>
      </c>
      <c r="J3550">
        <f>IF(F3550&lt;&gt;"", TEXT(F3550, "yyyy-mm"), "")</f>
        <v/>
      </c>
    </row>
    <row r="3551">
      <c r="A3551" t="inlineStr">
        <is>
          <t>RP0003550</t>
        </is>
      </c>
      <c r="B3551" t="inlineStr">
        <is>
          <t>LN200512</t>
        </is>
      </c>
      <c r="C3551" t="n">
        <v>16</v>
      </c>
      <c r="D3551" s="8" t="n">
        <v>46585</v>
      </c>
      <c r="E3551" s="9" t="n">
        <v>3774</v>
      </c>
      <c r="F3551" s="8" t="n"/>
      <c r="G3551" s="9" t="n">
        <v>0</v>
      </c>
      <c r="H3551" t="inlineStr">
        <is>
          <t>NOT_DUE</t>
        </is>
      </c>
      <c r="I3551">
        <f>IF(H3551="UNPAID", AsOfDate-D3551, 0)</f>
        <v/>
      </c>
      <c r="J3551">
        <f>IF(F3551&lt;&gt;"", TEXT(F3551, "yyyy-mm"), "")</f>
        <v/>
      </c>
    </row>
    <row r="3552">
      <c r="A3552" t="inlineStr">
        <is>
          <t>RP0003551</t>
        </is>
      </c>
      <c r="B3552" t="inlineStr">
        <is>
          <t>LN200512</t>
        </is>
      </c>
      <c r="C3552" t="n">
        <v>17</v>
      </c>
      <c r="D3552" s="8" t="n">
        <v>46616</v>
      </c>
      <c r="E3552" s="9" t="n">
        <v>3774</v>
      </c>
      <c r="F3552" s="8" t="n"/>
      <c r="G3552" s="9" t="n">
        <v>0</v>
      </c>
      <c r="H3552" t="inlineStr">
        <is>
          <t>NOT_DUE</t>
        </is>
      </c>
      <c r="I3552">
        <f>IF(H3552="UNPAID", AsOfDate-D3552, 0)</f>
        <v/>
      </c>
      <c r="J3552">
        <f>IF(F3552&lt;&gt;"", TEXT(F3552, "yyyy-mm"), "")</f>
        <v/>
      </c>
    </row>
    <row r="3553">
      <c r="A3553" t="inlineStr">
        <is>
          <t>RP0003552</t>
        </is>
      </c>
      <c r="B3553" t="inlineStr">
        <is>
          <t>LN200512</t>
        </is>
      </c>
      <c r="C3553" t="n">
        <v>18</v>
      </c>
      <c r="D3553" s="8" t="n">
        <v>46647</v>
      </c>
      <c r="E3553" s="9" t="n">
        <v>3774</v>
      </c>
      <c r="F3553" s="8" t="n"/>
      <c r="G3553" s="9" t="n">
        <v>0</v>
      </c>
      <c r="H3553" t="inlineStr">
        <is>
          <t>NOT_DUE</t>
        </is>
      </c>
      <c r="I3553">
        <f>IF(H3553="UNPAID", AsOfDate-D3553, 0)</f>
        <v/>
      </c>
      <c r="J3553">
        <f>IF(F3553&lt;&gt;"", TEXT(F3553, "yyyy-mm"), "")</f>
        <v/>
      </c>
    </row>
    <row r="3554">
      <c r="A3554" t="inlineStr">
        <is>
          <t>RP0003553</t>
        </is>
      </c>
      <c r="B3554" t="inlineStr">
        <is>
          <t>LN200513</t>
        </is>
      </c>
      <c r="C3554" t="n">
        <v>1</v>
      </c>
      <c r="D3554" s="8" t="n">
        <v>46015</v>
      </c>
      <c r="E3554" s="9" t="n">
        <v>8856.940000000001</v>
      </c>
      <c r="F3554" s="8" t="n">
        <v>46090</v>
      </c>
      <c r="G3554" s="9" t="n">
        <v>8856.940000000001</v>
      </c>
      <c r="H3554" t="inlineStr">
        <is>
          <t>PAID_LATE</t>
        </is>
      </c>
      <c r="I3554">
        <f>IF(H3554="UNPAID", AsOfDate-D3554, 0)</f>
        <v/>
      </c>
      <c r="J3554">
        <f>IF(F3554&lt;&gt;"", TEXT(F3554, "yyyy-mm"), "")</f>
        <v/>
      </c>
    </row>
    <row r="3555">
      <c r="A3555" t="inlineStr">
        <is>
          <t>RP0003554</t>
        </is>
      </c>
      <c r="B3555" t="inlineStr">
        <is>
          <t>LN200513</t>
        </is>
      </c>
      <c r="C3555" t="n">
        <v>2</v>
      </c>
      <c r="D3555" s="8" t="n">
        <v>46046</v>
      </c>
      <c r="E3555" s="9" t="n">
        <v>8856.940000000001</v>
      </c>
      <c r="F3555" s="8" t="n">
        <v>46045</v>
      </c>
      <c r="G3555" s="9" t="n">
        <v>8856.940000000001</v>
      </c>
      <c r="H3555" t="inlineStr">
        <is>
          <t>PAID_ON_TIME</t>
        </is>
      </c>
      <c r="I3555">
        <f>IF(H3555="UNPAID", AsOfDate-D3555, 0)</f>
        <v/>
      </c>
      <c r="J3555">
        <f>IF(F3555&lt;&gt;"", TEXT(F3555, "yyyy-mm"), "")</f>
        <v/>
      </c>
    </row>
    <row r="3556">
      <c r="A3556" t="inlineStr">
        <is>
          <t>RP0003555</t>
        </is>
      </c>
      <c r="B3556" t="inlineStr">
        <is>
          <t>LN200513</t>
        </is>
      </c>
      <c r="C3556" t="n">
        <v>3</v>
      </c>
      <c r="D3556" s="8" t="n">
        <v>46077</v>
      </c>
      <c r="E3556" s="9" t="n">
        <v>8856.940000000001</v>
      </c>
      <c r="F3556" s="8" t="n">
        <v>46075</v>
      </c>
      <c r="G3556" s="9" t="n">
        <v>8856.940000000001</v>
      </c>
      <c r="H3556" t="inlineStr">
        <is>
          <t>PAID_ON_TIME</t>
        </is>
      </c>
      <c r="I3556">
        <f>IF(H3556="UNPAID", AsOfDate-D3556, 0)</f>
        <v/>
      </c>
      <c r="J3556">
        <f>IF(F3556&lt;&gt;"", TEXT(F3556, "yyyy-mm"), "")</f>
        <v/>
      </c>
    </row>
    <row r="3557">
      <c r="A3557" t="inlineStr">
        <is>
          <t>RP0003556</t>
        </is>
      </c>
      <c r="B3557" t="inlineStr">
        <is>
          <t>LN200513</t>
        </is>
      </c>
      <c r="C3557" t="n">
        <v>4</v>
      </c>
      <c r="D3557" s="8" t="n">
        <v>46105</v>
      </c>
      <c r="E3557" s="9" t="n">
        <v>8856.940000000001</v>
      </c>
      <c r="F3557" s="8" t="n">
        <v>46103</v>
      </c>
      <c r="G3557" s="9" t="n">
        <v>8856.940000000001</v>
      </c>
      <c r="H3557" t="inlineStr">
        <is>
          <t>PAID_ON_TIME</t>
        </is>
      </c>
      <c r="I3557">
        <f>IF(H3557="UNPAID", AsOfDate-D3557, 0)</f>
        <v/>
      </c>
      <c r="J3557">
        <f>IF(F3557&lt;&gt;"", TEXT(F3557, "yyyy-mm"), "")</f>
        <v/>
      </c>
    </row>
    <row r="3558">
      <c r="A3558" t="inlineStr">
        <is>
          <t>RP0003557</t>
        </is>
      </c>
      <c r="B3558" t="inlineStr">
        <is>
          <t>LN200513</t>
        </is>
      </c>
      <c r="C3558" t="n">
        <v>5</v>
      </c>
      <c r="D3558" s="8" t="n">
        <v>46136</v>
      </c>
      <c r="E3558" s="9" t="n">
        <v>8856.940000000001</v>
      </c>
      <c r="F3558" s="8" t="n">
        <v>46133</v>
      </c>
      <c r="G3558" s="9" t="n">
        <v>8856.940000000001</v>
      </c>
      <c r="H3558" t="inlineStr">
        <is>
          <t>PAID_ON_TIME</t>
        </is>
      </c>
      <c r="I3558">
        <f>IF(H3558="UNPAID", AsOfDate-D3558, 0)</f>
        <v/>
      </c>
      <c r="J3558">
        <f>IF(F3558&lt;&gt;"", TEXT(F3558, "yyyy-mm"), "")</f>
        <v/>
      </c>
    </row>
    <row r="3559">
      <c r="A3559" t="inlineStr">
        <is>
          <t>RP0003558</t>
        </is>
      </c>
      <c r="B3559" t="inlineStr">
        <is>
          <t>LN200513</t>
        </is>
      </c>
      <c r="C3559" t="n">
        <v>6</v>
      </c>
      <c r="D3559" s="8" t="n">
        <v>46166</v>
      </c>
      <c r="E3559" s="9" t="n">
        <v>8856.940000000001</v>
      </c>
      <c r="F3559" s="8" t="n">
        <v>46164</v>
      </c>
      <c r="G3559" s="9" t="n">
        <v>8856.940000000001</v>
      </c>
      <c r="H3559" t="inlineStr">
        <is>
          <t>PAID_ON_TIME</t>
        </is>
      </c>
      <c r="I3559">
        <f>IF(H3559="UNPAID", AsOfDate-D3559, 0)</f>
        <v/>
      </c>
      <c r="J3559">
        <f>IF(F3559&lt;&gt;"", TEXT(F3559, "yyyy-mm"), "")</f>
        <v/>
      </c>
    </row>
    <row r="3560">
      <c r="A3560" t="inlineStr">
        <is>
          <t>RP0003559</t>
        </is>
      </c>
      <c r="B3560" t="inlineStr">
        <is>
          <t>LN200513</t>
        </is>
      </c>
      <c r="C3560" t="n">
        <v>7</v>
      </c>
      <c r="D3560" s="8" t="n">
        <v>46197</v>
      </c>
      <c r="E3560" s="9" t="n">
        <v>8856.940000000001</v>
      </c>
      <c r="F3560" s="8" t="n">
        <v>46197</v>
      </c>
      <c r="G3560" s="9" t="n">
        <v>8856.940000000001</v>
      </c>
      <c r="H3560" t="inlineStr">
        <is>
          <t>PAID_ON_TIME</t>
        </is>
      </c>
      <c r="I3560">
        <f>IF(H3560="UNPAID", AsOfDate-D3560, 0)</f>
        <v/>
      </c>
      <c r="J3560">
        <f>IF(F3560&lt;&gt;"", TEXT(F3560, "yyyy-mm"), "")</f>
        <v/>
      </c>
    </row>
    <row r="3561">
      <c r="A3561" t="inlineStr">
        <is>
          <t>RP0003560</t>
        </is>
      </c>
      <c r="B3561" t="inlineStr">
        <is>
          <t>LN200513</t>
        </is>
      </c>
      <c r="C3561" t="n">
        <v>8</v>
      </c>
      <c r="D3561" s="8" t="n">
        <v>46227</v>
      </c>
      <c r="E3561" s="9" t="n">
        <v>8856.940000000001</v>
      </c>
      <c r="F3561" s="8" t="n">
        <v>46224</v>
      </c>
      <c r="G3561" s="9" t="n">
        <v>8856.940000000001</v>
      </c>
      <c r="H3561" t="inlineStr">
        <is>
          <t>PAID_ON_TIME</t>
        </is>
      </c>
      <c r="I3561">
        <f>IF(H3561="UNPAID", AsOfDate-D3561, 0)</f>
        <v/>
      </c>
      <c r="J3561">
        <f>IF(F3561&lt;&gt;"", TEXT(F3561, "yyyy-mm"), "")</f>
        <v/>
      </c>
    </row>
    <row r="3562">
      <c r="A3562" t="inlineStr">
        <is>
          <t>RP0003561</t>
        </is>
      </c>
      <c r="B3562" t="inlineStr">
        <is>
          <t>LN200513</t>
        </is>
      </c>
      <c r="C3562" t="n">
        <v>9</v>
      </c>
      <c r="D3562" s="8" t="n">
        <v>46258</v>
      </c>
      <c r="E3562" s="9" t="n">
        <v>8856.940000000001</v>
      </c>
      <c r="F3562" s="8" t="n"/>
      <c r="G3562" s="9" t="n">
        <v>0</v>
      </c>
      <c r="H3562" t="inlineStr">
        <is>
          <t>UNPAID</t>
        </is>
      </c>
      <c r="I3562">
        <f>IF(H3562="UNPAID", AsOfDate-D3562, 0)</f>
        <v/>
      </c>
      <c r="J3562">
        <f>IF(F3562&lt;&gt;"", TEXT(F3562, "yyyy-mm"), "")</f>
        <v/>
      </c>
    </row>
    <row r="3563">
      <c r="A3563" t="inlineStr">
        <is>
          <t>RP0003562</t>
        </is>
      </c>
      <c r="B3563" t="inlineStr">
        <is>
          <t>LN200514</t>
        </is>
      </c>
      <c r="C3563" t="n">
        <v>1</v>
      </c>
      <c r="D3563" s="8" t="n">
        <v>46004</v>
      </c>
      <c r="E3563" s="9" t="n">
        <v>14971.83</v>
      </c>
      <c r="F3563" s="8" t="n">
        <v>46003</v>
      </c>
      <c r="G3563" s="9" t="n">
        <v>14971.83</v>
      </c>
      <c r="H3563" t="inlineStr">
        <is>
          <t>PAID_ON_TIME</t>
        </is>
      </c>
      <c r="I3563">
        <f>IF(H3563="UNPAID", AsOfDate-D3563, 0)</f>
        <v/>
      </c>
      <c r="J3563">
        <f>IF(F3563&lt;&gt;"", TEXT(F3563, "yyyy-mm"), "")</f>
        <v/>
      </c>
    </row>
    <row r="3564">
      <c r="A3564" t="inlineStr">
        <is>
          <t>RP0003563</t>
        </is>
      </c>
      <c r="B3564" t="inlineStr">
        <is>
          <t>LN200514</t>
        </is>
      </c>
      <c r="C3564" t="n">
        <v>2</v>
      </c>
      <c r="D3564" s="8" t="n">
        <v>46035</v>
      </c>
      <c r="E3564" s="9" t="n">
        <v>14971.83</v>
      </c>
      <c r="F3564" s="8" t="n">
        <v>46039</v>
      </c>
      <c r="G3564" s="9" t="n">
        <v>14971.83</v>
      </c>
      <c r="H3564" t="inlineStr">
        <is>
          <t>PAID_ON_TIME</t>
        </is>
      </c>
      <c r="I3564">
        <f>IF(H3564="UNPAID", AsOfDate-D3564, 0)</f>
        <v/>
      </c>
      <c r="J3564">
        <f>IF(F3564&lt;&gt;"", TEXT(F3564, "yyyy-mm"), "")</f>
        <v/>
      </c>
    </row>
    <row r="3565">
      <c r="A3565" t="inlineStr">
        <is>
          <t>RP0003564</t>
        </is>
      </c>
      <c r="B3565" t="inlineStr">
        <is>
          <t>LN200514</t>
        </is>
      </c>
      <c r="C3565" t="n">
        <v>3</v>
      </c>
      <c r="D3565" s="8" t="n">
        <v>46066</v>
      </c>
      <c r="E3565" s="9" t="n">
        <v>14971.83</v>
      </c>
      <c r="F3565" s="8" t="n">
        <v>46063</v>
      </c>
      <c r="G3565" s="9" t="n">
        <v>14971.83</v>
      </c>
      <c r="H3565" t="inlineStr">
        <is>
          <t>PAID_ON_TIME</t>
        </is>
      </c>
      <c r="I3565">
        <f>IF(H3565="UNPAID", AsOfDate-D3565, 0)</f>
        <v/>
      </c>
      <c r="J3565">
        <f>IF(F3565&lt;&gt;"", TEXT(F3565, "yyyy-mm"), "")</f>
        <v/>
      </c>
    </row>
    <row r="3566">
      <c r="A3566" t="inlineStr">
        <is>
          <t>RP0003565</t>
        </is>
      </c>
      <c r="B3566" t="inlineStr">
        <is>
          <t>LN200514</t>
        </is>
      </c>
      <c r="C3566" t="n">
        <v>4</v>
      </c>
      <c r="D3566" s="8" t="n">
        <v>46094</v>
      </c>
      <c r="E3566" s="9" t="n">
        <v>14971.83</v>
      </c>
      <c r="F3566" s="8" t="n">
        <v>46098</v>
      </c>
      <c r="G3566" s="9" t="n">
        <v>14971.83</v>
      </c>
      <c r="H3566" t="inlineStr">
        <is>
          <t>PAID_ON_TIME</t>
        </is>
      </c>
      <c r="I3566">
        <f>IF(H3566="UNPAID", AsOfDate-D3566, 0)</f>
        <v/>
      </c>
      <c r="J3566">
        <f>IF(F3566&lt;&gt;"", TEXT(F3566, "yyyy-mm"), "")</f>
        <v/>
      </c>
    </row>
    <row r="3567">
      <c r="A3567" t="inlineStr">
        <is>
          <t>RP0003566</t>
        </is>
      </c>
      <c r="B3567" t="inlineStr">
        <is>
          <t>LN200514</t>
        </is>
      </c>
      <c r="C3567" t="n">
        <v>5</v>
      </c>
      <c r="D3567" s="8" t="n">
        <v>46125</v>
      </c>
      <c r="E3567" s="9" t="n">
        <v>14971.83</v>
      </c>
      <c r="F3567" s="8" t="n">
        <v>46123</v>
      </c>
      <c r="G3567" s="9" t="n">
        <v>14971.83</v>
      </c>
      <c r="H3567" t="inlineStr">
        <is>
          <t>PAID_ON_TIME</t>
        </is>
      </c>
      <c r="I3567">
        <f>IF(H3567="UNPAID", AsOfDate-D3567, 0)</f>
        <v/>
      </c>
      <c r="J3567">
        <f>IF(F3567&lt;&gt;"", TEXT(F3567, "yyyy-mm"), "")</f>
        <v/>
      </c>
    </row>
    <row r="3568">
      <c r="A3568" t="inlineStr">
        <is>
          <t>RP0003567</t>
        </is>
      </c>
      <c r="B3568" t="inlineStr">
        <is>
          <t>LN200514</t>
        </is>
      </c>
      <c r="C3568" t="n">
        <v>6</v>
      </c>
      <c r="D3568" s="8" t="n">
        <v>46155</v>
      </c>
      <c r="E3568" s="9" t="n">
        <v>14971.83</v>
      </c>
      <c r="F3568" s="8" t="n">
        <v>46156</v>
      </c>
      <c r="G3568" s="9" t="n">
        <v>14971.83</v>
      </c>
      <c r="H3568" t="inlineStr">
        <is>
          <t>PAID_ON_TIME</t>
        </is>
      </c>
      <c r="I3568">
        <f>IF(H3568="UNPAID", AsOfDate-D3568, 0)</f>
        <v/>
      </c>
      <c r="J3568">
        <f>IF(F3568&lt;&gt;"", TEXT(F3568, "yyyy-mm"), "")</f>
        <v/>
      </c>
    </row>
    <row r="3569">
      <c r="A3569" t="inlineStr">
        <is>
          <t>RP0003568</t>
        </is>
      </c>
      <c r="B3569" t="inlineStr">
        <is>
          <t>LN200515</t>
        </is>
      </c>
      <c r="C3569" t="n">
        <v>1</v>
      </c>
      <c r="D3569" s="8" t="n">
        <v>46265</v>
      </c>
      <c r="E3569" s="9" t="n">
        <v>26484.5</v>
      </c>
      <c r="F3569" s="8" t="n">
        <v>46262</v>
      </c>
      <c r="G3569" s="9" t="n">
        <v>26484.5</v>
      </c>
      <c r="H3569" t="inlineStr">
        <is>
          <t>PAID_ON_TIME</t>
        </is>
      </c>
      <c r="I3569">
        <f>IF(H3569="UNPAID", AsOfDate-D3569, 0)</f>
        <v/>
      </c>
      <c r="J3569">
        <f>IF(F3569&lt;&gt;"", TEXT(F3569, "yyyy-mm"), "")</f>
        <v/>
      </c>
    </row>
    <row r="3570">
      <c r="A3570" t="inlineStr">
        <is>
          <t>RP0003569</t>
        </is>
      </c>
      <c r="B3570" t="inlineStr">
        <is>
          <t>LN200515</t>
        </is>
      </c>
      <c r="C3570" t="n">
        <v>2</v>
      </c>
      <c r="D3570" s="8" t="n">
        <v>46295</v>
      </c>
      <c r="E3570" s="9" t="n">
        <v>26484.5</v>
      </c>
      <c r="F3570" s="8" t="n"/>
      <c r="G3570" s="9" t="n">
        <v>0</v>
      </c>
      <c r="H3570" t="inlineStr">
        <is>
          <t>NOT_DUE</t>
        </is>
      </c>
      <c r="I3570">
        <f>IF(H3570="UNPAID", AsOfDate-D3570, 0)</f>
        <v/>
      </c>
      <c r="J3570">
        <f>IF(F3570&lt;&gt;"", TEXT(F3570, "yyyy-mm"), "")</f>
        <v/>
      </c>
    </row>
    <row r="3571">
      <c r="A3571" t="inlineStr">
        <is>
          <t>RP0003570</t>
        </is>
      </c>
      <c r="B3571" t="inlineStr">
        <is>
          <t>LN200515</t>
        </is>
      </c>
      <c r="C3571" t="n">
        <v>3</v>
      </c>
      <c r="D3571" s="8" t="n">
        <v>46326</v>
      </c>
      <c r="E3571" s="9" t="n">
        <v>26484.5</v>
      </c>
      <c r="F3571" s="8" t="n"/>
      <c r="G3571" s="9" t="n">
        <v>0</v>
      </c>
      <c r="H3571" t="inlineStr">
        <is>
          <t>NOT_DUE</t>
        </is>
      </c>
      <c r="I3571">
        <f>IF(H3571="UNPAID", AsOfDate-D3571, 0)</f>
        <v/>
      </c>
      <c r="J3571">
        <f>IF(F3571&lt;&gt;"", TEXT(F3571, "yyyy-mm"), "")</f>
        <v/>
      </c>
    </row>
    <row r="3572">
      <c r="A3572" t="inlineStr">
        <is>
          <t>RP0003571</t>
        </is>
      </c>
      <c r="B3572" t="inlineStr">
        <is>
          <t>LN200515</t>
        </is>
      </c>
      <c r="C3572" t="n">
        <v>4</v>
      </c>
      <c r="D3572" s="8" t="n">
        <v>46356</v>
      </c>
      <c r="E3572" s="9" t="n">
        <v>26484.5</v>
      </c>
      <c r="F3572" s="8" t="n"/>
      <c r="G3572" s="9" t="n">
        <v>0</v>
      </c>
      <c r="H3572" t="inlineStr">
        <is>
          <t>NOT_DUE</t>
        </is>
      </c>
      <c r="I3572">
        <f>IF(H3572="UNPAID", AsOfDate-D3572, 0)</f>
        <v/>
      </c>
      <c r="J3572">
        <f>IF(F3572&lt;&gt;"", TEXT(F3572, "yyyy-mm"), "")</f>
        <v/>
      </c>
    </row>
    <row r="3573">
      <c r="A3573" t="inlineStr">
        <is>
          <t>RP0003572</t>
        </is>
      </c>
      <c r="B3573" t="inlineStr">
        <is>
          <t>LN200515</t>
        </is>
      </c>
      <c r="C3573" t="n">
        <v>5</v>
      </c>
      <c r="D3573" s="8" t="n">
        <v>46387</v>
      </c>
      <c r="E3573" s="9" t="n">
        <v>26484.5</v>
      </c>
      <c r="F3573" s="8" t="n"/>
      <c r="G3573" s="9" t="n">
        <v>0</v>
      </c>
      <c r="H3573" t="inlineStr">
        <is>
          <t>NOT_DUE</t>
        </is>
      </c>
      <c r="I3573">
        <f>IF(H3573="UNPAID", AsOfDate-D3573, 0)</f>
        <v/>
      </c>
      <c r="J3573">
        <f>IF(F3573&lt;&gt;"", TEXT(F3573, "yyyy-mm"), "")</f>
        <v/>
      </c>
    </row>
    <row r="3574">
      <c r="A3574" t="inlineStr">
        <is>
          <t>RP0003573</t>
        </is>
      </c>
      <c r="B3574" t="inlineStr">
        <is>
          <t>LN200515</t>
        </is>
      </c>
      <c r="C3574" t="n">
        <v>6</v>
      </c>
      <c r="D3574" s="8" t="n">
        <v>46418</v>
      </c>
      <c r="E3574" s="9" t="n">
        <v>26484.5</v>
      </c>
      <c r="F3574" s="8" t="n"/>
      <c r="G3574" s="9" t="n">
        <v>0</v>
      </c>
      <c r="H3574" t="inlineStr">
        <is>
          <t>NOT_DUE</t>
        </is>
      </c>
      <c r="I3574">
        <f>IF(H3574="UNPAID", AsOfDate-D3574, 0)</f>
        <v/>
      </c>
      <c r="J3574">
        <f>IF(F3574&lt;&gt;"", TEXT(F3574, "yyyy-mm"), "")</f>
        <v/>
      </c>
    </row>
    <row r="3575">
      <c r="A3575" t="inlineStr">
        <is>
          <t>RP0003574</t>
        </is>
      </c>
      <c r="B3575" t="inlineStr">
        <is>
          <t>LN200515</t>
        </is>
      </c>
      <c r="C3575" t="n">
        <v>7</v>
      </c>
      <c r="D3575" s="8" t="n">
        <v>46446</v>
      </c>
      <c r="E3575" s="9" t="n">
        <v>26484.5</v>
      </c>
      <c r="F3575" s="8" t="n"/>
      <c r="G3575" s="9" t="n">
        <v>0</v>
      </c>
      <c r="H3575" t="inlineStr">
        <is>
          <t>NOT_DUE</t>
        </is>
      </c>
      <c r="I3575">
        <f>IF(H3575="UNPAID", AsOfDate-D3575, 0)</f>
        <v/>
      </c>
      <c r="J3575">
        <f>IF(F3575&lt;&gt;"", TEXT(F3575, "yyyy-mm"), "")</f>
        <v/>
      </c>
    </row>
    <row r="3576">
      <c r="A3576" t="inlineStr">
        <is>
          <t>RP0003575</t>
        </is>
      </c>
      <c r="B3576" t="inlineStr">
        <is>
          <t>LN200515</t>
        </is>
      </c>
      <c r="C3576" t="n">
        <v>8</v>
      </c>
      <c r="D3576" s="8" t="n">
        <v>46477</v>
      </c>
      <c r="E3576" s="9" t="n">
        <v>26484.5</v>
      </c>
      <c r="F3576" s="8" t="n"/>
      <c r="G3576" s="9" t="n">
        <v>0</v>
      </c>
      <c r="H3576" t="inlineStr">
        <is>
          <t>NOT_DUE</t>
        </is>
      </c>
      <c r="I3576">
        <f>IF(H3576="UNPAID", AsOfDate-D3576, 0)</f>
        <v/>
      </c>
      <c r="J3576">
        <f>IF(F3576&lt;&gt;"", TEXT(F3576, "yyyy-mm"), "")</f>
        <v/>
      </c>
    </row>
    <row r="3577">
      <c r="A3577" t="inlineStr">
        <is>
          <t>RP0003576</t>
        </is>
      </c>
      <c r="B3577" t="inlineStr">
        <is>
          <t>LN200515</t>
        </is>
      </c>
      <c r="C3577" t="n">
        <v>9</v>
      </c>
      <c r="D3577" s="8" t="n">
        <v>46507</v>
      </c>
      <c r="E3577" s="9" t="n">
        <v>26484.5</v>
      </c>
      <c r="F3577" s="8" t="n"/>
      <c r="G3577" s="9" t="n">
        <v>0</v>
      </c>
      <c r="H3577" t="inlineStr">
        <is>
          <t>NOT_DUE</t>
        </is>
      </c>
      <c r="I3577">
        <f>IF(H3577="UNPAID", AsOfDate-D3577, 0)</f>
        <v/>
      </c>
      <c r="J3577">
        <f>IF(F3577&lt;&gt;"", TEXT(F3577, "yyyy-mm"), "")</f>
        <v/>
      </c>
    </row>
    <row r="3578">
      <c r="A3578" t="inlineStr">
        <is>
          <t>RP0003577</t>
        </is>
      </c>
      <c r="B3578" t="inlineStr">
        <is>
          <t>LN200517</t>
        </is>
      </c>
      <c r="C3578" t="n">
        <v>1</v>
      </c>
      <c r="D3578" s="8" t="n">
        <v>45978</v>
      </c>
      <c r="E3578" s="9" t="n">
        <v>52912.5</v>
      </c>
      <c r="F3578" s="8" t="n">
        <v>45977</v>
      </c>
      <c r="G3578" s="9" t="n">
        <v>52912.5</v>
      </c>
      <c r="H3578" t="inlineStr">
        <is>
          <t>PAID_ON_TIME</t>
        </is>
      </c>
      <c r="I3578">
        <f>IF(H3578="UNPAID", AsOfDate-D3578, 0)</f>
        <v/>
      </c>
      <c r="J3578">
        <f>IF(F3578&lt;&gt;"", TEXT(F3578, "yyyy-mm"), "")</f>
        <v/>
      </c>
    </row>
    <row r="3579">
      <c r="A3579" t="inlineStr">
        <is>
          <t>RP0003578</t>
        </is>
      </c>
      <c r="B3579" t="inlineStr">
        <is>
          <t>LN200517</t>
        </is>
      </c>
      <c r="C3579" t="n">
        <v>2</v>
      </c>
      <c r="D3579" s="8" t="n">
        <v>46008</v>
      </c>
      <c r="E3579" s="9" t="n">
        <v>52912.5</v>
      </c>
      <c r="F3579" s="8" t="n">
        <v>46010</v>
      </c>
      <c r="G3579" s="9" t="n">
        <v>52912.5</v>
      </c>
      <c r="H3579" t="inlineStr">
        <is>
          <t>PAID_ON_TIME</t>
        </is>
      </c>
      <c r="I3579">
        <f>IF(H3579="UNPAID", AsOfDate-D3579, 0)</f>
        <v/>
      </c>
      <c r="J3579">
        <f>IF(F3579&lt;&gt;"", TEXT(F3579, "yyyy-mm"), "")</f>
        <v/>
      </c>
    </row>
    <row r="3580">
      <c r="A3580" t="inlineStr">
        <is>
          <t>RP0003579</t>
        </is>
      </c>
      <c r="B3580" t="inlineStr">
        <is>
          <t>LN200517</t>
        </is>
      </c>
      <c r="C3580" t="n">
        <v>3</v>
      </c>
      <c r="D3580" s="8" t="n">
        <v>46039</v>
      </c>
      <c r="E3580" s="9" t="n">
        <v>52912.5</v>
      </c>
      <c r="F3580" s="8" t="n">
        <v>46042</v>
      </c>
      <c r="G3580" s="9" t="n">
        <v>52912.5</v>
      </c>
      <c r="H3580" t="inlineStr">
        <is>
          <t>PAID_ON_TIME</t>
        </is>
      </c>
      <c r="I3580">
        <f>IF(H3580="UNPAID", AsOfDate-D3580, 0)</f>
        <v/>
      </c>
      <c r="J3580">
        <f>IF(F3580&lt;&gt;"", TEXT(F3580, "yyyy-mm"), "")</f>
        <v/>
      </c>
    </row>
    <row r="3581">
      <c r="A3581" t="inlineStr">
        <is>
          <t>RP0003580</t>
        </is>
      </c>
      <c r="B3581" t="inlineStr">
        <is>
          <t>LN200518</t>
        </is>
      </c>
      <c r="C3581" t="n">
        <v>1</v>
      </c>
      <c r="D3581" s="8" t="n">
        <v>46184</v>
      </c>
      <c r="E3581" s="9" t="n">
        <v>5562</v>
      </c>
      <c r="F3581" s="8" t="n">
        <v>46187</v>
      </c>
      <c r="G3581" s="9" t="n">
        <v>5562</v>
      </c>
      <c r="H3581" t="inlineStr">
        <is>
          <t>PAID_ON_TIME</t>
        </is>
      </c>
      <c r="I3581">
        <f>IF(H3581="UNPAID", AsOfDate-D3581, 0)</f>
        <v/>
      </c>
      <c r="J3581">
        <f>IF(F3581&lt;&gt;"", TEXT(F3581, "yyyy-mm"), "")</f>
        <v/>
      </c>
    </row>
    <row r="3582">
      <c r="A3582" t="inlineStr">
        <is>
          <t>RP0003581</t>
        </is>
      </c>
      <c r="B3582" t="inlineStr">
        <is>
          <t>LN200518</t>
        </is>
      </c>
      <c r="C3582" t="n">
        <v>2</v>
      </c>
      <c r="D3582" s="8" t="n">
        <v>46214</v>
      </c>
      <c r="E3582" s="9" t="n">
        <v>5562</v>
      </c>
      <c r="F3582" s="8" t="n">
        <v>46265</v>
      </c>
      <c r="G3582" s="9" t="n">
        <v>5562</v>
      </c>
      <c r="H3582" t="inlineStr">
        <is>
          <t>PAID_LATE</t>
        </is>
      </c>
      <c r="I3582">
        <f>IF(H3582="UNPAID", AsOfDate-D3582, 0)</f>
        <v/>
      </c>
      <c r="J3582">
        <f>IF(F3582&lt;&gt;"", TEXT(F3582, "yyyy-mm"), "")</f>
        <v/>
      </c>
    </row>
    <row r="3583">
      <c r="A3583" t="inlineStr">
        <is>
          <t>RP0003582</t>
        </is>
      </c>
      <c r="B3583" t="inlineStr">
        <is>
          <t>LN200518</t>
        </is>
      </c>
      <c r="C3583" t="n">
        <v>3</v>
      </c>
      <c r="D3583" s="8" t="n">
        <v>46245</v>
      </c>
      <c r="E3583" s="9" t="n">
        <v>5562</v>
      </c>
      <c r="F3583" s="8" t="n">
        <v>46248</v>
      </c>
      <c r="G3583" s="9" t="n">
        <v>5562</v>
      </c>
      <c r="H3583" t="inlineStr">
        <is>
          <t>PAID_ON_TIME</t>
        </is>
      </c>
      <c r="I3583">
        <f>IF(H3583="UNPAID", AsOfDate-D3583, 0)</f>
        <v/>
      </c>
      <c r="J3583">
        <f>IF(F3583&lt;&gt;"", TEXT(F3583, "yyyy-mm"), "")</f>
        <v/>
      </c>
    </row>
    <row r="3584">
      <c r="A3584" t="inlineStr">
        <is>
          <t>RP0003583</t>
        </is>
      </c>
      <c r="B3584" t="inlineStr">
        <is>
          <t>LN200518</t>
        </is>
      </c>
      <c r="C3584" t="n">
        <v>4</v>
      </c>
      <c r="D3584" s="8" t="n">
        <v>46276</v>
      </c>
      <c r="E3584" s="9" t="n">
        <v>5562</v>
      </c>
      <c r="F3584" s="8" t="n"/>
      <c r="G3584" s="9" t="n">
        <v>0</v>
      </c>
      <c r="H3584" t="inlineStr">
        <is>
          <t>NOT_DUE</t>
        </is>
      </c>
      <c r="I3584">
        <f>IF(H3584="UNPAID", AsOfDate-D3584, 0)</f>
        <v/>
      </c>
      <c r="J3584">
        <f>IF(F3584&lt;&gt;"", TEXT(F3584, "yyyy-mm"), "")</f>
        <v/>
      </c>
    </row>
    <row r="3585">
      <c r="A3585" t="inlineStr">
        <is>
          <t>RP0003584</t>
        </is>
      </c>
      <c r="B3585" t="inlineStr">
        <is>
          <t>LN200518</t>
        </is>
      </c>
      <c r="C3585" t="n">
        <v>5</v>
      </c>
      <c r="D3585" s="8" t="n">
        <v>46306</v>
      </c>
      <c r="E3585" s="9" t="n">
        <v>5562</v>
      </c>
      <c r="F3585" s="8" t="n"/>
      <c r="G3585" s="9" t="n">
        <v>0</v>
      </c>
      <c r="H3585" t="inlineStr">
        <is>
          <t>NOT_DUE</t>
        </is>
      </c>
      <c r="I3585">
        <f>IF(H3585="UNPAID", AsOfDate-D3585, 0)</f>
        <v/>
      </c>
      <c r="J3585">
        <f>IF(F3585&lt;&gt;"", TEXT(F3585, "yyyy-mm"), "")</f>
        <v/>
      </c>
    </row>
    <row r="3586">
      <c r="A3586" t="inlineStr">
        <is>
          <t>RP0003585</t>
        </is>
      </c>
      <c r="B3586" t="inlineStr">
        <is>
          <t>LN200518</t>
        </is>
      </c>
      <c r="C3586" t="n">
        <v>6</v>
      </c>
      <c r="D3586" s="8" t="n">
        <v>46337</v>
      </c>
      <c r="E3586" s="9" t="n">
        <v>5562</v>
      </c>
      <c r="F3586" s="8" t="n"/>
      <c r="G3586" s="9" t="n">
        <v>0</v>
      </c>
      <c r="H3586" t="inlineStr">
        <is>
          <t>NOT_DUE</t>
        </is>
      </c>
      <c r="I3586">
        <f>IF(H3586="UNPAID", AsOfDate-D3586, 0)</f>
        <v/>
      </c>
      <c r="J3586">
        <f>IF(F3586&lt;&gt;"", TEXT(F3586, "yyyy-mm"), "")</f>
        <v/>
      </c>
    </row>
    <row r="3587">
      <c r="A3587" t="inlineStr">
        <is>
          <t>RP0003586</t>
        </is>
      </c>
      <c r="B3587" t="inlineStr">
        <is>
          <t>LN200518</t>
        </is>
      </c>
      <c r="C3587" t="n">
        <v>7</v>
      </c>
      <c r="D3587" s="8" t="n">
        <v>46367</v>
      </c>
      <c r="E3587" s="9" t="n">
        <v>5562</v>
      </c>
      <c r="F3587" s="8" t="n"/>
      <c r="G3587" s="9" t="n">
        <v>0</v>
      </c>
      <c r="H3587" t="inlineStr">
        <is>
          <t>NOT_DUE</t>
        </is>
      </c>
      <c r="I3587">
        <f>IF(H3587="UNPAID", AsOfDate-D3587, 0)</f>
        <v/>
      </c>
      <c r="J3587">
        <f>IF(F3587&lt;&gt;"", TEXT(F3587, "yyyy-mm"), "")</f>
        <v/>
      </c>
    </row>
    <row r="3588">
      <c r="A3588" t="inlineStr">
        <is>
          <t>RP0003587</t>
        </is>
      </c>
      <c r="B3588" t="inlineStr">
        <is>
          <t>LN200518</t>
        </is>
      </c>
      <c r="C3588" t="n">
        <v>8</v>
      </c>
      <c r="D3588" s="8" t="n">
        <v>46398</v>
      </c>
      <c r="E3588" s="9" t="n">
        <v>5562</v>
      </c>
      <c r="F3588" s="8" t="n"/>
      <c r="G3588" s="9" t="n">
        <v>0</v>
      </c>
      <c r="H3588" t="inlineStr">
        <is>
          <t>NOT_DUE</t>
        </is>
      </c>
      <c r="I3588">
        <f>IF(H3588="UNPAID", AsOfDate-D3588, 0)</f>
        <v/>
      </c>
      <c r="J3588">
        <f>IF(F3588&lt;&gt;"", TEXT(F3588, "yyyy-mm"), "")</f>
        <v/>
      </c>
    </row>
    <row r="3589">
      <c r="A3589" t="inlineStr">
        <is>
          <t>RP0003588</t>
        </is>
      </c>
      <c r="B3589" t="inlineStr">
        <is>
          <t>LN200518</t>
        </is>
      </c>
      <c r="C3589" t="n">
        <v>9</v>
      </c>
      <c r="D3589" s="8" t="n">
        <v>46429</v>
      </c>
      <c r="E3589" s="9" t="n">
        <v>5562</v>
      </c>
      <c r="F3589" s="8" t="n"/>
      <c r="G3589" s="9" t="n">
        <v>0</v>
      </c>
      <c r="H3589" t="inlineStr">
        <is>
          <t>NOT_DUE</t>
        </is>
      </c>
      <c r="I3589">
        <f>IF(H3589="UNPAID", AsOfDate-D3589, 0)</f>
        <v/>
      </c>
      <c r="J3589">
        <f>IF(F3589&lt;&gt;"", TEXT(F3589, "yyyy-mm"), "")</f>
        <v/>
      </c>
    </row>
    <row r="3590">
      <c r="A3590" t="inlineStr">
        <is>
          <t>RP0003589</t>
        </is>
      </c>
      <c r="B3590" t="inlineStr">
        <is>
          <t>LN200518</t>
        </is>
      </c>
      <c r="C3590" t="n">
        <v>10</v>
      </c>
      <c r="D3590" s="8" t="n">
        <v>46457</v>
      </c>
      <c r="E3590" s="9" t="n">
        <v>5562</v>
      </c>
      <c r="F3590" s="8" t="n"/>
      <c r="G3590" s="9" t="n">
        <v>0</v>
      </c>
      <c r="H3590" t="inlineStr">
        <is>
          <t>NOT_DUE</t>
        </is>
      </c>
      <c r="I3590">
        <f>IF(H3590="UNPAID", AsOfDate-D3590, 0)</f>
        <v/>
      </c>
      <c r="J3590">
        <f>IF(F3590&lt;&gt;"", TEXT(F3590, "yyyy-mm"), "")</f>
        <v/>
      </c>
    </row>
    <row r="3591">
      <c r="A3591" t="inlineStr">
        <is>
          <t>RP0003590</t>
        </is>
      </c>
      <c r="B3591" t="inlineStr">
        <is>
          <t>LN200518</t>
        </is>
      </c>
      <c r="C3591" t="n">
        <v>11</v>
      </c>
      <c r="D3591" s="8" t="n">
        <v>46488</v>
      </c>
      <c r="E3591" s="9" t="n">
        <v>5562</v>
      </c>
      <c r="F3591" s="8" t="n"/>
      <c r="G3591" s="9" t="n">
        <v>0</v>
      </c>
      <c r="H3591" t="inlineStr">
        <is>
          <t>NOT_DUE</t>
        </is>
      </c>
      <c r="I3591">
        <f>IF(H3591="UNPAID", AsOfDate-D3591, 0)</f>
        <v/>
      </c>
      <c r="J3591">
        <f>IF(F3591&lt;&gt;"", TEXT(F3591, "yyyy-mm"), "")</f>
        <v/>
      </c>
    </row>
    <row r="3592">
      <c r="A3592" t="inlineStr">
        <is>
          <t>RP0003591</t>
        </is>
      </c>
      <c r="B3592" t="inlineStr">
        <is>
          <t>LN200518</t>
        </is>
      </c>
      <c r="C3592" t="n">
        <v>12</v>
      </c>
      <c r="D3592" s="8" t="n">
        <v>46518</v>
      </c>
      <c r="E3592" s="9" t="n">
        <v>5562</v>
      </c>
      <c r="F3592" s="8" t="n"/>
      <c r="G3592" s="9" t="n">
        <v>0</v>
      </c>
      <c r="H3592" t="inlineStr">
        <is>
          <t>NOT_DUE</t>
        </is>
      </c>
      <c r="I3592">
        <f>IF(H3592="UNPAID", AsOfDate-D3592, 0)</f>
        <v/>
      </c>
      <c r="J3592">
        <f>IF(F3592&lt;&gt;"", TEXT(F3592, "yyyy-mm"), "")</f>
        <v/>
      </c>
    </row>
    <row r="3593">
      <c r="A3593" t="inlineStr">
        <is>
          <t>RP0003592</t>
        </is>
      </c>
      <c r="B3593" t="inlineStr">
        <is>
          <t>LN200519</t>
        </is>
      </c>
      <c r="C3593" t="n">
        <v>1</v>
      </c>
      <c r="D3593" s="8" t="n">
        <v>45887</v>
      </c>
      <c r="E3593" s="9" t="n">
        <v>12405.75</v>
      </c>
      <c r="F3593" s="8" t="n">
        <v>45890</v>
      </c>
      <c r="G3593" s="9" t="n">
        <v>12405.75</v>
      </c>
      <c r="H3593" t="inlineStr">
        <is>
          <t>PAID_ON_TIME</t>
        </is>
      </c>
      <c r="I3593">
        <f>IF(H3593="UNPAID", AsOfDate-D3593, 0)</f>
        <v/>
      </c>
      <c r="J3593">
        <f>IF(F3593&lt;&gt;"", TEXT(F3593, "yyyy-mm"), "")</f>
        <v/>
      </c>
    </row>
    <row r="3594">
      <c r="A3594" t="inlineStr">
        <is>
          <t>RP0003593</t>
        </is>
      </c>
      <c r="B3594" t="inlineStr">
        <is>
          <t>LN200519</t>
        </is>
      </c>
      <c r="C3594" t="n">
        <v>2</v>
      </c>
      <c r="D3594" s="8" t="n">
        <v>45918</v>
      </c>
      <c r="E3594" s="9" t="n">
        <v>12405.75</v>
      </c>
      <c r="F3594" s="8" t="n">
        <v>45922</v>
      </c>
      <c r="G3594" s="9" t="n">
        <v>12405.75</v>
      </c>
      <c r="H3594" t="inlineStr">
        <is>
          <t>PAID_ON_TIME</t>
        </is>
      </c>
      <c r="I3594">
        <f>IF(H3594="UNPAID", AsOfDate-D3594, 0)</f>
        <v/>
      </c>
      <c r="J3594">
        <f>IF(F3594&lt;&gt;"", TEXT(F3594, "yyyy-mm"), "")</f>
        <v/>
      </c>
    </row>
    <row r="3595">
      <c r="A3595" t="inlineStr">
        <is>
          <t>RP0003594</t>
        </is>
      </c>
      <c r="B3595" t="inlineStr">
        <is>
          <t>LN200519</t>
        </is>
      </c>
      <c r="C3595" t="n">
        <v>3</v>
      </c>
      <c r="D3595" s="8" t="n">
        <v>45948</v>
      </c>
      <c r="E3595" s="9" t="n">
        <v>12405.75</v>
      </c>
      <c r="F3595" s="8" t="n">
        <v>45945</v>
      </c>
      <c r="G3595" s="9" t="n">
        <v>12405.75</v>
      </c>
      <c r="H3595" t="inlineStr">
        <is>
          <t>PAID_ON_TIME</t>
        </is>
      </c>
      <c r="I3595">
        <f>IF(H3595="UNPAID", AsOfDate-D3595, 0)</f>
        <v/>
      </c>
      <c r="J3595">
        <f>IF(F3595&lt;&gt;"", TEXT(F3595, "yyyy-mm"), "")</f>
        <v/>
      </c>
    </row>
    <row r="3596">
      <c r="A3596" t="inlineStr">
        <is>
          <t>RP0003595</t>
        </is>
      </c>
      <c r="B3596" t="inlineStr">
        <is>
          <t>LN200519</t>
        </is>
      </c>
      <c r="C3596" t="n">
        <v>4</v>
      </c>
      <c r="D3596" s="8" t="n">
        <v>45979</v>
      </c>
      <c r="E3596" s="9" t="n">
        <v>12405.75</v>
      </c>
      <c r="F3596" s="8" t="n">
        <v>45983</v>
      </c>
      <c r="G3596" s="9" t="n">
        <v>12405.75</v>
      </c>
      <c r="H3596" t="inlineStr">
        <is>
          <t>PAID_ON_TIME</t>
        </is>
      </c>
      <c r="I3596">
        <f>IF(H3596="UNPAID", AsOfDate-D3596, 0)</f>
        <v/>
      </c>
      <c r="J3596">
        <f>IF(F3596&lt;&gt;"", TEXT(F3596, "yyyy-mm"), "")</f>
        <v/>
      </c>
    </row>
    <row r="3597">
      <c r="A3597" t="inlineStr">
        <is>
          <t>RP0003596</t>
        </is>
      </c>
      <c r="B3597" t="inlineStr">
        <is>
          <t>LN200519</t>
        </is>
      </c>
      <c r="C3597" t="n">
        <v>5</v>
      </c>
      <c r="D3597" s="8" t="n">
        <v>46009</v>
      </c>
      <c r="E3597" s="9" t="n">
        <v>12405.75</v>
      </c>
      <c r="F3597" s="8" t="n">
        <v>46009</v>
      </c>
      <c r="G3597" s="9" t="n">
        <v>12405.75</v>
      </c>
      <c r="H3597" t="inlineStr">
        <is>
          <t>PAID_ON_TIME</t>
        </is>
      </c>
      <c r="I3597">
        <f>IF(H3597="UNPAID", AsOfDate-D3597, 0)</f>
        <v/>
      </c>
      <c r="J3597">
        <f>IF(F3597&lt;&gt;"", TEXT(F3597, "yyyy-mm"), "")</f>
        <v/>
      </c>
    </row>
    <row r="3598">
      <c r="A3598" t="inlineStr">
        <is>
          <t>RP0003597</t>
        </is>
      </c>
      <c r="B3598" t="inlineStr">
        <is>
          <t>LN200519</t>
        </is>
      </c>
      <c r="C3598" t="n">
        <v>6</v>
      </c>
      <c r="D3598" s="8" t="n">
        <v>46040</v>
      </c>
      <c r="E3598" s="9" t="n">
        <v>12405.75</v>
      </c>
      <c r="F3598" s="8" t="n">
        <v>46040</v>
      </c>
      <c r="G3598" s="9" t="n">
        <v>12405.75</v>
      </c>
      <c r="H3598" t="inlineStr">
        <is>
          <t>PAID_ON_TIME</t>
        </is>
      </c>
      <c r="I3598">
        <f>IF(H3598="UNPAID", AsOfDate-D3598, 0)</f>
        <v/>
      </c>
      <c r="J3598">
        <f>IF(F3598&lt;&gt;"", TEXT(F3598, "yyyy-mm"), "")</f>
        <v/>
      </c>
    </row>
    <row r="3599">
      <c r="A3599" t="inlineStr">
        <is>
          <t>RP0003598</t>
        </is>
      </c>
      <c r="B3599" t="inlineStr">
        <is>
          <t>LN200519</t>
        </is>
      </c>
      <c r="C3599" t="n">
        <v>7</v>
      </c>
      <c r="D3599" s="8" t="n">
        <v>46071</v>
      </c>
      <c r="E3599" s="9" t="n">
        <v>12405.75</v>
      </c>
      <c r="F3599" s="8" t="n">
        <v>46073</v>
      </c>
      <c r="G3599" s="9" t="n">
        <v>12405.75</v>
      </c>
      <c r="H3599" t="inlineStr">
        <is>
          <t>PAID_ON_TIME</t>
        </is>
      </c>
      <c r="I3599">
        <f>IF(H3599="UNPAID", AsOfDate-D3599, 0)</f>
        <v/>
      </c>
      <c r="J3599">
        <f>IF(F3599&lt;&gt;"", TEXT(F3599, "yyyy-mm"), "")</f>
        <v/>
      </c>
    </row>
    <row r="3600">
      <c r="A3600" t="inlineStr">
        <is>
          <t>RP0003599</t>
        </is>
      </c>
      <c r="B3600" t="inlineStr">
        <is>
          <t>LN200519</t>
        </is>
      </c>
      <c r="C3600" t="n">
        <v>8</v>
      </c>
      <c r="D3600" s="8" t="n">
        <v>46099</v>
      </c>
      <c r="E3600" s="9" t="n">
        <v>12405.75</v>
      </c>
      <c r="F3600" s="8" t="n">
        <v>46103</v>
      </c>
      <c r="G3600" s="9" t="n">
        <v>12405.75</v>
      </c>
      <c r="H3600" t="inlineStr">
        <is>
          <t>PAID_ON_TIME</t>
        </is>
      </c>
      <c r="I3600">
        <f>IF(H3600="UNPAID", AsOfDate-D3600, 0)</f>
        <v/>
      </c>
      <c r="J3600">
        <f>IF(F3600&lt;&gt;"", TEXT(F3600, "yyyy-mm"), "")</f>
        <v/>
      </c>
    </row>
    <row r="3601">
      <c r="A3601" t="inlineStr">
        <is>
          <t>RP0003600</t>
        </is>
      </c>
      <c r="B3601" t="inlineStr">
        <is>
          <t>LN200519</t>
        </is>
      </c>
      <c r="C3601" t="n">
        <v>9</v>
      </c>
      <c r="D3601" s="8" t="n">
        <v>46130</v>
      </c>
      <c r="E3601" s="9" t="n">
        <v>12405.75</v>
      </c>
      <c r="F3601" s="8" t="n">
        <v>46130</v>
      </c>
      <c r="G3601" s="9" t="n">
        <v>12405.75</v>
      </c>
      <c r="H3601" t="inlineStr">
        <is>
          <t>PAID_ON_TIME</t>
        </is>
      </c>
      <c r="I3601">
        <f>IF(H3601="UNPAID", AsOfDate-D3601, 0)</f>
        <v/>
      </c>
      <c r="J3601">
        <f>IF(F3601&lt;&gt;"", TEXT(F3601, "yyyy-mm"), "")</f>
        <v/>
      </c>
    </row>
    <row r="3602">
      <c r="A3602" t="inlineStr">
        <is>
          <t>RP0003601</t>
        </is>
      </c>
      <c r="B3602" t="inlineStr">
        <is>
          <t>LN200519</t>
        </is>
      </c>
      <c r="C3602" t="n">
        <v>10</v>
      </c>
      <c r="D3602" s="8" t="n">
        <v>46160</v>
      </c>
      <c r="E3602" s="9" t="n">
        <v>12405.75</v>
      </c>
      <c r="F3602" s="8" t="n">
        <v>46164</v>
      </c>
      <c r="G3602" s="9" t="n">
        <v>12405.75</v>
      </c>
      <c r="H3602" t="inlineStr">
        <is>
          <t>PAID_ON_TIME</t>
        </is>
      </c>
      <c r="I3602">
        <f>IF(H3602="UNPAID", AsOfDate-D3602, 0)</f>
        <v/>
      </c>
      <c r="J3602">
        <f>IF(F3602&lt;&gt;"", TEXT(F3602, "yyyy-mm"), "")</f>
        <v/>
      </c>
    </row>
    <row r="3603">
      <c r="A3603" t="inlineStr">
        <is>
          <t>RP0003602</t>
        </is>
      </c>
      <c r="B3603" t="inlineStr">
        <is>
          <t>LN200519</t>
        </is>
      </c>
      <c r="C3603" t="n">
        <v>11</v>
      </c>
      <c r="D3603" s="8" t="n">
        <v>46191</v>
      </c>
      <c r="E3603" s="9" t="n">
        <v>12405.75</v>
      </c>
      <c r="F3603" s="8" t="n">
        <v>46188</v>
      </c>
      <c r="G3603" s="9" t="n">
        <v>12405.75</v>
      </c>
      <c r="H3603" t="inlineStr">
        <is>
          <t>PAID_ON_TIME</t>
        </is>
      </c>
      <c r="I3603">
        <f>IF(H3603="UNPAID", AsOfDate-D3603, 0)</f>
        <v/>
      </c>
      <c r="J3603">
        <f>IF(F3603&lt;&gt;"", TEXT(F3603, "yyyy-mm"), "")</f>
        <v/>
      </c>
    </row>
    <row r="3604">
      <c r="A3604" t="inlineStr">
        <is>
          <t>RP0003603</t>
        </is>
      </c>
      <c r="B3604" t="inlineStr">
        <is>
          <t>LN200519</t>
        </is>
      </c>
      <c r="C3604" t="n">
        <v>12</v>
      </c>
      <c r="D3604" s="8" t="n">
        <v>46221</v>
      </c>
      <c r="E3604" s="9" t="n">
        <v>12405.75</v>
      </c>
      <c r="F3604" s="8" t="n">
        <v>46225</v>
      </c>
      <c r="G3604" s="9" t="n">
        <v>12405.75</v>
      </c>
      <c r="H3604" t="inlineStr">
        <is>
          <t>PAID_ON_TIME</t>
        </is>
      </c>
      <c r="I3604">
        <f>IF(H3604="UNPAID", AsOfDate-D3604, 0)</f>
        <v/>
      </c>
      <c r="J3604">
        <f>IF(F3604&lt;&gt;"", TEXT(F3604, "yyyy-mm"), "")</f>
        <v/>
      </c>
    </row>
    <row r="3605">
      <c r="A3605" t="inlineStr">
        <is>
          <t>RP0003604</t>
        </is>
      </c>
      <c r="B3605" t="inlineStr">
        <is>
          <t>LN200519</t>
        </is>
      </c>
      <c r="C3605" t="n">
        <v>13</v>
      </c>
      <c r="D3605" s="8" t="n">
        <v>46252</v>
      </c>
      <c r="E3605" s="9" t="n">
        <v>12405.75</v>
      </c>
      <c r="F3605" s="8" t="n">
        <v>46251</v>
      </c>
      <c r="G3605" s="9" t="n">
        <v>12405.75</v>
      </c>
      <c r="H3605" t="inlineStr">
        <is>
          <t>PAID_ON_TIME</t>
        </is>
      </c>
      <c r="I3605">
        <f>IF(H3605="UNPAID", AsOfDate-D3605, 0)</f>
        <v/>
      </c>
      <c r="J3605">
        <f>IF(F3605&lt;&gt;"", TEXT(F3605, "yyyy-mm"), "")</f>
        <v/>
      </c>
    </row>
    <row r="3606">
      <c r="A3606" t="inlineStr">
        <is>
          <t>RP0003605</t>
        </is>
      </c>
      <c r="B3606" t="inlineStr">
        <is>
          <t>LN200519</t>
        </is>
      </c>
      <c r="C3606" t="n">
        <v>14</v>
      </c>
      <c r="D3606" s="8" t="n">
        <v>46283</v>
      </c>
      <c r="E3606" s="9" t="n">
        <v>12405.75</v>
      </c>
      <c r="F3606" s="8" t="n"/>
      <c r="G3606" s="9" t="n">
        <v>0</v>
      </c>
      <c r="H3606" t="inlineStr">
        <is>
          <t>NOT_DUE</t>
        </is>
      </c>
      <c r="I3606">
        <f>IF(H3606="UNPAID", AsOfDate-D3606, 0)</f>
        <v/>
      </c>
      <c r="J3606">
        <f>IF(F3606&lt;&gt;"", TEXT(F3606, "yyyy-mm"), "")</f>
        <v/>
      </c>
    </row>
    <row r="3607">
      <c r="A3607" t="inlineStr">
        <is>
          <t>RP0003606</t>
        </is>
      </c>
      <c r="B3607" t="inlineStr">
        <is>
          <t>LN200519</t>
        </is>
      </c>
      <c r="C3607" t="n">
        <v>15</v>
      </c>
      <c r="D3607" s="8" t="n">
        <v>46313</v>
      </c>
      <c r="E3607" s="9" t="n">
        <v>12405.75</v>
      </c>
      <c r="F3607" s="8" t="n"/>
      <c r="G3607" s="9" t="n">
        <v>0</v>
      </c>
      <c r="H3607" t="inlineStr">
        <is>
          <t>NOT_DUE</t>
        </is>
      </c>
      <c r="I3607">
        <f>IF(H3607="UNPAID", AsOfDate-D3607, 0)</f>
        <v/>
      </c>
      <c r="J3607">
        <f>IF(F3607&lt;&gt;"", TEXT(F3607, "yyyy-mm"), "")</f>
        <v/>
      </c>
    </row>
    <row r="3608">
      <c r="A3608" t="inlineStr">
        <is>
          <t>RP0003607</t>
        </is>
      </c>
      <c r="B3608" t="inlineStr">
        <is>
          <t>LN200519</t>
        </is>
      </c>
      <c r="C3608" t="n">
        <v>16</v>
      </c>
      <c r="D3608" s="8" t="n">
        <v>46344</v>
      </c>
      <c r="E3608" s="9" t="n">
        <v>12405.75</v>
      </c>
      <c r="F3608" s="8" t="n"/>
      <c r="G3608" s="9" t="n">
        <v>0</v>
      </c>
      <c r="H3608" t="inlineStr">
        <is>
          <t>NOT_DUE</t>
        </is>
      </c>
      <c r="I3608">
        <f>IF(H3608="UNPAID", AsOfDate-D3608, 0)</f>
        <v/>
      </c>
      <c r="J3608">
        <f>IF(F3608&lt;&gt;"", TEXT(F3608, "yyyy-mm"), "")</f>
        <v/>
      </c>
    </row>
    <row r="3609">
      <c r="A3609" t="inlineStr">
        <is>
          <t>RP0003608</t>
        </is>
      </c>
      <c r="B3609" t="inlineStr">
        <is>
          <t>LN200519</t>
        </is>
      </c>
      <c r="C3609" t="n">
        <v>17</v>
      </c>
      <c r="D3609" s="8" t="n">
        <v>46374</v>
      </c>
      <c r="E3609" s="9" t="n">
        <v>12405.75</v>
      </c>
      <c r="F3609" s="8" t="n"/>
      <c r="G3609" s="9" t="n">
        <v>0</v>
      </c>
      <c r="H3609" t="inlineStr">
        <is>
          <t>NOT_DUE</t>
        </is>
      </c>
      <c r="I3609">
        <f>IF(H3609="UNPAID", AsOfDate-D3609, 0)</f>
        <v/>
      </c>
      <c r="J3609">
        <f>IF(F3609&lt;&gt;"", TEXT(F3609, "yyyy-mm"), "")</f>
        <v/>
      </c>
    </row>
    <row r="3610">
      <c r="A3610" t="inlineStr">
        <is>
          <t>RP0003609</t>
        </is>
      </c>
      <c r="B3610" t="inlineStr">
        <is>
          <t>LN200519</t>
        </is>
      </c>
      <c r="C3610" t="n">
        <v>18</v>
      </c>
      <c r="D3610" s="8" t="n">
        <v>46405</v>
      </c>
      <c r="E3610" s="9" t="n">
        <v>12405.75</v>
      </c>
      <c r="F3610" s="8" t="n"/>
      <c r="G3610" s="9" t="n">
        <v>0</v>
      </c>
      <c r="H3610" t="inlineStr">
        <is>
          <t>NOT_DUE</t>
        </is>
      </c>
      <c r="I3610">
        <f>IF(H3610="UNPAID", AsOfDate-D3610, 0)</f>
        <v/>
      </c>
      <c r="J3610">
        <f>IF(F3610&lt;&gt;"", TEXT(F3610, "yyyy-mm"), "")</f>
        <v/>
      </c>
    </row>
    <row r="3611">
      <c r="A3611" t="inlineStr">
        <is>
          <t>RP0003610</t>
        </is>
      </c>
      <c r="B3611" t="inlineStr">
        <is>
          <t>LN200520</t>
        </is>
      </c>
      <c r="C3611" t="n">
        <v>1</v>
      </c>
      <c r="D3611" s="8" t="n">
        <v>46089</v>
      </c>
      <c r="E3611" s="9" t="n">
        <v>15402.67</v>
      </c>
      <c r="F3611" s="8" t="n">
        <v>46087</v>
      </c>
      <c r="G3611" s="9" t="n">
        <v>15402.67</v>
      </c>
      <c r="H3611" t="inlineStr">
        <is>
          <t>PAID_ON_TIME</t>
        </is>
      </c>
      <c r="I3611">
        <f>IF(H3611="UNPAID", AsOfDate-D3611, 0)</f>
        <v/>
      </c>
      <c r="J3611">
        <f>IF(F3611&lt;&gt;"", TEXT(F3611, "yyyy-mm"), "")</f>
        <v/>
      </c>
    </row>
    <row r="3612">
      <c r="A3612" t="inlineStr">
        <is>
          <t>RP0003611</t>
        </is>
      </c>
      <c r="B3612" t="inlineStr">
        <is>
          <t>LN200520</t>
        </is>
      </c>
      <c r="C3612" t="n">
        <v>2</v>
      </c>
      <c r="D3612" s="8" t="n">
        <v>46120</v>
      </c>
      <c r="E3612" s="9" t="n">
        <v>15402.67</v>
      </c>
      <c r="F3612" s="8" t="n">
        <v>46122</v>
      </c>
      <c r="G3612" s="9" t="n">
        <v>15402.67</v>
      </c>
      <c r="H3612" t="inlineStr">
        <is>
          <t>PAID_ON_TIME</t>
        </is>
      </c>
      <c r="I3612">
        <f>IF(H3612="UNPAID", AsOfDate-D3612, 0)</f>
        <v/>
      </c>
      <c r="J3612">
        <f>IF(F3612&lt;&gt;"", TEXT(F3612, "yyyy-mm"), "")</f>
        <v/>
      </c>
    </row>
    <row r="3613">
      <c r="A3613" t="inlineStr">
        <is>
          <t>RP0003612</t>
        </is>
      </c>
      <c r="B3613" t="inlineStr">
        <is>
          <t>LN200520</t>
        </is>
      </c>
      <c r="C3613" t="n">
        <v>3</v>
      </c>
      <c r="D3613" s="8" t="n">
        <v>46150</v>
      </c>
      <c r="E3613" s="9" t="n">
        <v>15402.67</v>
      </c>
      <c r="F3613" s="8" t="n">
        <v>46152</v>
      </c>
      <c r="G3613" s="9" t="n">
        <v>15402.67</v>
      </c>
      <c r="H3613" t="inlineStr">
        <is>
          <t>PAID_ON_TIME</t>
        </is>
      </c>
      <c r="I3613">
        <f>IF(H3613="UNPAID", AsOfDate-D3613, 0)</f>
        <v/>
      </c>
      <c r="J3613">
        <f>IF(F3613&lt;&gt;"", TEXT(F3613, "yyyy-mm"), "")</f>
        <v/>
      </c>
    </row>
    <row r="3614">
      <c r="A3614" t="inlineStr">
        <is>
          <t>RP0003613</t>
        </is>
      </c>
      <c r="B3614" t="inlineStr">
        <is>
          <t>LN200520</t>
        </is>
      </c>
      <c r="C3614" t="n">
        <v>4</v>
      </c>
      <c r="D3614" s="8" t="n">
        <v>46181</v>
      </c>
      <c r="E3614" s="9" t="n">
        <v>15402.67</v>
      </c>
      <c r="F3614" s="8" t="n">
        <v>46184</v>
      </c>
      <c r="G3614" s="9" t="n">
        <v>15402.67</v>
      </c>
      <c r="H3614" t="inlineStr">
        <is>
          <t>PAID_ON_TIME</t>
        </is>
      </c>
      <c r="I3614">
        <f>IF(H3614="UNPAID", AsOfDate-D3614, 0)</f>
        <v/>
      </c>
      <c r="J3614">
        <f>IF(F3614&lt;&gt;"", TEXT(F3614, "yyyy-mm"), "")</f>
        <v/>
      </c>
    </row>
    <row r="3615">
      <c r="A3615" t="inlineStr">
        <is>
          <t>RP0003614</t>
        </is>
      </c>
      <c r="B3615" t="inlineStr">
        <is>
          <t>LN200520</t>
        </is>
      </c>
      <c r="C3615" t="n">
        <v>5</v>
      </c>
      <c r="D3615" s="8" t="n">
        <v>46211</v>
      </c>
      <c r="E3615" s="9" t="n">
        <v>15402.67</v>
      </c>
      <c r="F3615" s="8" t="n">
        <v>46215</v>
      </c>
      <c r="G3615" s="9" t="n">
        <v>15402.67</v>
      </c>
      <c r="H3615" t="inlineStr">
        <is>
          <t>PAID_ON_TIME</t>
        </is>
      </c>
      <c r="I3615">
        <f>IF(H3615="UNPAID", AsOfDate-D3615, 0)</f>
        <v/>
      </c>
      <c r="J3615">
        <f>IF(F3615&lt;&gt;"", TEXT(F3615, "yyyy-mm"), "")</f>
        <v/>
      </c>
    </row>
    <row r="3616">
      <c r="A3616" t="inlineStr">
        <is>
          <t>RP0003615</t>
        </is>
      </c>
      <c r="B3616" t="inlineStr">
        <is>
          <t>LN200520</t>
        </is>
      </c>
      <c r="C3616" t="n">
        <v>6</v>
      </c>
      <c r="D3616" s="8" t="n">
        <v>46242</v>
      </c>
      <c r="E3616" s="9" t="n">
        <v>15402.67</v>
      </c>
      <c r="F3616" s="8" t="n">
        <v>46240</v>
      </c>
      <c r="G3616" s="9" t="n">
        <v>15402.67</v>
      </c>
      <c r="H3616" t="inlineStr">
        <is>
          <t>PAID_ON_TIME</t>
        </is>
      </c>
      <c r="I3616">
        <f>IF(H3616="UNPAID", AsOfDate-D3616, 0)</f>
        <v/>
      </c>
      <c r="J3616">
        <f>IF(F3616&lt;&gt;"", TEXT(F3616, "yyyy-mm"), "")</f>
        <v/>
      </c>
    </row>
    <row r="3617">
      <c r="A3617" t="inlineStr">
        <is>
          <t>RP0003616</t>
        </is>
      </c>
      <c r="B3617" t="inlineStr">
        <is>
          <t>LN200520</t>
        </is>
      </c>
      <c r="C3617" t="n">
        <v>7</v>
      </c>
      <c r="D3617" s="8" t="n">
        <v>46273</v>
      </c>
      <c r="E3617" s="9" t="n">
        <v>15402.67</v>
      </c>
      <c r="F3617" s="8" t="n"/>
      <c r="G3617" s="9" t="n">
        <v>0</v>
      </c>
      <c r="H3617" t="inlineStr">
        <is>
          <t>NOT_DUE</t>
        </is>
      </c>
      <c r="I3617">
        <f>IF(H3617="UNPAID", AsOfDate-D3617, 0)</f>
        <v/>
      </c>
      <c r="J3617">
        <f>IF(F3617&lt;&gt;"", TEXT(F3617, "yyyy-mm"), "")</f>
        <v/>
      </c>
    </row>
    <row r="3618">
      <c r="A3618" t="inlineStr">
        <is>
          <t>RP0003617</t>
        </is>
      </c>
      <c r="B3618" t="inlineStr">
        <is>
          <t>LN200520</t>
        </is>
      </c>
      <c r="C3618" t="n">
        <v>8</v>
      </c>
      <c r="D3618" s="8" t="n">
        <v>46303</v>
      </c>
      <c r="E3618" s="9" t="n">
        <v>15402.67</v>
      </c>
      <c r="F3618" s="8" t="n"/>
      <c r="G3618" s="9" t="n">
        <v>0</v>
      </c>
      <c r="H3618" t="inlineStr">
        <is>
          <t>NOT_DUE</t>
        </is>
      </c>
      <c r="I3618">
        <f>IF(H3618="UNPAID", AsOfDate-D3618, 0)</f>
        <v/>
      </c>
      <c r="J3618">
        <f>IF(F3618&lt;&gt;"", TEXT(F3618, "yyyy-mm"), "")</f>
        <v/>
      </c>
    </row>
    <row r="3619">
      <c r="A3619" t="inlineStr">
        <is>
          <t>RP0003618</t>
        </is>
      </c>
      <c r="B3619" t="inlineStr">
        <is>
          <t>LN200520</t>
        </is>
      </c>
      <c r="C3619" t="n">
        <v>9</v>
      </c>
      <c r="D3619" s="8" t="n">
        <v>46334</v>
      </c>
      <c r="E3619" s="9" t="n">
        <v>15402.67</v>
      </c>
      <c r="F3619" s="8" t="n"/>
      <c r="G3619" s="9" t="n">
        <v>0</v>
      </c>
      <c r="H3619" t="inlineStr">
        <is>
          <t>NOT_DUE</t>
        </is>
      </c>
      <c r="I3619">
        <f>IF(H3619="UNPAID", AsOfDate-D3619, 0)</f>
        <v/>
      </c>
      <c r="J3619">
        <f>IF(F3619&lt;&gt;"", TEXT(F3619, "yyyy-mm"), "")</f>
        <v/>
      </c>
    </row>
    <row r="3620">
      <c r="A3620" t="inlineStr">
        <is>
          <t>RP0003619</t>
        </is>
      </c>
      <c r="B3620" t="inlineStr">
        <is>
          <t>LN200520</t>
        </is>
      </c>
      <c r="C3620" t="n">
        <v>10</v>
      </c>
      <c r="D3620" s="8" t="n">
        <v>46364</v>
      </c>
      <c r="E3620" s="9" t="n">
        <v>15402.67</v>
      </c>
      <c r="F3620" s="8" t="n"/>
      <c r="G3620" s="9" t="n">
        <v>0</v>
      </c>
      <c r="H3620" t="inlineStr">
        <is>
          <t>NOT_DUE</t>
        </is>
      </c>
      <c r="I3620">
        <f>IF(H3620="UNPAID", AsOfDate-D3620, 0)</f>
        <v/>
      </c>
      <c r="J3620">
        <f>IF(F3620&lt;&gt;"", TEXT(F3620, "yyyy-mm"), "")</f>
        <v/>
      </c>
    </row>
    <row r="3621">
      <c r="A3621" t="inlineStr">
        <is>
          <t>RP0003620</t>
        </is>
      </c>
      <c r="B3621" t="inlineStr">
        <is>
          <t>LN200520</t>
        </is>
      </c>
      <c r="C3621" t="n">
        <v>11</v>
      </c>
      <c r="D3621" s="8" t="n">
        <v>46395</v>
      </c>
      <c r="E3621" s="9" t="n">
        <v>15402.67</v>
      </c>
      <c r="F3621" s="8" t="n"/>
      <c r="G3621" s="9" t="n">
        <v>0</v>
      </c>
      <c r="H3621" t="inlineStr">
        <is>
          <t>NOT_DUE</t>
        </is>
      </c>
      <c r="I3621">
        <f>IF(H3621="UNPAID", AsOfDate-D3621, 0)</f>
        <v/>
      </c>
      <c r="J3621">
        <f>IF(F3621&lt;&gt;"", TEXT(F3621, "yyyy-mm"), "")</f>
        <v/>
      </c>
    </row>
    <row r="3622">
      <c r="A3622" t="inlineStr">
        <is>
          <t>RP0003621</t>
        </is>
      </c>
      <c r="B3622" t="inlineStr">
        <is>
          <t>LN200520</t>
        </is>
      </c>
      <c r="C3622" t="n">
        <v>12</v>
      </c>
      <c r="D3622" s="8" t="n">
        <v>46426</v>
      </c>
      <c r="E3622" s="9" t="n">
        <v>15402.67</v>
      </c>
      <c r="F3622" s="8" t="n"/>
      <c r="G3622" s="9" t="n">
        <v>0</v>
      </c>
      <c r="H3622" t="inlineStr">
        <is>
          <t>NOT_DUE</t>
        </is>
      </c>
      <c r="I3622">
        <f>IF(H3622="UNPAID", AsOfDate-D3622, 0)</f>
        <v/>
      </c>
      <c r="J3622">
        <f>IF(F3622&lt;&gt;"", TEXT(F3622, "yyyy-mm"), "")</f>
        <v/>
      </c>
    </row>
    <row r="3623">
      <c r="A3623" t="inlineStr">
        <is>
          <t>RP0003622</t>
        </is>
      </c>
      <c r="B3623" t="inlineStr">
        <is>
          <t>LN200521</t>
        </is>
      </c>
      <c r="C3623" t="n">
        <v>1</v>
      </c>
      <c r="D3623" s="8" t="n">
        <v>46099</v>
      </c>
      <c r="E3623" s="9" t="n">
        <v>6857.33</v>
      </c>
      <c r="F3623" s="8" t="n">
        <v>46172</v>
      </c>
      <c r="G3623" s="9" t="n">
        <v>6857.33</v>
      </c>
      <c r="H3623" t="inlineStr">
        <is>
          <t>PAID_LATE</t>
        </is>
      </c>
      <c r="I3623">
        <f>IF(H3623="UNPAID", AsOfDate-D3623, 0)</f>
        <v/>
      </c>
      <c r="J3623">
        <f>IF(F3623&lt;&gt;"", TEXT(F3623, "yyyy-mm"), "")</f>
        <v/>
      </c>
    </row>
    <row r="3624">
      <c r="A3624" t="inlineStr">
        <is>
          <t>RP0003623</t>
        </is>
      </c>
      <c r="B3624" t="inlineStr">
        <is>
          <t>LN200521</t>
        </is>
      </c>
      <c r="C3624" t="n">
        <v>2</v>
      </c>
      <c r="D3624" s="8" t="n">
        <v>46130</v>
      </c>
      <c r="E3624" s="9" t="n">
        <v>6857.33</v>
      </c>
      <c r="F3624" s="8" t="n">
        <v>46131</v>
      </c>
      <c r="G3624" s="9" t="n">
        <v>6857.33</v>
      </c>
      <c r="H3624" t="inlineStr">
        <is>
          <t>PAID_ON_TIME</t>
        </is>
      </c>
      <c r="I3624">
        <f>IF(H3624="UNPAID", AsOfDate-D3624, 0)</f>
        <v/>
      </c>
      <c r="J3624">
        <f>IF(F3624&lt;&gt;"", TEXT(F3624, "yyyy-mm"), "")</f>
        <v/>
      </c>
    </row>
    <row r="3625">
      <c r="A3625" t="inlineStr">
        <is>
          <t>RP0003624</t>
        </is>
      </c>
      <c r="B3625" t="inlineStr">
        <is>
          <t>LN200521</t>
        </is>
      </c>
      <c r="C3625" t="n">
        <v>3</v>
      </c>
      <c r="D3625" s="8" t="n">
        <v>46160</v>
      </c>
      <c r="E3625" s="9" t="n">
        <v>6857.33</v>
      </c>
      <c r="F3625" s="8" t="n">
        <v>46160</v>
      </c>
      <c r="G3625" s="9" t="n">
        <v>6857.33</v>
      </c>
      <c r="H3625" t="inlineStr">
        <is>
          <t>PAID_ON_TIME</t>
        </is>
      </c>
      <c r="I3625">
        <f>IF(H3625="UNPAID", AsOfDate-D3625, 0)</f>
        <v/>
      </c>
      <c r="J3625">
        <f>IF(F3625&lt;&gt;"", TEXT(F3625, "yyyy-mm"), "")</f>
        <v/>
      </c>
    </row>
    <row r="3626">
      <c r="A3626" t="inlineStr">
        <is>
          <t>RP0003625</t>
        </is>
      </c>
      <c r="B3626" t="inlineStr">
        <is>
          <t>LN200521</t>
        </is>
      </c>
      <c r="C3626" t="n">
        <v>4</v>
      </c>
      <c r="D3626" s="8" t="n">
        <v>46191</v>
      </c>
      <c r="E3626" s="9" t="n">
        <v>6857.33</v>
      </c>
      <c r="F3626" s="8" t="n">
        <v>46191</v>
      </c>
      <c r="G3626" s="9" t="n">
        <v>6857.33</v>
      </c>
      <c r="H3626" t="inlineStr">
        <is>
          <t>PAID_ON_TIME</t>
        </is>
      </c>
      <c r="I3626">
        <f>IF(H3626="UNPAID", AsOfDate-D3626, 0)</f>
        <v/>
      </c>
      <c r="J3626">
        <f>IF(F3626&lt;&gt;"", TEXT(F3626, "yyyy-mm"), "")</f>
        <v/>
      </c>
    </row>
    <row r="3627">
      <c r="A3627" t="inlineStr">
        <is>
          <t>RP0003626</t>
        </is>
      </c>
      <c r="B3627" t="inlineStr">
        <is>
          <t>LN200521</t>
        </is>
      </c>
      <c r="C3627" t="n">
        <v>5</v>
      </c>
      <c r="D3627" s="8" t="n">
        <v>46221</v>
      </c>
      <c r="E3627" s="9" t="n">
        <v>6857.33</v>
      </c>
      <c r="F3627" s="8" t="n">
        <v>46220</v>
      </c>
      <c r="G3627" s="9" t="n">
        <v>6857.33</v>
      </c>
      <c r="H3627" t="inlineStr">
        <is>
          <t>PAID_ON_TIME</t>
        </is>
      </c>
      <c r="I3627">
        <f>IF(H3627="UNPAID", AsOfDate-D3627, 0)</f>
        <v/>
      </c>
      <c r="J3627">
        <f>IF(F3627&lt;&gt;"", TEXT(F3627, "yyyy-mm"), "")</f>
        <v/>
      </c>
    </row>
    <row r="3628">
      <c r="A3628" t="inlineStr">
        <is>
          <t>RP0003627</t>
        </is>
      </c>
      <c r="B3628" t="inlineStr">
        <is>
          <t>LN200521</t>
        </is>
      </c>
      <c r="C3628" t="n">
        <v>6</v>
      </c>
      <c r="D3628" s="8" t="n">
        <v>46252</v>
      </c>
      <c r="E3628" s="9" t="n">
        <v>6857.33</v>
      </c>
      <c r="F3628" s="8" t="n">
        <v>46256</v>
      </c>
      <c r="G3628" s="9" t="n">
        <v>6857.33</v>
      </c>
      <c r="H3628" t="inlineStr">
        <is>
          <t>PAID_ON_TIME</t>
        </is>
      </c>
      <c r="I3628">
        <f>IF(H3628="UNPAID", AsOfDate-D3628, 0)</f>
        <v/>
      </c>
      <c r="J3628">
        <f>IF(F3628&lt;&gt;"", TEXT(F3628, "yyyy-mm"), "")</f>
        <v/>
      </c>
    </row>
    <row r="3629">
      <c r="A3629" t="inlineStr">
        <is>
          <t>RP0003628</t>
        </is>
      </c>
      <c r="B3629" t="inlineStr">
        <is>
          <t>LN200522</t>
        </is>
      </c>
      <c r="C3629" t="n">
        <v>1</v>
      </c>
      <c r="D3629" s="8" t="n">
        <v>46048</v>
      </c>
      <c r="E3629" s="9" t="n">
        <v>32610.5</v>
      </c>
      <c r="F3629" s="8" t="n">
        <v>46050</v>
      </c>
      <c r="G3629" s="9" t="n">
        <v>32610.5</v>
      </c>
      <c r="H3629" t="inlineStr">
        <is>
          <t>PAID_ON_TIME</t>
        </is>
      </c>
      <c r="I3629">
        <f>IF(H3629="UNPAID", AsOfDate-D3629, 0)</f>
        <v/>
      </c>
      <c r="J3629">
        <f>IF(F3629&lt;&gt;"", TEXT(F3629, "yyyy-mm"), "")</f>
        <v/>
      </c>
    </row>
    <row r="3630">
      <c r="A3630" t="inlineStr">
        <is>
          <t>RP0003629</t>
        </is>
      </c>
      <c r="B3630" t="inlineStr">
        <is>
          <t>LN200522</t>
        </is>
      </c>
      <c r="C3630" t="n">
        <v>2</v>
      </c>
      <c r="D3630" s="8" t="n">
        <v>46079</v>
      </c>
      <c r="E3630" s="9" t="n">
        <v>32610.5</v>
      </c>
      <c r="F3630" s="8" t="n">
        <v>46081</v>
      </c>
      <c r="G3630" s="9" t="n">
        <v>32610.5</v>
      </c>
      <c r="H3630" t="inlineStr">
        <is>
          <t>PAID_ON_TIME</t>
        </is>
      </c>
      <c r="I3630">
        <f>IF(H3630="UNPAID", AsOfDate-D3630, 0)</f>
        <v/>
      </c>
      <c r="J3630">
        <f>IF(F3630&lt;&gt;"", TEXT(F3630, "yyyy-mm"), "")</f>
        <v/>
      </c>
    </row>
    <row r="3631">
      <c r="A3631" t="inlineStr">
        <is>
          <t>RP0003630</t>
        </is>
      </c>
      <c r="B3631" t="inlineStr">
        <is>
          <t>LN200522</t>
        </is>
      </c>
      <c r="C3631" t="n">
        <v>3</v>
      </c>
      <c r="D3631" s="8" t="n">
        <v>46107</v>
      </c>
      <c r="E3631" s="9" t="n">
        <v>32610.5</v>
      </c>
      <c r="F3631" s="8" t="n">
        <v>46109</v>
      </c>
      <c r="G3631" s="9" t="n">
        <v>32610.5</v>
      </c>
      <c r="H3631" t="inlineStr">
        <is>
          <t>PAID_ON_TIME</t>
        </is>
      </c>
      <c r="I3631">
        <f>IF(H3631="UNPAID", AsOfDate-D3631, 0)</f>
        <v/>
      </c>
      <c r="J3631">
        <f>IF(F3631&lt;&gt;"", TEXT(F3631, "yyyy-mm"), "")</f>
        <v/>
      </c>
    </row>
    <row r="3632">
      <c r="A3632" t="inlineStr">
        <is>
          <t>RP0003631</t>
        </is>
      </c>
      <c r="B3632" t="inlineStr">
        <is>
          <t>LN200522</t>
        </is>
      </c>
      <c r="C3632" t="n">
        <v>4</v>
      </c>
      <c r="D3632" s="8" t="n">
        <v>46138</v>
      </c>
      <c r="E3632" s="9" t="n">
        <v>32610.5</v>
      </c>
      <c r="F3632" s="8" t="n">
        <v>46135</v>
      </c>
      <c r="G3632" s="9" t="n">
        <v>32610.5</v>
      </c>
      <c r="H3632" t="inlineStr">
        <is>
          <t>PAID_ON_TIME</t>
        </is>
      </c>
      <c r="I3632">
        <f>IF(H3632="UNPAID", AsOfDate-D3632, 0)</f>
        <v/>
      </c>
      <c r="J3632">
        <f>IF(F3632&lt;&gt;"", TEXT(F3632, "yyyy-mm"), "")</f>
        <v/>
      </c>
    </row>
    <row r="3633">
      <c r="A3633" t="inlineStr">
        <is>
          <t>RP0003632</t>
        </is>
      </c>
      <c r="B3633" t="inlineStr">
        <is>
          <t>LN200522</t>
        </is>
      </c>
      <c r="C3633" t="n">
        <v>5</v>
      </c>
      <c r="D3633" s="8" t="n">
        <v>46168</v>
      </c>
      <c r="E3633" s="9" t="n">
        <v>32610.5</v>
      </c>
      <c r="F3633" s="8" t="n">
        <v>46196</v>
      </c>
      <c r="G3633" s="9" t="n">
        <v>32610.5</v>
      </c>
      <c r="H3633" t="inlineStr">
        <is>
          <t>PAID_LATE</t>
        </is>
      </c>
      <c r="I3633">
        <f>IF(H3633="UNPAID", AsOfDate-D3633, 0)</f>
        <v/>
      </c>
      <c r="J3633">
        <f>IF(F3633&lt;&gt;"", TEXT(F3633, "yyyy-mm"), "")</f>
        <v/>
      </c>
    </row>
    <row r="3634">
      <c r="A3634" t="inlineStr">
        <is>
          <t>RP0003633</t>
        </is>
      </c>
      <c r="B3634" t="inlineStr">
        <is>
          <t>LN200522</t>
        </is>
      </c>
      <c r="C3634" t="n">
        <v>6</v>
      </c>
      <c r="D3634" s="8" t="n">
        <v>46199</v>
      </c>
      <c r="E3634" s="9" t="n">
        <v>32610.5</v>
      </c>
      <c r="F3634" s="8" t="n">
        <v>46203</v>
      </c>
      <c r="G3634" s="9" t="n">
        <v>32610.5</v>
      </c>
      <c r="H3634" t="inlineStr">
        <is>
          <t>PAID_ON_TIME</t>
        </is>
      </c>
      <c r="I3634">
        <f>IF(H3634="UNPAID", AsOfDate-D3634, 0)</f>
        <v/>
      </c>
      <c r="J3634">
        <f>IF(F3634&lt;&gt;"", TEXT(F3634, "yyyy-mm"), "")</f>
        <v/>
      </c>
    </row>
    <row r="3635">
      <c r="A3635" t="inlineStr">
        <is>
          <t>RP0003634</t>
        </is>
      </c>
      <c r="B3635" t="inlineStr">
        <is>
          <t>LN200522</t>
        </is>
      </c>
      <c r="C3635" t="n">
        <v>7</v>
      </c>
      <c r="D3635" s="8" t="n">
        <v>46229</v>
      </c>
      <c r="E3635" s="9" t="n">
        <v>32610.5</v>
      </c>
      <c r="F3635" s="8" t="n">
        <v>46230</v>
      </c>
      <c r="G3635" s="9" t="n">
        <v>32610.5</v>
      </c>
      <c r="H3635" t="inlineStr">
        <is>
          <t>PAID_ON_TIME</t>
        </is>
      </c>
      <c r="I3635">
        <f>IF(H3635="UNPAID", AsOfDate-D3635, 0)</f>
        <v/>
      </c>
      <c r="J3635">
        <f>IF(F3635&lt;&gt;"", TEXT(F3635, "yyyy-mm"), "")</f>
        <v/>
      </c>
    </row>
    <row r="3636">
      <c r="A3636" t="inlineStr">
        <is>
          <t>RP0003635</t>
        </is>
      </c>
      <c r="B3636" t="inlineStr">
        <is>
          <t>LN200522</t>
        </is>
      </c>
      <c r="C3636" t="n">
        <v>8</v>
      </c>
      <c r="D3636" s="8" t="n">
        <v>46260</v>
      </c>
      <c r="E3636" s="9" t="n">
        <v>32610.5</v>
      </c>
      <c r="F3636" s="8" t="n">
        <v>46258</v>
      </c>
      <c r="G3636" s="9" t="n">
        <v>32610.5</v>
      </c>
      <c r="H3636" t="inlineStr">
        <is>
          <t>PAID_ON_TIME</t>
        </is>
      </c>
      <c r="I3636">
        <f>IF(H3636="UNPAID", AsOfDate-D3636, 0)</f>
        <v/>
      </c>
      <c r="J3636">
        <f>IF(F3636&lt;&gt;"", TEXT(F3636, "yyyy-mm"), "")</f>
        <v/>
      </c>
    </row>
    <row r="3637">
      <c r="A3637" t="inlineStr">
        <is>
          <t>RP0003636</t>
        </is>
      </c>
      <c r="B3637" t="inlineStr">
        <is>
          <t>LN200522</t>
        </is>
      </c>
      <c r="C3637" t="n">
        <v>9</v>
      </c>
      <c r="D3637" s="8" t="n">
        <v>46291</v>
      </c>
      <c r="E3637" s="9" t="n">
        <v>32610.5</v>
      </c>
      <c r="F3637" s="8" t="n"/>
      <c r="G3637" s="9" t="n">
        <v>0</v>
      </c>
      <c r="H3637" t="inlineStr">
        <is>
          <t>NOT_DUE</t>
        </is>
      </c>
      <c r="I3637">
        <f>IF(H3637="UNPAID", AsOfDate-D3637, 0)</f>
        <v/>
      </c>
      <c r="J3637">
        <f>IF(F3637&lt;&gt;"", TEXT(F3637, "yyyy-mm"), "")</f>
        <v/>
      </c>
    </row>
    <row r="3638">
      <c r="A3638" t="inlineStr">
        <is>
          <t>RP0003637</t>
        </is>
      </c>
      <c r="B3638" t="inlineStr">
        <is>
          <t>LN200522</t>
        </is>
      </c>
      <c r="C3638" t="n">
        <v>10</v>
      </c>
      <c r="D3638" s="8" t="n">
        <v>46321</v>
      </c>
      <c r="E3638" s="9" t="n">
        <v>32610.5</v>
      </c>
      <c r="F3638" s="8" t="n"/>
      <c r="G3638" s="9" t="n">
        <v>0</v>
      </c>
      <c r="H3638" t="inlineStr">
        <is>
          <t>NOT_DUE</t>
        </is>
      </c>
      <c r="I3638">
        <f>IF(H3638="UNPAID", AsOfDate-D3638, 0)</f>
        <v/>
      </c>
      <c r="J3638">
        <f>IF(F3638&lt;&gt;"", TEXT(F3638, "yyyy-mm"), "")</f>
        <v/>
      </c>
    </row>
    <row r="3639">
      <c r="A3639" t="inlineStr">
        <is>
          <t>RP0003638</t>
        </is>
      </c>
      <c r="B3639" t="inlineStr">
        <is>
          <t>LN200522</t>
        </is>
      </c>
      <c r="C3639" t="n">
        <v>11</v>
      </c>
      <c r="D3639" s="8" t="n">
        <v>46352</v>
      </c>
      <c r="E3639" s="9" t="n">
        <v>32610.5</v>
      </c>
      <c r="F3639" s="8" t="n"/>
      <c r="G3639" s="9" t="n">
        <v>0</v>
      </c>
      <c r="H3639" t="inlineStr">
        <is>
          <t>NOT_DUE</t>
        </is>
      </c>
      <c r="I3639">
        <f>IF(H3639="UNPAID", AsOfDate-D3639, 0)</f>
        <v/>
      </c>
      <c r="J3639">
        <f>IF(F3639&lt;&gt;"", TEXT(F3639, "yyyy-mm"), "")</f>
        <v/>
      </c>
    </row>
    <row r="3640">
      <c r="A3640" t="inlineStr">
        <is>
          <t>RP0003639</t>
        </is>
      </c>
      <c r="B3640" t="inlineStr">
        <is>
          <t>LN200522</t>
        </is>
      </c>
      <c r="C3640" t="n">
        <v>12</v>
      </c>
      <c r="D3640" s="8" t="n">
        <v>46382</v>
      </c>
      <c r="E3640" s="9" t="n">
        <v>32610.5</v>
      </c>
      <c r="F3640" s="8" t="n"/>
      <c r="G3640" s="9" t="n">
        <v>0</v>
      </c>
      <c r="H3640" t="inlineStr">
        <is>
          <t>NOT_DUE</t>
        </is>
      </c>
      <c r="I3640">
        <f>IF(H3640="UNPAID", AsOfDate-D3640, 0)</f>
        <v/>
      </c>
      <c r="J3640">
        <f>IF(F3640&lt;&gt;"", TEXT(F3640, "yyyy-mm"), "")</f>
        <v/>
      </c>
    </row>
    <row r="3641">
      <c r="A3641" t="inlineStr">
        <is>
          <t>RP0003640</t>
        </is>
      </c>
      <c r="B3641" t="inlineStr">
        <is>
          <t>LN200523</t>
        </is>
      </c>
      <c r="C3641" t="n">
        <v>1</v>
      </c>
      <c r="D3641" s="8" t="n">
        <v>45980</v>
      </c>
      <c r="E3641" s="9" t="n">
        <v>78631.39</v>
      </c>
      <c r="F3641" s="8" t="n">
        <v>45980</v>
      </c>
      <c r="G3641" s="9" t="n">
        <v>78631.39</v>
      </c>
      <c r="H3641" t="inlineStr">
        <is>
          <t>PAID_ON_TIME</t>
        </is>
      </c>
      <c r="I3641">
        <f>IF(H3641="UNPAID", AsOfDate-D3641, 0)</f>
        <v/>
      </c>
      <c r="J3641">
        <f>IF(F3641&lt;&gt;"", TEXT(F3641, "yyyy-mm"), "")</f>
        <v/>
      </c>
    </row>
    <row r="3642">
      <c r="A3642" t="inlineStr">
        <is>
          <t>RP0003641</t>
        </is>
      </c>
      <c r="B3642" t="inlineStr">
        <is>
          <t>LN200523</t>
        </is>
      </c>
      <c r="C3642" t="n">
        <v>2</v>
      </c>
      <c r="D3642" s="8" t="n">
        <v>46010</v>
      </c>
      <c r="E3642" s="9" t="n">
        <v>78631.39</v>
      </c>
      <c r="F3642" s="8" t="n">
        <v>46011</v>
      </c>
      <c r="G3642" s="9" t="n">
        <v>78631.39</v>
      </c>
      <c r="H3642" t="inlineStr">
        <is>
          <t>PAID_ON_TIME</t>
        </is>
      </c>
      <c r="I3642">
        <f>IF(H3642="UNPAID", AsOfDate-D3642, 0)</f>
        <v/>
      </c>
      <c r="J3642">
        <f>IF(F3642&lt;&gt;"", TEXT(F3642, "yyyy-mm"), "")</f>
        <v/>
      </c>
    </row>
    <row r="3643">
      <c r="A3643" t="inlineStr">
        <is>
          <t>RP0003642</t>
        </is>
      </c>
      <c r="B3643" t="inlineStr">
        <is>
          <t>LN200523</t>
        </is>
      </c>
      <c r="C3643" t="n">
        <v>3</v>
      </c>
      <c r="D3643" s="8" t="n">
        <v>46041</v>
      </c>
      <c r="E3643" s="9" t="n">
        <v>78631.39</v>
      </c>
      <c r="F3643" s="8" t="n">
        <v>46039</v>
      </c>
      <c r="G3643" s="9" t="n">
        <v>78631.39</v>
      </c>
      <c r="H3643" t="inlineStr">
        <is>
          <t>PAID_ON_TIME</t>
        </is>
      </c>
      <c r="I3643">
        <f>IF(H3643="UNPAID", AsOfDate-D3643, 0)</f>
        <v/>
      </c>
      <c r="J3643">
        <f>IF(F3643&lt;&gt;"", TEXT(F3643, "yyyy-mm"), "")</f>
        <v/>
      </c>
    </row>
    <row r="3644">
      <c r="A3644" t="inlineStr">
        <is>
          <t>RP0003643</t>
        </is>
      </c>
      <c r="B3644" t="inlineStr">
        <is>
          <t>LN200523</t>
        </is>
      </c>
      <c r="C3644" t="n">
        <v>4</v>
      </c>
      <c r="D3644" s="8" t="n">
        <v>46072</v>
      </c>
      <c r="E3644" s="9" t="n">
        <v>78631.39</v>
      </c>
      <c r="F3644" s="8" t="n">
        <v>46073</v>
      </c>
      <c r="G3644" s="9" t="n">
        <v>78631.39</v>
      </c>
      <c r="H3644" t="inlineStr">
        <is>
          <t>PAID_ON_TIME</t>
        </is>
      </c>
      <c r="I3644">
        <f>IF(H3644="UNPAID", AsOfDate-D3644, 0)</f>
        <v/>
      </c>
      <c r="J3644">
        <f>IF(F3644&lt;&gt;"", TEXT(F3644, "yyyy-mm"), "")</f>
        <v/>
      </c>
    </row>
    <row r="3645">
      <c r="A3645" t="inlineStr">
        <is>
          <t>RP0003644</t>
        </is>
      </c>
      <c r="B3645" t="inlineStr">
        <is>
          <t>LN200523</t>
        </is>
      </c>
      <c r="C3645" t="n">
        <v>5</v>
      </c>
      <c r="D3645" s="8" t="n">
        <v>46100</v>
      </c>
      <c r="E3645" s="9" t="n">
        <v>78631.39</v>
      </c>
      <c r="F3645" s="8" t="n">
        <v>46102</v>
      </c>
      <c r="G3645" s="9" t="n">
        <v>78631.39</v>
      </c>
      <c r="H3645" t="inlineStr">
        <is>
          <t>PAID_ON_TIME</t>
        </is>
      </c>
      <c r="I3645">
        <f>IF(H3645="UNPAID", AsOfDate-D3645, 0)</f>
        <v/>
      </c>
      <c r="J3645">
        <f>IF(F3645&lt;&gt;"", TEXT(F3645, "yyyy-mm"), "")</f>
        <v/>
      </c>
    </row>
    <row r="3646">
      <c r="A3646" t="inlineStr">
        <is>
          <t>RP0003645</t>
        </is>
      </c>
      <c r="B3646" t="inlineStr">
        <is>
          <t>LN200523</t>
        </is>
      </c>
      <c r="C3646" t="n">
        <v>6</v>
      </c>
      <c r="D3646" s="8" t="n">
        <v>46131</v>
      </c>
      <c r="E3646" s="9" t="n">
        <v>78631.39</v>
      </c>
      <c r="F3646" s="8" t="n">
        <v>46135</v>
      </c>
      <c r="G3646" s="9" t="n">
        <v>78631.39</v>
      </c>
      <c r="H3646" t="inlineStr">
        <is>
          <t>PAID_ON_TIME</t>
        </is>
      </c>
      <c r="I3646">
        <f>IF(H3646="UNPAID", AsOfDate-D3646, 0)</f>
        <v/>
      </c>
      <c r="J3646">
        <f>IF(F3646&lt;&gt;"", TEXT(F3646, "yyyy-mm"), "")</f>
        <v/>
      </c>
    </row>
    <row r="3647">
      <c r="A3647" t="inlineStr">
        <is>
          <t>RP0003646</t>
        </is>
      </c>
      <c r="B3647" t="inlineStr">
        <is>
          <t>LN200523</t>
        </is>
      </c>
      <c r="C3647" t="n">
        <v>7</v>
      </c>
      <c r="D3647" s="8" t="n">
        <v>46161</v>
      </c>
      <c r="E3647" s="9" t="n">
        <v>78631.39</v>
      </c>
      <c r="F3647" s="8" t="n">
        <v>46162</v>
      </c>
      <c r="G3647" s="9" t="n">
        <v>78631.39</v>
      </c>
      <c r="H3647" t="inlineStr">
        <is>
          <t>PAID_ON_TIME</t>
        </is>
      </c>
      <c r="I3647">
        <f>IF(H3647="UNPAID", AsOfDate-D3647, 0)</f>
        <v/>
      </c>
      <c r="J3647">
        <f>IF(F3647&lt;&gt;"", TEXT(F3647, "yyyy-mm"), "")</f>
        <v/>
      </c>
    </row>
    <row r="3648">
      <c r="A3648" t="inlineStr">
        <is>
          <t>RP0003647</t>
        </is>
      </c>
      <c r="B3648" t="inlineStr">
        <is>
          <t>LN200523</t>
        </is>
      </c>
      <c r="C3648" t="n">
        <v>8</v>
      </c>
      <c r="D3648" s="8" t="n">
        <v>46192</v>
      </c>
      <c r="E3648" s="9" t="n">
        <v>78631.39</v>
      </c>
      <c r="F3648" s="8" t="n">
        <v>46189</v>
      </c>
      <c r="G3648" s="9" t="n">
        <v>78631.39</v>
      </c>
      <c r="H3648" t="inlineStr">
        <is>
          <t>PAID_ON_TIME</t>
        </is>
      </c>
      <c r="I3648">
        <f>IF(H3648="UNPAID", AsOfDate-D3648, 0)</f>
        <v/>
      </c>
      <c r="J3648">
        <f>IF(F3648&lt;&gt;"", TEXT(F3648, "yyyy-mm"), "")</f>
        <v/>
      </c>
    </row>
    <row r="3649">
      <c r="A3649" t="inlineStr">
        <is>
          <t>RP0003648</t>
        </is>
      </c>
      <c r="B3649" t="inlineStr">
        <is>
          <t>LN200523</t>
        </is>
      </c>
      <c r="C3649" t="n">
        <v>9</v>
      </c>
      <c r="D3649" s="8" t="n">
        <v>46222</v>
      </c>
      <c r="E3649" s="9" t="n">
        <v>78631.39</v>
      </c>
      <c r="F3649" s="8" t="n">
        <v>46219</v>
      </c>
      <c r="G3649" s="9" t="n">
        <v>78631.39</v>
      </c>
      <c r="H3649" t="inlineStr">
        <is>
          <t>PAID_ON_TIME</t>
        </is>
      </c>
      <c r="I3649">
        <f>IF(H3649="UNPAID", AsOfDate-D3649, 0)</f>
        <v/>
      </c>
      <c r="J3649">
        <f>IF(F3649&lt;&gt;"", TEXT(F3649, "yyyy-mm"), "")</f>
        <v/>
      </c>
    </row>
    <row r="3650">
      <c r="A3650" t="inlineStr">
        <is>
          <t>RP0003649</t>
        </is>
      </c>
      <c r="B3650" t="inlineStr">
        <is>
          <t>LN200523</t>
        </is>
      </c>
      <c r="C3650" t="n">
        <v>10</v>
      </c>
      <c r="D3650" s="8" t="n">
        <v>46253</v>
      </c>
      <c r="E3650" s="9" t="n">
        <v>78631.39</v>
      </c>
      <c r="F3650" s="8" t="n">
        <v>46251</v>
      </c>
      <c r="G3650" s="9" t="n">
        <v>78631.39</v>
      </c>
      <c r="H3650" t="inlineStr">
        <is>
          <t>PAID_ON_TIME</t>
        </is>
      </c>
      <c r="I3650">
        <f>IF(H3650="UNPAID", AsOfDate-D3650, 0)</f>
        <v/>
      </c>
      <c r="J3650">
        <f>IF(F3650&lt;&gt;"", TEXT(F3650, "yyyy-mm"), "")</f>
        <v/>
      </c>
    </row>
    <row r="3651">
      <c r="A3651" t="inlineStr">
        <is>
          <t>RP0003650</t>
        </is>
      </c>
      <c r="B3651" t="inlineStr">
        <is>
          <t>LN200523</t>
        </is>
      </c>
      <c r="C3651" t="n">
        <v>11</v>
      </c>
      <c r="D3651" s="8" t="n">
        <v>46284</v>
      </c>
      <c r="E3651" s="9" t="n">
        <v>78631.39</v>
      </c>
      <c r="F3651" s="8" t="n"/>
      <c r="G3651" s="9" t="n">
        <v>0</v>
      </c>
      <c r="H3651" t="inlineStr">
        <is>
          <t>NOT_DUE</t>
        </is>
      </c>
      <c r="I3651">
        <f>IF(H3651="UNPAID", AsOfDate-D3651, 0)</f>
        <v/>
      </c>
      <c r="J3651">
        <f>IF(F3651&lt;&gt;"", TEXT(F3651, "yyyy-mm"), "")</f>
        <v/>
      </c>
    </row>
    <row r="3652">
      <c r="A3652" t="inlineStr">
        <is>
          <t>RP0003651</t>
        </is>
      </c>
      <c r="B3652" t="inlineStr">
        <is>
          <t>LN200523</t>
        </is>
      </c>
      <c r="C3652" t="n">
        <v>12</v>
      </c>
      <c r="D3652" s="8" t="n">
        <v>46314</v>
      </c>
      <c r="E3652" s="9" t="n">
        <v>78631.39</v>
      </c>
      <c r="F3652" s="8" t="n"/>
      <c r="G3652" s="9" t="n">
        <v>0</v>
      </c>
      <c r="H3652" t="inlineStr">
        <is>
          <t>NOT_DUE</t>
        </is>
      </c>
      <c r="I3652">
        <f>IF(H3652="UNPAID", AsOfDate-D3652, 0)</f>
        <v/>
      </c>
      <c r="J3652">
        <f>IF(F3652&lt;&gt;"", TEXT(F3652, "yyyy-mm"), "")</f>
        <v/>
      </c>
    </row>
    <row r="3653">
      <c r="A3653" t="inlineStr">
        <is>
          <t>RP0003652</t>
        </is>
      </c>
      <c r="B3653" t="inlineStr">
        <is>
          <t>LN200523</t>
        </is>
      </c>
      <c r="C3653" t="n">
        <v>13</v>
      </c>
      <c r="D3653" s="8" t="n">
        <v>46345</v>
      </c>
      <c r="E3653" s="9" t="n">
        <v>78631.39</v>
      </c>
      <c r="F3653" s="8" t="n"/>
      <c r="G3653" s="9" t="n">
        <v>0</v>
      </c>
      <c r="H3653" t="inlineStr">
        <is>
          <t>NOT_DUE</t>
        </is>
      </c>
      <c r="I3653">
        <f>IF(H3653="UNPAID", AsOfDate-D3653, 0)</f>
        <v/>
      </c>
      <c r="J3653">
        <f>IF(F3653&lt;&gt;"", TEXT(F3653, "yyyy-mm"), "")</f>
        <v/>
      </c>
    </row>
    <row r="3654">
      <c r="A3654" t="inlineStr">
        <is>
          <t>RP0003653</t>
        </is>
      </c>
      <c r="B3654" t="inlineStr">
        <is>
          <t>LN200523</t>
        </is>
      </c>
      <c r="C3654" t="n">
        <v>14</v>
      </c>
      <c r="D3654" s="8" t="n">
        <v>46375</v>
      </c>
      <c r="E3654" s="9" t="n">
        <v>78631.39</v>
      </c>
      <c r="F3654" s="8" t="n"/>
      <c r="G3654" s="9" t="n">
        <v>0</v>
      </c>
      <c r="H3654" t="inlineStr">
        <is>
          <t>NOT_DUE</t>
        </is>
      </c>
      <c r="I3654">
        <f>IF(H3654="UNPAID", AsOfDate-D3654, 0)</f>
        <v/>
      </c>
      <c r="J3654">
        <f>IF(F3654&lt;&gt;"", TEXT(F3654, "yyyy-mm"), "")</f>
        <v/>
      </c>
    </row>
    <row r="3655">
      <c r="A3655" t="inlineStr">
        <is>
          <t>RP0003654</t>
        </is>
      </c>
      <c r="B3655" t="inlineStr">
        <is>
          <t>LN200523</t>
        </is>
      </c>
      <c r="C3655" t="n">
        <v>15</v>
      </c>
      <c r="D3655" s="8" t="n">
        <v>46406</v>
      </c>
      <c r="E3655" s="9" t="n">
        <v>78631.39</v>
      </c>
      <c r="F3655" s="8" t="n"/>
      <c r="G3655" s="9" t="n">
        <v>0</v>
      </c>
      <c r="H3655" t="inlineStr">
        <is>
          <t>NOT_DUE</t>
        </is>
      </c>
      <c r="I3655">
        <f>IF(H3655="UNPAID", AsOfDate-D3655, 0)</f>
        <v/>
      </c>
      <c r="J3655">
        <f>IF(F3655&lt;&gt;"", TEXT(F3655, "yyyy-mm"), "")</f>
        <v/>
      </c>
    </row>
    <row r="3656">
      <c r="A3656" t="inlineStr">
        <is>
          <t>RP0003655</t>
        </is>
      </c>
      <c r="B3656" t="inlineStr">
        <is>
          <t>LN200523</t>
        </is>
      </c>
      <c r="C3656" t="n">
        <v>16</v>
      </c>
      <c r="D3656" s="8" t="n">
        <v>46437</v>
      </c>
      <c r="E3656" s="9" t="n">
        <v>78631.39</v>
      </c>
      <c r="F3656" s="8" t="n"/>
      <c r="G3656" s="9" t="n">
        <v>0</v>
      </c>
      <c r="H3656" t="inlineStr">
        <is>
          <t>NOT_DUE</t>
        </is>
      </c>
      <c r="I3656">
        <f>IF(H3656="UNPAID", AsOfDate-D3656, 0)</f>
        <v/>
      </c>
      <c r="J3656">
        <f>IF(F3656&lt;&gt;"", TEXT(F3656, "yyyy-mm"), "")</f>
        <v/>
      </c>
    </row>
    <row r="3657">
      <c r="A3657" t="inlineStr">
        <is>
          <t>RP0003656</t>
        </is>
      </c>
      <c r="B3657" t="inlineStr">
        <is>
          <t>LN200523</t>
        </is>
      </c>
      <c r="C3657" t="n">
        <v>17</v>
      </c>
      <c r="D3657" s="8" t="n">
        <v>46465</v>
      </c>
      <c r="E3657" s="9" t="n">
        <v>78631.39</v>
      </c>
      <c r="F3657" s="8" t="n"/>
      <c r="G3657" s="9" t="n">
        <v>0</v>
      </c>
      <c r="H3657" t="inlineStr">
        <is>
          <t>NOT_DUE</t>
        </is>
      </c>
      <c r="I3657">
        <f>IF(H3657="UNPAID", AsOfDate-D3657, 0)</f>
        <v/>
      </c>
      <c r="J3657">
        <f>IF(F3657&lt;&gt;"", TEXT(F3657, "yyyy-mm"), "")</f>
        <v/>
      </c>
    </row>
    <row r="3658">
      <c r="A3658" t="inlineStr">
        <is>
          <t>RP0003657</t>
        </is>
      </c>
      <c r="B3658" t="inlineStr">
        <is>
          <t>LN200523</t>
        </is>
      </c>
      <c r="C3658" t="n">
        <v>18</v>
      </c>
      <c r="D3658" s="8" t="n">
        <v>46496</v>
      </c>
      <c r="E3658" s="9" t="n">
        <v>78631.39</v>
      </c>
      <c r="F3658" s="8" t="n"/>
      <c r="G3658" s="9" t="n">
        <v>0</v>
      </c>
      <c r="H3658" t="inlineStr">
        <is>
          <t>NOT_DUE</t>
        </is>
      </c>
      <c r="I3658">
        <f>IF(H3658="UNPAID", AsOfDate-D3658, 0)</f>
        <v/>
      </c>
      <c r="J3658">
        <f>IF(F3658&lt;&gt;"", TEXT(F3658, "yyyy-mm"), "")</f>
        <v/>
      </c>
    </row>
    <row r="3659">
      <c r="A3659" t="inlineStr">
        <is>
          <t>RP0003658</t>
        </is>
      </c>
      <c r="B3659" t="inlineStr">
        <is>
          <t>LN200524</t>
        </is>
      </c>
      <c r="C3659" t="n">
        <v>1</v>
      </c>
      <c r="D3659" s="8" t="n">
        <v>46249</v>
      </c>
      <c r="E3659" s="9" t="n">
        <v>133353.61</v>
      </c>
      <c r="F3659" s="8" t="n">
        <v>46251</v>
      </c>
      <c r="G3659" s="9" t="n">
        <v>133353.61</v>
      </c>
      <c r="H3659" t="inlineStr">
        <is>
          <t>PAID_ON_TIME</t>
        </is>
      </c>
      <c r="I3659">
        <f>IF(H3659="UNPAID", AsOfDate-D3659, 0)</f>
        <v/>
      </c>
      <c r="J3659">
        <f>IF(F3659&lt;&gt;"", TEXT(F3659, "yyyy-mm"), "")</f>
        <v/>
      </c>
    </row>
    <row r="3660">
      <c r="A3660" t="inlineStr">
        <is>
          <t>RP0003659</t>
        </is>
      </c>
      <c r="B3660" t="inlineStr">
        <is>
          <t>LN200524</t>
        </is>
      </c>
      <c r="C3660" t="n">
        <v>2</v>
      </c>
      <c r="D3660" s="8" t="n">
        <v>46280</v>
      </c>
      <c r="E3660" s="9" t="n">
        <v>133353.61</v>
      </c>
      <c r="F3660" s="8" t="n"/>
      <c r="G3660" s="9" t="n">
        <v>0</v>
      </c>
      <c r="H3660" t="inlineStr">
        <is>
          <t>NOT_DUE</t>
        </is>
      </c>
      <c r="I3660">
        <f>IF(H3660="UNPAID", AsOfDate-D3660, 0)</f>
        <v/>
      </c>
      <c r="J3660">
        <f>IF(F3660&lt;&gt;"", TEXT(F3660, "yyyy-mm"), "")</f>
        <v/>
      </c>
    </row>
    <row r="3661">
      <c r="A3661" t="inlineStr">
        <is>
          <t>RP0003660</t>
        </is>
      </c>
      <c r="B3661" t="inlineStr">
        <is>
          <t>LN200524</t>
        </is>
      </c>
      <c r="C3661" t="n">
        <v>3</v>
      </c>
      <c r="D3661" s="8" t="n">
        <v>46310</v>
      </c>
      <c r="E3661" s="9" t="n">
        <v>133353.61</v>
      </c>
      <c r="F3661" s="8" t="n"/>
      <c r="G3661" s="9" t="n">
        <v>0</v>
      </c>
      <c r="H3661" t="inlineStr">
        <is>
          <t>NOT_DUE</t>
        </is>
      </c>
      <c r="I3661">
        <f>IF(H3661="UNPAID", AsOfDate-D3661, 0)</f>
        <v/>
      </c>
      <c r="J3661">
        <f>IF(F3661&lt;&gt;"", TEXT(F3661, "yyyy-mm"), "")</f>
        <v/>
      </c>
    </row>
    <row r="3662">
      <c r="A3662" t="inlineStr">
        <is>
          <t>RP0003661</t>
        </is>
      </c>
      <c r="B3662" t="inlineStr">
        <is>
          <t>LN200524</t>
        </is>
      </c>
      <c r="C3662" t="n">
        <v>4</v>
      </c>
      <c r="D3662" s="8" t="n">
        <v>46341</v>
      </c>
      <c r="E3662" s="9" t="n">
        <v>133353.61</v>
      </c>
      <c r="F3662" s="8" t="n"/>
      <c r="G3662" s="9" t="n">
        <v>0</v>
      </c>
      <c r="H3662" t="inlineStr">
        <is>
          <t>NOT_DUE</t>
        </is>
      </c>
      <c r="I3662">
        <f>IF(H3662="UNPAID", AsOfDate-D3662, 0)</f>
        <v/>
      </c>
      <c r="J3662">
        <f>IF(F3662&lt;&gt;"", TEXT(F3662, "yyyy-mm"), "")</f>
        <v/>
      </c>
    </row>
    <row r="3663">
      <c r="A3663" t="inlineStr">
        <is>
          <t>RP0003662</t>
        </is>
      </c>
      <c r="B3663" t="inlineStr">
        <is>
          <t>LN200524</t>
        </is>
      </c>
      <c r="C3663" t="n">
        <v>5</v>
      </c>
      <c r="D3663" s="8" t="n">
        <v>46371</v>
      </c>
      <c r="E3663" s="9" t="n">
        <v>133353.61</v>
      </c>
      <c r="F3663" s="8" t="n"/>
      <c r="G3663" s="9" t="n">
        <v>0</v>
      </c>
      <c r="H3663" t="inlineStr">
        <is>
          <t>NOT_DUE</t>
        </is>
      </c>
      <c r="I3663">
        <f>IF(H3663="UNPAID", AsOfDate-D3663, 0)</f>
        <v/>
      </c>
      <c r="J3663">
        <f>IF(F3663&lt;&gt;"", TEXT(F3663, "yyyy-mm"), "")</f>
        <v/>
      </c>
    </row>
    <row r="3664">
      <c r="A3664" t="inlineStr">
        <is>
          <t>RP0003663</t>
        </is>
      </c>
      <c r="B3664" t="inlineStr">
        <is>
          <t>LN200524</t>
        </is>
      </c>
      <c r="C3664" t="n">
        <v>6</v>
      </c>
      <c r="D3664" s="8" t="n">
        <v>46402</v>
      </c>
      <c r="E3664" s="9" t="n">
        <v>133353.61</v>
      </c>
      <c r="F3664" s="8" t="n"/>
      <c r="G3664" s="9" t="n">
        <v>0</v>
      </c>
      <c r="H3664" t="inlineStr">
        <is>
          <t>NOT_DUE</t>
        </is>
      </c>
      <c r="I3664">
        <f>IF(H3664="UNPAID", AsOfDate-D3664, 0)</f>
        <v/>
      </c>
      <c r="J3664">
        <f>IF(F3664&lt;&gt;"", TEXT(F3664, "yyyy-mm"), "")</f>
        <v/>
      </c>
    </row>
    <row r="3665">
      <c r="A3665" t="inlineStr">
        <is>
          <t>RP0003664</t>
        </is>
      </c>
      <c r="B3665" t="inlineStr">
        <is>
          <t>LN200524</t>
        </is>
      </c>
      <c r="C3665" t="n">
        <v>7</v>
      </c>
      <c r="D3665" s="8" t="n">
        <v>46433</v>
      </c>
      <c r="E3665" s="9" t="n">
        <v>133353.61</v>
      </c>
      <c r="F3665" s="8" t="n"/>
      <c r="G3665" s="9" t="n">
        <v>0</v>
      </c>
      <c r="H3665" t="inlineStr">
        <is>
          <t>NOT_DUE</t>
        </is>
      </c>
      <c r="I3665">
        <f>IF(H3665="UNPAID", AsOfDate-D3665, 0)</f>
        <v/>
      </c>
      <c r="J3665">
        <f>IF(F3665&lt;&gt;"", TEXT(F3665, "yyyy-mm"), "")</f>
        <v/>
      </c>
    </row>
    <row r="3666">
      <c r="A3666" t="inlineStr">
        <is>
          <t>RP0003665</t>
        </is>
      </c>
      <c r="B3666" t="inlineStr">
        <is>
          <t>LN200524</t>
        </is>
      </c>
      <c r="C3666" t="n">
        <v>8</v>
      </c>
      <c r="D3666" s="8" t="n">
        <v>46461</v>
      </c>
      <c r="E3666" s="9" t="n">
        <v>133353.61</v>
      </c>
      <c r="F3666" s="8" t="n"/>
      <c r="G3666" s="9" t="n">
        <v>0</v>
      </c>
      <c r="H3666" t="inlineStr">
        <is>
          <t>NOT_DUE</t>
        </is>
      </c>
      <c r="I3666">
        <f>IF(H3666="UNPAID", AsOfDate-D3666, 0)</f>
        <v/>
      </c>
      <c r="J3666">
        <f>IF(F3666&lt;&gt;"", TEXT(F3666, "yyyy-mm"), "")</f>
        <v/>
      </c>
    </row>
    <row r="3667">
      <c r="A3667" t="inlineStr">
        <is>
          <t>RP0003666</t>
        </is>
      </c>
      <c r="B3667" t="inlineStr">
        <is>
          <t>LN200524</t>
        </is>
      </c>
      <c r="C3667" t="n">
        <v>9</v>
      </c>
      <c r="D3667" s="8" t="n">
        <v>46492</v>
      </c>
      <c r="E3667" s="9" t="n">
        <v>133353.61</v>
      </c>
      <c r="F3667" s="8" t="n"/>
      <c r="G3667" s="9" t="n">
        <v>0</v>
      </c>
      <c r="H3667" t="inlineStr">
        <is>
          <t>NOT_DUE</t>
        </is>
      </c>
      <c r="I3667">
        <f>IF(H3667="UNPAID", AsOfDate-D3667, 0)</f>
        <v/>
      </c>
      <c r="J3667">
        <f>IF(F3667&lt;&gt;"", TEXT(F3667, "yyyy-mm"), "")</f>
        <v/>
      </c>
    </row>
    <row r="3668">
      <c r="A3668" t="inlineStr">
        <is>
          <t>RP0003667</t>
        </is>
      </c>
      <c r="B3668" t="inlineStr">
        <is>
          <t>LN200526</t>
        </is>
      </c>
      <c r="C3668" t="n">
        <v>1</v>
      </c>
      <c r="D3668" s="8" t="n">
        <v>46083</v>
      </c>
      <c r="E3668" s="9" t="n">
        <v>31826.67</v>
      </c>
      <c r="F3668" s="8" t="n">
        <v>46087</v>
      </c>
      <c r="G3668" s="9" t="n">
        <v>31826.67</v>
      </c>
      <c r="H3668" t="inlineStr">
        <is>
          <t>PAID_ON_TIME</t>
        </is>
      </c>
      <c r="I3668">
        <f>IF(H3668="UNPAID", AsOfDate-D3668, 0)</f>
        <v/>
      </c>
      <c r="J3668">
        <f>IF(F3668&lt;&gt;"", TEXT(F3668, "yyyy-mm"), "")</f>
        <v/>
      </c>
    </row>
    <row r="3669">
      <c r="A3669" t="inlineStr">
        <is>
          <t>RP0003668</t>
        </is>
      </c>
      <c r="B3669" t="inlineStr">
        <is>
          <t>LN200526</t>
        </is>
      </c>
      <c r="C3669" t="n">
        <v>2</v>
      </c>
      <c r="D3669" s="8" t="n">
        <v>46114</v>
      </c>
      <c r="E3669" s="9" t="n">
        <v>31826.67</v>
      </c>
      <c r="F3669" s="8" t="n">
        <v>46158</v>
      </c>
      <c r="G3669" s="9" t="n">
        <v>31826.67</v>
      </c>
      <c r="H3669" t="inlineStr">
        <is>
          <t>PAID_LATE</t>
        </is>
      </c>
      <c r="I3669">
        <f>IF(H3669="UNPAID", AsOfDate-D3669, 0)</f>
        <v/>
      </c>
      <c r="J3669">
        <f>IF(F3669&lt;&gt;"", TEXT(F3669, "yyyy-mm"), "")</f>
        <v/>
      </c>
    </row>
    <row r="3670">
      <c r="A3670" t="inlineStr">
        <is>
          <t>RP0003669</t>
        </is>
      </c>
      <c r="B3670" t="inlineStr">
        <is>
          <t>LN200526</t>
        </is>
      </c>
      <c r="C3670" t="n">
        <v>3</v>
      </c>
      <c r="D3670" s="8" t="n">
        <v>46144</v>
      </c>
      <c r="E3670" s="9" t="n">
        <v>31826.67</v>
      </c>
      <c r="F3670" s="8" t="n">
        <v>46144</v>
      </c>
      <c r="G3670" s="9" t="n">
        <v>31826.67</v>
      </c>
      <c r="H3670" t="inlineStr">
        <is>
          <t>PAID_ON_TIME</t>
        </is>
      </c>
      <c r="I3670">
        <f>IF(H3670="UNPAID", AsOfDate-D3670, 0)</f>
        <v/>
      </c>
      <c r="J3670">
        <f>IF(F3670&lt;&gt;"", TEXT(F3670, "yyyy-mm"), "")</f>
        <v/>
      </c>
    </row>
    <row r="3671">
      <c r="A3671" t="inlineStr">
        <is>
          <t>RP0003670</t>
        </is>
      </c>
      <c r="B3671" t="inlineStr">
        <is>
          <t>LN200526</t>
        </is>
      </c>
      <c r="C3671" t="n">
        <v>4</v>
      </c>
      <c r="D3671" s="8" t="n">
        <v>46175</v>
      </c>
      <c r="E3671" s="9" t="n">
        <v>31826.67</v>
      </c>
      <c r="F3671" s="8" t="n">
        <v>46179</v>
      </c>
      <c r="G3671" s="9" t="n">
        <v>31826.67</v>
      </c>
      <c r="H3671" t="inlineStr">
        <is>
          <t>PAID_ON_TIME</t>
        </is>
      </c>
      <c r="I3671">
        <f>IF(H3671="UNPAID", AsOfDate-D3671, 0)</f>
        <v/>
      </c>
      <c r="J3671">
        <f>IF(F3671&lt;&gt;"", TEXT(F3671, "yyyy-mm"), "")</f>
        <v/>
      </c>
    </row>
    <row r="3672">
      <c r="A3672" t="inlineStr">
        <is>
          <t>RP0003671</t>
        </is>
      </c>
      <c r="B3672" t="inlineStr">
        <is>
          <t>LN200526</t>
        </is>
      </c>
      <c r="C3672" t="n">
        <v>5</v>
      </c>
      <c r="D3672" s="8" t="n">
        <v>46205</v>
      </c>
      <c r="E3672" s="9" t="n">
        <v>31826.67</v>
      </c>
      <c r="F3672" s="8" t="n">
        <v>46205</v>
      </c>
      <c r="G3672" s="9" t="n">
        <v>31826.67</v>
      </c>
      <c r="H3672" t="inlineStr">
        <is>
          <t>PAID_ON_TIME</t>
        </is>
      </c>
      <c r="I3672">
        <f>IF(H3672="UNPAID", AsOfDate-D3672, 0)</f>
        <v/>
      </c>
      <c r="J3672">
        <f>IF(F3672&lt;&gt;"", TEXT(F3672, "yyyy-mm"), "")</f>
        <v/>
      </c>
    </row>
    <row r="3673">
      <c r="A3673" t="inlineStr">
        <is>
          <t>RP0003672</t>
        </is>
      </c>
      <c r="B3673" t="inlineStr">
        <is>
          <t>LN200526</t>
        </is>
      </c>
      <c r="C3673" t="n">
        <v>6</v>
      </c>
      <c r="D3673" s="8" t="n">
        <v>46236</v>
      </c>
      <c r="E3673" s="9" t="n">
        <v>31826.67</v>
      </c>
      <c r="F3673" s="8" t="n"/>
      <c r="G3673" s="9" t="n">
        <v>0</v>
      </c>
      <c r="H3673" t="inlineStr">
        <is>
          <t>UNPAID</t>
        </is>
      </c>
      <c r="I3673">
        <f>IF(H3673="UNPAID", AsOfDate-D3673, 0)</f>
        <v/>
      </c>
      <c r="J3673">
        <f>IF(F3673&lt;&gt;"", TEXT(F3673, "yyyy-mm"), "")</f>
        <v/>
      </c>
    </row>
    <row r="3674">
      <c r="A3674" t="inlineStr">
        <is>
          <t>RP0003673</t>
        </is>
      </c>
      <c r="B3674" t="inlineStr">
        <is>
          <t>LN200527</t>
        </is>
      </c>
      <c r="C3674" t="n">
        <v>1</v>
      </c>
      <c r="D3674" s="8" t="n">
        <v>45913</v>
      </c>
      <c r="E3674" s="9" t="n">
        <v>19768.25</v>
      </c>
      <c r="F3674" s="8" t="n">
        <v>45915</v>
      </c>
      <c r="G3674" s="9" t="n">
        <v>19768.25</v>
      </c>
      <c r="H3674" t="inlineStr">
        <is>
          <t>PAID_ON_TIME</t>
        </is>
      </c>
      <c r="I3674">
        <f>IF(H3674="UNPAID", AsOfDate-D3674, 0)</f>
        <v/>
      </c>
      <c r="J3674">
        <f>IF(F3674&lt;&gt;"", TEXT(F3674, "yyyy-mm"), "")</f>
        <v/>
      </c>
    </row>
    <row r="3675">
      <c r="A3675" t="inlineStr">
        <is>
          <t>RP0003674</t>
        </is>
      </c>
      <c r="B3675" t="inlineStr">
        <is>
          <t>LN200527</t>
        </is>
      </c>
      <c r="C3675" t="n">
        <v>2</v>
      </c>
      <c r="D3675" s="8" t="n">
        <v>45943</v>
      </c>
      <c r="E3675" s="9" t="n">
        <v>19768.25</v>
      </c>
      <c r="F3675" s="8" t="n">
        <v>45944</v>
      </c>
      <c r="G3675" s="9" t="n">
        <v>19768.25</v>
      </c>
      <c r="H3675" t="inlineStr">
        <is>
          <t>PAID_LATE</t>
        </is>
      </c>
      <c r="I3675">
        <f>IF(H3675="UNPAID", AsOfDate-D3675, 0)</f>
        <v/>
      </c>
      <c r="J3675">
        <f>IF(F3675&lt;&gt;"", TEXT(F3675, "yyyy-mm"), "")</f>
        <v/>
      </c>
    </row>
    <row r="3676">
      <c r="A3676" t="inlineStr">
        <is>
          <t>RP0003675</t>
        </is>
      </c>
      <c r="B3676" t="inlineStr">
        <is>
          <t>LN200527</t>
        </is>
      </c>
      <c r="C3676" t="n">
        <v>3</v>
      </c>
      <c r="D3676" s="8" t="n">
        <v>45974</v>
      </c>
      <c r="E3676" s="9" t="n">
        <v>19768.25</v>
      </c>
      <c r="F3676" s="8" t="n">
        <v>45974</v>
      </c>
      <c r="G3676" s="9" t="n">
        <v>19768.25</v>
      </c>
      <c r="H3676" t="inlineStr">
        <is>
          <t>PAID_ON_TIME</t>
        </is>
      </c>
      <c r="I3676">
        <f>IF(H3676="UNPAID", AsOfDate-D3676, 0)</f>
        <v/>
      </c>
      <c r="J3676">
        <f>IF(F3676&lt;&gt;"", TEXT(F3676, "yyyy-mm"), "")</f>
        <v/>
      </c>
    </row>
    <row r="3677">
      <c r="A3677" t="inlineStr">
        <is>
          <t>RP0003676</t>
        </is>
      </c>
      <c r="B3677" t="inlineStr">
        <is>
          <t>LN200527</t>
        </is>
      </c>
      <c r="C3677" t="n">
        <v>4</v>
      </c>
      <c r="D3677" s="8" t="n">
        <v>46004</v>
      </c>
      <c r="E3677" s="9" t="n">
        <v>19768.25</v>
      </c>
      <c r="F3677" s="8" t="n">
        <v>46005</v>
      </c>
      <c r="G3677" s="9" t="n">
        <v>19768.25</v>
      </c>
      <c r="H3677" t="inlineStr">
        <is>
          <t>PAID_ON_TIME</t>
        </is>
      </c>
      <c r="I3677">
        <f>IF(H3677="UNPAID", AsOfDate-D3677, 0)</f>
        <v/>
      </c>
      <c r="J3677">
        <f>IF(F3677&lt;&gt;"", TEXT(F3677, "yyyy-mm"), "")</f>
        <v/>
      </c>
    </row>
    <row r="3678">
      <c r="A3678" t="inlineStr">
        <is>
          <t>RP0003677</t>
        </is>
      </c>
      <c r="B3678" t="inlineStr">
        <is>
          <t>LN200527</t>
        </is>
      </c>
      <c r="C3678" t="n">
        <v>5</v>
      </c>
      <c r="D3678" s="8" t="n">
        <v>46035</v>
      </c>
      <c r="E3678" s="9" t="n">
        <v>19768.25</v>
      </c>
      <c r="F3678" s="8" t="n"/>
      <c r="G3678" s="9" t="n">
        <v>0</v>
      </c>
      <c r="H3678" t="inlineStr">
        <is>
          <t>UNPAID</t>
        </is>
      </c>
      <c r="I3678">
        <f>IF(H3678="UNPAID", AsOfDate-D3678, 0)</f>
        <v/>
      </c>
      <c r="J3678">
        <f>IF(F3678&lt;&gt;"", TEXT(F3678, "yyyy-mm"), "")</f>
        <v/>
      </c>
    </row>
    <row r="3679">
      <c r="A3679" t="inlineStr">
        <is>
          <t>RP0003678</t>
        </is>
      </c>
      <c r="B3679" t="inlineStr">
        <is>
          <t>LN200527</t>
        </is>
      </c>
      <c r="C3679" t="n">
        <v>6</v>
      </c>
      <c r="D3679" s="8" t="n">
        <v>46066</v>
      </c>
      <c r="E3679" s="9" t="n">
        <v>19768.25</v>
      </c>
      <c r="F3679" s="8" t="n">
        <v>46064</v>
      </c>
      <c r="G3679" s="9" t="n">
        <v>19768.25</v>
      </c>
      <c r="H3679" t="inlineStr">
        <is>
          <t>PAID_ON_TIME</t>
        </is>
      </c>
      <c r="I3679">
        <f>IF(H3679="UNPAID", AsOfDate-D3679, 0)</f>
        <v/>
      </c>
      <c r="J3679">
        <f>IF(F3679&lt;&gt;"", TEXT(F3679, "yyyy-mm"), "")</f>
        <v/>
      </c>
    </row>
    <row r="3680">
      <c r="A3680" t="inlineStr">
        <is>
          <t>RP0003679</t>
        </is>
      </c>
      <c r="B3680" t="inlineStr">
        <is>
          <t>LN200528</t>
        </is>
      </c>
      <c r="C3680" t="n">
        <v>1</v>
      </c>
      <c r="D3680" s="8" t="n">
        <v>46020</v>
      </c>
      <c r="E3680" s="9" t="n">
        <v>10275</v>
      </c>
      <c r="F3680" s="8" t="n">
        <v>46018</v>
      </c>
      <c r="G3680" s="9" t="n">
        <v>10275</v>
      </c>
      <c r="H3680" t="inlineStr">
        <is>
          <t>PAID_ON_TIME</t>
        </is>
      </c>
      <c r="I3680">
        <f>IF(H3680="UNPAID", AsOfDate-D3680, 0)</f>
        <v/>
      </c>
      <c r="J3680">
        <f>IF(F3680&lt;&gt;"", TEXT(F3680, "yyyy-mm"), "")</f>
        <v/>
      </c>
    </row>
    <row r="3681">
      <c r="A3681" t="inlineStr">
        <is>
          <t>RP0003680</t>
        </is>
      </c>
      <c r="B3681" t="inlineStr">
        <is>
          <t>LN200528</t>
        </is>
      </c>
      <c r="C3681" t="n">
        <v>2</v>
      </c>
      <c r="D3681" s="8" t="n">
        <v>46051</v>
      </c>
      <c r="E3681" s="9" t="n">
        <v>10275</v>
      </c>
      <c r="F3681" s="8" t="n">
        <v>46054</v>
      </c>
      <c r="G3681" s="9" t="n">
        <v>10275</v>
      </c>
      <c r="H3681" t="inlineStr">
        <is>
          <t>PAID_ON_TIME</t>
        </is>
      </c>
      <c r="I3681">
        <f>IF(H3681="UNPAID", AsOfDate-D3681, 0)</f>
        <v/>
      </c>
      <c r="J3681">
        <f>IF(F3681&lt;&gt;"", TEXT(F3681, "yyyy-mm"), "")</f>
        <v/>
      </c>
    </row>
    <row r="3682">
      <c r="A3682" t="inlineStr">
        <is>
          <t>RP0003681</t>
        </is>
      </c>
      <c r="B3682" t="inlineStr">
        <is>
          <t>LN200528</t>
        </is>
      </c>
      <c r="C3682" t="n">
        <v>3</v>
      </c>
      <c r="D3682" s="8" t="n">
        <v>46081</v>
      </c>
      <c r="E3682" s="9" t="n">
        <v>10275</v>
      </c>
      <c r="F3682" s="8" t="n">
        <v>46082</v>
      </c>
      <c r="G3682" s="9" t="n">
        <v>10275</v>
      </c>
      <c r="H3682" t="inlineStr">
        <is>
          <t>PAID_ON_TIME</t>
        </is>
      </c>
      <c r="I3682">
        <f>IF(H3682="UNPAID", AsOfDate-D3682, 0)</f>
        <v/>
      </c>
      <c r="J3682">
        <f>IF(F3682&lt;&gt;"", TEXT(F3682, "yyyy-mm"), "")</f>
        <v/>
      </c>
    </row>
    <row r="3683">
      <c r="A3683" t="inlineStr">
        <is>
          <t>RP0003682</t>
        </is>
      </c>
      <c r="B3683" t="inlineStr">
        <is>
          <t>LN200528</t>
        </is>
      </c>
      <c r="C3683" t="n">
        <v>4</v>
      </c>
      <c r="D3683" s="8" t="n">
        <v>46110</v>
      </c>
      <c r="E3683" s="9" t="n">
        <v>10275</v>
      </c>
      <c r="F3683" s="8" t="n">
        <v>46111</v>
      </c>
      <c r="G3683" s="9" t="n">
        <v>10275</v>
      </c>
      <c r="H3683" t="inlineStr">
        <is>
          <t>PAID_ON_TIME</t>
        </is>
      </c>
      <c r="I3683">
        <f>IF(H3683="UNPAID", AsOfDate-D3683, 0)</f>
        <v/>
      </c>
      <c r="J3683">
        <f>IF(F3683&lt;&gt;"", TEXT(F3683, "yyyy-mm"), "")</f>
        <v/>
      </c>
    </row>
    <row r="3684">
      <c r="A3684" t="inlineStr">
        <is>
          <t>RP0003683</t>
        </is>
      </c>
      <c r="B3684" t="inlineStr">
        <is>
          <t>LN200528</t>
        </is>
      </c>
      <c r="C3684" t="n">
        <v>5</v>
      </c>
      <c r="D3684" s="8" t="n">
        <v>46141</v>
      </c>
      <c r="E3684" s="9" t="n">
        <v>10275</v>
      </c>
      <c r="F3684" s="8" t="n">
        <v>46142</v>
      </c>
      <c r="G3684" s="9" t="n">
        <v>10275</v>
      </c>
      <c r="H3684" t="inlineStr">
        <is>
          <t>PAID_ON_TIME</t>
        </is>
      </c>
      <c r="I3684">
        <f>IF(H3684="UNPAID", AsOfDate-D3684, 0)</f>
        <v/>
      </c>
      <c r="J3684">
        <f>IF(F3684&lt;&gt;"", TEXT(F3684, "yyyy-mm"), "")</f>
        <v/>
      </c>
    </row>
    <row r="3685">
      <c r="A3685" t="inlineStr">
        <is>
          <t>RP0003684</t>
        </is>
      </c>
      <c r="B3685" t="inlineStr">
        <is>
          <t>LN200528</t>
        </is>
      </c>
      <c r="C3685" t="n">
        <v>6</v>
      </c>
      <c r="D3685" s="8" t="n">
        <v>46171</v>
      </c>
      <c r="E3685" s="9" t="n">
        <v>10275</v>
      </c>
      <c r="F3685" s="8" t="n">
        <v>46169</v>
      </c>
      <c r="G3685" s="9" t="n">
        <v>10275</v>
      </c>
      <c r="H3685" t="inlineStr">
        <is>
          <t>PAID_ON_TIME</t>
        </is>
      </c>
      <c r="I3685">
        <f>IF(H3685="UNPAID", AsOfDate-D3685, 0)</f>
        <v/>
      </c>
      <c r="J3685">
        <f>IF(F3685&lt;&gt;"", TEXT(F3685, "yyyy-mm"), "")</f>
        <v/>
      </c>
    </row>
    <row r="3686">
      <c r="A3686" t="inlineStr">
        <is>
          <t>RP0003685</t>
        </is>
      </c>
      <c r="B3686" t="inlineStr">
        <is>
          <t>LN200528</t>
        </is>
      </c>
      <c r="C3686" t="n">
        <v>7</v>
      </c>
      <c r="D3686" s="8" t="n">
        <v>46202</v>
      </c>
      <c r="E3686" s="9" t="n">
        <v>10275</v>
      </c>
      <c r="F3686" s="8" t="n">
        <v>46202</v>
      </c>
      <c r="G3686" s="9" t="n">
        <v>10275</v>
      </c>
      <c r="H3686" t="inlineStr">
        <is>
          <t>PAID_ON_TIME</t>
        </is>
      </c>
      <c r="I3686">
        <f>IF(H3686="UNPAID", AsOfDate-D3686, 0)</f>
        <v/>
      </c>
      <c r="J3686">
        <f>IF(F3686&lt;&gt;"", TEXT(F3686, "yyyy-mm"), "")</f>
        <v/>
      </c>
    </row>
    <row r="3687">
      <c r="A3687" t="inlineStr">
        <is>
          <t>RP0003686</t>
        </is>
      </c>
      <c r="B3687" t="inlineStr">
        <is>
          <t>LN200528</t>
        </is>
      </c>
      <c r="C3687" t="n">
        <v>8</v>
      </c>
      <c r="D3687" s="8" t="n">
        <v>46232</v>
      </c>
      <c r="E3687" s="9" t="n">
        <v>10275</v>
      </c>
      <c r="F3687" s="8" t="n">
        <v>46236</v>
      </c>
      <c r="G3687" s="9" t="n">
        <v>10275</v>
      </c>
      <c r="H3687" t="inlineStr">
        <is>
          <t>PAID_ON_TIME</t>
        </is>
      </c>
      <c r="I3687">
        <f>IF(H3687="UNPAID", AsOfDate-D3687, 0)</f>
        <v/>
      </c>
      <c r="J3687">
        <f>IF(F3687&lt;&gt;"", TEXT(F3687, "yyyy-mm"), "")</f>
        <v/>
      </c>
    </row>
    <row r="3688">
      <c r="A3688" t="inlineStr">
        <is>
          <t>RP0003687</t>
        </is>
      </c>
      <c r="B3688" t="inlineStr">
        <is>
          <t>LN200528</t>
        </is>
      </c>
      <c r="C3688" t="n">
        <v>9</v>
      </c>
      <c r="D3688" s="8" t="n">
        <v>46263</v>
      </c>
      <c r="E3688" s="9" t="n">
        <v>10275</v>
      </c>
      <c r="F3688" s="8" t="n">
        <v>46261</v>
      </c>
      <c r="G3688" s="9" t="n">
        <v>10275</v>
      </c>
      <c r="H3688" t="inlineStr">
        <is>
          <t>PAID_ON_TIME</t>
        </is>
      </c>
      <c r="I3688">
        <f>IF(H3688="UNPAID", AsOfDate-D3688, 0)</f>
        <v/>
      </c>
      <c r="J3688">
        <f>IF(F3688&lt;&gt;"", TEXT(F3688, "yyyy-mm"), "")</f>
        <v/>
      </c>
    </row>
    <row r="3689">
      <c r="A3689" t="inlineStr">
        <is>
          <t>RP0003688</t>
        </is>
      </c>
      <c r="B3689" t="inlineStr">
        <is>
          <t>LN200528</t>
        </is>
      </c>
      <c r="C3689" t="n">
        <v>10</v>
      </c>
      <c r="D3689" s="8" t="n">
        <v>46294</v>
      </c>
      <c r="E3689" s="9" t="n">
        <v>10275</v>
      </c>
      <c r="F3689" s="8" t="n"/>
      <c r="G3689" s="9" t="n">
        <v>0</v>
      </c>
      <c r="H3689" t="inlineStr">
        <is>
          <t>NOT_DUE</t>
        </is>
      </c>
      <c r="I3689">
        <f>IF(H3689="UNPAID", AsOfDate-D3689, 0)</f>
        <v/>
      </c>
      <c r="J3689">
        <f>IF(F3689&lt;&gt;"", TEXT(F3689, "yyyy-mm"), "")</f>
        <v/>
      </c>
    </row>
    <row r="3690">
      <c r="A3690" t="inlineStr">
        <is>
          <t>RP0003689</t>
        </is>
      </c>
      <c r="B3690" t="inlineStr">
        <is>
          <t>LN200528</t>
        </is>
      </c>
      <c r="C3690" t="n">
        <v>11</v>
      </c>
      <c r="D3690" s="8" t="n">
        <v>46324</v>
      </c>
      <c r="E3690" s="9" t="n">
        <v>10275</v>
      </c>
      <c r="F3690" s="8" t="n"/>
      <c r="G3690" s="9" t="n">
        <v>0</v>
      </c>
      <c r="H3690" t="inlineStr">
        <is>
          <t>NOT_DUE</t>
        </is>
      </c>
      <c r="I3690">
        <f>IF(H3690="UNPAID", AsOfDate-D3690, 0)</f>
        <v/>
      </c>
      <c r="J3690">
        <f>IF(F3690&lt;&gt;"", TEXT(F3690, "yyyy-mm"), "")</f>
        <v/>
      </c>
    </row>
    <row r="3691">
      <c r="A3691" t="inlineStr">
        <is>
          <t>RP0003690</t>
        </is>
      </c>
      <c r="B3691" t="inlineStr">
        <is>
          <t>LN200528</t>
        </is>
      </c>
      <c r="C3691" t="n">
        <v>12</v>
      </c>
      <c r="D3691" s="8" t="n">
        <v>46355</v>
      </c>
      <c r="E3691" s="9" t="n">
        <v>10275</v>
      </c>
      <c r="F3691" s="8" t="n"/>
      <c r="G3691" s="9" t="n">
        <v>0</v>
      </c>
      <c r="H3691" t="inlineStr">
        <is>
          <t>NOT_DUE</t>
        </is>
      </c>
      <c r="I3691">
        <f>IF(H3691="UNPAID", AsOfDate-D3691, 0)</f>
        <v/>
      </c>
      <c r="J3691">
        <f>IF(F3691&lt;&gt;"", TEXT(F3691, "yyyy-mm"), "")</f>
        <v/>
      </c>
    </row>
    <row r="3692">
      <c r="A3692" t="inlineStr">
        <is>
          <t>RP0003691</t>
        </is>
      </c>
      <c r="B3692" t="inlineStr">
        <is>
          <t>LN200529</t>
        </is>
      </c>
      <c r="C3692" t="n">
        <v>1</v>
      </c>
      <c r="D3692" s="8" t="n">
        <v>45756</v>
      </c>
      <c r="E3692" s="9" t="n">
        <v>1787.33</v>
      </c>
      <c r="F3692" s="8" t="n">
        <v>45755</v>
      </c>
      <c r="G3692" s="9" t="n">
        <v>1787.33</v>
      </c>
      <c r="H3692" t="inlineStr">
        <is>
          <t>PAID_ON_TIME</t>
        </is>
      </c>
      <c r="I3692">
        <f>IF(H3692="UNPAID", AsOfDate-D3692, 0)</f>
        <v/>
      </c>
      <c r="J3692">
        <f>IF(F3692&lt;&gt;"", TEXT(F3692, "yyyy-mm"), "")</f>
        <v/>
      </c>
    </row>
    <row r="3693">
      <c r="A3693" t="inlineStr">
        <is>
          <t>RP0003692</t>
        </is>
      </c>
      <c r="B3693" t="inlineStr">
        <is>
          <t>LN200529</t>
        </is>
      </c>
      <c r="C3693" t="n">
        <v>2</v>
      </c>
      <c r="D3693" s="8" t="n">
        <v>45786</v>
      </c>
      <c r="E3693" s="9" t="n">
        <v>1787.33</v>
      </c>
      <c r="F3693" s="8" t="n">
        <v>45861</v>
      </c>
      <c r="G3693" s="9" t="n">
        <v>1787.33</v>
      </c>
      <c r="H3693" t="inlineStr">
        <is>
          <t>PAID_LATE</t>
        </is>
      </c>
      <c r="I3693">
        <f>IF(H3693="UNPAID", AsOfDate-D3693, 0)</f>
        <v/>
      </c>
      <c r="J3693">
        <f>IF(F3693&lt;&gt;"", TEXT(F3693, "yyyy-mm"), "")</f>
        <v/>
      </c>
    </row>
    <row r="3694">
      <c r="A3694" t="inlineStr">
        <is>
          <t>RP0003693</t>
        </is>
      </c>
      <c r="B3694" t="inlineStr">
        <is>
          <t>LN200529</t>
        </is>
      </c>
      <c r="C3694" t="n">
        <v>3</v>
      </c>
      <c r="D3694" s="8" t="n">
        <v>45817</v>
      </c>
      <c r="E3694" s="9" t="n">
        <v>1787.33</v>
      </c>
      <c r="F3694" s="8" t="n">
        <v>45815</v>
      </c>
      <c r="G3694" s="9" t="n">
        <v>1787.33</v>
      </c>
      <c r="H3694" t="inlineStr">
        <is>
          <t>PAID_ON_TIME</t>
        </is>
      </c>
      <c r="I3694">
        <f>IF(H3694="UNPAID", AsOfDate-D3694, 0)</f>
        <v/>
      </c>
      <c r="J3694">
        <f>IF(F3694&lt;&gt;"", TEXT(F3694, "yyyy-mm"), "")</f>
        <v/>
      </c>
    </row>
    <row r="3695">
      <c r="A3695" t="inlineStr">
        <is>
          <t>RP0003694</t>
        </is>
      </c>
      <c r="B3695" t="inlineStr">
        <is>
          <t>LN200529</t>
        </is>
      </c>
      <c r="C3695" t="n">
        <v>4</v>
      </c>
      <c r="D3695" s="8" t="n">
        <v>45847</v>
      </c>
      <c r="E3695" s="9" t="n">
        <v>1787.33</v>
      </c>
      <c r="F3695" s="8" t="n">
        <v>45846</v>
      </c>
      <c r="G3695" s="9" t="n">
        <v>1787.33</v>
      </c>
      <c r="H3695" t="inlineStr">
        <is>
          <t>PAID_ON_TIME</t>
        </is>
      </c>
      <c r="I3695">
        <f>IF(H3695="UNPAID", AsOfDate-D3695, 0)</f>
        <v/>
      </c>
      <c r="J3695">
        <f>IF(F3695&lt;&gt;"", TEXT(F3695, "yyyy-mm"), "")</f>
        <v/>
      </c>
    </row>
    <row r="3696">
      <c r="A3696" t="inlineStr">
        <is>
          <t>RP0003695</t>
        </is>
      </c>
      <c r="B3696" t="inlineStr">
        <is>
          <t>LN200529</t>
        </is>
      </c>
      <c r="C3696" t="n">
        <v>5</v>
      </c>
      <c r="D3696" s="8" t="n">
        <v>45878</v>
      </c>
      <c r="E3696" s="9" t="n">
        <v>1787.33</v>
      </c>
      <c r="F3696" s="8" t="n">
        <v>45881</v>
      </c>
      <c r="G3696" s="9" t="n">
        <v>1787.33</v>
      </c>
      <c r="H3696" t="inlineStr">
        <is>
          <t>PAID_ON_TIME</t>
        </is>
      </c>
      <c r="I3696">
        <f>IF(H3696="UNPAID", AsOfDate-D3696, 0)</f>
        <v/>
      </c>
      <c r="J3696">
        <f>IF(F3696&lt;&gt;"", TEXT(F3696, "yyyy-mm"), "")</f>
        <v/>
      </c>
    </row>
    <row r="3697">
      <c r="A3697" t="inlineStr">
        <is>
          <t>RP0003696</t>
        </is>
      </c>
      <c r="B3697" t="inlineStr">
        <is>
          <t>LN200529</t>
        </is>
      </c>
      <c r="C3697" t="n">
        <v>6</v>
      </c>
      <c r="D3697" s="8" t="n">
        <v>45909</v>
      </c>
      <c r="E3697" s="9" t="n">
        <v>1787.33</v>
      </c>
      <c r="F3697" s="8" t="n">
        <v>45912</v>
      </c>
      <c r="G3697" s="9" t="n">
        <v>1787.33</v>
      </c>
      <c r="H3697" t="inlineStr">
        <is>
          <t>PAID_ON_TIME</t>
        </is>
      </c>
      <c r="I3697">
        <f>IF(H3697="UNPAID", AsOfDate-D3697, 0)</f>
        <v/>
      </c>
      <c r="J3697">
        <f>IF(F3697&lt;&gt;"", TEXT(F3697, "yyyy-mm"), "")</f>
        <v/>
      </c>
    </row>
    <row r="3698">
      <c r="A3698" t="inlineStr">
        <is>
          <t>RP0003697</t>
        </is>
      </c>
      <c r="B3698" t="inlineStr">
        <is>
          <t>LN200529</t>
        </is>
      </c>
      <c r="C3698" t="n">
        <v>7</v>
      </c>
      <c r="D3698" s="8" t="n">
        <v>45939</v>
      </c>
      <c r="E3698" s="9" t="n">
        <v>1787.33</v>
      </c>
      <c r="F3698" s="8" t="n">
        <v>45941</v>
      </c>
      <c r="G3698" s="9" t="n">
        <v>1787.33</v>
      </c>
      <c r="H3698" t="inlineStr">
        <is>
          <t>PAID_ON_TIME</t>
        </is>
      </c>
      <c r="I3698">
        <f>IF(H3698="UNPAID", AsOfDate-D3698, 0)</f>
        <v/>
      </c>
      <c r="J3698">
        <f>IF(F3698&lt;&gt;"", TEXT(F3698, "yyyy-mm"), "")</f>
        <v/>
      </c>
    </row>
    <row r="3699">
      <c r="A3699" t="inlineStr">
        <is>
          <t>RP0003698</t>
        </is>
      </c>
      <c r="B3699" t="inlineStr">
        <is>
          <t>LN200529</t>
        </is>
      </c>
      <c r="C3699" t="n">
        <v>8</v>
      </c>
      <c r="D3699" s="8" t="n">
        <v>45970</v>
      </c>
      <c r="E3699" s="9" t="n">
        <v>1787.33</v>
      </c>
      <c r="F3699" s="8" t="n">
        <v>45972</v>
      </c>
      <c r="G3699" s="9" t="n">
        <v>1787.33</v>
      </c>
      <c r="H3699" t="inlineStr">
        <is>
          <t>PAID_ON_TIME</t>
        </is>
      </c>
      <c r="I3699">
        <f>IF(H3699="UNPAID", AsOfDate-D3699, 0)</f>
        <v/>
      </c>
      <c r="J3699">
        <f>IF(F3699&lt;&gt;"", TEXT(F3699, "yyyy-mm"), "")</f>
        <v/>
      </c>
    </row>
    <row r="3700">
      <c r="A3700" t="inlineStr">
        <is>
          <t>RP0003699</t>
        </is>
      </c>
      <c r="B3700" t="inlineStr">
        <is>
          <t>LN200529</t>
        </is>
      </c>
      <c r="C3700" t="n">
        <v>9</v>
      </c>
      <c r="D3700" s="8" t="n">
        <v>46000</v>
      </c>
      <c r="E3700" s="9" t="n">
        <v>1787.33</v>
      </c>
      <c r="F3700" s="8" t="n">
        <v>46003</v>
      </c>
      <c r="G3700" s="9" t="n">
        <v>1787.33</v>
      </c>
      <c r="H3700" t="inlineStr">
        <is>
          <t>PAID_ON_TIME</t>
        </is>
      </c>
      <c r="I3700">
        <f>IF(H3700="UNPAID", AsOfDate-D3700, 0)</f>
        <v/>
      </c>
      <c r="J3700">
        <f>IF(F3700&lt;&gt;"", TEXT(F3700, "yyyy-mm"), "")</f>
        <v/>
      </c>
    </row>
    <row r="3701">
      <c r="A3701" t="inlineStr">
        <is>
          <t>RP0003700</t>
        </is>
      </c>
      <c r="B3701" t="inlineStr">
        <is>
          <t>LN200529</t>
        </is>
      </c>
      <c r="C3701" t="n">
        <v>10</v>
      </c>
      <c r="D3701" s="8" t="n">
        <v>46031</v>
      </c>
      <c r="E3701" s="9" t="n">
        <v>1787.33</v>
      </c>
      <c r="F3701" s="8" t="n">
        <v>46035</v>
      </c>
      <c r="G3701" s="9" t="n">
        <v>1787.33</v>
      </c>
      <c r="H3701" t="inlineStr">
        <is>
          <t>PAID_ON_TIME</t>
        </is>
      </c>
      <c r="I3701">
        <f>IF(H3701="UNPAID", AsOfDate-D3701, 0)</f>
        <v/>
      </c>
      <c r="J3701">
        <f>IF(F3701&lt;&gt;"", TEXT(F3701, "yyyy-mm"), "")</f>
        <v/>
      </c>
    </row>
    <row r="3702">
      <c r="A3702" t="inlineStr">
        <is>
          <t>RP0003701</t>
        </is>
      </c>
      <c r="B3702" t="inlineStr">
        <is>
          <t>LN200529</t>
        </is>
      </c>
      <c r="C3702" t="n">
        <v>11</v>
      </c>
      <c r="D3702" s="8" t="n">
        <v>46062</v>
      </c>
      <c r="E3702" s="9" t="n">
        <v>1787.33</v>
      </c>
      <c r="F3702" s="8" t="n">
        <v>46064</v>
      </c>
      <c r="G3702" s="9" t="n">
        <v>1787.33</v>
      </c>
      <c r="H3702" t="inlineStr">
        <is>
          <t>PAID_ON_TIME</t>
        </is>
      </c>
      <c r="I3702">
        <f>IF(H3702="UNPAID", AsOfDate-D3702, 0)</f>
        <v/>
      </c>
      <c r="J3702">
        <f>IF(F3702&lt;&gt;"", TEXT(F3702, "yyyy-mm"), "")</f>
        <v/>
      </c>
    </row>
    <row r="3703">
      <c r="A3703" t="inlineStr">
        <is>
          <t>RP0003702</t>
        </is>
      </c>
      <c r="B3703" t="inlineStr">
        <is>
          <t>LN200529</t>
        </is>
      </c>
      <c r="C3703" t="n">
        <v>12</v>
      </c>
      <c r="D3703" s="8" t="n">
        <v>46090</v>
      </c>
      <c r="E3703" s="9" t="n">
        <v>1787.33</v>
      </c>
      <c r="F3703" s="8" t="n">
        <v>46094</v>
      </c>
      <c r="G3703" s="9" t="n">
        <v>1787.33</v>
      </c>
      <c r="H3703" t="inlineStr">
        <is>
          <t>PAID_ON_TIME</t>
        </is>
      </c>
      <c r="I3703">
        <f>IF(H3703="UNPAID", AsOfDate-D3703, 0)</f>
        <v/>
      </c>
      <c r="J3703">
        <f>IF(F3703&lt;&gt;"", TEXT(F3703, "yyyy-mm"), "")</f>
        <v/>
      </c>
    </row>
    <row r="3704">
      <c r="A3704" t="inlineStr">
        <is>
          <t>RP0003703</t>
        </is>
      </c>
      <c r="B3704" t="inlineStr">
        <is>
          <t>LN200529</t>
        </is>
      </c>
      <c r="C3704" t="n">
        <v>13</v>
      </c>
      <c r="D3704" s="8" t="n">
        <v>46121</v>
      </c>
      <c r="E3704" s="9" t="n">
        <v>1787.33</v>
      </c>
      <c r="F3704" s="8" t="n">
        <v>46125</v>
      </c>
      <c r="G3704" s="9" t="n">
        <v>1787.33</v>
      </c>
      <c r="H3704" t="inlineStr">
        <is>
          <t>PAID_ON_TIME</t>
        </is>
      </c>
      <c r="I3704">
        <f>IF(H3704="UNPAID", AsOfDate-D3704, 0)</f>
        <v/>
      </c>
      <c r="J3704">
        <f>IF(F3704&lt;&gt;"", TEXT(F3704, "yyyy-mm"), "")</f>
        <v/>
      </c>
    </row>
    <row r="3705">
      <c r="A3705" t="inlineStr">
        <is>
          <t>RP0003704</t>
        </is>
      </c>
      <c r="B3705" t="inlineStr">
        <is>
          <t>LN200529</t>
        </is>
      </c>
      <c r="C3705" t="n">
        <v>14</v>
      </c>
      <c r="D3705" s="8" t="n">
        <v>46151</v>
      </c>
      <c r="E3705" s="9" t="n">
        <v>1787.33</v>
      </c>
      <c r="F3705" s="8" t="n">
        <v>46148</v>
      </c>
      <c r="G3705" s="9" t="n">
        <v>1787.33</v>
      </c>
      <c r="H3705" t="inlineStr">
        <is>
          <t>PAID_ON_TIME</t>
        </is>
      </c>
      <c r="I3705">
        <f>IF(H3705="UNPAID", AsOfDate-D3705, 0)</f>
        <v/>
      </c>
      <c r="J3705">
        <f>IF(F3705&lt;&gt;"", TEXT(F3705, "yyyy-mm"), "")</f>
        <v/>
      </c>
    </row>
    <row r="3706">
      <c r="A3706" t="inlineStr">
        <is>
          <t>RP0003705</t>
        </is>
      </c>
      <c r="B3706" t="inlineStr">
        <is>
          <t>LN200529</t>
        </is>
      </c>
      <c r="C3706" t="n">
        <v>15</v>
      </c>
      <c r="D3706" s="8" t="n">
        <v>46182</v>
      </c>
      <c r="E3706" s="9" t="n">
        <v>1787.33</v>
      </c>
      <c r="F3706" s="8" t="n">
        <v>46183</v>
      </c>
      <c r="G3706" s="9" t="n">
        <v>1787.33</v>
      </c>
      <c r="H3706" t="inlineStr">
        <is>
          <t>PAID_ON_TIME</t>
        </is>
      </c>
      <c r="I3706">
        <f>IF(H3706="UNPAID", AsOfDate-D3706, 0)</f>
        <v/>
      </c>
      <c r="J3706">
        <f>IF(F3706&lt;&gt;"", TEXT(F3706, "yyyy-mm"), "")</f>
        <v/>
      </c>
    </row>
    <row r="3707">
      <c r="A3707" t="inlineStr">
        <is>
          <t>RP0003706</t>
        </is>
      </c>
      <c r="B3707" t="inlineStr">
        <is>
          <t>LN200529</t>
        </is>
      </c>
      <c r="C3707" t="n">
        <v>16</v>
      </c>
      <c r="D3707" s="8" t="n">
        <v>46212</v>
      </c>
      <c r="E3707" s="9" t="n">
        <v>1787.33</v>
      </c>
      <c r="F3707" s="8" t="n">
        <v>46209</v>
      </c>
      <c r="G3707" s="9" t="n">
        <v>1787.33</v>
      </c>
      <c r="H3707" t="inlineStr">
        <is>
          <t>PAID_ON_TIME</t>
        </is>
      </c>
      <c r="I3707">
        <f>IF(H3707="UNPAID", AsOfDate-D3707, 0)</f>
        <v/>
      </c>
      <c r="J3707">
        <f>IF(F3707&lt;&gt;"", TEXT(F3707, "yyyy-mm"), "")</f>
        <v/>
      </c>
    </row>
    <row r="3708">
      <c r="A3708" t="inlineStr">
        <is>
          <t>RP0003707</t>
        </is>
      </c>
      <c r="B3708" t="inlineStr">
        <is>
          <t>LN200529</t>
        </is>
      </c>
      <c r="C3708" t="n">
        <v>17</v>
      </c>
      <c r="D3708" s="8" t="n">
        <v>46243</v>
      </c>
      <c r="E3708" s="9" t="n">
        <v>1787.33</v>
      </c>
      <c r="F3708" s="8" t="n">
        <v>46243</v>
      </c>
      <c r="G3708" s="9" t="n">
        <v>1787.33</v>
      </c>
      <c r="H3708" t="inlineStr">
        <is>
          <t>PAID_ON_TIME</t>
        </is>
      </c>
      <c r="I3708">
        <f>IF(H3708="UNPAID", AsOfDate-D3708, 0)</f>
        <v/>
      </c>
      <c r="J3708">
        <f>IF(F3708&lt;&gt;"", TEXT(F3708, "yyyy-mm"), "")</f>
        <v/>
      </c>
    </row>
    <row r="3709">
      <c r="A3709" t="inlineStr">
        <is>
          <t>RP0003708</t>
        </is>
      </c>
      <c r="B3709" t="inlineStr">
        <is>
          <t>LN200529</t>
        </is>
      </c>
      <c r="C3709" t="n">
        <v>18</v>
      </c>
      <c r="D3709" s="8" t="n">
        <v>46274</v>
      </c>
      <c r="E3709" s="9" t="n">
        <v>1787.33</v>
      </c>
      <c r="F3709" s="8" t="n"/>
      <c r="G3709" s="9" t="n">
        <v>0</v>
      </c>
      <c r="H3709" t="inlineStr">
        <is>
          <t>NOT_DUE</t>
        </is>
      </c>
      <c r="I3709">
        <f>IF(H3709="UNPAID", AsOfDate-D3709, 0)</f>
        <v/>
      </c>
      <c r="J3709">
        <f>IF(F3709&lt;&gt;"", TEXT(F3709, "yyyy-mm"), "")</f>
        <v/>
      </c>
    </row>
    <row r="3710">
      <c r="A3710" t="inlineStr">
        <is>
          <t>RP0003709</t>
        </is>
      </c>
      <c r="B3710" t="inlineStr">
        <is>
          <t>LN200530</t>
        </is>
      </c>
      <c r="C3710" t="n">
        <v>1</v>
      </c>
      <c r="D3710" s="8" t="n">
        <v>46104</v>
      </c>
      <c r="E3710" s="9" t="n">
        <v>2802.5</v>
      </c>
      <c r="F3710" s="8" t="n">
        <v>46103</v>
      </c>
      <c r="G3710" s="9" t="n">
        <v>2802.5</v>
      </c>
      <c r="H3710" t="inlineStr">
        <is>
          <t>PAID_ON_TIME</t>
        </is>
      </c>
      <c r="I3710">
        <f>IF(H3710="UNPAID", AsOfDate-D3710, 0)</f>
        <v/>
      </c>
      <c r="J3710">
        <f>IF(F3710&lt;&gt;"", TEXT(F3710, "yyyy-mm"), "")</f>
        <v/>
      </c>
    </row>
    <row r="3711">
      <c r="A3711" t="inlineStr">
        <is>
          <t>RP0003710</t>
        </is>
      </c>
      <c r="B3711" t="inlineStr">
        <is>
          <t>LN200530</t>
        </is>
      </c>
      <c r="C3711" t="n">
        <v>2</v>
      </c>
      <c r="D3711" s="8" t="n">
        <v>46135</v>
      </c>
      <c r="E3711" s="9" t="n">
        <v>2802.5</v>
      </c>
      <c r="F3711" s="8" t="n">
        <v>46136</v>
      </c>
      <c r="G3711" s="9" t="n">
        <v>2802.5</v>
      </c>
      <c r="H3711" t="inlineStr">
        <is>
          <t>PAID_ON_TIME</t>
        </is>
      </c>
      <c r="I3711">
        <f>IF(H3711="UNPAID", AsOfDate-D3711, 0)</f>
        <v/>
      </c>
      <c r="J3711">
        <f>IF(F3711&lt;&gt;"", TEXT(F3711, "yyyy-mm"), "")</f>
        <v/>
      </c>
    </row>
    <row r="3712">
      <c r="A3712" t="inlineStr">
        <is>
          <t>RP0003711</t>
        </is>
      </c>
      <c r="B3712" t="inlineStr">
        <is>
          <t>LN200530</t>
        </is>
      </c>
      <c r="C3712" t="n">
        <v>3</v>
      </c>
      <c r="D3712" s="8" t="n">
        <v>46165</v>
      </c>
      <c r="E3712" s="9" t="n">
        <v>2802.5</v>
      </c>
      <c r="F3712" s="8" t="n">
        <v>46168</v>
      </c>
      <c r="G3712" s="9" t="n">
        <v>2802.5</v>
      </c>
      <c r="H3712" t="inlineStr">
        <is>
          <t>PAID_ON_TIME</t>
        </is>
      </c>
      <c r="I3712">
        <f>IF(H3712="UNPAID", AsOfDate-D3712, 0)</f>
        <v/>
      </c>
      <c r="J3712">
        <f>IF(F3712&lt;&gt;"", TEXT(F3712, "yyyy-mm"), "")</f>
        <v/>
      </c>
    </row>
    <row r="3713">
      <c r="A3713" t="inlineStr">
        <is>
          <t>RP0003712</t>
        </is>
      </c>
      <c r="B3713" t="inlineStr">
        <is>
          <t>LN200530</t>
        </is>
      </c>
      <c r="C3713" t="n">
        <v>4</v>
      </c>
      <c r="D3713" s="8" t="n">
        <v>46196</v>
      </c>
      <c r="E3713" s="9" t="n">
        <v>2802.5</v>
      </c>
      <c r="F3713" s="8" t="n">
        <v>46194</v>
      </c>
      <c r="G3713" s="9" t="n">
        <v>2802.5</v>
      </c>
      <c r="H3713" t="inlineStr">
        <is>
          <t>PAID_ON_TIME</t>
        </is>
      </c>
      <c r="I3713">
        <f>IF(H3713="UNPAID", AsOfDate-D3713, 0)</f>
        <v/>
      </c>
      <c r="J3713">
        <f>IF(F3713&lt;&gt;"", TEXT(F3713, "yyyy-mm"), "")</f>
        <v/>
      </c>
    </row>
    <row r="3714">
      <c r="A3714" t="inlineStr">
        <is>
          <t>RP0003713</t>
        </is>
      </c>
      <c r="B3714" t="inlineStr">
        <is>
          <t>LN200530</t>
        </is>
      </c>
      <c r="C3714" t="n">
        <v>5</v>
      </c>
      <c r="D3714" s="8" t="n">
        <v>46226</v>
      </c>
      <c r="E3714" s="9" t="n">
        <v>2802.5</v>
      </c>
      <c r="F3714" s="8" t="n">
        <v>46226</v>
      </c>
      <c r="G3714" s="9" t="n">
        <v>2802.5</v>
      </c>
      <c r="H3714" t="inlineStr">
        <is>
          <t>PAID_ON_TIME</t>
        </is>
      </c>
      <c r="I3714">
        <f>IF(H3714="UNPAID", AsOfDate-D3714, 0)</f>
        <v/>
      </c>
      <c r="J3714">
        <f>IF(F3714&lt;&gt;"", TEXT(F3714, "yyyy-mm"), "")</f>
        <v/>
      </c>
    </row>
    <row r="3715">
      <c r="A3715" t="inlineStr">
        <is>
          <t>RP0003714</t>
        </is>
      </c>
      <c r="B3715" t="inlineStr">
        <is>
          <t>LN200530</t>
        </is>
      </c>
      <c r="C3715" t="n">
        <v>6</v>
      </c>
      <c r="D3715" s="8" t="n">
        <v>46257</v>
      </c>
      <c r="E3715" s="9" t="n">
        <v>2802.5</v>
      </c>
      <c r="F3715" s="8" t="n">
        <v>46257</v>
      </c>
      <c r="G3715" s="9" t="n">
        <v>2802.5</v>
      </c>
      <c r="H3715" t="inlineStr">
        <is>
          <t>PAID_ON_TIME</t>
        </is>
      </c>
      <c r="I3715">
        <f>IF(H3715="UNPAID", AsOfDate-D3715, 0)</f>
        <v/>
      </c>
      <c r="J3715">
        <f>IF(F3715&lt;&gt;"", TEXT(F3715, "yyyy-mm"), "")</f>
        <v/>
      </c>
    </row>
    <row r="3716">
      <c r="A3716" t="inlineStr">
        <is>
          <t>RP0003715</t>
        </is>
      </c>
      <c r="B3716" t="inlineStr">
        <is>
          <t>LN200530</t>
        </is>
      </c>
      <c r="C3716" t="n">
        <v>7</v>
      </c>
      <c r="D3716" s="8" t="n">
        <v>46288</v>
      </c>
      <c r="E3716" s="9" t="n">
        <v>2802.5</v>
      </c>
      <c r="F3716" s="8" t="n"/>
      <c r="G3716" s="9" t="n">
        <v>0</v>
      </c>
      <c r="H3716" t="inlineStr">
        <is>
          <t>NOT_DUE</t>
        </is>
      </c>
      <c r="I3716">
        <f>IF(H3716="UNPAID", AsOfDate-D3716, 0)</f>
        <v/>
      </c>
      <c r="J3716">
        <f>IF(F3716&lt;&gt;"", TEXT(F3716, "yyyy-mm"), "")</f>
        <v/>
      </c>
    </row>
    <row r="3717">
      <c r="A3717" t="inlineStr">
        <is>
          <t>RP0003716</t>
        </is>
      </c>
      <c r="B3717" t="inlineStr">
        <is>
          <t>LN200530</t>
        </is>
      </c>
      <c r="C3717" t="n">
        <v>8</v>
      </c>
      <c r="D3717" s="8" t="n">
        <v>46318</v>
      </c>
      <c r="E3717" s="9" t="n">
        <v>2802.5</v>
      </c>
      <c r="F3717" s="8" t="n"/>
      <c r="G3717" s="9" t="n">
        <v>0</v>
      </c>
      <c r="H3717" t="inlineStr">
        <is>
          <t>NOT_DUE</t>
        </is>
      </c>
      <c r="I3717">
        <f>IF(H3717="UNPAID", AsOfDate-D3717, 0)</f>
        <v/>
      </c>
      <c r="J3717">
        <f>IF(F3717&lt;&gt;"", TEXT(F3717, "yyyy-mm"), "")</f>
        <v/>
      </c>
    </row>
    <row r="3718">
      <c r="A3718" t="inlineStr">
        <is>
          <t>RP0003717</t>
        </is>
      </c>
      <c r="B3718" t="inlineStr">
        <is>
          <t>LN200530</t>
        </is>
      </c>
      <c r="C3718" t="n">
        <v>9</v>
      </c>
      <c r="D3718" s="8" t="n">
        <v>46349</v>
      </c>
      <c r="E3718" s="9" t="n">
        <v>2802.5</v>
      </c>
      <c r="F3718" s="8" t="n"/>
      <c r="G3718" s="9" t="n">
        <v>0</v>
      </c>
      <c r="H3718" t="inlineStr">
        <is>
          <t>NOT_DUE</t>
        </is>
      </c>
      <c r="I3718">
        <f>IF(H3718="UNPAID", AsOfDate-D3718, 0)</f>
        <v/>
      </c>
      <c r="J3718">
        <f>IF(F3718&lt;&gt;"", TEXT(F3718, "yyyy-mm"), "")</f>
        <v/>
      </c>
    </row>
    <row r="3719">
      <c r="A3719" t="inlineStr">
        <is>
          <t>RP0003718</t>
        </is>
      </c>
      <c r="B3719" t="inlineStr">
        <is>
          <t>LN200530</t>
        </is>
      </c>
      <c r="C3719" t="n">
        <v>10</v>
      </c>
      <c r="D3719" s="8" t="n">
        <v>46379</v>
      </c>
      <c r="E3719" s="9" t="n">
        <v>2802.5</v>
      </c>
      <c r="F3719" s="8" t="n"/>
      <c r="G3719" s="9" t="n">
        <v>0</v>
      </c>
      <c r="H3719" t="inlineStr">
        <is>
          <t>NOT_DUE</t>
        </is>
      </c>
      <c r="I3719">
        <f>IF(H3719="UNPAID", AsOfDate-D3719, 0)</f>
        <v/>
      </c>
      <c r="J3719">
        <f>IF(F3719&lt;&gt;"", TEXT(F3719, "yyyy-mm"), "")</f>
        <v/>
      </c>
    </row>
    <row r="3720">
      <c r="A3720" t="inlineStr">
        <is>
          <t>RP0003719</t>
        </is>
      </c>
      <c r="B3720" t="inlineStr">
        <is>
          <t>LN200530</t>
        </is>
      </c>
      <c r="C3720" t="n">
        <v>11</v>
      </c>
      <c r="D3720" s="8" t="n">
        <v>46410</v>
      </c>
      <c r="E3720" s="9" t="n">
        <v>2802.5</v>
      </c>
      <c r="F3720" s="8" t="n"/>
      <c r="G3720" s="9" t="n">
        <v>0</v>
      </c>
      <c r="H3720" t="inlineStr">
        <is>
          <t>NOT_DUE</t>
        </is>
      </c>
      <c r="I3720">
        <f>IF(H3720="UNPAID", AsOfDate-D3720, 0)</f>
        <v/>
      </c>
      <c r="J3720">
        <f>IF(F3720&lt;&gt;"", TEXT(F3720, "yyyy-mm"), "")</f>
        <v/>
      </c>
    </row>
    <row r="3721">
      <c r="A3721" t="inlineStr">
        <is>
          <t>RP0003720</t>
        </is>
      </c>
      <c r="B3721" t="inlineStr">
        <is>
          <t>LN200530</t>
        </is>
      </c>
      <c r="C3721" t="n">
        <v>12</v>
      </c>
      <c r="D3721" s="8" t="n">
        <v>46441</v>
      </c>
      <c r="E3721" s="9" t="n">
        <v>2802.5</v>
      </c>
      <c r="F3721" s="8" t="n"/>
      <c r="G3721" s="9" t="n">
        <v>0</v>
      </c>
      <c r="H3721" t="inlineStr">
        <is>
          <t>NOT_DUE</t>
        </is>
      </c>
      <c r="I3721">
        <f>IF(H3721="UNPAID", AsOfDate-D3721, 0)</f>
        <v/>
      </c>
      <c r="J3721">
        <f>IF(F3721&lt;&gt;"", TEXT(F3721, "yyyy-mm"), "")</f>
        <v/>
      </c>
    </row>
    <row r="3722">
      <c r="A3722" t="inlineStr">
        <is>
          <t>RP0003721</t>
        </is>
      </c>
      <c r="B3722" t="inlineStr">
        <is>
          <t>LN200531</t>
        </is>
      </c>
      <c r="C3722" t="n">
        <v>1</v>
      </c>
      <c r="D3722" s="8" t="n">
        <v>45699</v>
      </c>
      <c r="E3722" s="9" t="n">
        <v>5958.56</v>
      </c>
      <c r="F3722" s="8" t="n">
        <v>45698</v>
      </c>
      <c r="G3722" s="9" t="n">
        <v>5958.56</v>
      </c>
      <c r="H3722" t="inlineStr">
        <is>
          <t>PAID_ON_TIME</t>
        </is>
      </c>
      <c r="I3722">
        <f>IF(H3722="UNPAID", AsOfDate-D3722, 0)</f>
        <v/>
      </c>
      <c r="J3722">
        <f>IF(F3722&lt;&gt;"", TEXT(F3722, "yyyy-mm"), "")</f>
        <v/>
      </c>
    </row>
    <row r="3723">
      <c r="A3723" t="inlineStr">
        <is>
          <t>RP0003722</t>
        </is>
      </c>
      <c r="B3723" t="inlineStr">
        <is>
          <t>LN200531</t>
        </is>
      </c>
      <c r="C3723" t="n">
        <v>2</v>
      </c>
      <c r="D3723" s="8" t="n">
        <v>45727</v>
      </c>
      <c r="E3723" s="9" t="n">
        <v>5958.56</v>
      </c>
      <c r="F3723" s="8" t="n">
        <v>45731</v>
      </c>
      <c r="G3723" s="9" t="n">
        <v>5958.56</v>
      </c>
      <c r="H3723" t="inlineStr">
        <is>
          <t>PAID_ON_TIME</t>
        </is>
      </c>
      <c r="I3723">
        <f>IF(H3723="UNPAID", AsOfDate-D3723, 0)</f>
        <v/>
      </c>
      <c r="J3723">
        <f>IF(F3723&lt;&gt;"", TEXT(F3723, "yyyy-mm"), "")</f>
        <v/>
      </c>
    </row>
    <row r="3724">
      <c r="A3724" t="inlineStr">
        <is>
          <t>RP0003723</t>
        </is>
      </c>
      <c r="B3724" t="inlineStr">
        <is>
          <t>LN200531</t>
        </is>
      </c>
      <c r="C3724" t="n">
        <v>3</v>
      </c>
      <c r="D3724" s="8" t="n">
        <v>45758</v>
      </c>
      <c r="E3724" s="9" t="n">
        <v>5958.56</v>
      </c>
      <c r="F3724" s="8" t="n">
        <v>45761</v>
      </c>
      <c r="G3724" s="9" t="n">
        <v>5958.56</v>
      </c>
      <c r="H3724" t="inlineStr">
        <is>
          <t>PAID_ON_TIME</t>
        </is>
      </c>
      <c r="I3724">
        <f>IF(H3724="UNPAID", AsOfDate-D3724, 0)</f>
        <v/>
      </c>
      <c r="J3724">
        <f>IF(F3724&lt;&gt;"", TEXT(F3724, "yyyy-mm"), "")</f>
        <v/>
      </c>
    </row>
    <row r="3725">
      <c r="A3725" t="inlineStr">
        <is>
          <t>RP0003724</t>
        </is>
      </c>
      <c r="B3725" t="inlineStr">
        <is>
          <t>LN200531</t>
        </is>
      </c>
      <c r="C3725" t="n">
        <v>4</v>
      </c>
      <c r="D3725" s="8" t="n">
        <v>45788</v>
      </c>
      <c r="E3725" s="9" t="n">
        <v>5958.56</v>
      </c>
      <c r="F3725" s="8" t="n">
        <v>45788</v>
      </c>
      <c r="G3725" s="9" t="n">
        <v>5958.56</v>
      </c>
      <c r="H3725" t="inlineStr">
        <is>
          <t>PAID_ON_TIME</t>
        </is>
      </c>
      <c r="I3725">
        <f>IF(H3725="UNPAID", AsOfDate-D3725, 0)</f>
        <v/>
      </c>
      <c r="J3725">
        <f>IF(F3725&lt;&gt;"", TEXT(F3725, "yyyy-mm"), "")</f>
        <v/>
      </c>
    </row>
    <row r="3726">
      <c r="A3726" t="inlineStr">
        <is>
          <t>RP0003725</t>
        </is>
      </c>
      <c r="B3726" t="inlineStr">
        <is>
          <t>LN200531</t>
        </is>
      </c>
      <c r="C3726" t="n">
        <v>5</v>
      </c>
      <c r="D3726" s="8" t="n">
        <v>45819</v>
      </c>
      <c r="E3726" s="9" t="n">
        <v>5958.56</v>
      </c>
      <c r="F3726" s="8" t="n">
        <v>45816</v>
      </c>
      <c r="G3726" s="9" t="n">
        <v>5958.56</v>
      </c>
      <c r="H3726" t="inlineStr">
        <is>
          <t>PAID_ON_TIME</t>
        </is>
      </c>
      <c r="I3726">
        <f>IF(H3726="UNPAID", AsOfDate-D3726, 0)</f>
        <v/>
      </c>
      <c r="J3726">
        <f>IF(F3726&lt;&gt;"", TEXT(F3726, "yyyy-mm"), "")</f>
        <v/>
      </c>
    </row>
    <row r="3727">
      <c r="A3727" t="inlineStr">
        <is>
          <t>RP0003726</t>
        </is>
      </c>
      <c r="B3727" t="inlineStr">
        <is>
          <t>LN200531</t>
        </is>
      </c>
      <c r="C3727" t="n">
        <v>6</v>
      </c>
      <c r="D3727" s="8" t="n">
        <v>45849</v>
      </c>
      <c r="E3727" s="9" t="n">
        <v>5958.56</v>
      </c>
      <c r="F3727" s="8" t="n">
        <v>45846</v>
      </c>
      <c r="G3727" s="9" t="n">
        <v>5958.56</v>
      </c>
      <c r="H3727" t="inlineStr">
        <is>
          <t>PAID_ON_TIME</t>
        </is>
      </c>
      <c r="I3727">
        <f>IF(H3727="UNPAID", AsOfDate-D3727, 0)</f>
        <v/>
      </c>
      <c r="J3727">
        <f>IF(F3727&lt;&gt;"", TEXT(F3727, "yyyy-mm"), "")</f>
        <v/>
      </c>
    </row>
    <row r="3728">
      <c r="A3728" t="inlineStr">
        <is>
          <t>RP0003727</t>
        </is>
      </c>
      <c r="B3728" t="inlineStr">
        <is>
          <t>LN200531</t>
        </is>
      </c>
      <c r="C3728" t="n">
        <v>7</v>
      </c>
      <c r="D3728" s="8" t="n">
        <v>45880</v>
      </c>
      <c r="E3728" s="9" t="n">
        <v>5958.56</v>
      </c>
      <c r="F3728" s="8" t="n">
        <v>45883</v>
      </c>
      <c r="G3728" s="9" t="n">
        <v>5958.56</v>
      </c>
      <c r="H3728" t="inlineStr">
        <is>
          <t>PAID_ON_TIME</t>
        </is>
      </c>
      <c r="I3728">
        <f>IF(H3728="UNPAID", AsOfDate-D3728, 0)</f>
        <v/>
      </c>
      <c r="J3728">
        <f>IF(F3728&lt;&gt;"", TEXT(F3728, "yyyy-mm"), "")</f>
        <v/>
      </c>
    </row>
    <row r="3729">
      <c r="A3729" t="inlineStr">
        <is>
          <t>RP0003728</t>
        </is>
      </c>
      <c r="B3729" t="inlineStr">
        <is>
          <t>LN200531</t>
        </is>
      </c>
      <c r="C3729" t="n">
        <v>8</v>
      </c>
      <c r="D3729" s="8" t="n">
        <v>45911</v>
      </c>
      <c r="E3729" s="9" t="n">
        <v>5958.56</v>
      </c>
      <c r="F3729" s="8" t="n">
        <v>45918</v>
      </c>
      <c r="G3729" s="9" t="n">
        <v>5958.56</v>
      </c>
      <c r="H3729" t="inlineStr">
        <is>
          <t>PAID_LATE</t>
        </is>
      </c>
      <c r="I3729">
        <f>IF(H3729="UNPAID", AsOfDate-D3729, 0)</f>
        <v/>
      </c>
      <c r="J3729">
        <f>IF(F3729&lt;&gt;"", TEXT(F3729, "yyyy-mm"), "")</f>
        <v/>
      </c>
    </row>
    <row r="3730">
      <c r="A3730" t="inlineStr">
        <is>
          <t>RP0003729</t>
        </is>
      </c>
      <c r="B3730" t="inlineStr">
        <is>
          <t>LN200531</t>
        </is>
      </c>
      <c r="C3730" t="n">
        <v>9</v>
      </c>
      <c r="D3730" s="8" t="n">
        <v>45941</v>
      </c>
      <c r="E3730" s="9" t="n">
        <v>5958.56</v>
      </c>
      <c r="F3730" s="8" t="n">
        <v>45943</v>
      </c>
      <c r="G3730" s="9" t="n">
        <v>5958.56</v>
      </c>
      <c r="H3730" t="inlineStr">
        <is>
          <t>PAID_ON_TIME</t>
        </is>
      </c>
      <c r="I3730">
        <f>IF(H3730="UNPAID", AsOfDate-D3730, 0)</f>
        <v/>
      </c>
      <c r="J3730">
        <f>IF(F3730&lt;&gt;"", TEXT(F3730, "yyyy-mm"), "")</f>
        <v/>
      </c>
    </row>
    <row r="3731">
      <c r="A3731" t="inlineStr">
        <is>
          <t>RP0003730</t>
        </is>
      </c>
      <c r="B3731" t="inlineStr">
        <is>
          <t>LN200532</t>
        </is>
      </c>
      <c r="C3731" t="n">
        <v>1</v>
      </c>
      <c r="D3731" s="8" t="n">
        <v>45827</v>
      </c>
      <c r="E3731" s="9" t="n">
        <v>8567.5</v>
      </c>
      <c r="F3731" s="8" t="n">
        <v>45921</v>
      </c>
      <c r="G3731" s="9" t="n">
        <v>8567.5</v>
      </c>
      <c r="H3731" t="inlineStr">
        <is>
          <t>PAID_LATE</t>
        </is>
      </c>
      <c r="I3731">
        <f>IF(H3731="UNPAID", AsOfDate-D3731, 0)</f>
        <v/>
      </c>
      <c r="J3731">
        <f>IF(F3731&lt;&gt;"", TEXT(F3731, "yyyy-mm"), "")</f>
        <v/>
      </c>
    </row>
    <row r="3732">
      <c r="A3732" t="inlineStr">
        <is>
          <t>RP0003731</t>
        </is>
      </c>
      <c r="B3732" t="inlineStr">
        <is>
          <t>LN200532</t>
        </is>
      </c>
      <c r="C3732" t="n">
        <v>2</v>
      </c>
      <c r="D3732" s="8" t="n">
        <v>45857</v>
      </c>
      <c r="E3732" s="9" t="n">
        <v>8567.5</v>
      </c>
      <c r="F3732" s="8" t="n"/>
      <c r="G3732" s="9" t="n">
        <v>0</v>
      </c>
      <c r="H3732" t="inlineStr">
        <is>
          <t>UNPAID</t>
        </is>
      </c>
      <c r="I3732">
        <f>IF(H3732="UNPAID", AsOfDate-D3732, 0)</f>
        <v/>
      </c>
      <c r="J3732">
        <f>IF(F3732&lt;&gt;"", TEXT(F3732, "yyyy-mm"), "")</f>
        <v/>
      </c>
    </row>
    <row r="3733">
      <c r="A3733" t="inlineStr">
        <is>
          <t>RP0003732</t>
        </is>
      </c>
      <c r="B3733" t="inlineStr">
        <is>
          <t>LN200532</t>
        </is>
      </c>
      <c r="C3733" t="n">
        <v>3</v>
      </c>
      <c r="D3733" s="8" t="n">
        <v>45888</v>
      </c>
      <c r="E3733" s="9" t="n">
        <v>8567.5</v>
      </c>
      <c r="F3733" s="8" t="n">
        <v>45891</v>
      </c>
      <c r="G3733" s="9" t="n">
        <v>8567.5</v>
      </c>
      <c r="H3733" t="inlineStr">
        <is>
          <t>PAID_ON_TIME</t>
        </is>
      </c>
      <c r="I3733">
        <f>IF(H3733="UNPAID", AsOfDate-D3733, 0)</f>
        <v/>
      </c>
      <c r="J3733">
        <f>IF(F3733&lt;&gt;"", TEXT(F3733, "yyyy-mm"), "")</f>
        <v/>
      </c>
    </row>
    <row r="3734">
      <c r="A3734" t="inlineStr">
        <is>
          <t>RP0003733</t>
        </is>
      </c>
      <c r="B3734" t="inlineStr">
        <is>
          <t>LN200532</t>
        </is>
      </c>
      <c r="C3734" t="n">
        <v>4</v>
      </c>
      <c r="D3734" s="8" t="n">
        <v>45919</v>
      </c>
      <c r="E3734" s="9" t="n">
        <v>8567.5</v>
      </c>
      <c r="F3734" s="8" t="n">
        <v>45921</v>
      </c>
      <c r="G3734" s="9" t="n">
        <v>8567.5</v>
      </c>
      <c r="H3734" t="inlineStr">
        <is>
          <t>PAID_ON_TIME</t>
        </is>
      </c>
      <c r="I3734">
        <f>IF(H3734="UNPAID", AsOfDate-D3734, 0)</f>
        <v/>
      </c>
      <c r="J3734">
        <f>IF(F3734&lt;&gt;"", TEXT(F3734, "yyyy-mm"), "")</f>
        <v/>
      </c>
    </row>
    <row r="3735">
      <c r="A3735" t="inlineStr">
        <is>
          <t>RP0003734</t>
        </is>
      </c>
      <c r="B3735" t="inlineStr">
        <is>
          <t>LN200532</t>
        </is>
      </c>
      <c r="C3735" t="n">
        <v>5</v>
      </c>
      <c r="D3735" s="8" t="n">
        <v>45949</v>
      </c>
      <c r="E3735" s="9" t="n">
        <v>8567.5</v>
      </c>
      <c r="F3735" s="8" t="n">
        <v>46055</v>
      </c>
      <c r="G3735" s="9" t="n">
        <v>8567.5</v>
      </c>
      <c r="H3735" t="inlineStr">
        <is>
          <t>PAID_LATE</t>
        </is>
      </c>
      <c r="I3735">
        <f>IF(H3735="UNPAID", AsOfDate-D3735, 0)</f>
        <v/>
      </c>
      <c r="J3735">
        <f>IF(F3735&lt;&gt;"", TEXT(F3735, "yyyy-mm"), "")</f>
        <v/>
      </c>
    </row>
    <row r="3736">
      <c r="A3736" t="inlineStr">
        <is>
          <t>RP0003735</t>
        </is>
      </c>
      <c r="B3736" t="inlineStr">
        <is>
          <t>LN200532</t>
        </is>
      </c>
      <c r="C3736" t="n">
        <v>6</v>
      </c>
      <c r="D3736" s="8" t="n">
        <v>45980</v>
      </c>
      <c r="E3736" s="9" t="n">
        <v>8567.5</v>
      </c>
      <c r="F3736" s="8" t="n">
        <v>46011</v>
      </c>
      <c r="G3736" s="9" t="n">
        <v>8567.5</v>
      </c>
      <c r="H3736" t="inlineStr">
        <is>
          <t>PAID_LATE</t>
        </is>
      </c>
      <c r="I3736">
        <f>IF(H3736="UNPAID", AsOfDate-D3736, 0)</f>
        <v/>
      </c>
      <c r="J3736">
        <f>IF(F3736&lt;&gt;"", TEXT(F3736, "yyyy-mm"), "")</f>
        <v/>
      </c>
    </row>
    <row r="3737">
      <c r="A3737" t="inlineStr">
        <is>
          <t>RP0003736</t>
        </is>
      </c>
      <c r="B3737" t="inlineStr">
        <is>
          <t>LN200533</t>
        </is>
      </c>
      <c r="C3737" t="n">
        <v>1</v>
      </c>
      <c r="D3737" s="8" t="n">
        <v>46148</v>
      </c>
      <c r="E3737" s="9" t="n">
        <v>2927.39</v>
      </c>
      <c r="F3737" s="8" t="n">
        <v>46151</v>
      </c>
      <c r="G3737" s="9" t="n">
        <v>2927.39</v>
      </c>
      <c r="H3737" t="inlineStr">
        <is>
          <t>PAID_ON_TIME</t>
        </is>
      </c>
      <c r="I3737">
        <f>IF(H3737="UNPAID", AsOfDate-D3737, 0)</f>
        <v/>
      </c>
      <c r="J3737">
        <f>IF(F3737&lt;&gt;"", TEXT(F3737, "yyyy-mm"), "")</f>
        <v/>
      </c>
    </row>
    <row r="3738">
      <c r="A3738" t="inlineStr">
        <is>
          <t>RP0003737</t>
        </is>
      </c>
      <c r="B3738" t="inlineStr">
        <is>
          <t>LN200533</t>
        </is>
      </c>
      <c r="C3738" t="n">
        <v>2</v>
      </c>
      <c r="D3738" s="8" t="n">
        <v>46179</v>
      </c>
      <c r="E3738" s="9" t="n">
        <v>2927.39</v>
      </c>
      <c r="F3738" s="8" t="n">
        <v>46179</v>
      </c>
      <c r="G3738" s="9" t="n">
        <v>2927.39</v>
      </c>
      <c r="H3738" t="inlineStr">
        <is>
          <t>PAID_ON_TIME</t>
        </is>
      </c>
      <c r="I3738">
        <f>IF(H3738="UNPAID", AsOfDate-D3738, 0)</f>
        <v/>
      </c>
      <c r="J3738">
        <f>IF(F3738&lt;&gt;"", TEXT(F3738, "yyyy-mm"), "")</f>
        <v/>
      </c>
    </row>
    <row r="3739">
      <c r="A3739" t="inlineStr">
        <is>
          <t>RP0003738</t>
        </is>
      </c>
      <c r="B3739" t="inlineStr">
        <is>
          <t>LN200533</t>
        </is>
      </c>
      <c r="C3739" t="n">
        <v>3</v>
      </c>
      <c r="D3739" s="8" t="n">
        <v>46209</v>
      </c>
      <c r="E3739" s="9" t="n">
        <v>2927.39</v>
      </c>
      <c r="F3739" s="8" t="n">
        <v>46206</v>
      </c>
      <c r="G3739" s="9" t="n">
        <v>2927.39</v>
      </c>
      <c r="H3739" t="inlineStr">
        <is>
          <t>PAID_ON_TIME</t>
        </is>
      </c>
      <c r="I3739">
        <f>IF(H3739="UNPAID", AsOfDate-D3739, 0)</f>
        <v/>
      </c>
      <c r="J3739">
        <f>IF(F3739&lt;&gt;"", TEXT(F3739, "yyyy-mm"), "")</f>
        <v/>
      </c>
    </row>
    <row r="3740">
      <c r="A3740" t="inlineStr">
        <is>
          <t>RP0003739</t>
        </is>
      </c>
      <c r="B3740" t="inlineStr">
        <is>
          <t>LN200533</t>
        </is>
      </c>
      <c r="C3740" t="n">
        <v>4</v>
      </c>
      <c r="D3740" s="8" t="n">
        <v>46240</v>
      </c>
      <c r="E3740" s="9" t="n">
        <v>2927.39</v>
      </c>
      <c r="F3740" s="8" t="n">
        <v>46242</v>
      </c>
      <c r="G3740" s="9" t="n">
        <v>2927.39</v>
      </c>
      <c r="H3740" t="inlineStr">
        <is>
          <t>PAID_ON_TIME</t>
        </is>
      </c>
      <c r="I3740">
        <f>IF(H3740="UNPAID", AsOfDate-D3740, 0)</f>
        <v/>
      </c>
      <c r="J3740">
        <f>IF(F3740&lt;&gt;"", TEXT(F3740, "yyyy-mm"), "")</f>
        <v/>
      </c>
    </row>
    <row r="3741">
      <c r="A3741" t="inlineStr">
        <is>
          <t>RP0003740</t>
        </is>
      </c>
      <c r="B3741" t="inlineStr">
        <is>
          <t>LN200533</t>
        </is>
      </c>
      <c r="C3741" t="n">
        <v>5</v>
      </c>
      <c r="D3741" s="8" t="n">
        <v>46271</v>
      </c>
      <c r="E3741" s="9" t="n">
        <v>2927.39</v>
      </c>
      <c r="F3741" s="8" t="n"/>
      <c r="G3741" s="9" t="n">
        <v>0</v>
      </c>
      <c r="H3741" t="inlineStr">
        <is>
          <t>NOT_DUE</t>
        </is>
      </c>
      <c r="I3741">
        <f>IF(H3741="UNPAID", AsOfDate-D3741, 0)</f>
        <v/>
      </c>
      <c r="J3741">
        <f>IF(F3741&lt;&gt;"", TEXT(F3741, "yyyy-mm"), "")</f>
        <v/>
      </c>
    </row>
    <row r="3742">
      <c r="A3742" t="inlineStr">
        <is>
          <t>RP0003741</t>
        </is>
      </c>
      <c r="B3742" t="inlineStr">
        <is>
          <t>LN200533</t>
        </is>
      </c>
      <c r="C3742" t="n">
        <v>6</v>
      </c>
      <c r="D3742" s="8" t="n">
        <v>46301</v>
      </c>
      <c r="E3742" s="9" t="n">
        <v>2927.39</v>
      </c>
      <c r="F3742" s="8" t="n"/>
      <c r="G3742" s="9" t="n">
        <v>0</v>
      </c>
      <c r="H3742" t="inlineStr">
        <is>
          <t>NOT_DUE</t>
        </is>
      </c>
      <c r="I3742">
        <f>IF(H3742="UNPAID", AsOfDate-D3742, 0)</f>
        <v/>
      </c>
      <c r="J3742">
        <f>IF(F3742&lt;&gt;"", TEXT(F3742, "yyyy-mm"), "")</f>
        <v/>
      </c>
    </row>
    <row r="3743">
      <c r="A3743" t="inlineStr">
        <is>
          <t>RP0003742</t>
        </is>
      </c>
      <c r="B3743" t="inlineStr">
        <is>
          <t>LN200533</t>
        </is>
      </c>
      <c r="C3743" t="n">
        <v>7</v>
      </c>
      <c r="D3743" s="8" t="n">
        <v>46332</v>
      </c>
      <c r="E3743" s="9" t="n">
        <v>2927.39</v>
      </c>
      <c r="F3743" s="8" t="n"/>
      <c r="G3743" s="9" t="n">
        <v>0</v>
      </c>
      <c r="H3743" t="inlineStr">
        <is>
          <t>NOT_DUE</t>
        </is>
      </c>
      <c r="I3743">
        <f>IF(H3743="UNPAID", AsOfDate-D3743, 0)</f>
        <v/>
      </c>
      <c r="J3743">
        <f>IF(F3743&lt;&gt;"", TEXT(F3743, "yyyy-mm"), "")</f>
        <v/>
      </c>
    </row>
    <row r="3744">
      <c r="A3744" t="inlineStr">
        <is>
          <t>RP0003743</t>
        </is>
      </c>
      <c r="B3744" t="inlineStr">
        <is>
          <t>LN200533</t>
        </is>
      </c>
      <c r="C3744" t="n">
        <v>8</v>
      </c>
      <c r="D3744" s="8" t="n">
        <v>46362</v>
      </c>
      <c r="E3744" s="9" t="n">
        <v>2927.39</v>
      </c>
      <c r="F3744" s="8" t="n"/>
      <c r="G3744" s="9" t="n">
        <v>0</v>
      </c>
      <c r="H3744" t="inlineStr">
        <is>
          <t>NOT_DUE</t>
        </is>
      </c>
      <c r="I3744">
        <f>IF(H3744="UNPAID", AsOfDate-D3744, 0)</f>
        <v/>
      </c>
      <c r="J3744">
        <f>IF(F3744&lt;&gt;"", TEXT(F3744, "yyyy-mm"), "")</f>
        <v/>
      </c>
    </row>
    <row r="3745">
      <c r="A3745" t="inlineStr">
        <is>
          <t>RP0003744</t>
        </is>
      </c>
      <c r="B3745" t="inlineStr">
        <is>
          <t>LN200533</t>
        </is>
      </c>
      <c r="C3745" t="n">
        <v>9</v>
      </c>
      <c r="D3745" s="8" t="n">
        <v>46393</v>
      </c>
      <c r="E3745" s="9" t="n">
        <v>2927.39</v>
      </c>
      <c r="F3745" s="8" t="n"/>
      <c r="G3745" s="9" t="n">
        <v>0</v>
      </c>
      <c r="H3745" t="inlineStr">
        <is>
          <t>NOT_DUE</t>
        </is>
      </c>
      <c r="I3745">
        <f>IF(H3745="UNPAID", AsOfDate-D3745, 0)</f>
        <v/>
      </c>
      <c r="J3745">
        <f>IF(F3745&lt;&gt;"", TEXT(F3745, "yyyy-mm"), "")</f>
        <v/>
      </c>
    </row>
    <row r="3746">
      <c r="A3746" t="inlineStr">
        <is>
          <t>RP0003745</t>
        </is>
      </c>
      <c r="B3746" t="inlineStr">
        <is>
          <t>LN200534</t>
        </is>
      </c>
      <c r="C3746" t="n">
        <v>1</v>
      </c>
      <c r="D3746" s="8" t="n">
        <v>45972</v>
      </c>
      <c r="E3746" s="9" t="n">
        <v>5012.5</v>
      </c>
      <c r="F3746" s="8" t="n">
        <v>45974</v>
      </c>
      <c r="G3746" s="9" t="n">
        <v>5012.5</v>
      </c>
      <c r="H3746" t="inlineStr">
        <is>
          <t>PAID_ON_TIME</t>
        </is>
      </c>
      <c r="I3746">
        <f>IF(H3746="UNPAID", AsOfDate-D3746, 0)</f>
        <v/>
      </c>
      <c r="J3746">
        <f>IF(F3746&lt;&gt;"", TEXT(F3746, "yyyy-mm"), "")</f>
        <v/>
      </c>
    </row>
    <row r="3747">
      <c r="A3747" t="inlineStr">
        <is>
          <t>RP0003746</t>
        </is>
      </c>
      <c r="B3747" t="inlineStr">
        <is>
          <t>LN200534</t>
        </is>
      </c>
      <c r="C3747" t="n">
        <v>2</v>
      </c>
      <c r="D3747" s="8" t="n">
        <v>46002</v>
      </c>
      <c r="E3747" s="9" t="n">
        <v>5012.5</v>
      </c>
      <c r="F3747" s="8" t="n">
        <v>46003</v>
      </c>
      <c r="G3747" s="9" t="n">
        <v>5012.5</v>
      </c>
      <c r="H3747" t="inlineStr">
        <is>
          <t>PAID_ON_TIME</t>
        </is>
      </c>
      <c r="I3747">
        <f>IF(H3747="UNPAID", AsOfDate-D3747, 0)</f>
        <v/>
      </c>
      <c r="J3747">
        <f>IF(F3747&lt;&gt;"", TEXT(F3747, "yyyy-mm"), "")</f>
        <v/>
      </c>
    </row>
    <row r="3748">
      <c r="A3748" t="inlineStr">
        <is>
          <t>RP0003747</t>
        </is>
      </c>
      <c r="B3748" t="inlineStr">
        <is>
          <t>LN200534</t>
        </is>
      </c>
      <c r="C3748" t="n">
        <v>3</v>
      </c>
      <c r="D3748" s="8" t="n">
        <v>46033</v>
      </c>
      <c r="E3748" s="9" t="n">
        <v>5012.5</v>
      </c>
      <c r="F3748" s="8" t="n">
        <v>46030</v>
      </c>
      <c r="G3748" s="9" t="n">
        <v>5012.5</v>
      </c>
      <c r="H3748" t="inlineStr">
        <is>
          <t>PAID_ON_TIME</t>
        </is>
      </c>
      <c r="I3748">
        <f>IF(H3748="UNPAID", AsOfDate-D3748, 0)</f>
        <v/>
      </c>
      <c r="J3748">
        <f>IF(F3748&lt;&gt;"", TEXT(F3748, "yyyy-mm"), "")</f>
        <v/>
      </c>
    </row>
    <row r="3749">
      <c r="A3749" t="inlineStr">
        <is>
          <t>RP0003748</t>
        </is>
      </c>
      <c r="B3749" t="inlineStr">
        <is>
          <t>LN200534</t>
        </is>
      </c>
      <c r="C3749" t="n">
        <v>4</v>
      </c>
      <c r="D3749" s="8" t="n">
        <v>46064</v>
      </c>
      <c r="E3749" s="9" t="n">
        <v>5012.5</v>
      </c>
      <c r="F3749" s="8" t="n">
        <v>46176</v>
      </c>
      <c r="G3749" s="9" t="n">
        <v>5012.5</v>
      </c>
      <c r="H3749" t="inlineStr">
        <is>
          <t>PAID_LATE</t>
        </is>
      </c>
      <c r="I3749">
        <f>IF(H3749="UNPAID", AsOfDate-D3749, 0)</f>
        <v/>
      </c>
      <c r="J3749">
        <f>IF(F3749&lt;&gt;"", TEXT(F3749, "yyyy-mm"), "")</f>
        <v/>
      </c>
    </row>
    <row r="3750">
      <c r="A3750" t="inlineStr">
        <is>
          <t>RP0003749</t>
        </is>
      </c>
      <c r="B3750" t="inlineStr">
        <is>
          <t>LN200534</t>
        </is>
      </c>
      <c r="C3750" t="n">
        <v>5</v>
      </c>
      <c r="D3750" s="8" t="n">
        <v>46092</v>
      </c>
      <c r="E3750" s="9" t="n">
        <v>5012.5</v>
      </c>
      <c r="F3750" s="8" t="n">
        <v>46091</v>
      </c>
      <c r="G3750" s="9" t="n">
        <v>5012.5</v>
      </c>
      <c r="H3750" t="inlineStr">
        <is>
          <t>PAID_ON_TIME</t>
        </is>
      </c>
      <c r="I3750">
        <f>IF(H3750="UNPAID", AsOfDate-D3750, 0)</f>
        <v/>
      </c>
      <c r="J3750">
        <f>IF(F3750&lt;&gt;"", TEXT(F3750, "yyyy-mm"), "")</f>
        <v/>
      </c>
    </row>
    <row r="3751">
      <c r="A3751" t="inlineStr">
        <is>
          <t>RP0003750</t>
        </is>
      </c>
      <c r="B3751" t="inlineStr">
        <is>
          <t>LN200534</t>
        </is>
      </c>
      <c r="C3751" t="n">
        <v>6</v>
      </c>
      <c r="D3751" s="8" t="n">
        <v>46123</v>
      </c>
      <c r="E3751" s="9" t="n">
        <v>5012.5</v>
      </c>
      <c r="F3751" s="8" t="n">
        <v>46127</v>
      </c>
      <c r="G3751" s="9" t="n">
        <v>5012.5</v>
      </c>
      <c r="H3751" t="inlineStr">
        <is>
          <t>PAID_ON_TIME</t>
        </is>
      </c>
      <c r="I3751">
        <f>IF(H3751="UNPAID", AsOfDate-D3751, 0)</f>
        <v/>
      </c>
      <c r="J3751">
        <f>IF(F3751&lt;&gt;"", TEXT(F3751, "yyyy-mm"), "")</f>
        <v/>
      </c>
    </row>
    <row r="3752">
      <c r="A3752" t="inlineStr">
        <is>
          <t>RP0003751</t>
        </is>
      </c>
      <c r="B3752" t="inlineStr">
        <is>
          <t>LN200534</t>
        </is>
      </c>
      <c r="C3752" t="n">
        <v>7</v>
      </c>
      <c r="D3752" s="8" t="n">
        <v>46153</v>
      </c>
      <c r="E3752" s="9" t="n">
        <v>5012.5</v>
      </c>
      <c r="F3752" s="8" t="n">
        <v>46150</v>
      </c>
      <c r="G3752" s="9" t="n">
        <v>5012.5</v>
      </c>
      <c r="H3752" t="inlineStr">
        <is>
          <t>PAID_ON_TIME</t>
        </is>
      </c>
      <c r="I3752">
        <f>IF(H3752="UNPAID", AsOfDate-D3752, 0)</f>
        <v/>
      </c>
      <c r="J3752">
        <f>IF(F3752&lt;&gt;"", TEXT(F3752, "yyyy-mm"), "")</f>
        <v/>
      </c>
    </row>
    <row r="3753">
      <c r="A3753" t="inlineStr">
        <is>
          <t>RP0003752</t>
        </is>
      </c>
      <c r="B3753" t="inlineStr">
        <is>
          <t>LN200534</t>
        </is>
      </c>
      <c r="C3753" t="n">
        <v>8</v>
      </c>
      <c r="D3753" s="8" t="n">
        <v>46184</v>
      </c>
      <c r="E3753" s="9" t="n">
        <v>5012.5</v>
      </c>
      <c r="F3753" s="8" t="n">
        <v>46184</v>
      </c>
      <c r="G3753" s="9" t="n">
        <v>5012.5</v>
      </c>
      <c r="H3753" t="inlineStr">
        <is>
          <t>PAID_ON_TIME</t>
        </is>
      </c>
      <c r="I3753">
        <f>IF(H3753="UNPAID", AsOfDate-D3753, 0)</f>
        <v/>
      </c>
      <c r="J3753">
        <f>IF(F3753&lt;&gt;"", TEXT(F3753, "yyyy-mm"), "")</f>
        <v/>
      </c>
    </row>
    <row r="3754">
      <c r="A3754" t="inlineStr">
        <is>
          <t>RP0003753</t>
        </is>
      </c>
      <c r="B3754" t="inlineStr">
        <is>
          <t>LN200534</t>
        </is>
      </c>
      <c r="C3754" t="n">
        <v>9</v>
      </c>
      <c r="D3754" s="8" t="n">
        <v>46214</v>
      </c>
      <c r="E3754" s="9" t="n">
        <v>5012.5</v>
      </c>
      <c r="F3754" s="8" t="n">
        <v>46215</v>
      </c>
      <c r="G3754" s="9" t="n">
        <v>5012.5</v>
      </c>
      <c r="H3754" t="inlineStr">
        <is>
          <t>PAID_ON_TIME</t>
        </is>
      </c>
      <c r="I3754">
        <f>IF(H3754="UNPAID", AsOfDate-D3754, 0)</f>
        <v/>
      </c>
      <c r="J3754">
        <f>IF(F3754&lt;&gt;"", TEXT(F3754, "yyyy-mm"), "")</f>
        <v/>
      </c>
    </row>
    <row r="3755">
      <c r="A3755" t="inlineStr">
        <is>
          <t>RP0003754</t>
        </is>
      </c>
      <c r="B3755" t="inlineStr">
        <is>
          <t>LN200534</t>
        </is>
      </c>
      <c r="C3755" t="n">
        <v>10</v>
      </c>
      <c r="D3755" s="8" t="n">
        <v>46245</v>
      </c>
      <c r="E3755" s="9" t="n">
        <v>5012.5</v>
      </c>
      <c r="F3755" s="8" t="n">
        <v>46242</v>
      </c>
      <c r="G3755" s="9" t="n">
        <v>5012.5</v>
      </c>
      <c r="H3755" t="inlineStr">
        <is>
          <t>PAID_ON_TIME</t>
        </is>
      </c>
      <c r="I3755">
        <f>IF(H3755="UNPAID", AsOfDate-D3755, 0)</f>
        <v/>
      </c>
      <c r="J3755">
        <f>IF(F3755&lt;&gt;"", TEXT(F3755, "yyyy-mm"), "")</f>
        <v/>
      </c>
    </row>
    <row r="3756">
      <c r="A3756" t="inlineStr">
        <is>
          <t>RP0003755</t>
        </is>
      </c>
      <c r="B3756" t="inlineStr">
        <is>
          <t>LN200534</t>
        </is>
      </c>
      <c r="C3756" t="n">
        <v>11</v>
      </c>
      <c r="D3756" s="8" t="n">
        <v>46276</v>
      </c>
      <c r="E3756" s="9" t="n">
        <v>5012.5</v>
      </c>
      <c r="F3756" s="8" t="n"/>
      <c r="G3756" s="9" t="n">
        <v>0</v>
      </c>
      <c r="H3756" t="inlineStr">
        <is>
          <t>NOT_DUE</t>
        </is>
      </c>
      <c r="I3756">
        <f>IF(H3756="UNPAID", AsOfDate-D3756, 0)</f>
        <v/>
      </c>
      <c r="J3756">
        <f>IF(F3756&lt;&gt;"", TEXT(F3756, "yyyy-mm"), "")</f>
        <v/>
      </c>
    </row>
    <row r="3757">
      <c r="A3757" t="inlineStr">
        <is>
          <t>RP0003756</t>
        </is>
      </c>
      <c r="B3757" t="inlineStr">
        <is>
          <t>LN200534</t>
        </is>
      </c>
      <c r="C3757" t="n">
        <v>12</v>
      </c>
      <c r="D3757" s="8" t="n">
        <v>46306</v>
      </c>
      <c r="E3757" s="9" t="n">
        <v>5012.5</v>
      </c>
      <c r="F3757" s="8" t="n"/>
      <c r="G3757" s="9" t="n">
        <v>0</v>
      </c>
      <c r="H3757" t="inlineStr">
        <is>
          <t>NOT_DUE</t>
        </is>
      </c>
      <c r="I3757">
        <f>IF(H3757="UNPAID", AsOfDate-D3757, 0)</f>
        <v/>
      </c>
      <c r="J3757">
        <f>IF(F3757&lt;&gt;"", TEXT(F3757, "yyyy-mm"), "")</f>
        <v/>
      </c>
    </row>
    <row r="3758">
      <c r="A3758" t="inlineStr">
        <is>
          <t>RP0003757</t>
        </is>
      </c>
      <c r="B3758" t="inlineStr">
        <is>
          <t>LN200535</t>
        </is>
      </c>
      <c r="C3758" t="n">
        <v>1</v>
      </c>
      <c r="D3758" s="8" t="n">
        <v>46190</v>
      </c>
      <c r="E3758" s="9" t="n">
        <v>7758.67</v>
      </c>
      <c r="F3758" s="8" t="n">
        <v>46194</v>
      </c>
      <c r="G3758" s="9" t="n">
        <v>7758.67</v>
      </c>
      <c r="H3758" t="inlineStr">
        <is>
          <t>PAID_ON_TIME</t>
        </is>
      </c>
      <c r="I3758">
        <f>IF(H3758="UNPAID", AsOfDate-D3758, 0)</f>
        <v/>
      </c>
      <c r="J3758">
        <f>IF(F3758&lt;&gt;"", TEXT(F3758, "yyyy-mm"), "")</f>
        <v/>
      </c>
    </row>
    <row r="3759">
      <c r="A3759" t="inlineStr">
        <is>
          <t>RP0003758</t>
        </is>
      </c>
      <c r="B3759" t="inlineStr">
        <is>
          <t>LN200535</t>
        </is>
      </c>
      <c r="C3759" t="n">
        <v>2</v>
      </c>
      <c r="D3759" s="8" t="n">
        <v>46220</v>
      </c>
      <c r="E3759" s="9" t="n">
        <v>7758.67</v>
      </c>
      <c r="F3759" s="8" t="n"/>
      <c r="G3759" s="9" t="n">
        <v>0</v>
      </c>
      <c r="H3759" t="inlineStr">
        <is>
          <t>UNPAID</t>
        </is>
      </c>
      <c r="I3759">
        <f>IF(H3759="UNPAID", AsOfDate-D3759, 0)</f>
        <v/>
      </c>
      <c r="J3759">
        <f>IF(F3759&lt;&gt;"", TEXT(F3759, "yyyy-mm"), "")</f>
        <v/>
      </c>
    </row>
    <row r="3760">
      <c r="A3760" t="inlineStr">
        <is>
          <t>RP0003759</t>
        </is>
      </c>
      <c r="B3760" t="inlineStr">
        <is>
          <t>LN200535</t>
        </is>
      </c>
      <c r="C3760" t="n">
        <v>3</v>
      </c>
      <c r="D3760" s="8" t="n">
        <v>46251</v>
      </c>
      <c r="E3760" s="9" t="n">
        <v>7758.67</v>
      </c>
      <c r="F3760" s="8" t="n">
        <v>46250</v>
      </c>
      <c r="G3760" s="9" t="n">
        <v>7758.67</v>
      </c>
      <c r="H3760" t="inlineStr">
        <is>
          <t>PAID_ON_TIME</t>
        </is>
      </c>
      <c r="I3760">
        <f>IF(H3760="UNPAID", AsOfDate-D3760, 0)</f>
        <v/>
      </c>
      <c r="J3760">
        <f>IF(F3760&lt;&gt;"", TEXT(F3760, "yyyy-mm"), "")</f>
        <v/>
      </c>
    </row>
    <row r="3761">
      <c r="A3761" t="inlineStr">
        <is>
          <t>RP0003760</t>
        </is>
      </c>
      <c r="B3761" t="inlineStr">
        <is>
          <t>LN200537</t>
        </is>
      </c>
      <c r="C3761" t="n">
        <v>1</v>
      </c>
      <c r="D3761" s="8" t="n">
        <v>45832</v>
      </c>
      <c r="E3761" s="9" t="n">
        <v>34996.5</v>
      </c>
      <c r="F3761" s="8" t="n">
        <v>45850</v>
      </c>
      <c r="G3761" s="9" t="n">
        <v>34996.5</v>
      </c>
      <c r="H3761" t="inlineStr">
        <is>
          <t>PAID_LATE</t>
        </is>
      </c>
      <c r="I3761">
        <f>IF(H3761="UNPAID", AsOfDate-D3761, 0)</f>
        <v/>
      </c>
      <c r="J3761">
        <f>IF(F3761&lt;&gt;"", TEXT(F3761, "yyyy-mm"), "")</f>
        <v/>
      </c>
    </row>
    <row r="3762">
      <c r="A3762" t="inlineStr">
        <is>
          <t>RP0003761</t>
        </is>
      </c>
      <c r="B3762" t="inlineStr">
        <is>
          <t>LN200537</t>
        </is>
      </c>
      <c r="C3762" t="n">
        <v>2</v>
      </c>
      <c r="D3762" s="8" t="n">
        <v>45862</v>
      </c>
      <c r="E3762" s="9" t="n">
        <v>34996.5</v>
      </c>
      <c r="F3762" s="8" t="n">
        <v>45865</v>
      </c>
      <c r="G3762" s="9" t="n">
        <v>34996.5</v>
      </c>
      <c r="H3762" t="inlineStr">
        <is>
          <t>PAID_ON_TIME</t>
        </is>
      </c>
      <c r="I3762">
        <f>IF(H3762="UNPAID", AsOfDate-D3762, 0)</f>
        <v/>
      </c>
      <c r="J3762">
        <f>IF(F3762&lt;&gt;"", TEXT(F3762, "yyyy-mm"), "")</f>
        <v/>
      </c>
    </row>
    <row r="3763">
      <c r="A3763" t="inlineStr">
        <is>
          <t>RP0003762</t>
        </is>
      </c>
      <c r="B3763" t="inlineStr">
        <is>
          <t>LN200537</t>
        </is>
      </c>
      <c r="C3763" t="n">
        <v>3</v>
      </c>
      <c r="D3763" s="8" t="n">
        <v>45893</v>
      </c>
      <c r="E3763" s="9" t="n">
        <v>34996.5</v>
      </c>
      <c r="F3763" s="8" t="n">
        <v>45891</v>
      </c>
      <c r="G3763" s="9" t="n">
        <v>34996.5</v>
      </c>
      <c r="H3763" t="inlineStr">
        <is>
          <t>PAID_ON_TIME</t>
        </is>
      </c>
      <c r="I3763">
        <f>IF(H3763="UNPAID", AsOfDate-D3763, 0)</f>
        <v/>
      </c>
      <c r="J3763">
        <f>IF(F3763&lt;&gt;"", TEXT(F3763, "yyyy-mm"), "")</f>
        <v/>
      </c>
    </row>
    <row r="3764">
      <c r="A3764" t="inlineStr">
        <is>
          <t>RP0003763</t>
        </is>
      </c>
      <c r="B3764" t="inlineStr">
        <is>
          <t>LN200537</t>
        </is>
      </c>
      <c r="C3764" t="n">
        <v>4</v>
      </c>
      <c r="D3764" s="8" t="n">
        <v>45924</v>
      </c>
      <c r="E3764" s="9" t="n">
        <v>34996.5</v>
      </c>
      <c r="F3764" s="8" t="n">
        <v>45928</v>
      </c>
      <c r="G3764" s="9" t="n">
        <v>34996.5</v>
      </c>
      <c r="H3764" t="inlineStr">
        <is>
          <t>PAID_ON_TIME</t>
        </is>
      </c>
      <c r="I3764">
        <f>IF(H3764="UNPAID", AsOfDate-D3764, 0)</f>
        <v/>
      </c>
      <c r="J3764">
        <f>IF(F3764&lt;&gt;"", TEXT(F3764, "yyyy-mm"), "")</f>
        <v/>
      </c>
    </row>
    <row r="3765">
      <c r="A3765" t="inlineStr">
        <is>
          <t>RP0003764</t>
        </is>
      </c>
      <c r="B3765" t="inlineStr">
        <is>
          <t>LN200537</t>
        </is>
      </c>
      <c r="C3765" t="n">
        <v>5</v>
      </c>
      <c r="D3765" s="8" t="n">
        <v>45954</v>
      </c>
      <c r="E3765" s="9" t="n">
        <v>34996.5</v>
      </c>
      <c r="F3765" s="8" t="n">
        <v>46015</v>
      </c>
      <c r="G3765" s="9" t="n">
        <v>34996.5</v>
      </c>
      <c r="H3765" t="inlineStr">
        <is>
          <t>PAID_LATE</t>
        </is>
      </c>
      <c r="I3765">
        <f>IF(H3765="UNPAID", AsOfDate-D3765, 0)</f>
        <v/>
      </c>
      <c r="J3765">
        <f>IF(F3765&lt;&gt;"", TEXT(F3765, "yyyy-mm"), "")</f>
        <v/>
      </c>
    </row>
    <row r="3766">
      <c r="A3766" t="inlineStr">
        <is>
          <t>RP0003765</t>
        </is>
      </c>
      <c r="B3766" t="inlineStr">
        <is>
          <t>LN200537</t>
        </is>
      </c>
      <c r="C3766" t="n">
        <v>6</v>
      </c>
      <c r="D3766" s="8" t="n">
        <v>45985</v>
      </c>
      <c r="E3766" s="9" t="n">
        <v>34996.5</v>
      </c>
      <c r="F3766" s="8" t="n">
        <v>45982</v>
      </c>
      <c r="G3766" s="9" t="n">
        <v>34996.5</v>
      </c>
      <c r="H3766" t="inlineStr">
        <is>
          <t>PAID_ON_TIME</t>
        </is>
      </c>
      <c r="I3766">
        <f>IF(H3766="UNPAID", AsOfDate-D3766, 0)</f>
        <v/>
      </c>
      <c r="J3766">
        <f>IF(F3766&lt;&gt;"", TEXT(F3766, "yyyy-mm"), "")</f>
        <v/>
      </c>
    </row>
    <row r="3767">
      <c r="A3767" t="inlineStr">
        <is>
          <t>RP0003766</t>
        </is>
      </c>
      <c r="B3767" t="inlineStr">
        <is>
          <t>LN200538</t>
        </is>
      </c>
      <c r="C3767" t="n">
        <v>1</v>
      </c>
      <c r="D3767" s="8" t="n">
        <v>46177</v>
      </c>
      <c r="E3767" s="9" t="n">
        <v>16323.03</v>
      </c>
      <c r="F3767" s="8" t="n">
        <v>46176</v>
      </c>
      <c r="G3767" s="9" t="n">
        <v>16323.03</v>
      </c>
      <c r="H3767" t="inlineStr">
        <is>
          <t>PAID_ON_TIME</t>
        </is>
      </c>
      <c r="I3767">
        <f>IF(H3767="UNPAID", AsOfDate-D3767, 0)</f>
        <v/>
      </c>
      <c r="J3767">
        <f>IF(F3767&lt;&gt;"", TEXT(F3767, "yyyy-mm"), "")</f>
        <v/>
      </c>
    </row>
    <row r="3768">
      <c r="A3768" t="inlineStr">
        <is>
          <t>RP0003767</t>
        </is>
      </c>
      <c r="B3768" t="inlineStr">
        <is>
          <t>LN200538</t>
        </is>
      </c>
      <c r="C3768" t="n">
        <v>2</v>
      </c>
      <c r="D3768" s="8" t="n">
        <v>46207</v>
      </c>
      <c r="E3768" s="9" t="n">
        <v>16323.03</v>
      </c>
      <c r="F3768" s="8" t="n">
        <v>46205</v>
      </c>
      <c r="G3768" s="9" t="n">
        <v>16323.03</v>
      </c>
      <c r="H3768" t="inlineStr">
        <is>
          <t>PAID_ON_TIME</t>
        </is>
      </c>
      <c r="I3768">
        <f>IF(H3768="UNPAID", AsOfDate-D3768, 0)</f>
        <v/>
      </c>
      <c r="J3768">
        <f>IF(F3768&lt;&gt;"", TEXT(F3768, "yyyy-mm"), "")</f>
        <v/>
      </c>
    </row>
    <row r="3769">
      <c r="A3769" t="inlineStr">
        <is>
          <t>RP0003768</t>
        </is>
      </c>
      <c r="B3769" t="inlineStr">
        <is>
          <t>LN200538</t>
        </is>
      </c>
      <c r="C3769" t="n">
        <v>3</v>
      </c>
      <c r="D3769" s="8" t="n">
        <v>46238</v>
      </c>
      <c r="E3769" s="9" t="n">
        <v>16323.03</v>
      </c>
      <c r="F3769" s="8" t="n">
        <v>46242</v>
      </c>
      <c r="G3769" s="9" t="n">
        <v>16323.03</v>
      </c>
      <c r="H3769" t="inlineStr">
        <is>
          <t>PAID_ON_TIME</t>
        </is>
      </c>
      <c r="I3769">
        <f>IF(H3769="UNPAID", AsOfDate-D3769, 0)</f>
        <v/>
      </c>
      <c r="J3769">
        <f>IF(F3769&lt;&gt;"", TEXT(F3769, "yyyy-mm"), "")</f>
        <v/>
      </c>
    </row>
    <row r="3770">
      <c r="A3770" t="inlineStr">
        <is>
          <t>RP0003769</t>
        </is>
      </c>
      <c r="B3770" t="inlineStr">
        <is>
          <t>LN200538</t>
        </is>
      </c>
      <c r="C3770" t="n">
        <v>4</v>
      </c>
      <c r="D3770" s="8" t="n">
        <v>46269</v>
      </c>
      <c r="E3770" s="9" t="n">
        <v>16323.03</v>
      </c>
      <c r="F3770" s="8" t="n"/>
      <c r="G3770" s="9" t="n">
        <v>0</v>
      </c>
      <c r="H3770" t="inlineStr">
        <is>
          <t>NOT_DUE</t>
        </is>
      </c>
      <c r="I3770">
        <f>IF(H3770="UNPAID", AsOfDate-D3770, 0)</f>
        <v/>
      </c>
      <c r="J3770">
        <f>IF(F3770&lt;&gt;"", TEXT(F3770, "yyyy-mm"), "")</f>
        <v/>
      </c>
    </row>
    <row r="3771">
      <c r="A3771" t="inlineStr">
        <is>
          <t>RP0003770</t>
        </is>
      </c>
      <c r="B3771" t="inlineStr">
        <is>
          <t>LN200538</t>
        </is>
      </c>
      <c r="C3771" t="n">
        <v>5</v>
      </c>
      <c r="D3771" s="8" t="n">
        <v>46299</v>
      </c>
      <c r="E3771" s="9" t="n">
        <v>16323.03</v>
      </c>
      <c r="F3771" s="8" t="n"/>
      <c r="G3771" s="9" t="n">
        <v>0</v>
      </c>
      <c r="H3771" t="inlineStr">
        <is>
          <t>NOT_DUE</t>
        </is>
      </c>
      <c r="I3771">
        <f>IF(H3771="UNPAID", AsOfDate-D3771, 0)</f>
        <v/>
      </c>
      <c r="J3771">
        <f>IF(F3771&lt;&gt;"", TEXT(F3771, "yyyy-mm"), "")</f>
        <v/>
      </c>
    </row>
    <row r="3772">
      <c r="A3772" t="inlineStr">
        <is>
          <t>RP0003771</t>
        </is>
      </c>
      <c r="B3772" t="inlineStr">
        <is>
          <t>LN200538</t>
        </is>
      </c>
      <c r="C3772" t="n">
        <v>6</v>
      </c>
      <c r="D3772" s="8" t="n">
        <v>46330</v>
      </c>
      <c r="E3772" s="9" t="n">
        <v>16323.03</v>
      </c>
      <c r="F3772" s="8" t="n"/>
      <c r="G3772" s="9" t="n">
        <v>0</v>
      </c>
      <c r="H3772" t="inlineStr">
        <is>
          <t>NOT_DUE</t>
        </is>
      </c>
      <c r="I3772">
        <f>IF(H3772="UNPAID", AsOfDate-D3772, 0)</f>
        <v/>
      </c>
      <c r="J3772">
        <f>IF(F3772&lt;&gt;"", TEXT(F3772, "yyyy-mm"), "")</f>
        <v/>
      </c>
    </row>
    <row r="3773">
      <c r="A3773" t="inlineStr">
        <is>
          <t>RP0003772</t>
        </is>
      </c>
      <c r="B3773" t="inlineStr">
        <is>
          <t>LN200538</t>
        </is>
      </c>
      <c r="C3773" t="n">
        <v>7</v>
      </c>
      <c r="D3773" s="8" t="n">
        <v>46360</v>
      </c>
      <c r="E3773" s="9" t="n">
        <v>16323.03</v>
      </c>
      <c r="F3773" s="8" t="n"/>
      <c r="G3773" s="9" t="n">
        <v>0</v>
      </c>
      <c r="H3773" t="inlineStr">
        <is>
          <t>NOT_DUE</t>
        </is>
      </c>
      <c r="I3773">
        <f>IF(H3773="UNPAID", AsOfDate-D3773, 0)</f>
        <v/>
      </c>
      <c r="J3773">
        <f>IF(F3773&lt;&gt;"", TEXT(F3773, "yyyy-mm"), "")</f>
        <v/>
      </c>
    </row>
    <row r="3774">
      <c r="A3774" t="inlineStr">
        <is>
          <t>RP0003773</t>
        </is>
      </c>
      <c r="B3774" t="inlineStr">
        <is>
          <t>LN200538</t>
        </is>
      </c>
      <c r="C3774" t="n">
        <v>8</v>
      </c>
      <c r="D3774" s="8" t="n">
        <v>46391</v>
      </c>
      <c r="E3774" s="9" t="n">
        <v>16323.03</v>
      </c>
      <c r="F3774" s="8" t="n"/>
      <c r="G3774" s="9" t="n">
        <v>0</v>
      </c>
      <c r="H3774" t="inlineStr">
        <is>
          <t>NOT_DUE</t>
        </is>
      </c>
      <c r="I3774">
        <f>IF(H3774="UNPAID", AsOfDate-D3774, 0)</f>
        <v/>
      </c>
      <c r="J3774">
        <f>IF(F3774&lt;&gt;"", TEXT(F3774, "yyyy-mm"), "")</f>
        <v/>
      </c>
    </row>
    <row r="3775">
      <c r="A3775" t="inlineStr">
        <is>
          <t>RP0003774</t>
        </is>
      </c>
      <c r="B3775" t="inlineStr">
        <is>
          <t>LN200538</t>
        </is>
      </c>
      <c r="C3775" t="n">
        <v>9</v>
      </c>
      <c r="D3775" s="8" t="n">
        <v>46422</v>
      </c>
      <c r="E3775" s="9" t="n">
        <v>16323.03</v>
      </c>
      <c r="F3775" s="8" t="n"/>
      <c r="G3775" s="9" t="n">
        <v>0</v>
      </c>
      <c r="H3775" t="inlineStr">
        <is>
          <t>NOT_DUE</t>
        </is>
      </c>
      <c r="I3775">
        <f>IF(H3775="UNPAID", AsOfDate-D3775, 0)</f>
        <v/>
      </c>
      <c r="J3775">
        <f>IF(F3775&lt;&gt;"", TEXT(F3775, "yyyy-mm"), "")</f>
        <v/>
      </c>
    </row>
    <row r="3776">
      <c r="A3776" t="inlineStr">
        <is>
          <t>RP0003775</t>
        </is>
      </c>
      <c r="B3776" t="inlineStr">
        <is>
          <t>LN200540</t>
        </is>
      </c>
      <c r="C3776" t="n">
        <v>1</v>
      </c>
      <c r="D3776" s="8" t="n">
        <v>46040</v>
      </c>
      <c r="E3776" s="9" t="n">
        <v>21564.89</v>
      </c>
      <c r="F3776" s="8" t="n">
        <v>46040</v>
      </c>
      <c r="G3776" s="9" t="n">
        <v>21564.89</v>
      </c>
      <c r="H3776" t="inlineStr">
        <is>
          <t>PAID_ON_TIME</t>
        </is>
      </c>
      <c r="I3776">
        <f>IF(H3776="UNPAID", AsOfDate-D3776, 0)</f>
        <v/>
      </c>
      <c r="J3776">
        <f>IF(F3776&lt;&gt;"", TEXT(F3776, "yyyy-mm"), "")</f>
        <v/>
      </c>
    </row>
    <row r="3777">
      <c r="A3777" t="inlineStr">
        <is>
          <t>RP0003776</t>
        </is>
      </c>
      <c r="B3777" t="inlineStr">
        <is>
          <t>LN200540</t>
        </is>
      </c>
      <c r="C3777" t="n">
        <v>2</v>
      </c>
      <c r="D3777" s="8" t="n">
        <v>46071</v>
      </c>
      <c r="E3777" s="9" t="n">
        <v>21564.89</v>
      </c>
      <c r="F3777" s="8" t="n">
        <v>46071</v>
      </c>
      <c r="G3777" s="9" t="n">
        <v>21564.89</v>
      </c>
      <c r="H3777" t="inlineStr">
        <is>
          <t>PAID_ON_TIME</t>
        </is>
      </c>
      <c r="I3777">
        <f>IF(H3777="UNPAID", AsOfDate-D3777, 0)</f>
        <v/>
      </c>
      <c r="J3777">
        <f>IF(F3777&lt;&gt;"", TEXT(F3777, "yyyy-mm"), "")</f>
        <v/>
      </c>
    </row>
    <row r="3778">
      <c r="A3778" t="inlineStr">
        <is>
          <t>RP0003777</t>
        </is>
      </c>
      <c r="B3778" t="inlineStr">
        <is>
          <t>LN200540</t>
        </is>
      </c>
      <c r="C3778" t="n">
        <v>3</v>
      </c>
      <c r="D3778" s="8" t="n">
        <v>46099</v>
      </c>
      <c r="E3778" s="9" t="n">
        <v>21564.89</v>
      </c>
      <c r="F3778" s="8" t="n">
        <v>46099</v>
      </c>
      <c r="G3778" s="9" t="n">
        <v>21564.89</v>
      </c>
      <c r="H3778" t="inlineStr">
        <is>
          <t>PAID_ON_TIME</t>
        </is>
      </c>
      <c r="I3778">
        <f>IF(H3778="UNPAID", AsOfDate-D3778, 0)</f>
        <v/>
      </c>
      <c r="J3778">
        <f>IF(F3778&lt;&gt;"", TEXT(F3778, "yyyy-mm"), "")</f>
        <v/>
      </c>
    </row>
    <row r="3779">
      <c r="A3779" t="inlineStr">
        <is>
          <t>RP0003778</t>
        </is>
      </c>
      <c r="B3779" t="inlineStr">
        <is>
          <t>LN200540</t>
        </is>
      </c>
      <c r="C3779" t="n">
        <v>4</v>
      </c>
      <c r="D3779" s="8" t="n">
        <v>46130</v>
      </c>
      <c r="E3779" s="9" t="n">
        <v>21564.89</v>
      </c>
      <c r="F3779" s="8" t="n">
        <v>46134</v>
      </c>
      <c r="G3779" s="9" t="n">
        <v>21564.89</v>
      </c>
      <c r="H3779" t="inlineStr">
        <is>
          <t>PAID_ON_TIME</t>
        </is>
      </c>
      <c r="I3779">
        <f>IF(H3779="UNPAID", AsOfDate-D3779, 0)</f>
        <v/>
      </c>
      <c r="J3779">
        <f>IF(F3779&lt;&gt;"", TEXT(F3779, "yyyy-mm"), "")</f>
        <v/>
      </c>
    </row>
    <row r="3780">
      <c r="A3780" t="inlineStr">
        <is>
          <t>RP0003779</t>
        </is>
      </c>
      <c r="B3780" t="inlineStr">
        <is>
          <t>LN200540</t>
        </is>
      </c>
      <c r="C3780" t="n">
        <v>5</v>
      </c>
      <c r="D3780" s="8" t="n">
        <v>46160</v>
      </c>
      <c r="E3780" s="9" t="n">
        <v>21564.89</v>
      </c>
      <c r="F3780" s="8" t="n">
        <v>46160</v>
      </c>
      <c r="G3780" s="9" t="n">
        <v>21564.89</v>
      </c>
      <c r="H3780" t="inlineStr">
        <is>
          <t>PAID_ON_TIME</t>
        </is>
      </c>
      <c r="I3780">
        <f>IF(H3780="UNPAID", AsOfDate-D3780, 0)</f>
        <v/>
      </c>
      <c r="J3780">
        <f>IF(F3780&lt;&gt;"", TEXT(F3780, "yyyy-mm"), "")</f>
        <v/>
      </c>
    </row>
    <row r="3781">
      <c r="A3781" t="inlineStr">
        <is>
          <t>RP0003780</t>
        </is>
      </c>
      <c r="B3781" t="inlineStr">
        <is>
          <t>LN200540</t>
        </is>
      </c>
      <c r="C3781" t="n">
        <v>6</v>
      </c>
      <c r="D3781" s="8" t="n">
        <v>46191</v>
      </c>
      <c r="E3781" s="9" t="n">
        <v>21564.89</v>
      </c>
      <c r="F3781" s="8" t="n">
        <v>46192</v>
      </c>
      <c r="G3781" s="9" t="n">
        <v>21564.89</v>
      </c>
      <c r="H3781" t="inlineStr">
        <is>
          <t>PAID_ON_TIME</t>
        </is>
      </c>
      <c r="I3781">
        <f>IF(H3781="UNPAID", AsOfDate-D3781, 0)</f>
        <v/>
      </c>
      <c r="J3781">
        <f>IF(F3781&lt;&gt;"", TEXT(F3781, "yyyy-mm"), "")</f>
        <v/>
      </c>
    </row>
    <row r="3782">
      <c r="A3782" t="inlineStr">
        <is>
          <t>RP0003781</t>
        </is>
      </c>
      <c r="B3782" t="inlineStr">
        <is>
          <t>LN200540</t>
        </is>
      </c>
      <c r="C3782" t="n">
        <v>7</v>
      </c>
      <c r="D3782" s="8" t="n">
        <v>46221</v>
      </c>
      <c r="E3782" s="9" t="n">
        <v>21564.89</v>
      </c>
      <c r="F3782" s="8" t="n">
        <v>46218</v>
      </c>
      <c r="G3782" s="9" t="n">
        <v>21564.89</v>
      </c>
      <c r="H3782" t="inlineStr">
        <is>
          <t>PAID_ON_TIME</t>
        </is>
      </c>
      <c r="I3782">
        <f>IF(H3782="UNPAID", AsOfDate-D3782, 0)</f>
        <v/>
      </c>
      <c r="J3782">
        <f>IF(F3782&lt;&gt;"", TEXT(F3782, "yyyy-mm"), "")</f>
        <v/>
      </c>
    </row>
    <row r="3783">
      <c r="A3783" t="inlineStr">
        <is>
          <t>RP0003782</t>
        </is>
      </c>
      <c r="B3783" t="inlineStr">
        <is>
          <t>LN200540</t>
        </is>
      </c>
      <c r="C3783" t="n">
        <v>8</v>
      </c>
      <c r="D3783" s="8" t="n">
        <v>46252</v>
      </c>
      <c r="E3783" s="9" t="n">
        <v>21564.89</v>
      </c>
      <c r="F3783" s="8" t="n">
        <v>46253</v>
      </c>
      <c r="G3783" s="9" t="n">
        <v>21564.89</v>
      </c>
      <c r="H3783" t="inlineStr">
        <is>
          <t>PAID_ON_TIME</t>
        </is>
      </c>
      <c r="I3783">
        <f>IF(H3783="UNPAID", AsOfDate-D3783, 0)</f>
        <v/>
      </c>
      <c r="J3783">
        <f>IF(F3783&lt;&gt;"", TEXT(F3783, "yyyy-mm"), "")</f>
        <v/>
      </c>
    </row>
    <row r="3784">
      <c r="A3784" t="inlineStr">
        <is>
          <t>RP0003783</t>
        </is>
      </c>
      <c r="B3784" t="inlineStr">
        <is>
          <t>LN200540</t>
        </is>
      </c>
      <c r="C3784" t="n">
        <v>9</v>
      </c>
      <c r="D3784" s="8" t="n">
        <v>46283</v>
      </c>
      <c r="E3784" s="9" t="n">
        <v>21564.89</v>
      </c>
      <c r="F3784" s="8" t="n"/>
      <c r="G3784" s="9" t="n">
        <v>0</v>
      </c>
      <c r="H3784" t="inlineStr">
        <is>
          <t>NOT_DUE</t>
        </is>
      </c>
      <c r="I3784">
        <f>IF(H3784="UNPAID", AsOfDate-D3784, 0)</f>
        <v/>
      </c>
      <c r="J3784">
        <f>IF(F3784&lt;&gt;"", TEXT(F3784, "yyyy-mm"), "")</f>
        <v/>
      </c>
    </row>
    <row r="3785">
      <c r="A3785" t="inlineStr">
        <is>
          <t>RP0003784</t>
        </is>
      </c>
      <c r="B3785" t="inlineStr">
        <is>
          <t>LN200541</t>
        </is>
      </c>
      <c r="C3785" t="n">
        <v>1</v>
      </c>
      <c r="D3785" s="8" t="n">
        <v>46080</v>
      </c>
      <c r="E3785" s="9" t="n">
        <v>10008</v>
      </c>
      <c r="F3785" s="8" t="n">
        <v>46082</v>
      </c>
      <c r="G3785" s="9" t="n">
        <v>10008</v>
      </c>
      <c r="H3785" t="inlineStr">
        <is>
          <t>PAID_ON_TIME</t>
        </is>
      </c>
      <c r="I3785">
        <f>IF(H3785="UNPAID", AsOfDate-D3785, 0)</f>
        <v/>
      </c>
      <c r="J3785">
        <f>IF(F3785&lt;&gt;"", TEXT(F3785, "yyyy-mm"), "")</f>
        <v/>
      </c>
    </row>
    <row r="3786">
      <c r="A3786" t="inlineStr">
        <is>
          <t>RP0003785</t>
        </is>
      </c>
      <c r="B3786" t="inlineStr">
        <is>
          <t>LN200541</t>
        </is>
      </c>
      <c r="C3786" t="n">
        <v>2</v>
      </c>
      <c r="D3786" s="8" t="n">
        <v>46108</v>
      </c>
      <c r="E3786" s="9" t="n">
        <v>10008</v>
      </c>
      <c r="F3786" s="8" t="n">
        <v>46112</v>
      </c>
      <c r="G3786" s="9" t="n">
        <v>10008</v>
      </c>
      <c r="H3786" t="inlineStr">
        <is>
          <t>PAID_ON_TIME</t>
        </is>
      </c>
      <c r="I3786">
        <f>IF(H3786="UNPAID", AsOfDate-D3786, 0)</f>
        <v/>
      </c>
      <c r="J3786">
        <f>IF(F3786&lt;&gt;"", TEXT(F3786, "yyyy-mm"), "")</f>
        <v/>
      </c>
    </row>
    <row r="3787">
      <c r="A3787" t="inlineStr">
        <is>
          <t>RP0003786</t>
        </is>
      </c>
      <c r="B3787" t="inlineStr">
        <is>
          <t>LN200541</t>
        </is>
      </c>
      <c r="C3787" t="n">
        <v>3</v>
      </c>
      <c r="D3787" s="8" t="n">
        <v>46139</v>
      </c>
      <c r="E3787" s="9" t="n">
        <v>10008</v>
      </c>
      <c r="F3787" s="8" t="n">
        <v>46143</v>
      </c>
      <c r="G3787" s="9" t="n">
        <v>10008</v>
      </c>
      <c r="H3787" t="inlineStr">
        <is>
          <t>PAID_ON_TIME</t>
        </is>
      </c>
      <c r="I3787">
        <f>IF(H3787="UNPAID", AsOfDate-D3787, 0)</f>
        <v/>
      </c>
      <c r="J3787">
        <f>IF(F3787&lt;&gt;"", TEXT(F3787, "yyyy-mm"), "")</f>
        <v/>
      </c>
    </row>
    <row r="3788">
      <c r="A3788" t="inlineStr">
        <is>
          <t>RP0003787</t>
        </is>
      </c>
      <c r="B3788" t="inlineStr">
        <is>
          <t>LN200541</t>
        </is>
      </c>
      <c r="C3788" t="n">
        <v>4</v>
      </c>
      <c r="D3788" s="8" t="n">
        <v>46169</v>
      </c>
      <c r="E3788" s="9" t="n">
        <v>10008</v>
      </c>
      <c r="F3788" s="8" t="n">
        <v>46173</v>
      </c>
      <c r="G3788" s="9" t="n">
        <v>10008</v>
      </c>
      <c r="H3788" t="inlineStr">
        <is>
          <t>PAID_ON_TIME</t>
        </is>
      </c>
      <c r="I3788">
        <f>IF(H3788="UNPAID", AsOfDate-D3788, 0)</f>
        <v/>
      </c>
      <c r="J3788">
        <f>IF(F3788&lt;&gt;"", TEXT(F3788, "yyyy-mm"), "")</f>
        <v/>
      </c>
    </row>
    <row r="3789">
      <c r="A3789" t="inlineStr">
        <is>
          <t>RP0003788</t>
        </is>
      </c>
      <c r="B3789" t="inlineStr">
        <is>
          <t>LN200541</t>
        </is>
      </c>
      <c r="C3789" t="n">
        <v>5</v>
      </c>
      <c r="D3789" s="8" t="n">
        <v>46200</v>
      </c>
      <c r="E3789" s="9" t="n">
        <v>10008</v>
      </c>
      <c r="F3789" s="8" t="n">
        <v>46198</v>
      </c>
      <c r="G3789" s="9" t="n">
        <v>10008</v>
      </c>
      <c r="H3789" t="inlineStr">
        <is>
          <t>PAID_ON_TIME</t>
        </is>
      </c>
      <c r="I3789">
        <f>IF(H3789="UNPAID", AsOfDate-D3789, 0)</f>
        <v/>
      </c>
      <c r="J3789">
        <f>IF(F3789&lt;&gt;"", TEXT(F3789, "yyyy-mm"), "")</f>
        <v/>
      </c>
    </row>
    <row r="3790">
      <c r="A3790" t="inlineStr">
        <is>
          <t>RP0003789</t>
        </is>
      </c>
      <c r="B3790" t="inlineStr">
        <is>
          <t>LN200541</t>
        </is>
      </c>
      <c r="C3790" t="n">
        <v>6</v>
      </c>
      <c r="D3790" s="8" t="n">
        <v>46230</v>
      </c>
      <c r="E3790" s="9" t="n">
        <v>10008</v>
      </c>
      <c r="F3790" s="8" t="n">
        <v>46233</v>
      </c>
      <c r="G3790" s="9" t="n">
        <v>10008</v>
      </c>
      <c r="H3790" t="inlineStr">
        <is>
          <t>PAID_ON_TIME</t>
        </is>
      </c>
      <c r="I3790">
        <f>IF(H3790="UNPAID", AsOfDate-D3790, 0)</f>
        <v/>
      </c>
      <c r="J3790">
        <f>IF(F3790&lt;&gt;"", TEXT(F3790, "yyyy-mm"), "")</f>
        <v/>
      </c>
    </row>
    <row r="3791">
      <c r="A3791" t="inlineStr">
        <is>
          <t>RP0003790</t>
        </is>
      </c>
      <c r="B3791" t="inlineStr">
        <is>
          <t>LN200542</t>
        </is>
      </c>
      <c r="C3791" t="n">
        <v>1</v>
      </c>
      <c r="D3791" s="8" t="n">
        <v>45831</v>
      </c>
      <c r="E3791" s="9" t="n">
        <v>20119.58</v>
      </c>
      <c r="F3791" s="8" t="n">
        <v>45828</v>
      </c>
      <c r="G3791" s="9" t="n">
        <v>20119.58</v>
      </c>
      <c r="H3791" t="inlineStr">
        <is>
          <t>PAID_ON_TIME</t>
        </is>
      </c>
      <c r="I3791">
        <f>IF(H3791="UNPAID", AsOfDate-D3791, 0)</f>
        <v/>
      </c>
      <c r="J3791">
        <f>IF(F3791&lt;&gt;"", TEXT(F3791, "yyyy-mm"), "")</f>
        <v/>
      </c>
    </row>
    <row r="3792">
      <c r="A3792" t="inlineStr">
        <is>
          <t>RP0003791</t>
        </is>
      </c>
      <c r="B3792" t="inlineStr">
        <is>
          <t>LN200542</t>
        </is>
      </c>
      <c r="C3792" t="n">
        <v>2</v>
      </c>
      <c r="D3792" s="8" t="n">
        <v>45861</v>
      </c>
      <c r="E3792" s="9" t="n">
        <v>20119.58</v>
      </c>
      <c r="F3792" s="8" t="n">
        <v>45862</v>
      </c>
      <c r="G3792" s="9" t="n">
        <v>20119.58</v>
      </c>
      <c r="H3792" t="inlineStr">
        <is>
          <t>PAID_ON_TIME</t>
        </is>
      </c>
      <c r="I3792">
        <f>IF(H3792="UNPAID", AsOfDate-D3792, 0)</f>
        <v/>
      </c>
      <c r="J3792">
        <f>IF(F3792&lt;&gt;"", TEXT(F3792, "yyyy-mm"), "")</f>
        <v/>
      </c>
    </row>
    <row r="3793">
      <c r="A3793" t="inlineStr">
        <is>
          <t>RP0003792</t>
        </is>
      </c>
      <c r="B3793" t="inlineStr">
        <is>
          <t>LN200542</t>
        </is>
      </c>
      <c r="C3793" t="n">
        <v>3</v>
      </c>
      <c r="D3793" s="8" t="n">
        <v>45892</v>
      </c>
      <c r="E3793" s="9" t="n">
        <v>20119.58</v>
      </c>
      <c r="F3793" s="8" t="n">
        <v>45893</v>
      </c>
      <c r="G3793" s="9" t="n">
        <v>20119.58</v>
      </c>
      <c r="H3793" t="inlineStr">
        <is>
          <t>PAID_ON_TIME</t>
        </is>
      </c>
      <c r="I3793">
        <f>IF(H3793="UNPAID", AsOfDate-D3793, 0)</f>
        <v/>
      </c>
      <c r="J3793">
        <f>IF(F3793&lt;&gt;"", TEXT(F3793, "yyyy-mm"), "")</f>
        <v/>
      </c>
    </row>
    <row r="3794">
      <c r="A3794" t="inlineStr">
        <is>
          <t>RP0003793</t>
        </is>
      </c>
      <c r="B3794" t="inlineStr">
        <is>
          <t>LN200542</t>
        </is>
      </c>
      <c r="C3794" t="n">
        <v>4</v>
      </c>
      <c r="D3794" s="8" t="n">
        <v>45923</v>
      </c>
      <c r="E3794" s="9" t="n">
        <v>20119.58</v>
      </c>
      <c r="F3794" s="8" t="n">
        <v>45926</v>
      </c>
      <c r="G3794" s="9" t="n">
        <v>20119.58</v>
      </c>
      <c r="H3794" t="inlineStr">
        <is>
          <t>PAID_ON_TIME</t>
        </is>
      </c>
      <c r="I3794">
        <f>IF(H3794="UNPAID", AsOfDate-D3794, 0)</f>
        <v/>
      </c>
      <c r="J3794">
        <f>IF(F3794&lt;&gt;"", TEXT(F3794, "yyyy-mm"), "")</f>
        <v/>
      </c>
    </row>
    <row r="3795">
      <c r="A3795" t="inlineStr">
        <is>
          <t>RP0003794</t>
        </is>
      </c>
      <c r="B3795" t="inlineStr">
        <is>
          <t>LN200542</t>
        </is>
      </c>
      <c r="C3795" t="n">
        <v>5</v>
      </c>
      <c r="D3795" s="8" t="n">
        <v>45953</v>
      </c>
      <c r="E3795" s="9" t="n">
        <v>20119.58</v>
      </c>
      <c r="F3795" s="8" t="n">
        <v>46055</v>
      </c>
      <c r="G3795" s="9" t="n">
        <v>20119.58</v>
      </c>
      <c r="H3795" t="inlineStr">
        <is>
          <t>PAID_LATE</t>
        </is>
      </c>
      <c r="I3795">
        <f>IF(H3795="UNPAID", AsOfDate-D3795, 0)</f>
        <v/>
      </c>
      <c r="J3795">
        <f>IF(F3795&lt;&gt;"", TEXT(F3795, "yyyy-mm"), "")</f>
        <v/>
      </c>
    </row>
    <row r="3796">
      <c r="A3796" t="inlineStr">
        <is>
          <t>RP0003795</t>
        </is>
      </c>
      <c r="B3796" t="inlineStr">
        <is>
          <t>LN200542</t>
        </is>
      </c>
      <c r="C3796" t="n">
        <v>6</v>
      </c>
      <c r="D3796" s="8" t="n">
        <v>45984</v>
      </c>
      <c r="E3796" s="9" t="n">
        <v>20119.58</v>
      </c>
      <c r="F3796" s="8" t="n">
        <v>45981</v>
      </c>
      <c r="G3796" s="9" t="n">
        <v>20119.58</v>
      </c>
      <c r="H3796" t="inlineStr">
        <is>
          <t>PAID_ON_TIME</t>
        </is>
      </c>
      <c r="I3796">
        <f>IF(H3796="UNPAID", AsOfDate-D3796, 0)</f>
        <v/>
      </c>
      <c r="J3796">
        <f>IF(F3796&lt;&gt;"", TEXT(F3796, "yyyy-mm"), "")</f>
        <v/>
      </c>
    </row>
    <row r="3797">
      <c r="A3797" t="inlineStr">
        <is>
          <t>RP0003796</t>
        </is>
      </c>
      <c r="B3797" t="inlineStr">
        <is>
          <t>LN200543</t>
        </is>
      </c>
      <c r="C3797" t="n">
        <v>1</v>
      </c>
      <c r="D3797" s="8" t="n">
        <v>46051</v>
      </c>
      <c r="E3797" s="9" t="n">
        <v>13161.11</v>
      </c>
      <c r="F3797" s="8" t="n">
        <v>46052</v>
      </c>
      <c r="G3797" s="9" t="n">
        <v>13161.11</v>
      </c>
      <c r="H3797" t="inlineStr">
        <is>
          <t>PAID_ON_TIME</t>
        </is>
      </c>
      <c r="I3797">
        <f>IF(H3797="UNPAID", AsOfDate-D3797, 0)</f>
        <v/>
      </c>
      <c r="J3797">
        <f>IF(F3797&lt;&gt;"", TEXT(F3797, "yyyy-mm"), "")</f>
        <v/>
      </c>
    </row>
    <row r="3798">
      <c r="A3798" t="inlineStr">
        <is>
          <t>RP0003797</t>
        </is>
      </c>
      <c r="B3798" t="inlineStr">
        <is>
          <t>LN200543</t>
        </is>
      </c>
      <c r="C3798" t="n">
        <v>2</v>
      </c>
      <c r="D3798" s="8" t="n">
        <v>46081</v>
      </c>
      <c r="E3798" s="9" t="n">
        <v>13161.11</v>
      </c>
      <c r="F3798" s="8" t="n">
        <v>46081</v>
      </c>
      <c r="G3798" s="9" t="n">
        <v>13161.11</v>
      </c>
      <c r="H3798" t="inlineStr">
        <is>
          <t>PAID_ON_TIME</t>
        </is>
      </c>
      <c r="I3798">
        <f>IF(H3798="UNPAID", AsOfDate-D3798, 0)</f>
        <v/>
      </c>
      <c r="J3798">
        <f>IF(F3798&lt;&gt;"", TEXT(F3798, "yyyy-mm"), "")</f>
        <v/>
      </c>
    </row>
    <row r="3799">
      <c r="A3799" t="inlineStr">
        <is>
          <t>RP0003798</t>
        </is>
      </c>
      <c r="B3799" t="inlineStr">
        <is>
          <t>LN200543</t>
        </is>
      </c>
      <c r="C3799" t="n">
        <v>3</v>
      </c>
      <c r="D3799" s="8" t="n">
        <v>46110</v>
      </c>
      <c r="E3799" s="9" t="n">
        <v>13161.11</v>
      </c>
      <c r="F3799" s="8" t="n">
        <v>46113</v>
      </c>
      <c r="G3799" s="9" t="n">
        <v>13161.11</v>
      </c>
      <c r="H3799" t="inlineStr">
        <is>
          <t>PAID_ON_TIME</t>
        </is>
      </c>
      <c r="I3799">
        <f>IF(H3799="UNPAID", AsOfDate-D3799, 0)</f>
        <v/>
      </c>
      <c r="J3799">
        <f>IF(F3799&lt;&gt;"", TEXT(F3799, "yyyy-mm"), "")</f>
        <v/>
      </c>
    </row>
    <row r="3800">
      <c r="A3800" t="inlineStr">
        <is>
          <t>RP0003799</t>
        </is>
      </c>
      <c r="B3800" t="inlineStr">
        <is>
          <t>LN200543</t>
        </is>
      </c>
      <c r="C3800" t="n">
        <v>4</v>
      </c>
      <c r="D3800" s="8" t="n">
        <v>46141</v>
      </c>
      <c r="E3800" s="9" t="n">
        <v>13161.11</v>
      </c>
      <c r="F3800" s="8" t="n">
        <v>46138</v>
      </c>
      <c r="G3800" s="9" t="n">
        <v>13161.11</v>
      </c>
      <c r="H3800" t="inlineStr">
        <is>
          <t>PAID_ON_TIME</t>
        </is>
      </c>
      <c r="I3800">
        <f>IF(H3800="UNPAID", AsOfDate-D3800, 0)</f>
        <v/>
      </c>
      <c r="J3800">
        <f>IF(F3800&lt;&gt;"", TEXT(F3800, "yyyy-mm"), "")</f>
        <v/>
      </c>
    </row>
    <row r="3801">
      <c r="A3801" t="inlineStr">
        <is>
          <t>RP0003800</t>
        </is>
      </c>
      <c r="B3801" t="inlineStr">
        <is>
          <t>LN200543</t>
        </is>
      </c>
      <c r="C3801" t="n">
        <v>5</v>
      </c>
      <c r="D3801" s="8" t="n">
        <v>46171</v>
      </c>
      <c r="E3801" s="9" t="n">
        <v>13161.11</v>
      </c>
      <c r="F3801" s="8" t="n">
        <v>46199</v>
      </c>
      <c r="G3801" s="9" t="n">
        <v>13161.11</v>
      </c>
      <c r="H3801" t="inlineStr">
        <is>
          <t>PAID_LATE</t>
        </is>
      </c>
      <c r="I3801">
        <f>IF(H3801="UNPAID", AsOfDate-D3801, 0)</f>
        <v/>
      </c>
      <c r="J3801">
        <f>IF(F3801&lt;&gt;"", TEXT(F3801, "yyyy-mm"), "")</f>
        <v/>
      </c>
    </row>
    <row r="3802">
      <c r="A3802" t="inlineStr">
        <is>
          <t>RP0003801</t>
        </is>
      </c>
      <c r="B3802" t="inlineStr">
        <is>
          <t>LN200543</t>
        </is>
      </c>
      <c r="C3802" t="n">
        <v>6</v>
      </c>
      <c r="D3802" s="8" t="n">
        <v>46202</v>
      </c>
      <c r="E3802" s="9" t="n">
        <v>13161.11</v>
      </c>
      <c r="F3802" s="8" t="n">
        <v>46202</v>
      </c>
      <c r="G3802" s="9" t="n">
        <v>13161.11</v>
      </c>
      <c r="H3802" t="inlineStr">
        <is>
          <t>PAID_ON_TIME</t>
        </is>
      </c>
      <c r="I3802">
        <f>IF(H3802="UNPAID", AsOfDate-D3802, 0)</f>
        <v/>
      </c>
      <c r="J3802">
        <f>IF(F3802&lt;&gt;"", TEXT(F3802, "yyyy-mm"), "")</f>
        <v/>
      </c>
    </row>
    <row r="3803">
      <c r="A3803" t="inlineStr">
        <is>
          <t>RP0003802</t>
        </is>
      </c>
      <c r="B3803" t="inlineStr">
        <is>
          <t>LN200543</t>
        </is>
      </c>
      <c r="C3803" t="n">
        <v>7</v>
      </c>
      <c r="D3803" s="8" t="n">
        <v>46232</v>
      </c>
      <c r="E3803" s="9" t="n">
        <v>13161.11</v>
      </c>
      <c r="F3803" s="8" t="n">
        <v>46235</v>
      </c>
      <c r="G3803" s="9" t="n">
        <v>13161.11</v>
      </c>
      <c r="H3803" t="inlineStr">
        <is>
          <t>PAID_ON_TIME</t>
        </is>
      </c>
      <c r="I3803">
        <f>IF(H3803="UNPAID", AsOfDate-D3803, 0)</f>
        <v/>
      </c>
      <c r="J3803">
        <f>IF(F3803&lt;&gt;"", TEXT(F3803, "yyyy-mm"), "")</f>
        <v/>
      </c>
    </row>
    <row r="3804">
      <c r="A3804" t="inlineStr">
        <is>
          <t>RP0003803</t>
        </is>
      </c>
      <c r="B3804" t="inlineStr">
        <is>
          <t>LN200543</t>
        </is>
      </c>
      <c r="C3804" t="n">
        <v>8</v>
      </c>
      <c r="D3804" s="8" t="n">
        <v>46263</v>
      </c>
      <c r="E3804" s="9" t="n">
        <v>13161.11</v>
      </c>
      <c r="F3804" s="8" t="n">
        <v>46263</v>
      </c>
      <c r="G3804" s="9" t="n">
        <v>13161.11</v>
      </c>
      <c r="H3804" t="inlineStr">
        <is>
          <t>PAID_ON_TIME</t>
        </is>
      </c>
      <c r="I3804">
        <f>IF(H3804="UNPAID", AsOfDate-D3804, 0)</f>
        <v/>
      </c>
      <c r="J3804">
        <f>IF(F3804&lt;&gt;"", TEXT(F3804, "yyyy-mm"), "")</f>
        <v/>
      </c>
    </row>
    <row r="3805">
      <c r="A3805" t="inlineStr">
        <is>
          <t>RP0003804</t>
        </is>
      </c>
      <c r="B3805" t="inlineStr">
        <is>
          <t>LN200543</t>
        </is>
      </c>
      <c r="C3805" t="n">
        <v>9</v>
      </c>
      <c r="D3805" s="8" t="n">
        <v>46294</v>
      </c>
      <c r="E3805" s="9" t="n">
        <v>13161.11</v>
      </c>
      <c r="F3805" s="8" t="n"/>
      <c r="G3805" s="9" t="n">
        <v>0</v>
      </c>
      <c r="H3805" t="inlineStr">
        <is>
          <t>NOT_DUE</t>
        </is>
      </c>
      <c r="I3805">
        <f>IF(H3805="UNPAID", AsOfDate-D3805, 0)</f>
        <v/>
      </c>
      <c r="J3805">
        <f>IF(F3805&lt;&gt;"", TEXT(F3805, "yyyy-mm"), "")</f>
        <v/>
      </c>
    </row>
    <row r="3806">
      <c r="A3806" t="inlineStr">
        <is>
          <t>RP0003805</t>
        </is>
      </c>
      <c r="B3806" t="inlineStr">
        <is>
          <t>LN200543</t>
        </is>
      </c>
      <c r="C3806" t="n">
        <v>10</v>
      </c>
      <c r="D3806" s="8" t="n">
        <v>46324</v>
      </c>
      <c r="E3806" s="9" t="n">
        <v>13161.11</v>
      </c>
      <c r="F3806" s="8" t="n"/>
      <c r="G3806" s="9" t="n">
        <v>0</v>
      </c>
      <c r="H3806" t="inlineStr">
        <is>
          <t>NOT_DUE</t>
        </is>
      </c>
      <c r="I3806">
        <f>IF(H3806="UNPAID", AsOfDate-D3806, 0)</f>
        <v/>
      </c>
      <c r="J3806">
        <f>IF(F3806&lt;&gt;"", TEXT(F3806, "yyyy-mm"), "")</f>
        <v/>
      </c>
    </row>
    <row r="3807">
      <c r="A3807" t="inlineStr">
        <is>
          <t>RP0003806</t>
        </is>
      </c>
      <c r="B3807" t="inlineStr">
        <is>
          <t>LN200543</t>
        </is>
      </c>
      <c r="C3807" t="n">
        <v>11</v>
      </c>
      <c r="D3807" s="8" t="n">
        <v>46355</v>
      </c>
      <c r="E3807" s="9" t="n">
        <v>13161.11</v>
      </c>
      <c r="F3807" s="8" t="n"/>
      <c r="G3807" s="9" t="n">
        <v>0</v>
      </c>
      <c r="H3807" t="inlineStr">
        <is>
          <t>NOT_DUE</t>
        </is>
      </c>
      <c r="I3807">
        <f>IF(H3807="UNPAID", AsOfDate-D3807, 0)</f>
        <v/>
      </c>
      <c r="J3807">
        <f>IF(F3807&lt;&gt;"", TEXT(F3807, "yyyy-mm"), "")</f>
        <v/>
      </c>
    </row>
    <row r="3808">
      <c r="A3808" t="inlineStr">
        <is>
          <t>RP0003807</t>
        </is>
      </c>
      <c r="B3808" t="inlineStr">
        <is>
          <t>LN200543</t>
        </is>
      </c>
      <c r="C3808" t="n">
        <v>12</v>
      </c>
      <c r="D3808" s="8" t="n">
        <v>46385</v>
      </c>
      <c r="E3808" s="9" t="n">
        <v>13161.11</v>
      </c>
      <c r="F3808" s="8" t="n"/>
      <c r="G3808" s="9" t="n">
        <v>0</v>
      </c>
      <c r="H3808" t="inlineStr">
        <is>
          <t>NOT_DUE</t>
        </is>
      </c>
      <c r="I3808">
        <f>IF(H3808="UNPAID", AsOfDate-D3808, 0)</f>
        <v/>
      </c>
      <c r="J3808">
        <f>IF(F3808&lt;&gt;"", TEXT(F3808, "yyyy-mm"), "")</f>
        <v/>
      </c>
    </row>
    <row r="3809">
      <c r="A3809" t="inlineStr">
        <is>
          <t>RP0003808</t>
        </is>
      </c>
      <c r="B3809" t="inlineStr">
        <is>
          <t>LN200543</t>
        </is>
      </c>
      <c r="C3809" t="n">
        <v>13</v>
      </c>
      <c r="D3809" s="8" t="n">
        <v>46416</v>
      </c>
      <c r="E3809" s="9" t="n">
        <v>13161.11</v>
      </c>
      <c r="F3809" s="8" t="n"/>
      <c r="G3809" s="9" t="n">
        <v>0</v>
      </c>
      <c r="H3809" t="inlineStr">
        <is>
          <t>NOT_DUE</t>
        </is>
      </c>
      <c r="I3809">
        <f>IF(H3809="UNPAID", AsOfDate-D3809, 0)</f>
        <v/>
      </c>
      <c r="J3809">
        <f>IF(F3809&lt;&gt;"", TEXT(F3809, "yyyy-mm"), "")</f>
        <v/>
      </c>
    </row>
    <row r="3810">
      <c r="A3810" t="inlineStr">
        <is>
          <t>RP0003809</t>
        </is>
      </c>
      <c r="B3810" t="inlineStr">
        <is>
          <t>LN200543</t>
        </is>
      </c>
      <c r="C3810" t="n">
        <v>14</v>
      </c>
      <c r="D3810" s="8" t="n">
        <v>46446</v>
      </c>
      <c r="E3810" s="9" t="n">
        <v>13161.11</v>
      </c>
      <c r="F3810" s="8" t="n"/>
      <c r="G3810" s="9" t="n">
        <v>0</v>
      </c>
      <c r="H3810" t="inlineStr">
        <is>
          <t>NOT_DUE</t>
        </is>
      </c>
      <c r="I3810">
        <f>IF(H3810="UNPAID", AsOfDate-D3810, 0)</f>
        <v/>
      </c>
      <c r="J3810">
        <f>IF(F3810&lt;&gt;"", TEXT(F3810, "yyyy-mm"), "")</f>
        <v/>
      </c>
    </row>
    <row r="3811">
      <c r="A3811" t="inlineStr">
        <is>
          <t>RP0003810</t>
        </is>
      </c>
      <c r="B3811" t="inlineStr">
        <is>
          <t>LN200543</t>
        </is>
      </c>
      <c r="C3811" t="n">
        <v>15</v>
      </c>
      <c r="D3811" s="8" t="n">
        <v>46475</v>
      </c>
      <c r="E3811" s="9" t="n">
        <v>13161.11</v>
      </c>
      <c r="F3811" s="8" t="n"/>
      <c r="G3811" s="9" t="n">
        <v>0</v>
      </c>
      <c r="H3811" t="inlineStr">
        <is>
          <t>NOT_DUE</t>
        </is>
      </c>
      <c r="I3811">
        <f>IF(H3811="UNPAID", AsOfDate-D3811, 0)</f>
        <v/>
      </c>
      <c r="J3811">
        <f>IF(F3811&lt;&gt;"", TEXT(F3811, "yyyy-mm"), "")</f>
        <v/>
      </c>
    </row>
    <row r="3812">
      <c r="A3812" t="inlineStr">
        <is>
          <t>RP0003811</t>
        </is>
      </c>
      <c r="B3812" t="inlineStr">
        <is>
          <t>LN200543</t>
        </is>
      </c>
      <c r="C3812" t="n">
        <v>16</v>
      </c>
      <c r="D3812" s="8" t="n">
        <v>46506</v>
      </c>
      <c r="E3812" s="9" t="n">
        <v>13161.11</v>
      </c>
      <c r="F3812" s="8" t="n"/>
      <c r="G3812" s="9" t="n">
        <v>0</v>
      </c>
      <c r="H3812" t="inlineStr">
        <is>
          <t>NOT_DUE</t>
        </is>
      </c>
      <c r="I3812">
        <f>IF(H3812="UNPAID", AsOfDate-D3812, 0)</f>
        <v/>
      </c>
      <c r="J3812">
        <f>IF(F3812&lt;&gt;"", TEXT(F3812, "yyyy-mm"), "")</f>
        <v/>
      </c>
    </row>
    <row r="3813">
      <c r="A3813" t="inlineStr">
        <is>
          <t>RP0003812</t>
        </is>
      </c>
      <c r="B3813" t="inlineStr">
        <is>
          <t>LN200543</t>
        </is>
      </c>
      <c r="C3813" t="n">
        <v>17</v>
      </c>
      <c r="D3813" s="8" t="n">
        <v>46536</v>
      </c>
      <c r="E3813" s="9" t="n">
        <v>13161.11</v>
      </c>
      <c r="F3813" s="8" t="n"/>
      <c r="G3813" s="9" t="n">
        <v>0</v>
      </c>
      <c r="H3813" t="inlineStr">
        <is>
          <t>NOT_DUE</t>
        </is>
      </c>
      <c r="I3813">
        <f>IF(H3813="UNPAID", AsOfDate-D3813, 0)</f>
        <v/>
      </c>
      <c r="J3813">
        <f>IF(F3813&lt;&gt;"", TEXT(F3813, "yyyy-mm"), "")</f>
        <v/>
      </c>
    </row>
    <row r="3814">
      <c r="A3814" t="inlineStr">
        <is>
          <t>RP0003813</t>
        </is>
      </c>
      <c r="B3814" t="inlineStr">
        <is>
          <t>LN200543</t>
        </is>
      </c>
      <c r="C3814" t="n">
        <v>18</v>
      </c>
      <c r="D3814" s="8" t="n">
        <v>46567</v>
      </c>
      <c r="E3814" s="9" t="n">
        <v>13161.11</v>
      </c>
      <c r="F3814" s="8" t="n"/>
      <c r="G3814" s="9" t="n">
        <v>0</v>
      </c>
      <c r="H3814" t="inlineStr">
        <is>
          <t>NOT_DUE</t>
        </is>
      </c>
      <c r="I3814">
        <f>IF(H3814="UNPAID", AsOfDate-D3814, 0)</f>
        <v/>
      </c>
      <c r="J3814">
        <f>IF(F3814&lt;&gt;"", TEXT(F3814, "yyyy-mm"), "")</f>
        <v/>
      </c>
    </row>
    <row r="3815">
      <c r="A3815" t="inlineStr">
        <is>
          <t>RP0003814</t>
        </is>
      </c>
      <c r="B3815" t="inlineStr">
        <is>
          <t>LN200544</t>
        </is>
      </c>
      <c r="C3815" t="n">
        <v>1</v>
      </c>
      <c r="D3815" s="8" t="n">
        <v>46156</v>
      </c>
      <c r="E3815" s="9" t="n">
        <v>35686.67</v>
      </c>
      <c r="F3815" s="8" t="n">
        <v>46232</v>
      </c>
      <c r="G3815" s="9" t="n">
        <v>35686.67</v>
      </c>
      <c r="H3815" t="inlineStr">
        <is>
          <t>PAID_LATE</t>
        </is>
      </c>
      <c r="I3815">
        <f>IF(H3815="UNPAID", AsOfDate-D3815, 0)</f>
        <v/>
      </c>
      <c r="J3815">
        <f>IF(F3815&lt;&gt;"", TEXT(F3815, "yyyy-mm"), "")</f>
        <v/>
      </c>
    </row>
    <row r="3816">
      <c r="A3816" t="inlineStr">
        <is>
          <t>RP0003815</t>
        </is>
      </c>
      <c r="B3816" t="inlineStr">
        <is>
          <t>LN200544</t>
        </is>
      </c>
      <c r="C3816" t="n">
        <v>2</v>
      </c>
      <c r="D3816" s="8" t="n">
        <v>46187</v>
      </c>
      <c r="E3816" s="9" t="n">
        <v>35686.67</v>
      </c>
      <c r="F3816" s="8" t="n">
        <v>46186</v>
      </c>
      <c r="G3816" s="9" t="n">
        <v>35686.67</v>
      </c>
      <c r="H3816" t="inlineStr">
        <is>
          <t>PAID_ON_TIME</t>
        </is>
      </c>
      <c r="I3816">
        <f>IF(H3816="UNPAID", AsOfDate-D3816, 0)</f>
        <v/>
      </c>
      <c r="J3816">
        <f>IF(F3816&lt;&gt;"", TEXT(F3816, "yyyy-mm"), "")</f>
        <v/>
      </c>
    </row>
    <row r="3817">
      <c r="A3817" t="inlineStr">
        <is>
          <t>RP0003816</t>
        </is>
      </c>
      <c r="B3817" t="inlineStr">
        <is>
          <t>LN200544</t>
        </is>
      </c>
      <c r="C3817" t="n">
        <v>3</v>
      </c>
      <c r="D3817" s="8" t="n">
        <v>46217</v>
      </c>
      <c r="E3817" s="9" t="n">
        <v>35686.67</v>
      </c>
      <c r="F3817" s="8" t="n"/>
      <c r="G3817" s="9" t="n">
        <v>0</v>
      </c>
      <c r="H3817" t="inlineStr">
        <is>
          <t>UNPAID</t>
        </is>
      </c>
      <c r="I3817">
        <f>IF(H3817="UNPAID", AsOfDate-D3817, 0)</f>
        <v/>
      </c>
      <c r="J3817">
        <f>IF(F3817&lt;&gt;"", TEXT(F3817, "yyyy-mm"), "")</f>
        <v/>
      </c>
    </row>
    <row r="3818">
      <c r="A3818" t="inlineStr">
        <is>
          <t>RP0003817</t>
        </is>
      </c>
      <c r="B3818" t="inlineStr">
        <is>
          <t>LN200544</t>
        </is>
      </c>
      <c r="C3818" t="n">
        <v>4</v>
      </c>
      <c r="D3818" s="8" t="n">
        <v>46248</v>
      </c>
      <c r="E3818" s="9" t="n">
        <v>35686.67</v>
      </c>
      <c r="F3818" s="8" t="n">
        <v>46250</v>
      </c>
      <c r="G3818" s="9" t="n">
        <v>35686.67</v>
      </c>
      <c r="H3818" t="inlineStr">
        <is>
          <t>PAID_ON_TIME</t>
        </is>
      </c>
      <c r="I3818">
        <f>IF(H3818="UNPAID", AsOfDate-D3818, 0)</f>
        <v/>
      </c>
      <c r="J3818">
        <f>IF(F3818&lt;&gt;"", TEXT(F3818, "yyyy-mm"), "")</f>
        <v/>
      </c>
    </row>
    <row r="3819">
      <c r="A3819" t="inlineStr">
        <is>
          <t>RP0003818</t>
        </is>
      </c>
      <c r="B3819" t="inlineStr">
        <is>
          <t>LN200544</t>
        </is>
      </c>
      <c r="C3819" t="n">
        <v>5</v>
      </c>
      <c r="D3819" s="8" t="n">
        <v>46279</v>
      </c>
      <c r="E3819" s="9" t="n">
        <v>35686.67</v>
      </c>
      <c r="F3819" s="8" t="n"/>
      <c r="G3819" s="9" t="n">
        <v>0</v>
      </c>
      <c r="H3819" t="inlineStr">
        <is>
          <t>NOT_DUE</t>
        </is>
      </c>
      <c r="I3819">
        <f>IF(H3819="UNPAID", AsOfDate-D3819, 0)</f>
        <v/>
      </c>
      <c r="J3819">
        <f>IF(F3819&lt;&gt;"", TEXT(F3819, "yyyy-mm"), "")</f>
        <v/>
      </c>
    </row>
    <row r="3820">
      <c r="A3820" t="inlineStr">
        <is>
          <t>RP0003819</t>
        </is>
      </c>
      <c r="B3820" t="inlineStr">
        <is>
          <t>LN200544</t>
        </is>
      </c>
      <c r="C3820" t="n">
        <v>6</v>
      </c>
      <c r="D3820" s="8" t="n">
        <v>46309</v>
      </c>
      <c r="E3820" s="9" t="n">
        <v>35686.67</v>
      </c>
      <c r="F3820" s="8" t="n"/>
      <c r="G3820" s="9" t="n">
        <v>0</v>
      </c>
      <c r="H3820" t="inlineStr">
        <is>
          <t>NOT_DUE</t>
        </is>
      </c>
      <c r="I3820">
        <f>IF(H3820="UNPAID", AsOfDate-D3820, 0)</f>
        <v/>
      </c>
      <c r="J3820">
        <f>IF(F3820&lt;&gt;"", TEXT(F3820, "yyyy-mm"), "")</f>
        <v/>
      </c>
    </row>
    <row r="3821">
      <c r="A3821" t="inlineStr">
        <is>
          <t>RP0003820</t>
        </is>
      </c>
      <c r="B3821" t="inlineStr">
        <is>
          <t>LN200545</t>
        </is>
      </c>
      <c r="C3821" t="n">
        <v>1</v>
      </c>
      <c r="D3821" s="8" t="n">
        <v>45967</v>
      </c>
      <c r="E3821" s="9" t="n">
        <v>20556.58</v>
      </c>
      <c r="F3821" s="8" t="n">
        <v>45969</v>
      </c>
      <c r="G3821" s="9" t="n">
        <v>20556.58</v>
      </c>
      <c r="H3821" t="inlineStr">
        <is>
          <t>PAID_ON_TIME</t>
        </is>
      </c>
      <c r="I3821">
        <f>IF(H3821="UNPAID", AsOfDate-D3821, 0)</f>
        <v/>
      </c>
      <c r="J3821">
        <f>IF(F3821&lt;&gt;"", TEXT(F3821, "yyyy-mm"), "")</f>
        <v/>
      </c>
    </row>
    <row r="3822">
      <c r="A3822" t="inlineStr">
        <is>
          <t>RP0003821</t>
        </is>
      </c>
      <c r="B3822" t="inlineStr">
        <is>
          <t>LN200545</t>
        </is>
      </c>
      <c r="C3822" t="n">
        <v>2</v>
      </c>
      <c r="D3822" s="8" t="n">
        <v>45997</v>
      </c>
      <c r="E3822" s="9" t="n">
        <v>20556.58</v>
      </c>
      <c r="F3822" s="8" t="n">
        <v>45994</v>
      </c>
      <c r="G3822" s="9" t="n">
        <v>20556.58</v>
      </c>
      <c r="H3822" t="inlineStr">
        <is>
          <t>PAID_ON_TIME</t>
        </is>
      </c>
      <c r="I3822">
        <f>IF(H3822="UNPAID", AsOfDate-D3822, 0)</f>
        <v/>
      </c>
      <c r="J3822">
        <f>IF(F3822&lt;&gt;"", TEXT(F3822, "yyyy-mm"), "")</f>
        <v/>
      </c>
    </row>
    <row r="3823">
      <c r="A3823" t="inlineStr">
        <is>
          <t>RP0003822</t>
        </is>
      </c>
      <c r="B3823" t="inlineStr">
        <is>
          <t>LN200545</t>
        </is>
      </c>
      <c r="C3823" t="n">
        <v>3</v>
      </c>
      <c r="D3823" s="8" t="n">
        <v>46028</v>
      </c>
      <c r="E3823" s="9" t="n">
        <v>20556.58</v>
      </c>
      <c r="F3823" s="8" t="n">
        <v>46030</v>
      </c>
      <c r="G3823" s="9" t="n">
        <v>20556.58</v>
      </c>
      <c r="H3823" t="inlineStr">
        <is>
          <t>PAID_ON_TIME</t>
        </is>
      </c>
      <c r="I3823">
        <f>IF(H3823="UNPAID", AsOfDate-D3823, 0)</f>
        <v/>
      </c>
      <c r="J3823">
        <f>IF(F3823&lt;&gt;"", TEXT(F3823, "yyyy-mm"), "")</f>
        <v/>
      </c>
    </row>
    <row r="3824">
      <c r="A3824" t="inlineStr">
        <is>
          <t>RP0003823</t>
        </is>
      </c>
      <c r="B3824" t="inlineStr">
        <is>
          <t>LN200545</t>
        </is>
      </c>
      <c r="C3824" t="n">
        <v>4</v>
      </c>
      <c r="D3824" s="8" t="n">
        <v>46059</v>
      </c>
      <c r="E3824" s="9" t="n">
        <v>20556.58</v>
      </c>
      <c r="F3824" s="8" t="n">
        <v>46060</v>
      </c>
      <c r="G3824" s="9" t="n">
        <v>20556.58</v>
      </c>
      <c r="H3824" t="inlineStr">
        <is>
          <t>PAID_ON_TIME</t>
        </is>
      </c>
      <c r="I3824">
        <f>IF(H3824="UNPAID", AsOfDate-D3824, 0)</f>
        <v/>
      </c>
      <c r="J3824">
        <f>IF(F3824&lt;&gt;"", TEXT(F3824, "yyyy-mm"), "")</f>
        <v/>
      </c>
    </row>
    <row r="3825">
      <c r="A3825" t="inlineStr">
        <is>
          <t>RP0003824</t>
        </is>
      </c>
      <c r="B3825" t="inlineStr">
        <is>
          <t>LN200545</t>
        </is>
      </c>
      <c r="C3825" t="n">
        <v>5</v>
      </c>
      <c r="D3825" s="8" t="n">
        <v>46087</v>
      </c>
      <c r="E3825" s="9" t="n">
        <v>20556.58</v>
      </c>
      <c r="F3825" s="8" t="n">
        <v>46084</v>
      </c>
      <c r="G3825" s="9" t="n">
        <v>20556.58</v>
      </c>
      <c r="H3825" t="inlineStr">
        <is>
          <t>PAID_ON_TIME</t>
        </is>
      </c>
      <c r="I3825">
        <f>IF(H3825="UNPAID", AsOfDate-D3825, 0)</f>
        <v/>
      </c>
      <c r="J3825">
        <f>IF(F3825&lt;&gt;"", TEXT(F3825, "yyyy-mm"), "")</f>
        <v/>
      </c>
    </row>
    <row r="3826">
      <c r="A3826" t="inlineStr">
        <is>
          <t>RP0003825</t>
        </is>
      </c>
      <c r="B3826" t="inlineStr">
        <is>
          <t>LN200545</t>
        </is>
      </c>
      <c r="C3826" t="n">
        <v>6</v>
      </c>
      <c r="D3826" s="8" t="n">
        <v>46118</v>
      </c>
      <c r="E3826" s="9" t="n">
        <v>20556.58</v>
      </c>
      <c r="F3826" s="8" t="n">
        <v>46118</v>
      </c>
      <c r="G3826" s="9" t="n">
        <v>20556.58</v>
      </c>
      <c r="H3826" t="inlineStr">
        <is>
          <t>PAID_ON_TIME</t>
        </is>
      </c>
      <c r="I3826">
        <f>IF(H3826="UNPAID", AsOfDate-D3826, 0)</f>
        <v/>
      </c>
      <c r="J3826">
        <f>IF(F3826&lt;&gt;"", TEXT(F3826, "yyyy-mm"), "")</f>
        <v/>
      </c>
    </row>
    <row r="3827">
      <c r="A3827" t="inlineStr">
        <is>
          <t>RP0003826</t>
        </is>
      </c>
      <c r="B3827" t="inlineStr">
        <is>
          <t>LN200546</t>
        </is>
      </c>
      <c r="C3827" t="n">
        <v>1</v>
      </c>
      <c r="D3827" s="8" t="n">
        <v>45895</v>
      </c>
      <c r="E3827" s="9" t="n">
        <v>17171.33</v>
      </c>
      <c r="F3827" s="8" t="n">
        <v>46011</v>
      </c>
      <c r="G3827" s="9" t="n">
        <v>17171.33</v>
      </c>
      <c r="H3827" t="inlineStr">
        <is>
          <t>PAID_LATE</t>
        </is>
      </c>
      <c r="I3827">
        <f>IF(H3827="UNPAID", AsOfDate-D3827, 0)</f>
        <v/>
      </c>
      <c r="J3827">
        <f>IF(F3827&lt;&gt;"", TEXT(F3827, "yyyy-mm"), "")</f>
        <v/>
      </c>
    </row>
    <row r="3828">
      <c r="A3828" t="inlineStr">
        <is>
          <t>RP0003827</t>
        </is>
      </c>
      <c r="B3828" t="inlineStr">
        <is>
          <t>LN200546</t>
        </is>
      </c>
      <c r="C3828" t="n">
        <v>2</v>
      </c>
      <c r="D3828" s="8" t="n">
        <v>45926</v>
      </c>
      <c r="E3828" s="9" t="n">
        <v>17171.33</v>
      </c>
      <c r="F3828" s="8" t="n">
        <v>45928</v>
      </c>
      <c r="G3828" s="9" t="n">
        <v>17171.33</v>
      </c>
      <c r="H3828" t="inlineStr">
        <is>
          <t>PAID_ON_TIME</t>
        </is>
      </c>
      <c r="I3828">
        <f>IF(H3828="UNPAID", AsOfDate-D3828, 0)</f>
        <v/>
      </c>
      <c r="J3828">
        <f>IF(F3828&lt;&gt;"", TEXT(F3828, "yyyy-mm"), "")</f>
        <v/>
      </c>
    </row>
    <row r="3829">
      <c r="A3829" t="inlineStr">
        <is>
          <t>RP0003828</t>
        </is>
      </c>
      <c r="B3829" t="inlineStr">
        <is>
          <t>LN200546</t>
        </is>
      </c>
      <c r="C3829" t="n">
        <v>3</v>
      </c>
      <c r="D3829" s="8" t="n">
        <v>45956</v>
      </c>
      <c r="E3829" s="9" t="n">
        <v>17171.33</v>
      </c>
      <c r="F3829" s="8" t="n">
        <v>45974</v>
      </c>
      <c r="G3829" s="9" t="n">
        <v>17171.33</v>
      </c>
      <c r="H3829" t="inlineStr">
        <is>
          <t>PAID_LATE</t>
        </is>
      </c>
      <c r="I3829">
        <f>IF(H3829="UNPAID", AsOfDate-D3829, 0)</f>
        <v/>
      </c>
      <c r="J3829">
        <f>IF(F3829&lt;&gt;"", TEXT(F3829, "yyyy-mm"), "")</f>
        <v/>
      </c>
    </row>
    <row r="3830">
      <c r="A3830" t="inlineStr">
        <is>
          <t>RP0003829</t>
        </is>
      </c>
      <c r="B3830" t="inlineStr">
        <is>
          <t>LN200546</t>
        </is>
      </c>
      <c r="C3830" t="n">
        <v>4</v>
      </c>
      <c r="D3830" s="8" t="n">
        <v>45987</v>
      </c>
      <c r="E3830" s="9" t="n">
        <v>17171.33</v>
      </c>
      <c r="F3830" s="8" t="n">
        <v>45984</v>
      </c>
      <c r="G3830" s="9" t="n">
        <v>17171.33</v>
      </c>
      <c r="H3830" t="inlineStr">
        <is>
          <t>PAID_ON_TIME</t>
        </is>
      </c>
      <c r="I3830">
        <f>IF(H3830="UNPAID", AsOfDate-D3830, 0)</f>
        <v/>
      </c>
      <c r="J3830">
        <f>IF(F3830&lt;&gt;"", TEXT(F3830, "yyyy-mm"), "")</f>
        <v/>
      </c>
    </row>
    <row r="3831">
      <c r="A3831" t="inlineStr">
        <is>
          <t>RP0003830</t>
        </is>
      </c>
      <c r="B3831" t="inlineStr">
        <is>
          <t>LN200546</t>
        </is>
      </c>
      <c r="C3831" t="n">
        <v>5</v>
      </c>
      <c r="D3831" s="8" t="n">
        <v>46017</v>
      </c>
      <c r="E3831" s="9" t="n">
        <v>17171.33</v>
      </c>
      <c r="F3831" s="8" t="n">
        <v>46021</v>
      </c>
      <c r="G3831" s="9" t="n">
        <v>17171.33</v>
      </c>
      <c r="H3831" t="inlineStr">
        <is>
          <t>PAID_ON_TIME</t>
        </is>
      </c>
      <c r="I3831">
        <f>IF(H3831="UNPAID", AsOfDate-D3831, 0)</f>
        <v/>
      </c>
      <c r="J3831">
        <f>IF(F3831&lt;&gt;"", TEXT(F3831, "yyyy-mm"), "")</f>
        <v/>
      </c>
    </row>
    <row r="3832">
      <c r="A3832" t="inlineStr">
        <is>
          <t>RP0003831</t>
        </is>
      </c>
      <c r="B3832" t="inlineStr">
        <is>
          <t>LN200546</t>
        </is>
      </c>
      <c r="C3832" t="n">
        <v>6</v>
      </c>
      <c r="D3832" s="8" t="n">
        <v>46048</v>
      </c>
      <c r="E3832" s="9" t="n">
        <v>17171.33</v>
      </c>
      <c r="F3832" s="8" t="n">
        <v>46046</v>
      </c>
      <c r="G3832" s="9" t="n">
        <v>17171.33</v>
      </c>
      <c r="H3832" t="inlineStr">
        <is>
          <t>PAID_ON_TIME</t>
        </is>
      </c>
      <c r="I3832">
        <f>IF(H3832="UNPAID", AsOfDate-D3832, 0)</f>
        <v/>
      </c>
      <c r="J3832">
        <f>IF(F3832&lt;&gt;"", TEXT(F3832, "yyyy-mm"), "")</f>
        <v/>
      </c>
    </row>
    <row r="3833">
      <c r="A3833" t="inlineStr">
        <is>
          <t>RP0003832</t>
        </is>
      </c>
      <c r="B3833" t="inlineStr">
        <is>
          <t>LN200546</t>
        </is>
      </c>
      <c r="C3833" t="n">
        <v>7</v>
      </c>
      <c r="D3833" s="8" t="n">
        <v>46079</v>
      </c>
      <c r="E3833" s="9" t="n">
        <v>17171.33</v>
      </c>
      <c r="F3833" s="8" t="n">
        <v>46077</v>
      </c>
      <c r="G3833" s="9" t="n">
        <v>17171.33</v>
      </c>
      <c r="H3833" t="inlineStr">
        <is>
          <t>PAID_ON_TIME</t>
        </is>
      </c>
      <c r="I3833">
        <f>IF(H3833="UNPAID", AsOfDate-D3833, 0)</f>
        <v/>
      </c>
      <c r="J3833">
        <f>IF(F3833&lt;&gt;"", TEXT(F3833, "yyyy-mm"), "")</f>
        <v/>
      </c>
    </row>
    <row r="3834">
      <c r="A3834" t="inlineStr">
        <is>
          <t>RP0003833</t>
        </is>
      </c>
      <c r="B3834" t="inlineStr">
        <is>
          <t>LN200546</t>
        </is>
      </c>
      <c r="C3834" t="n">
        <v>8</v>
      </c>
      <c r="D3834" s="8" t="n">
        <v>46107</v>
      </c>
      <c r="E3834" s="9" t="n">
        <v>17171.33</v>
      </c>
      <c r="F3834" s="8" t="n">
        <v>46158</v>
      </c>
      <c r="G3834" s="9" t="n">
        <v>17171.33</v>
      </c>
      <c r="H3834" t="inlineStr">
        <is>
          <t>PAID_LATE</t>
        </is>
      </c>
      <c r="I3834">
        <f>IF(H3834="UNPAID", AsOfDate-D3834, 0)</f>
        <v/>
      </c>
      <c r="J3834">
        <f>IF(F3834&lt;&gt;"", TEXT(F3834, "yyyy-mm"), "")</f>
        <v/>
      </c>
    </row>
    <row r="3835">
      <c r="A3835" t="inlineStr">
        <is>
          <t>RP0003834</t>
        </is>
      </c>
      <c r="B3835" t="inlineStr">
        <is>
          <t>LN200546</t>
        </is>
      </c>
      <c r="C3835" t="n">
        <v>9</v>
      </c>
      <c r="D3835" s="8" t="n">
        <v>46138</v>
      </c>
      <c r="E3835" s="9" t="n">
        <v>17171.33</v>
      </c>
      <c r="F3835" s="8" t="n">
        <v>46139</v>
      </c>
      <c r="G3835" s="9" t="n">
        <v>17171.33</v>
      </c>
      <c r="H3835" t="inlineStr">
        <is>
          <t>PAID_ON_TIME</t>
        </is>
      </c>
      <c r="I3835">
        <f>IF(H3835="UNPAID", AsOfDate-D3835, 0)</f>
        <v/>
      </c>
      <c r="J3835">
        <f>IF(F3835&lt;&gt;"", TEXT(F3835, "yyyy-mm"), "")</f>
        <v/>
      </c>
    </row>
    <row r="3836">
      <c r="A3836" t="inlineStr">
        <is>
          <t>RP0003835</t>
        </is>
      </c>
      <c r="B3836" t="inlineStr">
        <is>
          <t>LN200546</t>
        </is>
      </c>
      <c r="C3836" t="n">
        <v>10</v>
      </c>
      <c r="D3836" s="8" t="n">
        <v>46168</v>
      </c>
      <c r="E3836" s="9" t="n">
        <v>17171.33</v>
      </c>
      <c r="F3836" s="8" t="n">
        <v>46172</v>
      </c>
      <c r="G3836" s="9" t="n">
        <v>17171.33</v>
      </c>
      <c r="H3836" t="inlineStr">
        <is>
          <t>PAID_ON_TIME</t>
        </is>
      </c>
      <c r="I3836">
        <f>IF(H3836="UNPAID", AsOfDate-D3836, 0)</f>
        <v/>
      </c>
      <c r="J3836">
        <f>IF(F3836&lt;&gt;"", TEXT(F3836, "yyyy-mm"), "")</f>
        <v/>
      </c>
    </row>
    <row r="3837">
      <c r="A3837" t="inlineStr">
        <is>
          <t>RP0003836</t>
        </is>
      </c>
      <c r="B3837" t="inlineStr">
        <is>
          <t>LN200546</t>
        </is>
      </c>
      <c r="C3837" t="n">
        <v>11</v>
      </c>
      <c r="D3837" s="8" t="n">
        <v>46199</v>
      </c>
      <c r="E3837" s="9" t="n">
        <v>17171.33</v>
      </c>
      <c r="F3837" s="8" t="n">
        <v>46199</v>
      </c>
      <c r="G3837" s="9" t="n">
        <v>17171.33</v>
      </c>
      <c r="H3837" t="inlineStr">
        <is>
          <t>PAID_ON_TIME</t>
        </is>
      </c>
      <c r="I3837">
        <f>IF(H3837="UNPAID", AsOfDate-D3837, 0)</f>
        <v/>
      </c>
      <c r="J3837">
        <f>IF(F3837&lt;&gt;"", TEXT(F3837, "yyyy-mm"), "")</f>
        <v/>
      </c>
    </row>
    <row r="3838">
      <c r="A3838" t="inlineStr">
        <is>
          <t>RP0003837</t>
        </is>
      </c>
      <c r="B3838" t="inlineStr">
        <is>
          <t>LN200546</t>
        </is>
      </c>
      <c r="C3838" t="n">
        <v>12</v>
      </c>
      <c r="D3838" s="8" t="n">
        <v>46229</v>
      </c>
      <c r="E3838" s="9" t="n">
        <v>17171.33</v>
      </c>
      <c r="F3838" s="8" t="n">
        <v>46229</v>
      </c>
      <c r="G3838" s="9" t="n">
        <v>17171.33</v>
      </c>
      <c r="H3838" t="inlineStr">
        <is>
          <t>PAID_ON_TIME</t>
        </is>
      </c>
      <c r="I3838">
        <f>IF(H3838="UNPAID", AsOfDate-D3838, 0)</f>
        <v/>
      </c>
      <c r="J3838">
        <f>IF(F3838&lt;&gt;"", TEXT(F3838, "yyyy-mm"), "")</f>
        <v/>
      </c>
    </row>
    <row r="3839">
      <c r="A3839" t="inlineStr">
        <is>
          <t>RP0003838</t>
        </is>
      </c>
      <c r="B3839" t="inlineStr">
        <is>
          <t>LN200547</t>
        </is>
      </c>
      <c r="C3839" t="n">
        <v>1</v>
      </c>
      <c r="D3839" s="8" t="n">
        <v>46086</v>
      </c>
      <c r="E3839" s="9" t="n">
        <v>37797.75</v>
      </c>
      <c r="F3839" s="8" t="n">
        <v>46086</v>
      </c>
      <c r="G3839" s="9" t="n">
        <v>37797.75</v>
      </c>
      <c r="H3839" t="inlineStr">
        <is>
          <t>PAID_ON_TIME</t>
        </is>
      </c>
      <c r="I3839">
        <f>IF(H3839="UNPAID", AsOfDate-D3839, 0)</f>
        <v/>
      </c>
      <c r="J3839">
        <f>IF(F3839&lt;&gt;"", TEXT(F3839, "yyyy-mm"), "")</f>
        <v/>
      </c>
    </row>
    <row r="3840">
      <c r="A3840" t="inlineStr">
        <is>
          <t>RP0003839</t>
        </is>
      </c>
      <c r="B3840" t="inlineStr">
        <is>
          <t>LN200547</t>
        </is>
      </c>
      <c r="C3840" t="n">
        <v>2</v>
      </c>
      <c r="D3840" s="8" t="n">
        <v>46117</v>
      </c>
      <c r="E3840" s="9" t="n">
        <v>37797.75</v>
      </c>
      <c r="F3840" s="8" t="n">
        <v>46120</v>
      </c>
      <c r="G3840" s="9" t="n">
        <v>37797.75</v>
      </c>
      <c r="H3840" t="inlineStr">
        <is>
          <t>PAID_ON_TIME</t>
        </is>
      </c>
      <c r="I3840">
        <f>IF(H3840="UNPAID", AsOfDate-D3840, 0)</f>
        <v/>
      </c>
      <c r="J3840">
        <f>IF(F3840&lt;&gt;"", TEXT(F3840, "yyyy-mm"), "")</f>
        <v/>
      </c>
    </row>
    <row r="3841">
      <c r="A3841" t="inlineStr">
        <is>
          <t>RP0003840</t>
        </is>
      </c>
      <c r="B3841" t="inlineStr">
        <is>
          <t>LN200547</t>
        </is>
      </c>
      <c r="C3841" t="n">
        <v>3</v>
      </c>
      <c r="D3841" s="8" t="n">
        <v>46147</v>
      </c>
      <c r="E3841" s="9" t="n">
        <v>37797.75</v>
      </c>
      <c r="F3841" s="8" t="n"/>
      <c r="G3841" s="9" t="n">
        <v>0</v>
      </c>
      <c r="H3841" t="inlineStr">
        <is>
          <t>UNPAID</t>
        </is>
      </c>
      <c r="I3841">
        <f>IF(H3841="UNPAID", AsOfDate-D3841, 0)</f>
        <v/>
      </c>
      <c r="J3841">
        <f>IF(F3841&lt;&gt;"", TEXT(F3841, "yyyy-mm"), "")</f>
        <v/>
      </c>
    </row>
    <row r="3842">
      <c r="A3842" t="inlineStr">
        <is>
          <t>RP0003841</t>
        </is>
      </c>
      <c r="B3842" t="inlineStr">
        <is>
          <t>LN200548</t>
        </is>
      </c>
      <c r="C3842" t="n">
        <v>1</v>
      </c>
      <c r="D3842" s="8" t="n">
        <v>46071</v>
      </c>
      <c r="E3842" s="9" t="n">
        <v>8912.5</v>
      </c>
      <c r="F3842" s="8" t="n">
        <v>46070</v>
      </c>
      <c r="G3842" s="9" t="n">
        <v>8912.5</v>
      </c>
      <c r="H3842" t="inlineStr">
        <is>
          <t>PAID_ON_TIME</t>
        </is>
      </c>
      <c r="I3842">
        <f>IF(H3842="UNPAID", AsOfDate-D3842, 0)</f>
        <v/>
      </c>
      <c r="J3842">
        <f>IF(F3842&lt;&gt;"", TEXT(F3842, "yyyy-mm"), "")</f>
        <v/>
      </c>
    </row>
    <row r="3843">
      <c r="A3843" t="inlineStr">
        <is>
          <t>RP0003842</t>
        </is>
      </c>
      <c r="B3843" t="inlineStr">
        <is>
          <t>LN200548</t>
        </is>
      </c>
      <c r="C3843" t="n">
        <v>2</v>
      </c>
      <c r="D3843" s="8" t="n">
        <v>46099</v>
      </c>
      <c r="E3843" s="9" t="n">
        <v>8912.5</v>
      </c>
      <c r="F3843" s="8" t="n">
        <v>46158</v>
      </c>
      <c r="G3843" s="9" t="n">
        <v>8912.5</v>
      </c>
      <c r="H3843" t="inlineStr">
        <is>
          <t>PAID_LATE</t>
        </is>
      </c>
      <c r="I3843">
        <f>IF(H3843="UNPAID", AsOfDate-D3843, 0)</f>
        <v/>
      </c>
      <c r="J3843">
        <f>IF(F3843&lt;&gt;"", TEXT(F3843, "yyyy-mm"), "")</f>
        <v/>
      </c>
    </row>
    <row r="3844">
      <c r="A3844" t="inlineStr">
        <is>
          <t>RP0003843</t>
        </is>
      </c>
      <c r="B3844" t="inlineStr">
        <is>
          <t>LN200548</t>
        </is>
      </c>
      <c r="C3844" t="n">
        <v>3</v>
      </c>
      <c r="D3844" s="8" t="n">
        <v>46130</v>
      </c>
      <c r="E3844" s="9" t="n">
        <v>8912.5</v>
      </c>
      <c r="F3844" s="8" t="n">
        <v>46131</v>
      </c>
      <c r="G3844" s="9" t="n">
        <v>8912.5</v>
      </c>
      <c r="H3844" t="inlineStr">
        <is>
          <t>PAID_ON_TIME</t>
        </is>
      </c>
      <c r="I3844">
        <f>IF(H3844="UNPAID", AsOfDate-D3844, 0)</f>
        <v/>
      </c>
      <c r="J3844">
        <f>IF(F3844&lt;&gt;"", TEXT(F3844, "yyyy-mm"), "")</f>
        <v/>
      </c>
    </row>
    <row r="3845">
      <c r="A3845" t="inlineStr">
        <is>
          <t>RP0003844</t>
        </is>
      </c>
      <c r="B3845" t="inlineStr">
        <is>
          <t>LN200548</t>
        </is>
      </c>
      <c r="C3845" t="n">
        <v>4</v>
      </c>
      <c r="D3845" s="8" t="n">
        <v>46160</v>
      </c>
      <c r="E3845" s="9" t="n">
        <v>8912.5</v>
      </c>
      <c r="F3845" s="8" t="n">
        <v>46181</v>
      </c>
      <c r="G3845" s="9" t="n">
        <v>8912.5</v>
      </c>
      <c r="H3845" t="inlineStr">
        <is>
          <t>PAID_LATE</t>
        </is>
      </c>
      <c r="I3845">
        <f>IF(H3845="UNPAID", AsOfDate-D3845, 0)</f>
        <v/>
      </c>
      <c r="J3845">
        <f>IF(F3845&lt;&gt;"", TEXT(F3845, "yyyy-mm"), "")</f>
        <v/>
      </c>
    </row>
    <row r="3846">
      <c r="A3846" t="inlineStr">
        <is>
          <t>RP0003845</t>
        </is>
      </c>
      <c r="B3846" t="inlineStr">
        <is>
          <t>LN200548</t>
        </is>
      </c>
      <c r="C3846" t="n">
        <v>5</v>
      </c>
      <c r="D3846" s="8" t="n">
        <v>46191</v>
      </c>
      <c r="E3846" s="9" t="n">
        <v>8912.5</v>
      </c>
      <c r="F3846" s="8" t="n">
        <v>46189</v>
      </c>
      <c r="G3846" s="9" t="n">
        <v>8912.5</v>
      </c>
      <c r="H3846" t="inlineStr">
        <is>
          <t>PAID_ON_TIME</t>
        </is>
      </c>
      <c r="I3846">
        <f>IF(H3846="UNPAID", AsOfDate-D3846, 0)</f>
        <v/>
      </c>
      <c r="J3846">
        <f>IF(F3846&lt;&gt;"", TEXT(F3846, "yyyy-mm"), "")</f>
        <v/>
      </c>
    </row>
    <row r="3847">
      <c r="A3847" t="inlineStr">
        <is>
          <t>RP0003846</t>
        </is>
      </c>
      <c r="B3847" t="inlineStr">
        <is>
          <t>LN200548</t>
        </is>
      </c>
      <c r="C3847" t="n">
        <v>6</v>
      </c>
      <c r="D3847" s="8" t="n">
        <v>46221</v>
      </c>
      <c r="E3847" s="9" t="n">
        <v>8912.5</v>
      </c>
      <c r="F3847" s="8" t="n">
        <v>46220</v>
      </c>
      <c r="G3847" s="9" t="n">
        <v>8912.5</v>
      </c>
      <c r="H3847" t="inlineStr">
        <is>
          <t>PAID_ON_TIME</t>
        </is>
      </c>
      <c r="I3847">
        <f>IF(H3847="UNPAID", AsOfDate-D3847, 0)</f>
        <v/>
      </c>
      <c r="J3847">
        <f>IF(F3847&lt;&gt;"", TEXT(F3847, "yyyy-mm"), "")</f>
        <v/>
      </c>
    </row>
    <row r="3848">
      <c r="A3848" t="inlineStr">
        <is>
          <t>RP0003847</t>
        </is>
      </c>
      <c r="B3848" t="inlineStr">
        <is>
          <t>LN200549</t>
        </is>
      </c>
      <c r="C3848" t="n">
        <v>1</v>
      </c>
      <c r="D3848" s="8" t="n">
        <v>46107</v>
      </c>
      <c r="E3848" s="9" t="n">
        <v>10875.28</v>
      </c>
      <c r="F3848" s="8" t="n">
        <v>46105</v>
      </c>
      <c r="G3848" s="9" t="n">
        <v>10875.28</v>
      </c>
      <c r="H3848" t="inlineStr">
        <is>
          <t>PAID_ON_TIME</t>
        </is>
      </c>
      <c r="I3848">
        <f>IF(H3848="UNPAID", AsOfDate-D3848, 0)</f>
        <v/>
      </c>
      <c r="J3848">
        <f>IF(F3848&lt;&gt;"", TEXT(F3848, "yyyy-mm"), "")</f>
        <v/>
      </c>
    </row>
    <row r="3849">
      <c r="A3849" t="inlineStr">
        <is>
          <t>RP0003848</t>
        </is>
      </c>
      <c r="B3849" t="inlineStr">
        <is>
          <t>LN200549</t>
        </is>
      </c>
      <c r="C3849" t="n">
        <v>2</v>
      </c>
      <c r="D3849" s="8" t="n">
        <v>46138</v>
      </c>
      <c r="E3849" s="9" t="n">
        <v>10875.28</v>
      </c>
      <c r="F3849" s="8" t="n">
        <v>46138</v>
      </c>
      <c r="G3849" s="9" t="n">
        <v>10875.28</v>
      </c>
      <c r="H3849" t="inlineStr">
        <is>
          <t>PAID_ON_TIME</t>
        </is>
      </c>
      <c r="I3849">
        <f>IF(H3849="UNPAID", AsOfDate-D3849, 0)</f>
        <v/>
      </c>
      <c r="J3849">
        <f>IF(F3849&lt;&gt;"", TEXT(F3849, "yyyy-mm"), "")</f>
        <v/>
      </c>
    </row>
    <row r="3850">
      <c r="A3850" t="inlineStr">
        <is>
          <t>RP0003849</t>
        </is>
      </c>
      <c r="B3850" t="inlineStr">
        <is>
          <t>LN200549</t>
        </is>
      </c>
      <c r="C3850" t="n">
        <v>3</v>
      </c>
      <c r="D3850" s="8" t="n">
        <v>46168</v>
      </c>
      <c r="E3850" s="9" t="n">
        <v>10875.28</v>
      </c>
      <c r="F3850" s="8" t="n">
        <v>46204</v>
      </c>
      <c r="G3850" s="9" t="n">
        <v>10875.28</v>
      </c>
      <c r="H3850" t="inlineStr">
        <is>
          <t>PAID_LATE</t>
        </is>
      </c>
      <c r="I3850">
        <f>IF(H3850="UNPAID", AsOfDate-D3850, 0)</f>
        <v/>
      </c>
      <c r="J3850">
        <f>IF(F3850&lt;&gt;"", TEXT(F3850, "yyyy-mm"), "")</f>
        <v/>
      </c>
    </row>
    <row r="3851">
      <c r="A3851" t="inlineStr">
        <is>
          <t>RP0003850</t>
        </is>
      </c>
      <c r="B3851" t="inlineStr">
        <is>
          <t>LN200549</t>
        </is>
      </c>
      <c r="C3851" t="n">
        <v>4</v>
      </c>
      <c r="D3851" s="8" t="n">
        <v>46199</v>
      </c>
      <c r="E3851" s="9" t="n">
        <v>10875.28</v>
      </c>
      <c r="F3851" s="8" t="n"/>
      <c r="G3851" s="9" t="n">
        <v>0</v>
      </c>
      <c r="H3851" t="inlineStr">
        <is>
          <t>UNPAID</t>
        </is>
      </c>
      <c r="I3851">
        <f>IF(H3851="UNPAID", AsOfDate-D3851, 0)</f>
        <v/>
      </c>
      <c r="J3851">
        <f>IF(F3851&lt;&gt;"", TEXT(F3851, "yyyy-mm"), "")</f>
        <v/>
      </c>
    </row>
    <row r="3852">
      <c r="A3852" t="inlineStr">
        <is>
          <t>RP0003851</t>
        </is>
      </c>
      <c r="B3852" t="inlineStr">
        <is>
          <t>LN200549</t>
        </is>
      </c>
      <c r="C3852" t="n">
        <v>5</v>
      </c>
      <c r="D3852" s="8" t="n">
        <v>46229</v>
      </c>
      <c r="E3852" s="9" t="n">
        <v>10875.28</v>
      </c>
      <c r="F3852" s="8" t="n">
        <v>46233</v>
      </c>
      <c r="G3852" s="9" t="n">
        <v>10875.28</v>
      </c>
      <c r="H3852" t="inlineStr">
        <is>
          <t>PAID_ON_TIME</t>
        </is>
      </c>
      <c r="I3852">
        <f>IF(H3852="UNPAID", AsOfDate-D3852, 0)</f>
        <v/>
      </c>
      <c r="J3852">
        <f>IF(F3852&lt;&gt;"", TEXT(F3852, "yyyy-mm"), "")</f>
        <v/>
      </c>
    </row>
    <row r="3853">
      <c r="A3853" t="inlineStr">
        <is>
          <t>RP0003852</t>
        </is>
      </c>
      <c r="B3853" t="inlineStr">
        <is>
          <t>LN200549</t>
        </is>
      </c>
      <c r="C3853" t="n">
        <v>6</v>
      </c>
      <c r="D3853" s="8" t="n">
        <v>46260</v>
      </c>
      <c r="E3853" s="9" t="n">
        <v>10875.28</v>
      </c>
      <c r="F3853" s="8" t="n">
        <v>46261</v>
      </c>
      <c r="G3853" s="9" t="n">
        <v>10875.28</v>
      </c>
      <c r="H3853" t="inlineStr">
        <is>
          <t>PAID_ON_TIME</t>
        </is>
      </c>
      <c r="I3853">
        <f>IF(H3853="UNPAID", AsOfDate-D3853, 0)</f>
        <v/>
      </c>
      <c r="J3853">
        <f>IF(F3853&lt;&gt;"", TEXT(F3853, "yyyy-mm"), "")</f>
        <v/>
      </c>
    </row>
    <row r="3854">
      <c r="A3854" t="inlineStr">
        <is>
          <t>RP0003853</t>
        </is>
      </c>
      <c r="B3854" t="inlineStr">
        <is>
          <t>LN200549</t>
        </is>
      </c>
      <c r="C3854" t="n">
        <v>7</v>
      </c>
      <c r="D3854" s="8" t="n">
        <v>46291</v>
      </c>
      <c r="E3854" s="9" t="n">
        <v>10875.28</v>
      </c>
      <c r="F3854" s="8" t="n"/>
      <c r="G3854" s="9" t="n">
        <v>0</v>
      </c>
      <c r="H3854" t="inlineStr">
        <is>
          <t>NOT_DUE</t>
        </is>
      </c>
      <c r="I3854">
        <f>IF(H3854="UNPAID", AsOfDate-D3854, 0)</f>
        <v/>
      </c>
      <c r="J3854">
        <f>IF(F3854&lt;&gt;"", TEXT(F3854, "yyyy-mm"), "")</f>
        <v/>
      </c>
    </row>
    <row r="3855">
      <c r="A3855" t="inlineStr">
        <is>
          <t>RP0003854</t>
        </is>
      </c>
      <c r="B3855" t="inlineStr">
        <is>
          <t>LN200549</t>
        </is>
      </c>
      <c r="C3855" t="n">
        <v>8</v>
      </c>
      <c r="D3855" s="8" t="n">
        <v>46321</v>
      </c>
      <c r="E3855" s="9" t="n">
        <v>10875.28</v>
      </c>
      <c r="F3855" s="8" t="n"/>
      <c r="G3855" s="9" t="n">
        <v>0</v>
      </c>
      <c r="H3855" t="inlineStr">
        <is>
          <t>NOT_DUE</t>
        </is>
      </c>
      <c r="I3855">
        <f>IF(H3855="UNPAID", AsOfDate-D3855, 0)</f>
        <v/>
      </c>
      <c r="J3855">
        <f>IF(F3855&lt;&gt;"", TEXT(F3855, "yyyy-mm"), "")</f>
        <v/>
      </c>
    </row>
    <row r="3856">
      <c r="A3856" t="inlineStr">
        <is>
          <t>RP0003855</t>
        </is>
      </c>
      <c r="B3856" t="inlineStr">
        <is>
          <t>LN200549</t>
        </is>
      </c>
      <c r="C3856" t="n">
        <v>9</v>
      </c>
      <c r="D3856" s="8" t="n">
        <v>46352</v>
      </c>
      <c r="E3856" s="9" t="n">
        <v>10875.28</v>
      </c>
      <c r="F3856" s="8" t="n"/>
      <c r="G3856" s="9" t="n">
        <v>0</v>
      </c>
      <c r="H3856" t="inlineStr">
        <is>
          <t>NOT_DUE</t>
        </is>
      </c>
      <c r="I3856">
        <f>IF(H3856="UNPAID", AsOfDate-D3856, 0)</f>
        <v/>
      </c>
      <c r="J3856">
        <f>IF(F3856&lt;&gt;"", TEXT(F3856, "yyyy-mm"), "")</f>
        <v/>
      </c>
    </row>
    <row r="3857">
      <c r="A3857" t="inlineStr">
        <is>
          <t>RP0003856</t>
        </is>
      </c>
      <c r="B3857" t="inlineStr">
        <is>
          <t>LN200550</t>
        </is>
      </c>
      <c r="C3857" t="n">
        <v>1</v>
      </c>
      <c r="D3857" s="8" t="n">
        <v>45790</v>
      </c>
      <c r="E3857" s="9" t="n">
        <v>15603.75</v>
      </c>
      <c r="F3857" s="8" t="n">
        <v>45787</v>
      </c>
      <c r="G3857" s="9" t="n">
        <v>15603.75</v>
      </c>
      <c r="H3857" t="inlineStr">
        <is>
          <t>PAID_ON_TIME</t>
        </is>
      </c>
      <c r="I3857">
        <f>IF(H3857="UNPAID", AsOfDate-D3857, 0)</f>
        <v/>
      </c>
      <c r="J3857">
        <f>IF(F3857&lt;&gt;"", TEXT(F3857, "yyyy-mm"), "")</f>
        <v/>
      </c>
    </row>
    <row r="3858">
      <c r="A3858" t="inlineStr">
        <is>
          <t>RP0003857</t>
        </is>
      </c>
      <c r="B3858" t="inlineStr">
        <is>
          <t>LN200550</t>
        </is>
      </c>
      <c r="C3858" t="n">
        <v>2</v>
      </c>
      <c r="D3858" s="8" t="n">
        <v>45821</v>
      </c>
      <c r="E3858" s="9" t="n">
        <v>15603.75</v>
      </c>
      <c r="F3858" s="8" t="n">
        <v>45822</v>
      </c>
      <c r="G3858" s="9" t="n">
        <v>15603.75</v>
      </c>
      <c r="H3858" t="inlineStr">
        <is>
          <t>PAID_ON_TIME</t>
        </is>
      </c>
      <c r="I3858">
        <f>IF(H3858="UNPAID", AsOfDate-D3858, 0)</f>
        <v/>
      </c>
      <c r="J3858">
        <f>IF(F3858&lt;&gt;"", TEXT(F3858, "yyyy-mm"), "")</f>
        <v/>
      </c>
    </row>
    <row r="3859">
      <c r="A3859" t="inlineStr">
        <is>
          <t>RP0003858</t>
        </is>
      </c>
      <c r="B3859" t="inlineStr">
        <is>
          <t>LN200550</t>
        </is>
      </c>
      <c r="C3859" t="n">
        <v>3</v>
      </c>
      <c r="D3859" s="8" t="n">
        <v>45851</v>
      </c>
      <c r="E3859" s="9" t="n">
        <v>15603.75</v>
      </c>
      <c r="F3859" s="8" t="n">
        <v>45850</v>
      </c>
      <c r="G3859" s="9" t="n">
        <v>15603.75</v>
      </c>
      <c r="H3859" t="inlineStr">
        <is>
          <t>PAID_ON_TIME</t>
        </is>
      </c>
      <c r="I3859">
        <f>IF(H3859="UNPAID", AsOfDate-D3859, 0)</f>
        <v/>
      </c>
      <c r="J3859">
        <f>IF(F3859&lt;&gt;"", TEXT(F3859, "yyyy-mm"), "")</f>
        <v/>
      </c>
    </row>
    <row r="3860">
      <c r="A3860" t="inlineStr">
        <is>
          <t>RP0003859</t>
        </is>
      </c>
      <c r="B3860" t="inlineStr">
        <is>
          <t>LN200551</t>
        </is>
      </c>
      <c r="C3860" t="n">
        <v>1</v>
      </c>
      <c r="D3860" s="8" t="n">
        <v>46109</v>
      </c>
      <c r="E3860" s="9" t="n">
        <v>3644.5</v>
      </c>
      <c r="F3860" s="8" t="n">
        <v>46157</v>
      </c>
      <c r="G3860" s="9" t="n">
        <v>3644.5</v>
      </c>
      <c r="H3860" t="inlineStr">
        <is>
          <t>PAID_LATE</t>
        </is>
      </c>
      <c r="I3860">
        <f>IF(H3860="UNPAID", AsOfDate-D3860, 0)</f>
        <v/>
      </c>
      <c r="J3860">
        <f>IF(F3860&lt;&gt;"", TEXT(F3860, "yyyy-mm"), "")</f>
        <v/>
      </c>
    </row>
    <row r="3861">
      <c r="A3861" t="inlineStr">
        <is>
          <t>RP0003860</t>
        </is>
      </c>
      <c r="B3861" t="inlineStr">
        <is>
          <t>LN200551</t>
        </is>
      </c>
      <c r="C3861" t="n">
        <v>2</v>
      </c>
      <c r="D3861" s="8" t="n">
        <v>46140</v>
      </c>
      <c r="E3861" s="9" t="n">
        <v>3644.5</v>
      </c>
      <c r="F3861" s="8" t="n">
        <v>46236</v>
      </c>
      <c r="G3861" s="9" t="n">
        <v>3644.5</v>
      </c>
      <c r="H3861" t="inlineStr">
        <is>
          <t>PAID_LATE</t>
        </is>
      </c>
      <c r="I3861">
        <f>IF(H3861="UNPAID", AsOfDate-D3861, 0)</f>
        <v/>
      </c>
      <c r="J3861">
        <f>IF(F3861&lt;&gt;"", TEXT(F3861, "yyyy-mm"), "")</f>
        <v/>
      </c>
    </row>
    <row r="3862">
      <c r="A3862" t="inlineStr">
        <is>
          <t>RP0003861</t>
        </is>
      </c>
      <c r="B3862" t="inlineStr">
        <is>
          <t>LN200551</t>
        </is>
      </c>
      <c r="C3862" t="n">
        <v>3</v>
      </c>
      <c r="D3862" s="8" t="n">
        <v>46170</v>
      </c>
      <c r="E3862" s="9" t="n">
        <v>3644.5</v>
      </c>
      <c r="F3862" s="8" t="n"/>
      <c r="G3862" s="9" t="n">
        <v>0</v>
      </c>
      <c r="H3862" t="inlineStr">
        <is>
          <t>UNPAID</t>
        </is>
      </c>
      <c r="I3862">
        <f>IF(H3862="UNPAID", AsOfDate-D3862, 0)</f>
        <v/>
      </c>
      <c r="J3862">
        <f>IF(F3862&lt;&gt;"", TEXT(F3862, "yyyy-mm"), "")</f>
        <v/>
      </c>
    </row>
    <row r="3863">
      <c r="A3863" t="inlineStr">
        <is>
          <t>RP0003862</t>
        </is>
      </c>
      <c r="B3863" t="inlineStr">
        <is>
          <t>LN200551</t>
        </is>
      </c>
      <c r="C3863" t="n">
        <v>4</v>
      </c>
      <c r="D3863" s="8" t="n">
        <v>46201</v>
      </c>
      <c r="E3863" s="9" t="n">
        <v>3644.5</v>
      </c>
      <c r="F3863" s="8" t="n">
        <v>46198</v>
      </c>
      <c r="G3863" s="9" t="n">
        <v>3644.5</v>
      </c>
      <c r="H3863" t="inlineStr">
        <is>
          <t>PAID_ON_TIME</t>
        </is>
      </c>
      <c r="I3863">
        <f>IF(H3863="UNPAID", AsOfDate-D3863, 0)</f>
        <v/>
      </c>
      <c r="J3863">
        <f>IF(F3863&lt;&gt;"", TEXT(F3863, "yyyy-mm"), "")</f>
        <v/>
      </c>
    </row>
    <row r="3864">
      <c r="A3864" t="inlineStr">
        <is>
          <t>RP0003863</t>
        </is>
      </c>
      <c r="B3864" t="inlineStr">
        <is>
          <t>LN200551</t>
        </is>
      </c>
      <c r="C3864" t="n">
        <v>5</v>
      </c>
      <c r="D3864" s="8" t="n">
        <v>46231</v>
      </c>
      <c r="E3864" s="9" t="n">
        <v>3644.5</v>
      </c>
      <c r="F3864" s="8" t="n">
        <v>46230</v>
      </c>
      <c r="G3864" s="9" t="n">
        <v>3644.5</v>
      </c>
      <c r="H3864" t="inlineStr">
        <is>
          <t>PAID_ON_TIME</t>
        </is>
      </c>
      <c r="I3864">
        <f>IF(H3864="UNPAID", AsOfDate-D3864, 0)</f>
        <v/>
      </c>
      <c r="J3864">
        <f>IF(F3864&lt;&gt;"", TEXT(F3864, "yyyy-mm"), "")</f>
        <v/>
      </c>
    </row>
    <row r="3865">
      <c r="A3865" t="inlineStr">
        <is>
          <t>RP0003864</t>
        </is>
      </c>
      <c r="B3865" t="inlineStr">
        <is>
          <t>LN200551</t>
        </is>
      </c>
      <c r="C3865" t="n">
        <v>6</v>
      </c>
      <c r="D3865" s="8" t="n">
        <v>46262</v>
      </c>
      <c r="E3865" s="9" t="n">
        <v>3644.5</v>
      </c>
      <c r="F3865" s="8" t="n">
        <v>46266</v>
      </c>
      <c r="G3865" s="9" t="n">
        <v>3644.5</v>
      </c>
      <c r="H3865" t="inlineStr">
        <is>
          <t>PAID_ON_TIME</t>
        </is>
      </c>
      <c r="I3865">
        <f>IF(H3865="UNPAID", AsOfDate-D3865, 0)</f>
        <v/>
      </c>
      <c r="J3865">
        <f>IF(F3865&lt;&gt;"", TEXT(F3865, "yyyy-mm"), "")</f>
        <v/>
      </c>
    </row>
    <row r="3866">
      <c r="A3866" t="inlineStr">
        <is>
          <t>RP0003865</t>
        </is>
      </c>
      <c r="B3866" t="inlineStr">
        <is>
          <t>LN200551</t>
        </is>
      </c>
      <c r="C3866" t="n">
        <v>7</v>
      </c>
      <c r="D3866" s="8" t="n">
        <v>46293</v>
      </c>
      <c r="E3866" s="9" t="n">
        <v>3644.5</v>
      </c>
      <c r="F3866" s="8" t="n"/>
      <c r="G3866" s="9" t="n">
        <v>0</v>
      </c>
      <c r="H3866" t="inlineStr">
        <is>
          <t>NOT_DUE</t>
        </is>
      </c>
      <c r="I3866">
        <f>IF(H3866="UNPAID", AsOfDate-D3866, 0)</f>
        <v/>
      </c>
      <c r="J3866">
        <f>IF(F3866&lt;&gt;"", TEXT(F3866, "yyyy-mm"), "")</f>
        <v/>
      </c>
    </row>
    <row r="3867">
      <c r="A3867" t="inlineStr">
        <is>
          <t>RP0003866</t>
        </is>
      </c>
      <c r="B3867" t="inlineStr">
        <is>
          <t>LN200551</t>
        </is>
      </c>
      <c r="C3867" t="n">
        <v>8</v>
      </c>
      <c r="D3867" s="8" t="n">
        <v>46323</v>
      </c>
      <c r="E3867" s="9" t="n">
        <v>3644.5</v>
      </c>
      <c r="F3867" s="8" t="n"/>
      <c r="G3867" s="9" t="n">
        <v>0</v>
      </c>
      <c r="H3867" t="inlineStr">
        <is>
          <t>NOT_DUE</t>
        </is>
      </c>
      <c r="I3867">
        <f>IF(H3867="UNPAID", AsOfDate-D3867, 0)</f>
        <v/>
      </c>
      <c r="J3867">
        <f>IF(F3867&lt;&gt;"", TEXT(F3867, "yyyy-mm"), "")</f>
        <v/>
      </c>
    </row>
    <row r="3868">
      <c r="A3868" t="inlineStr">
        <is>
          <t>RP0003867</t>
        </is>
      </c>
      <c r="B3868" t="inlineStr">
        <is>
          <t>LN200551</t>
        </is>
      </c>
      <c r="C3868" t="n">
        <v>9</v>
      </c>
      <c r="D3868" s="8" t="n">
        <v>46354</v>
      </c>
      <c r="E3868" s="9" t="n">
        <v>3644.5</v>
      </c>
      <c r="F3868" s="8" t="n"/>
      <c r="G3868" s="9" t="n">
        <v>0</v>
      </c>
      <c r="H3868" t="inlineStr">
        <is>
          <t>NOT_DUE</t>
        </is>
      </c>
      <c r="I3868">
        <f>IF(H3868="UNPAID", AsOfDate-D3868, 0)</f>
        <v/>
      </c>
      <c r="J3868">
        <f>IF(F3868&lt;&gt;"", TEXT(F3868, "yyyy-mm"), "")</f>
        <v/>
      </c>
    </row>
    <row r="3869">
      <c r="A3869" t="inlineStr">
        <is>
          <t>RP0003868</t>
        </is>
      </c>
      <c r="B3869" t="inlineStr">
        <is>
          <t>LN200551</t>
        </is>
      </c>
      <c r="C3869" t="n">
        <v>10</v>
      </c>
      <c r="D3869" s="8" t="n">
        <v>46384</v>
      </c>
      <c r="E3869" s="9" t="n">
        <v>3644.5</v>
      </c>
      <c r="F3869" s="8" t="n"/>
      <c r="G3869" s="9" t="n">
        <v>0</v>
      </c>
      <c r="H3869" t="inlineStr">
        <is>
          <t>NOT_DUE</t>
        </is>
      </c>
      <c r="I3869">
        <f>IF(H3869="UNPAID", AsOfDate-D3869, 0)</f>
        <v/>
      </c>
      <c r="J3869">
        <f>IF(F3869&lt;&gt;"", TEXT(F3869, "yyyy-mm"), "")</f>
        <v/>
      </c>
    </row>
    <row r="3870">
      <c r="A3870" t="inlineStr">
        <is>
          <t>RP0003869</t>
        </is>
      </c>
      <c r="B3870" t="inlineStr">
        <is>
          <t>LN200551</t>
        </is>
      </c>
      <c r="C3870" t="n">
        <v>11</v>
      </c>
      <c r="D3870" s="8" t="n">
        <v>46415</v>
      </c>
      <c r="E3870" s="9" t="n">
        <v>3644.5</v>
      </c>
      <c r="F3870" s="8" t="n"/>
      <c r="G3870" s="9" t="n">
        <v>0</v>
      </c>
      <c r="H3870" t="inlineStr">
        <is>
          <t>NOT_DUE</t>
        </is>
      </c>
      <c r="I3870">
        <f>IF(H3870="UNPAID", AsOfDate-D3870, 0)</f>
        <v/>
      </c>
      <c r="J3870">
        <f>IF(F3870&lt;&gt;"", TEXT(F3870, "yyyy-mm"), "")</f>
        <v/>
      </c>
    </row>
    <row r="3871">
      <c r="A3871" t="inlineStr">
        <is>
          <t>RP0003870</t>
        </is>
      </c>
      <c r="B3871" t="inlineStr">
        <is>
          <t>LN200551</t>
        </is>
      </c>
      <c r="C3871" t="n">
        <v>12</v>
      </c>
      <c r="D3871" s="8" t="n">
        <v>46446</v>
      </c>
      <c r="E3871" s="9" t="n">
        <v>3644.5</v>
      </c>
      <c r="F3871" s="8" t="n"/>
      <c r="G3871" s="9" t="n">
        <v>0</v>
      </c>
      <c r="H3871" t="inlineStr">
        <is>
          <t>NOT_DUE</t>
        </is>
      </c>
      <c r="I3871">
        <f>IF(H3871="UNPAID", AsOfDate-D3871, 0)</f>
        <v/>
      </c>
      <c r="J3871">
        <f>IF(F3871&lt;&gt;"", TEXT(F3871, "yyyy-mm"), "")</f>
        <v/>
      </c>
    </row>
    <row r="3872">
      <c r="A3872" t="inlineStr">
        <is>
          <t>RP0003871</t>
        </is>
      </c>
      <c r="B3872" t="inlineStr">
        <is>
          <t>LN200552</t>
        </is>
      </c>
      <c r="C3872" t="n">
        <v>1</v>
      </c>
      <c r="D3872" s="8" t="n">
        <v>45954</v>
      </c>
      <c r="E3872" s="9" t="n">
        <v>3822</v>
      </c>
      <c r="F3872" s="8" t="n">
        <v>45956</v>
      </c>
      <c r="G3872" s="9" t="n">
        <v>3822</v>
      </c>
      <c r="H3872" t="inlineStr">
        <is>
          <t>PAID_ON_TIME</t>
        </is>
      </c>
      <c r="I3872">
        <f>IF(H3872="UNPAID", AsOfDate-D3872, 0)</f>
        <v/>
      </c>
      <c r="J3872">
        <f>IF(F3872&lt;&gt;"", TEXT(F3872, "yyyy-mm"), "")</f>
        <v/>
      </c>
    </row>
    <row r="3873">
      <c r="A3873" t="inlineStr">
        <is>
          <t>RP0003872</t>
        </is>
      </c>
      <c r="B3873" t="inlineStr">
        <is>
          <t>LN200552</t>
        </is>
      </c>
      <c r="C3873" t="n">
        <v>2</v>
      </c>
      <c r="D3873" s="8" t="n">
        <v>45985</v>
      </c>
      <c r="E3873" s="9" t="n">
        <v>3822</v>
      </c>
      <c r="F3873" s="8" t="n">
        <v>45985</v>
      </c>
      <c r="G3873" s="9" t="n">
        <v>3822</v>
      </c>
      <c r="H3873" t="inlineStr">
        <is>
          <t>PAID_ON_TIME</t>
        </is>
      </c>
      <c r="I3873">
        <f>IF(H3873="UNPAID", AsOfDate-D3873, 0)</f>
        <v/>
      </c>
      <c r="J3873">
        <f>IF(F3873&lt;&gt;"", TEXT(F3873, "yyyy-mm"), "")</f>
        <v/>
      </c>
    </row>
    <row r="3874">
      <c r="A3874" t="inlineStr">
        <is>
          <t>RP0003873</t>
        </is>
      </c>
      <c r="B3874" t="inlineStr">
        <is>
          <t>LN200552</t>
        </is>
      </c>
      <c r="C3874" t="n">
        <v>3</v>
      </c>
      <c r="D3874" s="8" t="n">
        <v>46015</v>
      </c>
      <c r="E3874" s="9" t="n">
        <v>3822</v>
      </c>
      <c r="F3874" s="8" t="n">
        <v>46014</v>
      </c>
      <c r="G3874" s="9" t="n">
        <v>3822</v>
      </c>
      <c r="H3874" t="inlineStr">
        <is>
          <t>PAID_ON_TIME</t>
        </is>
      </c>
      <c r="I3874">
        <f>IF(H3874="UNPAID", AsOfDate-D3874, 0)</f>
        <v/>
      </c>
      <c r="J3874">
        <f>IF(F3874&lt;&gt;"", TEXT(F3874, "yyyy-mm"), "")</f>
        <v/>
      </c>
    </row>
    <row r="3875">
      <c r="A3875" t="inlineStr">
        <is>
          <t>RP0003874</t>
        </is>
      </c>
      <c r="B3875" t="inlineStr">
        <is>
          <t>LN200552</t>
        </is>
      </c>
      <c r="C3875" t="n">
        <v>4</v>
      </c>
      <c r="D3875" s="8" t="n">
        <v>46046</v>
      </c>
      <c r="E3875" s="9" t="n">
        <v>3822</v>
      </c>
      <c r="F3875" s="8" t="n">
        <v>46043</v>
      </c>
      <c r="G3875" s="9" t="n">
        <v>3822</v>
      </c>
      <c r="H3875" t="inlineStr">
        <is>
          <t>PAID_ON_TIME</t>
        </is>
      </c>
      <c r="I3875">
        <f>IF(H3875="UNPAID", AsOfDate-D3875, 0)</f>
        <v/>
      </c>
      <c r="J3875">
        <f>IF(F3875&lt;&gt;"", TEXT(F3875, "yyyy-mm"), "")</f>
        <v/>
      </c>
    </row>
    <row r="3876">
      <c r="A3876" t="inlineStr">
        <is>
          <t>RP0003875</t>
        </is>
      </c>
      <c r="B3876" t="inlineStr">
        <is>
          <t>LN200552</t>
        </is>
      </c>
      <c r="C3876" t="n">
        <v>5</v>
      </c>
      <c r="D3876" s="8" t="n">
        <v>46077</v>
      </c>
      <c r="E3876" s="9" t="n">
        <v>3822</v>
      </c>
      <c r="F3876" s="8" t="n">
        <v>46095</v>
      </c>
      <c r="G3876" s="9" t="n">
        <v>3822</v>
      </c>
      <c r="H3876" t="inlineStr">
        <is>
          <t>PAID_LATE</t>
        </is>
      </c>
      <c r="I3876">
        <f>IF(H3876="UNPAID", AsOfDate-D3876, 0)</f>
        <v/>
      </c>
      <c r="J3876">
        <f>IF(F3876&lt;&gt;"", TEXT(F3876, "yyyy-mm"), "")</f>
        <v/>
      </c>
    </row>
    <row r="3877">
      <c r="A3877" t="inlineStr">
        <is>
          <t>RP0003876</t>
        </is>
      </c>
      <c r="B3877" t="inlineStr">
        <is>
          <t>LN200552</t>
        </is>
      </c>
      <c r="C3877" t="n">
        <v>6</v>
      </c>
      <c r="D3877" s="8" t="n">
        <v>46105</v>
      </c>
      <c r="E3877" s="9" t="n">
        <v>3822</v>
      </c>
      <c r="F3877" s="8" t="n">
        <v>46105</v>
      </c>
      <c r="G3877" s="9" t="n">
        <v>3822</v>
      </c>
      <c r="H3877" t="inlineStr">
        <is>
          <t>PAID_ON_TIME</t>
        </is>
      </c>
      <c r="I3877">
        <f>IF(H3877="UNPAID", AsOfDate-D3877, 0)</f>
        <v/>
      </c>
      <c r="J3877">
        <f>IF(F3877&lt;&gt;"", TEXT(F3877, "yyyy-mm"), "")</f>
        <v/>
      </c>
    </row>
    <row r="3878">
      <c r="A3878" t="inlineStr">
        <is>
          <t>RP0003877</t>
        </is>
      </c>
      <c r="B3878" t="inlineStr">
        <is>
          <t>LN200553</t>
        </is>
      </c>
      <c r="C3878" t="n">
        <v>1</v>
      </c>
      <c r="D3878" s="8" t="n">
        <v>45986</v>
      </c>
      <c r="E3878" s="9" t="n">
        <v>11552</v>
      </c>
      <c r="F3878" s="8" t="n">
        <v>46041</v>
      </c>
      <c r="G3878" s="9" t="n">
        <v>11552</v>
      </c>
      <c r="H3878" t="inlineStr">
        <is>
          <t>PAID_LATE</t>
        </is>
      </c>
      <c r="I3878">
        <f>IF(H3878="UNPAID", AsOfDate-D3878, 0)</f>
        <v/>
      </c>
      <c r="J3878">
        <f>IF(F3878&lt;&gt;"", TEXT(F3878, "yyyy-mm"), "")</f>
        <v/>
      </c>
    </row>
    <row r="3879">
      <c r="A3879" t="inlineStr">
        <is>
          <t>RP0003878</t>
        </is>
      </c>
      <c r="B3879" t="inlineStr">
        <is>
          <t>LN200553</t>
        </is>
      </c>
      <c r="C3879" t="n">
        <v>2</v>
      </c>
      <c r="D3879" s="8" t="n">
        <v>46016</v>
      </c>
      <c r="E3879" s="9" t="n">
        <v>11552</v>
      </c>
      <c r="F3879" s="8" t="n"/>
      <c r="G3879" s="9" t="n">
        <v>0</v>
      </c>
      <c r="H3879" t="inlineStr">
        <is>
          <t>UNPAID</t>
        </is>
      </c>
      <c r="I3879">
        <f>IF(H3879="UNPAID", AsOfDate-D3879, 0)</f>
        <v/>
      </c>
      <c r="J3879">
        <f>IF(F3879&lt;&gt;"", TEXT(F3879, "yyyy-mm"), "")</f>
        <v/>
      </c>
    </row>
    <row r="3880">
      <c r="A3880" t="inlineStr">
        <is>
          <t>RP0003879</t>
        </is>
      </c>
      <c r="B3880" t="inlineStr">
        <is>
          <t>LN200553</t>
        </is>
      </c>
      <c r="C3880" t="n">
        <v>3</v>
      </c>
      <c r="D3880" s="8" t="n">
        <v>46047</v>
      </c>
      <c r="E3880" s="9" t="n">
        <v>11552</v>
      </c>
      <c r="F3880" s="8" t="n">
        <v>46047</v>
      </c>
      <c r="G3880" s="9" t="n">
        <v>11552</v>
      </c>
      <c r="H3880" t="inlineStr">
        <is>
          <t>PAID_ON_TIME</t>
        </is>
      </c>
      <c r="I3880">
        <f>IF(H3880="UNPAID", AsOfDate-D3880, 0)</f>
        <v/>
      </c>
      <c r="J3880">
        <f>IF(F3880&lt;&gt;"", TEXT(F3880, "yyyy-mm"), "")</f>
        <v/>
      </c>
    </row>
    <row r="3881">
      <c r="A3881" t="inlineStr">
        <is>
          <t>RP0003880</t>
        </is>
      </c>
      <c r="B3881" t="inlineStr">
        <is>
          <t>LN200553</t>
        </is>
      </c>
      <c r="C3881" t="n">
        <v>4</v>
      </c>
      <c r="D3881" s="8" t="n">
        <v>46078</v>
      </c>
      <c r="E3881" s="9" t="n">
        <v>11552</v>
      </c>
      <c r="F3881" s="8" t="n">
        <v>46197</v>
      </c>
      <c r="G3881" s="9" t="n">
        <v>11552</v>
      </c>
      <c r="H3881" t="inlineStr">
        <is>
          <t>PAID_LATE</t>
        </is>
      </c>
      <c r="I3881">
        <f>IF(H3881="UNPAID", AsOfDate-D3881, 0)</f>
        <v/>
      </c>
      <c r="J3881">
        <f>IF(F3881&lt;&gt;"", TEXT(F3881, "yyyy-mm"), "")</f>
        <v/>
      </c>
    </row>
    <row r="3882">
      <c r="A3882" t="inlineStr">
        <is>
          <t>RP0003881</t>
        </is>
      </c>
      <c r="B3882" t="inlineStr">
        <is>
          <t>LN200553</t>
        </is>
      </c>
      <c r="C3882" t="n">
        <v>5</v>
      </c>
      <c r="D3882" s="8" t="n">
        <v>46106</v>
      </c>
      <c r="E3882" s="9" t="n">
        <v>11552</v>
      </c>
      <c r="F3882" s="8" t="n">
        <v>46103</v>
      </c>
      <c r="G3882" s="9" t="n">
        <v>11552</v>
      </c>
      <c r="H3882" t="inlineStr">
        <is>
          <t>PAID_ON_TIME</t>
        </is>
      </c>
      <c r="I3882">
        <f>IF(H3882="UNPAID", AsOfDate-D3882, 0)</f>
        <v/>
      </c>
      <c r="J3882">
        <f>IF(F3882&lt;&gt;"", TEXT(F3882, "yyyy-mm"), "")</f>
        <v/>
      </c>
    </row>
    <row r="3883">
      <c r="A3883" t="inlineStr">
        <is>
          <t>RP0003882</t>
        </is>
      </c>
      <c r="B3883" t="inlineStr">
        <is>
          <t>LN200553</t>
        </is>
      </c>
      <c r="C3883" t="n">
        <v>6</v>
      </c>
      <c r="D3883" s="8" t="n">
        <v>46137</v>
      </c>
      <c r="E3883" s="9" t="n">
        <v>11552</v>
      </c>
      <c r="F3883" s="8" t="n"/>
      <c r="G3883" s="9" t="n">
        <v>0</v>
      </c>
      <c r="H3883" t="inlineStr">
        <is>
          <t>UNPAID</t>
        </is>
      </c>
      <c r="I3883">
        <f>IF(H3883="UNPAID", AsOfDate-D3883, 0)</f>
        <v/>
      </c>
      <c r="J3883">
        <f>IF(F3883&lt;&gt;"", TEXT(F3883, "yyyy-mm"), "")</f>
        <v/>
      </c>
    </row>
    <row r="3884">
      <c r="A3884" t="inlineStr">
        <is>
          <t>RP0003883</t>
        </is>
      </c>
      <c r="B3884" t="inlineStr">
        <is>
          <t>LN200554</t>
        </is>
      </c>
      <c r="C3884" t="n">
        <v>1</v>
      </c>
      <c r="D3884" s="8" t="n">
        <v>45929</v>
      </c>
      <c r="E3884" s="9" t="n">
        <v>30026.5</v>
      </c>
      <c r="F3884" s="8" t="n">
        <v>45929</v>
      </c>
      <c r="G3884" s="9" t="n">
        <v>30026.5</v>
      </c>
      <c r="H3884" t="inlineStr">
        <is>
          <t>PAID_ON_TIME</t>
        </is>
      </c>
      <c r="I3884">
        <f>IF(H3884="UNPAID", AsOfDate-D3884, 0)</f>
        <v/>
      </c>
      <c r="J3884">
        <f>IF(F3884&lt;&gt;"", TEXT(F3884, "yyyy-mm"), "")</f>
        <v/>
      </c>
    </row>
    <row r="3885">
      <c r="A3885" t="inlineStr">
        <is>
          <t>RP0003884</t>
        </is>
      </c>
      <c r="B3885" t="inlineStr">
        <is>
          <t>LN200554</t>
        </is>
      </c>
      <c r="C3885" t="n">
        <v>2</v>
      </c>
      <c r="D3885" s="8" t="n">
        <v>45959</v>
      </c>
      <c r="E3885" s="9" t="n">
        <v>30026.5</v>
      </c>
      <c r="F3885" s="8" t="n">
        <v>45957</v>
      </c>
      <c r="G3885" s="9" t="n">
        <v>30026.5</v>
      </c>
      <c r="H3885" t="inlineStr">
        <is>
          <t>PAID_ON_TIME</t>
        </is>
      </c>
      <c r="I3885">
        <f>IF(H3885="UNPAID", AsOfDate-D3885, 0)</f>
        <v/>
      </c>
      <c r="J3885">
        <f>IF(F3885&lt;&gt;"", TEXT(F3885, "yyyy-mm"), "")</f>
        <v/>
      </c>
    </row>
    <row r="3886">
      <c r="A3886" t="inlineStr">
        <is>
          <t>RP0003885</t>
        </is>
      </c>
      <c r="B3886" t="inlineStr">
        <is>
          <t>LN200554</t>
        </is>
      </c>
      <c r="C3886" t="n">
        <v>3</v>
      </c>
      <c r="D3886" s="8" t="n">
        <v>45990</v>
      </c>
      <c r="E3886" s="9" t="n">
        <v>30026.5</v>
      </c>
      <c r="F3886" s="8" t="n">
        <v>45989</v>
      </c>
      <c r="G3886" s="9" t="n">
        <v>30026.5</v>
      </c>
      <c r="H3886" t="inlineStr">
        <is>
          <t>PAID_ON_TIME</t>
        </is>
      </c>
      <c r="I3886">
        <f>IF(H3886="UNPAID", AsOfDate-D3886, 0)</f>
        <v/>
      </c>
      <c r="J3886">
        <f>IF(F3886&lt;&gt;"", TEXT(F3886, "yyyy-mm"), "")</f>
        <v/>
      </c>
    </row>
    <row r="3887">
      <c r="A3887" t="inlineStr">
        <is>
          <t>RP0003886</t>
        </is>
      </c>
      <c r="B3887" t="inlineStr">
        <is>
          <t>LN200554</t>
        </is>
      </c>
      <c r="C3887" t="n">
        <v>4</v>
      </c>
      <c r="D3887" s="8" t="n">
        <v>46020</v>
      </c>
      <c r="E3887" s="9" t="n">
        <v>30026.5</v>
      </c>
      <c r="F3887" s="8" t="n">
        <v>46021</v>
      </c>
      <c r="G3887" s="9" t="n">
        <v>30026.5</v>
      </c>
      <c r="H3887" t="inlineStr">
        <is>
          <t>PAID_ON_TIME</t>
        </is>
      </c>
      <c r="I3887">
        <f>IF(H3887="UNPAID", AsOfDate-D3887, 0)</f>
        <v/>
      </c>
      <c r="J3887">
        <f>IF(F3887&lt;&gt;"", TEXT(F3887, "yyyy-mm"), "")</f>
        <v/>
      </c>
    </row>
    <row r="3888">
      <c r="A3888" t="inlineStr">
        <is>
          <t>RP0003887</t>
        </is>
      </c>
      <c r="B3888" t="inlineStr">
        <is>
          <t>LN200554</t>
        </is>
      </c>
      <c r="C3888" t="n">
        <v>5</v>
      </c>
      <c r="D3888" s="8" t="n">
        <v>46051</v>
      </c>
      <c r="E3888" s="9" t="n">
        <v>30026.5</v>
      </c>
      <c r="F3888" s="8" t="n">
        <v>46054</v>
      </c>
      <c r="G3888" s="9" t="n">
        <v>30026.5</v>
      </c>
      <c r="H3888" t="inlineStr">
        <is>
          <t>PAID_ON_TIME</t>
        </is>
      </c>
      <c r="I3888">
        <f>IF(H3888="UNPAID", AsOfDate-D3888, 0)</f>
        <v/>
      </c>
      <c r="J3888">
        <f>IF(F3888&lt;&gt;"", TEXT(F3888, "yyyy-mm"), "")</f>
        <v/>
      </c>
    </row>
    <row r="3889">
      <c r="A3889" t="inlineStr">
        <is>
          <t>RP0003888</t>
        </is>
      </c>
      <c r="B3889" t="inlineStr">
        <is>
          <t>LN200554</t>
        </is>
      </c>
      <c r="C3889" t="n">
        <v>6</v>
      </c>
      <c r="D3889" s="8" t="n">
        <v>46081</v>
      </c>
      <c r="E3889" s="9" t="n">
        <v>30026.5</v>
      </c>
      <c r="F3889" s="8" t="n">
        <v>46083</v>
      </c>
      <c r="G3889" s="9" t="n">
        <v>30026.5</v>
      </c>
      <c r="H3889" t="inlineStr">
        <is>
          <t>PAID_ON_TIME</t>
        </is>
      </c>
      <c r="I3889">
        <f>IF(H3889="UNPAID", AsOfDate-D3889, 0)</f>
        <v/>
      </c>
      <c r="J3889">
        <f>IF(F3889&lt;&gt;"", TEXT(F3889, "yyyy-mm"), "")</f>
        <v/>
      </c>
    </row>
    <row r="3890">
      <c r="A3890" t="inlineStr">
        <is>
          <t>RP0003889</t>
        </is>
      </c>
      <c r="B3890" t="inlineStr">
        <is>
          <t>LN200555</t>
        </is>
      </c>
      <c r="C3890" t="n">
        <v>1</v>
      </c>
      <c r="D3890" s="8" t="n">
        <v>45861</v>
      </c>
      <c r="E3890" s="9" t="n">
        <v>7779.42</v>
      </c>
      <c r="F3890" s="8" t="n">
        <v>45861</v>
      </c>
      <c r="G3890" s="9" t="n">
        <v>7779.42</v>
      </c>
      <c r="H3890" t="inlineStr">
        <is>
          <t>PAID_ON_TIME</t>
        </is>
      </c>
      <c r="I3890">
        <f>IF(H3890="UNPAID", AsOfDate-D3890, 0)</f>
        <v/>
      </c>
      <c r="J3890">
        <f>IF(F3890&lt;&gt;"", TEXT(F3890, "yyyy-mm"), "")</f>
        <v/>
      </c>
    </row>
    <row r="3891">
      <c r="A3891" t="inlineStr">
        <is>
          <t>RP0003890</t>
        </is>
      </c>
      <c r="B3891" t="inlineStr">
        <is>
          <t>LN200555</t>
        </is>
      </c>
      <c r="C3891" t="n">
        <v>2</v>
      </c>
      <c r="D3891" s="8" t="n">
        <v>45892</v>
      </c>
      <c r="E3891" s="9" t="n">
        <v>7779.42</v>
      </c>
      <c r="F3891" s="8" t="n">
        <v>45895</v>
      </c>
      <c r="G3891" s="9" t="n">
        <v>7779.42</v>
      </c>
      <c r="H3891" t="inlineStr">
        <is>
          <t>PAID_ON_TIME</t>
        </is>
      </c>
      <c r="I3891">
        <f>IF(H3891="UNPAID", AsOfDate-D3891, 0)</f>
        <v/>
      </c>
      <c r="J3891">
        <f>IF(F3891&lt;&gt;"", TEXT(F3891, "yyyy-mm"), "")</f>
        <v/>
      </c>
    </row>
    <row r="3892">
      <c r="A3892" t="inlineStr">
        <is>
          <t>RP0003891</t>
        </is>
      </c>
      <c r="B3892" t="inlineStr">
        <is>
          <t>LN200555</t>
        </is>
      </c>
      <c r="C3892" t="n">
        <v>3</v>
      </c>
      <c r="D3892" s="8" t="n">
        <v>45923</v>
      </c>
      <c r="E3892" s="9" t="n">
        <v>7779.42</v>
      </c>
      <c r="F3892" s="8" t="n">
        <v>45924</v>
      </c>
      <c r="G3892" s="9" t="n">
        <v>7779.42</v>
      </c>
      <c r="H3892" t="inlineStr">
        <is>
          <t>PAID_ON_TIME</t>
        </is>
      </c>
      <c r="I3892">
        <f>IF(H3892="UNPAID", AsOfDate-D3892, 0)</f>
        <v/>
      </c>
      <c r="J3892">
        <f>IF(F3892&lt;&gt;"", TEXT(F3892, "yyyy-mm"), "")</f>
        <v/>
      </c>
    </row>
    <row r="3893">
      <c r="A3893" t="inlineStr">
        <is>
          <t>RP0003892</t>
        </is>
      </c>
      <c r="B3893" t="inlineStr">
        <is>
          <t>LN200555</t>
        </is>
      </c>
      <c r="C3893" t="n">
        <v>4</v>
      </c>
      <c r="D3893" s="8" t="n">
        <v>45953</v>
      </c>
      <c r="E3893" s="9" t="n">
        <v>7779.42</v>
      </c>
      <c r="F3893" s="8" t="n">
        <v>45952</v>
      </c>
      <c r="G3893" s="9" t="n">
        <v>7779.42</v>
      </c>
      <c r="H3893" t="inlineStr">
        <is>
          <t>PAID_ON_TIME</t>
        </is>
      </c>
      <c r="I3893">
        <f>IF(H3893="UNPAID", AsOfDate-D3893, 0)</f>
        <v/>
      </c>
      <c r="J3893">
        <f>IF(F3893&lt;&gt;"", TEXT(F3893, "yyyy-mm"), "")</f>
        <v/>
      </c>
    </row>
    <row r="3894">
      <c r="A3894" t="inlineStr">
        <is>
          <t>RP0003893</t>
        </is>
      </c>
      <c r="B3894" t="inlineStr">
        <is>
          <t>LN200555</t>
        </is>
      </c>
      <c r="C3894" t="n">
        <v>5</v>
      </c>
      <c r="D3894" s="8" t="n">
        <v>45984</v>
      </c>
      <c r="E3894" s="9" t="n">
        <v>7779.42</v>
      </c>
      <c r="F3894" s="8" t="n">
        <v>45983</v>
      </c>
      <c r="G3894" s="9" t="n">
        <v>7779.42</v>
      </c>
      <c r="H3894" t="inlineStr">
        <is>
          <t>PAID_ON_TIME</t>
        </is>
      </c>
      <c r="I3894">
        <f>IF(H3894="UNPAID", AsOfDate-D3894, 0)</f>
        <v/>
      </c>
      <c r="J3894">
        <f>IF(F3894&lt;&gt;"", TEXT(F3894, "yyyy-mm"), "")</f>
        <v/>
      </c>
    </row>
    <row r="3895">
      <c r="A3895" t="inlineStr">
        <is>
          <t>RP0003894</t>
        </is>
      </c>
      <c r="B3895" t="inlineStr">
        <is>
          <t>LN200555</t>
        </is>
      </c>
      <c r="C3895" t="n">
        <v>6</v>
      </c>
      <c r="D3895" s="8" t="n">
        <v>46014</v>
      </c>
      <c r="E3895" s="9" t="n">
        <v>7779.42</v>
      </c>
      <c r="F3895" s="8" t="n"/>
      <c r="G3895" s="9" t="n">
        <v>0</v>
      </c>
      <c r="H3895" t="inlineStr">
        <is>
          <t>UNPAID</t>
        </is>
      </c>
      <c r="I3895">
        <f>IF(H3895="UNPAID", AsOfDate-D3895, 0)</f>
        <v/>
      </c>
      <c r="J3895">
        <f>IF(F3895&lt;&gt;"", TEXT(F3895, "yyyy-mm"), "")</f>
        <v/>
      </c>
    </row>
    <row r="3896">
      <c r="A3896" t="inlineStr">
        <is>
          <t>RP0003895</t>
        </is>
      </c>
      <c r="B3896" t="inlineStr">
        <is>
          <t>LN200556</t>
        </is>
      </c>
      <c r="C3896" t="n">
        <v>1</v>
      </c>
      <c r="D3896" s="8" t="n">
        <v>46222</v>
      </c>
      <c r="E3896" s="9" t="n">
        <v>40010.42</v>
      </c>
      <c r="F3896" s="8" t="n">
        <v>46225</v>
      </c>
      <c r="G3896" s="9" t="n">
        <v>40010.42</v>
      </c>
      <c r="H3896" t="inlineStr">
        <is>
          <t>PAID_ON_TIME</t>
        </is>
      </c>
      <c r="I3896">
        <f>IF(H3896="UNPAID", AsOfDate-D3896, 0)</f>
        <v/>
      </c>
      <c r="J3896">
        <f>IF(F3896&lt;&gt;"", TEXT(F3896, "yyyy-mm"), "")</f>
        <v/>
      </c>
    </row>
    <row r="3897">
      <c r="A3897" t="inlineStr">
        <is>
          <t>RP0003896</t>
        </is>
      </c>
      <c r="B3897" t="inlineStr">
        <is>
          <t>LN200556</t>
        </is>
      </c>
      <c r="C3897" t="n">
        <v>2</v>
      </c>
      <c r="D3897" s="8" t="n">
        <v>46253</v>
      </c>
      <c r="E3897" s="9" t="n">
        <v>40010.42</v>
      </c>
      <c r="F3897" s="8" t="n"/>
      <c r="G3897" s="9" t="n">
        <v>0</v>
      </c>
      <c r="H3897" t="inlineStr">
        <is>
          <t>UNPAID</t>
        </is>
      </c>
      <c r="I3897">
        <f>IF(H3897="UNPAID", AsOfDate-D3897, 0)</f>
        <v/>
      </c>
      <c r="J3897">
        <f>IF(F3897&lt;&gt;"", TEXT(F3897, "yyyy-mm"), "")</f>
        <v/>
      </c>
    </row>
    <row r="3898">
      <c r="A3898" t="inlineStr">
        <is>
          <t>RP0003897</t>
        </is>
      </c>
      <c r="B3898" t="inlineStr">
        <is>
          <t>LN200556</t>
        </is>
      </c>
      <c r="C3898" t="n">
        <v>3</v>
      </c>
      <c r="D3898" s="8" t="n">
        <v>46284</v>
      </c>
      <c r="E3898" s="9" t="n">
        <v>40010.42</v>
      </c>
      <c r="F3898" s="8" t="n"/>
      <c r="G3898" s="9" t="n">
        <v>0</v>
      </c>
      <c r="H3898" t="inlineStr">
        <is>
          <t>NOT_DUE</t>
        </is>
      </c>
      <c r="I3898">
        <f>IF(H3898="UNPAID", AsOfDate-D3898, 0)</f>
        <v/>
      </c>
      <c r="J3898">
        <f>IF(F3898&lt;&gt;"", TEXT(F3898, "yyyy-mm"), "")</f>
        <v/>
      </c>
    </row>
    <row r="3899">
      <c r="A3899" t="inlineStr">
        <is>
          <t>RP0003898</t>
        </is>
      </c>
      <c r="B3899" t="inlineStr">
        <is>
          <t>LN200557</t>
        </is>
      </c>
      <c r="C3899" t="n">
        <v>1</v>
      </c>
      <c r="D3899" s="8" t="n">
        <v>45829</v>
      </c>
      <c r="E3899" s="9" t="n">
        <v>29452.5</v>
      </c>
      <c r="F3899" s="8" t="n">
        <v>45827</v>
      </c>
      <c r="G3899" s="9" t="n">
        <v>29452.5</v>
      </c>
      <c r="H3899" t="inlineStr">
        <is>
          <t>PAID_ON_TIME</t>
        </is>
      </c>
      <c r="I3899">
        <f>IF(H3899="UNPAID", AsOfDate-D3899, 0)</f>
        <v/>
      </c>
      <c r="J3899">
        <f>IF(F3899&lt;&gt;"", TEXT(F3899, "yyyy-mm"), "")</f>
        <v/>
      </c>
    </row>
    <row r="3900">
      <c r="A3900" t="inlineStr">
        <is>
          <t>RP0003899</t>
        </is>
      </c>
      <c r="B3900" t="inlineStr">
        <is>
          <t>LN200557</t>
        </is>
      </c>
      <c r="C3900" t="n">
        <v>2</v>
      </c>
      <c r="D3900" s="8" t="n">
        <v>45859</v>
      </c>
      <c r="E3900" s="9" t="n">
        <v>29452.5</v>
      </c>
      <c r="F3900" s="8" t="n">
        <v>45863</v>
      </c>
      <c r="G3900" s="9" t="n">
        <v>29452.5</v>
      </c>
      <c r="H3900" t="inlineStr">
        <is>
          <t>PAID_ON_TIME</t>
        </is>
      </c>
      <c r="I3900">
        <f>IF(H3900="UNPAID", AsOfDate-D3900, 0)</f>
        <v/>
      </c>
      <c r="J3900">
        <f>IF(F3900&lt;&gt;"", TEXT(F3900, "yyyy-mm"), "")</f>
        <v/>
      </c>
    </row>
    <row r="3901">
      <c r="A3901" t="inlineStr">
        <is>
          <t>RP0003900</t>
        </is>
      </c>
      <c r="B3901" t="inlineStr">
        <is>
          <t>LN200557</t>
        </is>
      </c>
      <c r="C3901" t="n">
        <v>3</v>
      </c>
      <c r="D3901" s="8" t="n">
        <v>45890</v>
      </c>
      <c r="E3901" s="9" t="n">
        <v>29452.5</v>
      </c>
      <c r="F3901" s="8" t="n">
        <v>45887</v>
      </c>
      <c r="G3901" s="9" t="n">
        <v>29452.5</v>
      </c>
      <c r="H3901" t="inlineStr">
        <is>
          <t>PAID_ON_TIME</t>
        </is>
      </c>
      <c r="I3901">
        <f>IF(H3901="UNPAID", AsOfDate-D3901, 0)</f>
        <v/>
      </c>
      <c r="J3901">
        <f>IF(F3901&lt;&gt;"", TEXT(F3901, "yyyy-mm"), "")</f>
        <v/>
      </c>
    </row>
    <row r="3902">
      <c r="A3902" t="inlineStr">
        <is>
          <t>RP0003901</t>
        </is>
      </c>
      <c r="B3902" t="inlineStr">
        <is>
          <t>LN200557</t>
        </is>
      </c>
      <c r="C3902" t="n">
        <v>4</v>
      </c>
      <c r="D3902" s="8" t="n">
        <v>45921</v>
      </c>
      <c r="E3902" s="9" t="n">
        <v>29452.5</v>
      </c>
      <c r="F3902" s="8" t="n">
        <v>45918</v>
      </c>
      <c r="G3902" s="9" t="n">
        <v>29452.5</v>
      </c>
      <c r="H3902" t="inlineStr">
        <is>
          <t>PAID_ON_TIME</t>
        </is>
      </c>
      <c r="I3902">
        <f>IF(H3902="UNPAID", AsOfDate-D3902, 0)</f>
        <v/>
      </c>
      <c r="J3902">
        <f>IF(F3902&lt;&gt;"", TEXT(F3902, "yyyy-mm"), "")</f>
        <v/>
      </c>
    </row>
    <row r="3903">
      <c r="A3903" t="inlineStr">
        <is>
          <t>RP0003902</t>
        </is>
      </c>
      <c r="B3903" t="inlineStr">
        <is>
          <t>LN200557</t>
        </is>
      </c>
      <c r="C3903" t="n">
        <v>5</v>
      </c>
      <c r="D3903" s="8" t="n">
        <v>45951</v>
      </c>
      <c r="E3903" s="9" t="n">
        <v>29452.5</v>
      </c>
      <c r="F3903" s="8" t="n">
        <v>45949</v>
      </c>
      <c r="G3903" s="9" t="n">
        <v>29452.5</v>
      </c>
      <c r="H3903" t="inlineStr">
        <is>
          <t>PAID_ON_TIME</t>
        </is>
      </c>
      <c r="I3903">
        <f>IF(H3903="UNPAID", AsOfDate-D3903, 0)</f>
        <v/>
      </c>
      <c r="J3903">
        <f>IF(F3903&lt;&gt;"", TEXT(F3903, "yyyy-mm"), "")</f>
        <v/>
      </c>
    </row>
    <row r="3904">
      <c r="A3904" t="inlineStr">
        <is>
          <t>RP0003903</t>
        </is>
      </c>
      <c r="B3904" t="inlineStr">
        <is>
          <t>LN200557</t>
        </is>
      </c>
      <c r="C3904" t="n">
        <v>6</v>
      </c>
      <c r="D3904" s="8" t="n">
        <v>45982</v>
      </c>
      <c r="E3904" s="9" t="n">
        <v>29452.5</v>
      </c>
      <c r="F3904" s="8" t="n">
        <v>45983</v>
      </c>
      <c r="G3904" s="9" t="n">
        <v>29452.5</v>
      </c>
      <c r="H3904" t="inlineStr">
        <is>
          <t>PAID_ON_TIME</t>
        </is>
      </c>
      <c r="I3904">
        <f>IF(H3904="UNPAID", AsOfDate-D3904, 0)</f>
        <v/>
      </c>
      <c r="J3904">
        <f>IF(F3904&lt;&gt;"", TEXT(F3904, "yyyy-mm"), "")</f>
        <v/>
      </c>
    </row>
    <row r="3905">
      <c r="A3905" t="inlineStr">
        <is>
          <t>RP0003904</t>
        </is>
      </c>
      <c r="B3905" t="inlineStr">
        <is>
          <t>LN200558</t>
        </is>
      </c>
      <c r="C3905" t="n">
        <v>1</v>
      </c>
      <c r="D3905" s="8" t="n">
        <v>45709</v>
      </c>
      <c r="E3905" s="9" t="n">
        <v>2556</v>
      </c>
      <c r="F3905" s="8" t="n">
        <v>45709</v>
      </c>
      <c r="G3905" s="9" t="n">
        <v>2556</v>
      </c>
      <c r="H3905" t="inlineStr">
        <is>
          <t>PAID_ON_TIME</t>
        </is>
      </c>
      <c r="I3905">
        <f>IF(H3905="UNPAID", AsOfDate-D3905, 0)</f>
        <v/>
      </c>
      <c r="J3905">
        <f>IF(F3905&lt;&gt;"", TEXT(F3905, "yyyy-mm"), "")</f>
        <v/>
      </c>
    </row>
    <row r="3906">
      <c r="A3906" t="inlineStr">
        <is>
          <t>RP0003905</t>
        </is>
      </c>
      <c r="B3906" t="inlineStr">
        <is>
          <t>LN200558</t>
        </is>
      </c>
      <c r="C3906" t="n">
        <v>2</v>
      </c>
      <c r="D3906" s="8" t="n">
        <v>45737</v>
      </c>
      <c r="E3906" s="9" t="n">
        <v>2556</v>
      </c>
      <c r="F3906" s="8" t="n">
        <v>45741</v>
      </c>
      <c r="G3906" s="9" t="n">
        <v>2556</v>
      </c>
      <c r="H3906" t="inlineStr">
        <is>
          <t>PAID_ON_TIME</t>
        </is>
      </c>
      <c r="I3906">
        <f>IF(H3906="UNPAID", AsOfDate-D3906, 0)</f>
        <v/>
      </c>
      <c r="J3906">
        <f>IF(F3906&lt;&gt;"", TEXT(F3906, "yyyy-mm"), "")</f>
        <v/>
      </c>
    </row>
    <row r="3907">
      <c r="A3907" t="inlineStr">
        <is>
          <t>RP0003906</t>
        </is>
      </c>
      <c r="B3907" t="inlineStr">
        <is>
          <t>LN200558</t>
        </is>
      </c>
      <c r="C3907" t="n">
        <v>3</v>
      </c>
      <c r="D3907" s="8" t="n">
        <v>45768</v>
      </c>
      <c r="E3907" s="9" t="n">
        <v>2556</v>
      </c>
      <c r="F3907" s="8" t="n">
        <v>45768</v>
      </c>
      <c r="G3907" s="9" t="n">
        <v>2556</v>
      </c>
      <c r="H3907" t="inlineStr">
        <is>
          <t>PAID_ON_TIME</t>
        </is>
      </c>
      <c r="I3907">
        <f>IF(H3907="UNPAID", AsOfDate-D3907, 0)</f>
        <v/>
      </c>
      <c r="J3907">
        <f>IF(F3907&lt;&gt;"", TEXT(F3907, "yyyy-mm"), "")</f>
        <v/>
      </c>
    </row>
    <row r="3908">
      <c r="A3908" t="inlineStr">
        <is>
          <t>RP0003907</t>
        </is>
      </c>
      <c r="B3908" t="inlineStr">
        <is>
          <t>LN200558</t>
        </is>
      </c>
      <c r="C3908" t="n">
        <v>4</v>
      </c>
      <c r="D3908" s="8" t="n">
        <v>45798</v>
      </c>
      <c r="E3908" s="9" t="n">
        <v>2556</v>
      </c>
      <c r="F3908" s="8" t="n">
        <v>45799</v>
      </c>
      <c r="G3908" s="9" t="n">
        <v>2556</v>
      </c>
      <c r="H3908" t="inlineStr">
        <is>
          <t>PAID_ON_TIME</t>
        </is>
      </c>
      <c r="I3908">
        <f>IF(H3908="UNPAID", AsOfDate-D3908, 0)</f>
        <v/>
      </c>
      <c r="J3908">
        <f>IF(F3908&lt;&gt;"", TEXT(F3908, "yyyy-mm"), "")</f>
        <v/>
      </c>
    </row>
    <row r="3909">
      <c r="A3909" t="inlineStr">
        <is>
          <t>RP0003908</t>
        </is>
      </c>
      <c r="B3909" t="inlineStr">
        <is>
          <t>LN200558</t>
        </is>
      </c>
      <c r="C3909" t="n">
        <v>5</v>
      </c>
      <c r="D3909" s="8" t="n">
        <v>45829</v>
      </c>
      <c r="E3909" s="9" t="n">
        <v>2556</v>
      </c>
      <c r="F3909" s="8" t="n">
        <v>45911</v>
      </c>
      <c r="G3909" s="9" t="n">
        <v>2556</v>
      </c>
      <c r="H3909" t="inlineStr">
        <is>
          <t>PAID_LATE</t>
        </is>
      </c>
      <c r="I3909">
        <f>IF(H3909="UNPAID", AsOfDate-D3909, 0)</f>
        <v/>
      </c>
      <c r="J3909">
        <f>IF(F3909&lt;&gt;"", TEXT(F3909, "yyyy-mm"), "")</f>
        <v/>
      </c>
    </row>
    <row r="3910">
      <c r="A3910" t="inlineStr">
        <is>
          <t>RP0003909</t>
        </is>
      </c>
      <c r="B3910" t="inlineStr">
        <is>
          <t>LN200558</t>
        </is>
      </c>
      <c r="C3910" t="n">
        <v>6</v>
      </c>
      <c r="D3910" s="8" t="n">
        <v>45859</v>
      </c>
      <c r="E3910" s="9" t="n">
        <v>2556</v>
      </c>
      <c r="F3910" s="8" t="n">
        <v>45857</v>
      </c>
      <c r="G3910" s="9" t="n">
        <v>2556</v>
      </c>
      <c r="H3910" t="inlineStr">
        <is>
          <t>PAID_ON_TIME</t>
        </is>
      </c>
      <c r="I3910">
        <f>IF(H3910="UNPAID", AsOfDate-D3910, 0)</f>
        <v/>
      </c>
      <c r="J3910">
        <f>IF(F3910&lt;&gt;"", TEXT(F3910, "yyyy-mm"), "")</f>
        <v/>
      </c>
    </row>
    <row r="3911">
      <c r="A3911" t="inlineStr">
        <is>
          <t>RP0003910</t>
        </is>
      </c>
      <c r="B3911" t="inlineStr">
        <is>
          <t>LN200558</t>
        </is>
      </c>
      <c r="C3911" t="n">
        <v>7</v>
      </c>
      <c r="D3911" s="8" t="n">
        <v>45890</v>
      </c>
      <c r="E3911" s="9" t="n">
        <v>2556</v>
      </c>
      <c r="F3911" s="8" t="n">
        <v>45976</v>
      </c>
      <c r="G3911" s="9" t="n">
        <v>2556</v>
      </c>
      <c r="H3911" t="inlineStr">
        <is>
          <t>PAID_LATE</t>
        </is>
      </c>
      <c r="I3911">
        <f>IF(H3911="UNPAID", AsOfDate-D3911, 0)</f>
        <v/>
      </c>
      <c r="J3911">
        <f>IF(F3911&lt;&gt;"", TEXT(F3911, "yyyy-mm"), "")</f>
        <v/>
      </c>
    </row>
    <row r="3912">
      <c r="A3912" t="inlineStr">
        <is>
          <t>RP0003911</t>
        </is>
      </c>
      <c r="B3912" t="inlineStr">
        <is>
          <t>LN200558</t>
        </is>
      </c>
      <c r="C3912" t="n">
        <v>8</v>
      </c>
      <c r="D3912" s="8" t="n">
        <v>45921</v>
      </c>
      <c r="E3912" s="9" t="n">
        <v>2556</v>
      </c>
      <c r="F3912" s="8" t="n">
        <v>45918</v>
      </c>
      <c r="G3912" s="9" t="n">
        <v>2556</v>
      </c>
      <c r="H3912" t="inlineStr">
        <is>
          <t>PAID_ON_TIME</t>
        </is>
      </c>
      <c r="I3912">
        <f>IF(H3912="UNPAID", AsOfDate-D3912, 0)</f>
        <v/>
      </c>
      <c r="J3912">
        <f>IF(F3912&lt;&gt;"", TEXT(F3912, "yyyy-mm"), "")</f>
        <v/>
      </c>
    </row>
    <row r="3913">
      <c r="A3913" t="inlineStr">
        <is>
          <t>RP0003912</t>
        </is>
      </c>
      <c r="B3913" t="inlineStr">
        <is>
          <t>LN200558</t>
        </is>
      </c>
      <c r="C3913" t="n">
        <v>9</v>
      </c>
      <c r="D3913" s="8" t="n">
        <v>45951</v>
      </c>
      <c r="E3913" s="9" t="n">
        <v>2556</v>
      </c>
      <c r="F3913" s="8" t="n">
        <v>45953</v>
      </c>
      <c r="G3913" s="9" t="n">
        <v>2556</v>
      </c>
      <c r="H3913" t="inlineStr">
        <is>
          <t>PAID_ON_TIME</t>
        </is>
      </c>
      <c r="I3913">
        <f>IF(H3913="UNPAID", AsOfDate-D3913, 0)</f>
        <v/>
      </c>
      <c r="J3913">
        <f>IF(F3913&lt;&gt;"", TEXT(F3913, "yyyy-mm"), "")</f>
        <v/>
      </c>
    </row>
    <row r="3914">
      <c r="A3914" t="inlineStr">
        <is>
          <t>RP0003913</t>
        </is>
      </c>
      <c r="B3914" t="inlineStr">
        <is>
          <t>LN200558</t>
        </is>
      </c>
      <c r="C3914" t="n">
        <v>10</v>
      </c>
      <c r="D3914" s="8" t="n">
        <v>45982</v>
      </c>
      <c r="E3914" s="9" t="n">
        <v>2556</v>
      </c>
      <c r="F3914" s="8" t="n">
        <v>45983</v>
      </c>
      <c r="G3914" s="9" t="n">
        <v>2556</v>
      </c>
      <c r="H3914" t="inlineStr">
        <is>
          <t>PAID_ON_TIME</t>
        </is>
      </c>
      <c r="I3914">
        <f>IF(H3914="UNPAID", AsOfDate-D3914, 0)</f>
        <v/>
      </c>
      <c r="J3914">
        <f>IF(F3914&lt;&gt;"", TEXT(F3914, "yyyy-mm"), "")</f>
        <v/>
      </c>
    </row>
    <row r="3915">
      <c r="A3915" t="inlineStr">
        <is>
          <t>RP0003914</t>
        </is>
      </c>
      <c r="B3915" t="inlineStr">
        <is>
          <t>LN200558</t>
        </is>
      </c>
      <c r="C3915" t="n">
        <v>11</v>
      </c>
      <c r="D3915" s="8" t="n">
        <v>46012</v>
      </c>
      <c r="E3915" s="9" t="n">
        <v>2556</v>
      </c>
      <c r="F3915" s="8" t="n">
        <v>46015</v>
      </c>
      <c r="G3915" s="9" t="n">
        <v>2556</v>
      </c>
      <c r="H3915" t="inlineStr">
        <is>
          <t>PAID_ON_TIME</t>
        </is>
      </c>
      <c r="I3915">
        <f>IF(H3915="UNPAID", AsOfDate-D3915, 0)</f>
        <v/>
      </c>
      <c r="J3915">
        <f>IF(F3915&lt;&gt;"", TEXT(F3915, "yyyy-mm"), "")</f>
        <v/>
      </c>
    </row>
    <row r="3916">
      <c r="A3916" t="inlineStr">
        <is>
          <t>RP0003915</t>
        </is>
      </c>
      <c r="B3916" t="inlineStr">
        <is>
          <t>LN200558</t>
        </is>
      </c>
      <c r="C3916" t="n">
        <v>12</v>
      </c>
      <c r="D3916" s="8" t="n">
        <v>46043</v>
      </c>
      <c r="E3916" s="9" t="n">
        <v>2556</v>
      </c>
      <c r="F3916" s="8" t="n">
        <v>46041</v>
      </c>
      <c r="G3916" s="9" t="n">
        <v>2556</v>
      </c>
      <c r="H3916" t="inlineStr">
        <is>
          <t>PAID_ON_TIME</t>
        </is>
      </c>
      <c r="I3916">
        <f>IF(H3916="UNPAID", AsOfDate-D3916, 0)</f>
        <v/>
      </c>
      <c r="J3916">
        <f>IF(F3916&lt;&gt;"", TEXT(F3916, "yyyy-mm"), "")</f>
        <v/>
      </c>
    </row>
    <row r="3917">
      <c r="A3917" t="inlineStr">
        <is>
          <t>RP0003916</t>
        </is>
      </c>
      <c r="B3917" t="inlineStr">
        <is>
          <t>LN200559</t>
        </is>
      </c>
      <c r="C3917" t="n">
        <v>1</v>
      </c>
      <c r="D3917" s="8" t="n">
        <v>46180</v>
      </c>
      <c r="E3917" s="9" t="n">
        <v>7023.33</v>
      </c>
      <c r="F3917" s="8" t="n">
        <v>46182</v>
      </c>
      <c r="G3917" s="9" t="n">
        <v>7023.33</v>
      </c>
      <c r="H3917" t="inlineStr">
        <is>
          <t>PAID_ON_TIME</t>
        </is>
      </c>
      <c r="I3917">
        <f>IF(H3917="UNPAID", AsOfDate-D3917, 0)</f>
        <v/>
      </c>
      <c r="J3917">
        <f>IF(F3917&lt;&gt;"", TEXT(F3917, "yyyy-mm"), "")</f>
        <v/>
      </c>
    </row>
    <row r="3918">
      <c r="A3918" t="inlineStr">
        <is>
          <t>RP0003917</t>
        </is>
      </c>
      <c r="B3918" t="inlineStr">
        <is>
          <t>LN200559</t>
        </is>
      </c>
      <c r="C3918" t="n">
        <v>2</v>
      </c>
      <c r="D3918" s="8" t="n">
        <v>46210</v>
      </c>
      <c r="E3918" s="9" t="n">
        <v>7023.33</v>
      </c>
      <c r="F3918" s="8" t="n"/>
      <c r="G3918" s="9" t="n">
        <v>0</v>
      </c>
      <c r="H3918" t="inlineStr">
        <is>
          <t>UNPAID</t>
        </is>
      </c>
      <c r="I3918">
        <f>IF(H3918="UNPAID", AsOfDate-D3918, 0)</f>
        <v/>
      </c>
      <c r="J3918">
        <f>IF(F3918&lt;&gt;"", TEXT(F3918, "yyyy-mm"), "")</f>
        <v/>
      </c>
    </row>
    <row r="3919">
      <c r="A3919" t="inlineStr">
        <is>
          <t>RP0003918</t>
        </is>
      </c>
      <c r="B3919" t="inlineStr">
        <is>
          <t>LN200559</t>
        </is>
      </c>
      <c r="C3919" t="n">
        <v>3</v>
      </c>
      <c r="D3919" s="8" t="n">
        <v>46241</v>
      </c>
      <c r="E3919" s="9" t="n">
        <v>7023.33</v>
      </c>
      <c r="F3919" s="8" t="n">
        <v>46242</v>
      </c>
      <c r="G3919" s="9" t="n">
        <v>7023.33</v>
      </c>
      <c r="H3919" t="inlineStr">
        <is>
          <t>PAID_ON_TIME</t>
        </is>
      </c>
      <c r="I3919">
        <f>IF(H3919="UNPAID", AsOfDate-D3919, 0)</f>
        <v/>
      </c>
      <c r="J3919">
        <f>IF(F3919&lt;&gt;"", TEXT(F3919, "yyyy-mm"), "")</f>
        <v/>
      </c>
    </row>
    <row r="3920">
      <c r="A3920" t="inlineStr">
        <is>
          <t>RP0003919</t>
        </is>
      </c>
      <c r="B3920" t="inlineStr">
        <is>
          <t>LN200560</t>
        </is>
      </c>
      <c r="C3920" t="n">
        <v>1</v>
      </c>
      <c r="D3920" s="8" t="n">
        <v>45837</v>
      </c>
      <c r="E3920" s="9" t="n">
        <v>3540</v>
      </c>
      <c r="F3920" s="8" t="n">
        <v>45837</v>
      </c>
      <c r="G3920" s="9" t="n">
        <v>3540</v>
      </c>
      <c r="H3920" t="inlineStr">
        <is>
          <t>PAID_ON_TIME</t>
        </is>
      </c>
      <c r="I3920">
        <f>IF(H3920="UNPAID", AsOfDate-D3920, 0)</f>
        <v/>
      </c>
      <c r="J3920">
        <f>IF(F3920&lt;&gt;"", TEXT(F3920, "yyyy-mm"), "")</f>
        <v/>
      </c>
    </row>
    <row r="3921">
      <c r="A3921" t="inlineStr">
        <is>
          <t>RP0003920</t>
        </is>
      </c>
      <c r="B3921" t="inlineStr">
        <is>
          <t>LN200560</t>
        </is>
      </c>
      <c r="C3921" t="n">
        <v>2</v>
      </c>
      <c r="D3921" s="8" t="n">
        <v>45867</v>
      </c>
      <c r="E3921" s="9" t="n">
        <v>3540</v>
      </c>
      <c r="F3921" s="8" t="n">
        <v>45868</v>
      </c>
      <c r="G3921" s="9" t="n">
        <v>3540</v>
      </c>
      <c r="H3921" t="inlineStr">
        <is>
          <t>PAID_ON_TIME</t>
        </is>
      </c>
      <c r="I3921">
        <f>IF(H3921="UNPAID", AsOfDate-D3921, 0)</f>
        <v/>
      </c>
      <c r="J3921">
        <f>IF(F3921&lt;&gt;"", TEXT(F3921, "yyyy-mm"), "")</f>
        <v/>
      </c>
    </row>
    <row r="3922">
      <c r="A3922" t="inlineStr">
        <is>
          <t>RP0003921</t>
        </is>
      </c>
      <c r="B3922" t="inlineStr">
        <is>
          <t>LN200560</t>
        </is>
      </c>
      <c r="C3922" t="n">
        <v>3</v>
      </c>
      <c r="D3922" s="8" t="n">
        <v>45898</v>
      </c>
      <c r="E3922" s="9" t="n">
        <v>3540</v>
      </c>
      <c r="F3922" s="8" t="n">
        <v>45900</v>
      </c>
      <c r="G3922" s="9" t="n">
        <v>3540</v>
      </c>
      <c r="H3922" t="inlineStr">
        <is>
          <t>PAID_ON_TIME</t>
        </is>
      </c>
      <c r="I3922">
        <f>IF(H3922="UNPAID", AsOfDate-D3922, 0)</f>
        <v/>
      </c>
      <c r="J3922">
        <f>IF(F3922&lt;&gt;"", TEXT(F3922, "yyyy-mm"), "")</f>
        <v/>
      </c>
    </row>
    <row r="3923">
      <c r="A3923" t="inlineStr">
        <is>
          <t>RP0003922</t>
        </is>
      </c>
      <c r="B3923" t="inlineStr">
        <is>
          <t>LN200560</t>
        </is>
      </c>
      <c r="C3923" t="n">
        <v>4</v>
      </c>
      <c r="D3923" s="8" t="n">
        <v>45929</v>
      </c>
      <c r="E3923" s="9" t="n">
        <v>3540</v>
      </c>
      <c r="F3923" s="8" t="n">
        <v>45926</v>
      </c>
      <c r="G3923" s="9" t="n">
        <v>3540</v>
      </c>
      <c r="H3923" t="inlineStr">
        <is>
          <t>PAID_ON_TIME</t>
        </is>
      </c>
      <c r="I3923">
        <f>IF(H3923="UNPAID", AsOfDate-D3923, 0)</f>
        <v/>
      </c>
      <c r="J3923">
        <f>IF(F3923&lt;&gt;"", TEXT(F3923, "yyyy-mm"), "")</f>
        <v/>
      </c>
    </row>
    <row r="3924">
      <c r="A3924" t="inlineStr">
        <is>
          <t>RP0003923</t>
        </is>
      </c>
      <c r="B3924" t="inlineStr">
        <is>
          <t>LN200560</t>
        </is>
      </c>
      <c r="C3924" t="n">
        <v>5</v>
      </c>
      <c r="D3924" s="8" t="n">
        <v>45959</v>
      </c>
      <c r="E3924" s="9" t="n">
        <v>3540</v>
      </c>
      <c r="F3924" s="8" t="n">
        <v>45960</v>
      </c>
      <c r="G3924" s="9" t="n">
        <v>3540</v>
      </c>
      <c r="H3924" t="inlineStr">
        <is>
          <t>PAID_ON_TIME</t>
        </is>
      </c>
      <c r="I3924">
        <f>IF(H3924="UNPAID", AsOfDate-D3924, 0)</f>
        <v/>
      </c>
      <c r="J3924">
        <f>IF(F3924&lt;&gt;"", TEXT(F3924, "yyyy-mm"), "")</f>
        <v/>
      </c>
    </row>
    <row r="3925">
      <c r="A3925" t="inlineStr">
        <is>
          <t>RP0003924</t>
        </is>
      </c>
      <c r="B3925" t="inlineStr">
        <is>
          <t>LN200560</t>
        </is>
      </c>
      <c r="C3925" t="n">
        <v>6</v>
      </c>
      <c r="D3925" s="8" t="n">
        <v>45990</v>
      </c>
      <c r="E3925" s="9" t="n">
        <v>3540</v>
      </c>
      <c r="F3925" s="8" t="n">
        <v>45993</v>
      </c>
      <c r="G3925" s="9" t="n">
        <v>3540</v>
      </c>
      <c r="H3925" t="inlineStr">
        <is>
          <t>PAID_ON_TIME</t>
        </is>
      </c>
      <c r="I3925">
        <f>IF(H3925="UNPAID", AsOfDate-D3925, 0)</f>
        <v/>
      </c>
      <c r="J3925">
        <f>IF(F3925&lt;&gt;"", TEXT(F3925, "yyyy-mm"), "")</f>
        <v/>
      </c>
    </row>
    <row r="3926">
      <c r="A3926" t="inlineStr">
        <is>
          <t>RP0003925</t>
        </is>
      </c>
      <c r="B3926" t="inlineStr">
        <is>
          <t>LN200561</t>
        </is>
      </c>
      <c r="C3926" t="n">
        <v>1</v>
      </c>
      <c r="D3926" s="8" t="n">
        <v>46085</v>
      </c>
      <c r="E3926" s="9" t="n">
        <v>9344.25</v>
      </c>
      <c r="F3926" s="8" t="n">
        <v>46086</v>
      </c>
      <c r="G3926" s="9" t="n">
        <v>9344.25</v>
      </c>
      <c r="H3926" t="inlineStr">
        <is>
          <t>PAID_ON_TIME</t>
        </is>
      </c>
      <c r="I3926">
        <f>IF(H3926="UNPAID", AsOfDate-D3926, 0)</f>
        <v/>
      </c>
      <c r="J3926">
        <f>IF(F3926&lt;&gt;"", TEXT(F3926, "yyyy-mm"), "")</f>
        <v/>
      </c>
    </row>
    <row r="3927">
      <c r="A3927" t="inlineStr">
        <is>
          <t>RP0003926</t>
        </is>
      </c>
      <c r="B3927" t="inlineStr">
        <is>
          <t>LN200561</t>
        </is>
      </c>
      <c r="C3927" t="n">
        <v>2</v>
      </c>
      <c r="D3927" s="8" t="n">
        <v>46116</v>
      </c>
      <c r="E3927" s="9" t="n">
        <v>9344.25</v>
      </c>
      <c r="F3927" s="8" t="n">
        <v>46119</v>
      </c>
      <c r="G3927" s="9" t="n">
        <v>9344.25</v>
      </c>
      <c r="H3927" t="inlineStr">
        <is>
          <t>PAID_ON_TIME</t>
        </is>
      </c>
      <c r="I3927">
        <f>IF(H3927="UNPAID", AsOfDate-D3927, 0)</f>
        <v/>
      </c>
      <c r="J3927">
        <f>IF(F3927&lt;&gt;"", TEXT(F3927, "yyyy-mm"), "")</f>
        <v/>
      </c>
    </row>
    <row r="3928">
      <c r="A3928" t="inlineStr">
        <is>
          <t>RP0003927</t>
        </is>
      </c>
      <c r="B3928" t="inlineStr">
        <is>
          <t>LN200561</t>
        </is>
      </c>
      <c r="C3928" t="n">
        <v>3</v>
      </c>
      <c r="D3928" s="8" t="n">
        <v>46146</v>
      </c>
      <c r="E3928" s="9" t="n">
        <v>9344.25</v>
      </c>
      <c r="F3928" s="8" t="n">
        <v>46144</v>
      </c>
      <c r="G3928" s="9" t="n">
        <v>9344.25</v>
      </c>
      <c r="H3928" t="inlineStr">
        <is>
          <t>PAID_ON_TIME</t>
        </is>
      </c>
      <c r="I3928">
        <f>IF(H3928="UNPAID", AsOfDate-D3928, 0)</f>
        <v/>
      </c>
      <c r="J3928">
        <f>IF(F3928&lt;&gt;"", TEXT(F3928, "yyyy-mm"), "")</f>
        <v/>
      </c>
    </row>
    <row r="3929">
      <c r="A3929" t="inlineStr">
        <is>
          <t>RP0003928</t>
        </is>
      </c>
      <c r="B3929" t="inlineStr">
        <is>
          <t>LN200562</t>
        </is>
      </c>
      <c r="C3929" t="n">
        <v>1</v>
      </c>
      <c r="D3929" s="8" t="n">
        <v>46090</v>
      </c>
      <c r="E3929" s="9" t="n">
        <v>12395.83</v>
      </c>
      <c r="F3929" s="8" t="n">
        <v>46161</v>
      </c>
      <c r="G3929" s="9" t="n">
        <v>12395.83</v>
      </c>
      <c r="H3929" t="inlineStr">
        <is>
          <t>PAID_LATE</t>
        </is>
      </c>
      <c r="I3929">
        <f>IF(H3929="UNPAID", AsOfDate-D3929, 0)</f>
        <v/>
      </c>
      <c r="J3929">
        <f>IF(F3929&lt;&gt;"", TEXT(F3929, "yyyy-mm"), "")</f>
        <v/>
      </c>
    </row>
    <row r="3930">
      <c r="A3930" t="inlineStr">
        <is>
          <t>RP0003929</t>
        </is>
      </c>
      <c r="B3930" t="inlineStr">
        <is>
          <t>LN200562</t>
        </is>
      </c>
      <c r="C3930" t="n">
        <v>2</v>
      </c>
      <c r="D3930" s="8" t="n">
        <v>46121</v>
      </c>
      <c r="E3930" s="9" t="n">
        <v>12395.83</v>
      </c>
      <c r="F3930" s="8" t="n">
        <v>46124</v>
      </c>
      <c r="G3930" s="9" t="n">
        <v>12395.83</v>
      </c>
      <c r="H3930" t="inlineStr">
        <is>
          <t>PAID_ON_TIME</t>
        </is>
      </c>
      <c r="I3930">
        <f>IF(H3930="UNPAID", AsOfDate-D3930, 0)</f>
        <v/>
      </c>
      <c r="J3930">
        <f>IF(F3930&lt;&gt;"", TEXT(F3930, "yyyy-mm"), "")</f>
        <v/>
      </c>
    </row>
    <row r="3931">
      <c r="A3931" t="inlineStr">
        <is>
          <t>RP0003930</t>
        </is>
      </c>
      <c r="B3931" t="inlineStr">
        <is>
          <t>LN200562</t>
        </is>
      </c>
      <c r="C3931" t="n">
        <v>3</v>
      </c>
      <c r="D3931" s="8" t="n">
        <v>46151</v>
      </c>
      <c r="E3931" s="9" t="n">
        <v>12395.83</v>
      </c>
      <c r="F3931" s="8" t="n">
        <v>46150</v>
      </c>
      <c r="G3931" s="9" t="n">
        <v>12395.83</v>
      </c>
      <c r="H3931" t="inlineStr">
        <is>
          <t>PAID_ON_TIME</t>
        </is>
      </c>
      <c r="I3931">
        <f>IF(H3931="UNPAID", AsOfDate-D3931, 0)</f>
        <v/>
      </c>
      <c r="J3931">
        <f>IF(F3931&lt;&gt;"", TEXT(F3931, "yyyy-mm"), "")</f>
        <v/>
      </c>
    </row>
    <row r="3932">
      <c r="A3932" t="inlineStr">
        <is>
          <t>RP0003931</t>
        </is>
      </c>
      <c r="B3932" t="inlineStr">
        <is>
          <t>LN200562</t>
        </is>
      </c>
      <c r="C3932" t="n">
        <v>4</v>
      </c>
      <c r="D3932" s="8" t="n">
        <v>46182</v>
      </c>
      <c r="E3932" s="9" t="n">
        <v>12395.83</v>
      </c>
      <c r="F3932" s="8" t="n">
        <v>46183</v>
      </c>
      <c r="G3932" s="9" t="n">
        <v>12395.83</v>
      </c>
      <c r="H3932" t="inlineStr">
        <is>
          <t>PAID_ON_TIME</t>
        </is>
      </c>
      <c r="I3932">
        <f>IF(H3932="UNPAID", AsOfDate-D3932, 0)</f>
        <v/>
      </c>
      <c r="J3932">
        <f>IF(F3932&lt;&gt;"", TEXT(F3932, "yyyy-mm"), "")</f>
        <v/>
      </c>
    </row>
    <row r="3933">
      <c r="A3933" t="inlineStr">
        <is>
          <t>RP0003932</t>
        </is>
      </c>
      <c r="B3933" t="inlineStr">
        <is>
          <t>LN200562</t>
        </is>
      </c>
      <c r="C3933" t="n">
        <v>5</v>
      </c>
      <c r="D3933" s="8" t="n">
        <v>46212</v>
      </c>
      <c r="E3933" s="9" t="n">
        <v>12395.83</v>
      </c>
      <c r="F3933" s="8" t="n">
        <v>46209</v>
      </c>
      <c r="G3933" s="9" t="n">
        <v>12395.83</v>
      </c>
      <c r="H3933" t="inlineStr">
        <is>
          <t>PAID_ON_TIME</t>
        </is>
      </c>
      <c r="I3933">
        <f>IF(H3933="UNPAID", AsOfDate-D3933, 0)</f>
        <v/>
      </c>
      <c r="J3933">
        <f>IF(F3933&lt;&gt;"", TEXT(F3933, "yyyy-mm"), "")</f>
        <v/>
      </c>
    </row>
    <row r="3934">
      <c r="A3934" t="inlineStr">
        <is>
          <t>RP0003933</t>
        </is>
      </c>
      <c r="B3934" t="inlineStr">
        <is>
          <t>LN200562</t>
        </is>
      </c>
      <c r="C3934" t="n">
        <v>6</v>
      </c>
      <c r="D3934" s="8" t="n">
        <v>46243</v>
      </c>
      <c r="E3934" s="9" t="n">
        <v>12395.83</v>
      </c>
      <c r="F3934" s="8" t="n"/>
      <c r="G3934" s="9" t="n">
        <v>0</v>
      </c>
      <c r="H3934" t="inlineStr">
        <is>
          <t>UNPAID</t>
        </is>
      </c>
      <c r="I3934">
        <f>IF(H3934="UNPAID", AsOfDate-D3934, 0)</f>
        <v/>
      </c>
      <c r="J3934">
        <f>IF(F3934&lt;&gt;"", TEXT(F3934, "yyyy-mm"), "")</f>
        <v/>
      </c>
    </row>
    <row r="3935">
      <c r="A3935" t="inlineStr">
        <is>
          <t>RP0003934</t>
        </is>
      </c>
      <c r="B3935" t="inlineStr">
        <is>
          <t>LN200563</t>
        </is>
      </c>
      <c r="C3935" t="n">
        <v>1</v>
      </c>
      <c r="D3935" s="8" t="n">
        <v>46044</v>
      </c>
      <c r="E3935" s="9" t="n">
        <v>15400</v>
      </c>
      <c r="F3935" s="8" t="n">
        <v>46048</v>
      </c>
      <c r="G3935" s="9" t="n">
        <v>15400</v>
      </c>
      <c r="H3935" t="inlineStr">
        <is>
          <t>PAID_ON_TIME</t>
        </is>
      </c>
      <c r="I3935">
        <f>IF(H3935="UNPAID", AsOfDate-D3935, 0)</f>
        <v/>
      </c>
      <c r="J3935">
        <f>IF(F3935&lt;&gt;"", TEXT(F3935, "yyyy-mm"), "")</f>
        <v/>
      </c>
    </row>
    <row r="3936">
      <c r="A3936" t="inlineStr">
        <is>
          <t>RP0003935</t>
        </is>
      </c>
      <c r="B3936" t="inlineStr">
        <is>
          <t>LN200563</t>
        </is>
      </c>
      <c r="C3936" t="n">
        <v>2</v>
      </c>
      <c r="D3936" s="8" t="n">
        <v>46075</v>
      </c>
      <c r="E3936" s="9" t="n">
        <v>15400</v>
      </c>
      <c r="F3936" s="8" t="n">
        <v>46074</v>
      </c>
      <c r="G3936" s="9" t="n">
        <v>15400</v>
      </c>
      <c r="H3936" t="inlineStr">
        <is>
          <t>PAID_ON_TIME</t>
        </is>
      </c>
      <c r="I3936">
        <f>IF(H3936="UNPAID", AsOfDate-D3936, 0)</f>
        <v/>
      </c>
      <c r="J3936">
        <f>IF(F3936&lt;&gt;"", TEXT(F3936, "yyyy-mm"), "")</f>
        <v/>
      </c>
    </row>
    <row r="3937">
      <c r="A3937" t="inlineStr">
        <is>
          <t>RP0003936</t>
        </is>
      </c>
      <c r="B3937" t="inlineStr">
        <is>
          <t>LN200563</t>
        </is>
      </c>
      <c r="C3937" t="n">
        <v>3</v>
      </c>
      <c r="D3937" s="8" t="n">
        <v>46103</v>
      </c>
      <c r="E3937" s="9" t="n">
        <v>15400</v>
      </c>
      <c r="F3937" s="8" t="n">
        <v>46105</v>
      </c>
      <c r="G3937" s="9" t="n">
        <v>15400</v>
      </c>
      <c r="H3937" t="inlineStr">
        <is>
          <t>PAID_ON_TIME</t>
        </is>
      </c>
      <c r="I3937">
        <f>IF(H3937="UNPAID", AsOfDate-D3937, 0)</f>
        <v/>
      </c>
      <c r="J3937">
        <f>IF(F3937&lt;&gt;"", TEXT(F3937, "yyyy-mm"), "")</f>
        <v/>
      </c>
    </row>
    <row r="3938">
      <c r="A3938" t="inlineStr">
        <is>
          <t>RP0003937</t>
        </is>
      </c>
      <c r="B3938" t="inlineStr">
        <is>
          <t>LN200563</t>
        </is>
      </c>
      <c r="C3938" t="n">
        <v>4</v>
      </c>
      <c r="D3938" s="8" t="n">
        <v>46134</v>
      </c>
      <c r="E3938" s="9" t="n">
        <v>15400</v>
      </c>
      <c r="F3938" s="8" t="n">
        <v>46138</v>
      </c>
      <c r="G3938" s="9" t="n">
        <v>15400</v>
      </c>
      <c r="H3938" t="inlineStr">
        <is>
          <t>PAID_ON_TIME</t>
        </is>
      </c>
      <c r="I3938">
        <f>IF(H3938="UNPAID", AsOfDate-D3938, 0)</f>
        <v/>
      </c>
      <c r="J3938">
        <f>IF(F3938&lt;&gt;"", TEXT(F3938, "yyyy-mm"), "")</f>
        <v/>
      </c>
    </row>
    <row r="3939">
      <c r="A3939" t="inlineStr">
        <is>
          <t>RP0003938</t>
        </is>
      </c>
      <c r="B3939" t="inlineStr">
        <is>
          <t>LN200563</t>
        </is>
      </c>
      <c r="C3939" t="n">
        <v>5</v>
      </c>
      <c r="D3939" s="8" t="n">
        <v>46164</v>
      </c>
      <c r="E3939" s="9" t="n">
        <v>15400</v>
      </c>
      <c r="F3939" s="8" t="n">
        <v>46162</v>
      </c>
      <c r="G3939" s="9" t="n">
        <v>15400</v>
      </c>
      <c r="H3939" t="inlineStr">
        <is>
          <t>PAID_ON_TIME</t>
        </is>
      </c>
      <c r="I3939">
        <f>IF(H3939="UNPAID", AsOfDate-D3939, 0)</f>
        <v/>
      </c>
      <c r="J3939">
        <f>IF(F3939&lt;&gt;"", TEXT(F3939, "yyyy-mm"), "")</f>
        <v/>
      </c>
    </row>
    <row r="3940">
      <c r="A3940" t="inlineStr">
        <is>
          <t>RP0003939</t>
        </is>
      </c>
      <c r="B3940" t="inlineStr">
        <is>
          <t>LN200563</t>
        </is>
      </c>
      <c r="C3940" t="n">
        <v>6</v>
      </c>
      <c r="D3940" s="8" t="n">
        <v>46195</v>
      </c>
      <c r="E3940" s="9" t="n">
        <v>15400</v>
      </c>
      <c r="F3940" s="8" t="n">
        <v>46208</v>
      </c>
      <c r="G3940" s="9" t="n">
        <v>15400</v>
      </c>
      <c r="H3940" t="inlineStr">
        <is>
          <t>PAID_LATE</t>
        </is>
      </c>
      <c r="I3940">
        <f>IF(H3940="UNPAID", AsOfDate-D3940, 0)</f>
        <v/>
      </c>
      <c r="J3940">
        <f>IF(F3940&lt;&gt;"", TEXT(F3940, "yyyy-mm"), "")</f>
        <v/>
      </c>
    </row>
    <row r="3941">
      <c r="A3941" t="inlineStr">
        <is>
          <t>RP0003940</t>
        </is>
      </c>
      <c r="B3941" t="inlineStr">
        <is>
          <t>LN200563</t>
        </is>
      </c>
      <c r="C3941" t="n">
        <v>7</v>
      </c>
      <c r="D3941" s="8" t="n">
        <v>46225</v>
      </c>
      <c r="E3941" s="9" t="n">
        <v>15400</v>
      </c>
      <c r="F3941" s="8" t="n"/>
      <c r="G3941" s="9" t="n">
        <v>0</v>
      </c>
      <c r="H3941" t="inlineStr">
        <is>
          <t>UNPAID</t>
        </is>
      </c>
      <c r="I3941">
        <f>IF(H3941="UNPAID", AsOfDate-D3941, 0)</f>
        <v/>
      </c>
      <c r="J3941">
        <f>IF(F3941&lt;&gt;"", TEXT(F3941, "yyyy-mm"), "")</f>
        <v/>
      </c>
    </row>
    <row r="3942">
      <c r="A3942" t="inlineStr">
        <is>
          <t>RP0003941</t>
        </is>
      </c>
      <c r="B3942" t="inlineStr">
        <is>
          <t>LN200563</t>
        </is>
      </c>
      <c r="C3942" t="n">
        <v>8</v>
      </c>
      <c r="D3942" s="8" t="n">
        <v>46256</v>
      </c>
      <c r="E3942" s="9" t="n">
        <v>15400</v>
      </c>
      <c r="F3942" s="8" t="n">
        <v>46259</v>
      </c>
      <c r="G3942" s="9" t="n">
        <v>15400</v>
      </c>
      <c r="H3942" t="inlineStr">
        <is>
          <t>PAID_ON_TIME</t>
        </is>
      </c>
      <c r="I3942">
        <f>IF(H3942="UNPAID", AsOfDate-D3942, 0)</f>
        <v/>
      </c>
      <c r="J3942">
        <f>IF(F3942&lt;&gt;"", TEXT(F3942, "yyyy-mm"), "")</f>
        <v/>
      </c>
    </row>
    <row r="3943">
      <c r="A3943" t="inlineStr">
        <is>
          <t>RP0003942</t>
        </is>
      </c>
      <c r="B3943" t="inlineStr">
        <is>
          <t>LN200563</t>
        </is>
      </c>
      <c r="C3943" t="n">
        <v>9</v>
      </c>
      <c r="D3943" s="8" t="n">
        <v>46287</v>
      </c>
      <c r="E3943" s="9" t="n">
        <v>15400</v>
      </c>
      <c r="F3943" s="8" t="n"/>
      <c r="G3943" s="9" t="n">
        <v>0</v>
      </c>
      <c r="H3943" t="inlineStr">
        <is>
          <t>NOT_DUE</t>
        </is>
      </c>
      <c r="I3943">
        <f>IF(H3943="UNPAID", AsOfDate-D3943, 0)</f>
        <v/>
      </c>
      <c r="J3943">
        <f>IF(F3943&lt;&gt;"", TEXT(F3943, "yyyy-mm"), "")</f>
        <v/>
      </c>
    </row>
    <row r="3944">
      <c r="A3944" t="inlineStr">
        <is>
          <t>RP0003943</t>
        </is>
      </c>
      <c r="B3944" t="inlineStr">
        <is>
          <t>LN200563</t>
        </is>
      </c>
      <c r="C3944" t="n">
        <v>10</v>
      </c>
      <c r="D3944" s="8" t="n">
        <v>46317</v>
      </c>
      <c r="E3944" s="9" t="n">
        <v>15400</v>
      </c>
      <c r="F3944" s="8" t="n"/>
      <c r="G3944" s="9" t="n">
        <v>0</v>
      </c>
      <c r="H3944" t="inlineStr">
        <is>
          <t>NOT_DUE</t>
        </is>
      </c>
      <c r="I3944">
        <f>IF(H3944="UNPAID", AsOfDate-D3944, 0)</f>
        <v/>
      </c>
      <c r="J3944">
        <f>IF(F3944&lt;&gt;"", TEXT(F3944, "yyyy-mm"), "")</f>
        <v/>
      </c>
    </row>
    <row r="3945">
      <c r="A3945" t="inlineStr">
        <is>
          <t>RP0003944</t>
        </is>
      </c>
      <c r="B3945" t="inlineStr">
        <is>
          <t>LN200563</t>
        </is>
      </c>
      <c r="C3945" t="n">
        <v>11</v>
      </c>
      <c r="D3945" s="8" t="n">
        <v>46348</v>
      </c>
      <c r="E3945" s="9" t="n">
        <v>15400</v>
      </c>
      <c r="F3945" s="8" t="n"/>
      <c r="G3945" s="9" t="n">
        <v>0</v>
      </c>
      <c r="H3945" t="inlineStr">
        <is>
          <t>NOT_DUE</t>
        </is>
      </c>
      <c r="I3945">
        <f>IF(H3945="UNPAID", AsOfDate-D3945, 0)</f>
        <v/>
      </c>
      <c r="J3945">
        <f>IF(F3945&lt;&gt;"", TEXT(F3945, "yyyy-mm"), "")</f>
        <v/>
      </c>
    </row>
    <row r="3946">
      <c r="A3946" t="inlineStr">
        <is>
          <t>RP0003945</t>
        </is>
      </c>
      <c r="B3946" t="inlineStr">
        <is>
          <t>LN200563</t>
        </is>
      </c>
      <c r="C3946" t="n">
        <v>12</v>
      </c>
      <c r="D3946" s="8" t="n">
        <v>46378</v>
      </c>
      <c r="E3946" s="9" t="n">
        <v>15400</v>
      </c>
      <c r="F3946" s="8" t="n"/>
      <c r="G3946" s="9" t="n">
        <v>0</v>
      </c>
      <c r="H3946" t="inlineStr">
        <is>
          <t>NOT_DUE</t>
        </is>
      </c>
      <c r="I3946">
        <f>IF(H3946="UNPAID", AsOfDate-D3946, 0)</f>
        <v/>
      </c>
      <c r="J3946">
        <f>IF(F3946&lt;&gt;"", TEXT(F3946, "yyyy-mm"), "")</f>
        <v/>
      </c>
    </row>
    <row r="3947">
      <c r="A3947" t="inlineStr">
        <is>
          <t>RP0003946</t>
        </is>
      </c>
      <c r="B3947" t="inlineStr">
        <is>
          <t>LN200564</t>
        </is>
      </c>
      <c r="C3947" t="n">
        <v>1</v>
      </c>
      <c r="D3947" s="8" t="n">
        <v>46026</v>
      </c>
      <c r="E3947" s="9" t="n">
        <v>21243.25</v>
      </c>
      <c r="F3947" s="8" t="n">
        <v>46030</v>
      </c>
      <c r="G3947" s="9" t="n">
        <v>21243.25</v>
      </c>
      <c r="H3947" t="inlineStr">
        <is>
          <t>PAID_ON_TIME</t>
        </is>
      </c>
      <c r="I3947">
        <f>IF(H3947="UNPAID", AsOfDate-D3947, 0)</f>
        <v/>
      </c>
      <c r="J3947">
        <f>IF(F3947&lt;&gt;"", TEXT(F3947, "yyyy-mm"), "")</f>
        <v/>
      </c>
    </row>
    <row r="3948">
      <c r="A3948" t="inlineStr">
        <is>
          <t>RP0003947</t>
        </is>
      </c>
      <c r="B3948" t="inlineStr">
        <is>
          <t>LN200564</t>
        </is>
      </c>
      <c r="C3948" t="n">
        <v>2</v>
      </c>
      <c r="D3948" s="8" t="n">
        <v>46057</v>
      </c>
      <c r="E3948" s="9" t="n">
        <v>21243.25</v>
      </c>
      <c r="F3948" s="8" t="n">
        <v>46059</v>
      </c>
      <c r="G3948" s="9" t="n">
        <v>21243.25</v>
      </c>
      <c r="H3948" t="inlineStr">
        <is>
          <t>PAID_ON_TIME</t>
        </is>
      </c>
      <c r="I3948">
        <f>IF(H3948="UNPAID", AsOfDate-D3948, 0)</f>
        <v/>
      </c>
      <c r="J3948">
        <f>IF(F3948&lt;&gt;"", TEXT(F3948, "yyyy-mm"), "")</f>
        <v/>
      </c>
    </row>
    <row r="3949">
      <c r="A3949" t="inlineStr">
        <is>
          <t>RP0003948</t>
        </is>
      </c>
      <c r="B3949" t="inlineStr">
        <is>
          <t>LN200564</t>
        </is>
      </c>
      <c r="C3949" t="n">
        <v>3</v>
      </c>
      <c r="D3949" s="8" t="n">
        <v>46085</v>
      </c>
      <c r="E3949" s="9" t="n">
        <v>21243.25</v>
      </c>
      <c r="F3949" s="8" t="n">
        <v>46082</v>
      </c>
      <c r="G3949" s="9" t="n">
        <v>21243.25</v>
      </c>
      <c r="H3949" t="inlineStr">
        <is>
          <t>PAID_ON_TIME</t>
        </is>
      </c>
      <c r="I3949">
        <f>IF(H3949="UNPAID", AsOfDate-D3949, 0)</f>
        <v/>
      </c>
      <c r="J3949">
        <f>IF(F3949&lt;&gt;"", TEXT(F3949, "yyyy-mm"), "")</f>
        <v/>
      </c>
    </row>
    <row r="3950">
      <c r="A3950" t="inlineStr">
        <is>
          <t>RP0003949</t>
        </is>
      </c>
      <c r="B3950" t="inlineStr">
        <is>
          <t>LN200565</t>
        </is>
      </c>
      <c r="C3950" t="n">
        <v>1</v>
      </c>
      <c r="D3950" s="8" t="n">
        <v>46079</v>
      </c>
      <c r="E3950" s="9" t="n">
        <v>6079.31</v>
      </c>
      <c r="F3950" s="8" t="n">
        <v>46078</v>
      </c>
      <c r="G3950" s="9" t="n">
        <v>6079.31</v>
      </c>
      <c r="H3950" t="inlineStr">
        <is>
          <t>PAID_ON_TIME</t>
        </is>
      </c>
      <c r="I3950">
        <f>IF(H3950="UNPAID", AsOfDate-D3950, 0)</f>
        <v/>
      </c>
      <c r="J3950">
        <f>IF(F3950&lt;&gt;"", TEXT(F3950, "yyyy-mm"), "")</f>
        <v/>
      </c>
    </row>
    <row r="3951">
      <c r="A3951" t="inlineStr">
        <is>
          <t>RP0003950</t>
        </is>
      </c>
      <c r="B3951" t="inlineStr">
        <is>
          <t>LN200565</t>
        </is>
      </c>
      <c r="C3951" t="n">
        <v>2</v>
      </c>
      <c r="D3951" s="8" t="n">
        <v>46107</v>
      </c>
      <c r="E3951" s="9" t="n">
        <v>6079.31</v>
      </c>
      <c r="F3951" s="8" t="n">
        <v>46106</v>
      </c>
      <c r="G3951" s="9" t="n">
        <v>6079.31</v>
      </c>
      <c r="H3951" t="inlineStr">
        <is>
          <t>PAID_ON_TIME</t>
        </is>
      </c>
      <c r="I3951">
        <f>IF(H3951="UNPAID", AsOfDate-D3951, 0)</f>
        <v/>
      </c>
      <c r="J3951">
        <f>IF(F3951&lt;&gt;"", TEXT(F3951, "yyyy-mm"), "")</f>
        <v/>
      </c>
    </row>
    <row r="3952">
      <c r="A3952" t="inlineStr">
        <is>
          <t>RP0003951</t>
        </is>
      </c>
      <c r="B3952" t="inlineStr">
        <is>
          <t>LN200565</t>
        </is>
      </c>
      <c r="C3952" t="n">
        <v>3</v>
      </c>
      <c r="D3952" s="8" t="n">
        <v>46138</v>
      </c>
      <c r="E3952" s="9" t="n">
        <v>6079.31</v>
      </c>
      <c r="F3952" s="8" t="n">
        <v>46137</v>
      </c>
      <c r="G3952" s="9" t="n">
        <v>6079.31</v>
      </c>
      <c r="H3952" t="inlineStr">
        <is>
          <t>PAID_ON_TIME</t>
        </is>
      </c>
      <c r="I3952">
        <f>IF(H3952="UNPAID", AsOfDate-D3952, 0)</f>
        <v/>
      </c>
      <c r="J3952">
        <f>IF(F3952&lt;&gt;"", TEXT(F3952, "yyyy-mm"), "")</f>
        <v/>
      </c>
    </row>
    <row r="3953">
      <c r="A3953" t="inlineStr">
        <is>
          <t>RP0003952</t>
        </is>
      </c>
      <c r="B3953" t="inlineStr">
        <is>
          <t>LN200565</t>
        </is>
      </c>
      <c r="C3953" t="n">
        <v>4</v>
      </c>
      <c r="D3953" s="8" t="n">
        <v>46168</v>
      </c>
      <c r="E3953" s="9" t="n">
        <v>6079.31</v>
      </c>
      <c r="F3953" s="8" t="n">
        <v>46169</v>
      </c>
      <c r="G3953" s="9" t="n">
        <v>6079.31</v>
      </c>
      <c r="H3953" t="inlineStr">
        <is>
          <t>PAID_ON_TIME</t>
        </is>
      </c>
      <c r="I3953">
        <f>IF(H3953="UNPAID", AsOfDate-D3953, 0)</f>
        <v/>
      </c>
      <c r="J3953">
        <f>IF(F3953&lt;&gt;"", TEXT(F3953, "yyyy-mm"), "")</f>
        <v/>
      </c>
    </row>
    <row r="3954">
      <c r="A3954" t="inlineStr">
        <is>
          <t>RP0003953</t>
        </is>
      </c>
      <c r="B3954" t="inlineStr">
        <is>
          <t>LN200565</t>
        </is>
      </c>
      <c r="C3954" t="n">
        <v>5</v>
      </c>
      <c r="D3954" s="8" t="n">
        <v>46199</v>
      </c>
      <c r="E3954" s="9" t="n">
        <v>6079.31</v>
      </c>
      <c r="F3954" s="8" t="n">
        <v>46197</v>
      </c>
      <c r="G3954" s="9" t="n">
        <v>6079.31</v>
      </c>
      <c r="H3954" t="inlineStr">
        <is>
          <t>PAID_ON_TIME</t>
        </is>
      </c>
      <c r="I3954">
        <f>IF(H3954="UNPAID", AsOfDate-D3954, 0)</f>
        <v/>
      </c>
      <c r="J3954">
        <f>IF(F3954&lt;&gt;"", TEXT(F3954, "yyyy-mm"), "")</f>
        <v/>
      </c>
    </row>
    <row r="3955">
      <c r="A3955" t="inlineStr">
        <is>
          <t>RP0003954</t>
        </is>
      </c>
      <c r="B3955" t="inlineStr">
        <is>
          <t>LN200565</t>
        </is>
      </c>
      <c r="C3955" t="n">
        <v>6</v>
      </c>
      <c r="D3955" s="8" t="n">
        <v>46229</v>
      </c>
      <c r="E3955" s="9" t="n">
        <v>6079.31</v>
      </c>
      <c r="F3955" s="8" t="n">
        <v>46230</v>
      </c>
      <c r="G3955" s="9" t="n">
        <v>6079.31</v>
      </c>
      <c r="H3955" t="inlineStr">
        <is>
          <t>PAID_ON_TIME</t>
        </is>
      </c>
      <c r="I3955">
        <f>IF(H3955="UNPAID", AsOfDate-D3955, 0)</f>
        <v/>
      </c>
      <c r="J3955">
        <f>IF(F3955&lt;&gt;"", TEXT(F3955, "yyyy-mm"), "")</f>
        <v/>
      </c>
    </row>
    <row r="3956">
      <c r="A3956" t="inlineStr">
        <is>
          <t>RP0003955</t>
        </is>
      </c>
      <c r="B3956" t="inlineStr">
        <is>
          <t>LN200565</t>
        </is>
      </c>
      <c r="C3956" t="n">
        <v>7</v>
      </c>
      <c r="D3956" s="8" t="n">
        <v>46260</v>
      </c>
      <c r="E3956" s="9" t="n">
        <v>6079.31</v>
      </c>
      <c r="F3956" s="8" t="n">
        <v>46258</v>
      </c>
      <c r="G3956" s="9" t="n">
        <v>6079.31</v>
      </c>
      <c r="H3956" t="inlineStr">
        <is>
          <t>PAID_ON_TIME</t>
        </is>
      </c>
      <c r="I3956">
        <f>IF(H3956="UNPAID", AsOfDate-D3956, 0)</f>
        <v/>
      </c>
      <c r="J3956">
        <f>IF(F3956&lt;&gt;"", TEXT(F3956, "yyyy-mm"), "")</f>
        <v/>
      </c>
    </row>
    <row r="3957">
      <c r="A3957" t="inlineStr">
        <is>
          <t>RP0003956</t>
        </is>
      </c>
      <c r="B3957" t="inlineStr">
        <is>
          <t>LN200565</t>
        </is>
      </c>
      <c r="C3957" t="n">
        <v>8</v>
      </c>
      <c r="D3957" s="8" t="n">
        <v>46291</v>
      </c>
      <c r="E3957" s="9" t="n">
        <v>6079.31</v>
      </c>
      <c r="F3957" s="8" t="n"/>
      <c r="G3957" s="9" t="n">
        <v>0</v>
      </c>
      <c r="H3957" t="inlineStr">
        <is>
          <t>NOT_DUE</t>
        </is>
      </c>
      <c r="I3957">
        <f>IF(H3957="UNPAID", AsOfDate-D3957, 0)</f>
        <v/>
      </c>
      <c r="J3957">
        <f>IF(F3957&lt;&gt;"", TEXT(F3957, "yyyy-mm"), "")</f>
        <v/>
      </c>
    </row>
    <row r="3958">
      <c r="A3958" t="inlineStr">
        <is>
          <t>RP0003957</t>
        </is>
      </c>
      <c r="B3958" t="inlineStr">
        <is>
          <t>LN200565</t>
        </is>
      </c>
      <c r="C3958" t="n">
        <v>9</v>
      </c>
      <c r="D3958" s="8" t="n">
        <v>46321</v>
      </c>
      <c r="E3958" s="9" t="n">
        <v>6079.31</v>
      </c>
      <c r="F3958" s="8" t="n"/>
      <c r="G3958" s="9" t="n">
        <v>0</v>
      </c>
      <c r="H3958" t="inlineStr">
        <is>
          <t>NOT_DUE</t>
        </is>
      </c>
      <c r="I3958">
        <f>IF(H3958="UNPAID", AsOfDate-D3958, 0)</f>
        <v/>
      </c>
      <c r="J3958">
        <f>IF(F3958&lt;&gt;"", TEXT(F3958, "yyyy-mm"), "")</f>
        <v/>
      </c>
    </row>
    <row r="3959">
      <c r="A3959" t="inlineStr">
        <is>
          <t>RP0003958</t>
        </is>
      </c>
      <c r="B3959" t="inlineStr">
        <is>
          <t>LN200565</t>
        </is>
      </c>
      <c r="C3959" t="n">
        <v>10</v>
      </c>
      <c r="D3959" s="8" t="n">
        <v>46352</v>
      </c>
      <c r="E3959" s="9" t="n">
        <v>6079.31</v>
      </c>
      <c r="F3959" s="8" t="n"/>
      <c r="G3959" s="9" t="n">
        <v>0</v>
      </c>
      <c r="H3959" t="inlineStr">
        <is>
          <t>NOT_DUE</t>
        </is>
      </c>
      <c r="I3959">
        <f>IF(H3959="UNPAID", AsOfDate-D3959, 0)</f>
        <v/>
      </c>
      <c r="J3959">
        <f>IF(F3959&lt;&gt;"", TEXT(F3959, "yyyy-mm"), "")</f>
        <v/>
      </c>
    </row>
    <row r="3960">
      <c r="A3960" t="inlineStr">
        <is>
          <t>RP0003959</t>
        </is>
      </c>
      <c r="B3960" t="inlineStr">
        <is>
          <t>LN200565</t>
        </is>
      </c>
      <c r="C3960" t="n">
        <v>11</v>
      </c>
      <c r="D3960" s="8" t="n">
        <v>46382</v>
      </c>
      <c r="E3960" s="9" t="n">
        <v>6079.31</v>
      </c>
      <c r="F3960" s="8" t="n"/>
      <c r="G3960" s="9" t="n">
        <v>0</v>
      </c>
      <c r="H3960" t="inlineStr">
        <is>
          <t>NOT_DUE</t>
        </is>
      </c>
      <c r="I3960">
        <f>IF(H3960="UNPAID", AsOfDate-D3960, 0)</f>
        <v/>
      </c>
      <c r="J3960">
        <f>IF(F3960&lt;&gt;"", TEXT(F3960, "yyyy-mm"), "")</f>
        <v/>
      </c>
    </row>
    <row r="3961">
      <c r="A3961" t="inlineStr">
        <is>
          <t>RP0003960</t>
        </is>
      </c>
      <c r="B3961" t="inlineStr">
        <is>
          <t>LN200565</t>
        </is>
      </c>
      <c r="C3961" t="n">
        <v>12</v>
      </c>
      <c r="D3961" s="8" t="n">
        <v>46413</v>
      </c>
      <c r="E3961" s="9" t="n">
        <v>6079.31</v>
      </c>
      <c r="F3961" s="8" t="n"/>
      <c r="G3961" s="9" t="n">
        <v>0</v>
      </c>
      <c r="H3961" t="inlineStr">
        <is>
          <t>NOT_DUE</t>
        </is>
      </c>
      <c r="I3961">
        <f>IF(H3961="UNPAID", AsOfDate-D3961, 0)</f>
        <v/>
      </c>
      <c r="J3961">
        <f>IF(F3961&lt;&gt;"", TEXT(F3961, "yyyy-mm"), "")</f>
        <v/>
      </c>
    </row>
    <row r="3962">
      <c r="A3962" t="inlineStr">
        <is>
          <t>RP0003961</t>
        </is>
      </c>
      <c r="B3962" t="inlineStr">
        <is>
          <t>LN200565</t>
        </is>
      </c>
      <c r="C3962" t="n">
        <v>13</v>
      </c>
      <c r="D3962" s="8" t="n">
        <v>46444</v>
      </c>
      <c r="E3962" s="9" t="n">
        <v>6079.31</v>
      </c>
      <c r="F3962" s="8" t="n"/>
      <c r="G3962" s="9" t="n">
        <v>0</v>
      </c>
      <c r="H3962" t="inlineStr">
        <is>
          <t>NOT_DUE</t>
        </is>
      </c>
      <c r="I3962">
        <f>IF(H3962="UNPAID", AsOfDate-D3962, 0)</f>
        <v/>
      </c>
      <c r="J3962">
        <f>IF(F3962&lt;&gt;"", TEXT(F3962, "yyyy-mm"), "")</f>
        <v/>
      </c>
    </row>
    <row r="3963">
      <c r="A3963" t="inlineStr">
        <is>
          <t>RP0003962</t>
        </is>
      </c>
      <c r="B3963" t="inlineStr">
        <is>
          <t>LN200565</t>
        </is>
      </c>
      <c r="C3963" t="n">
        <v>14</v>
      </c>
      <c r="D3963" s="8" t="n">
        <v>46472</v>
      </c>
      <c r="E3963" s="9" t="n">
        <v>6079.31</v>
      </c>
      <c r="F3963" s="8" t="n"/>
      <c r="G3963" s="9" t="n">
        <v>0</v>
      </c>
      <c r="H3963" t="inlineStr">
        <is>
          <t>NOT_DUE</t>
        </is>
      </c>
      <c r="I3963">
        <f>IF(H3963="UNPAID", AsOfDate-D3963, 0)</f>
        <v/>
      </c>
      <c r="J3963">
        <f>IF(F3963&lt;&gt;"", TEXT(F3963, "yyyy-mm"), "")</f>
        <v/>
      </c>
    </row>
    <row r="3964">
      <c r="A3964" t="inlineStr">
        <is>
          <t>RP0003963</t>
        </is>
      </c>
      <c r="B3964" t="inlineStr">
        <is>
          <t>LN200565</t>
        </is>
      </c>
      <c r="C3964" t="n">
        <v>15</v>
      </c>
      <c r="D3964" s="8" t="n">
        <v>46503</v>
      </c>
      <c r="E3964" s="9" t="n">
        <v>6079.31</v>
      </c>
      <c r="F3964" s="8" t="n"/>
      <c r="G3964" s="9" t="n">
        <v>0</v>
      </c>
      <c r="H3964" t="inlineStr">
        <is>
          <t>NOT_DUE</t>
        </is>
      </c>
      <c r="I3964">
        <f>IF(H3964="UNPAID", AsOfDate-D3964, 0)</f>
        <v/>
      </c>
      <c r="J3964">
        <f>IF(F3964&lt;&gt;"", TEXT(F3964, "yyyy-mm"), "")</f>
        <v/>
      </c>
    </row>
    <row r="3965">
      <c r="A3965" t="inlineStr">
        <is>
          <t>RP0003964</t>
        </is>
      </c>
      <c r="B3965" t="inlineStr">
        <is>
          <t>LN200565</t>
        </is>
      </c>
      <c r="C3965" t="n">
        <v>16</v>
      </c>
      <c r="D3965" s="8" t="n">
        <v>46533</v>
      </c>
      <c r="E3965" s="9" t="n">
        <v>6079.31</v>
      </c>
      <c r="F3965" s="8" t="n"/>
      <c r="G3965" s="9" t="n">
        <v>0</v>
      </c>
      <c r="H3965" t="inlineStr">
        <is>
          <t>NOT_DUE</t>
        </is>
      </c>
      <c r="I3965">
        <f>IF(H3965="UNPAID", AsOfDate-D3965, 0)</f>
        <v/>
      </c>
      <c r="J3965">
        <f>IF(F3965&lt;&gt;"", TEXT(F3965, "yyyy-mm"), "")</f>
        <v/>
      </c>
    </row>
    <row r="3966">
      <c r="A3966" t="inlineStr">
        <is>
          <t>RP0003965</t>
        </is>
      </c>
      <c r="B3966" t="inlineStr">
        <is>
          <t>LN200565</t>
        </is>
      </c>
      <c r="C3966" t="n">
        <v>17</v>
      </c>
      <c r="D3966" s="8" t="n">
        <v>46564</v>
      </c>
      <c r="E3966" s="9" t="n">
        <v>6079.31</v>
      </c>
      <c r="F3966" s="8" t="n"/>
      <c r="G3966" s="9" t="n">
        <v>0</v>
      </c>
      <c r="H3966" t="inlineStr">
        <is>
          <t>NOT_DUE</t>
        </is>
      </c>
      <c r="I3966">
        <f>IF(H3966="UNPAID", AsOfDate-D3966, 0)</f>
        <v/>
      </c>
      <c r="J3966">
        <f>IF(F3966&lt;&gt;"", TEXT(F3966, "yyyy-mm"), "")</f>
        <v/>
      </c>
    </row>
    <row r="3967">
      <c r="A3967" t="inlineStr">
        <is>
          <t>RP0003966</t>
        </is>
      </c>
      <c r="B3967" t="inlineStr">
        <is>
          <t>LN200565</t>
        </is>
      </c>
      <c r="C3967" t="n">
        <v>18</v>
      </c>
      <c r="D3967" s="8" t="n">
        <v>46594</v>
      </c>
      <c r="E3967" s="9" t="n">
        <v>6079.31</v>
      </c>
      <c r="F3967" s="8" t="n"/>
      <c r="G3967" s="9" t="n">
        <v>0</v>
      </c>
      <c r="H3967" t="inlineStr">
        <is>
          <t>NOT_DUE</t>
        </is>
      </c>
      <c r="I3967">
        <f>IF(H3967="UNPAID", AsOfDate-D3967, 0)</f>
        <v/>
      </c>
      <c r="J3967">
        <f>IF(F3967&lt;&gt;"", TEXT(F3967, "yyyy-mm"), "")</f>
        <v/>
      </c>
    </row>
    <row r="3968">
      <c r="A3968" t="inlineStr">
        <is>
          <t>RP0003967</t>
        </is>
      </c>
      <c r="B3968" t="inlineStr">
        <is>
          <t>LN200566</t>
        </is>
      </c>
      <c r="C3968" t="n">
        <v>1</v>
      </c>
      <c r="D3968" s="8" t="n">
        <v>46182</v>
      </c>
      <c r="E3968" s="9" t="n">
        <v>19908</v>
      </c>
      <c r="F3968" s="8" t="n">
        <v>46182</v>
      </c>
      <c r="G3968" s="9" t="n">
        <v>19908</v>
      </c>
      <c r="H3968" t="inlineStr">
        <is>
          <t>PAID_ON_TIME</t>
        </is>
      </c>
      <c r="I3968">
        <f>IF(H3968="UNPAID", AsOfDate-D3968, 0)</f>
        <v/>
      </c>
      <c r="J3968">
        <f>IF(F3968&lt;&gt;"", TEXT(F3968, "yyyy-mm"), "")</f>
        <v/>
      </c>
    </row>
    <row r="3969">
      <c r="A3969" t="inlineStr">
        <is>
          <t>RP0003968</t>
        </is>
      </c>
      <c r="B3969" t="inlineStr">
        <is>
          <t>LN200566</t>
        </is>
      </c>
      <c r="C3969" t="n">
        <v>2</v>
      </c>
      <c r="D3969" s="8" t="n">
        <v>46212</v>
      </c>
      <c r="E3969" s="9" t="n">
        <v>19908</v>
      </c>
      <c r="F3969" s="8" t="n">
        <v>46213</v>
      </c>
      <c r="G3969" s="9" t="n">
        <v>19908</v>
      </c>
      <c r="H3969" t="inlineStr">
        <is>
          <t>PAID_ON_TIME</t>
        </is>
      </c>
      <c r="I3969">
        <f>IF(H3969="UNPAID", AsOfDate-D3969, 0)</f>
        <v/>
      </c>
      <c r="J3969">
        <f>IF(F3969&lt;&gt;"", TEXT(F3969, "yyyy-mm"), "")</f>
        <v/>
      </c>
    </row>
    <row r="3970">
      <c r="A3970" t="inlineStr">
        <is>
          <t>RP0003969</t>
        </is>
      </c>
      <c r="B3970" t="inlineStr">
        <is>
          <t>LN200566</t>
        </is>
      </c>
      <c r="C3970" t="n">
        <v>3</v>
      </c>
      <c r="D3970" s="8" t="n">
        <v>46243</v>
      </c>
      <c r="E3970" s="9" t="n">
        <v>19908</v>
      </c>
      <c r="F3970" s="8" t="n">
        <v>46240</v>
      </c>
      <c r="G3970" s="9" t="n">
        <v>19908</v>
      </c>
      <c r="H3970" t="inlineStr">
        <is>
          <t>PAID_ON_TIME</t>
        </is>
      </c>
      <c r="I3970">
        <f>IF(H3970="UNPAID", AsOfDate-D3970, 0)</f>
        <v/>
      </c>
      <c r="J3970">
        <f>IF(F3970&lt;&gt;"", TEXT(F3970, "yyyy-mm"), "")</f>
        <v/>
      </c>
    </row>
    <row r="3971">
      <c r="A3971" t="inlineStr">
        <is>
          <t>RP0003970</t>
        </is>
      </c>
      <c r="B3971" t="inlineStr">
        <is>
          <t>LN200566</t>
        </is>
      </c>
      <c r="C3971" t="n">
        <v>4</v>
      </c>
      <c r="D3971" s="8" t="n">
        <v>46274</v>
      </c>
      <c r="E3971" s="9" t="n">
        <v>19908</v>
      </c>
      <c r="F3971" s="8" t="n"/>
      <c r="G3971" s="9" t="n">
        <v>0</v>
      </c>
      <c r="H3971" t="inlineStr">
        <is>
          <t>NOT_DUE</t>
        </is>
      </c>
      <c r="I3971">
        <f>IF(H3971="UNPAID", AsOfDate-D3971, 0)</f>
        <v/>
      </c>
      <c r="J3971">
        <f>IF(F3971&lt;&gt;"", TEXT(F3971, "yyyy-mm"), "")</f>
        <v/>
      </c>
    </row>
    <row r="3972">
      <c r="A3972" t="inlineStr">
        <is>
          <t>RP0003971</t>
        </is>
      </c>
      <c r="B3972" t="inlineStr">
        <is>
          <t>LN200566</t>
        </is>
      </c>
      <c r="C3972" t="n">
        <v>5</v>
      </c>
      <c r="D3972" s="8" t="n">
        <v>46304</v>
      </c>
      <c r="E3972" s="9" t="n">
        <v>19908</v>
      </c>
      <c r="F3972" s="8" t="n"/>
      <c r="G3972" s="9" t="n">
        <v>0</v>
      </c>
      <c r="H3972" t="inlineStr">
        <is>
          <t>NOT_DUE</t>
        </is>
      </c>
      <c r="I3972">
        <f>IF(H3972="UNPAID", AsOfDate-D3972, 0)</f>
        <v/>
      </c>
      <c r="J3972">
        <f>IF(F3972&lt;&gt;"", TEXT(F3972, "yyyy-mm"), "")</f>
        <v/>
      </c>
    </row>
    <row r="3973">
      <c r="A3973" t="inlineStr">
        <is>
          <t>RP0003972</t>
        </is>
      </c>
      <c r="B3973" t="inlineStr">
        <is>
          <t>LN200566</t>
        </is>
      </c>
      <c r="C3973" t="n">
        <v>6</v>
      </c>
      <c r="D3973" s="8" t="n">
        <v>46335</v>
      </c>
      <c r="E3973" s="9" t="n">
        <v>19908</v>
      </c>
      <c r="F3973" s="8" t="n"/>
      <c r="G3973" s="9" t="n">
        <v>0</v>
      </c>
      <c r="H3973" t="inlineStr">
        <is>
          <t>NOT_DUE</t>
        </is>
      </c>
      <c r="I3973">
        <f>IF(H3973="UNPAID", AsOfDate-D3973, 0)</f>
        <v/>
      </c>
      <c r="J3973">
        <f>IF(F3973&lt;&gt;"", TEXT(F3973, "yyyy-mm"), "")</f>
        <v/>
      </c>
    </row>
    <row r="3974">
      <c r="A3974" t="inlineStr">
        <is>
          <t>RP0003973</t>
        </is>
      </c>
      <c r="B3974" t="inlineStr">
        <is>
          <t>LN200567</t>
        </is>
      </c>
      <c r="C3974" t="n">
        <v>1</v>
      </c>
      <c r="D3974" s="8" t="n">
        <v>45846</v>
      </c>
      <c r="E3974" s="9" t="n">
        <v>9832.469999999999</v>
      </c>
      <c r="F3974" s="8" t="n">
        <v>45912</v>
      </c>
      <c r="G3974" s="9" t="n">
        <v>9832.469999999999</v>
      </c>
      <c r="H3974" t="inlineStr">
        <is>
          <t>PAID_LATE</t>
        </is>
      </c>
      <c r="I3974">
        <f>IF(H3974="UNPAID", AsOfDate-D3974, 0)</f>
        <v/>
      </c>
      <c r="J3974">
        <f>IF(F3974&lt;&gt;"", TEXT(F3974, "yyyy-mm"), "")</f>
        <v/>
      </c>
    </row>
    <row r="3975">
      <c r="A3975" t="inlineStr">
        <is>
          <t>RP0003974</t>
        </is>
      </c>
      <c r="B3975" t="inlineStr">
        <is>
          <t>LN200567</t>
        </is>
      </c>
      <c r="C3975" t="n">
        <v>2</v>
      </c>
      <c r="D3975" s="8" t="n">
        <v>45877</v>
      </c>
      <c r="E3975" s="9" t="n">
        <v>9832.469999999999</v>
      </c>
      <c r="F3975" s="8" t="n">
        <v>45879</v>
      </c>
      <c r="G3975" s="9" t="n">
        <v>9832.469999999999</v>
      </c>
      <c r="H3975" t="inlineStr">
        <is>
          <t>PAID_ON_TIME</t>
        </is>
      </c>
      <c r="I3975">
        <f>IF(H3975="UNPAID", AsOfDate-D3975, 0)</f>
        <v/>
      </c>
      <c r="J3975">
        <f>IF(F3975&lt;&gt;"", TEXT(F3975, "yyyy-mm"), "")</f>
        <v/>
      </c>
    </row>
    <row r="3976">
      <c r="A3976" t="inlineStr">
        <is>
          <t>RP0003975</t>
        </is>
      </c>
      <c r="B3976" t="inlineStr">
        <is>
          <t>LN200567</t>
        </is>
      </c>
      <c r="C3976" t="n">
        <v>3</v>
      </c>
      <c r="D3976" s="8" t="n">
        <v>45908</v>
      </c>
      <c r="E3976" s="9" t="n">
        <v>9832.469999999999</v>
      </c>
      <c r="F3976" s="8" t="n">
        <v>45906</v>
      </c>
      <c r="G3976" s="9" t="n">
        <v>9832.469999999999</v>
      </c>
      <c r="H3976" t="inlineStr">
        <is>
          <t>PAID_ON_TIME</t>
        </is>
      </c>
      <c r="I3976">
        <f>IF(H3976="UNPAID", AsOfDate-D3976, 0)</f>
        <v/>
      </c>
      <c r="J3976">
        <f>IF(F3976&lt;&gt;"", TEXT(F3976, "yyyy-mm"), "")</f>
        <v/>
      </c>
    </row>
    <row r="3977">
      <c r="A3977" t="inlineStr">
        <is>
          <t>RP0003976</t>
        </is>
      </c>
      <c r="B3977" t="inlineStr">
        <is>
          <t>LN200567</t>
        </is>
      </c>
      <c r="C3977" t="n">
        <v>4</v>
      </c>
      <c r="D3977" s="8" t="n">
        <v>45938</v>
      </c>
      <c r="E3977" s="9" t="n">
        <v>9832.469999999999</v>
      </c>
      <c r="F3977" s="8" t="n">
        <v>45937</v>
      </c>
      <c r="G3977" s="9" t="n">
        <v>9832.469999999999</v>
      </c>
      <c r="H3977" t="inlineStr">
        <is>
          <t>PAID_ON_TIME</t>
        </is>
      </c>
      <c r="I3977">
        <f>IF(H3977="UNPAID", AsOfDate-D3977, 0)</f>
        <v/>
      </c>
      <c r="J3977">
        <f>IF(F3977&lt;&gt;"", TEXT(F3977, "yyyy-mm"), "")</f>
        <v/>
      </c>
    </row>
    <row r="3978">
      <c r="A3978" t="inlineStr">
        <is>
          <t>RP0003977</t>
        </is>
      </c>
      <c r="B3978" t="inlineStr">
        <is>
          <t>LN200567</t>
        </is>
      </c>
      <c r="C3978" t="n">
        <v>5</v>
      </c>
      <c r="D3978" s="8" t="n">
        <v>45969</v>
      </c>
      <c r="E3978" s="9" t="n">
        <v>9832.469999999999</v>
      </c>
      <c r="F3978" s="8" t="n">
        <v>45970</v>
      </c>
      <c r="G3978" s="9" t="n">
        <v>9832.469999999999</v>
      </c>
      <c r="H3978" t="inlineStr">
        <is>
          <t>PAID_ON_TIME</t>
        </is>
      </c>
      <c r="I3978">
        <f>IF(H3978="UNPAID", AsOfDate-D3978, 0)</f>
        <v/>
      </c>
      <c r="J3978">
        <f>IF(F3978&lt;&gt;"", TEXT(F3978, "yyyy-mm"), "")</f>
        <v/>
      </c>
    </row>
    <row r="3979">
      <c r="A3979" t="inlineStr">
        <is>
          <t>RP0003978</t>
        </is>
      </c>
      <c r="B3979" t="inlineStr">
        <is>
          <t>LN200567</t>
        </is>
      </c>
      <c r="C3979" t="n">
        <v>6</v>
      </c>
      <c r="D3979" s="8" t="n">
        <v>45999</v>
      </c>
      <c r="E3979" s="9" t="n">
        <v>9832.469999999999</v>
      </c>
      <c r="F3979" s="8" t="n">
        <v>46000</v>
      </c>
      <c r="G3979" s="9" t="n">
        <v>9832.469999999999</v>
      </c>
      <c r="H3979" t="inlineStr">
        <is>
          <t>PAID_ON_TIME</t>
        </is>
      </c>
      <c r="I3979">
        <f>IF(H3979="UNPAID", AsOfDate-D3979, 0)</f>
        <v/>
      </c>
      <c r="J3979">
        <f>IF(F3979&lt;&gt;"", TEXT(F3979, "yyyy-mm"), "")</f>
        <v/>
      </c>
    </row>
    <row r="3980">
      <c r="A3980" t="inlineStr">
        <is>
          <t>RP0003979</t>
        </is>
      </c>
      <c r="B3980" t="inlineStr">
        <is>
          <t>LN200567</t>
        </is>
      </c>
      <c r="C3980" t="n">
        <v>7</v>
      </c>
      <c r="D3980" s="8" t="n">
        <v>46030</v>
      </c>
      <c r="E3980" s="9" t="n">
        <v>9832.469999999999</v>
      </c>
      <c r="F3980" s="8" t="n">
        <v>46034</v>
      </c>
      <c r="G3980" s="9" t="n">
        <v>9832.469999999999</v>
      </c>
      <c r="H3980" t="inlineStr">
        <is>
          <t>PAID_ON_TIME</t>
        </is>
      </c>
      <c r="I3980">
        <f>IF(H3980="UNPAID", AsOfDate-D3980, 0)</f>
        <v/>
      </c>
      <c r="J3980">
        <f>IF(F3980&lt;&gt;"", TEXT(F3980, "yyyy-mm"), "")</f>
        <v/>
      </c>
    </row>
    <row r="3981">
      <c r="A3981" t="inlineStr">
        <is>
          <t>RP0003980</t>
        </is>
      </c>
      <c r="B3981" t="inlineStr">
        <is>
          <t>LN200567</t>
        </is>
      </c>
      <c r="C3981" t="n">
        <v>8</v>
      </c>
      <c r="D3981" s="8" t="n">
        <v>46061</v>
      </c>
      <c r="E3981" s="9" t="n">
        <v>9832.469999999999</v>
      </c>
      <c r="F3981" s="8" t="n">
        <v>46058</v>
      </c>
      <c r="G3981" s="9" t="n">
        <v>9832.469999999999</v>
      </c>
      <c r="H3981" t="inlineStr">
        <is>
          <t>PAID_ON_TIME</t>
        </is>
      </c>
      <c r="I3981">
        <f>IF(H3981="UNPAID", AsOfDate-D3981, 0)</f>
        <v/>
      </c>
      <c r="J3981">
        <f>IF(F3981&lt;&gt;"", TEXT(F3981, "yyyy-mm"), "")</f>
        <v/>
      </c>
    </row>
    <row r="3982">
      <c r="A3982" t="inlineStr">
        <is>
          <t>RP0003981</t>
        </is>
      </c>
      <c r="B3982" t="inlineStr">
        <is>
          <t>LN200567</t>
        </is>
      </c>
      <c r="C3982" t="n">
        <v>9</v>
      </c>
      <c r="D3982" s="8" t="n">
        <v>46089</v>
      </c>
      <c r="E3982" s="9" t="n">
        <v>9832.469999999999</v>
      </c>
      <c r="F3982" s="8" t="n">
        <v>46086</v>
      </c>
      <c r="G3982" s="9" t="n">
        <v>9832.469999999999</v>
      </c>
      <c r="H3982" t="inlineStr">
        <is>
          <t>PAID_ON_TIME</t>
        </is>
      </c>
      <c r="I3982">
        <f>IF(H3982="UNPAID", AsOfDate-D3982, 0)</f>
        <v/>
      </c>
      <c r="J3982">
        <f>IF(F3982&lt;&gt;"", TEXT(F3982, "yyyy-mm"), "")</f>
        <v/>
      </c>
    </row>
    <row r="3983">
      <c r="A3983" t="inlineStr">
        <is>
          <t>RP0003982</t>
        </is>
      </c>
      <c r="B3983" t="inlineStr">
        <is>
          <t>LN200568</t>
        </is>
      </c>
      <c r="C3983" t="n">
        <v>1</v>
      </c>
      <c r="D3983" s="8" t="n">
        <v>45786</v>
      </c>
      <c r="E3983" s="9" t="n">
        <v>31699.83</v>
      </c>
      <c r="F3983" s="8" t="n">
        <v>45789</v>
      </c>
      <c r="G3983" s="9" t="n">
        <v>31699.83</v>
      </c>
      <c r="H3983" t="inlineStr">
        <is>
          <t>PAID_ON_TIME</t>
        </is>
      </c>
      <c r="I3983">
        <f>IF(H3983="UNPAID", AsOfDate-D3983, 0)</f>
        <v/>
      </c>
      <c r="J3983">
        <f>IF(F3983&lt;&gt;"", TEXT(F3983, "yyyy-mm"), "")</f>
        <v/>
      </c>
    </row>
    <row r="3984">
      <c r="A3984" t="inlineStr">
        <is>
          <t>RP0003983</t>
        </is>
      </c>
      <c r="B3984" t="inlineStr">
        <is>
          <t>LN200568</t>
        </is>
      </c>
      <c r="C3984" t="n">
        <v>2</v>
      </c>
      <c r="D3984" s="8" t="n">
        <v>45817</v>
      </c>
      <c r="E3984" s="9" t="n">
        <v>31699.83</v>
      </c>
      <c r="F3984" s="8" t="n">
        <v>45820</v>
      </c>
      <c r="G3984" s="9" t="n">
        <v>31699.83</v>
      </c>
      <c r="H3984" t="inlineStr">
        <is>
          <t>PAID_ON_TIME</t>
        </is>
      </c>
      <c r="I3984">
        <f>IF(H3984="UNPAID", AsOfDate-D3984, 0)</f>
        <v/>
      </c>
      <c r="J3984">
        <f>IF(F3984&lt;&gt;"", TEXT(F3984, "yyyy-mm"), "")</f>
        <v/>
      </c>
    </row>
    <row r="3985">
      <c r="A3985" t="inlineStr">
        <is>
          <t>RP0003984</t>
        </is>
      </c>
      <c r="B3985" t="inlineStr">
        <is>
          <t>LN200568</t>
        </is>
      </c>
      <c r="C3985" t="n">
        <v>3</v>
      </c>
      <c r="D3985" s="8" t="n">
        <v>45847</v>
      </c>
      <c r="E3985" s="9" t="n">
        <v>31699.83</v>
      </c>
      <c r="F3985" s="8" t="n">
        <v>45846</v>
      </c>
      <c r="G3985" s="9" t="n">
        <v>31699.83</v>
      </c>
      <c r="H3985" t="inlineStr">
        <is>
          <t>PAID_ON_TIME</t>
        </is>
      </c>
      <c r="I3985">
        <f>IF(H3985="UNPAID", AsOfDate-D3985, 0)</f>
        <v/>
      </c>
      <c r="J3985">
        <f>IF(F3985&lt;&gt;"", TEXT(F3985, "yyyy-mm"), "")</f>
        <v/>
      </c>
    </row>
    <row r="3986">
      <c r="A3986" t="inlineStr">
        <is>
          <t>RP0003985</t>
        </is>
      </c>
      <c r="B3986" t="inlineStr">
        <is>
          <t>LN200568</t>
        </is>
      </c>
      <c r="C3986" t="n">
        <v>4</v>
      </c>
      <c r="D3986" s="8" t="n">
        <v>45878</v>
      </c>
      <c r="E3986" s="9" t="n">
        <v>31699.83</v>
      </c>
      <c r="F3986" s="8" t="n">
        <v>45914</v>
      </c>
      <c r="G3986" s="9" t="n">
        <v>31699.83</v>
      </c>
      <c r="H3986" t="inlineStr">
        <is>
          <t>PAID_LATE</t>
        </is>
      </c>
      <c r="I3986">
        <f>IF(H3986="UNPAID", AsOfDate-D3986, 0)</f>
        <v/>
      </c>
      <c r="J3986">
        <f>IF(F3986&lt;&gt;"", TEXT(F3986, "yyyy-mm"), "")</f>
        <v/>
      </c>
    </row>
    <row r="3987">
      <c r="A3987" t="inlineStr">
        <is>
          <t>RP0003986</t>
        </is>
      </c>
      <c r="B3987" t="inlineStr">
        <is>
          <t>LN200568</t>
        </is>
      </c>
      <c r="C3987" t="n">
        <v>5</v>
      </c>
      <c r="D3987" s="8" t="n">
        <v>45909</v>
      </c>
      <c r="E3987" s="9" t="n">
        <v>31699.83</v>
      </c>
      <c r="F3987" s="8" t="n">
        <v>45907</v>
      </c>
      <c r="G3987" s="9" t="n">
        <v>31699.83</v>
      </c>
      <c r="H3987" t="inlineStr">
        <is>
          <t>PAID_ON_TIME</t>
        </is>
      </c>
      <c r="I3987">
        <f>IF(H3987="UNPAID", AsOfDate-D3987, 0)</f>
        <v/>
      </c>
      <c r="J3987">
        <f>IF(F3987&lt;&gt;"", TEXT(F3987, "yyyy-mm"), "")</f>
        <v/>
      </c>
    </row>
    <row r="3988">
      <c r="A3988" t="inlineStr">
        <is>
          <t>RP0003987</t>
        </is>
      </c>
      <c r="B3988" t="inlineStr">
        <is>
          <t>LN200568</t>
        </is>
      </c>
      <c r="C3988" t="n">
        <v>6</v>
      </c>
      <c r="D3988" s="8" t="n">
        <v>45939</v>
      </c>
      <c r="E3988" s="9" t="n">
        <v>31699.83</v>
      </c>
      <c r="F3988" s="8" t="n">
        <v>45943</v>
      </c>
      <c r="G3988" s="9" t="n">
        <v>31699.83</v>
      </c>
      <c r="H3988" t="inlineStr">
        <is>
          <t>PAID_ON_TIME</t>
        </is>
      </c>
      <c r="I3988">
        <f>IF(H3988="UNPAID", AsOfDate-D3988, 0)</f>
        <v/>
      </c>
      <c r="J3988">
        <f>IF(F3988&lt;&gt;"", TEXT(F3988, "yyyy-mm"), "")</f>
        <v/>
      </c>
    </row>
    <row r="3989">
      <c r="A3989" t="inlineStr">
        <is>
          <t>RP0003988</t>
        </is>
      </c>
      <c r="B3989" t="inlineStr">
        <is>
          <t>LN200568</t>
        </is>
      </c>
      <c r="C3989" t="n">
        <v>7</v>
      </c>
      <c r="D3989" s="8" t="n">
        <v>45970</v>
      </c>
      <c r="E3989" s="9" t="n">
        <v>31699.83</v>
      </c>
      <c r="F3989" s="8" t="n">
        <v>45969</v>
      </c>
      <c r="G3989" s="9" t="n">
        <v>31699.83</v>
      </c>
      <c r="H3989" t="inlineStr">
        <is>
          <t>PAID_ON_TIME</t>
        </is>
      </c>
      <c r="I3989">
        <f>IF(H3989="UNPAID", AsOfDate-D3989, 0)</f>
        <v/>
      </c>
      <c r="J3989">
        <f>IF(F3989&lt;&gt;"", TEXT(F3989, "yyyy-mm"), "")</f>
        <v/>
      </c>
    </row>
    <row r="3990">
      <c r="A3990" t="inlineStr">
        <is>
          <t>RP0003989</t>
        </is>
      </c>
      <c r="B3990" t="inlineStr">
        <is>
          <t>LN200568</t>
        </is>
      </c>
      <c r="C3990" t="n">
        <v>8</v>
      </c>
      <c r="D3990" s="8" t="n">
        <v>46000</v>
      </c>
      <c r="E3990" s="9" t="n">
        <v>31699.83</v>
      </c>
      <c r="F3990" s="8" t="n">
        <v>45999</v>
      </c>
      <c r="G3990" s="9" t="n">
        <v>31699.83</v>
      </c>
      <c r="H3990" t="inlineStr">
        <is>
          <t>PAID_ON_TIME</t>
        </is>
      </c>
      <c r="I3990">
        <f>IF(H3990="UNPAID", AsOfDate-D3990, 0)</f>
        <v/>
      </c>
      <c r="J3990">
        <f>IF(F3990&lt;&gt;"", TEXT(F3990, "yyyy-mm"), "")</f>
        <v/>
      </c>
    </row>
    <row r="3991">
      <c r="A3991" t="inlineStr">
        <is>
          <t>RP0003990</t>
        </is>
      </c>
      <c r="B3991" t="inlineStr">
        <is>
          <t>LN200568</t>
        </is>
      </c>
      <c r="C3991" t="n">
        <v>9</v>
      </c>
      <c r="D3991" s="8" t="n">
        <v>46031</v>
      </c>
      <c r="E3991" s="9" t="n">
        <v>31699.83</v>
      </c>
      <c r="F3991" s="8" t="n">
        <v>46034</v>
      </c>
      <c r="G3991" s="9" t="n">
        <v>31699.83</v>
      </c>
      <c r="H3991" t="inlineStr">
        <is>
          <t>PAID_ON_TIME</t>
        </is>
      </c>
      <c r="I3991">
        <f>IF(H3991="UNPAID", AsOfDate-D3991, 0)</f>
        <v/>
      </c>
      <c r="J3991">
        <f>IF(F3991&lt;&gt;"", TEXT(F3991, "yyyy-mm"), "")</f>
        <v/>
      </c>
    </row>
    <row r="3992">
      <c r="A3992" t="inlineStr">
        <is>
          <t>RP0003991</t>
        </is>
      </c>
      <c r="B3992" t="inlineStr">
        <is>
          <t>LN200569</t>
        </is>
      </c>
      <c r="C3992" t="n">
        <v>1</v>
      </c>
      <c r="D3992" s="8" t="n">
        <v>46003</v>
      </c>
      <c r="E3992" s="9" t="n">
        <v>4787.5</v>
      </c>
      <c r="F3992" s="8" t="n">
        <v>46000</v>
      </c>
      <c r="G3992" s="9" t="n">
        <v>4787.5</v>
      </c>
      <c r="H3992" t="inlineStr">
        <is>
          <t>PAID_ON_TIME</t>
        </is>
      </c>
      <c r="I3992">
        <f>IF(H3992="UNPAID", AsOfDate-D3992, 0)</f>
        <v/>
      </c>
      <c r="J3992">
        <f>IF(F3992&lt;&gt;"", TEXT(F3992, "yyyy-mm"), "")</f>
        <v/>
      </c>
    </row>
    <row r="3993">
      <c r="A3993" t="inlineStr">
        <is>
          <t>RP0003992</t>
        </is>
      </c>
      <c r="B3993" t="inlineStr">
        <is>
          <t>LN200569</t>
        </is>
      </c>
      <c r="C3993" t="n">
        <v>2</v>
      </c>
      <c r="D3993" s="8" t="n">
        <v>46034</v>
      </c>
      <c r="E3993" s="9" t="n">
        <v>4787.5</v>
      </c>
      <c r="F3993" s="8" t="n">
        <v>46038</v>
      </c>
      <c r="G3993" s="9" t="n">
        <v>4787.5</v>
      </c>
      <c r="H3993" t="inlineStr">
        <is>
          <t>PAID_ON_TIME</t>
        </is>
      </c>
      <c r="I3993">
        <f>IF(H3993="UNPAID", AsOfDate-D3993, 0)</f>
        <v/>
      </c>
      <c r="J3993">
        <f>IF(F3993&lt;&gt;"", TEXT(F3993, "yyyy-mm"), "")</f>
        <v/>
      </c>
    </row>
    <row r="3994">
      <c r="A3994" t="inlineStr">
        <is>
          <t>RP0003993</t>
        </is>
      </c>
      <c r="B3994" t="inlineStr">
        <is>
          <t>LN200569</t>
        </is>
      </c>
      <c r="C3994" t="n">
        <v>3</v>
      </c>
      <c r="D3994" s="8" t="n">
        <v>46065</v>
      </c>
      <c r="E3994" s="9" t="n">
        <v>4787.5</v>
      </c>
      <c r="F3994" s="8" t="n">
        <v>46092</v>
      </c>
      <c r="G3994" s="9" t="n">
        <v>4787.5</v>
      </c>
      <c r="H3994" t="inlineStr">
        <is>
          <t>PAID_LATE</t>
        </is>
      </c>
      <c r="I3994">
        <f>IF(H3994="UNPAID", AsOfDate-D3994, 0)</f>
        <v/>
      </c>
      <c r="J3994">
        <f>IF(F3994&lt;&gt;"", TEXT(F3994, "yyyy-mm"), "")</f>
        <v/>
      </c>
    </row>
    <row r="3995">
      <c r="A3995" t="inlineStr">
        <is>
          <t>RP0003994</t>
        </is>
      </c>
      <c r="B3995" t="inlineStr">
        <is>
          <t>LN200569</t>
        </is>
      </c>
      <c r="C3995" t="n">
        <v>4</v>
      </c>
      <c r="D3995" s="8" t="n">
        <v>46093</v>
      </c>
      <c r="E3995" s="9" t="n">
        <v>4787.5</v>
      </c>
      <c r="F3995" s="8" t="n">
        <v>46095</v>
      </c>
      <c r="G3995" s="9" t="n">
        <v>4787.5</v>
      </c>
      <c r="H3995" t="inlineStr">
        <is>
          <t>PAID_ON_TIME</t>
        </is>
      </c>
      <c r="I3995">
        <f>IF(H3995="UNPAID", AsOfDate-D3995, 0)</f>
        <v/>
      </c>
      <c r="J3995">
        <f>IF(F3995&lt;&gt;"", TEXT(F3995, "yyyy-mm"), "")</f>
        <v/>
      </c>
    </row>
    <row r="3996">
      <c r="A3996" t="inlineStr">
        <is>
          <t>RP0003995</t>
        </is>
      </c>
      <c r="B3996" t="inlineStr">
        <is>
          <t>LN200569</t>
        </is>
      </c>
      <c r="C3996" t="n">
        <v>5</v>
      </c>
      <c r="D3996" s="8" t="n">
        <v>46124</v>
      </c>
      <c r="E3996" s="9" t="n">
        <v>4787.5</v>
      </c>
      <c r="F3996" s="8" t="n">
        <v>46126</v>
      </c>
      <c r="G3996" s="9" t="n">
        <v>4787.5</v>
      </c>
      <c r="H3996" t="inlineStr">
        <is>
          <t>PAID_ON_TIME</t>
        </is>
      </c>
      <c r="I3996">
        <f>IF(H3996="UNPAID", AsOfDate-D3996, 0)</f>
        <v/>
      </c>
      <c r="J3996">
        <f>IF(F3996&lt;&gt;"", TEXT(F3996, "yyyy-mm"), "")</f>
        <v/>
      </c>
    </row>
    <row r="3997">
      <c r="A3997" t="inlineStr">
        <is>
          <t>RP0003996</t>
        </is>
      </c>
      <c r="B3997" t="inlineStr">
        <is>
          <t>LN200569</t>
        </is>
      </c>
      <c r="C3997" t="n">
        <v>6</v>
      </c>
      <c r="D3997" s="8" t="n">
        <v>46154</v>
      </c>
      <c r="E3997" s="9" t="n">
        <v>4787.5</v>
      </c>
      <c r="F3997" s="8" t="n">
        <v>46157</v>
      </c>
      <c r="G3997" s="9" t="n">
        <v>4787.5</v>
      </c>
      <c r="H3997" t="inlineStr">
        <is>
          <t>PAID_ON_TIME</t>
        </is>
      </c>
      <c r="I3997">
        <f>IF(H3997="UNPAID", AsOfDate-D3997, 0)</f>
        <v/>
      </c>
      <c r="J3997">
        <f>IF(F3997&lt;&gt;"", TEXT(F3997, "yyyy-mm"), "")</f>
        <v/>
      </c>
    </row>
    <row r="3998">
      <c r="A3998" t="inlineStr">
        <is>
          <t>RP0003997</t>
        </is>
      </c>
      <c r="B3998" t="inlineStr">
        <is>
          <t>LN200569</t>
        </is>
      </c>
      <c r="C3998" t="n">
        <v>7</v>
      </c>
      <c r="D3998" s="8" t="n">
        <v>46185</v>
      </c>
      <c r="E3998" s="9" t="n">
        <v>4787.5</v>
      </c>
      <c r="F3998" s="8" t="n">
        <v>46224</v>
      </c>
      <c r="G3998" s="9" t="n">
        <v>4787.5</v>
      </c>
      <c r="H3998" t="inlineStr">
        <is>
          <t>PAID_LATE</t>
        </is>
      </c>
      <c r="I3998">
        <f>IF(H3998="UNPAID", AsOfDate-D3998, 0)</f>
        <v/>
      </c>
      <c r="J3998">
        <f>IF(F3998&lt;&gt;"", TEXT(F3998, "yyyy-mm"), "")</f>
        <v/>
      </c>
    </row>
    <row r="3999">
      <c r="A3999" t="inlineStr">
        <is>
          <t>RP0003998</t>
        </is>
      </c>
      <c r="B3999" t="inlineStr">
        <is>
          <t>LN200569</t>
        </is>
      </c>
      <c r="C3999" t="n">
        <v>8</v>
      </c>
      <c r="D3999" s="8" t="n">
        <v>46215</v>
      </c>
      <c r="E3999" s="9" t="n">
        <v>4787.5</v>
      </c>
      <c r="F3999" s="8" t="n">
        <v>46218</v>
      </c>
      <c r="G3999" s="9" t="n">
        <v>4787.5</v>
      </c>
      <c r="H3999" t="inlineStr">
        <is>
          <t>PAID_ON_TIME</t>
        </is>
      </c>
      <c r="I3999">
        <f>IF(H3999="UNPAID", AsOfDate-D3999, 0)</f>
        <v/>
      </c>
      <c r="J3999">
        <f>IF(F3999&lt;&gt;"", TEXT(F3999, "yyyy-mm"), "")</f>
        <v/>
      </c>
    </row>
    <row r="4000">
      <c r="A4000" t="inlineStr">
        <is>
          <t>RP0003999</t>
        </is>
      </c>
      <c r="B4000" t="inlineStr">
        <is>
          <t>LN200569</t>
        </is>
      </c>
      <c r="C4000" t="n">
        <v>9</v>
      </c>
      <c r="D4000" s="8" t="n">
        <v>46246</v>
      </c>
      <c r="E4000" s="9" t="n">
        <v>4787.5</v>
      </c>
      <c r="F4000" s="8" t="n">
        <v>46248</v>
      </c>
      <c r="G4000" s="9" t="n">
        <v>4787.5</v>
      </c>
      <c r="H4000" t="inlineStr">
        <is>
          <t>PAID_ON_TIME</t>
        </is>
      </c>
      <c r="I4000">
        <f>IF(H4000="UNPAID", AsOfDate-D4000, 0)</f>
        <v/>
      </c>
      <c r="J4000">
        <f>IF(F4000&lt;&gt;"", TEXT(F4000, "yyyy-mm"), "")</f>
        <v/>
      </c>
    </row>
    <row r="4001">
      <c r="A4001" t="inlineStr">
        <is>
          <t>RP0004000</t>
        </is>
      </c>
      <c r="B4001" t="inlineStr">
        <is>
          <t>LN200569</t>
        </is>
      </c>
      <c r="C4001" t="n">
        <v>10</v>
      </c>
      <c r="D4001" s="8" t="n">
        <v>46277</v>
      </c>
      <c r="E4001" s="9" t="n">
        <v>4787.5</v>
      </c>
      <c r="F4001" s="8" t="n"/>
      <c r="G4001" s="9" t="n">
        <v>0</v>
      </c>
      <c r="H4001" t="inlineStr">
        <is>
          <t>NOT_DUE</t>
        </is>
      </c>
      <c r="I4001">
        <f>IF(H4001="UNPAID", AsOfDate-D4001, 0)</f>
        <v/>
      </c>
      <c r="J4001">
        <f>IF(F4001&lt;&gt;"", TEXT(F4001, "yyyy-mm"), "")</f>
        <v/>
      </c>
    </row>
    <row r="4002">
      <c r="A4002" t="inlineStr">
        <is>
          <t>RP0004001</t>
        </is>
      </c>
      <c r="B4002" t="inlineStr">
        <is>
          <t>LN200569</t>
        </is>
      </c>
      <c r="C4002" t="n">
        <v>11</v>
      </c>
      <c r="D4002" s="8" t="n">
        <v>46307</v>
      </c>
      <c r="E4002" s="9" t="n">
        <v>4787.5</v>
      </c>
      <c r="F4002" s="8" t="n"/>
      <c r="G4002" s="9" t="n">
        <v>0</v>
      </c>
      <c r="H4002" t="inlineStr">
        <is>
          <t>NOT_DUE</t>
        </is>
      </c>
      <c r="I4002">
        <f>IF(H4002="UNPAID", AsOfDate-D4002, 0)</f>
        <v/>
      </c>
      <c r="J4002">
        <f>IF(F4002&lt;&gt;"", TEXT(F4002, "yyyy-mm"), "")</f>
        <v/>
      </c>
    </row>
    <row r="4003">
      <c r="A4003" t="inlineStr">
        <is>
          <t>RP0004002</t>
        </is>
      </c>
      <c r="B4003" t="inlineStr">
        <is>
          <t>LN200569</t>
        </is>
      </c>
      <c r="C4003" t="n">
        <v>12</v>
      </c>
      <c r="D4003" s="8" t="n">
        <v>46338</v>
      </c>
      <c r="E4003" s="9" t="n">
        <v>4787.5</v>
      </c>
      <c r="F4003" s="8" t="n"/>
      <c r="G4003" s="9" t="n">
        <v>0</v>
      </c>
      <c r="H4003" t="inlineStr">
        <is>
          <t>NOT_DUE</t>
        </is>
      </c>
      <c r="I4003">
        <f>IF(H4003="UNPAID", AsOfDate-D4003, 0)</f>
        <v/>
      </c>
      <c r="J4003">
        <f>IF(F4003&lt;&gt;"", TEXT(F4003, "yyyy-mm"), "")</f>
        <v/>
      </c>
    </row>
    <row r="4004">
      <c r="A4004" t="inlineStr">
        <is>
          <t>RP0004003</t>
        </is>
      </c>
      <c r="B4004" t="inlineStr">
        <is>
          <t>LN200570</t>
        </is>
      </c>
      <c r="C4004" t="n">
        <v>1</v>
      </c>
      <c r="D4004" s="8" t="n">
        <v>45844</v>
      </c>
      <c r="E4004" s="9" t="n">
        <v>4332.22</v>
      </c>
      <c r="F4004" s="8" t="n">
        <v>45847</v>
      </c>
      <c r="G4004" s="9" t="n">
        <v>4332.22</v>
      </c>
      <c r="H4004" t="inlineStr">
        <is>
          <t>PAID_ON_TIME</t>
        </is>
      </c>
      <c r="I4004">
        <f>IF(H4004="UNPAID", AsOfDate-D4004, 0)</f>
        <v/>
      </c>
      <c r="J4004">
        <f>IF(F4004&lt;&gt;"", TEXT(F4004, "yyyy-mm"), "")</f>
        <v/>
      </c>
    </row>
    <row r="4005">
      <c r="A4005" t="inlineStr">
        <is>
          <t>RP0004004</t>
        </is>
      </c>
      <c r="B4005" t="inlineStr">
        <is>
          <t>LN200570</t>
        </is>
      </c>
      <c r="C4005" t="n">
        <v>2</v>
      </c>
      <c r="D4005" s="8" t="n">
        <v>45875</v>
      </c>
      <c r="E4005" s="9" t="n">
        <v>4332.22</v>
      </c>
      <c r="F4005" s="8" t="n">
        <v>45875</v>
      </c>
      <c r="G4005" s="9" t="n">
        <v>4332.22</v>
      </c>
      <c r="H4005" t="inlineStr">
        <is>
          <t>PAID_ON_TIME</t>
        </is>
      </c>
      <c r="I4005">
        <f>IF(H4005="UNPAID", AsOfDate-D4005, 0)</f>
        <v/>
      </c>
      <c r="J4005">
        <f>IF(F4005&lt;&gt;"", TEXT(F4005, "yyyy-mm"), "")</f>
        <v/>
      </c>
    </row>
    <row r="4006">
      <c r="A4006" t="inlineStr">
        <is>
          <t>RP0004005</t>
        </is>
      </c>
      <c r="B4006" t="inlineStr">
        <is>
          <t>LN200570</t>
        </is>
      </c>
      <c r="C4006" t="n">
        <v>3</v>
      </c>
      <c r="D4006" s="8" t="n">
        <v>45906</v>
      </c>
      <c r="E4006" s="9" t="n">
        <v>4332.22</v>
      </c>
      <c r="F4006" s="8" t="n">
        <v>45907</v>
      </c>
      <c r="G4006" s="9" t="n">
        <v>4332.22</v>
      </c>
      <c r="H4006" t="inlineStr">
        <is>
          <t>PAID_ON_TIME</t>
        </is>
      </c>
      <c r="I4006">
        <f>IF(H4006="UNPAID", AsOfDate-D4006, 0)</f>
        <v/>
      </c>
      <c r="J4006">
        <f>IF(F4006&lt;&gt;"", TEXT(F4006, "yyyy-mm"), "")</f>
        <v/>
      </c>
    </row>
    <row r="4007">
      <c r="A4007" t="inlineStr">
        <is>
          <t>RP0004006</t>
        </is>
      </c>
      <c r="B4007" t="inlineStr">
        <is>
          <t>LN200570</t>
        </is>
      </c>
      <c r="C4007" t="n">
        <v>4</v>
      </c>
      <c r="D4007" s="8" t="n">
        <v>45936</v>
      </c>
      <c r="E4007" s="9" t="n">
        <v>4332.22</v>
      </c>
      <c r="F4007" s="8" t="n">
        <v>45940</v>
      </c>
      <c r="G4007" s="9" t="n">
        <v>4332.22</v>
      </c>
      <c r="H4007" t="inlineStr">
        <is>
          <t>PAID_ON_TIME</t>
        </is>
      </c>
      <c r="I4007">
        <f>IF(H4007="UNPAID", AsOfDate-D4007, 0)</f>
        <v/>
      </c>
      <c r="J4007">
        <f>IF(F4007&lt;&gt;"", TEXT(F4007, "yyyy-mm"), "")</f>
        <v/>
      </c>
    </row>
    <row r="4008">
      <c r="A4008" t="inlineStr">
        <is>
          <t>RP0004007</t>
        </is>
      </c>
      <c r="B4008" t="inlineStr">
        <is>
          <t>LN200570</t>
        </is>
      </c>
      <c r="C4008" t="n">
        <v>5</v>
      </c>
      <c r="D4008" s="8" t="n">
        <v>45967</v>
      </c>
      <c r="E4008" s="9" t="n">
        <v>4332.22</v>
      </c>
      <c r="F4008" s="8" t="n">
        <v>45964</v>
      </c>
      <c r="G4008" s="9" t="n">
        <v>4332.22</v>
      </c>
      <c r="H4008" t="inlineStr">
        <is>
          <t>PAID_ON_TIME</t>
        </is>
      </c>
      <c r="I4008">
        <f>IF(H4008="UNPAID", AsOfDate-D4008, 0)</f>
        <v/>
      </c>
      <c r="J4008">
        <f>IF(F4008&lt;&gt;"", TEXT(F4008, "yyyy-mm"), "")</f>
        <v/>
      </c>
    </row>
    <row r="4009">
      <c r="A4009" t="inlineStr">
        <is>
          <t>RP0004008</t>
        </is>
      </c>
      <c r="B4009" t="inlineStr">
        <is>
          <t>LN200570</t>
        </is>
      </c>
      <c r="C4009" t="n">
        <v>6</v>
      </c>
      <c r="D4009" s="8" t="n">
        <v>45997</v>
      </c>
      <c r="E4009" s="9" t="n">
        <v>4332.22</v>
      </c>
      <c r="F4009" s="8" t="n">
        <v>45996</v>
      </c>
      <c r="G4009" s="9" t="n">
        <v>4332.22</v>
      </c>
      <c r="H4009" t="inlineStr">
        <is>
          <t>PAID_ON_TIME</t>
        </is>
      </c>
      <c r="I4009">
        <f>IF(H4009="UNPAID", AsOfDate-D4009, 0)</f>
        <v/>
      </c>
      <c r="J4009">
        <f>IF(F4009&lt;&gt;"", TEXT(F4009, "yyyy-mm"), "")</f>
        <v/>
      </c>
    </row>
    <row r="4010">
      <c r="A4010" t="inlineStr">
        <is>
          <t>RP0004009</t>
        </is>
      </c>
      <c r="B4010" t="inlineStr">
        <is>
          <t>LN200570</t>
        </is>
      </c>
      <c r="C4010" t="n">
        <v>7</v>
      </c>
      <c r="D4010" s="8" t="n">
        <v>46028</v>
      </c>
      <c r="E4010" s="9" t="n">
        <v>4332.22</v>
      </c>
      <c r="F4010" s="8" t="n">
        <v>46027</v>
      </c>
      <c r="G4010" s="9" t="n">
        <v>4332.22</v>
      </c>
      <c r="H4010" t="inlineStr">
        <is>
          <t>PAID_ON_TIME</t>
        </is>
      </c>
      <c r="I4010">
        <f>IF(H4010="UNPAID", AsOfDate-D4010, 0)</f>
        <v/>
      </c>
      <c r="J4010">
        <f>IF(F4010&lt;&gt;"", TEXT(F4010, "yyyy-mm"), "")</f>
        <v/>
      </c>
    </row>
    <row r="4011">
      <c r="A4011" t="inlineStr">
        <is>
          <t>RP0004010</t>
        </is>
      </c>
      <c r="B4011" t="inlineStr">
        <is>
          <t>LN200570</t>
        </is>
      </c>
      <c r="C4011" t="n">
        <v>8</v>
      </c>
      <c r="D4011" s="8" t="n">
        <v>46059</v>
      </c>
      <c r="E4011" s="9" t="n">
        <v>4332.22</v>
      </c>
      <c r="F4011" s="8" t="n">
        <v>46056</v>
      </c>
      <c r="G4011" s="9" t="n">
        <v>4332.22</v>
      </c>
      <c r="H4011" t="inlineStr">
        <is>
          <t>PAID_ON_TIME</t>
        </is>
      </c>
      <c r="I4011">
        <f>IF(H4011="UNPAID", AsOfDate-D4011, 0)</f>
        <v/>
      </c>
      <c r="J4011">
        <f>IF(F4011&lt;&gt;"", TEXT(F4011, "yyyy-mm"), "")</f>
        <v/>
      </c>
    </row>
    <row r="4012">
      <c r="A4012" t="inlineStr">
        <is>
          <t>RP0004011</t>
        </is>
      </c>
      <c r="B4012" t="inlineStr">
        <is>
          <t>LN200570</t>
        </is>
      </c>
      <c r="C4012" t="n">
        <v>9</v>
      </c>
      <c r="D4012" s="8" t="n">
        <v>46087</v>
      </c>
      <c r="E4012" s="9" t="n">
        <v>4332.22</v>
      </c>
      <c r="F4012" s="8" t="n">
        <v>46089</v>
      </c>
      <c r="G4012" s="9" t="n">
        <v>4332.22</v>
      </c>
      <c r="H4012" t="inlineStr">
        <is>
          <t>PAID_ON_TIME</t>
        </is>
      </c>
      <c r="I4012">
        <f>IF(H4012="UNPAID", AsOfDate-D4012, 0)</f>
        <v/>
      </c>
      <c r="J4012">
        <f>IF(F4012&lt;&gt;"", TEXT(F4012, "yyyy-mm"), "")</f>
        <v/>
      </c>
    </row>
    <row r="4013">
      <c r="A4013" t="inlineStr">
        <is>
          <t>RP0004012</t>
        </is>
      </c>
      <c r="B4013" t="inlineStr">
        <is>
          <t>LN200571</t>
        </is>
      </c>
      <c r="C4013" t="n">
        <v>1</v>
      </c>
      <c r="D4013" s="8" t="n">
        <v>46073</v>
      </c>
      <c r="E4013" s="9" t="n">
        <v>4575.08</v>
      </c>
      <c r="F4013" s="8" t="n">
        <v>46073</v>
      </c>
      <c r="G4013" s="9" t="n">
        <v>4575.08</v>
      </c>
      <c r="H4013" t="inlineStr">
        <is>
          <t>PAID_ON_TIME</t>
        </is>
      </c>
      <c r="I4013">
        <f>IF(H4013="UNPAID", AsOfDate-D4013, 0)</f>
        <v/>
      </c>
      <c r="J4013">
        <f>IF(F4013&lt;&gt;"", TEXT(F4013, "yyyy-mm"), "")</f>
        <v/>
      </c>
    </row>
    <row r="4014">
      <c r="A4014" t="inlineStr">
        <is>
          <t>RP0004013</t>
        </is>
      </c>
      <c r="B4014" t="inlineStr">
        <is>
          <t>LN200571</t>
        </is>
      </c>
      <c r="C4014" t="n">
        <v>2</v>
      </c>
      <c r="D4014" s="8" t="n">
        <v>46101</v>
      </c>
      <c r="E4014" s="9" t="n">
        <v>4575.08</v>
      </c>
      <c r="F4014" s="8" t="n">
        <v>46105</v>
      </c>
      <c r="G4014" s="9" t="n">
        <v>4575.08</v>
      </c>
      <c r="H4014" t="inlineStr">
        <is>
          <t>PAID_ON_TIME</t>
        </is>
      </c>
      <c r="I4014">
        <f>IF(H4014="UNPAID", AsOfDate-D4014, 0)</f>
        <v/>
      </c>
      <c r="J4014">
        <f>IF(F4014&lt;&gt;"", TEXT(F4014, "yyyy-mm"), "")</f>
        <v/>
      </c>
    </row>
    <row r="4015">
      <c r="A4015" t="inlineStr">
        <is>
          <t>RP0004014</t>
        </is>
      </c>
      <c r="B4015" t="inlineStr">
        <is>
          <t>LN200571</t>
        </is>
      </c>
      <c r="C4015" t="n">
        <v>3</v>
      </c>
      <c r="D4015" s="8" t="n">
        <v>46132</v>
      </c>
      <c r="E4015" s="9" t="n">
        <v>4575.08</v>
      </c>
      <c r="F4015" s="8" t="n">
        <v>46174</v>
      </c>
      <c r="G4015" s="9" t="n">
        <v>4575.08</v>
      </c>
      <c r="H4015" t="inlineStr">
        <is>
          <t>PAID_LATE</t>
        </is>
      </c>
      <c r="I4015">
        <f>IF(H4015="UNPAID", AsOfDate-D4015, 0)</f>
        <v/>
      </c>
      <c r="J4015">
        <f>IF(F4015&lt;&gt;"", TEXT(F4015, "yyyy-mm"), "")</f>
        <v/>
      </c>
    </row>
    <row r="4016">
      <c r="A4016" t="inlineStr">
        <is>
          <t>RP0004015</t>
        </is>
      </c>
      <c r="B4016" t="inlineStr">
        <is>
          <t>LN200571</t>
        </is>
      </c>
      <c r="C4016" t="n">
        <v>4</v>
      </c>
      <c r="D4016" s="8" t="n">
        <v>46162</v>
      </c>
      <c r="E4016" s="9" t="n">
        <v>4575.08</v>
      </c>
      <c r="F4016" s="8" t="n">
        <v>46166</v>
      </c>
      <c r="G4016" s="9" t="n">
        <v>4575.08</v>
      </c>
      <c r="H4016" t="inlineStr">
        <is>
          <t>PAID_ON_TIME</t>
        </is>
      </c>
      <c r="I4016">
        <f>IF(H4016="UNPAID", AsOfDate-D4016, 0)</f>
        <v/>
      </c>
      <c r="J4016">
        <f>IF(F4016&lt;&gt;"", TEXT(F4016, "yyyy-mm"), "")</f>
        <v/>
      </c>
    </row>
    <row r="4017">
      <c r="A4017" t="inlineStr">
        <is>
          <t>RP0004016</t>
        </is>
      </c>
      <c r="B4017" t="inlineStr">
        <is>
          <t>LN200571</t>
        </is>
      </c>
      <c r="C4017" t="n">
        <v>5</v>
      </c>
      <c r="D4017" s="8" t="n">
        <v>46193</v>
      </c>
      <c r="E4017" s="9" t="n">
        <v>4575.08</v>
      </c>
      <c r="F4017" s="8" t="n">
        <v>46196</v>
      </c>
      <c r="G4017" s="9" t="n">
        <v>4575.08</v>
      </c>
      <c r="H4017" t="inlineStr">
        <is>
          <t>PAID_ON_TIME</t>
        </is>
      </c>
      <c r="I4017">
        <f>IF(H4017="UNPAID", AsOfDate-D4017, 0)</f>
        <v/>
      </c>
      <c r="J4017">
        <f>IF(F4017&lt;&gt;"", TEXT(F4017, "yyyy-mm"), "")</f>
        <v/>
      </c>
    </row>
    <row r="4018">
      <c r="A4018" t="inlineStr">
        <is>
          <t>RP0004017</t>
        </is>
      </c>
      <c r="B4018" t="inlineStr">
        <is>
          <t>LN200571</t>
        </is>
      </c>
      <c r="C4018" t="n">
        <v>6</v>
      </c>
      <c r="D4018" s="8" t="n">
        <v>46223</v>
      </c>
      <c r="E4018" s="9" t="n">
        <v>4575.08</v>
      </c>
      <c r="F4018" s="8" t="n"/>
      <c r="G4018" s="9" t="n">
        <v>0</v>
      </c>
      <c r="H4018" t="inlineStr">
        <is>
          <t>UNPAID</t>
        </is>
      </c>
      <c r="I4018">
        <f>IF(H4018="UNPAID", AsOfDate-D4018, 0)</f>
        <v/>
      </c>
      <c r="J4018">
        <f>IF(F4018&lt;&gt;"", TEXT(F4018, "yyyy-mm"), "")</f>
        <v/>
      </c>
    </row>
    <row r="4019">
      <c r="A4019" t="inlineStr">
        <is>
          <t>RP0004018</t>
        </is>
      </c>
      <c r="B4019" t="inlineStr">
        <is>
          <t>LN200571</t>
        </is>
      </c>
      <c r="C4019" t="n">
        <v>7</v>
      </c>
      <c r="D4019" s="8" t="n">
        <v>46254</v>
      </c>
      <c r="E4019" s="9" t="n">
        <v>4575.08</v>
      </c>
      <c r="F4019" s="8" t="n">
        <v>46251</v>
      </c>
      <c r="G4019" s="9" t="n">
        <v>4575.08</v>
      </c>
      <c r="H4019" t="inlineStr">
        <is>
          <t>PAID_ON_TIME</t>
        </is>
      </c>
      <c r="I4019">
        <f>IF(H4019="UNPAID", AsOfDate-D4019, 0)</f>
        <v/>
      </c>
      <c r="J4019">
        <f>IF(F4019&lt;&gt;"", TEXT(F4019, "yyyy-mm"), "")</f>
        <v/>
      </c>
    </row>
    <row r="4020">
      <c r="A4020" t="inlineStr">
        <is>
          <t>RP0004019</t>
        </is>
      </c>
      <c r="B4020" t="inlineStr">
        <is>
          <t>LN200571</t>
        </is>
      </c>
      <c r="C4020" t="n">
        <v>8</v>
      </c>
      <c r="D4020" s="8" t="n">
        <v>46285</v>
      </c>
      <c r="E4020" s="9" t="n">
        <v>4575.08</v>
      </c>
      <c r="F4020" s="8" t="n"/>
      <c r="G4020" s="9" t="n">
        <v>0</v>
      </c>
      <c r="H4020" t="inlineStr">
        <is>
          <t>NOT_DUE</t>
        </is>
      </c>
      <c r="I4020">
        <f>IF(H4020="UNPAID", AsOfDate-D4020, 0)</f>
        <v/>
      </c>
      <c r="J4020">
        <f>IF(F4020&lt;&gt;"", TEXT(F4020, "yyyy-mm"), "")</f>
        <v/>
      </c>
    </row>
    <row r="4021">
      <c r="A4021" t="inlineStr">
        <is>
          <t>RP0004020</t>
        </is>
      </c>
      <c r="B4021" t="inlineStr">
        <is>
          <t>LN200571</t>
        </is>
      </c>
      <c r="C4021" t="n">
        <v>9</v>
      </c>
      <c r="D4021" s="8" t="n">
        <v>46315</v>
      </c>
      <c r="E4021" s="9" t="n">
        <v>4575.08</v>
      </c>
      <c r="F4021" s="8" t="n"/>
      <c r="G4021" s="9" t="n">
        <v>0</v>
      </c>
      <c r="H4021" t="inlineStr">
        <is>
          <t>NOT_DUE</t>
        </is>
      </c>
      <c r="I4021">
        <f>IF(H4021="UNPAID", AsOfDate-D4021, 0)</f>
        <v/>
      </c>
      <c r="J4021">
        <f>IF(F4021&lt;&gt;"", TEXT(F4021, "yyyy-mm"), "")</f>
        <v/>
      </c>
    </row>
    <row r="4022">
      <c r="A4022" t="inlineStr">
        <is>
          <t>RP0004021</t>
        </is>
      </c>
      <c r="B4022" t="inlineStr">
        <is>
          <t>LN200571</t>
        </is>
      </c>
      <c r="C4022" t="n">
        <v>10</v>
      </c>
      <c r="D4022" s="8" t="n">
        <v>46346</v>
      </c>
      <c r="E4022" s="9" t="n">
        <v>4575.08</v>
      </c>
      <c r="F4022" s="8" t="n"/>
      <c r="G4022" s="9" t="n">
        <v>0</v>
      </c>
      <c r="H4022" t="inlineStr">
        <is>
          <t>NOT_DUE</t>
        </is>
      </c>
      <c r="I4022">
        <f>IF(H4022="UNPAID", AsOfDate-D4022, 0)</f>
        <v/>
      </c>
      <c r="J4022">
        <f>IF(F4022&lt;&gt;"", TEXT(F4022, "yyyy-mm"), "")</f>
        <v/>
      </c>
    </row>
    <row r="4023">
      <c r="A4023" t="inlineStr">
        <is>
          <t>RP0004022</t>
        </is>
      </c>
      <c r="B4023" t="inlineStr">
        <is>
          <t>LN200571</t>
        </is>
      </c>
      <c r="C4023" t="n">
        <v>11</v>
      </c>
      <c r="D4023" s="8" t="n">
        <v>46376</v>
      </c>
      <c r="E4023" s="9" t="n">
        <v>4575.08</v>
      </c>
      <c r="F4023" s="8" t="n"/>
      <c r="G4023" s="9" t="n">
        <v>0</v>
      </c>
      <c r="H4023" t="inlineStr">
        <is>
          <t>NOT_DUE</t>
        </is>
      </c>
      <c r="I4023">
        <f>IF(H4023="UNPAID", AsOfDate-D4023, 0)</f>
        <v/>
      </c>
      <c r="J4023">
        <f>IF(F4023&lt;&gt;"", TEXT(F4023, "yyyy-mm"), "")</f>
        <v/>
      </c>
    </row>
    <row r="4024">
      <c r="A4024" t="inlineStr">
        <is>
          <t>RP0004023</t>
        </is>
      </c>
      <c r="B4024" t="inlineStr">
        <is>
          <t>LN200571</t>
        </is>
      </c>
      <c r="C4024" t="n">
        <v>12</v>
      </c>
      <c r="D4024" s="8" t="n">
        <v>46407</v>
      </c>
      <c r="E4024" s="9" t="n">
        <v>4575.08</v>
      </c>
      <c r="F4024" s="8" t="n"/>
      <c r="G4024" s="9" t="n">
        <v>0</v>
      </c>
      <c r="H4024" t="inlineStr">
        <is>
          <t>NOT_DUE</t>
        </is>
      </c>
      <c r="I4024">
        <f>IF(H4024="UNPAID", AsOfDate-D4024, 0)</f>
        <v/>
      </c>
      <c r="J4024">
        <f>IF(F4024&lt;&gt;"", TEXT(F4024, "yyyy-mm"), "")</f>
        <v/>
      </c>
    </row>
    <row r="4025">
      <c r="A4025" t="inlineStr">
        <is>
          <t>RP0004024</t>
        </is>
      </c>
      <c r="B4025" t="inlineStr">
        <is>
          <t>LN200571</t>
        </is>
      </c>
      <c r="C4025" t="n">
        <v>13</v>
      </c>
      <c r="D4025" s="8" t="n">
        <v>46438</v>
      </c>
      <c r="E4025" s="9" t="n">
        <v>4575.08</v>
      </c>
      <c r="F4025" s="8" t="n"/>
      <c r="G4025" s="9" t="n">
        <v>0</v>
      </c>
      <c r="H4025" t="inlineStr">
        <is>
          <t>NOT_DUE</t>
        </is>
      </c>
      <c r="I4025">
        <f>IF(H4025="UNPAID", AsOfDate-D4025, 0)</f>
        <v/>
      </c>
      <c r="J4025">
        <f>IF(F4025&lt;&gt;"", TEXT(F4025, "yyyy-mm"), "")</f>
        <v/>
      </c>
    </row>
    <row r="4026">
      <c r="A4026" t="inlineStr">
        <is>
          <t>RP0004025</t>
        </is>
      </c>
      <c r="B4026" t="inlineStr">
        <is>
          <t>LN200571</t>
        </is>
      </c>
      <c r="C4026" t="n">
        <v>14</v>
      </c>
      <c r="D4026" s="8" t="n">
        <v>46466</v>
      </c>
      <c r="E4026" s="9" t="n">
        <v>4575.08</v>
      </c>
      <c r="F4026" s="8" t="n"/>
      <c r="G4026" s="9" t="n">
        <v>0</v>
      </c>
      <c r="H4026" t="inlineStr">
        <is>
          <t>NOT_DUE</t>
        </is>
      </c>
      <c r="I4026">
        <f>IF(H4026="UNPAID", AsOfDate-D4026, 0)</f>
        <v/>
      </c>
      <c r="J4026">
        <f>IF(F4026&lt;&gt;"", TEXT(F4026, "yyyy-mm"), "")</f>
        <v/>
      </c>
    </row>
    <row r="4027">
      <c r="A4027" t="inlineStr">
        <is>
          <t>RP0004026</t>
        </is>
      </c>
      <c r="B4027" t="inlineStr">
        <is>
          <t>LN200571</t>
        </is>
      </c>
      <c r="C4027" t="n">
        <v>15</v>
      </c>
      <c r="D4027" s="8" t="n">
        <v>46497</v>
      </c>
      <c r="E4027" s="9" t="n">
        <v>4575.08</v>
      </c>
      <c r="F4027" s="8" t="n"/>
      <c r="G4027" s="9" t="n">
        <v>0</v>
      </c>
      <c r="H4027" t="inlineStr">
        <is>
          <t>NOT_DUE</t>
        </is>
      </c>
      <c r="I4027">
        <f>IF(H4027="UNPAID", AsOfDate-D4027, 0)</f>
        <v/>
      </c>
      <c r="J4027">
        <f>IF(F4027&lt;&gt;"", TEXT(F4027, "yyyy-mm"), "")</f>
        <v/>
      </c>
    </row>
    <row r="4028">
      <c r="A4028" t="inlineStr">
        <is>
          <t>RP0004027</t>
        </is>
      </c>
      <c r="B4028" t="inlineStr">
        <is>
          <t>LN200571</t>
        </is>
      </c>
      <c r="C4028" t="n">
        <v>16</v>
      </c>
      <c r="D4028" s="8" t="n">
        <v>46527</v>
      </c>
      <c r="E4028" s="9" t="n">
        <v>4575.08</v>
      </c>
      <c r="F4028" s="8" t="n"/>
      <c r="G4028" s="9" t="n">
        <v>0</v>
      </c>
      <c r="H4028" t="inlineStr">
        <is>
          <t>NOT_DUE</t>
        </is>
      </c>
      <c r="I4028">
        <f>IF(H4028="UNPAID", AsOfDate-D4028, 0)</f>
        <v/>
      </c>
      <c r="J4028">
        <f>IF(F4028&lt;&gt;"", TEXT(F4028, "yyyy-mm"), "")</f>
        <v/>
      </c>
    </row>
    <row r="4029">
      <c r="A4029" t="inlineStr">
        <is>
          <t>RP0004028</t>
        </is>
      </c>
      <c r="B4029" t="inlineStr">
        <is>
          <t>LN200571</t>
        </is>
      </c>
      <c r="C4029" t="n">
        <v>17</v>
      </c>
      <c r="D4029" s="8" t="n">
        <v>46558</v>
      </c>
      <c r="E4029" s="9" t="n">
        <v>4575.08</v>
      </c>
      <c r="F4029" s="8" t="n"/>
      <c r="G4029" s="9" t="n">
        <v>0</v>
      </c>
      <c r="H4029" t="inlineStr">
        <is>
          <t>NOT_DUE</t>
        </is>
      </c>
      <c r="I4029">
        <f>IF(H4029="UNPAID", AsOfDate-D4029, 0)</f>
        <v/>
      </c>
      <c r="J4029">
        <f>IF(F4029&lt;&gt;"", TEXT(F4029, "yyyy-mm"), "")</f>
        <v/>
      </c>
    </row>
    <row r="4030">
      <c r="A4030" t="inlineStr">
        <is>
          <t>RP0004029</t>
        </is>
      </c>
      <c r="B4030" t="inlineStr">
        <is>
          <t>LN200571</t>
        </is>
      </c>
      <c r="C4030" t="n">
        <v>18</v>
      </c>
      <c r="D4030" s="8" t="n">
        <v>46588</v>
      </c>
      <c r="E4030" s="9" t="n">
        <v>4575.08</v>
      </c>
      <c r="F4030" s="8" t="n"/>
      <c r="G4030" s="9" t="n">
        <v>0</v>
      </c>
      <c r="H4030" t="inlineStr">
        <is>
          <t>NOT_DUE</t>
        </is>
      </c>
      <c r="I4030">
        <f>IF(H4030="UNPAID", AsOfDate-D4030, 0)</f>
        <v/>
      </c>
      <c r="J4030">
        <f>IF(F4030&lt;&gt;"", TEXT(F4030, "yyyy-mm"), "")</f>
        <v/>
      </c>
    </row>
    <row r="4031">
      <c r="A4031" t="inlineStr">
        <is>
          <t>RP0004030</t>
        </is>
      </c>
      <c r="B4031" t="inlineStr">
        <is>
          <t>LN200572</t>
        </is>
      </c>
      <c r="C4031" t="n">
        <v>1</v>
      </c>
      <c r="D4031" s="8" t="n">
        <v>45748</v>
      </c>
      <c r="E4031" s="9" t="n">
        <v>10300.11</v>
      </c>
      <c r="F4031" s="8" t="n">
        <v>45810</v>
      </c>
      <c r="G4031" s="9" t="n">
        <v>10300.11</v>
      </c>
      <c r="H4031" t="inlineStr">
        <is>
          <t>PAID_LATE</t>
        </is>
      </c>
      <c r="I4031">
        <f>IF(H4031="UNPAID", AsOfDate-D4031, 0)</f>
        <v/>
      </c>
      <c r="J4031">
        <f>IF(F4031&lt;&gt;"", TEXT(F4031, "yyyy-mm"), "")</f>
        <v/>
      </c>
    </row>
    <row r="4032">
      <c r="A4032" t="inlineStr">
        <is>
          <t>RP0004031</t>
        </is>
      </c>
      <c r="B4032" t="inlineStr">
        <is>
          <t>LN200572</t>
        </is>
      </c>
      <c r="C4032" t="n">
        <v>2</v>
      </c>
      <c r="D4032" s="8" t="n">
        <v>45778</v>
      </c>
      <c r="E4032" s="9" t="n">
        <v>10300.11</v>
      </c>
      <c r="F4032" s="8" t="n">
        <v>45776</v>
      </c>
      <c r="G4032" s="9" t="n">
        <v>10300.11</v>
      </c>
      <c r="H4032" t="inlineStr">
        <is>
          <t>PAID_ON_TIME</t>
        </is>
      </c>
      <c r="I4032">
        <f>IF(H4032="UNPAID", AsOfDate-D4032, 0)</f>
        <v/>
      </c>
      <c r="J4032">
        <f>IF(F4032&lt;&gt;"", TEXT(F4032, "yyyy-mm"), "")</f>
        <v/>
      </c>
    </row>
    <row r="4033">
      <c r="A4033" t="inlineStr">
        <is>
          <t>RP0004032</t>
        </is>
      </c>
      <c r="B4033" t="inlineStr">
        <is>
          <t>LN200572</t>
        </is>
      </c>
      <c r="C4033" t="n">
        <v>3</v>
      </c>
      <c r="D4033" s="8" t="n">
        <v>45809</v>
      </c>
      <c r="E4033" s="9" t="n">
        <v>10300.11</v>
      </c>
      <c r="F4033" s="8" t="n">
        <v>45810</v>
      </c>
      <c r="G4033" s="9" t="n">
        <v>10300.11</v>
      </c>
      <c r="H4033" t="inlineStr">
        <is>
          <t>PAID_ON_TIME</t>
        </is>
      </c>
      <c r="I4033">
        <f>IF(H4033="UNPAID", AsOfDate-D4033, 0)</f>
        <v/>
      </c>
      <c r="J4033">
        <f>IF(F4033&lt;&gt;"", TEXT(F4033, "yyyy-mm"), "")</f>
        <v/>
      </c>
    </row>
    <row r="4034">
      <c r="A4034" t="inlineStr">
        <is>
          <t>RP0004033</t>
        </is>
      </c>
      <c r="B4034" t="inlineStr">
        <is>
          <t>LN200572</t>
        </is>
      </c>
      <c r="C4034" t="n">
        <v>4</v>
      </c>
      <c r="D4034" s="8" t="n">
        <v>45839</v>
      </c>
      <c r="E4034" s="9" t="n">
        <v>10300.11</v>
      </c>
      <c r="F4034" s="8" t="n">
        <v>45843</v>
      </c>
      <c r="G4034" s="9" t="n">
        <v>10300.11</v>
      </c>
      <c r="H4034" t="inlineStr">
        <is>
          <t>PAID_ON_TIME</t>
        </is>
      </c>
      <c r="I4034">
        <f>IF(H4034="UNPAID", AsOfDate-D4034, 0)</f>
        <v/>
      </c>
      <c r="J4034">
        <f>IF(F4034&lt;&gt;"", TEXT(F4034, "yyyy-mm"), "")</f>
        <v/>
      </c>
    </row>
    <row r="4035">
      <c r="A4035" t="inlineStr">
        <is>
          <t>RP0004034</t>
        </is>
      </c>
      <c r="B4035" t="inlineStr">
        <is>
          <t>LN200572</t>
        </is>
      </c>
      <c r="C4035" t="n">
        <v>5</v>
      </c>
      <c r="D4035" s="8" t="n">
        <v>45870</v>
      </c>
      <c r="E4035" s="9" t="n">
        <v>10300.11</v>
      </c>
      <c r="F4035" s="8" t="n">
        <v>45873</v>
      </c>
      <c r="G4035" s="9" t="n">
        <v>10300.11</v>
      </c>
      <c r="H4035" t="inlineStr">
        <is>
          <t>PAID_ON_TIME</t>
        </is>
      </c>
      <c r="I4035">
        <f>IF(H4035="UNPAID", AsOfDate-D4035, 0)</f>
        <v/>
      </c>
      <c r="J4035">
        <f>IF(F4035&lt;&gt;"", TEXT(F4035, "yyyy-mm"), "")</f>
        <v/>
      </c>
    </row>
    <row r="4036">
      <c r="A4036" t="inlineStr">
        <is>
          <t>RP0004035</t>
        </is>
      </c>
      <c r="B4036" t="inlineStr">
        <is>
          <t>LN200572</t>
        </is>
      </c>
      <c r="C4036" t="n">
        <v>6</v>
      </c>
      <c r="D4036" s="8" t="n">
        <v>45901</v>
      </c>
      <c r="E4036" s="9" t="n">
        <v>10300.11</v>
      </c>
      <c r="F4036" s="8" t="n">
        <v>45899</v>
      </c>
      <c r="G4036" s="9" t="n">
        <v>10300.11</v>
      </c>
      <c r="H4036" t="inlineStr">
        <is>
          <t>PAID_ON_TIME</t>
        </is>
      </c>
      <c r="I4036">
        <f>IF(H4036="UNPAID", AsOfDate-D4036, 0)</f>
        <v/>
      </c>
      <c r="J4036">
        <f>IF(F4036&lt;&gt;"", TEXT(F4036, "yyyy-mm"), "")</f>
        <v/>
      </c>
    </row>
    <row r="4037">
      <c r="A4037" t="inlineStr">
        <is>
          <t>RP0004036</t>
        </is>
      </c>
      <c r="B4037" t="inlineStr">
        <is>
          <t>LN200572</t>
        </is>
      </c>
      <c r="C4037" t="n">
        <v>7</v>
      </c>
      <c r="D4037" s="8" t="n">
        <v>45931</v>
      </c>
      <c r="E4037" s="9" t="n">
        <v>10300.11</v>
      </c>
      <c r="F4037" s="8" t="n">
        <v>45929</v>
      </c>
      <c r="G4037" s="9" t="n">
        <v>10300.11</v>
      </c>
      <c r="H4037" t="inlineStr">
        <is>
          <t>PAID_ON_TIME</t>
        </is>
      </c>
      <c r="I4037">
        <f>IF(H4037="UNPAID", AsOfDate-D4037, 0)</f>
        <v/>
      </c>
      <c r="J4037">
        <f>IF(F4037&lt;&gt;"", TEXT(F4037, "yyyy-mm"), "")</f>
        <v/>
      </c>
    </row>
    <row r="4038">
      <c r="A4038" t="inlineStr">
        <is>
          <t>RP0004037</t>
        </is>
      </c>
      <c r="B4038" t="inlineStr">
        <is>
          <t>LN200572</t>
        </is>
      </c>
      <c r="C4038" t="n">
        <v>8</v>
      </c>
      <c r="D4038" s="8" t="n">
        <v>45962</v>
      </c>
      <c r="E4038" s="9" t="n">
        <v>10300.11</v>
      </c>
      <c r="F4038" s="8" t="n">
        <v>45964</v>
      </c>
      <c r="G4038" s="9" t="n">
        <v>10300.11</v>
      </c>
      <c r="H4038" t="inlineStr">
        <is>
          <t>PAID_ON_TIME</t>
        </is>
      </c>
      <c r="I4038">
        <f>IF(H4038="UNPAID", AsOfDate-D4038, 0)</f>
        <v/>
      </c>
      <c r="J4038">
        <f>IF(F4038&lt;&gt;"", TEXT(F4038, "yyyy-mm"), "")</f>
        <v/>
      </c>
    </row>
    <row r="4039">
      <c r="A4039" t="inlineStr">
        <is>
          <t>RP0004038</t>
        </is>
      </c>
      <c r="B4039" t="inlineStr">
        <is>
          <t>LN200572</t>
        </is>
      </c>
      <c r="C4039" t="n">
        <v>9</v>
      </c>
      <c r="D4039" s="8" t="n">
        <v>45992</v>
      </c>
      <c r="E4039" s="9" t="n">
        <v>10300.11</v>
      </c>
      <c r="F4039" s="8" t="n">
        <v>45994</v>
      </c>
      <c r="G4039" s="9" t="n">
        <v>10300.11</v>
      </c>
      <c r="H4039" t="inlineStr">
        <is>
          <t>PAID_ON_TIME</t>
        </is>
      </c>
      <c r="I4039">
        <f>IF(H4039="UNPAID", AsOfDate-D4039, 0)</f>
        <v/>
      </c>
      <c r="J4039">
        <f>IF(F4039&lt;&gt;"", TEXT(F4039, "yyyy-mm"), "")</f>
        <v/>
      </c>
    </row>
    <row r="4040">
      <c r="A4040" t="inlineStr">
        <is>
          <t>RP0004039</t>
        </is>
      </c>
      <c r="B4040" t="inlineStr">
        <is>
          <t>LN200573</t>
        </is>
      </c>
      <c r="C4040" t="n">
        <v>1</v>
      </c>
      <c r="D4040" s="8" t="n">
        <v>46149</v>
      </c>
      <c r="E4040" s="9" t="n">
        <v>61558.33</v>
      </c>
      <c r="F4040" s="8" t="n">
        <v>46173</v>
      </c>
      <c r="G4040" s="9" t="n">
        <v>61558.33</v>
      </c>
      <c r="H4040" t="inlineStr">
        <is>
          <t>PAID_LATE</t>
        </is>
      </c>
      <c r="I4040">
        <f>IF(H4040="UNPAID", AsOfDate-D4040, 0)</f>
        <v/>
      </c>
      <c r="J4040">
        <f>IF(F4040&lt;&gt;"", TEXT(F4040, "yyyy-mm"), "")</f>
        <v/>
      </c>
    </row>
    <row r="4041">
      <c r="A4041" t="inlineStr">
        <is>
          <t>RP0004040</t>
        </is>
      </c>
      <c r="B4041" t="inlineStr">
        <is>
          <t>LN200573</t>
        </is>
      </c>
      <c r="C4041" t="n">
        <v>2</v>
      </c>
      <c r="D4041" s="8" t="n">
        <v>46180</v>
      </c>
      <c r="E4041" s="9" t="n">
        <v>61558.33</v>
      </c>
      <c r="F4041" s="8" t="n">
        <v>46182</v>
      </c>
      <c r="G4041" s="9" t="n">
        <v>61558.33</v>
      </c>
      <c r="H4041" t="inlineStr">
        <is>
          <t>PAID_ON_TIME</t>
        </is>
      </c>
      <c r="I4041">
        <f>IF(H4041="UNPAID", AsOfDate-D4041, 0)</f>
        <v/>
      </c>
      <c r="J4041">
        <f>IF(F4041&lt;&gt;"", TEXT(F4041, "yyyy-mm"), "")</f>
        <v/>
      </c>
    </row>
    <row r="4042">
      <c r="A4042" t="inlineStr">
        <is>
          <t>RP0004041</t>
        </is>
      </c>
      <c r="B4042" t="inlineStr">
        <is>
          <t>LN200573</t>
        </is>
      </c>
      <c r="C4042" t="n">
        <v>3</v>
      </c>
      <c r="D4042" s="8" t="n">
        <v>46210</v>
      </c>
      <c r="E4042" s="9" t="n">
        <v>61558.33</v>
      </c>
      <c r="F4042" s="8" t="n">
        <v>46210</v>
      </c>
      <c r="G4042" s="9" t="n">
        <v>61558.33</v>
      </c>
      <c r="H4042" t="inlineStr">
        <is>
          <t>PAID_ON_TIME</t>
        </is>
      </c>
      <c r="I4042">
        <f>IF(H4042="UNPAID", AsOfDate-D4042, 0)</f>
        <v/>
      </c>
      <c r="J4042">
        <f>IF(F4042&lt;&gt;"", TEXT(F4042, "yyyy-mm"), "")</f>
        <v/>
      </c>
    </row>
    <row r="4043">
      <c r="A4043" t="inlineStr">
        <is>
          <t>RP0004042</t>
        </is>
      </c>
      <c r="B4043" t="inlineStr">
        <is>
          <t>LN200574</t>
        </is>
      </c>
      <c r="C4043" t="n">
        <v>1</v>
      </c>
      <c r="D4043" s="8" t="n">
        <v>46105</v>
      </c>
      <c r="E4043" s="9" t="n">
        <v>39882.5</v>
      </c>
      <c r="F4043" s="8" t="n">
        <v>46104</v>
      </c>
      <c r="G4043" s="9" t="n">
        <v>39882.5</v>
      </c>
      <c r="H4043" t="inlineStr">
        <is>
          <t>PAID_ON_TIME</t>
        </is>
      </c>
      <c r="I4043">
        <f>IF(H4043="UNPAID", AsOfDate-D4043, 0)</f>
        <v/>
      </c>
      <c r="J4043">
        <f>IF(F4043&lt;&gt;"", TEXT(F4043, "yyyy-mm"), "")</f>
        <v/>
      </c>
    </row>
    <row r="4044">
      <c r="A4044" t="inlineStr">
        <is>
          <t>RP0004043</t>
        </is>
      </c>
      <c r="B4044" t="inlineStr">
        <is>
          <t>LN200574</t>
        </is>
      </c>
      <c r="C4044" t="n">
        <v>2</v>
      </c>
      <c r="D4044" s="8" t="n">
        <v>46136</v>
      </c>
      <c r="E4044" s="9" t="n">
        <v>39882.5</v>
      </c>
      <c r="F4044" s="8" t="n">
        <v>46137</v>
      </c>
      <c r="G4044" s="9" t="n">
        <v>39882.5</v>
      </c>
      <c r="H4044" t="inlineStr">
        <is>
          <t>PAID_ON_TIME</t>
        </is>
      </c>
      <c r="I4044">
        <f>IF(H4044="UNPAID", AsOfDate-D4044, 0)</f>
        <v/>
      </c>
      <c r="J4044">
        <f>IF(F4044&lt;&gt;"", TEXT(F4044, "yyyy-mm"), "")</f>
        <v/>
      </c>
    </row>
    <row r="4045">
      <c r="A4045" t="inlineStr">
        <is>
          <t>RP0004044</t>
        </is>
      </c>
      <c r="B4045" t="inlineStr">
        <is>
          <t>LN200574</t>
        </is>
      </c>
      <c r="C4045" t="n">
        <v>3</v>
      </c>
      <c r="D4045" s="8" t="n">
        <v>46166</v>
      </c>
      <c r="E4045" s="9" t="n">
        <v>39882.5</v>
      </c>
      <c r="F4045" s="8" t="n">
        <v>46165</v>
      </c>
      <c r="G4045" s="9" t="n">
        <v>39882.5</v>
      </c>
      <c r="H4045" t="inlineStr">
        <is>
          <t>PAID_ON_TIME</t>
        </is>
      </c>
      <c r="I4045">
        <f>IF(H4045="UNPAID", AsOfDate-D4045, 0)</f>
        <v/>
      </c>
      <c r="J4045">
        <f>IF(F4045&lt;&gt;"", TEXT(F4045, "yyyy-mm"), "")</f>
        <v/>
      </c>
    </row>
    <row r="4046">
      <c r="A4046" t="inlineStr">
        <is>
          <t>RP0004045</t>
        </is>
      </c>
      <c r="B4046" t="inlineStr">
        <is>
          <t>LN200574</t>
        </is>
      </c>
      <c r="C4046" t="n">
        <v>4</v>
      </c>
      <c r="D4046" s="8" t="n">
        <v>46197</v>
      </c>
      <c r="E4046" s="9" t="n">
        <v>39882.5</v>
      </c>
      <c r="F4046" s="8" t="n">
        <v>46197</v>
      </c>
      <c r="G4046" s="9" t="n">
        <v>39882.5</v>
      </c>
      <c r="H4046" t="inlineStr">
        <is>
          <t>PAID_ON_TIME</t>
        </is>
      </c>
      <c r="I4046">
        <f>IF(H4046="UNPAID", AsOfDate-D4046, 0)</f>
        <v/>
      </c>
      <c r="J4046">
        <f>IF(F4046&lt;&gt;"", TEXT(F4046, "yyyy-mm"), "")</f>
        <v/>
      </c>
    </row>
    <row r="4047">
      <c r="A4047" t="inlineStr">
        <is>
          <t>RP0004046</t>
        </is>
      </c>
      <c r="B4047" t="inlineStr">
        <is>
          <t>LN200574</t>
        </is>
      </c>
      <c r="C4047" t="n">
        <v>5</v>
      </c>
      <c r="D4047" s="8" t="n">
        <v>46227</v>
      </c>
      <c r="E4047" s="9" t="n">
        <v>39882.5</v>
      </c>
      <c r="F4047" s="8" t="n">
        <v>46229</v>
      </c>
      <c r="G4047" s="9" t="n">
        <v>39882.5</v>
      </c>
      <c r="H4047" t="inlineStr">
        <is>
          <t>PAID_ON_TIME</t>
        </is>
      </c>
      <c r="I4047">
        <f>IF(H4047="UNPAID", AsOfDate-D4047, 0)</f>
        <v/>
      </c>
      <c r="J4047">
        <f>IF(F4047&lt;&gt;"", TEXT(F4047, "yyyy-mm"), "")</f>
        <v/>
      </c>
    </row>
    <row r="4048">
      <c r="A4048" t="inlineStr">
        <is>
          <t>RP0004047</t>
        </is>
      </c>
      <c r="B4048" t="inlineStr">
        <is>
          <t>LN200574</t>
        </is>
      </c>
      <c r="C4048" t="n">
        <v>6</v>
      </c>
      <c r="D4048" s="8" t="n">
        <v>46258</v>
      </c>
      <c r="E4048" s="9" t="n">
        <v>39882.5</v>
      </c>
      <c r="F4048" s="8" t="n"/>
      <c r="G4048" s="9" t="n">
        <v>0</v>
      </c>
      <c r="H4048" t="inlineStr">
        <is>
          <t>UNPAID</t>
        </is>
      </c>
      <c r="I4048">
        <f>IF(H4048="UNPAID", AsOfDate-D4048, 0)</f>
        <v/>
      </c>
      <c r="J4048">
        <f>IF(F4048&lt;&gt;"", TEXT(F4048, "yyyy-mm"), "")</f>
        <v/>
      </c>
    </row>
    <row r="4049">
      <c r="A4049" t="inlineStr">
        <is>
          <t>RP0004048</t>
        </is>
      </c>
      <c r="B4049" t="inlineStr">
        <is>
          <t>LN200575</t>
        </is>
      </c>
      <c r="C4049" t="n">
        <v>1</v>
      </c>
      <c r="D4049" s="8" t="n">
        <v>46183</v>
      </c>
      <c r="E4049" s="9" t="n">
        <v>13346.67</v>
      </c>
      <c r="F4049" s="8" t="n">
        <v>46182</v>
      </c>
      <c r="G4049" s="9" t="n">
        <v>13346.67</v>
      </c>
      <c r="H4049" t="inlineStr">
        <is>
          <t>PAID_ON_TIME</t>
        </is>
      </c>
      <c r="I4049">
        <f>IF(H4049="UNPAID", AsOfDate-D4049, 0)</f>
        <v/>
      </c>
      <c r="J4049">
        <f>IF(F4049&lt;&gt;"", TEXT(F4049, "yyyy-mm"), "")</f>
        <v/>
      </c>
    </row>
    <row r="4050">
      <c r="A4050" t="inlineStr">
        <is>
          <t>RP0004049</t>
        </is>
      </c>
      <c r="B4050" t="inlineStr">
        <is>
          <t>LN200575</t>
        </is>
      </c>
      <c r="C4050" t="n">
        <v>2</v>
      </c>
      <c r="D4050" s="8" t="n">
        <v>46213</v>
      </c>
      <c r="E4050" s="9" t="n">
        <v>13346.67</v>
      </c>
      <c r="F4050" s="8" t="n">
        <v>46230</v>
      </c>
      <c r="G4050" s="9" t="n">
        <v>13346.67</v>
      </c>
      <c r="H4050" t="inlineStr">
        <is>
          <t>PAID_LATE</t>
        </is>
      </c>
      <c r="I4050">
        <f>IF(H4050="UNPAID", AsOfDate-D4050, 0)</f>
        <v/>
      </c>
      <c r="J4050">
        <f>IF(F4050&lt;&gt;"", TEXT(F4050, "yyyy-mm"), "")</f>
        <v/>
      </c>
    </row>
    <row r="4051">
      <c r="A4051" t="inlineStr">
        <is>
          <t>RP0004050</t>
        </is>
      </c>
      <c r="B4051" t="inlineStr">
        <is>
          <t>LN200575</t>
        </is>
      </c>
      <c r="C4051" t="n">
        <v>3</v>
      </c>
      <c r="D4051" s="8" t="n">
        <v>46244</v>
      </c>
      <c r="E4051" s="9" t="n">
        <v>13346.67</v>
      </c>
      <c r="F4051" s="8" t="n">
        <v>46244</v>
      </c>
      <c r="G4051" s="9" t="n">
        <v>13346.67</v>
      </c>
      <c r="H4051" t="inlineStr">
        <is>
          <t>PAID_ON_TIME</t>
        </is>
      </c>
      <c r="I4051">
        <f>IF(H4051="UNPAID", AsOfDate-D4051, 0)</f>
        <v/>
      </c>
      <c r="J4051">
        <f>IF(F4051&lt;&gt;"", TEXT(F4051, "yyyy-mm"), "")</f>
        <v/>
      </c>
    </row>
    <row r="4052">
      <c r="A4052" t="inlineStr">
        <is>
          <t>RP0004051</t>
        </is>
      </c>
      <c r="B4052" t="inlineStr">
        <is>
          <t>LN200575</t>
        </is>
      </c>
      <c r="C4052" t="n">
        <v>4</v>
      </c>
      <c r="D4052" s="8" t="n">
        <v>46275</v>
      </c>
      <c r="E4052" s="9" t="n">
        <v>13346.67</v>
      </c>
      <c r="F4052" s="8" t="n"/>
      <c r="G4052" s="9" t="n">
        <v>0</v>
      </c>
      <c r="H4052" t="inlineStr">
        <is>
          <t>NOT_DUE</t>
        </is>
      </c>
      <c r="I4052">
        <f>IF(H4052="UNPAID", AsOfDate-D4052, 0)</f>
        <v/>
      </c>
      <c r="J4052">
        <f>IF(F4052&lt;&gt;"", TEXT(F4052, "yyyy-mm"), "")</f>
        <v/>
      </c>
    </row>
    <row r="4053">
      <c r="A4053" t="inlineStr">
        <is>
          <t>RP0004052</t>
        </is>
      </c>
      <c r="B4053" t="inlineStr">
        <is>
          <t>LN200575</t>
        </is>
      </c>
      <c r="C4053" t="n">
        <v>5</v>
      </c>
      <c r="D4053" s="8" t="n">
        <v>46305</v>
      </c>
      <c r="E4053" s="9" t="n">
        <v>13346.67</v>
      </c>
      <c r="F4053" s="8" t="n"/>
      <c r="G4053" s="9" t="n">
        <v>0</v>
      </c>
      <c r="H4053" t="inlineStr">
        <is>
          <t>NOT_DUE</t>
        </is>
      </c>
      <c r="I4053">
        <f>IF(H4053="UNPAID", AsOfDate-D4053, 0)</f>
        <v/>
      </c>
      <c r="J4053">
        <f>IF(F4053&lt;&gt;"", TEXT(F4053, "yyyy-mm"), "")</f>
        <v/>
      </c>
    </row>
    <row r="4054">
      <c r="A4054" t="inlineStr">
        <is>
          <t>RP0004053</t>
        </is>
      </c>
      <c r="B4054" t="inlineStr">
        <is>
          <t>LN200575</t>
        </is>
      </c>
      <c r="C4054" t="n">
        <v>6</v>
      </c>
      <c r="D4054" s="8" t="n">
        <v>46336</v>
      </c>
      <c r="E4054" s="9" t="n">
        <v>13346.67</v>
      </c>
      <c r="F4054" s="8" t="n"/>
      <c r="G4054" s="9" t="n">
        <v>0</v>
      </c>
      <c r="H4054" t="inlineStr">
        <is>
          <t>NOT_DUE</t>
        </is>
      </c>
      <c r="I4054">
        <f>IF(H4054="UNPAID", AsOfDate-D4054, 0)</f>
        <v/>
      </c>
      <c r="J4054">
        <f>IF(F4054&lt;&gt;"", TEXT(F4054, "yyyy-mm"), "")</f>
        <v/>
      </c>
    </row>
    <row r="4055">
      <c r="A4055" t="inlineStr">
        <is>
          <t>RP0004054</t>
        </is>
      </c>
      <c r="B4055" t="inlineStr">
        <is>
          <t>LN200575</t>
        </is>
      </c>
      <c r="C4055" t="n">
        <v>7</v>
      </c>
      <c r="D4055" s="8" t="n">
        <v>46366</v>
      </c>
      <c r="E4055" s="9" t="n">
        <v>13346.67</v>
      </c>
      <c r="F4055" s="8" t="n"/>
      <c r="G4055" s="9" t="n">
        <v>0</v>
      </c>
      <c r="H4055" t="inlineStr">
        <is>
          <t>NOT_DUE</t>
        </is>
      </c>
      <c r="I4055">
        <f>IF(H4055="UNPAID", AsOfDate-D4055, 0)</f>
        <v/>
      </c>
      <c r="J4055">
        <f>IF(F4055&lt;&gt;"", TEXT(F4055, "yyyy-mm"), "")</f>
        <v/>
      </c>
    </row>
    <row r="4056">
      <c r="A4056" t="inlineStr">
        <is>
          <t>RP0004055</t>
        </is>
      </c>
      <c r="B4056" t="inlineStr">
        <is>
          <t>LN200575</t>
        </is>
      </c>
      <c r="C4056" t="n">
        <v>8</v>
      </c>
      <c r="D4056" s="8" t="n">
        <v>46397</v>
      </c>
      <c r="E4056" s="9" t="n">
        <v>13346.67</v>
      </c>
      <c r="F4056" s="8" t="n"/>
      <c r="G4056" s="9" t="n">
        <v>0</v>
      </c>
      <c r="H4056" t="inlineStr">
        <is>
          <t>NOT_DUE</t>
        </is>
      </c>
      <c r="I4056">
        <f>IF(H4056="UNPAID", AsOfDate-D4056, 0)</f>
        <v/>
      </c>
      <c r="J4056">
        <f>IF(F4056&lt;&gt;"", TEXT(F4056, "yyyy-mm"), "")</f>
        <v/>
      </c>
    </row>
    <row r="4057">
      <c r="A4057" t="inlineStr">
        <is>
          <t>RP0004056</t>
        </is>
      </c>
      <c r="B4057" t="inlineStr">
        <is>
          <t>LN200575</t>
        </is>
      </c>
      <c r="C4057" t="n">
        <v>9</v>
      </c>
      <c r="D4057" s="8" t="n">
        <v>46428</v>
      </c>
      <c r="E4057" s="9" t="n">
        <v>13346.67</v>
      </c>
      <c r="F4057" s="8" t="n"/>
      <c r="G4057" s="9" t="n">
        <v>0</v>
      </c>
      <c r="H4057" t="inlineStr">
        <is>
          <t>NOT_DUE</t>
        </is>
      </c>
      <c r="I4057">
        <f>IF(H4057="UNPAID", AsOfDate-D4057, 0)</f>
        <v/>
      </c>
      <c r="J4057">
        <f>IF(F4057&lt;&gt;"", TEXT(F4057, "yyyy-mm"), "")</f>
        <v/>
      </c>
    </row>
    <row r="4058">
      <c r="A4058" t="inlineStr">
        <is>
          <t>RP0004057</t>
        </is>
      </c>
      <c r="B4058" t="inlineStr">
        <is>
          <t>LN200577</t>
        </is>
      </c>
      <c r="C4058" t="n">
        <v>1</v>
      </c>
      <c r="D4058" s="8" t="n">
        <v>46238</v>
      </c>
      <c r="E4058" s="9" t="n">
        <v>82673.5</v>
      </c>
      <c r="F4058" s="8" t="n">
        <v>46238</v>
      </c>
      <c r="G4058" s="9" t="n">
        <v>82673.5</v>
      </c>
      <c r="H4058" t="inlineStr">
        <is>
          <t>PAID_ON_TIME</t>
        </is>
      </c>
      <c r="I4058">
        <f>IF(H4058="UNPAID", AsOfDate-D4058, 0)</f>
        <v/>
      </c>
      <c r="J4058">
        <f>IF(F4058&lt;&gt;"", TEXT(F4058, "yyyy-mm"), "")</f>
        <v/>
      </c>
    </row>
    <row r="4059">
      <c r="A4059" t="inlineStr">
        <is>
          <t>RP0004058</t>
        </is>
      </c>
      <c r="B4059" t="inlineStr">
        <is>
          <t>LN200577</t>
        </is>
      </c>
      <c r="C4059" t="n">
        <v>2</v>
      </c>
      <c r="D4059" s="8" t="n">
        <v>46269</v>
      </c>
      <c r="E4059" s="9" t="n">
        <v>82673.5</v>
      </c>
      <c r="F4059" s="8" t="n"/>
      <c r="G4059" s="9" t="n">
        <v>0</v>
      </c>
      <c r="H4059" t="inlineStr">
        <is>
          <t>NOT_DUE</t>
        </is>
      </c>
      <c r="I4059">
        <f>IF(H4059="UNPAID", AsOfDate-D4059, 0)</f>
        <v/>
      </c>
      <c r="J4059">
        <f>IF(F4059&lt;&gt;"", TEXT(F4059, "yyyy-mm"), "")</f>
        <v/>
      </c>
    </row>
    <row r="4060">
      <c r="A4060" t="inlineStr">
        <is>
          <t>RP0004059</t>
        </is>
      </c>
      <c r="B4060" t="inlineStr">
        <is>
          <t>LN200577</t>
        </is>
      </c>
      <c r="C4060" t="n">
        <v>3</v>
      </c>
      <c r="D4060" s="8" t="n">
        <v>46299</v>
      </c>
      <c r="E4060" s="9" t="n">
        <v>82673.5</v>
      </c>
      <c r="F4060" s="8" t="n"/>
      <c r="G4060" s="9" t="n">
        <v>0</v>
      </c>
      <c r="H4060" t="inlineStr">
        <is>
          <t>NOT_DUE</t>
        </is>
      </c>
      <c r="I4060">
        <f>IF(H4060="UNPAID", AsOfDate-D4060, 0)</f>
        <v/>
      </c>
      <c r="J4060">
        <f>IF(F4060&lt;&gt;"", TEXT(F4060, "yyyy-mm"), "")</f>
        <v/>
      </c>
    </row>
    <row r="4061">
      <c r="A4061" t="inlineStr">
        <is>
          <t>RP0004060</t>
        </is>
      </c>
      <c r="B4061" t="inlineStr">
        <is>
          <t>LN200578</t>
        </is>
      </c>
      <c r="C4061" t="n">
        <v>1</v>
      </c>
      <c r="D4061" s="8" t="n">
        <v>45839</v>
      </c>
      <c r="E4061" s="9" t="n">
        <v>16957.5</v>
      </c>
      <c r="F4061" s="8" t="n">
        <v>45840</v>
      </c>
      <c r="G4061" s="9" t="n">
        <v>16957.5</v>
      </c>
      <c r="H4061" t="inlineStr">
        <is>
          <t>PAID_ON_TIME</t>
        </is>
      </c>
      <c r="I4061">
        <f>IF(H4061="UNPAID", AsOfDate-D4061, 0)</f>
        <v/>
      </c>
      <c r="J4061">
        <f>IF(F4061&lt;&gt;"", TEXT(F4061, "yyyy-mm"), "")</f>
        <v/>
      </c>
    </row>
    <row r="4062">
      <c r="A4062" t="inlineStr">
        <is>
          <t>RP0004061</t>
        </is>
      </c>
      <c r="B4062" t="inlineStr">
        <is>
          <t>LN200578</t>
        </is>
      </c>
      <c r="C4062" t="n">
        <v>2</v>
      </c>
      <c r="D4062" s="8" t="n">
        <v>45870</v>
      </c>
      <c r="E4062" s="9" t="n">
        <v>16957.5</v>
      </c>
      <c r="F4062" s="8" t="n">
        <v>45871</v>
      </c>
      <c r="G4062" s="9" t="n">
        <v>16957.5</v>
      </c>
      <c r="H4062" t="inlineStr">
        <is>
          <t>PAID_ON_TIME</t>
        </is>
      </c>
      <c r="I4062">
        <f>IF(H4062="UNPAID", AsOfDate-D4062, 0)</f>
        <v/>
      </c>
      <c r="J4062">
        <f>IF(F4062&lt;&gt;"", TEXT(F4062, "yyyy-mm"), "")</f>
        <v/>
      </c>
    </row>
    <row r="4063">
      <c r="A4063" t="inlineStr">
        <is>
          <t>RP0004062</t>
        </is>
      </c>
      <c r="B4063" t="inlineStr">
        <is>
          <t>LN200578</t>
        </is>
      </c>
      <c r="C4063" t="n">
        <v>3</v>
      </c>
      <c r="D4063" s="8" t="n">
        <v>45901</v>
      </c>
      <c r="E4063" s="9" t="n">
        <v>16957.5</v>
      </c>
      <c r="F4063" s="8" t="n">
        <v>45905</v>
      </c>
      <c r="G4063" s="9" t="n">
        <v>16957.5</v>
      </c>
      <c r="H4063" t="inlineStr">
        <is>
          <t>PAID_LATE</t>
        </is>
      </c>
      <c r="I4063">
        <f>IF(H4063="UNPAID", AsOfDate-D4063, 0)</f>
        <v/>
      </c>
      <c r="J4063">
        <f>IF(F4063&lt;&gt;"", TEXT(F4063, "yyyy-mm"), "")</f>
        <v/>
      </c>
    </row>
    <row r="4064">
      <c r="A4064" t="inlineStr">
        <is>
          <t>RP0004063</t>
        </is>
      </c>
      <c r="B4064" t="inlineStr">
        <is>
          <t>LN200578</t>
        </is>
      </c>
      <c r="C4064" t="n">
        <v>4</v>
      </c>
      <c r="D4064" s="8" t="n">
        <v>45931</v>
      </c>
      <c r="E4064" s="9" t="n">
        <v>16957.5</v>
      </c>
      <c r="F4064" s="8" t="n">
        <v>45928</v>
      </c>
      <c r="G4064" s="9" t="n">
        <v>16957.5</v>
      </c>
      <c r="H4064" t="inlineStr">
        <is>
          <t>PAID_ON_TIME</t>
        </is>
      </c>
      <c r="I4064">
        <f>IF(H4064="UNPAID", AsOfDate-D4064, 0)</f>
        <v/>
      </c>
      <c r="J4064">
        <f>IF(F4064&lt;&gt;"", TEXT(F4064, "yyyy-mm"), "")</f>
        <v/>
      </c>
    </row>
    <row r="4065">
      <c r="A4065" t="inlineStr">
        <is>
          <t>RP0004064</t>
        </is>
      </c>
      <c r="B4065" t="inlineStr">
        <is>
          <t>LN200578</t>
        </is>
      </c>
      <c r="C4065" t="n">
        <v>5</v>
      </c>
      <c r="D4065" s="8" t="n">
        <v>45962</v>
      </c>
      <c r="E4065" s="9" t="n">
        <v>16957.5</v>
      </c>
      <c r="F4065" s="8" t="n"/>
      <c r="G4065" s="9" t="n">
        <v>0</v>
      </c>
      <c r="H4065" t="inlineStr">
        <is>
          <t>UNPAID</t>
        </is>
      </c>
      <c r="I4065">
        <f>IF(H4065="UNPAID", AsOfDate-D4065, 0)</f>
        <v/>
      </c>
      <c r="J4065">
        <f>IF(F4065&lt;&gt;"", TEXT(F4065, "yyyy-mm"), "")</f>
        <v/>
      </c>
    </row>
    <row r="4066">
      <c r="A4066" t="inlineStr">
        <is>
          <t>RP0004065</t>
        </is>
      </c>
      <c r="B4066" t="inlineStr">
        <is>
          <t>LN200578</t>
        </is>
      </c>
      <c r="C4066" t="n">
        <v>6</v>
      </c>
      <c r="D4066" s="8" t="n">
        <v>45992</v>
      </c>
      <c r="E4066" s="9" t="n">
        <v>16957.5</v>
      </c>
      <c r="F4066" s="8" t="n">
        <v>45996</v>
      </c>
      <c r="G4066" s="9" t="n">
        <v>16957.5</v>
      </c>
      <c r="H4066" t="inlineStr">
        <is>
          <t>PAID_ON_TIME</t>
        </is>
      </c>
      <c r="I4066">
        <f>IF(H4066="UNPAID", AsOfDate-D4066, 0)</f>
        <v/>
      </c>
      <c r="J4066">
        <f>IF(F4066&lt;&gt;"", TEXT(F4066, "yyyy-mm"), "")</f>
        <v/>
      </c>
    </row>
    <row r="4067">
      <c r="A4067" t="inlineStr">
        <is>
          <t>RP0004066</t>
        </is>
      </c>
      <c r="B4067" t="inlineStr">
        <is>
          <t>LN200578</t>
        </is>
      </c>
      <c r="C4067" t="n">
        <v>7</v>
      </c>
      <c r="D4067" s="8" t="n">
        <v>46023</v>
      </c>
      <c r="E4067" s="9" t="n">
        <v>16957.5</v>
      </c>
      <c r="F4067" s="8" t="n">
        <v>46137</v>
      </c>
      <c r="G4067" s="9" t="n">
        <v>16957.5</v>
      </c>
      <c r="H4067" t="inlineStr">
        <is>
          <t>PAID_LATE</t>
        </is>
      </c>
      <c r="I4067">
        <f>IF(H4067="UNPAID", AsOfDate-D4067, 0)</f>
        <v/>
      </c>
      <c r="J4067">
        <f>IF(F4067&lt;&gt;"", TEXT(F4067, "yyyy-mm"), "")</f>
        <v/>
      </c>
    </row>
    <row r="4068">
      <c r="A4068" t="inlineStr">
        <is>
          <t>RP0004067</t>
        </is>
      </c>
      <c r="B4068" t="inlineStr">
        <is>
          <t>LN200578</t>
        </is>
      </c>
      <c r="C4068" t="n">
        <v>8</v>
      </c>
      <c r="D4068" s="8" t="n">
        <v>46054</v>
      </c>
      <c r="E4068" s="9" t="n">
        <v>16957.5</v>
      </c>
      <c r="F4068" s="8" t="n">
        <v>46055</v>
      </c>
      <c r="G4068" s="9" t="n">
        <v>16957.5</v>
      </c>
      <c r="H4068" t="inlineStr">
        <is>
          <t>PAID_ON_TIME</t>
        </is>
      </c>
      <c r="I4068">
        <f>IF(H4068="UNPAID", AsOfDate-D4068, 0)</f>
        <v/>
      </c>
      <c r="J4068">
        <f>IF(F4068&lt;&gt;"", TEXT(F4068, "yyyy-mm"), "")</f>
        <v/>
      </c>
    </row>
    <row r="4069">
      <c r="A4069" t="inlineStr">
        <is>
          <t>RP0004068</t>
        </is>
      </c>
      <c r="B4069" t="inlineStr">
        <is>
          <t>LN200578</t>
        </is>
      </c>
      <c r="C4069" t="n">
        <v>9</v>
      </c>
      <c r="D4069" s="8" t="n">
        <v>46082</v>
      </c>
      <c r="E4069" s="9" t="n">
        <v>16957.5</v>
      </c>
      <c r="F4069" s="8" t="n">
        <v>46080</v>
      </c>
      <c r="G4069" s="9" t="n">
        <v>16957.5</v>
      </c>
      <c r="H4069" t="inlineStr">
        <is>
          <t>PAID_ON_TIME</t>
        </is>
      </c>
      <c r="I4069">
        <f>IF(H4069="UNPAID", AsOfDate-D4069, 0)</f>
        <v/>
      </c>
      <c r="J4069">
        <f>IF(F4069&lt;&gt;"", TEXT(F4069, "yyyy-mm"), "")</f>
        <v/>
      </c>
    </row>
    <row r="4070">
      <c r="A4070" t="inlineStr">
        <is>
          <t>RP0004069</t>
        </is>
      </c>
      <c r="B4070" t="inlineStr">
        <is>
          <t>LN200578</t>
        </is>
      </c>
      <c r="C4070" t="n">
        <v>10</v>
      </c>
      <c r="D4070" s="8" t="n">
        <v>46113</v>
      </c>
      <c r="E4070" s="9" t="n">
        <v>16957.5</v>
      </c>
      <c r="F4070" s="8" t="n">
        <v>46114</v>
      </c>
      <c r="G4070" s="9" t="n">
        <v>16957.5</v>
      </c>
      <c r="H4070" t="inlineStr">
        <is>
          <t>PAID_ON_TIME</t>
        </is>
      </c>
      <c r="I4070">
        <f>IF(H4070="UNPAID", AsOfDate-D4070, 0)</f>
        <v/>
      </c>
      <c r="J4070">
        <f>IF(F4070&lt;&gt;"", TEXT(F4070, "yyyy-mm"), "")</f>
        <v/>
      </c>
    </row>
    <row r="4071">
      <c r="A4071" t="inlineStr">
        <is>
          <t>RP0004070</t>
        </is>
      </c>
      <c r="B4071" t="inlineStr">
        <is>
          <t>LN200578</t>
        </is>
      </c>
      <c r="C4071" t="n">
        <v>11</v>
      </c>
      <c r="D4071" s="8" t="n">
        <v>46143</v>
      </c>
      <c r="E4071" s="9" t="n">
        <v>16957.5</v>
      </c>
      <c r="F4071" s="8" t="n">
        <v>46144</v>
      </c>
      <c r="G4071" s="9" t="n">
        <v>16957.5</v>
      </c>
      <c r="H4071" t="inlineStr">
        <is>
          <t>PAID_ON_TIME</t>
        </is>
      </c>
      <c r="I4071">
        <f>IF(H4071="UNPAID", AsOfDate-D4071, 0)</f>
        <v/>
      </c>
      <c r="J4071">
        <f>IF(F4071&lt;&gt;"", TEXT(F4071, "yyyy-mm"), "")</f>
        <v/>
      </c>
    </row>
    <row r="4072">
      <c r="A4072" t="inlineStr">
        <is>
          <t>RP0004071</t>
        </is>
      </c>
      <c r="B4072" t="inlineStr">
        <is>
          <t>LN200578</t>
        </is>
      </c>
      <c r="C4072" t="n">
        <v>12</v>
      </c>
      <c r="D4072" s="8" t="n">
        <v>46174</v>
      </c>
      <c r="E4072" s="9" t="n">
        <v>16957.5</v>
      </c>
      <c r="F4072" s="8" t="n">
        <v>46178</v>
      </c>
      <c r="G4072" s="9" t="n">
        <v>16957.5</v>
      </c>
      <c r="H4072" t="inlineStr">
        <is>
          <t>PAID_ON_TIME</t>
        </is>
      </c>
      <c r="I4072">
        <f>IF(H4072="UNPAID", AsOfDate-D4072, 0)</f>
        <v/>
      </c>
      <c r="J4072">
        <f>IF(F4072&lt;&gt;"", TEXT(F4072, "yyyy-mm"), "")</f>
        <v/>
      </c>
    </row>
    <row r="4073">
      <c r="A4073" t="inlineStr">
        <is>
          <t>RP0004072</t>
        </is>
      </c>
      <c r="B4073" t="inlineStr">
        <is>
          <t>LN200579</t>
        </is>
      </c>
      <c r="C4073" t="n">
        <v>1</v>
      </c>
      <c r="D4073" s="8" t="n">
        <v>46253</v>
      </c>
      <c r="E4073" s="9" t="n">
        <v>14556</v>
      </c>
      <c r="F4073" s="8" t="n">
        <v>46250</v>
      </c>
      <c r="G4073" s="9" t="n">
        <v>14556</v>
      </c>
      <c r="H4073" t="inlineStr">
        <is>
          <t>PAID_ON_TIME</t>
        </is>
      </c>
      <c r="I4073">
        <f>IF(H4073="UNPAID", AsOfDate-D4073, 0)</f>
        <v/>
      </c>
      <c r="J4073">
        <f>IF(F4073&lt;&gt;"", TEXT(F4073, "yyyy-mm"), "")</f>
        <v/>
      </c>
    </row>
    <row r="4074">
      <c r="A4074" t="inlineStr">
        <is>
          <t>RP0004073</t>
        </is>
      </c>
      <c r="B4074" t="inlineStr">
        <is>
          <t>LN200579</t>
        </is>
      </c>
      <c r="C4074" t="n">
        <v>2</v>
      </c>
      <c r="D4074" s="8" t="n">
        <v>46284</v>
      </c>
      <c r="E4074" s="9" t="n">
        <v>14556</v>
      </c>
      <c r="F4074" s="8" t="n"/>
      <c r="G4074" s="9" t="n">
        <v>0</v>
      </c>
      <c r="H4074" t="inlineStr">
        <is>
          <t>NOT_DUE</t>
        </is>
      </c>
      <c r="I4074">
        <f>IF(H4074="UNPAID", AsOfDate-D4074, 0)</f>
        <v/>
      </c>
      <c r="J4074">
        <f>IF(F4074&lt;&gt;"", TEXT(F4074, "yyyy-mm"), "")</f>
        <v/>
      </c>
    </row>
    <row r="4075">
      <c r="A4075" t="inlineStr">
        <is>
          <t>RP0004074</t>
        </is>
      </c>
      <c r="B4075" t="inlineStr">
        <is>
          <t>LN200579</t>
        </is>
      </c>
      <c r="C4075" t="n">
        <v>3</v>
      </c>
      <c r="D4075" s="8" t="n">
        <v>46314</v>
      </c>
      <c r="E4075" s="9" t="n">
        <v>14556</v>
      </c>
      <c r="F4075" s="8" t="n"/>
      <c r="G4075" s="9" t="n">
        <v>0</v>
      </c>
      <c r="H4075" t="inlineStr">
        <is>
          <t>NOT_DUE</t>
        </is>
      </c>
      <c r="I4075">
        <f>IF(H4075="UNPAID", AsOfDate-D4075, 0)</f>
        <v/>
      </c>
      <c r="J4075">
        <f>IF(F4075&lt;&gt;"", TEXT(F4075, "yyyy-mm"), "")</f>
        <v/>
      </c>
    </row>
    <row r="4076">
      <c r="A4076" t="inlineStr">
        <is>
          <t>RP0004075</t>
        </is>
      </c>
      <c r="B4076" t="inlineStr">
        <is>
          <t>LN200579</t>
        </is>
      </c>
      <c r="C4076" t="n">
        <v>4</v>
      </c>
      <c r="D4076" s="8" t="n">
        <v>46345</v>
      </c>
      <c r="E4076" s="9" t="n">
        <v>14556</v>
      </c>
      <c r="F4076" s="8" t="n"/>
      <c r="G4076" s="9" t="n">
        <v>0</v>
      </c>
      <c r="H4076" t="inlineStr">
        <is>
          <t>NOT_DUE</t>
        </is>
      </c>
      <c r="I4076">
        <f>IF(H4076="UNPAID", AsOfDate-D4076, 0)</f>
        <v/>
      </c>
      <c r="J4076">
        <f>IF(F4076&lt;&gt;"", TEXT(F4076, "yyyy-mm"), "")</f>
        <v/>
      </c>
    </row>
    <row r="4077">
      <c r="A4077" t="inlineStr">
        <is>
          <t>RP0004076</t>
        </is>
      </c>
      <c r="B4077" t="inlineStr">
        <is>
          <t>LN200579</t>
        </is>
      </c>
      <c r="C4077" t="n">
        <v>5</v>
      </c>
      <c r="D4077" s="8" t="n">
        <v>46375</v>
      </c>
      <c r="E4077" s="9" t="n">
        <v>14556</v>
      </c>
      <c r="F4077" s="8" t="n"/>
      <c r="G4077" s="9" t="n">
        <v>0</v>
      </c>
      <c r="H4077" t="inlineStr">
        <is>
          <t>NOT_DUE</t>
        </is>
      </c>
      <c r="I4077">
        <f>IF(H4077="UNPAID", AsOfDate-D4077, 0)</f>
        <v/>
      </c>
      <c r="J4077">
        <f>IF(F4077&lt;&gt;"", TEXT(F4077, "yyyy-mm"), "")</f>
        <v/>
      </c>
    </row>
    <row r="4078">
      <c r="A4078" t="inlineStr">
        <is>
          <t>RP0004077</t>
        </is>
      </c>
      <c r="B4078" t="inlineStr">
        <is>
          <t>LN200579</t>
        </is>
      </c>
      <c r="C4078" t="n">
        <v>6</v>
      </c>
      <c r="D4078" s="8" t="n">
        <v>46406</v>
      </c>
      <c r="E4078" s="9" t="n">
        <v>14556</v>
      </c>
      <c r="F4078" s="8" t="n"/>
      <c r="G4078" s="9" t="n">
        <v>0</v>
      </c>
      <c r="H4078" t="inlineStr">
        <is>
          <t>NOT_DUE</t>
        </is>
      </c>
      <c r="I4078">
        <f>IF(H4078="UNPAID", AsOfDate-D4078, 0)</f>
        <v/>
      </c>
      <c r="J4078">
        <f>IF(F4078&lt;&gt;"", TEXT(F4078, "yyyy-mm"), "")</f>
        <v/>
      </c>
    </row>
    <row r="4079">
      <c r="A4079" t="inlineStr">
        <is>
          <t>RP0004078</t>
        </is>
      </c>
      <c r="B4079" t="inlineStr">
        <is>
          <t>LN200579</t>
        </is>
      </c>
      <c r="C4079" t="n">
        <v>7</v>
      </c>
      <c r="D4079" s="8" t="n">
        <v>46437</v>
      </c>
      <c r="E4079" s="9" t="n">
        <v>14556</v>
      </c>
      <c r="F4079" s="8" t="n"/>
      <c r="G4079" s="9" t="n">
        <v>0</v>
      </c>
      <c r="H4079" t="inlineStr">
        <is>
          <t>NOT_DUE</t>
        </is>
      </c>
      <c r="I4079">
        <f>IF(H4079="UNPAID", AsOfDate-D4079, 0)</f>
        <v/>
      </c>
      <c r="J4079">
        <f>IF(F4079&lt;&gt;"", TEXT(F4079, "yyyy-mm"), "")</f>
        <v/>
      </c>
    </row>
    <row r="4080">
      <c r="A4080" t="inlineStr">
        <is>
          <t>RP0004079</t>
        </is>
      </c>
      <c r="B4080" t="inlineStr">
        <is>
          <t>LN200579</t>
        </is>
      </c>
      <c r="C4080" t="n">
        <v>8</v>
      </c>
      <c r="D4080" s="8" t="n">
        <v>46465</v>
      </c>
      <c r="E4080" s="9" t="n">
        <v>14556</v>
      </c>
      <c r="F4080" s="8" t="n"/>
      <c r="G4080" s="9" t="n">
        <v>0</v>
      </c>
      <c r="H4080" t="inlineStr">
        <is>
          <t>NOT_DUE</t>
        </is>
      </c>
      <c r="I4080">
        <f>IF(H4080="UNPAID", AsOfDate-D4080, 0)</f>
        <v/>
      </c>
      <c r="J4080">
        <f>IF(F4080&lt;&gt;"", TEXT(F4080, "yyyy-mm"), "")</f>
        <v/>
      </c>
    </row>
    <row r="4081">
      <c r="A4081" t="inlineStr">
        <is>
          <t>RP0004080</t>
        </is>
      </c>
      <c r="B4081" t="inlineStr">
        <is>
          <t>LN200579</t>
        </is>
      </c>
      <c r="C4081" t="n">
        <v>9</v>
      </c>
      <c r="D4081" s="8" t="n">
        <v>46496</v>
      </c>
      <c r="E4081" s="9" t="n">
        <v>14556</v>
      </c>
      <c r="F4081" s="8" t="n"/>
      <c r="G4081" s="9" t="n">
        <v>0</v>
      </c>
      <c r="H4081" t="inlineStr">
        <is>
          <t>NOT_DUE</t>
        </is>
      </c>
      <c r="I4081">
        <f>IF(H4081="UNPAID", AsOfDate-D4081, 0)</f>
        <v/>
      </c>
      <c r="J4081">
        <f>IF(F4081&lt;&gt;"", TEXT(F4081, "yyyy-mm"), "")</f>
        <v/>
      </c>
    </row>
    <row r="4082">
      <c r="A4082" t="inlineStr">
        <is>
          <t>RP0004081</t>
        </is>
      </c>
      <c r="B4082" t="inlineStr">
        <is>
          <t>LN200579</t>
        </is>
      </c>
      <c r="C4082" t="n">
        <v>10</v>
      </c>
      <c r="D4082" s="8" t="n">
        <v>46526</v>
      </c>
      <c r="E4082" s="9" t="n">
        <v>14556</v>
      </c>
      <c r="F4082" s="8" t="n"/>
      <c r="G4082" s="9" t="n">
        <v>0</v>
      </c>
      <c r="H4082" t="inlineStr">
        <is>
          <t>NOT_DUE</t>
        </is>
      </c>
      <c r="I4082">
        <f>IF(H4082="UNPAID", AsOfDate-D4082, 0)</f>
        <v/>
      </c>
      <c r="J4082">
        <f>IF(F4082&lt;&gt;"", TEXT(F4082, "yyyy-mm"), "")</f>
        <v/>
      </c>
    </row>
    <row r="4083">
      <c r="A4083" t="inlineStr">
        <is>
          <t>RP0004082</t>
        </is>
      </c>
      <c r="B4083" t="inlineStr">
        <is>
          <t>LN200579</t>
        </is>
      </c>
      <c r="C4083" t="n">
        <v>11</v>
      </c>
      <c r="D4083" s="8" t="n">
        <v>46557</v>
      </c>
      <c r="E4083" s="9" t="n">
        <v>14556</v>
      </c>
      <c r="F4083" s="8" t="n"/>
      <c r="G4083" s="9" t="n">
        <v>0</v>
      </c>
      <c r="H4083" t="inlineStr">
        <is>
          <t>NOT_DUE</t>
        </is>
      </c>
      <c r="I4083">
        <f>IF(H4083="UNPAID", AsOfDate-D4083, 0)</f>
        <v/>
      </c>
      <c r="J4083">
        <f>IF(F4083&lt;&gt;"", TEXT(F4083, "yyyy-mm"), "")</f>
        <v/>
      </c>
    </row>
    <row r="4084">
      <c r="A4084" t="inlineStr">
        <is>
          <t>RP0004083</t>
        </is>
      </c>
      <c r="B4084" t="inlineStr">
        <is>
          <t>LN200579</t>
        </is>
      </c>
      <c r="C4084" t="n">
        <v>12</v>
      </c>
      <c r="D4084" s="8" t="n">
        <v>46587</v>
      </c>
      <c r="E4084" s="9" t="n">
        <v>14556</v>
      </c>
      <c r="F4084" s="8" t="n"/>
      <c r="G4084" s="9" t="n">
        <v>0</v>
      </c>
      <c r="H4084" t="inlineStr">
        <is>
          <t>NOT_DUE</t>
        </is>
      </c>
      <c r="I4084">
        <f>IF(H4084="UNPAID", AsOfDate-D4084, 0)</f>
        <v/>
      </c>
      <c r="J4084">
        <f>IF(F4084&lt;&gt;"", TEXT(F4084, "yyyy-mm"), "")</f>
        <v/>
      </c>
    </row>
    <row r="4085">
      <c r="A4085" t="inlineStr">
        <is>
          <t>RP0004084</t>
        </is>
      </c>
      <c r="B4085" t="inlineStr">
        <is>
          <t>LN200580</t>
        </is>
      </c>
      <c r="C4085" t="n">
        <v>1</v>
      </c>
      <c r="D4085" s="8" t="n">
        <v>46206</v>
      </c>
      <c r="E4085" s="9" t="n">
        <v>32854.86</v>
      </c>
      <c r="F4085" s="8" t="n">
        <v>46206</v>
      </c>
      <c r="G4085" s="9" t="n">
        <v>32854.86</v>
      </c>
      <c r="H4085" t="inlineStr">
        <is>
          <t>PAID_ON_TIME</t>
        </is>
      </c>
      <c r="I4085">
        <f>IF(H4085="UNPAID", AsOfDate-D4085, 0)</f>
        <v/>
      </c>
      <c r="J4085">
        <f>IF(F4085&lt;&gt;"", TEXT(F4085, "yyyy-mm"), "")</f>
        <v/>
      </c>
    </row>
    <row r="4086">
      <c r="A4086" t="inlineStr">
        <is>
          <t>RP0004085</t>
        </is>
      </c>
      <c r="B4086" t="inlineStr">
        <is>
          <t>LN200580</t>
        </is>
      </c>
      <c r="C4086" t="n">
        <v>2</v>
      </c>
      <c r="D4086" s="8" t="n">
        <v>46237</v>
      </c>
      <c r="E4086" s="9" t="n">
        <v>32854.86</v>
      </c>
      <c r="F4086" s="8" t="n">
        <v>46235</v>
      </c>
      <c r="G4086" s="9" t="n">
        <v>32854.86</v>
      </c>
      <c r="H4086" t="inlineStr">
        <is>
          <t>PAID_ON_TIME</t>
        </is>
      </c>
      <c r="I4086">
        <f>IF(H4086="UNPAID", AsOfDate-D4086, 0)</f>
        <v/>
      </c>
      <c r="J4086">
        <f>IF(F4086&lt;&gt;"", TEXT(F4086, "yyyy-mm"), "")</f>
        <v/>
      </c>
    </row>
    <row r="4087">
      <c r="A4087" t="inlineStr">
        <is>
          <t>RP0004086</t>
        </is>
      </c>
      <c r="B4087" t="inlineStr">
        <is>
          <t>LN200580</t>
        </is>
      </c>
      <c r="C4087" t="n">
        <v>3</v>
      </c>
      <c r="D4087" s="8" t="n">
        <v>46268</v>
      </c>
      <c r="E4087" s="9" t="n">
        <v>32854.86</v>
      </c>
      <c r="F4087" s="8" t="n"/>
      <c r="G4087" s="9" t="n">
        <v>0</v>
      </c>
      <c r="H4087" t="inlineStr">
        <is>
          <t>NOT_DUE</t>
        </is>
      </c>
      <c r="I4087">
        <f>IF(H4087="UNPAID", AsOfDate-D4087, 0)</f>
        <v/>
      </c>
      <c r="J4087">
        <f>IF(F4087&lt;&gt;"", TEXT(F4087, "yyyy-mm"), "")</f>
        <v/>
      </c>
    </row>
    <row r="4088">
      <c r="A4088" t="inlineStr">
        <is>
          <t>RP0004087</t>
        </is>
      </c>
      <c r="B4088" t="inlineStr">
        <is>
          <t>LN200580</t>
        </is>
      </c>
      <c r="C4088" t="n">
        <v>4</v>
      </c>
      <c r="D4088" s="8" t="n">
        <v>46298</v>
      </c>
      <c r="E4088" s="9" t="n">
        <v>32854.86</v>
      </c>
      <c r="F4088" s="8" t="n"/>
      <c r="G4088" s="9" t="n">
        <v>0</v>
      </c>
      <c r="H4088" t="inlineStr">
        <is>
          <t>NOT_DUE</t>
        </is>
      </c>
      <c r="I4088">
        <f>IF(H4088="UNPAID", AsOfDate-D4088, 0)</f>
        <v/>
      </c>
      <c r="J4088">
        <f>IF(F4088&lt;&gt;"", TEXT(F4088, "yyyy-mm"), "")</f>
        <v/>
      </c>
    </row>
    <row r="4089">
      <c r="A4089" t="inlineStr">
        <is>
          <t>RP0004088</t>
        </is>
      </c>
      <c r="B4089" t="inlineStr">
        <is>
          <t>LN200580</t>
        </is>
      </c>
      <c r="C4089" t="n">
        <v>5</v>
      </c>
      <c r="D4089" s="8" t="n">
        <v>46329</v>
      </c>
      <c r="E4089" s="9" t="n">
        <v>32854.86</v>
      </c>
      <c r="F4089" s="8" t="n"/>
      <c r="G4089" s="9" t="n">
        <v>0</v>
      </c>
      <c r="H4089" t="inlineStr">
        <is>
          <t>NOT_DUE</t>
        </is>
      </c>
      <c r="I4089">
        <f>IF(H4089="UNPAID", AsOfDate-D4089, 0)</f>
        <v/>
      </c>
      <c r="J4089">
        <f>IF(F4089&lt;&gt;"", TEXT(F4089, "yyyy-mm"), "")</f>
        <v/>
      </c>
    </row>
    <row r="4090">
      <c r="A4090" t="inlineStr">
        <is>
          <t>RP0004089</t>
        </is>
      </c>
      <c r="B4090" t="inlineStr">
        <is>
          <t>LN200580</t>
        </is>
      </c>
      <c r="C4090" t="n">
        <v>6</v>
      </c>
      <c r="D4090" s="8" t="n">
        <v>46359</v>
      </c>
      <c r="E4090" s="9" t="n">
        <v>32854.86</v>
      </c>
      <c r="F4090" s="8" t="n"/>
      <c r="G4090" s="9" t="n">
        <v>0</v>
      </c>
      <c r="H4090" t="inlineStr">
        <is>
          <t>NOT_DUE</t>
        </is>
      </c>
      <c r="I4090">
        <f>IF(H4090="UNPAID", AsOfDate-D4090, 0)</f>
        <v/>
      </c>
      <c r="J4090">
        <f>IF(F4090&lt;&gt;"", TEXT(F4090, "yyyy-mm"), "")</f>
        <v/>
      </c>
    </row>
    <row r="4091">
      <c r="A4091" t="inlineStr">
        <is>
          <t>RP0004090</t>
        </is>
      </c>
      <c r="B4091" t="inlineStr">
        <is>
          <t>LN200580</t>
        </is>
      </c>
      <c r="C4091" t="n">
        <v>7</v>
      </c>
      <c r="D4091" s="8" t="n">
        <v>46390</v>
      </c>
      <c r="E4091" s="9" t="n">
        <v>32854.86</v>
      </c>
      <c r="F4091" s="8" t="n"/>
      <c r="G4091" s="9" t="n">
        <v>0</v>
      </c>
      <c r="H4091" t="inlineStr">
        <is>
          <t>NOT_DUE</t>
        </is>
      </c>
      <c r="I4091">
        <f>IF(H4091="UNPAID", AsOfDate-D4091, 0)</f>
        <v/>
      </c>
      <c r="J4091">
        <f>IF(F4091&lt;&gt;"", TEXT(F4091, "yyyy-mm"), "")</f>
        <v/>
      </c>
    </row>
    <row r="4092">
      <c r="A4092" t="inlineStr">
        <is>
          <t>RP0004091</t>
        </is>
      </c>
      <c r="B4092" t="inlineStr">
        <is>
          <t>LN200580</t>
        </is>
      </c>
      <c r="C4092" t="n">
        <v>8</v>
      </c>
      <c r="D4092" s="8" t="n">
        <v>46421</v>
      </c>
      <c r="E4092" s="9" t="n">
        <v>32854.86</v>
      </c>
      <c r="F4092" s="8" t="n"/>
      <c r="G4092" s="9" t="n">
        <v>0</v>
      </c>
      <c r="H4092" t="inlineStr">
        <is>
          <t>NOT_DUE</t>
        </is>
      </c>
      <c r="I4092">
        <f>IF(H4092="UNPAID", AsOfDate-D4092, 0)</f>
        <v/>
      </c>
      <c r="J4092">
        <f>IF(F4092&lt;&gt;"", TEXT(F4092, "yyyy-mm"), "")</f>
        <v/>
      </c>
    </row>
    <row r="4093">
      <c r="A4093" t="inlineStr">
        <is>
          <t>RP0004092</t>
        </is>
      </c>
      <c r="B4093" t="inlineStr">
        <is>
          <t>LN200580</t>
        </is>
      </c>
      <c r="C4093" t="n">
        <v>9</v>
      </c>
      <c r="D4093" s="8" t="n">
        <v>46449</v>
      </c>
      <c r="E4093" s="9" t="n">
        <v>32854.86</v>
      </c>
      <c r="F4093" s="8" t="n"/>
      <c r="G4093" s="9" t="n">
        <v>0</v>
      </c>
      <c r="H4093" t="inlineStr">
        <is>
          <t>NOT_DUE</t>
        </is>
      </c>
      <c r="I4093">
        <f>IF(H4093="UNPAID", AsOfDate-D4093, 0)</f>
        <v/>
      </c>
      <c r="J4093">
        <f>IF(F4093&lt;&gt;"", TEXT(F4093, "yyyy-mm"), "")</f>
        <v/>
      </c>
    </row>
    <row r="4094">
      <c r="A4094" t="inlineStr">
        <is>
          <t>RP0004093</t>
        </is>
      </c>
      <c r="B4094" t="inlineStr">
        <is>
          <t>LN200581</t>
        </is>
      </c>
      <c r="C4094" t="n">
        <v>1</v>
      </c>
      <c r="D4094" s="8" t="n">
        <v>46102</v>
      </c>
      <c r="E4094" s="9" t="n">
        <v>66784.5</v>
      </c>
      <c r="F4094" s="8" t="n">
        <v>46101</v>
      </c>
      <c r="G4094" s="9" t="n">
        <v>66784.5</v>
      </c>
      <c r="H4094" t="inlineStr">
        <is>
          <t>PAID_ON_TIME</t>
        </is>
      </c>
      <c r="I4094">
        <f>IF(H4094="UNPAID", AsOfDate-D4094, 0)</f>
        <v/>
      </c>
      <c r="J4094">
        <f>IF(F4094&lt;&gt;"", TEXT(F4094, "yyyy-mm"), "")</f>
        <v/>
      </c>
    </row>
    <row r="4095">
      <c r="A4095" t="inlineStr">
        <is>
          <t>RP0004094</t>
        </is>
      </c>
      <c r="B4095" t="inlineStr">
        <is>
          <t>LN200581</t>
        </is>
      </c>
      <c r="C4095" t="n">
        <v>2</v>
      </c>
      <c r="D4095" s="8" t="n">
        <v>46133</v>
      </c>
      <c r="E4095" s="9" t="n">
        <v>66784.5</v>
      </c>
      <c r="F4095" s="8" t="n">
        <v>46130</v>
      </c>
      <c r="G4095" s="9" t="n">
        <v>66784.5</v>
      </c>
      <c r="H4095" t="inlineStr">
        <is>
          <t>PAID_ON_TIME</t>
        </is>
      </c>
      <c r="I4095">
        <f>IF(H4095="UNPAID", AsOfDate-D4095, 0)</f>
        <v/>
      </c>
      <c r="J4095">
        <f>IF(F4095&lt;&gt;"", TEXT(F4095, "yyyy-mm"), "")</f>
        <v/>
      </c>
    </row>
    <row r="4096">
      <c r="A4096" t="inlineStr">
        <is>
          <t>RP0004095</t>
        </is>
      </c>
      <c r="B4096" t="inlineStr">
        <is>
          <t>LN200581</t>
        </is>
      </c>
      <c r="C4096" t="n">
        <v>3</v>
      </c>
      <c r="D4096" s="8" t="n">
        <v>46163</v>
      </c>
      <c r="E4096" s="9" t="n">
        <v>66784.5</v>
      </c>
      <c r="F4096" s="8" t="n">
        <v>46167</v>
      </c>
      <c r="G4096" s="9" t="n">
        <v>66784.5</v>
      </c>
      <c r="H4096" t="inlineStr">
        <is>
          <t>PAID_ON_TIME</t>
        </is>
      </c>
      <c r="I4096">
        <f>IF(H4096="UNPAID", AsOfDate-D4096, 0)</f>
        <v/>
      </c>
      <c r="J4096">
        <f>IF(F4096&lt;&gt;"", TEXT(F4096, "yyyy-mm"), "")</f>
        <v/>
      </c>
    </row>
    <row r="4097">
      <c r="A4097" t="inlineStr">
        <is>
          <t>RP0004096</t>
        </is>
      </c>
      <c r="B4097" t="inlineStr">
        <is>
          <t>LN200582</t>
        </is>
      </c>
      <c r="C4097" t="n">
        <v>1</v>
      </c>
      <c r="D4097" s="8" t="n">
        <v>46016</v>
      </c>
      <c r="E4097" s="9" t="n">
        <v>4224.92</v>
      </c>
      <c r="F4097" s="8" t="n">
        <v>46016</v>
      </c>
      <c r="G4097" s="9" t="n">
        <v>4224.92</v>
      </c>
      <c r="H4097" t="inlineStr">
        <is>
          <t>PAID_ON_TIME</t>
        </is>
      </c>
      <c r="I4097">
        <f>IF(H4097="UNPAID", AsOfDate-D4097, 0)</f>
        <v/>
      </c>
      <c r="J4097">
        <f>IF(F4097&lt;&gt;"", TEXT(F4097, "yyyy-mm"), "")</f>
        <v/>
      </c>
    </row>
    <row r="4098">
      <c r="A4098" t="inlineStr">
        <is>
          <t>RP0004097</t>
        </is>
      </c>
      <c r="B4098" t="inlineStr">
        <is>
          <t>LN200582</t>
        </is>
      </c>
      <c r="C4098" t="n">
        <v>2</v>
      </c>
      <c r="D4098" s="8" t="n">
        <v>46047</v>
      </c>
      <c r="E4098" s="9" t="n">
        <v>4224.92</v>
      </c>
      <c r="F4098" s="8" t="n">
        <v>46050</v>
      </c>
      <c r="G4098" s="9" t="n">
        <v>4224.92</v>
      </c>
      <c r="H4098" t="inlineStr">
        <is>
          <t>PAID_ON_TIME</t>
        </is>
      </c>
      <c r="I4098">
        <f>IF(H4098="UNPAID", AsOfDate-D4098, 0)</f>
        <v/>
      </c>
      <c r="J4098">
        <f>IF(F4098&lt;&gt;"", TEXT(F4098, "yyyy-mm"), "")</f>
        <v/>
      </c>
    </row>
    <row r="4099">
      <c r="A4099" t="inlineStr">
        <is>
          <t>RP0004098</t>
        </is>
      </c>
      <c r="B4099" t="inlineStr">
        <is>
          <t>LN200582</t>
        </is>
      </c>
      <c r="C4099" t="n">
        <v>3</v>
      </c>
      <c r="D4099" s="8" t="n">
        <v>46078</v>
      </c>
      <c r="E4099" s="9" t="n">
        <v>4224.92</v>
      </c>
      <c r="F4099" s="8" t="n">
        <v>46081</v>
      </c>
      <c r="G4099" s="9" t="n">
        <v>4224.92</v>
      </c>
      <c r="H4099" t="inlineStr">
        <is>
          <t>PAID_ON_TIME</t>
        </is>
      </c>
      <c r="I4099">
        <f>IF(H4099="UNPAID", AsOfDate-D4099, 0)</f>
        <v/>
      </c>
      <c r="J4099">
        <f>IF(F4099&lt;&gt;"", TEXT(F4099, "yyyy-mm"), "")</f>
        <v/>
      </c>
    </row>
    <row r="4100">
      <c r="A4100" t="inlineStr">
        <is>
          <t>RP0004099</t>
        </is>
      </c>
      <c r="B4100" t="inlineStr">
        <is>
          <t>LN200582</t>
        </is>
      </c>
      <c r="C4100" t="n">
        <v>4</v>
      </c>
      <c r="D4100" s="8" t="n">
        <v>46106</v>
      </c>
      <c r="E4100" s="9" t="n">
        <v>4224.92</v>
      </c>
      <c r="F4100" s="8" t="n">
        <v>46104</v>
      </c>
      <c r="G4100" s="9" t="n">
        <v>4224.92</v>
      </c>
      <c r="H4100" t="inlineStr">
        <is>
          <t>PAID_ON_TIME</t>
        </is>
      </c>
      <c r="I4100">
        <f>IF(H4100="UNPAID", AsOfDate-D4100, 0)</f>
        <v/>
      </c>
      <c r="J4100">
        <f>IF(F4100&lt;&gt;"", TEXT(F4100, "yyyy-mm"), "")</f>
        <v/>
      </c>
    </row>
    <row r="4101">
      <c r="A4101" t="inlineStr">
        <is>
          <t>RP0004100</t>
        </is>
      </c>
      <c r="B4101" t="inlineStr">
        <is>
          <t>LN200582</t>
        </is>
      </c>
      <c r="C4101" t="n">
        <v>5</v>
      </c>
      <c r="D4101" s="8" t="n">
        <v>46137</v>
      </c>
      <c r="E4101" s="9" t="n">
        <v>4224.92</v>
      </c>
      <c r="F4101" s="8" t="n">
        <v>46134</v>
      </c>
      <c r="G4101" s="9" t="n">
        <v>4224.92</v>
      </c>
      <c r="H4101" t="inlineStr">
        <is>
          <t>PAID_ON_TIME</t>
        </is>
      </c>
      <c r="I4101">
        <f>IF(H4101="UNPAID", AsOfDate-D4101, 0)</f>
        <v/>
      </c>
      <c r="J4101">
        <f>IF(F4101&lt;&gt;"", TEXT(F4101, "yyyy-mm"), "")</f>
        <v/>
      </c>
    </row>
    <row r="4102">
      <c r="A4102" t="inlineStr">
        <is>
          <t>RP0004101</t>
        </is>
      </c>
      <c r="B4102" t="inlineStr">
        <is>
          <t>LN200582</t>
        </is>
      </c>
      <c r="C4102" t="n">
        <v>6</v>
      </c>
      <c r="D4102" s="8" t="n">
        <v>46167</v>
      </c>
      <c r="E4102" s="9" t="n">
        <v>4224.92</v>
      </c>
      <c r="F4102" s="8" t="n">
        <v>46168</v>
      </c>
      <c r="G4102" s="9" t="n">
        <v>4224.92</v>
      </c>
      <c r="H4102" t="inlineStr">
        <is>
          <t>PAID_ON_TIME</t>
        </is>
      </c>
      <c r="I4102">
        <f>IF(H4102="UNPAID", AsOfDate-D4102, 0)</f>
        <v/>
      </c>
      <c r="J4102">
        <f>IF(F4102&lt;&gt;"", TEXT(F4102, "yyyy-mm"), "")</f>
        <v/>
      </c>
    </row>
    <row r="4103">
      <c r="A4103" t="inlineStr">
        <is>
          <t>RP0004102</t>
        </is>
      </c>
      <c r="B4103" t="inlineStr">
        <is>
          <t>LN200582</t>
        </is>
      </c>
      <c r="C4103" t="n">
        <v>7</v>
      </c>
      <c r="D4103" s="8" t="n">
        <v>46198</v>
      </c>
      <c r="E4103" s="9" t="n">
        <v>4224.92</v>
      </c>
      <c r="F4103" s="8" t="n">
        <v>46195</v>
      </c>
      <c r="G4103" s="9" t="n">
        <v>4224.92</v>
      </c>
      <c r="H4103" t="inlineStr">
        <is>
          <t>PAID_ON_TIME</t>
        </is>
      </c>
      <c r="I4103">
        <f>IF(H4103="UNPAID", AsOfDate-D4103, 0)</f>
        <v/>
      </c>
      <c r="J4103">
        <f>IF(F4103&lt;&gt;"", TEXT(F4103, "yyyy-mm"), "")</f>
        <v/>
      </c>
    </row>
    <row r="4104">
      <c r="A4104" t="inlineStr">
        <is>
          <t>RP0004103</t>
        </is>
      </c>
      <c r="B4104" t="inlineStr">
        <is>
          <t>LN200582</t>
        </is>
      </c>
      <c r="C4104" t="n">
        <v>8</v>
      </c>
      <c r="D4104" s="8" t="n">
        <v>46228</v>
      </c>
      <c r="E4104" s="9" t="n">
        <v>4224.92</v>
      </c>
      <c r="F4104" s="8" t="n">
        <v>46226</v>
      </c>
      <c r="G4104" s="9" t="n">
        <v>4224.92</v>
      </c>
      <c r="H4104" t="inlineStr">
        <is>
          <t>PAID_ON_TIME</t>
        </is>
      </c>
      <c r="I4104">
        <f>IF(H4104="UNPAID", AsOfDate-D4104, 0)</f>
        <v/>
      </c>
      <c r="J4104">
        <f>IF(F4104&lt;&gt;"", TEXT(F4104, "yyyy-mm"), "")</f>
        <v/>
      </c>
    </row>
    <row r="4105">
      <c r="A4105" t="inlineStr">
        <is>
          <t>RP0004104</t>
        </is>
      </c>
      <c r="B4105" t="inlineStr">
        <is>
          <t>LN200582</t>
        </is>
      </c>
      <c r="C4105" t="n">
        <v>9</v>
      </c>
      <c r="D4105" s="8" t="n">
        <v>46259</v>
      </c>
      <c r="E4105" s="9" t="n">
        <v>4224.92</v>
      </c>
      <c r="F4105" s="8" t="n">
        <v>46263</v>
      </c>
      <c r="G4105" s="9" t="n">
        <v>4224.92</v>
      </c>
      <c r="H4105" t="inlineStr">
        <is>
          <t>PAID_ON_TIME</t>
        </is>
      </c>
      <c r="I4105">
        <f>IF(H4105="UNPAID", AsOfDate-D4105, 0)</f>
        <v/>
      </c>
      <c r="J4105">
        <f>IF(F4105&lt;&gt;"", TEXT(F4105, "yyyy-mm"), "")</f>
        <v/>
      </c>
    </row>
    <row r="4106">
      <c r="A4106" t="inlineStr">
        <is>
          <t>RP0004105</t>
        </is>
      </c>
      <c r="B4106" t="inlineStr">
        <is>
          <t>LN200583</t>
        </is>
      </c>
      <c r="C4106" t="n">
        <v>1</v>
      </c>
      <c r="D4106" s="8" t="n">
        <v>45791</v>
      </c>
      <c r="E4106" s="9" t="n">
        <v>3143.92</v>
      </c>
      <c r="F4106" s="8" t="n">
        <v>45788</v>
      </c>
      <c r="G4106" s="9" t="n">
        <v>3143.92</v>
      </c>
      <c r="H4106" t="inlineStr">
        <is>
          <t>PAID_ON_TIME</t>
        </is>
      </c>
      <c r="I4106">
        <f>IF(H4106="UNPAID", AsOfDate-D4106, 0)</f>
        <v/>
      </c>
      <c r="J4106">
        <f>IF(F4106&lt;&gt;"", TEXT(F4106, "yyyy-mm"), "")</f>
        <v/>
      </c>
    </row>
    <row r="4107">
      <c r="A4107" t="inlineStr">
        <is>
          <t>RP0004106</t>
        </is>
      </c>
      <c r="B4107" t="inlineStr">
        <is>
          <t>LN200583</t>
        </is>
      </c>
      <c r="C4107" t="n">
        <v>2</v>
      </c>
      <c r="D4107" s="8" t="n">
        <v>45822</v>
      </c>
      <c r="E4107" s="9" t="n">
        <v>3143.92</v>
      </c>
      <c r="F4107" s="8" t="n">
        <v>45911</v>
      </c>
      <c r="G4107" s="9" t="n">
        <v>3143.92</v>
      </c>
      <c r="H4107" t="inlineStr">
        <is>
          <t>PAID_LATE</t>
        </is>
      </c>
      <c r="I4107">
        <f>IF(H4107="UNPAID", AsOfDate-D4107, 0)</f>
        <v/>
      </c>
      <c r="J4107">
        <f>IF(F4107&lt;&gt;"", TEXT(F4107, "yyyy-mm"), "")</f>
        <v/>
      </c>
    </row>
    <row r="4108">
      <c r="A4108" t="inlineStr">
        <is>
          <t>RP0004107</t>
        </is>
      </c>
      <c r="B4108" t="inlineStr">
        <is>
          <t>LN200583</t>
        </is>
      </c>
      <c r="C4108" t="n">
        <v>3</v>
      </c>
      <c r="D4108" s="8" t="n">
        <v>45852</v>
      </c>
      <c r="E4108" s="9" t="n">
        <v>3143.92</v>
      </c>
      <c r="F4108" s="8" t="n">
        <v>45851</v>
      </c>
      <c r="G4108" s="9" t="n">
        <v>3143.92</v>
      </c>
      <c r="H4108" t="inlineStr">
        <is>
          <t>PAID_ON_TIME</t>
        </is>
      </c>
      <c r="I4108">
        <f>IF(H4108="UNPAID", AsOfDate-D4108, 0)</f>
        <v/>
      </c>
      <c r="J4108">
        <f>IF(F4108&lt;&gt;"", TEXT(F4108, "yyyy-mm"), "")</f>
        <v/>
      </c>
    </row>
    <row r="4109">
      <c r="A4109" t="inlineStr">
        <is>
          <t>RP0004108</t>
        </is>
      </c>
      <c r="B4109" t="inlineStr">
        <is>
          <t>LN200583</t>
        </is>
      </c>
      <c r="C4109" t="n">
        <v>4</v>
      </c>
      <c r="D4109" s="8" t="n">
        <v>45883</v>
      </c>
      <c r="E4109" s="9" t="n">
        <v>3143.92</v>
      </c>
      <c r="F4109" s="8" t="n">
        <v>45887</v>
      </c>
      <c r="G4109" s="9" t="n">
        <v>3143.92</v>
      </c>
      <c r="H4109" t="inlineStr">
        <is>
          <t>PAID_ON_TIME</t>
        </is>
      </c>
      <c r="I4109">
        <f>IF(H4109="UNPAID", AsOfDate-D4109, 0)</f>
        <v/>
      </c>
      <c r="J4109">
        <f>IF(F4109&lt;&gt;"", TEXT(F4109, "yyyy-mm"), "")</f>
        <v/>
      </c>
    </row>
    <row r="4110">
      <c r="A4110" t="inlineStr">
        <is>
          <t>RP0004109</t>
        </is>
      </c>
      <c r="B4110" t="inlineStr">
        <is>
          <t>LN200583</t>
        </is>
      </c>
      <c r="C4110" t="n">
        <v>5</v>
      </c>
      <c r="D4110" s="8" t="n">
        <v>45914</v>
      </c>
      <c r="E4110" s="9" t="n">
        <v>3143.92</v>
      </c>
      <c r="F4110" s="8" t="n">
        <v>45975</v>
      </c>
      <c r="G4110" s="9" t="n">
        <v>3143.92</v>
      </c>
      <c r="H4110" t="inlineStr">
        <is>
          <t>PAID_LATE</t>
        </is>
      </c>
      <c r="I4110">
        <f>IF(H4110="UNPAID", AsOfDate-D4110, 0)</f>
        <v/>
      </c>
      <c r="J4110">
        <f>IF(F4110&lt;&gt;"", TEXT(F4110, "yyyy-mm"), "")</f>
        <v/>
      </c>
    </row>
    <row r="4111">
      <c r="A4111" t="inlineStr">
        <is>
          <t>RP0004110</t>
        </is>
      </c>
      <c r="B4111" t="inlineStr">
        <is>
          <t>LN200583</t>
        </is>
      </c>
      <c r="C4111" t="n">
        <v>6</v>
      </c>
      <c r="D4111" s="8" t="n">
        <v>45944</v>
      </c>
      <c r="E4111" s="9" t="n">
        <v>3143.92</v>
      </c>
      <c r="F4111" s="8" t="n">
        <v>45978</v>
      </c>
      <c r="G4111" s="9" t="n">
        <v>3143.92</v>
      </c>
      <c r="H4111" t="inlineStr">
        <is>
          <t>PAID_LATE</t>
        </is>
      </c>
      <c r="I4111">
        <f>IF(H4111="UNPAID", AsOfDate-D4111, 0)</f>
        <v/>
      </c>
      <c r="J4111">
        <f>IF(F4111&lt;&gt;"", TEXT(F4111, "yyyy-mm"), "")</f>
        <v/>
      </c>
    </row>
    <row r="4112">
      <c r="A4112" t="inlineStr">
        <is>
          <t>RP0004111</t>
        </is>
      </c>
      <c r="B4112" t="inlineStr">
        <is>
          <t>LN200583</t>
        </is>
      </c>
      <c r="C4112" t="n">
        <v>7</v>
      </c>
      <c r="D4112" s="8" t="n">
        <v>45975</v>
      </c>
      <c r="E4112" s="9" t="n">
        <v>3143.92</v>
      </c>
      <c r="F4112" s="8" t="n">
        <v>45975</v>
      </c>
      <c r="G4112" s="9" t="n">
        <v>3143.92</v>
      </c>
      <c r="H4112" t="inlineStr">
        <is>
          <t>PAID_ON_TIME</t>
        </is>
      </c>
      <c r="I4112">
        <f>IF(H4112="UNPAID", AsOfDate-D4112, 0)</f>
        <v/>
      </c>
      <c r="J4112">
        <f>IF(F4112&lt;&gt;"", TEXT(F4112, "yyyy-mm"), "")</f>
        <v/>
      </c>
    </row>
    <row r="4113">
      <c r="A4113" t="inlineStr">
        <is>
          <t>RP0004112</t>
        </is>
      </c>
      <c r="B4113" t="inlineStr">
        <is>
          <t>LN200583</t>
        </is>
      </c>
      <c r="C4113" t="n">
        <v>8</v>
      </c>
      <c r="D4113" s="8" t="n">
        <v>46005</v>
      </c>
      <c r="E4113" s="9" t="n">
        <v>3143.92</v>
      </c>
      <c r="F4113" s="8" t="n">
        <v>46004</v>
      </c>
      <c r="G4113" s="9" t="n">
        <v>3143.92</v>
      </c>
      <c r="H4113" t="inlineStr">
        <is>
          <t>PAID_ON_TIME</t>
        </is>
      </c>
      <c r="I4113">
        <f>IF(H4113="UNPAID", AsOfDate-D4113, 0)</f>
        <v/>
      </c>
      <c r="J4113">
        <f>IF(F4113&lt;&gt;"", TEXT(F4113, "yyyy-mm"), "")</f>
        <v/>
      </c>
    </row>
    <row r="4114">
      <c r="A4114" t="inlineStr">
        <is>
          <t>RP0004113</t>
        </is>
      </c>
      <c r="B4114" t="inlineStr">
        <is>
          <t>LN200583</t>
        </is>
      </c>
      <c r="C4114" t="n">
        <v>9</v>
      </c>
      <c r="D4114" s="8" t="n">
        <v>46036</v>
      </c>
      <c r="E4114" s="9" t="n">
        <v>3143.92</v>
      </c>
      <c r="F4114" s="8" t="n"/>
      <c r="G4114" s="9" t="n">
        <v>0</v>
      </c>
      <c r="H4114" t="inlineStr">
        <is>
          <t>UNPAID</t>
        </is>
      </c>
      <c r="I4114">
        <f>IF(H4114="UNPAID", AsOfDate-D4114, 0)</f>
        <v/>
      </c>
      <c r="J4114">
        <f>IF(F4114&lt;&gt;"", TEXT(F4114, "yyyy-mm"), "")</f>
        <v/>
      </c>
    </row>
    <row r="4115">
      <c r="A4115" t="inlineStr">
        <is>
          <t>RP0004114</t>
        </is>
      </c>
      <c r="B4115" t="inlineStr">
        <is>
          <t>LN200583</t>
        </is>
      </c>
      <c r="C4115" t="n">
        <v>10</v>
      </c>
      <c r="D4115" s="8" t="n">
        <v>46067</v>
      </c>
      <c r="E4115" s="9" t="n">
        <v>3143.92</v>
      </c>
      <c r="F4115" s="8" t="n">
        <v>46070</v>
      </c>
      <c r="G4115" s="9" t="n">
        <v>3143.92</v>
      </c>
      <c r="H4115" t="inlineStr">
        <is>
          <t>PAID_ON_TIME</t>
        </is>
      </c>
      <c r="I4115">
        <f>IF(H4115="UNPAID", AsOfDate-D4115, 0)</f>
        <v/>
      </c>
      <c r="J4115">
        <f>IF(F4115&lt;&gt;"", TEXT(F4115, "yyyy-mm"), "")</f>
        <v/>
      </c>
    </row>
    <row r="4116">
      <c r="A4116" t="inlineStr">
        <is>
          <t>RP0004115</t>
        </is>
      </c>
      <c r="B4116" t="inlineStr">
        <is>
          <t>LN200583</t>
        </is>
      </c>
      <c r="C4116" t="n">
        <v>11</v>
      </c>
      <c r="D4116" s="8" t="n">
        <v>46095</v>
      </c>
      <c r="E4116" s="9" t="n">
        <v>3143.92</v>
      </c>
      <c r="F4116" s="8" t="n">
        <v>46094</v>
      </c>
      <c r="G4116" s="9" t="n">
        <v>3143.92</v>
      </c>
      <c r="H4116" t="inlineStr">
        <is>
          <t>PAID_ON_TIME</t>
        </is>
      </c>
      <c r="I4116">
        <f>IF(H4116="UNPAID", AsOfDate-D4116, 0)</f>
        <v/>
      </c>
      <c r="J4116">
        <f>IF(F4116&lt;&gt;"", TEXT(F4116, "yyyy-mm"), "")</f>
        <v/>
      </c>
    </row>
    <row r="4117">
      <c r="A4117" t="inlineStr">
        <is>
          <t>RP0004116</t>
        </is>
      </c>
      <c r="B4117" t="inlineStr">
        <is>
          <t>LN200583</t>
        </is>
      </c>
      <c r="C4117" t="n">
        <v>12</v>
      </c>
      <c r="D4117" s="8" t="n">
        <v>46126</v>
      </c>
      <c r="E4117" s="9" t="n">
        <v>3143.92</v>
      </c>
      <c r="F4117" s="8" t="n">
        <v>46128</v>
      </c>
      <c r="G4117" s="9" t="n">
        <v>3143.92</v>
      </c>
      <c r="H4117" t="inlineStr">
        <is>
          <t>PAID_ON_TIME</t>
        </is>
      </c>
      <c r="I4117">
        <f>IF(H4117="UNPAID", AsOfDate-D4117, 0)</f>
        <v/>
      </c>
      <c r="J4117">
        <f>IF(F4117&lt;&gt;"", TEXT(F4117, "yyyy-mm"), "")</f>
        <v/>
      </c>
    </row>
    <row r="4118">
      <c r="A4118" t="inlineStr">
        <is>
          <t>RP0004117</t>
        </is>
      </c>
      <c r="B4118" t="inlineStr">
        <is>
          <t>LN200584</t>
        </is>
      </c>
      <c r="C4118" t="n">
        <v>1</v>
      </c>
      <c r="D4118" s="8" t="n">
        <v>46030</v>
      </c>
      <c r="E4118" s="9" t="n">
        <v>54845.33</v>
      </c>
      <c r="F4118" s="8" t="n">
        <v>46029</v>
      </c>
      <c r="G4118" s="9" t="n">
        <v>54845.33</v>
      </c>
      <c r="H4118" t="inlineStr">
        <is>
          <t>PAID_ON_TIME</t>
        </is>
      </c>
      <c r="I4118">
        <f>IF(H4118="UNPAID", AsOfDate-D4118, 0)</f>
        <v/>
      </c>
      <c r="J4118">
        <f>IF(F4118&lt;&gt;"", TEXT(F4118, "yyyy-mm"), "")</f>
        <v/>
      </c>
    </row>
    <row r="4119">
      <c r="A4119" t="inlineStr">
        <is>
          <t>RP0004118</t>
        </is>
      </c>
      <c r="B4119" t="inlineStr">
        <is>
          <t>LN200584</t>
        </is>
      </c>
      <c r="C4119" t="n">
        <v>2</v>
      </c>
      <c r="D4119" s="8" t="n">
        <v>46061</v>
      </c>
      <c r="E4119" s="9" t="n">
        <v>54845.33</v>
      </c>
      <c r="F4119" s="8" t="n">
        <v>46061</v>
      </c>
      <c r="G4119" s="9" t="n">
        <v>54845.33</v>
      </c>
      <c r="H4119" t="inlineStr">
        <is>
          <t>PAID_ON_TIME</t>
        </is>
      </c>
      <c r="I4119">
        <f>IF(H4119="UNPAID", AsOfDate-D4119, 0)</f>
        <v/>
      </c>
      <c r="J4119">
        <f>IF(F4119&lt;&gt;"", TEXT(F4119, "yyyy-mm"), "")</f>
        <v/>
      </c>
    </row>
    <row r="4120">
      <c r="A4120" t="inlineStr">
        <is>
          <t>RP0004119</t>
        </is>
      </c>
      <c r="B4120" t="inlineStr">
        <is>
          <t>LN200584</t>
        </is>
      </c>
      <c r="C4120" t="n">
        <v>3</v>
      </c>
      <c r="D4120" s="8" t="n">
        <v>46089</v>
      </c>
      <c r="E4120" s="9" t="n">
        <v>54845.33</v>
      </c>
      <c r="F4120" s="8" t="n">
        <v>46086</v>
      </c>
      <c r="G4120" s="9" t="n">
        <v>54845.33</v>
      </c>
      <c r="H4120" t="inlineStr">
        <is>
          <t>PAID_ON_TIME</t>
        </is>
      </c>
      <c r="I4120">
        <f>IF(H4120="UNPAID", AsOfDate-D4120, 0)</f>
        <v/>
      </c>
      <c r="J4120">
        <f>IF(F4120&lt;&gt;"", TEXT(F4120, "yyyy-mm"), "")</f>
        <v/>
      </c>
    </row>
    <row r="4121">
      <c r="A4121" t="inlineStr">
        <is>
          <t>RP0004120</t>
        </is>
      </c>
      <c r="B4121" t="inlineStr">
        <is>
          <t>LN200585</t>
        </is>
      </c>
      <c r="C4121" t="n">
        <v>1</v>
      </c>
      <c r="D4121" s="8" t="n">
        <v>46210</v>
      </c>
      <c r="E4121" s="9" t="n">
        <v>32726.5</v>
      </c>
      <c r="F4121" s="8" t="n">
        <v>46207</v>
      </c>
      <c r="G4121" s="9" t="n">
        <v>32726.5</v>
      </c>
      <c r="H4121" t="inlineStr">
        <is>
          <t>PAID_ON_TIME</t>
        </is>
      </c>
      <c r="I4121">
        <f>IF(H4121="UNPAID", AsOfDate-D4121, 0)</f>
        <v/>
      </c>
      <c r="J4121">
        <f>IF(F4121&lt;&gt;"", TEXT(F4121, "yyyy-mm"), "")</f>
        <v/>
      </c>
    </row>
    <row r="4122">
      <c r="A4122" t="inlineStr">
        <is>
          <t>RP0004121</t>
        </is>
      </c>
      <c r="B4122" t="inlineStr">
        <is>
          <t>LN200585</t>
        </is>
      </c>
      <c r="C4122" t="n">
        <v>2</v>
      </c>
      <c r="D4122" s="8" t="n">
        <v>46241</v>
      </c>
      <c r="E4122" s="9" t="n">
        <v>32726.5</v>
      </c>
      <c r="F4122" s="8" t="n">
        <v>46241</v>
      </c>
      <c r="G4122" s="9" t="n">
        <v>32726.5</v>
      </c>
      <c r="H4122" t="inlineStr">
        <is>
          <t>PAID_ON_TIME</t>
        </is>
      </c>
      <c r="I4122">
        <f>IF(H4122="UNPAID", AsOfDate-D4122, 0)</f>
        <v/>
      </c>
      <c r="J4122">
        <f>IF(F4122&lt;&gt;"", TEXT(F4122, "yyyy-mm"), "")</f>
        <v/>
      </c>
    </row>
    <row r="4123">
      <c r="A4123" t="inlineStr">
        <is>
          <t>RP0004122</t>
        </is>
      </c>
      <c r="B4123" t="inlineStr">
        <is>
          <t>LN200585</t>
        </is>
      </c>
      <c r="C4123" t="n">
        <v>3</v>
      </c>
      <c r="D4123" s="8" t="n">
        <v>46272</v>
      </c>
      <c r="E4123" s="9" t="n">
        <v>32726.5</v>
      </c>
      <c r="F4123" s="8" t="n"/>
      <c r="G4123" s="9" t="n">
        <v>0</v>
      </c>
      <c r="H4123" t="inlineStr">
        <is>
          <t>NOT_DUE</t>
        </is>
      </c>
      <c r="I4123">
        <f>IF(H4123="UNPAID", AsOfDate-D4123, 0)</f>
        <v/>
      </c>
      <c r="J4123">
        <f>IF(F4123&lt;&gt;"", TEXT(F4123, "yyyy-mm"), "")</f>
        <v/>
      </c>
    </row>
    <row r="4124">
      <c r="A4124" t="inlineStr">
        <is>
          <t>RP0004123</t>
        </is>
      </c>
      <c r="B4124" t="inlineStr">
        <is>
          <t>LN200585</t>
        </is>
      </c>
      <c r="C4124" t="n">
        <v>4</v>
      </c>
      <c r="D4124" s="8" t="n">
        <v>46302</v>
      </c>
      <c r="E4124" s="9" t="n">
        <v>32726.5</v>
      </c>
      <c r="F4124" s="8" t="n"/>
      <c r="G4124" s="9" t="n">
        <v>0</v>
      </c>
      <c r="H4124" t="inlineStr">
        <is>
          <t>NOT_DUE</t>
        </is>
      </c>
      <c r="I4124">
        <f>IF(H4124="UNPAID", AsOfDate-D4124, 0)</f>
        <v/>
      </c>
      <c r="J4124">
        <f>IF(F4124&lt;&gt;"", TEXT(F4124, "yyyy-mm"), "")</f>
        <v/>
      </c>
    </row>
    <row r="4125">
      <c r="A4125" t="inlineStr">
        <is>
          <t>RP0004124</t>
        </is>
      </c>
      <c r="B4125" t="inlineStr">
        <is>
          <t>LN200585</t>
        </is>
      </c>
      <c r="C4125" t="n">
        <v>5</v>
      </c>
      <c r="D4125" s="8" t="n">
        <v>46333</v>
      </c>
      <c r="E4125" s="9" t="n">
        <v>32726.5</v>
      </c>
      <c r="F4125" s="8" t="n"/>
      <c r="G4125" s="9" t="n">
        <v>0</v>
      </c>
      <c r="H4125" t="inlineStr">
        <is>
          <t>NOT_DUE</t>
        </is>
      </c>
      <c r="I4125">
        <f>IF(H4125="UNPAID", AsOfDate-D4125, 0)</f>
        <v/>
      </c>
      <c r="J4125">
        <f>IF(F4125&lt;&gt;"", TEXT(F4125, "yyyy-mm"), "")</f>
        <v/>
      </c>
    </row>
    <row r="4126">
      <c r="A4126" t="inlineStr">
        <is>
          <t>RP0004125</t>
        </is>
      </c>
      <c r="B4126" t="inlineStr">
        <is>
          <t>LN200585</t>
        </is>
      </c>
      <c r="C4126" t="n">
        <v>6</v>
      </c>
      <c r="D4126" s="8" t="n">
        <v>46363</v>
      </c>
      <c r="E4126" s="9" t="n">
        <v>32726.5</v>
      </c>
      <c r="F4126" s="8" t="n"/>
      <c r="G4126" s="9" t="n">
        <v>0</v>
      </c>
      <c r="H4126" t="inlineStr">
        <is>
          <t>NOT_DUE</t>
        </is>
      </c>
      <c r="I4126">
        <f>IF(H4126="UNPAID", AsOfDate-D4126, 0)</f>
        <v/>
      </c>
      <c r="J4126">
        <f>IF(F4126&lt;&gt;"", TEXT(F4126, "yyyy-mm"), "")</f>
        <v/>
      </c>
    </row>
    <row r="4127">
      <c r="A4127" t="inlineStr">
        <is>
          <t>RP0004126</t>
        </is>
      </c>
      <c r="B4127" t="inlineStr">
        <is>
          <t>LN200587</t>
        </is>
      </c>
      <c r="C4127" t="n">
        <v>1</v>
      </c>
      <c r="D4127" s="8" t="n">
        <v>46182</v>
      </c>
      <c r="E4127" s="9" t="n">
        <v>10302.75</v>
      </c>
      <c r="F4127" s="8" t="n">
        <v>46180</v>
      </c>
      <c r="G4127" s="9" t="n">
        <v>10302.75</v>
      </c>
      <c r="H4127" t="inlineStr">
        <is>
          <t>PAID_ON_TIME</t>
        </is>
      </c>
      <c r="I4127">
        <f>IF(H4127="UNPAID", AsOfDate-D4127, 0)</f>
        <v/>
      </c>
      <c r="J4127">
        <f>IF(F4127&lt;&gt;"", TEXT(F4127, "yyyy-mm"), "")</f>
        <v/>
      </c>
    </row>
    <row r="4128">
      <c r="A4128" t="inlineStr">
        <is>
          <t>RP0004127</t>
        </is>
      </c>
      <c r="B4128" t="inlineStr">
        <is>
          <t>LN200587</t>
        </is>
      </c>
      <c r="C4128" t="n">
        <v>2</v>
      </c>
      <c r="D4128" s="8" t="n">
        <v>46212</v>
      </c>
      <c r="E4128" s="9" t="n">
        <v>10302.75</v>
      </c>
      <c r="F4128" s="8" t="n">
        <v>46212</v>
      </c>
      <c r="G4128" s="9" t="n">
        <v>10302.75</v>
      </c>
      <c r="H4128" t="inlineStr">
        <is>
          <t>PAID_ON_TIME</t>
        </is>
      </c>
      <c r="I4128">
        <f>IF(H4128="UNPAID", AsOfDate-D4128, 0)</f>
        <v/>
      </c>
      <c r="J4128">
        <f>IF(F4128&lt;&gt;"", TEXT(F4128, "yyyy-mm"), "")</f>
        <v/>
      </c>
    </row>
    <row r="4129">
      <c r="A4129" t="inlineStr">
        <is>
          <t>RP0004128</t>
        </is>
      </c>
      <c r="B4129" t="inlineStr">
        <is>
          <t>LN200587</t>
        </is>
      </c>
      <c r="C4129" t="n">
        <v>3</v>
      </c>
      <c r="D4129" s="8" t="n">
        <v>46243</v>
      </c>
      <c r="E4129" s="9" t="n">
        <v>10302.75</v>
      </c>
      <c r="F4129" s="8" t="n">
        <v>46244</v>
      </c>
      <c r="G4129" s="9" t="n">
        <v>10302.75</v>
      </c>
      <c r="H4129" t="inlineStr">
        <is>
          <t>PAID_ON_TIME</t>
        </is>
      </c>
      <c r="I4129">
        <f>IF(H4129="UNPAID", AsOfDate-D4129, 0)</f>
        <v/>
      </c>
      <c r="J4129">
        <f>IF(F4129&lt;&gt;"", TEXT(F4129, "yyyy-mm"), "")</f>
        <v/>
      </c>
    </row>
    <row r="4130">
      <c r="A4130" t="inlineStr">
        <is>
          <t>RP0004129</t>
        </is>
      </c>
      <c r="B4130" t="inlineStr">
        <is>
          <t>LN200587</t>
        </is>
      </c>
      <c r="C4130" t="n">
        <v>4</v>
      </c>
      <c r="D4130" s="8" t="n">
        <v>46274</v>
      </c>
      <c r="E4130" s="9" t="n">
        <v>10302.75</v>
      </c>
      <c r="F4130" s="8" t="n"/>
      <c r="G4130" s="9" t="n">
        <v>0</v>
      </c>
      <c r="H4130" t="inlineStr">
        <is>
          <t>NOT_DUE</t>
        </is>
      </c>
      <c r="I4130">
        <f>IF(H4130="UNPAID", AsOfDate-D4130, 0)</f>
        <v/>
      </c>
      <c r="J4130">
        <f>IF(F4130&lt;&gt;"", TEXT(F4130, "yyyy-mm"), "")</f>
        <v/>
      </c>
    </row>
    <row r="4131">
      <c r="A4131" t="inlineStr">
        <is>
          <t>RP0004130</t>
        </is>
      </c>
      <c r="B4131" t="inlineStr">
        <is>
          <t>LN200587</t>
        </is>
      </c>
      <c r="C4131" t="n">
        <v>5</v>
      </c>
      <c r="D4131" s="8" t="n">
        <v>46304</v>
      </c>
      <c r="E4131" s="9" t="n">
        <v>10302.75</v>
      </c>
      <c r="F4131" s="8" t="n"/>
      <c r="G4131" s="9" t="n">
        <v>0</v>
      </c>
      <c r="H4131" t="inlineStr">
        <is>
          <t>NOT_DUE</t>
        </is>
      </c>
      <c r="I4131">
        <f>IF(H4131="UNPAID", AsOfDate-D4131, 0)</f>
        <v/>
      </c>
      <c r="J4131">
        <f>IF(F4131&lt;&gt;"", TEXT(F4131, "yyyy-mm"), "")</f>
        <v/>
      </c>
    </row>
    <row r="4132">
      <c r="A4132" t="inlineStr">
        <is>
          <t>RP0004131</t>
        </is>
      </c>
      <c r="B4132" t="inlineStr">
        <is>
          <t>LN200587</t>
        </is>
      </c>
      <c r="C4132" t="n">
        <v>6</v>
      </c>
      <c r="D4132" s="8" t="n">
        <v>46335</v>
      </c>
      <c r="E4132" s="9" t="n">
        <v>10302.75</v>
      </c>
      <c r="F4132" s="8" t="n"/>
      <c r="G4132" s="9" t="n">
        <v>0</v>
      </c>
      <c r="H4132" t="inlineStr">
        <is>
          <t>NOT_DUE</t>
        </is>
      </c>
      <c r="I4132">
        <f>IF(H4132="UNPAID", AsOfDate-D4132, 0)</f>
        <v/>
      </c>
      <c r="J4132">
        <f>IF(F4132&lt;&gt;"", TEXT(F4132, "yyyy-mm"), "")</f>
        <v/>
      </c>
    </row>
    <row r="4133">
      <c r="A4133" t="inlineStr">
        <is>
          <t>RP0004132</t>
        </is>
      </c>
      <c r="B4133" t="inlineStr">
        <is>
          <t>LN200588</t>
        </is>
      </c>
      <c r="C4133" t="n">
        <v>1</v>
      </c>
      <c r="D4133" s="8" t="n">
        <v>45922</v>
      </c>
      <c r="E4133" s="9" t="n">
        <v>13743.33</v>
      </c>
      <c r="F4133" s="8" t="n">
        <v>45920</v>
      </c>
      <c r="G4133" s="9" t="n">
        <v>13743.33</v>
      </c>
      <c r="H4133" t="inlineStr">
        <is>
          <t>PAID_ON_TIME</t>
        </is>
      </c>
      <c r="I4133">
        <f>IF(H4133="UNPAID", AsOfDate-D4133, 0)</f>
        <v/>
      </c>
      <c r="J4133">
        <f>IF(F4133&lt;&gt;"", TEXT(F4133, "yyyy-mm"), "")</f>
        <v/>
      </c>
    </row>
    <row r="4134">
      <c r="A4134" t="inlineStr">
        <is>
          <t>RP0004133</t>
        </is>
      </c>
      <c r="B4134" t="inlineStr">
        <is>
          <t>LN200588</t>
        </is>
      </c>
      <c r="C4134" t="n">
        <v>2</v>
      </c>
      <c r="D4134" s="8" t="n">
        <v>45952</v>
      </c>
      <c r="E4134" s="9" t="n">
        <v>13743.33</v>
      </c>
      <c r="F4134" s="8" t="n">
        <v>45953</v>
      </c>
      <c r="G4134" s="9" t="n">
        <v>13743.33</v>
      </c>
      <c r="H4134" t="inlineStr">
        <is>
          <t>PAID_ON_TIME</t>
        </is>
      </c>
      <c r="I4134">
        <f>IF(H4134="UNPAID", AsOfDate-D4134, 0)</f>
        <v/>
      </c>
      <c r="J4134">
        <f>IF(F4134&lt;&gt;"", TEXT(F4134, "yyyy-mm"), "")</f>
        <v/>
      </c>
    </row>
    <row r="4135">
      <c r="A4135" t="inlineStr">
        <is>
          <t>RP0004134</t>
        </is>
      </c>
      <c r="B4135" t="inlineStr">
        <is>
          <t>LN200588</t>
        </is>
      </c>
      <c r="C4135" t="n">
        <v>3</v>
      </c>
      <c r="D4135" s="8" t="n">
        <v>45983</v>
      </c>
      <c r="E4135" s="9" t="n">
        <v>13743.33</v>
      </c>
      <c r="F4135" s="8" t="n">
        <v>45981</v>
      </c>
      <c r="G4135" s="9" t="n">
        <v>13743.33</v>
      </c>
      <c r="H4135" t="inlineStr">
        <is>
          <t>PAID_ON_TIME</t>
        </is>
      </c>
      <c r="I4135">
        <f>IF(H4135="UNPAID", AsOfDate-D4135, 0)</f>
        <v/>
      </c>
      <c r="J4135">
        <f>IF(F4135&lt;&gt;"", TEXT(F4135, "yyyy-mm"), "")</f>
        <v/>
      </c>
    </row>
    <row r="4136">
      <c r="A4136" t="inlineStr">
        <is>
          <t>RP0004135</t>
        </is>
      </c>
      <c r="B4136" t="inlineStr">
        <is>
          <t>LN200589</t>
        </is>
      </c>
      <c r="C4136" t="n">
        <v>1</v>
      </c>
      <c r="D4136" s="8" t="n">
        <v>45863</v>
      </c>
      <c r="E4136" s="9" t="n">
        <v>14322</v>
      </c>
      <c r="F4136" s="8" t="n">
        <v>45860</v>
      </c>
      <c r="G4136" s="9" t="n">
        <v>14322</v>
      </c>
      <c r="H4136" t="inlineStr">
        <is>
          <t>PAID_ON_TIME</t>
        </is>
      </c>
      <c r="I4136">
        <f>IF(H4136="UNPAID", AsOfDate-D4136, 0)</f>
        <v/>
      </c>
      <c r="J4136">
        <f>IF(F4136&lt;&gt;"", TEXT(F4136, "yyyy-mm"), "")</f>
        <v/>
      </c>
    </row>
    <row r="4137">
      <c r="A4137" t="inlineStr">
        <is>
          <t>RP0004136</t>
        </is>
      </c>
      <c r="B4137" t="inlineStr">
        <is>
          <t>LN200589</t>
        </is>
      </c>
      <c r="C4137" t="n">
        <v>2</v>
      </c>
      <c r="D4137" s="8" t="n">
        <v>45894</v>
      </c>
      <c r="E4137" s="9" t="n">
        <v>14322</v>
      </c>
      <c r="F4137" s="8" t="n">
        <v>45891</v>
      </c>
      <c r="G4137" s="9" t="n">
        <v>14322</v>
      </c>
      <c r="H4137" t="inlineStr">
        <is>
          <t>PAID_ON_TIME</t>
        </is>
      </c>
      <c r="I4137">
        <f>IF(H4137="UNPAID", AsOfDate-D4137, 0)</f>
        <v/>
      </c>
      <c r="J4137">
        <f>IF(F4137&lt;&gt;"", TEXT(F4137, "yyyy-mm"), "")</f>
        <v/>
      </c>
    </row>
    <row r="4138">
      <c r="A4138" t="inlineStr">
        <is>
          <t>RP0004137</t>
        </is>
      </c>
      <c r="B4138" t="inlineStr">
        <is>
          <t>LN200589</t>
        </is>
      </c>
      <c r="C4138" t="n">
        <v>3</v>
      </c>
      <c r="D4138" s="8" t="n">
        <v>45925</v>
      </c>
      <c r="E4138" s="9" t="n">
        <v>14322</v>
      </c>
      <c r="F4138" s="8" t="n">
        <v>45922</v>
      </c>
      <c r="G4138" s="9" t="n">
        <v>14322</v>
      </c>
      <c r="H4138" t="inlineStr">
        <is>
          <t>PAID_ON_TIME</t>
        </is>
      </c>
      <c r="I4138">
        <f>IF(H4138="UNPAID", AsOfDate-D4138, 0)</f>
        <v/>
      </c>
      <c r="J4138">
        <f>IF(F4138&lt;&gt;"", TEXT(F4138, "yyyy-mm"), "")</f>
        <v/>
      </c>
    </row>
    <row r="4139">
      <c r="A4139" t="inlineStr">
        <is>
          <t>RP0004138</t>
        </is>
      </c>
      <c r="B4139" t="inlineStr">
        <is>
          <t>LN200589</t>
        </is>
      </c>
      <c r="C4139" t="n">
        <v>4</v>
      </c>
      <c r="D4139" s="8" t="n">
        <v>45955</v>
      </c>
      <c r="E4139" s="9" t="n">
        <v>14322</v>
      </c>
      <c r="F4139" s="8" t="n">
        <v>46066</v>
      </c>
      <c r="G4139" s="9" t="n">
        <v>14322</v>
      </c>
      <c r="H4139" t="inlineStr">
        <is>
          <t>PAID_LATE</t>
        </is>
      </c>
      <c r="I4139">
        <f>IF(H4139="UNPAID", AsOfDate-D4139, 0)</f>
        <v/>
      </c>
      <c r="J4139">
        <f>IF(F4139&lt;&gt;"", TEXT(F4139, "yyyy-mm"), "")</f>
        <v/>
      </c>
    </row>
    <row r="4140">
      <c r="A4140" t="inlineStr">
        <is>
          <t>RP0004139</t>
        </is>
      </c>
      <c r="B4140" t="inlineStr">
        <is>
          <t>LN200589</t>
        </is>
      </c>
      <c r="C4140" t="n">
        <v>5</v>
      </c>
      <c r="D4140" s="8" t="n">
        <v>45986</v>
      </c>
      <c r="E4140" s="9" t="n">
        <v>14322</v>
      </c>
      <c r="F4140" s="8" t="n">
        <v>45987</v>
      </c>
      <c r="G4140" s="9" t="n">
        <v>14322</v>
      </c>
      <c r="H4140" t="inlineStr">
        <is>
          <t>PAID_ON_TIME</t>
        </is>
      </c>
      <c r="I4140">
        <f>IF(H4140="UNPAID", AsOfDate-D4140, 0)</f>
        <v/>
      </c>
      <c r="J4140">
        <f>IF(F4140&lt;&gt;"", TEXT(F4140, "yyyy-mm"), "")</f>
        <v/>
      </c>
    </row>
    <row r="4141">
      <c r="A4141" t="inlineStr">
        <is>
          <t>RP0004140</t>
        </is>
      </c>
      <c r="B4141" t="inlineStr">
        <is>
          <t>LN200589</t>
        </is>
      </c>
      <c r="C4141" t="n">
        <v>6</v>
      </c>
      <c r="D4141" s="8" t="n">
        <v>46016</v>
      </c>
      <c r="E4141" s="9" t="n">
        <v>14322</v>
      </c>
      <c r="F4141" s="8" t="n">
        <v>46014</v>
      </c>
      <c r="G4141" s="9" t="n">
        <v>14322</v>
      </c>
      <c r="H4141" t="inlineStr">
        <is>
          <t>PAID_ON_TIME</t>
        </is>
      </c>
      <c r="I4141">
        <f>IF(H4141="UNPAID", AsOfDate-D4141, 0)</f>
        <v/>
      </c>
      <c r="J4141">
        <f>IF(F4141&lt;&gt;"", TEXT(F4141, "yyyy-mm"), "")</f>
        <v/>
      </c>
    </row>
    <row r="4142">
      <c r="A4142" t="inlineStr">
        <is>
          <t>RP0004141</t>
        </is>
      </c>
      <c r="B4142" t="inlineStr">
        <is>
          <t>LN200590</t>
        </is>
      </c>
      <c r="C4142" t="n">
        <v>1</v>
      </c>
      <c r="D4142" s="8" t="n">
        <v>46055</v>
      </c>
      <c r="E4142" s="9" t="n">
        <v>66705.83</v>
      </c>
      <c r="F4142" s="8" t="n">
        <v>46055</v>
      </c>
      <c r="G4142" s="9" t="n">
        <v>66705.83</v>
      </c>
      <c r="H4142" t="inlineStr">
        <is>
          <t>PAID_ON_TIME</t>
        </is>
      </c>
      <c r="I4142">
        <f>IF(H4142="UNPAID", AsOfDate-D4142, 0)</f>
        <v/>
      </c>
      <c r="J4142">
        <f>IF(F4142&lt;&gt;"", TEXT(F4142, "yyyy-mm"), "")</f>
        <v/>
      </c>
    </row>
    <row r="4143">
      <c r="A4143" t="inlineStr">
        <is>
          <t>RP0004142</t>
        </is>
      </c>
      <c r="B4143" t="inlineStr">
        <is>
          <t>LN200590</t>
        </is>
      </c>
      <c r="C4143" t="n">
        <v>2</v>
      </c>
      <c r="D4143" s="8" t="n">
        <v>46083</v>
      </c>
      <c r="E4143" s="9" t="n">
        <v>66705.83</v>
      </c>
      <c r="F4143" s="8" t="n">
        <v>46084</v>
      </c>
      <c r="G4143" s="9" t="n">
        <v>66705.83</v>
      </c>
      <c r="H4143" t="inlineStr">
        <is>
          <t>PAID_ON_TIME</t>
        </is>
      </c>
      <c r="I4143">
        <f>IF(H4143="UNPAID", AsOfDate-D4143, 0)</f>
        <v/>
      </c>
      <c r="J4143">
        <f>IF(F4143&lt;&gt;"", TEXT(F4143, "yyyy-mm"), "")</f>
        <v/>
      </c>
    </row>
    <row r="4144">
      <c r="A4144" t="inlineStr">
        <is>
          <t>RP0004143</t>
        </is>
      </c>
      <c r="B4144" t="inlineStr">
        <is>
          <t>LN200590</t>
        </is>
      </c>
      <c r="C4144" t="n">
        <v>3</v>
      </c>
      <c r="D4144" s="8" t="n">
        <v>46114</v>
      </c>
      <c r="E4144" s="9" t="n">
        <v>66705.83</v>
      </c>
      <c r="F4144" s="8" t="n">
        <v>46116</v>
      </c>
      <c r="G4144" s="9" t="n">
        <v>66705.83</v>
      </c>
      <c r="H4144" t="inlineStr">
        <is>
          <t>PAID_ON_TIME</t>
        </is>
      </c>
      <c r="I4144">
        <f>IF(H4144="UNPAID", AsOfDate-D4144, 0)</f>
        <v/>
      </c>
      <c r="J4144">
        <f>IF(F4144&lt;&gt;"", TEXT(F4144, "yyyy-mm"), "")</f>
        <v/>
      </c>
    </row>
    <row r="4145">
      <c r="A4145" t="inlineStr">
        <is>
          <t>RP0004144</t>
        </is>
      </c>
      <c r="B4145" t="inlineStr">
        <is>
          <t>LN200591</t>
        </is>
      </c>
      <c r="C4145" t="n">
        <v>1</v>
      </c>
      <c r="D4145" s="8" t="n">
        <v>45709</v>
      </c>
      <c r="E4145" s="9" t="n">
        <v>24115</v>
      </c>
      <c r="F4145" s="8" t="n">
        <v>45706</v>
      </c>
      <c r="G4145" s="9" t="n">
        <v>24115</v>
      </c>
      <c r="H4145" t="inlineStr">
        <is>
          <t>PAID_ON_TIME</t>
        </is>
      </c>
      <c r="I4145">
        <f>IF(H4145="UNPAID", AsOfDate-D4145, 0)</f>
        <v/>
      </c>
      <c r="J4145">
        <f>IF(F4145&lt;&gt;"", TEXT(F4145, "yyyy-mm"), "")</f>
        <v/>
      </c>
    </row>
    <row r="4146">
      <c r="A4146" t="inlineStr">
        <is>
          <t>RP0004145</t>
        </is>
      </c>
      <c r="B4146" t="inlineStr">
        <is>
          <t>LN200591</t>
        </is>
      </c>
      <c r="C4146" t="n">
        <v>2</v>
      </c>
      <c r="D4146" s="8" t="n">
        <v>45737</v>
      </c>
      <c r="E4146" s="9" t="n">
        <v>24115</v>
      </c>
      <c r="F4146" s="8" t="n">
        <v>45737</v>
      </c>
      <c r="G4146" s="9" t="n">
        <v>24115</v>
      </c>
      <c r="H4146" t="inlineStr">
        <is>
          <t>PAID_ON_TIME</t>
        </is>
      </c>
      <c r="I4146">
        <f>IF(H4146="UNPAID", AsOfDate-D4146, 0)</f>
        <v/>
      </c>
      <c r="J4146">
        <f>IF(F4146&lt;&gt;"", TEXT(F4146, "yyyy-mm"), "")</f>
        <v/>
      </c>
    </row>
    <row r="4147">
      <c r="A4147" t="inlineStr">
        <is>
          <t>RP0004146</t>
        </is>
      </c>
      <c r="B4147" t="inlineStr">
        <is>
          <t>LN200591</t>
        </is>
      </c>
      <c r="C4147" t="n">
        <v>3</v>
      </c>
      <c r="D4147" s="8" t="n">
        <v>45768</v>
      </c>
      <c r="E4147" s="9" t="n">
        <v>24115</v>
      </c>
      <c r="F4147" s="8" t="n">
        <v>45771</v>
      </c>
      <c r="G4147" s="9" t="n">
        <v>24115</v>
      </c>
      <c r="H4147" t="inlineStr">
        <is>
          <t>PAID_ON_TIME</t>
        </is>
      </c>
      <c r="I4147">
        <f>IF(H4147="UNPAID", AsOfDate-D4147, 0)</f>
        <v/>
      </c>
      <c r="J4147">
        <f>IF(F4147&lt;&gt;"", TEXT(F4147, "yyyy-mm"), "")</f>
        <v/>
      </c>
    </row>
    <row r="4148">
      <c r="A4148" t="inlineStr">
        <is>
          <t>RP0004147</t>
        </is>
      </c>
      <c r="B4148" t="inlineStr">
        <is>
          <t>LN200592</t>
        </is>
      </c>
      <c r="C4148" t="n">
        <v>1</v>
      </c>
      <c r="D4148" s="8" t="n">
        <v>46246</v>
      </c>
      <c r="E4148" s="9" t="n">
        <v>42842.33</v>
      </c>
      <c r="F4148" s="8" t="n"/>
      <c r="G4148" s="9" t="n">
        <v>0</v>
      </c>
      <c r="H4148" t="inlineStr">
        <is>
          <t>UNPAID</t>
        </is>
      </c>
      <c r="I4148">
        <f>IF(H4148="UNPAID", AsOfDate-D4148, 0)</f>
        <v/>
      </c>
      <c r="J4148">
        <f>IF(F4148&lt;&gt;"", TEXT(F4148, "yyyy-mm"), "")</f>
        <v/>
      </c>
    </row>
    <row r="4149">
      <c r="A4149" t="inlineStr">
        <is>
          <t>RP0004148</t>
        </is>
      </c>
      <c r="B4149" t="inlineStr">
        <is>
          <t>LN200592</t>
        </is>
      </c>
      <c r="C4149" t="n">
        <v>2</v>
      </c>
      <c r="D4149" s="8" t="n">
        <v>46277</v>
      </c>
      <c r="E4149" s="9" t="n">
        <v>42842.33</v>
      </c>
      <c r="F4149" s="8" t="n"/>
      <c r="G4149" s="9" t="n">
        <v>0</v>
      </c>
      <c r="H4149" t="inlineStr">
        <is>
          <t>NOT_DUE</t>
        </is>
      </c>
      <c r="I4149">
        <f>IF(H4149="UNPAID", AsOfDate-D4149, 0)</f>
        <v/>
      </c>
      <c r="J4149">
        <f>IF(F4149&lt;&gt;"", TEXT(F4149, "yyyy-mm"), "")</f>
        <v/>
      </c>
    </row>
    <row r="4150">
      <c r="A4150" t="inlineStr">
        <is>
          <t>RP0004149</t>
        </is>
      </c>
      <c r="B4150" t="inlineStr">
        <is>
          <t>LN200592</t>
        </is>
      </c>
      <c r="C4150" t="n">
        <v>3</v>
      </c>
      <c r="D4150" s="8" t="n">
        <v>46307</v>
      </c>
      <c r="E4150" s="9" t="n">
        <v>42842.33</v>
      </c>
      <c r="F4150" s="8" t="n"/>
      <c r="G4150" s="9" t="n">
        <v>0</v>
      </c>
      <c r="H4150" t="inlineStr">
        <is>
          <t>NOT_DUE</t>
        </is>
      </c>
      <c r="I4150">
        <f>IF(H4150="UNPAID", AsOfDate-D4150, 0)</f>
        <v/>
      </c>
      <c r="J4150">
        <f>IF(F4150&lt;&gt;"", TEXT(F4150, "yyyy-mm"), "")</f>
        <v/>
      </c>
    </row>
    <row r="4151">
      <c r="A4151" t="inlineStr">
        <is>
          <t>RP0004150</t>
        </is>
      </c>
      <c r="B4151" t="inlineStr">
        <is>
          <t>LN200593</t>
        </is>
      </c>
      <c r="C4151" t="n">
        <v>1</v>
      </c>
      <c r="D4151" s="8" t="n">
        <v>46099</v>
      </c>
      <c r="E4151" s="9" t="n">
        <v>6122.67</v>
      </c>
      <c r="F4151" s="8" t="n">
        <v>46099</v>
      </c>
      <c r="G4151" s="9" t="n">
        <v>6122.67</v>
      </c>
      <c r="H4151" t="inlineStr">
        <is>
          <t>PAID_ON_TIME</t>
        </is>
      </c>
      <c r="I4151">
        <f>IF(H4151="UNPAID", AsOfDate-D4151, 0)</f>
        <v/>
      </c>
      <c r="J4151">
        <f>IF(F4151&lt;&gt;"", TEXT(F4151, "yyyy-mm"), "")</f>
        <v/>
      </c>
    </row>
    <row r="4152">
      <c r="A4152" t="inlineStr">
        <is>
          <t>RP0004151</t>
        </is>
      </c>
      <c r="B4152" t="inlineStr">
        <is>
          <t>LN200593</t>
        </is>
      </c>
      <c r="C4152" t="n">
        <v>2</v>
      </c>
      <c r="D4152" s="8" t="n">
        <v>46130</v>
      </c>
      <c r="E4152" s="9" t="n">
        <v>6122.67</v>
      </c>
      <c r="F4152" s="8" t="n">
        <v>46132</v>
      </c>
      <c r="G4152" s="9" t="n">
        <v>6122.67</v>
      </c>
      <c r="H4152" t="inlineStr">
        <is>
          <t>PAID_ON_TIME</t>
        </is>
      </c>
      <c r="I4152">
        <f>IF(H4152="UNPAID", AsOfDate-D4152, 0)</f>
        <v/>
      </c>
      <c r="J4152">
        <f>IF(F4152&lt;&gt;"", TEXT(F4152, "yyyy-mm"), "")</f>
        <v/>
      </c>
    </row>
    <row r="4153">
      <c r="A4153" t="inlineStr">
        <is>
          <t>RP0004152</t>
        </is>
      </c>
      <c r="B4153" t="inlineStr">
        <is>
          <t>LN200593</t>
        </is>
      </c>
      <c r="C4153" t="n">
        <v>3</v>
      </c>
      <c r="D4153" s="8" t="n">
        <v>46160</v>
      </c>
      <c r="E4153" s="9" t="n">
        <v>6122.67</v>
      </c>
      <c r="F4153" s="8" t="n">
        <v>46159</v>
      </c>
      <c r="G4153" s="9" t="n">
        <v>6122.67</v>
      </c>
      <c r="H4153" t="inlineStr">
        <is>
          <t>PAID_ON_TIME</t>
        </is>
      </c>
      <c r="I4153">
        <f>IF(H4153="UNPAID", AsOfDate-D4153, 0)</f>
        <v/>
      </c>
      <c r="J4153">
        <f>IF(F4153&lt;&gt;"", TEXT(F4153, "yyyy-mm"), "")</f>
        <v/>
      </c>
    </row>
    <row r="4154">
      <c r="A4154" t="inlineStr">
        <is>
          <t>RP0004153</t>
        </is>
      </c>
      <c r="B4154" t="inlineStr">
        <is>
          <t>LN200593</t>
        </is>
      </c>
      <c r="C4154" t="n">
        <v>4</v>
      </c>
      <c r="D4154" s="8" t="n">
        <v>46191</v>
      </c>
      <c r="E4154" s="9" t="n">
        <v>6122.67</v>
      </c>
      <c r="F4154" s="8" t="n">
        <v>46192</v>
      </c>
      <c r="G4154" s="9" t="n">
        <v>6122.67</v>
      </c>
      <c r="H4154" t="inlineStr">
        <is>
          <t>PAID_ON_TIME</t>
        </is>
      </c>
      <c r="I4154">
        <f>IF(H4154="UNPAID", AsOfDate-D4154, 0)</f>
        <v/>
      </c>
      <c r="J4154">
        <f>IF(F4154&lt;&gt;"", TEXT(F4154, "yyyy-mm"), "")</f>
        <v/>
      </c>
    </row>
    <row r="4155">
      <c r="A4155" t="inlineStr">
        <is>
          <t>RP0004154</t>
        </is>
      </c>
      <c r="B4155" t="inlineStr">
        <is>
          <t>LN200593</t>
        </is>
      </c>
      <c r="C4155" t="n">
        <v>5</v>
      </c>
      <c r="D4155" s="8" t="n">
        <v>46221</v>
      </c>
      <c r="E4155" s="9" t="n">
        <v>6122.67</v>
      </c>
      <c r="F4155" s="8" t="n">
        <v>46224</v>
      </c>
      <c r="G4155" s="9" t="n">
        <v>6122.67</v>
      </c>
      <c r="H4155" t="inlineStr">
        <is>
          <t>PAID_ON_TIME</t>
        </is>
      </c>
      <c r="I4155">
        <f>IF(H4155="UNPAID", AsOfDate-D4155, 0)</f>
        <v/>
      </c>
      <c r="J4155">
        <f>IF(F4155&lt;&gt;"", TEXT(F4155, "yyyy-mm"), "")</f>
        <v/>
      </c>
    </row>
    <row r="4156">
      <c r="A4156" t="inlineStr">
        <is>
          <t>RP0004155</t>
        </is>
      </c>
      <c r="B4156" t="inlineStr">
        <is>
          <t>LN200593</t>
        </is>
      </c>
      <c r="C4156" t="n">
        <v>6</v>
      </c>
      <c r="D4156" s="8" t="n">
        <v>46252</v>
      </c>
      <c r="E4156" s="9" t="n">
        <v>6122.67</v>
      </c>
      <c r="F4156" s="8" t="n">
        <v>46249</v>
      </c>
      <c r="G4156" s="9" t="n">
        <v>6122.67</v>
      </c>
      <c r="H4156" t="inlineStr">
        <is>
          <t>PAID_ON_TIME</t>
        </is>
      </c>
      <c r="I4156">
        <f>IF(H4156="UNPAID", AsOfDate-D4156, 0)</f>
        <v/>
      </c>
      <c r="J4156">
        <f>IF(F4156&lt;&gt;"", TEXT(F4156, "yyyy-mm"), "")</f>
        <v/>
      </c>
    </row>
    <row r="4157">
      <c r="A4157" t="inlineStr">
        <is>
          <t>RP0004156</t>
        </is>
      </c>
      <c r="B4157" t="inlineStr">
        <is>
          <t>LN200593</t>
        </is>
      </c>
      <c r="C4157" t="n">
        <v>7</v>
      </c>
      <c r="D4157" s="8" t="n">
        <v>46283</v>
      </c>
      <c r="E4157" s="9" t="n">
        <v>6122.67</v>
      </c>
      <c r="F4157" s="8" t="n"/>
      <c r="G4157" s="9" t="n">
        <v>0</v>
      </c>
      <c r="H4157" t="inlineStr">
        <is>
          <t>NOT_DUE</t>
        </is>
      </c>
      <c r="I4157">
        <f>IF(H4157="UNPAID", AsOfDate-D4157, 0)</f>
        <v/>
      </c>
      <c r="J4157">
        <f>IF(F4157&lt;&gt;"", TEXT(F4157, "yyyy-mm"), "")</f>
        <v/>
      </c>
    </row>
    <row r="4158">
      <c r="A4158" t="inlineStr">
        <is>
          <t>RP0004157</t>
        </is>
      </c>
      <c r="B4158" t="inlineStr">
        <is>
          <t>LN200593</t>
        </is>
      </c>
      <c r="C4158" t="n">
        <v>8</v>
      </c>
      <c r="D4158" s="8" t="n">
        <v>46313</v>
      </c>
      <c r="E4158" s="9" t="n">
        <v>6122.67</v>
      </c>
      <c r="F4158" s="8" t="n"/>
      <c r="G4158" s="9" t="n">
        <v>0</v>
      </c>
      <c r="H4158" t="inlineStr">
        <is>
          <t>NOT_DUE</t>
        </is>
      </c>
      <c r="I4158">
        <f>IF(H4158="UNPAID", AsOfDate-D4158, 0)</f>
        <v/>
      </c>
      <c r="J4158">
        <f>IF(F4158&lt;&gt;"", TEXT(F4158, "yyyy-mm"), "")</f>
        <v/>
      </c>
    </row>
    <row r="4159">
      <c r="A4159" t="inlineStr">
        <is>
          <t>RP0004158</t>
        </is>
      </c>
      <c r="B4159" t="inlineStr">
        <is>
          <t>LN200593</t>
        </is>
      </c>
      <c r="C4159" t="n">
        <v>9</v>
      </c>
      <c r="D4159" s="8" t="n">
        <v>46344</v>
      </c>
      <c r="E4159" s="9" t="n">
        <v>6122.67</v>
      </c>
      <c r="F4159" s="8" t="n"/>
      <c r="G4159" s="9" t="n">
        <v>0</v>
      </c>
      <c r="H4159" t="inlineStr">
        <is>
          <t>NOT_DUE</t>
        </is>
      </c>
      <c r="I4159">
        <f>IF(H4159="UNPAID", AsOfDate-D4159, 0)</f>
        <v/>
      </c>
      <c r="J4159">
        <f>IF(F4159&lt;&gt;"", TEXT(F4159, "yyyy-mm"), "")</f>
        <v/>
      </c>
    </row>
    <row r="4160">
      <c r="A4160" t="inlineStr">
        <is>
          <t>RP0004159</t>
        </is>
      </c>
      <c r="B4160" t="inlineStr">
        <is>
          <t>LN200593</t>
        </is>
      </c>
      <c r="C4160" t="n">
        <v>10</v>
      </c>
      <c r="D4160" s="8" t="n">
        <v>46374</v>
      </c>
      <c r="E4160" s="9" t="n">
        <v>6122.67</v>
      </c>
      <c r="F4160" s="8" t="n"/>
      <c r="G4160" s="9" t="n">
        <v>0</v>
      </c>
      <c r="H4160" t="inlineStr">
        <is>
          <t>NOT_DUE</t>
        </is>
      </c>
      <c r="I4160">
        <f>IF(H4160="UNPAID", AsOfDate-D4160, 0)</f>
        <v/>
      </c>
      <c r="J4160">
        <f>IF(F4160&lt;&gt;"", TEXT(F4160, "yyyy-mm"), "")</f>
        <v/>
      </c>
    </row>
    <row r="4161">
      <c r="A4161" t="inlineStr">
        <is>
          <t>RP0004160</t>
        </is>
      </c>
      <c r="B4161" t="inlineStr">
        <is>
          <t>LN200593</t>
        </is>
      </c>
      <c r="C4161" t="n">
        <v>11</v>
      </c>
      <c r="D4161" s="8" t="n">
        <v>46405</v>
      </c>
      <c r="E4161" s="9" t="n">
        <v>6122.67</v>
      </c>
      <c r="F4161" s="8" t="n"/>
      <c r="G4161" s="9" t="n">
        <v>0</v>
      </c>
      <c r="H4161" t="inlineStr">
        <is>
          <t>NOT_DUE</t>
        </is>
      </c>
      <c r="I4161">
        <f>IF(H4161="UNPAID", AsOfDate-D4161, 0)</f>
        <v/>
      </c>
      <c r="J4161">
        <f>IF(F4161&lt;&gt;"", TEXT(F4161, "yyyy-mm"), "")</f>
        <v/>
      </c>
    </row>
    <row r="4162">
      <c r="A4162" t="inlineStr">
        <is>
          <t>RP0004161</t>
        </is>
      </c>
      <c r="B4162" t="inlineStr">
        <is>
          <t>LN200593</t>
        </is>
      </c>
      <c r="C4162" t="n">
        <v>12</v>
      </c>
      <c r="D4162" s="8" t="n">
        <v>46436</v>
      </c>
      <c r="E4162" s="9" t="n">
        <v>6122.67</v>
      </c>
      <c r="F4162" s="8" t="n"/>
      <c r="G4162" s="9" t="n">
        <v>0</v>
      </c>
      <c r="H4162" t="inlineStr">
        <is>
          <t>NOT_DUE</t>
        </is>
      </c>
      <c r="I4162">
        <f>IF(H4162="UNPAID", AsOfDate-D4162, 0)</f>
        <v/>
      </c>
      <c r="J4162">
        <f>IF(F4162&lt;&gt;"", TEXT(F4162, "yyyy-mm"), "")</f>
        <v/>
      </c>
    </row>
    <row r="4163">
      <c r="A4163" t="inlineStr">
        <is>
          <t>RP0004162</t>
        </is>
      </c>
      <c r="B4163" t="inlineStr">
        <is>
          <t>LN200594</t>
        </is>
      </c>
      <c r="C4163" t="n">
        <v>1</v>
      </c>
      <c r="D4163" s="8" t="n">
        <v>46238</v>
      </c>
      <c r="E4163" s="9" t="n">
        <v>11298</v>
      </c>
      <c r="F4163" s="8" t="n"/>
      <c r="G4163" s="9" t="n">
        <v>0</v>
      </c>
      <c r="H4163" t="inlineStr">
        <is>
          <t>UNPAID</t>
        </is>
      </c>
      <c r="I4163">
        <f>IF(H4163="UNPAID", AsOfDate-D4163, 0)</f>
        <v/>
      </c>
      <c r="J4163">
        <f>IF(F4163&lt;&gt;"", TEXT(F4163, "yyyy-mm"), "")</f>
        <v/>
      </c>
    </row>
    <row r="4164">
      <c r="A4164" t="inlineStr">
        <is>
          <t>RP0004163</t>
        </is>
      </c>
      <c r="B4164" t="inlineStr">
        <is>
          <t>LN200594</t>
        </is>
      </c>
      <c r="C4164" t="n">
        <v>2</v>
      </c>
      <c r="D4164" s="8" t="n">
        <v>46269</v>
      </c>
      <c r="E4164" s="9" t="n">
        <v>11298</v>
      </c>
      <c r="F4164" s="8" t="n"/>
      <c r="G4164" s="9" t="n">
        <v>0</v>
      </c>
      <c r="H4164" t="inlineStr">
        <is>
          <t>NOT_DUE</t>
        </is>
      </c>
      <c r="I4164">
        <f>IF(H4164="UNPAID", AsOfDate-D4164, 0)</f>
        <v/>
      </c>
      <c r="J4164">
        <f>IF(F4164&lt;&gt;"", TEXT(F4164, "yyyy-mm"), "")</f>
        <v/>
      </c>
    </row>
    <row r="4165">
      <c r="A4165" t="inlineStr">
        <is>
          <t>RP0004164</t>
        </is>
      </c>
      <c r="B4165" t="inlineStr">
        <is>
          <t>LN200594</t>
        </is>
      </c>
      <c r="C4165" t="n">
        <v>3</v>
      </c>
      <c r="D4165" s="8" t="n">
        <v>46299</v>
      </c>
      <c r="E4165" s="9" t="n">
        <v>11298</v>
      </c>
      <c r="F4165" s="8" t="n"/>
      <c r="G4165" s="9" t="n">
        <v>0</v>
      </c>
      <c r="H4165" t="inlineStr">
        <is>
          <t>NOT_DUE</t>
        </is>
      </c>
      <c r="I4165">
        <f>IF(H4165="UNPAID", AsOfDate-D4165, 0)</f>
        <v/>
      </c>
      <c r="J4165">
        <f>IF(F4165&lt;&gt;"", TEXT(F4165, "yyyy-mm"), "")</f>
        <v/>
      </c>
    </row>
    <row r="4166">
      <c r="A4166" t="inlineStr">
        <is>
          <t>RP0004165</t>
        </is>
      </c>
      <c r="B4166" t="inlineStr">
        <is>
          <t>LN200594</t>
        </is>
      </c>
      <c r="C4166" t="n">
        <v>4</v>
      </c>
      <c r="D4166" s="8" t="n">
        <v>46330</v>
      </c>
      <c r="E4166" s="9" t="n">
        <v>11298</v>
      </c>
      <c r="F4166" s="8" t="n"/>
      <c r="G4166" s="9" t="n">
        <v>0</v>
      </c>
      <c r="H4166" t="inlineStr">
        <is>
          <t>NOT_DUE</t>
        </is>
      </c>
      <c r="I4166">
        <f>IF(H4166="UNPAID", AsOfDate-D4166, 0)</f>
        <v/>
      </c>
      <c r="J4166">
        <f>IF(F4166&lt;&gt;"", TEXT(F4166, "yyyy-mm"), "")</f>
        <v/>
      </c>
    </row>
    <row r="4167">
      <c r="A4167" t="inlineStr">
        <is>
          <t>RP0004166</t>
        </is>
      </c>
      <c r="B4167" t="inlineStr">
        <is>
          <t>LN200594</t>
        </is>
      </c>
      <c r="C4167" t="n">
        <v>5</v>
      </c>
      <c r="D4167" s="8" t="n">
        <v>46360</v>
      </c>
      <c r="E4167" s="9" t="n">
        <v>11298</v>
      </c>
      <c r="F4167" s="8" t="n"/>
      <c r="G4167" s="9" t="n">
        <v>0</v>
      </c>
      <c r="H4167" t="inlineStr">
        <is>
          <t>NOT_DUE</t>
        </is>
      </c>
      <c r="I4167">
        <f>IF(H4167="UNPAID", AsOfDate-D4167, 0)</f>
        <v/>
      </c>
      <c r="J4167">
        <f>IF(F4167&lt;&gt;"", TEXT(F4167, "yyyy-mm"), "")</f>
        <v/>
      </c>
    </row>
    <row r="4168">
      <c r="A4168" t="inlineStr">
        <is>
          <t>RP0004167</t>
        </is>
      </c>
      <c r="B4168" t="inlineStr">
        <is>
          <t>LN200594</t>
        </is>
      </c>
      <c r="C4168" t="n">
        <v>6</v>
      </c>
      <c r="D4168" s="8" t="n">
        <v>46391</v>
      </c>
      <c r="E4168" s="9" t="n">
        <v>11298</v>
      </c>
      <c r="F4168" s="8" t="n"/>
      <c r="G4168" s="9" t="n">
        <v>0</v>
      </c>
      <c r="H4168" t="inlineStr">
        <is>
          <t>NOT_DUE</t>
        </is>
      </c>
      <c r="I4168">
        <f>IF(H4168="UNPAID", AsOfDate-D4168, 0)</f>
        <v/>
      </c>
      <c r="J4168">
        <f>IF(F4168&lt;&gt;"", TEXT(F4168, "yyyy-mm"), "")</f>
        <v/>
      </c>
    </row>
    <row r="4169">
      <c r="A4169" t="inlineStr">
        <is>
          <t>RP0004168</t>
        </is>
      </c>
      <c r="B4169" t="inlineStr">
        <is>
          <t>LN200595</t>
        </is>
      </c>
      <c r="C4169" t="n">
        <v>1</v>
      </c>
      <c r="D4169" s="8" t="n">
        <v>45997</v>
      </c>
      <c r="E4169" s="9" t="n">
        <v>60978.75</v>
      </c>
      <c r="F4169" s="8" t="n">
        <v>45997</v>
      </c>
      <c r="G4169" s="9" t="n">
        <v>60978.75</v>
      </c>
      <c r="H4169" t="inlineStr">
        <is>
          <t>PAID_ON_TIME</t>
        </is>
      </c>
      <c r="I4169">
        <f>IF(H4169="UNPAID", AsOfDate-D4169, 0)</f>
        <v/>
      </c>
      <c r="J4169">
        <f>IF(F4169&lt;&gt;"", TEXT(F4169, "yyyy-mm"), "")</f>
        <v/>
      </c>
    </row>
    <row r="4170">
      <c r="A4170" t="inlineStr">
        <is>
          <t>RP0004169</t>
        </is>
      </c>
      <c r="B4170" t="inlineStr">
        <is>
          <t>LN200595</t>
        </is>
      </c>
      <c r="C4170" t="n">
        <v>2</v>
      </c>
      <c r="D4170" s="8" t="n">
        <v>46028</v>
      </c>
      <c r="E4170" s="9" t="n">
        <v>60978.75</v>
      </c>
      <c r="F4170" s="8" t="n">
        <v>46025</v>
      </c>
      <c r="G4170" s="9" t="n">
        <v>60978.75</v>
      </c>
      <c r="H4170" t="inlineStr">
        <is>
          <t>PAID_ON_TIME</t>
        </is>
      </c>
      <c r="I4170">
        <f>IF(H4170="UNPAID", AsOfDate-D4170, 0)</f>
        <v/>
      </c>
      <c r="J4170">
        <f>IF(F4170&lt;&gt;"", TEXT(F4170, "yyyy-mm"), "")</f>
        <v/>
      </c>
    </row>
    <row r="4171">
      <c r="A4171" t="inlineStr">
        <is>
          <t>RP0004170</t>
        </is>
      </c>
      <c r="B4171" t="inlineStr">
        <is>
          <t>LN200595</t>
        </is>
      </c>
      <c r="C4171" t="n">
        <v>3</v>
      </c>
      <c r="D4171" s="8" t="n">
        <v>46059</v>
      </c>
      <c r="E4171" s="9" t="n">
        <v>60978.75</v>
      </c>
      <c r="F4171" s="8" t="n">
        <v>46056</v>
      </c>
      <c r="G4171" s="9" t="n">
        <v>60978.75</v>
      </c>
      <c r="H4171" t="inlineStr">
        <is>
          <t>PAID_ON_TIME</t>
        </is>
      </c>
      <c r="I4171">
        <f>IF(H4171="UNPAID", AsOfDate-D4171, 0)</f>
        <v/>
      </c>
      <c r="J4171">
        <f>IF(F4171&lt;&gt;"", TEXT(F4171, "yyyy-mm"), "")</f>
        <v/>
      </c>
    </row>
    <row r="4172">
      <c r="A4172" t="inlineStr">
        <is>
          <t>RP0004171</t>
        </is>
      </c>
      <c r="B4172" t="inlineStr">
        <is>
          <t>LN200595</t>
        </is>
      </c>
      <c r="C4172" t="n">
        <v>4</v>
      </c>
      <c r="D4172" s="8" t="n">
        <v>46087</v>
      </c>
      <c r="E4172" s="9" t="n">
        <v>60978.75</v>
      </c>
      <c r="F4172" s="8" t="n">
        <v>46087</v>
      </c>
      <c r="G4172" s="9" t="n">
        <v>60978.75</v>
      </c>
      <c r="H4172" t="inlineStr">
        <is>
          <t>PAID_ON_TIME</t>
        </is>
      </c>
      <c r="I4172">
        <f>IF(H4172="UNPAID", AsOfDate-D4172, 0)</f>
        <v/>
      </c>
      <c r="J4172">
        <f>IF(F4172&lt;&gt;"", TEXT(F4172, "yyyy-mm"), "")</f>
        <v/>
      </c>
    </row>
    <row r="4173">
      <c r="A4173" t="inlineStr">
        <is>
          <t>RP0004172</t>
        </is>
      </c>
      <c r="B4173" t="inlineStr">
        <is>
          <t>LN200595</t>
        </is>
      </c>
      <c r="C4173" t="n">
        <v>5</v>
      </c>
      <c r="D4173" s="8" t="n">
        <v>46118</v>
      </c>
      <c r="E4173" s="9" t="n">
        <v>60978.75</v>
      </c>
      <c r="F4173" s="8" t="n">
        <v>46115</v>
      </c>
      <c r="G4173" s="9" t="n">
        <v>60978.75</v>
      </c>
      <c r="H4173" t="inlineStr">
        <is>
          <t>PAID_ON_TIME</t>
        </is>
      </c>
      <c r="I4173">
        <f>IF(H4173="UNPAID", AsOfDate-D4173, 0)</f>
        <v/>
      </c>
      <c r="J4173">
        <f>IF(F4173&lt;&gt;"", TEXT(F4173, "yyyy-mm"), "")</f>
        <v/>
      </c>
    </row>
    <row r="4174">
      <c r="A4174" t="inlineStr">
        <is>
          <t>RP0004173</t>
        </is>
      </c>
      <c r="B4174" t="inlineStr">
        <is>
          <t>LN200595</t>
        </is>
      </c>
      <c r="C4174" t="n">
        <v>6</v>
      </c>
      <c r="D4174" s="8" t="n">
        <v>46148</v>
      </c>
      <c r="E4174" s="9" t="n">
        <v>60978.75</v>
      </c>
      <c r="F4174" s="8" t="n">
        <v>46149</v>
      </c>
      <c r="G4174" s="9" t="n">
        <v>60978.75</v>
      </c>
      <c r="H4174" t="inlineStr">
        <is>
          <t>PAID_ON_TIME</t>
        </is>
      </c>
      <c r="I4174">
        <f>IF(H4174="UNPAID", AsOfDate-D4174, 0)</f>
        <v/>
      </c>
      <c r="J4174">
        <f>IF(F4174&lt;&gt;"", TEXT(F4174, "yyyy-mm"), "")</f>
        <v/>
      </c>
    </row>
    <row r="4175">
      <c r="A4175" t="inlineStr">
        <is>
          <t>RP0004174</t>
        </is>
      </c>
      <c r="B4175" t="inlineStr">
        <is>
          <t>LN200596</t>
        </is>
      </c>
      <c r="C4175" t="n">
        <v>1</v>
      </c>
      <c r="D4175" s="8" t="n">
        <v>46209</v>
      </c>
      <c r="E4175" s="9" t="n">
        <v>15399.39</v>
      </c>
      <c r="F4175" s="8" t="n">
        <v>46213</v>
      </c>
      <c r="G4175" s="9" t="n">
        <v>15399.39</v>
      </c>
      <c r="H4175" t="inlineStr">
        <is>
          <t>PAID_ON_TIME</t>
        </is>
      </c>
      <c r="I4175">
        <f>IF(H4175="UNPAID", AsOfDate-D4175, 0)</f>
        <v/>
      </c>
      <c r="J4175">
        <f>IF(F4175&lt;&gt;"", TEXT(F4175, "yyyy-mm"), "")</f>
        <v/>
      </c>
    </row>
    <row r="4176">
      <c r="A4176" t="inlineStr">
        <is>
          <t>RP0004175</t>
        </is>
      </c>
      <c r="B4176" t="inlineStr">
        <is>
          <t>LN200596</t>
        </is>
      </c>
      <c r="C4176" t="n">
        <v>2</v>
      </c>
      <c r="D4176" s="8" t="n">
        <v>46240</v>
      </c>
      <c r="E4176" s="9" t="n">
        <v>15399.39</v>
      </c>
      <c r="F4176" s="8" t="n">
        <v>46242</v>
      </c>
      <c r="G4176" s="9" t="n">
        <v>15399.39</v>
      </c>
      <c r="H4176" t="inlineStr">
        <is>
          <t>PAID_ON_TIME</t>
        </is>
      </c>
      <c r="I4176">
        <f>IF(H4176="UNPAID", AsOfDate-D4176, 0)</f>
        <v/>
      </c>
      <c r="J4176">
        <f>IF(F4176&lt;&gt;"", TEXT(F4176, "yyyy-mm"), "")</f>
        <v/>
      </c>
    </row>
    <row r="4177">
      <c r="A4177" t="inlineStr">
        <is>
          <t>RP0004176</t>
        </is>
      </c>
      <c r="B4177" t="inlineStr">
        <is>
          <t>LN200596</t>
        </is>
      </c>
      <c r="C4177" t="n">
        <v>3</v>
      </c>
      <c r="D4177" s="8" t="n">
        <v>46271</v>
      </c>
      <c r="E4177" s="9" t="n">
        <v>15399.39</v>
      </c>
      <c r="F4177" s="8" t="n"/>
      <c r="G4177" s="9" t="n">
        <v>0</v>
      </c>
      <c r="H4177" t="inlineStr">
        <is>
          <t>NOT_DUE</t>
        </is>
      </c>
      <c r="I4177">
        <f>IF(H4177="UNPAID", AsOfDate-D4177, 0)</f>
        <v/>
      </c>
      <c r="J4177">
        <f>IF(F4177&lt;&gt;"", TEXT(F4177, "yyyy-mm"), "")</f>
        <v/>
      </c>
    </row>
    <row r="4178">
      <c r="A4178" t="inlineStr">
        <is>
          <t>RP0004177</t>
        </is>
      </c>
      <c r="B4178" t="inlineStr">
        <is>
          <t>LN200596</t>
        </is>
      </c>
      <c r="C4178" t="n">
        <v>4</v>
      </c>
      <c r="D4178" s="8" t="n">
        <v>46301</v>
      </c>
      <c r="E4178" s="9" t="n">
        <v>15399.39</v>
      </c>
      <c r="F4178" s="8" t="n"/>
      <c r="G4178" s="9" t="n">
        <v>0</v>
      </c>
      <c r="H4178" t="inlineStr">
        <is>
          <t>NOT_DUE</t>
        </is>
      </c>
      <c r="I4178">
        <f>IF(H4178="UNPAID", AsOfDate-D4178, 0)</f>
        <v/>
      </c>
      <c r="J4178">
        <f>IF(F4178&lt;&gt;"", TEXT(F4178, "yyyy-mm"), "")</f>
        <v/>
      </c>
    </row>
    <row r="4179">
      <c r="A4179" t="inlineStr">
        <is>
          <t>RP0004178</t>
        </is>
      </c>
      <c r="B4179" t="inlineStr">
        <is>
          <t>LN200596</t>
        </is>
      </c>
      <c r="C4179" t="n">
        <v>5</v>
      </c>
      <c r="D4179" s="8" t="n">
        <v>46332</v>
      </c>
      <c r="E4179" s="9" t="n">
        <v>15399.39</v>
      </c>
      <c r="F4179" s="8" t="n"/>
      <c r="G4179" s="9" t="n">
        <v>0</v>
      </c>
      <c r="H4179" t="inlineStr">
        <is>
          <t>NOT_DUE</t>
        </is>
      </c>
      <c r="I4179">
        <f>IF(H4179="UNPAID", AsOfDate-D4179, 0)</f>
        <v/>
      </c>
      <c r="J4179">
        <f>IF(F4179&lt;&gt;"", TEXT(F4179, "yyyy-mm"), "")</f>
        <v/>
      </c>
    </row>
    <row r="4180">
      <c r="A4180" t="inlineStr">
        <is>
          <t>RP0004179</t>
        </is>
      </c>
      <c r="B4180" t="inlineStr">
        <is>
          <t>LN200596</t>
        </is>
      </c>
      <c r="C4180" t="n">
        <v>6</v>
      </c>
      <c r="D4180" s="8" t="n">
        <v>46362</v>
      </c>
      <c r="E4180" s="9" t="n">
        <v>15399.39</v>
      </c>
      <c r="F4180" s="8" t="n"/>
      <c r="G4180" s="9" t="n">
        <v>0</v>
      </c>
      <c r="H4180" t="inlineStr">
        <is>
          <t>NOT_DUE</t>
        </is>
      </c>
      <c r="I4180">
        <f>IF(H4180="UNPAID", AsOfDate-D4180, 0)</f>
        <v/>
      </c>
      <c r="J4180">
        <f>IF(F4180&lt;&gt;"", TEXT(F4180, "yyyy-mm"), "")</f>
        <v/>
      </c>
    </row>
    <row r="4181">
      <c r="A4181" t="inlineStr">
        <is>
          <t>RP0004180</t>
        </is>
      </c>
      <c r="B4181" t="inlineStr">
        <is>
          <t>LN200596</t>
        </is>
      </c>
      <c r="C4181" t="n">
        <v>7</v>
      </c>
      <c r="D4181" s="8" t="n">
        <v>46393</v>
      </c>
      <c r="E4181" s="9" t="n">
        <v>15399.39</v>
      </c>
      <c r="F4181" s="8" t="n"/>
      <c r="G4181" s="9" t="n">
        <v>0</v>
      </c>
      <c r="H4181" t="inlineStr">
        <is>
          <t>NOT_DUE</t>
        </is>
      </c>
      <c r="I4181">
        <f>IF(H4181="UNPAID", AsOfDate-D4181, 0)</f>
        <v/>
      </c>
      <c r="J4181">
        <f>IF(F4181&lt;&gt;"", TEXT(F4181, "yyyy-mm"), "")</f>
        <v/>
      </c>
    </row>
    <row r="4182">
      <c r="A4182" t="inlineStr">
        <is>
          <t>RP0004181</t>
        </is>
      </c>
      <c r="B4182" t="inlineStr">
        <is>
          <t>LN200596</t>
        </is>
      </c>
      <c r="C4182" t="n">
        <v>8</v>
      </c>
      <c r="D4182" s="8" t="n">
        <v>46424</v>
      </c>
      <c r="E4182" s="9" t="n">
        <v>15399.39</v>
      </c>
      <c r="F4182" s="8" t="n"/>
      <c r="G4182" s="9" t="n">
        <v>0</v>
      </c>
      <c r="H4182" t="inlineStr">
        <is>
          <t>NOT_DUE</t>
        </is>
      </c>
      <c r="I4182">
        <f>IF(H4182="UNPAID", AsOfDate-D4182, 0)</f>
        <v/>
      </c>
      <c r="J4182">
        <f>IF(F4182&lt;&gt;"", TEXT(F4182, "yyyy-mm"), "")</f>
        <v/>
      </c>
    </row>
    <row r="4183">
      <c r="A4183" t="inlineStr">
        <is>
          <t>RP0004182</t>
        </is>
      </c>
      <c r="B4183" t="inlineStr">
        <is>
          <t>LN200596</t>
        </is>
      </c>
      <c r="C4183" t="n">
        <v>9</v>
      </c>
      <c r="D4183" s="8" t="n">
        <v>46452</v>
      </c>
      <c r="E4183" s="9" t="n">
        <v>15399.39</v>
      </c>
      <c r="F4183" s="8" t="n"/>
      <c r="G4183" s="9" t="n">
        <v>0</v>
      </c>
      <c r="H4183" t="inlineStr">
        <is>
          <t>NOT_DUE</t>
        </is>
      </c>
      <c r="I4183">
        <f>IF(H4183="UNPAID", AsOfDate-D4183, 0)</f>
        <v/>
      </c>
      <c r="J4183">
        <f>IF(F4183&lt;&gt;"", TEXT(F4183, "yyyy-mm"), "")</f>
        <v/>
      </c>
    </row>
    <row r="4184">
      <c r="A4184" t="inlineStr">
        <is>
          <t>RP0004183</t>
        </is>
      </c>
      <c r="B4184" t="inlineStr">
        <is>
          <t>LN200596</t>
        </is>
      </c>
      <c r="C4184" t="n">
        <v>10</v>
      </c>
      <c r="D4184" s="8" t="n">
        <v>46483</v>
      </c>
      <c r="E4184" s="9" t="n">
        <v>15399.39</v>
      </c>
      <c r="F4184" s="8" t="n"/>
      <c r="G4184" s="9" t="n">
        <v>0</v>
      </c>
      <c r="H4184" t="inlineStr">
        <is>
          <t>NOT_DUE</t>
        </is>
      </c>
      <c r="I4184">
        <f>IF(H4184="UNPAID", AsOfDate-D4184, 0)</f>
        <v/>
      </c>
      <c r="J4184">
        <f>IF(F4184&lt;&gt;"", TEXT(F4184, "yyyy-mm"), "")</f>
        <v/>
      </c>
    </row>
    <row r="4185">
      <c r="A4185" t="inlineStr">
        <is>
          <t>RP0004184</t>
        </is>
      </c>
      <c r="B4185" t="inlineStr">
        <is>
          <t>LN200596</t>
        </is>
      </c>
      <c r="C4185" t="n">
        <v>11</v>
      </c>
      <c r="D4185" s="8" t="n">
        <v>46513</v>
      </c>
      <c r="E4185" s="9" t="n">
        <v>15399.39</v>
      </c>
      <c r="F4185" s="8" t="n"/>
      <c r="G4185" s="9" t="n">
        <v>0</v>
      </c>
      <c r="H4185" t="inlineStr">
        <is>
          <t>NOT_DUE</t>
        </is>
      </c>
      <c r="I4185">
        <f>IF(H4185="UNPAID", AsOfDate-D4185, 0)</f>
        <v/>
      </c>
      <c r="J4185">
        <f>IF(F4185&lt;&gt;"", TEXT(F4185, "yyyy-mm"), "")</f>
        <v/>
      </c>
    </row>
    <row r="4186">
      <c r="A4186" t="inlineStr">
        <is>
          <t>RP0004185</t>
        </is>
      </c>
      <c r="B4186" t="inlineStr">
        <is>
          <t>LN200596</t>
        </is>
      </c>
      <c r="C4186" t="n">
        <v>12</v>
      </c>
      <c r="D4186" s="8" t="n">
        <v>46544</v>
      </c>
      <c r="E4186" s="9" t="n">
        <v>15399.39</v>
      </c>
      <c r="F4186" s="8" t="n"/>
      <c r="G4186" s="9" t="n">
        <v>0</v>
      </c>
      <c r="H4186" t="inlineStr">
        <is>
          <t>NOT_DUE</t>
        </is>
      </c>
      <c r="I4186">
        <f>IF(H4186="UNPAID", AsOfDate-D4186, 0)</f>
        <v/>
      </c>
      <c r="J4186">
        <f>IF(F4186&lt;&gt;"", TEXT(F4186, "yyyy-mm"), "")</f>
        <v/>
      </c>
    </row>
    <row r="4187">
      <c r="A4187" t="inlineStr">
        <is>
          <t>RP0004186</t>
        </is>
      </c>
      <c r="B4187" t="inlineStr">
        <is>
          <t>LN200596</t>
        </is>
      </c>
      <c r="C4187" t="n">
        <v>13</v>
      </c>
      <c r="D4187" s="8" t="n">
        <v>46574</v>
      </c>
      <c r="E4187" s="9" t="n">
        <v>15399.39</v>
      </c>
      <c r="F4187" s="8" t="n"/>
      <c r="G4187" s="9" t="n">
        <v>0</v>
      </c>
      <c r="H4187" t="inlineStr">
        <is>
          <t>NOT_DUE</t>
        </is>
      </c>
      <c r="I4187">
        <f>IF(H4187="UNPAID", AsOfDate-D4187, 0)</f>
        <v/>
      </c>
      <c r="J4187">
        <f>IF(F4187&lt;&gt;"", TEXT(F4187, "yyyy-mm"), "")</f>
        <v/>
      </c>
    </row>
    <row r="4188">
      <c r="A4188" t="inlineStr">
        <is>
          <t>RP0004187</t>
        </is>
      </c>
      <c r="B4188" t="inlineStr">
        <is>
          <t>LN200596</t>
        </is>
      </c>
      <c r="C4188" t="n">
        <v>14</v>
      </c>
      <c r="D4188" s="8" t="n">
        <v>46605</v>
      </c>
      <c r="E4188" s="9" t="n">
        <v>15399.39</v>
      </c>
      <c r="F4188" s="8" t="n"/>
      <c r="G4188" s="9" t="n">
        <v>0</v>
      </c>
      <c r="H4188" t="inlineStr">
        <is>
          <t>NOT_DUE</t>
        </is>
      </c>
      <c r="I4188">
        <f>IF(H4188="UNPAID", AsOfDate-D4188, 0)</f>
        <v/>
      </c>
      <c r="J4188">
        <f>IF(F4188&lt;&gt;"", TEXT(F4188, "yyyy-mm"), "")</f>
        <v/>
      </c>
    </row>
    <row r="4189">
      <c r="A4189" t="inlineStr">
        <is>
          <t>RP0004188</t>
        </is>
      </c>
      <c r="B4189" t="inlineStr">
        <is>
          <t>LN200596</t>
        </is>
      </c>
      <c r="C4189" t="n">
        <v>15</v>
      </c>
      <c r="D4189" s="8" t="n">
        <v>46636</v>
      </c>
      <c r="E4189" s="9" t="n">
        <v>15399.39</v>
      </c>
      <c r="F4189" s="8" t="n"/>
      <c r="G4189" s="9" t="n">
        <v>0</v>
      </c>
      <c r="H4189" t="inlineStr">
        <is>
          <t>NOT_DUE</t>
        </is>
      </c>
      <c r="I4189">
        <f>IF(H4189="UNPAID", AsOfDate-D4189, 0)</f>
        <v/>
      </c>
      <c r="J4189">
        <f>IF(F4189&lt;&gt;"", TEXT(F4189, "yyyy-mm"), "")</f>
        <v/>
      </c>
    </row>
    <row r="4190">
      <c r="A4190" t="inlineStr">
        <is>
          <t>RP0004189</t>
        </is>
      </c>
      <c r="B4190" t="inlineStr">
        <is>
          <t>LN200596</t>
        </is>
      </c>
      <c r="C4190" t="n">
        <v>16</v>
      </c>
      <c r="D4190" s="8" t="n">
        <v>46666</v>
      </c>
      <c r="E4190" s="9" t="n">
        <v>15399.39</v>
      </c>
      <c r="F4190" s="8" t="n"/>
      <c r="G4190" s="9" t="n">
        <v>0</v>
      </c>
      <c r="H4190" t="inlineStr">
        <is>
          <t>NOT_DUE</t>
        </is>
      </c>
      <c r="I4190">
        <f>IF(H4190="UNPAID", AsOfDate-D4190, 0)</f>
        <v/>
      </c>
      <c r="J4190">
        <f>IF(F4190&lt;&gt;"", TEXT(F4190, "yyyy-mm"), "")</f>
        <v/>
      </c>
    </row>
    <row r="4191">
      <c r="A4191" t="inlineStr">
        <is>
          <t>RP0004190</t>
        </is>
      </c>
      <c r="B4191" t="inlineStr">
        <is>
          <t>LN200596</t>
        </is>
      </c>
      <c r="C4191" t="n">
        <v>17</v>
      </c>
      <c r="D4191" s="8" t="n">
        <v>46697</v>
      </c>
      <c r="E4191" s="9" t="n">
        <v>15399.39</v>
      </c>
      <c r="F4191" s="8" t="n"/>
      <c r="G4191" s="9" t="n">
        <v>0</v>
      </c>
      <c r="H4191" t="inlineStr">
        <is>
          <t>NOT_DUE</t>
        </is>
      </c>
      <c r="I4191">
        <f>IF(H4191="UNPAID", AsOfDate-D4191, 0)</f>
        <v/>
      </c>
      <c r="J4191">
        <f>IF(F4191&lt;&gt;"", TEXT(F4191, "yyyy-mm"), "")</f>
        <v/>
      </c>
    </row>
    <row r="4192">
      <c r="A4192" t="inlineStr">
        <is>
          <t>RP0004191</t>
        </is>
      </c>
      <c r="B4192" t="inlineStr">
        <is>
          <t>LN200596</t>
        </is>
      </c>
      <c r="C4192" t="n">
        <v>18</v>
      </c>
      <c r="D4192" s="8" t="n">
        <v>46727</v>
      </c>
      <c r="E4192" s="9" t="n">
        <v>15399.39</v>
      </c>
      <c r="F4192" s="8" t="n"/>
      <c r="G4192" s="9" t="n">
        <v>0</v>
      </c>
      <c r="H4192" t="inlineStr">
        <is>
          <t>NOT_DUE</t>
        </is>
      </c>
      <c r="I4192">
        <f>IF(H4192="UNPAID", AsOfDate-D4192, 0)</f>
        <v/>
      </c>
      <c r="J4192">
        <f>IF(F4192&lt;&gt;"", TEXT(F4192, "yyyy-mm"), "")</f>
        <v/>
      </c>
    </row>
    <row r="4193">
      <c r="A4193" t="inlineStr">
        <is>
          <t>RP0004192</t>
        </is>
      </c>
      <c r="B4193" t="inlineStr">
        <is>
          <t>LN200597</t>
        </is>
      </c>
      <c r="C4193" t="n">
        <v>1</v>
      </c>
      <c r="D4193" s="8" t="n">
        <v>45697</v>
      </c>
      <c r="E4193" s="9" t="n">
        <v>7162.5</v>
      </c>
      <c r="F4193" s="8" t="n"/>
      <c r="G4193" s="9" t="n">
        <v>0</v>
      </c>
      <c r="H4193" t="inlineStr">
        <is>
          <t>UNPAID</t>
        </is>
      </c>
      <c r="I4193">
        <f>IF(H4193="UNPAID", AsOfDate-D4193, 0)</f>
        <v/>
      </c>
      <c r="J4193">
        <f>IF(F4193&lt;&gt;"", TEXT(F4193, "yyyy-mm"), "")</f>
        <v/>
      </c>
    </row>
    <row r="4194">
      <c r="A4194" t="inlineStr">
        <is>
          <t>RP0004193</t>
        </is>
      </c>
      <c r="B4194" t="inlineStr">
        <is>
          <t>LN200597</t>
        </is>
      </c>
      <c r="C4194" t="n">
        <v>2</v>
      </c>
      <c r="D4194" s="8" t="n">
        <v>45725</v>
      </c>
      <c r="E4194" s="9" t="n">
        <v>7162.5</v>
      </c>
      <c r="F4194" s="8" t="n">
        <v>45789</v>
      </c>
      <c r="G4194" s="9" t="n">
        <v>7162.5</v>
      </c>
      <c r="H4194" t="inlineStr">
        <is>
          <t>PAID_LATE</t>
        </is>
      </c>
      <c r="I4194">
        <f>IF(H4194="UNPAID", AsOfDate-D4194, 0)</f>
        <v/>
      </c>
      <c r="J4194">
        <f>IF(F4194&lt;&gt;"", TEXT(F4194, "yyyy-mm"), "")</f>
        <v/>
      </c>
    </row>
    <row r="4195">
      <c r="A4195" t="inlineStr">
        <is>
          <t>RP0004194</t>
        </is>
      </c>
      <c r="B4195" t="inlineStr">
        <is>
          <t>LN200597</t>
        </is>
      </c>
      <c r="C4195" t="n">
        <v>3</v>
      </c>
      <c r="D4195" s="8" t="n">
        <v>45756</v>
      </c>
      <c r="E4195" s="9" t="n">
        <v>7162.5</v>
      </c>
      <c r="F4195" s="8" t="n">
        <v>45758</v>
      </c>
      <c r="G4195" s="9" t="n">
        <v>7162.5</v>
      </c>
      <c r="H4195" t="inlineStr">
        <is>
          <t>PAID_ON_TIME</t>
        </is>
      </c>
      <c r="I4195">
        <f>IF(H4195="UNPAID", AsOfDate-D4195, 0)</f>
        <v/>
      </c>
      <c r="J4195">
        <f>IF(F4195&lt;&gt;"", TEXT(F4195, "yyyy-mm"), "")</f>
        <v/>
      </c>
    </row>
    <row r="4196">
      <c r="A4196" t="inlineStr">
        <is>
          <t>RP0004195</t>
        </is>
      </c>
      <c r="B4196" t="inlineStr">
        <is>
          <t>LN200597</t>
        </is>
      </c>
      <c r="C4196" t="n">
        <v>4</v>
      </c>
      <c r="D4196" s="8" t="n">
        <v>45786</v>
      </c>
      <c r="E4196" s="9" t="n">
        <v>7162.5</v>
      </c>
      <c r="F4196" s="8" t="n">
        <v>45812</v>
      </c>
      <c r="G4196" s="9" t="n">
        <v>7162.5</v>
      </c>
      <c r="H4196" t="inlineStr">
        <is>
          <t>PAID_LATE</t>
        </is>
      </c>
      <c r="I4196">
        <f>IF(H4196="UNPAID", AsOfDate-D4196, 0)</f>
        <v/>
      </c>
      <c r="J4196">
        <f>IF(F4196&lt;&gt;"", TEXT(F4196, "yyyy-mm"), "")</f>
        <v/>
      </c>
    </row>
    <row r="4197">
      <c r="A4197" t="inlineStr">
        <is>
          <t>RP0004196</t>
        </is>
      </c>
      <c r="B4197" t="inlineStr">
        <is>
          <t>LN200597</t>
        </is>
      </c>
      <c r="C4197" t="n">
        <v>5</v>
      </c>
      <c r="D4197" s="8" t="n">
        <v>45817</v>
      </c>
      <c r="E4197" s="9" t="n">
        <v>7162.5</v>
      </c>
      <c r="F4197" s="8" t="n"/>
      <c r="G4197" s="9" t="n">
        <v>0</v>
      </c>
      <c r="H4197" t="inlineStr">
        <is>
          <t>UNPAID</t>
        </is>
      </c>
      <c r="I4197">
        <f>IF(H4197="UNPAID", AsOfDate-D4197, 0)</f>
        <v/>
      </c>
      <c r="J4197">
        <f>IF(F4197&lt;&gt;"", TEXT(F4197, "yyyy-mm"), "")</f>
        <v/>
      </c>
    </row>
    <row r="4198">
      <c r="A4198" t="inlineStr">
        <is>
          <t>RP0004197</t>
        </is>
      </c>
      <c r="B4198" t="inlineStr">
        <is>
          <t>LN200597</t>
        </is>
      </c>
      <c r="C4198" t="n">
        <v>6</v>
      </c>
      <c r="D4198" s="8" t="n">
        <v>45847</v>
      </c>
      <c r="E4198" s="9" t="n">
        <v>7162.5</v>
      </c>
      <c r="F4198" s="8" t="n">
        <v>45850</v>
      </c>
      <c r="G4198" s="9" t="n">
        <v>7162.5</v>
      </c>
      <c r="H4198" t="inlineStr">
        <is>
          <t>PAID_ON_TIME</t>
        </is>
      </c>
      <c r="I4198">
        <f>IF(H4198="UNPAID", AsOfDate-D4198, 0)</f>
        <v/>
      </c>
      <c r="J4198">
        <f>IF(F4198&lt;&gt;"", TEXT(F4198, "yyyy-mm"), "")</f>
        <v/>
      </c>
    </row>
    <row r="4199">
      <c r="A4199" t="inlineStr">
        <is>
          <t>RP0004198</t>
        </is>
      </c>
      <c r="B4199" t="inlineStr">
        <is>
          <t>LN200597</t>
        </is>
      </c>
      <c r="C4199" t="n">
        <v>7</v>
      </c>
      <c r="D4199" s="8" t="n">
        <v>45878</v>
      </c>
      <c r="E4199" s="9" t="n">
        <v>7162.5</v>
      </c>
      <c r="F4199" s="8" t="n">
        <v>45876</v>
      </c>
      <c r="G4199" s="9" t="n">
        <v>7162.5</v>
      </c>
      <c r="H4199" t="inlineStr">
        <is>
          <t>PAID_ON_TIME</t>
        </is>
      </c>
      <c r="I4199">
        <f>IF(H4199="UNPAID", AsOfDate-D4199, 0)</f>
        <v/>
      </c>
      <c r="J4199">
        <f>IF(F4199&lt;&gt;"", TEXT(F4199, "yyyy-mm"), "")</f>
        <v/>
      </c>
    </row>
    <row r="4200">
      <c r="A4200" t="inlineStr">
        <is>
          <t>RP0004199</t>
        </is>
      </c>
      <c r="B4200" t="inlineStr">
        <is>
          <t>LN200597</t>
        </is>
      </c>
      <c r="C4200" t="n">
        <v>8</v>
      </c>
      <c r="D4200" s="8" t="n">
        <v>45909</v>
      </c>
      <c r="E4200" s="9" t="n">
        <v>7162.5</v>
      </c>
      <c r="F4200" s="8" t="n">
        <v>45911</v>
      </c>
      <c r="G4200" s="9" t="n">
        <v>7162.5</v>
      </c>
      <c r="H4200" t="inlineStr">
        <is>
          <t>PAID_ON_TIME</t>
        </is>
      </c>
      <c r="I4200">
        <f>IF(H4200="UNPAID", AsOfDate-D4200, 0)</f>
        <v/>
      </c>
      <c r="J4200">
        <f>IF(F4200&lt;&gt;"", TEXT(F4200, "yyyy-mm"), "")</f>
        <v/>
      </c>
    </row>
    <row r="4201">
      <c r="A4201" t="inlineStr">
        <is>
          <t>RP0004200</t>
        </is>
      </c>
      <c r="B4201" t="inlineStr">
        <is>
          <t>LN200597</t>
        </is>
      </c>
      <c r="C4201" t="n">
        <v>9</v>
      </c>
      <c r="D4201" s="8" t="n">
        <v>45939</v>
      </c>
      <c r="E4201" s="9" t="n">
        <v>7162.5</v>
      </c>
      <c r="F4201" s="8" t="n"/>
      <c r="G4201" s="9" t="n">
        <v>0</v>
      </c>
      <c r="H4201" t="inlineStr">
        <is>
          <t>UNPAID</t>
        </is>
      </c>
      <c r="I4201">
        <f>IF(H4201="UNPAID", AsOfDate-D4201, 0)</f>
        <v/>
      </c>
      <c r="J4201">
        <f>IF(F4201&lt;&gt;"", TEXT(F4201, "yyyy-mm"), "")</f>
        <v/>
      </c>
    </row>
    <row r="4202">
      <c r="A4202" t="inlineStr">
        <is>
          <t>RP0004201</t>
        </is>
      </c>
      <c r="B4202" t="inlineStr">
        <is>
          <t>LN200597</t>
        </is>
      </c>
      <c r="C4202" t="n">
        <v>10</v>
      </c>
      <c r="D4202" s="8" t="n">
        <v>45970</v>
      </c>
      <c r="E4202" s="9" t="n">
        <v>7162.5</v>
      </c>
      <c r="F4202" s="8" t="n">
        <v>45967</v>
      </c>
      <c r="G4202" s="9" t="n">
        <v>7162.5</v>
      </c>
      <c r="H4202" t="inlineStr">
        <is>
          <t>PAID_ON_TIME</t>
        </is>
      </c>
      <c r="I4202">
        <f>IF(H4202="UNPAID", AsOfDate-D4202, 0)</f>
        <v/>
      </c>
      <c r="J4202">
        <f>IF(F4202&lt;&gt;"", TEXT(F4202, "yyyy-mm"), "")</f>
        <v/>
      </c>
    </row>
    <row r="4203">
      <c r="A4203" t="inlineStr">
        <is>
          <t>RP0004202</t>
        </is>
      </c>
      <c r="B4203" t="inlineStr">
        <is>
          <t>LN200597</t>
        </is>
      </c>
      <c r="C4203" t="n">
        <v>11</v>
      </c>
      <c r="D4203" s="8" t="n">
        <v>46000</v>
      </c>
      <c r="E4203" s="9" t="n">
        <v>7162.5</v>
      </c>
      <c r="F4203" s="8" t="n">
        <v>46004</v>
      </c>
      <c r="G4203" s="9" t="n">
        <v>7162.5</v>
      </c>
      <c r="H4203" t="inlineStr">
        <is>
          <t>PAID_ON_TIME</t>
        </is>
      </c>
      <c r="I4203">
        <f>IF(H4203="UNPAID", AsOfDate-D4203, 0)</f>
        <v/>
      </c>
      <c r="J4203">
        <f>IF(F4203&lt;&gt;"", TEXT(F4203, "yyyy-mm"), "")</f>
        <v/>
      </c>
    </row>
    <row r="4204">
      <c r="A4204" t="inlineStr">
        <is>
          <t>RP0004203</t>
        </is>
      </c>
      <c r="B4204" t="inlineStr">
        <is>
          <t>LN200597</t>
        </is>
      </c>
      <c r="C4204" t="n">
        <v>12</v>
      </c>
      <c r="D4204" s="8" t="n">
        <v>46031</v>
      </c>
      <c r="E4204" s="9" t="n">
        <v>7162.5</v>
      </c>
      <c r="F4204" s="8" t="n"/>
      <c r="G4204" s="9" t="n">
        <v>0</v>
      </c>
      <c r="H4204" t="inlineStr">
        <is>
          <t>UNPAID</t>
        </is>
      </c>
      <c r="I4204">
        <f>IF(H4204="UNPAID", AsOfDate-D4204, 0)</f>
        <v/>
      </c>
      <c r="J4204">
        <f>IF(F4204&lt;&gt;"", TEXT(F4204, "yyyy-mm"), "")</f>
        <v/>
      </c>
    </row>
    <row r="4205">
      <c r="A4205" t="inlineStr">
        <is>
          <t>RP0004204</t>
        </is>
      </c>
      <c r="B4205" t="inlineStr">
        <is>
          <t>LN200598</t>
        </is>
      </c>
      <c r="C4205" t="n">
        <v>1</v>
      </c>
      <c r="D4205" s="8" t="n">
        <v>45862</v>
      </c>
      <c r="E4205" s="9" t="n">
        <v>9126</v>
      </c>
      <c r="F4205" s="8" t="n">
        <v>45862</v>
      </c>
      <c r="G4205" s="9" t="n">
        <v>9126</v>
      </c>
      <c r="H4205" t="inlineStr">
        <is>
          <t>PAID_ON_TIME</t>
        </is>
      </c>
      <c r="I4205">
        <f>IF(H4205="UNPAID", AsOfDate-D4205, 0)</f>
        <v/>
      </c>
      <c r="J4205">
        <f>IF(F4205&lt;&gt;"", TEXT(F4205, "yyyy-mm"), "")</f>
        <v/>
      </c>
    </row>
    <row r="4206">
      <c r="A4206" t="inlineStr">
        <is>
          <t>RP0004205</t>
        </is>
      </c>
      <c r="B4206" t="inlineStr">
        <is>
          <t>LN200598</t>
        </is>
      </c>
      <c r="C4206" t="n">
        <v>2</v>
      </c>
      <c r="D4206" s="8" t="n">
        <v>45893</v>
      </c>
      <c r="E4206" s="9" t="n">
        <v>9126</v>
      </c>
      <c r="F4206" s="8" t="n">
        <v>45891</v>
      </c>
      <c r="G4206" s="9" t="n">
        <v>9126</v>
      </c>
      <c r="H4206" t="inlineStr">
        <is>
          <t>PAID_ON_TIME</t>
        </is>
      </c>
      <c r="I4206">
        <f>IF(H4206="UNPAID", AsOfDate-D4206, 0)</f>
        <v/>
      </c>
      <c r="J4206">
        <f>IF(F4206&lt;&gt;"", TEXT(F4206, "yyyy-mm"), "")</f>
        <v/>
      </c>
    </row>
    <row r="4207">
      <c r="A4207" t="inlineStr">
        <is>
          <t>RP0004206</t>
        </is>
      </c>
      <c r="B4207" t="inlineStr">
        <is>
          <t>LN200598</t>
        </is>
      </c>
      <c r="C4207" t="n">
        <v>3</v>
      </c>
      <c r="D4207" s="8" t="n">
        <v>45924</v>
      </c>
      <c r="E4207" s="9" t="n">
        <v>9126</v>
      </c>
      <c r="F4207" s="8" t="n">
        <v>45926</v>
      </c>
      <c r="G4207" s="9" t="n">
        <v>9126</v>
      </c>
      <c r="H4207" t="inlineStr">
        <is>
          <t>PAID_ON_TIME</t>
        </is>
      </c>
      <c r="I4207">
        <f>IF(H4207="UNPAID", AsOfDate-D4207, 0)</f>
        <v/>
      </c>
      <c r="J4207">
        <f>IF(F4207&lt;&gt;"", TEXT(F4207, "yyyy-mm"), "")</f>
        <v/>
      </c>
    </row>
    <row r="4208">
      <c r="A4208" t="inlineStr">
        <is>
          <t>RP0004207</t>
        </is>
      </c>
      <c r="B4208" t="inlineStr">
        <is>
          <t>LN200599</t>
        </is>
      </c>
      <c r="C4208" t="n">
        <v>1</v>
      </c>
      <c r="D4208" s="8" t="n">
        <v>46233</v>
      </c>
      <c r="E4208" s="9" t="n">
        <v>11672.92</v>
      </c>
      <c r="F4208" s="8" t="n">
        <v>46232</v>
      </c>
      <c r="G4208" s="9" t="n">
        <v>11672.92</v>
      </c>
      <c r="H4208" t="inlineStr">
        <is>
          <t>PAID_ON_TIME</t>
        </is>
      </c>
      <c r="I4208">
        <f>IF(H4208="UNPAID", AsOfDate-D4208, 0)</f>
        <v/>
      </c>
      <c r="J4208">
        <f>IF(F4208&lt;&gt;"", TEXT(F4208, "yyyy-mm"), "")</f>
        <v/>
      </c>
    </row>
    <row r="4209">
      <c r="A4209" t="inlineStr">
        <is>
          <t>RP0004208</t>
        </is>
      </c>
      <c r="B4209" t="inlineStr">
        <is>
          <t>LN200599</t>
        </is>
      </c>
      <c r="C4209" t="n">
        <v>2</v>
      </c>
      <c r="D4209" s="8" t="n">
        <v>46264</v>
      </c>
      <c r="E4209" s="9" t="n">
        <v>11672.92</v>
      </c>
      <c r="F4209" s="8" t="n">
        <v>46263</v>
      </c>
      <c r="G4209" s="9" t="n">
        <v>11672.92</v>
      </c>
      <c r="H4209" t="inlineStr">
        <is>
          <t>PAID_ON_TIME</t>
        </is>
      </c>
      <c r="I4209">
        <f>IF(H4209="UNPAID", AsOfDate-D4209, 0)</f>
        <v/>
      </c>
      <c r="J4209">
        <f>IF(F4209&lt;&gt;"", TEXT(F4209, "yyyy-mm"), "")</f>
        <v/>
      </c>
    </row>
    <row r="4210">
      <c r="A4210" t="inlineStr">
        <is>
          <t>RP0004209</t>
        </is>
      </c>
      <c r="B4210" t="inlineStr">
        <is>
          <t>LN200599</t>
        </is>
      </c>
      <c r="C4210" t="n">
        <v>3</v>
      </c>
      <c r="D4210" s="8" t="n">
        <v>46295</v>
      </c>
      <c r="E4210" s="9" t="n">
        <v>11672.92</v>
      </c>
      <c r="F4210" s="8" t="n"/>
      <c r="G4210" s="9" t="n">
        <v>0</v>
      </c>
      <c r="H4210" t="inlineStr">
        <is>
          <t>NOT_DUE</t>
        </is>
      </c>
      <c r="I4210">
        <f>IF(H4210="UNPAID", AsOfDate-D4210, 0)</f>
        <v/>
      </c>
      <c r="J4210">
        <f>IF(F4210&lt;&gt;"", TEXT(F4210, "yyyy-mm"), "")</f>
        <v/>
      </c>
    </row>
    <row r="4211">
      <c r="A4211" t="inlineStr">
        <is>
          <t>RP0004210</t>
        </is>
      </c>
      <c r="B4211" t="inlineStr">
        <is>
          <t>LN200599</t>
        </is>
      </c>
      <c r="C4211" t="n">
        <v>4</v>
      </c>
      <c r="D4211" s="8" t="n">
        <v>46325</v>
      </c>
      <c r="E4211" s="9" t="n">
        <v>11672.92</v>
      </c>
      <c r="F4211" s="8" t="n"/>
      <c r="G4211" s="9" t="n">
        <v>0</v>
      </c>
      <c r="H4211" t="inlineStr">
        <is>
          <t>NOT_DUE</t>
        </is>
      </c>
      <c r="I4211">
        <f>IF(H4211="UNPAID", AsOfDate-D4211, 0)</f>
        <v/>
      </c>
      <c r="J4211">
        <f>IF(F4211&lt;&gt;"", TEXT(F4211, "yyyy-mm"), "")</f>
        <v/>
      </c>
    </row>
    <row r="4212">
      <c r="A4212" t="inlineStr">
        <is>
          <t>RP0004211</t>
        </is>
      </c>
      <c r="B4212" t="inlineStr">
        <is>
          <t>LN200599</t>
        </is>
      </c>
      <c r="C4212" t="n">
        <v>5</v>
      </c>
      <c r="D4212" s="8" t="n">
        <v>46356</v>
      </c>
      <c r="E4212" s="9" t="n">
        <v>11672.92</v>
      </c>
      <c r="F4212" s="8" t="n"/>
      <c r="G4212" s="9" t="n">
        <v>0</v>
      </c>
      <c r="H4212" t="inlineStr">
        <is>
          <t>NOT_DUE</t>
        </is>
      </c>
      <c r="I4212">
        <f>IF(H4212="UNPAID", AsOfDate-D4212, 0)</f>
        <v/>
      </c>
      <c r="J4212">
        <f>IF(F4212&lt;&gt;"", TEXT(F4212, "yyyy-mm"), "")</f>
        <v/>
      </c>
    </row>
    <row r="4213">
      <c r="A4213" t="inlineStr">
        <is>
          <t>RP0004212</t>
        </is>
      </c>
      <c r="B4213" t="inlineStr">
        <is>
          <t>LN200599</t>
        </is>
      </c>
      <c r="C4213" t="n">
        <v>6</v>
      </c>
      <c r="D4213" s="8" t="n">
        <v>46386</v>
      </c>
      <c r="E4213" s="9" t="n">
        <v>11672.92</v>
      </c>
      <c r="F4213" s="8" t="n"/>
      <c r="G4213" s="9" t="n">
        <v>0</v>
      </c>
      <c r="H4213" t="inlineStr">
        <is>
          <t>NOT_DUE</t>
        </is>
      </c>
      <c r="I4213">
        <f>IF(H4213="UNPAID", AsOfDate-D4213, 0)</f>
        <v/>
      </c>
      <c r="J4213">
        <f>IF(F4213&lt;&gt;"", TEXT(F4213, "yyyy-mm"), "")</f>
        <v/>
      </c>
    </row>
    <row r="4214">
      <c r="A4214" t="inlineStr">
        <is>
          <t>RP0004213</t>
        </is>
      </c>
      <c r="B4214" t="inlineStr">
        <is>
          <t>LN200600</t>
        </is>
      </c>
      <c r="C4214" t="n">
        <v>1</v>
      </c>
      <c r="D4214" s="8" t="n">
        <v>45789</v>
      </c>
      <c r="E4214" s="9" t="n">
        <v>28940.33</v>
      </c>
      <c r="F4214" s="8" t="n">
        <v>45789</v>
      </c>
      <c r="G4214" s="9" t="n">
        <v>28940.33</v>
      </c>
      <c r="H4214" t="inlineStr">
        <is>
          <t>PAID_ON_TIME</t>
        </is>
      </c>
      <c r="I4214">
        <f>IF(H4214="UNPAID", AsOfDate-D4214, 0)</f>
        <v/>
      </c>
      <c r="J4214">
        <f>IF(F4214&lt;&gt;"", TEXT(F4214, "yyyy-mm"), "")</f>
        <v/>
      </c>
    </row>
    <row r="4215">
      <c r="A4215" t="inlineStr">
        <is>
          <t>RP0004214</t>
        </is>
      </c>
      <c r="B4215" t="inlineStr">
        <is>
          <t>LN200600</t>
        </is>
      </c>
      <c r="C4215" t="n">
        <v>2</v>
      </c>
      <c r="D4215" s="8" t="n">
        <v>45820</v>
      </c>
      <c r="E4215" s="9" t="n">
        <v>28940.33</v>
      </c>
      <c r="F4215" s="8" t="n">
        <v>45822</v>
      </c>
      <c r="G4215" s="9" t="n">
        <v>28940.33</v>
      </c>
      <c r="H4215" t="inlineStr">
        <is>
          <t>PAID_ON_TIME</t>
        </is>
      </c>
      <c r="I4215">
        <f>IF(H4215="UNPAID", AsOfDate-D4215, 0)</f>
        <v/>
      </c>
      <c r="J4215">
        <f>IF(F4215&lt;&gt;"", TEXT(F4215, "yyyy-mm"), "")</f>
        <v/>
      </c>
    </row>
    <row r="4216">
      <c r="A4216" t="inlineStr">
        <is>
          <t>RP0004215</t>
        </is>
      </c>
      <c r="B4216" t="inlineStr">
        <is>
          <t>LN200600</t>
        </is>
      </c>
      <c r="C4216" t="n">
        <v>3</v>
      </c>
      <c r="D4216" s="8" t="n">
        <v>45850</v>
      </c>
      <c r="E4216" s="9" t="n">
        <v>28940.33</v>
      </c>
      <c r="F4216" s="8" t="n">
        <v>45848</v>
      </c>
      <c r="G4216" s="9" t="n">
        <v>28940.33</v>
      </c>
      <c r="H4216" t="inlineStr">
        <is>
          <t>PAID_ON_TIME</t>
        </is>
      </c>
      <c r="I4216">
        <f>IF(H4216="UNPAID", AsOfDate-D4216, 0)</f>
        <v/>
      </c>
      <c r="J4216">
        <f>IF(F4216&lt;&gt;"", TEXT(F4216, "yyyy-mm"), "")</f>
        <v/>
      </c>
    </row>
    <row r="4217">
      <c r="A4217" t="inlineStr">
        <is>
          <t>RP0004216</t>
        </is>
      </c>
      <c r="B4217" t="inlineStr">
        <is>
          <t>LN200600</t>
        </is>
      </c>
      <c r="C4217" t="n">
        <v>4</v>
      </c>
      <c r="D4217" s="8" t="n">
        <v>45881</v>
      </c>
      <c r="E4217" s="9" t="n">
        <v>28940.33</v>
      </c>
      <c r="F4217" s="8" t="n">
        <v>45884</v>
      </c>
      <c r="G4217" s="9" t="n">
        <v>28940.33</v>
      </c>
      <c r="H4217" t="inlineStr">
        <is>
          <t>PAID_ON_TIME</t>
        </is>
      </c>
      <c r="I4217">
        <f>IF(H4217="UNPAID", AsOfDate-D4217, 0)</f>
        <v/>
      </c>
      <c r="J4217">
        <f>IF(F4217&lt;&gt;"", TEXT(F4217, "yyyy-mm"), "")</f>
        <v/>
      </c>
    </row>
    <row r="4218">
      <c r="A4218" t="inlineStr">
        <is>
          <t>RP0004217</t>
        </is>
      </c>
      <c r="B4218" t="inlineStr">
        <is>
          <t>LN200600</t>
        </is>
      </c>
      <c r="C4218" t="n">
        <v>5</v>
      </c>
      <c r="D4218" s="8" t="n">
        <v>45912</v>
      </c>
      <c r="E4218" s="9" t="n">
        <v>28940.33</v>
      </c>
      <c r="F4218" s="8" t="n">
        <v>45915</v>
      </c>
      <c r="G4218" s="9" t="n">
        <v>28940.33</v>
      </c>
      <c r="H4218" t="inlineStr">
        <is>
          <t>PAID_ON_TIME</t>
        </is>
      </c>
      <c r="I4218">
        <f>IF(H4218="UNPAID", AsOfDate-D4218, 0)</f>
        <v/>
      </c>
      <c r="J4218">
        <f>IF(F4218&lt;&gt;"", TEXT(F4218, "yyyy-mm"), "")</f>
        <v/>
      </c>
    </row>
    <row r="4219">
      <c r="A4219" t="inlineStr">
        <is>
          <t>RP0004218</t>
        </is>
      </c>
      <c r="B4219" t="inlineStr">
        <is>
          <t>LN200600</t>
        </is>
      </c>
      <c r="C4219" t="n">
        <v>6</v>
      </c>
      <c r="D4219" s="8" t="n">
        <v>45942</v>
      </c>
      <c r="E4219" s="9" t="n">
        <v>28940.33</v>
      </c>
      <c r="F4219" s="8" t="n">
        <v>45941</v>
      </c>
      <c r="G4219" s="9" t="n">
        <v>28940.33</v>
      </c>
      <c r="H4219" t="inlineStr">
        <is>
          <t>PAID_ON_TIME</t>
        </is>
      </c>
      <c r="I4219">
        <f>IF(H4219="UNPAID", AsOfDate-D4219, 0)</f>
        <v/>
      </c>
      <c r="J4219">
        <f>IF(F4219&lt;&gt;"", TEXT(F4219, "yyyy-mm"), "")</f>
        <v/>
      </c>
    </row>
    <row r="4220">
      <c r="A4220" t="inlineStr">
        <is>
          <t>RP0004219</t>
        </is>
      </c>
      <c r="B4220" t="inlineStr">
        <is>
          <t>LN200601</t>
        </is>
      </c>
      <c r="C4220" t="n">
        <v>1</v>
      </c>
      <c r="D4220" s="8" t="n">
        <v>45927</v>
      </c>
      <c r="E4220" s="9" t="n">
        <v>18716.67</v>
      </c>
      <c r="F4220" s="8" t="n">
        <v>45926</v>
      </c>
      <c r="G4220" s="9" t="n">
        <v>18716.67</v>
      </c>
      <c r="H4220" t="inlineStr">
        <is>
          <t>PAID_ON_TIME</t>
        </is>
      </c>
      <c r="I4220">
        <f>IF(H4220="UNPAID", AsOfDate-D4220, 0)</f>
        <v/>
      </c>
      <c r="J4220">
        <f>IF(F4220&lt;&gt;"", TEXT(F4220, "yyyy-mm"), "")</f>
        <v/>
      </c>
    </row>
    <row r="4221">
      <c r="A4221" t="inlineStr">
        <is>
          <t>RP0004220</t>
        </is>
      </c>
      <c r="B4221" t="inlineStr">
        <is>
          <t>LN200601</t>
        </is>
      </c>
      <c r="C4221" t="n">
        <v>2</v>
      </c>
      <c r="D4221" s="8" t="n">
        <v>45957</v>
      </c>
      <c r="E4221" s="9" t="n">
        <v>18716.67</v>
      </c>
      <c r="F4221" s="8" t="n">
        <v>45954</v>
      </c>
      <c r="G4221" s="9" t="n">
        <v>18716.67</v>
      </c>
      <c r="H4221" t="inlineStr">
        <is>
          <t>PAID_ON_TIME</t>
        </is>
      </c>
      <c r="I4221">
        <f>IF(H4221="UNPAID", AsOfDate-D4221, 0)</f>
        <v/>
      </c>
      <c r="J4221">
        <f>IF(F4221&lt;&gt;"", TEXT(F4221, "yyyy-mm"), "")</f>
        <v/>
      </c>
    </row>
    <row r="4222">
      <c r="A4222" t="inlineStr">
        <is>
          <t>RP0004221</t>
        </is>
      </c>
      <c r="B4222" t="inlineStr">
        <is>
          <t>LN200601</t>
        </is>
      </c>
      <c r="C4222" t="n">
        <v>3</v>
      </c>
      <c r="D4222" s="8" t="n">
        <v>45988</v>
      </c>
      <c r="E4222" s="9" t="n">
        <v>18716.67</v>
      </c>
      <c r="F4222" s="8" t="n">
        <v>45985</v>
      </c>
      <c r="G4222" s="9" t="n">
        <v>18716.67</v>
      </c>
      <c r="H4222" t="inlineStr">
        <is>
          <t>PAID_ON_TIME</t>
        </is>
      </c>
      <c r="I4222">
        <f>IF(H4222="UNPAID", AsOfDate-D4222, 0)</f>
        <v/>
      </c>
      <c r="J4222">
        <f>IF(F4222&lt;&gt;"", TEXT(F4222, "yyyy-mm"), "")</f>
        <v/>
      </c>
    </row>
    <row r="4223">
      <c r="A4223" t="inlineStr">
        <is>
          <t>RP0004222</t>
        </is>
      </c>
      <c r="B4223" t="inlineStr">
        <is>
          <t>LN200601</t>
        </is>
      </c>
      <c r="C4223" t="n">
        <v>4</v>
      </c>
      <c r="D4223" s="8" t="n">
        <v>46018</v>
      </c>
      <c r="E4223" s="9" t="n">
        <v>18716.67</v>
      </c>
      <c r="F4223" s="8" t="n">
        <v>46086</v>
      </c>
      <c r="G4223" s="9" t="n">
        <v>18716.67</v>
      </c>
      <c r="H4223" t="inlineStr">
        <is>
          <t>PAID_LATE</t>
        </is>
      </c>
      <c r="I4223">
        <f>IF(H4223="UNPAID", AsOfDate-D4223, 0)</f>
        <v/>
      </c>
      <c r="J4223">
        <f>IF(F4223&lt;&gt;"", TEXT(F4223, "yyyy-mm"), "")</f>
        <v/>
      </c>
    </row>
    <row r="4224">
      <c r="A4224" t="inlineStr">
        <is>
          <t>RP0004223</t>
        </is>
      </c>
      <c r="B4224" t="inlineStr">
        <is>
          <t>LN200601</t>
        </is>
      </c>
      <c r="C4224" t="n">
        <v>5</v>
      </c>
      <c r="D4224" s="8" t="n">
        <v>46049</v>
      </c>
      <c r="E4224" s="9" t="n">
        <v>18716.67</v>
      </c>
      <c r="F4224" s="8" t="n">
        <v>46048</v>
      </c>
      <c r="G4224" s="9" t="n">
        <v>18716.67</v>
      </c>
      <c r="H4224" t="inlineStr">
        <is>
          <t>PAID_ON_TIME</t>
        </is>
      </c>
      <c r="I4224">
        <f>IF(H4224="UNPAID", AsOfDate-D4224, 0)</f>
        <v/>
      </c>
      <c r="J4224">
        <f>IF(F4224&lt;&gt;"", TEXT(F4224, "yyyy-mm"), "")</f>
        <v/>
      </c>
    </row>
    <row r="4225">
      <c r="A4225" t="inlineStr">
        <is>
          <t>RP0004224</t>
        </is>
      </c>
      <c r="B4225" t="inlineStr">
        <is>
          <t>LN200601</t>
        </is>
      </c>
      <c r="C4225" t="n">
        <v>6</v>
      </c>
      <c r="D4225" s="8" t="n">
        <v>46080</v>
      </c>
      <c r="E4225" s="9" t="n">
        <v>18716.67</v>
      </c>
      <c r="F4225" s="8" t="n">
        <v>46081</v>
      </c>
      <c r="G4225" s="9" t="n">
        <v>18716.67</v>
      </c>
      <c r="H4225" t="inlineStr">
        <is>
          <t>PAID_ON_TIME</t>
        </is>
      </c>
      <c r="I4225">
        <f>IF(H4225="UNPAID", AsOfDate-D4225, 0)</f>
        <v/>
      </c>
      <c r="J4225">
        <f>IF(F4225&lt;&gt;"", TEXT(F4225, "yyyy-mm"), "")</f>
        <v/>
      </c>
    </row>
    <row r="4226">
      <c r="A4226" t="inlineStr">
        <is>
          <t>RP0004225</t>
        </is>
      </c>
      <c r="B4226" t="inlineStr">
        <is>
          <t>LN200601</t>
        </is>
      </c>
      <c r="C4226" t="n">
        <v>7</v>
      </c>
      <c r="D4226" s="8" t="n">
        <v>46108</v>
      </c>
      <c r="E4226" s="9" t="n">
        <v>18716.67</v>
      </c>
      <c r="F4226" s="8" t="n">
        <v>46109</v>
      </c>
      <c r="G4226" s="9" t="n">
        <v>18716.67</v>
      </c>
      <c r="H4226" t="inlineStr">
        <is>
          <t>PAID_ON_TIME</t>
        </is>
      </c>
      <c r="I4226">
        <f>IF(H4226="UNPAID", AsOfDate-D4226, 0)</f>
        <v/>
      </c>
      <c r="J4226">
        <f>IF(F4226&lt;&gt;"", TEXT(F4226, "yyyy-mm"), "")</f>
        <v/>
      </c>
    </row>
    <row r="4227">
      <c r="A4227" t="inlineStr">
        <is>
          <t>RP0004226</t>
        </is>
      </c>
      <c r="B4227" t="inlineStr">
        <is>
          <t>LN200601</t>
        </is>
      </c>
      <c r="C4227" t="n">
        <v>8</v>
      </c>
      <c r="D4227" s="8" t="n">
        <v>46139</v>
      </c>
      <c r="E4227" s="9" t="n">
        <v>18716.67</v>
      </c>
      <c r="F4227" s="8" t="n">
        <v>46143</v>
      </c>
      <c r="G4227" s="9" t="n">
        <v>18716.67</v>
      </c>
      <c r="H4227" t="inlineStr">
        <is>
          <t>PAID_ON_TIME</t>
        </is>
      </c>
      <c r="I4227">
        <f>IF(H4227="UNPAID", AsOfDate-D4227, 0)</f>
        <v/>
      </c>
      <c r="J4227">
        <f>IF(F4227&lt;&gt;"", TEXT(F4227, "yyyy-mm"), "")</f>
        <v/>
      </c>
    </row>
    <row r="4228">
      <c r="A4228" t="inlineStr">
        <is>
          <t>RP0004227</t>
        </is>
      </c>
      <c r="B4228" t="inlineStr">
        <is>
          <t>LN200601</t>
        </is>
      </c>
      <c r="C4228" t="n">
        <v>9</v>
      </c>
      <c r="D4228" s="8" t="n">
        <v>46169</v>
      </c>
      <c r="E4228" s="9" t="n">
        <v>18716.67</v>
      </c>
      <c r="F4228" s="8" t="n">
        <v>46172</v>
      </c>
      <c r="G4228" s="9" t="n">
        <v>18716.67</v>
      </c>
      <c r="H4228" t="inlineStr">
        <is>
          <t>PAID_ON_TIME</t>
        </is>
      </c>
      <c r="I4228">
        <f>IF(H4228="UNPAID", AsOfDate-D4228, 0)</f>
        <v/>
      </c>
      <c r="J4228">
        <f>IF(F4228&lt;&gt;"", TEXT(F4228, "yyyy-mm"), "")</f>
        <v/>
      </c>
    </row>
    <row r="4229">
      <c r="A4229" t="inlineStr">
        <is>
          <t>RP0004228</t>
        </is>
      </c>
      <c r="B4229" t="inlineStr">
        <is>
          <t>LN200602</t>
        </is>
      </c>
      <c r="C4229" t="n">
        <v>1</v>
      </c>
      <c r="D4229" s="8" t="n">
        <v>45930</v>
      </c>
      <c r="E4229" s="9" t="n">
        <v>49299.25</v>
      </c>
      <c r="F4229" s="8" t="n">
        <v>45933</v>
      </c>
      <c r="G4229" s="9" t="n">
        <v>49299.25</v>
      </c>
      <c r="H4229" t="inlineStr">
        <is>
          <t>PAID_ON_TIME</t>
        </is>
      </c>
      <c r="I4229">
        <f>IF(H4229="UNPAID", AsOfDate-D4229, 0)</f>
        <v/>
      </c>
      <c r="J4229">
        <f>IF(F4229&lt;&gt;"", TEXT(F4229, "yyyy-mm"), "")</f>
        <v/>
      </c>
    </row>
    <row r="4230">
      <c r="A4230" t="inlineStr">
        <is>
          <t>RP0004229</t>
        </is>
      </c>
      <c r="B4230" t="inlineStr">
        <is>
          <t>LN200602</t>
        </is>
      </c>
      <c r="C4230" t="n">
        <v>2</v>
      </c>
      <c r="D4230" s="8" t="n">
        <v>45960</v>
      </c>
      <c r="E4230" s="9" t="n">
        <v>49299.25</v>
      </c>
      <c r="F4230" s="8" t="n">
        <v>45962</v>
      </c>
      <c r="G4230" s="9" t="n">
        <v>49299.25</v>
      </c>
      <c r="H4230" t="inlineStr">
        <is>
          <t>PAID_ON_TIME</t>
        </is>
      </c>
      <c r="I4230">
        <f>IF(H4230="UNPAID", AsOfDate-D4230, 0)</f>
        <v/>
      </c>
      <c r="J4230">
        <f>IF(F4230&lt;&gt;"", TEXT(F4230, "yyyy-mm"), "")</f>
        <v/>
      </c>
    </row>
    <row r="4231">
      <c r="A4231" t="inlineStr">
        <is>
          <t>RP0004230</t>
        </is>
      </c>
      <c r="B4231" t="inlineStr">
        <is>
          <t>LN200602</t>
        </is>
      </c>
      <c r="C4231" t="n">
        <v>3</v>
      </c>
      <c r="D4231" s="8" t="n">
        <v>45991</v>
      </c>
      <c r="E4231" s="9" t="n">
        <v>49299.25</v>
      </c>
      <c r="F4231" s="8" t="n">
        <v>45992</v>
      </c>
      <c r="G4231" s="9" t="n">
        <v>49299.25</v>
      </c>
      <c r="H4231" t="inlineStr">
        <is>
          <t>PAID_ON_TIME</t>
        </is>
      </c>
      <c r="I4231">
        <f>IF(H4231="UNPAID", AsOfDate-D4231, 0)</f>
        <v/>
      </c>
      <c r="J4231">
        <f>IF(F4231&lt;&gt;"", TEXT(F4231, "yyyy-mm"), "")</f>
        <v/>
      </c>
    </row>
    <row r="4232">
      <c r="A4232" t="inlineStr">
        <is>
          <t>RP0004231</t>
        </is>
      </c>
      <c r="B4232" t="inlineStr">
        <is>
          <t>LN200602</t>
        </is>
      </c>
      <c r="C4232" t="n">
        <v>4</v>
      </c>
      <c r="D4232" s="8" t="n">
        <v>46021</v>
      </c>
      <c r="E4232" s="9" t="n">
        <v>49299.25</v>
      </c>
      <c r="F4232" s="8" t="n">
        <v>46020</v>
      </c>
      <c r="G4232" s="9" t="n">
        <v>49299.25</v>
      </c>
      <c r="H4232" t="inlineStr">
        <is>
          <t>PAID_ON_TIME</t>
        </is>
      </c>
      <c r="I4232">
        <f>IF(H4232="UNPAID", AsOfDate-D4232, 0)</f>
        <v/>
      </c>
      <c r="J4232">
        <f>IF(F4232&lt;&gt;"", TEXT(F4232, "yyyy-mm"), "")</f>
        <v/>
      </c>
    </row>
    <row r="4233">
      <c r="A4233" t="inlineStr">
        <is>
          <t>RP0004232</t>
        </is>
      </c>
      <c r="B4233" t="inlineStr">
        <is>
          <t>LN200602</t>
        </is>
      </c>
      <c r="C4233" t="n">
        <v>5</v>
      </c>
      <c r="D4233" s="8" t="n">
        <v>46052</v>
      </c>
      <c r="E4233" s="9" t="n">
        <v>49299.25</v>
      </c>
      <c r="F4233" s="8" t="n">
        <v>46056</v>
      </c>
      <c r="G4233" s="9" t="n">
        <v>49299.25</v>
      </c>
      <c r="H4233" t="inlineStr">
        <is>
          <t>PAID_ON_TIME</t>
        </is>
      </c>
      <c r="I4233">
        <f>IF(H4233="UNPAID", AsOfDate-D4233, 0)</f>
        <v/>
      </c>
      <c r="J4233">
        <f>IF(F4233&lt;&gt;"", TEXT(F4233, "yyyy-mm"), "")</f>
        <v/>
      </c>
    </row>
    <row r="4234">
      <c r="A4234" t="inlineStr">
        <is>
          <t>RP0004233</t>
        </is>
      </c>
      <c r="B4234" t="inlineStr">
        <is>
          <t>LN200602</t>
        </is>
      </c>
      <c r="C4234" t="n">
        <v>6</v>
      </c>
      <c r="D4234" s="8" t="n">
        <v>46081</v>
      </c>
      <c r="E4234" s="9" t="n">
        <v>49299.25</v>
      </c>
      <c r="F4234" s="8" t="n">
        <v>46085</v>
      </c>
      <c r="G4234" s="9" t="n">
        <v>49299.25</v>
      </c>
      <c r="H4234" t="inlineStr">
        <is>
          <t>PAID_ON_TIME</t>
        </is>
      </c>
      <c r="I4234">
        <f>IF(H4234="UNPAID", AsOfDate-D4234, 0)</f>
        <v/>
      </c>
      <c r="J4234">
        <f>IF(F4234&lt;&gt;"", TEXT(F4234, "yyyy-mm"), "")</f>
        <v/>
      </c>
    </row>
    <row r="4235">
      <c r="A4235" t="inlineStr">
        <is>
          <t>RP0004234</t>
        </is>
      </c>
      <c r="B4235" t="inlineStr">
        <is>
          <t>LN200603</t>
        </is>
      </c>
      <c r="C4235" t="n">
        <v>1</v>
      </c>
      <c r="D4235" s="8" t="n">
        <v>45764</v>
      </c>
      <c r="E4235" s="9" t="n">
        <v>60636.5</v>
      </c>
      <c r="F4235" s="8" t="n">
        <v>45767</v>
      </c>
      <c r="G4235" s="9" t="n">
        <v>60636.5</v>
      </c>
      <c r="H4235" t="inlineStr">
        <is>
          <t>PAID_ON_TIME</t>
        </is>
      </c>
      <c r="I4235">
        <f>IF(H4235="UNPAID", AsOfDate-D4235, 0)</f>
        <v/>
      </c>
      <c r="J4235">
        <f>IF(F4235&lt;&gt;"", TEXT(F4235, "yyyy-mm"), "")</f>
        <v/>
      </c>
    </row>
    <row r="4236">
      <c r="A4236" t="inlineStr">
        <is>
          <t>RP0004235</t>
        </is>
      </c>
      <c r="B4236" t="inlineStr">
        <is>
          <t>LN200603</t>
        </is>
      </c>
      <c r="C4236" t="n">
        <v>2</v>
      </c>
      <c r="D4236" s="8" t="n">
        <v>45794</v>
      </c>
      <c r="E4236" s="9" t="n">
        <v>60636.5</v>
      </c>
      <c r="F4236" s="8" t="n">
        <v>45794</v>
      </c>
      <c r="G4236" s="9" t="n">
        <v>60636.5</v>
      </c>
      <c r="H4236" t="inlineStr">
        <is>
          <t>PAID_ON_TIME</t>
        </is>
      </c>
      <c r="I4236">
        <f>IF(H4236="UNPAID", AsOfDate-D4236, 0)</f>
        <v/>
      </c>
      <c r="J4236">
        <f>IF(F4236&lt;&gt;"", TEXT(F4236, "yyyy-mm"), "")</f>
        <v/>
      </c>
    </row>
    <row r="4237">
      <c r="A4237" t="inlineStr">
        <is>
          <t>RP0004236</t>
        </is>
      </c>
      <c r="B4237" t="inlineStr">
        <is>
          <t>LN200603</t>
        </is>
      </c>
      <c r="C4237" t="n">
        <v>3</v>
      </c>
      <c r="D4237" s="8" t="n">
        <v>45825</v>
      </c>
      <c r="E4237" s="9" t="n">
        <v>60636.5</v>
      </c>
      <c r="F4237" s="8" t="n">
        <v>45822</v>
      </c>
      <c r="G4237" s="9" t="n">
        <v>60636.5</v>
      </c>
      <c r="H4237" t="inlineStr">
        <is>
          <t>PAID_ON_TIME</t>
        </is>
      </c>
      <c r="I4237">
        <f>IF(H4237="UNPAID", AsOfDate-D4237, 0)</f>
        <v/>
      </c>
      <c r="J4237">
        <f>IF(F4237&lt;&gt;"", TEXT(F4237, "yyyy-mm"), "")</f>
        <v/>
      </c>
    </row>
    <row r="4238">
      <c r="A4238" t="inlineStr">
        <is>
          <t>RP0004237</t>
        </is>
      </c>
      <c r="B4238" t="inlineStr">
        <is>
          <t>LN200604</t>
        </is>
      </c>
      <c r="C4238" t="n">
        <v>1</v>
      </c>
      <c r="D4238" s="8" t="n">
        <v>46183</v>
      </c>
      <c r="E4238" s="9" t="n">
        <v>15730</v>
      </c>
      <c r="F4238" s="8" t="n">
        <v>46184</v>
      </c>
      <c r="G4238" s="9" t="n">
        <v>15730</v>
      </c>
      <c r="H4238" t="inlineStr">
        <is>
          <t>PAID_ON_TIME</t>
        </is>
      </c>
      <c r="I4238">
        <f>IF(H4238="UNPAID", AsOfDate-D4238, 0)</f>
        <v/>
      </c>
      <c r="J4238">
        <f>IF(F4238&lt;&gt;"", TEXT(F4238, "yyyy-mm"), "")</f>
        <v/>
      </c>
    </row>
    <row r="4239">
      <c r="A4239" t="inlineStr">
        <is>
          <t>RP0004238</t>
        </is>
      </c>
      <c r="B4239" t="inlineStr">
        <is>
          <t>LN200604</t>
        </is>
      </c>
      <c r="C4239" t="n">
        <v>2</v>
      </c>
      <c r="D4239" s="8" t="n">
        <v>46213</v>
      </c>
      <c r="E4239" s="9" t="n">
        <v>15730</v>
      </c>
      <c r="F4239" s="8" t="n">
        <v>46217</v>
      </c>
      <c r="G4239" s="9" t="n">
        <v>15730</v>
      </c>
      <c r="H4239" t="inlineStr">
        <is>
          <t>PAID_ON_TIME</t>
        </is>
      </c>
      <c r="I4239">
        <f>IF(H4239="UNPAID", AsOfDate-D4239, 0)</f>
        <v/>
      </c>
      <c r="J4239">
        <f>IF(F4239&lt;&gt;"", TEXT(F4239, "yyyy-mm"), "")</f>
        <v/>
      </c>
    </row>
    <row r="4240">
      <c r="A4240" t="inlineStr">
        <is>
          <t>RP0004239</t>
        </is>
      </c>
      <c r="B4240" t="inlineStr">
        <is>
          <t>LN200604</t>
        </is>
      </c>
      <c r="C4240" t="n">
        <v>3</v>
      </c>
      <c r="D4240" s="8" t="n">
        <v>46244</v>
      </c>
      <c r="E4240" s="9" t="n">
        <v>15730</v>
      </c>
      <c r="F4240" s="8" t="n">
        <v>46241</v>
      </c>
      <c r="G4240" s="9" t="n">
        <v>15730</v>
      </c>
      <c r="H4240" t="inlineStr">
        <is>
          <t>PAID_ON_TIME</t>
        </is>
      </c>
      <c r="I4240">
        <f>IF(H4240="UNPAID", AsOfDate-D4240, 0)</f>
        <v/>
      </c>
      <c r="J4240">
        <f>IF(F4240&lt;&gt;"", TEXT(F4240, "yyyy-mm"), "")</f>
        <v/>
      </c>
    </row>
    <row r="4241">
      <c r="A4241" t="inlineStr">
        <is>
          <t>RP0004240</t>
        </is>
      </c>
      <c r="B4241" t="inlineStr">
        <is>
          <t>LN200604</t>
        </is>
      </c>
      <c r="C4241" t="n">
        <v>4</v>
      </c>
      <c r="D4241" s="8" t="n">
        <v>46275</v>
      </c>
      <c r="E4241" s="9" t="n">
        <v>15730</v>
      </c>
      <c r="F4241" s="8" t="n"/>
      <c r="G4241" s="9" t="n">
        <v>0</v>
      </c>
      <c r="H4241" t="inlineStr">
        <is>
          <t>NOT_DUE</t>
        </is>
      </c>
      <c r="I4241">
        <f>IF(H4241="UNPAID", AsOfDate-D4241, 0)</f>
        <v/>
      </c>
      <c r="J4241">
        <f>IF(F4241&lt;&gt;"", TEXT(F4241, "yyyy-mm"), "")</f>
        <v/>
      </c>
    </row>
    <row r="4242">
      <c r="A4242" t="inlineStr">
        <is>
          <t>RP0004241</t>
        </is>
      </c>
      <c r="B4242" t="inlineStr">
        <is>
          <t>LN200604</t>
        </is>
      </c>
      <c r="C4242" t="n">
        <v>5</v>
      </c>
      <c r="D4242" s="8" t="n">
        <v>46305</v>
      </c>
      <c r="E4242" s="9" t="n">
        <v>15730</v>
      </c>
      <c r="F4242" s="8" t="n"/>
      <c r="G4242" s="9" t="n">
        <v>0</v>
      </c>
      <c r="H4242" t="inlineStr">
        <is>
          <t>NOT_DUE</t>
        </is>
      </c>
      <c r="I4242">
        <f>IF(H4242="UNPAID", AsOfDate-D4242, 0)</f>
        <v/>
      </c>
      <c r="J4242">
        <f>IF(F4242&lt;&gt;"", TEXT(F4242, "yyyy-mm"), "")</f>
        <v/>
      </c>
    </row>
    <row r="4243">
      <c r="A4243" t="inlineStr">
        <is>
          <t>RP0004242</t>
        </is>
      </c>
      <c r="B4243" t="inlineStr">
        <is>
          <t>LN200604</t>
        </is>
      </c>
      <c r="C4243" t="n">
        <v>6</v>
      </c>
      <c r="D4243" s="8" t="n">
        <v>46336</v>
      </c>
      <c r="E4243" s="9" t="n">
        <v>15730</v>
      </c>
      <c r="F4243" s="8" t="n"/>
      <c r="G4243" s="9" t="n">
        <v>0</v>
      </c>
      <c r="H4243" t="inlineStr">
        <is>
          <t>NOT_DUE</t>
        </is>
      </c>
      <c r="I4243">
        <f>IF(H4243="UNPAID", AsOfDate-D4243, 0)</f>
        <v/>
      </c>
      <c r="J4243">
        <f>IF(F4243&lt;&gt;"", TEXT(F4243, "yyyy-mm"), "")</f>
        <v/>
      </c>
    </row>
    <row r="4244">
      <c r="A4244" t="inlineStr">
        <is>
          <t>RP0004243</t>
        </is>
      </c>
      <c r="B4244" t="inlineStr">
        <is>
          <t>LN200604</t>
        </is>
      </c>
      <c r="C4244" t="n">
        <v>7</v>
      </c>
      <c r="D4244" s="8" t="n">
        <v>46366</v>
      </c>
      <c r="E4244" s="9" t="n">
        <v>15730</v>
      </c>
      <c r="F4244" s="8" t="n"/>
      <c r="G4244" s="9" t="n">
        <v>0</v>
      </c>
      <c r="H4244" t="inlineStr">
        <is>
          <t>NOT_DUE</t>
        </is>
      </c>
      <c r="I4244">
        <f>IF(H4244="UNPAID", AsOfDate-D4244, 0)</f>
        <v/>
      </c>
      <c r="J4244">
        <f>IF(F4244&lt;&gt;"", TEXT(F4244, "yyyy-mm"), "")</f>
        <v/>
      </c>
    </row>
    <row r="4245">
      <c r="A4245" t="inlineStr">
        <is>
          <t>RP0004244</t>
        </is>
      </c>
      <c r="B4245" t="inlineStr">
        <is>
          <t>LN200604</t>
        </is>
      </c>
      <c r="C4245" t="n">
        <v>8</v>
      </c>
      <c r="D4245" s="8" t="n">
        <v>46397</v>
      </c>
      <c r="E4245" s="9" t="n">
        <v>15730</v>
      </c>
      <c r="F4245" s="8" t="n"/>
      <c r="G4245" s="9" t="n">
        <v>0</v>
      </c>
      <c r="H4245" t="inlineStr">
        <is>
          <t>NOT_DUE</t>
        </is>
      </c>
      <c r="I4245">
        <f>IF(H4245="UNPAID", AsOfDate-D4245, 0)</f>
        <v/>
      </c>
      <c r="J4245">
        <f>IF(F4245&lt;&gt;"", TEXT(F4245, "yyyy-mm"), "")</f>
        <v/>
      </c>
    </row>
    <row r="4246">
      <c r="A4246" t="inlineStr">
        <is>
          <t>RP0004245</t>
        </is>
      </c>
      <c r="B4246" t="inlineStr">
        <is>
          <t>LN200604</t>
        </is>
      </c>
      <c r="C4246" t="n">
        <v>9</v>
      </c>
      <c r="D4246" s="8" t="n">
        <v>46428</v>
      </c>
      <c r="E4246" s="9" t="n">
        <v>15730</v>
      </c>
      <c r="F4246" s="8" t="n"/>
      <c r="G4246" s="9" t="n">
        <v>0</v>
      </c>
      <c r="H4246" t="inlineStr">
        <is>
          <t>NOT_DUE</t>
        </is>
      </c>
      <c r="I4246">
        <f>IF(H4246="UNPAID", AsOfDate-D4246, 0)</f>
        <v/>
      </c>
      <c r="J4246">
        <f>IF(F4246&lt;&gt;"", TEXT(F4246, "yyyy-mm"), "")</f>
        <v/>
      </c>
    </row>
    <row r="4247">
      <c r="A4247" t="inlineStr">
        <is>
          <t>RP0004246</t>
        </is>
      </c>
      <c r="B4247" t="inlineStr">
        <is>
          <t>LN200604</t>
        </is>
      </c>
      <c r="C4247" t="n">
        <v>10</v>
      </c>
      <c r="D4247" s="8" t="n">
        <v>46456</v>
      </c>
      <c r="E4247" s="9" t="n">
        <v>15730</v>
      </c>
      <c r="F4247" s="8" t="n"/>
      <c r="G4247" s="9" t="n">
        <v>0</v>
      </c>
      <c r="H4247" t="inlineStr">
        <is>
          <t>NOT_DUE</t>
        </is>
      </c>
      <c r="I4247">
        <f>IF(H4247="UNPAID", AsOfDate-D4247, 0)</f>
        <v/>
      </c>
      <c r="J4247">
        <f>IF(F4247&lt;&gt;"", TEXT(F4247, "yyyy-mm"), "")</f>
        <v/>
      </c>
    </row>
    <row r="4248">
      <c r="A4248" t="inlineStr">
        <is>
          <t>RP0004247</t>
        </is>
      </c>
      <c r="B4248" t="inlineStr">
        <is>
          <t>LN200604</t>
        </is>
      </c>
      <c r="C4248" t="n">
        <v>11</v>
      </c>
      <c r="D4248" s="8" t="n">
        <v>46487</v>
      </c>
      <c r="E4248" s="9" t="n">
        <v>15730</v>
      </c>
      <c r="F4248" s="8" t="n"/>
      <c r="G4248" s="9" t="n">
        <v>0</v>
      </c>
      <c r="H4248" t="inlineStr">
        <is>
          <t>NOT_DUE</t>
        </is>
      </c>
      <c r="I4248">
        <f>IF(H4248="UNPAID", AsOfDate-D4248, 0)</f>
        <v/>
      </c>
      <c r="J4248">
        <f>IF(F4248&lt;&gt;"", TEXT(F4248, "yyyy-mm"), "")</f>
        <v/>
      </c>
    </row>
    <row r="4249">
      <c r="A4249" t="inlineStr">
        <is>
          <t>RP0004248</t>
        </is>
      </c>
      <c r="B4249" t="inlineStr">
        <is>
          <t>LN200604</t>
        </is>
      </c>
      <c r="C4249" t="n">
        <v>12</v>
      </c>
      <c r="D4249" s="8" t="n">
        <v>46517</v>
      </c>
      <c r="E4249" s="9" t="n">
        <v>15730</v>
      </c>
      <c r="F4249" s="8" t="n"/>
      <c r="G4249" s="9" t="n">
        <v>0</v>
      </c>
      <c r="H4249" t="inlineStr">
        <is>
          <t>NOT_DUE</t>
        </is>
      </c>
      <c r="I4249">
        <f>IF(H4249="UNPAID", AsOfDate-D4249, 0)</f>
        <v/>
      </c>
      <c r="J4249">
        <f>IF(F4249&lt;&gt;"", TEXT(F4249, "yyyy-mm"), "")</f>
        <v/>
      </c>
    </row>
    <row r="4250">
      <c r="A4250" t="inlineStr">
        <is>
          <t>RP0004249</t>
        </is>
      </c>
      <c r="B4250" t="inlineStr">
        <is>
          <t>LN200605</t>
        </is>
      </c>
      <c r="C4250" t="n">
        <v>1</v>
      </c>
      <c r="D4250" s="8" t="n">
        <v>45726</v>
      </c>
      <c r="E4250" s="9" t="n">
        <v>4642.75</v>
      </c>
      <c r="F4250" s="8" t="n">
        <v>45725</v>
      </c>
      <c r="G4250" s="9" t="n">
        <v>4642.75</v>
      </c>
      <c r="H4250" t="inlineStr">
        <is>
          <t>PAID_ON_TIME</t>
        </is>
      </c>
      <c r="I4250">
        <f>IF(H4250="UNPAID", AsOfDate-D4250, 0)</f>
        <v/>
      </c>
      <c r="J4250">
        <f>IF(F4250&lt;&gt;"", TEXT(F4250, "yyyy-mm"), "")</f>
        <v/>
      </c>
    </row>
    <row r="4251">
      <c r="A4251" t="inlineStr">
        <is>
          <t>RP0004250</t>
        </is>
      </c>
      <c r="B4251" t="inlineStr">
        <is>
          <t>LN200605</t>
        </is>
      </c>
      <c r="C4251" t="n">
        <v>2</v>
      </c>
      <c r="D4251" s="8" t="n">
        <v>45757</v>
      </c>
      <c r="E4251" s="9" t="n">
        <v>4642.75</v>
      </c>
      <c r="F4251" s="8" t="n">
        <v>45754</v>
      </c>
      <c r="G4251" s="9" t="n">
        <v>4642.75</v>
      </c>
      <c r="H4251" t="inlineStr">
        <is>
          <t>PAID_ON_TIME</t>
        </is>
      </c>
      <c r="I4251">
        <f>IF(H4251="UNPAID", AsOfDate-D4251, 0)</f>
        <v/>
      </c>
      <c r="J4251">
        <f>IF(F4251&lt;&gt;"", TEXT(F4251, "yyyy-mm"), "")</f>
        <v/>
      </c>
    </row>
    <row r="4252">
      <c r="A4252" t="inlineStr">
        <is>
          <t>RP0004251</t>
        </is>
      </c>
      <c r="B4252" t="inlineStr">
        <is>
          <t>LN200605</t>
        </is>
      </c>
      <c r="C4252" t="n">
        <v>3</v>
      </c>
      <c r="D4252" s="8" t="n">
        <v>45787</v>
      </c>
      <c r="E4252" s="9" t="n">
        <v>4642.75</v>
      </c>
      <c r="F4252" s="8" t="n">
        <v>45791</v>
      </c>
      <c r="G4252" s="9" t="n">
        <v>4642.75</v>
      </c>
      <c r="H4252" t="inlineStr">
        <is>
          <t>PAID_ON_TIME</t>
        </is>
      </c>
      <c r="I4252">
        <f>IF(H4252="UNPAID", AsOfDate-D4252, 0)</f>
        <v/>
      </c>
      <c r="J4252">
        <f>IF(F4252&lt;&gt;"", TEXT(F4252, "yyyy-mm"), "")</f>
        <v/>
      </c>
    </row>
    <row r="4253">
      <c r="A4253" t="inlineStr">
        <is>
          <t>RP0004252</t>
        </is>
      </c>
      <c r="B4253" t="inlineStr">
        <is>
          <t>LN200605</t>
        </is>
      </c>
      <c r="C4253" t="n">
        <v>4</v>
      </c>
      <c r="D4253" s="8" t="n">
        <v>45818</v>
      </c>
      <c r="E4253" s="9" t="n">
        <v>4642.75</v>
      </c>
      <c r="F4253" s="8" t="n">
        <v>45819</v>
      </c>
      <c r="G4253" s="9" t="n">
        <v>4642.75</v>
      </c>
      <c r="H4253" t="inlineStr">
        <is>
          <t>PAID_ON_TIME</t>
        </is>
      </c>
      <c r="I4253">
        <f>IF(H4253="UNPAID", AsOfDate-D4253, 0)</f>
        <v/>
      </c>
      <c r="J4253">
        <f>IF(F4253&lt;&gt;"", TEXT(F4253, "yyyy-mm"), "")</f>
        <v/>
      </c>
    </row>
    <row r="4254">
      <c r="A4254" t="inlineStr">
        <is>
          <t>RP0004253</t>
        </is>
      </c>
      <c r="B4254" t="inlineStr">
        <is>
          <t>LN200605</t>
        </is>
      </c>
      <c r="C4254" t="n">
        <v>5</v>
      </c>
      <c r="D4254" s="8" t="n">
        <v>45848</v>
      </c>
      <c r="E4254" s="9" t="n">
        <v>4642.75</v>
      </c>
      <c r="F4254" s="8" t="n">
        <v>45852</v>
      </c>
      <c r="G4254" s="9" t="n">
        <v>4642.75</v>
      </c>
      <c r="H4254" t="inlineStr">
        <is>
          <t>PAID_ON_TIME</t>
        </is>
      </c>
      <c r="I4254">
        <f>IF(H4254="UNPAID", AsOfDate-D4254, 0)</f>
        <v/>
      </c>
      <c r="J4254">
        <f>IF(F4254&lt;&gt;"", TEXT(F4254, "yyyy-mm"), "")</f>
        <v/>
      </c>
    </row>
    <row r="4255">
      <c r="A4255" t="inlineStr">
        <is>
          <t>RP0004254</t>
        </is>
      </c>
      <c r="B4255" t="inlineStr">
        <is>
          <t>LN200605</t>
        </is>
      </c>
      <c r="C4255" t="n">
        <v>6</v>
      </c>
      <c r="D4255" s="8" t="n">
        <v>45879</v>
      </c>
      <c r="E4255" s="9" t="n">
        <v>4642.75</v>
      </c>
      <c r="F4255" s="8" t="n">
        <v>45881</v>
      </c>
      <c r="G4255" s="9" t="n">
        <v>4642.75</v>
      </c>
      <c r="H4255" t="inlineStr">
        <is>
          <t>PAID_ON_TIME</t>
        </is>
      </c>
      <c r="I4255">
        <f>IF(H4255="UNPAID", AsOfDate-D4255, 0)</f>
        <v/>
      </c>
      <c r="J4255">
        <f>IF(F4255&lt;&gt;"", TEXT(F4255, "yyyy-mm"), "")</f>
        <v/>
      </c>
    </row>
    <row r="4256">
      <c r="A4256" t="inlineStr">
        <is>
          <t>RP0004255</t>
        </is>
      </c>
      <c r="B4256" t="inlineStr">
        <is>
          <t>LN200605</t>
        </is>
      </c>
      <c r="C4256" t="n">
        <v>7</v>
      </c>
      <c r="D4256" s="8" t="n">
        <v>45910</v>
      </c>
      <c r="E4256" s="9" t="n">
        <v>4642.75</v>
      </c>
      <c r="F4256" s="8" t="n">
        <v>45963</v>
      </c>
      <c r="G4256" s="9" t="n">
        <v>4642.75</v>
      </c>
      <c r="H4256" t="inlineStr">
        <is>
          <t>PAID_LATE</t>
        </is>
      </c>
      <c r="I4256">
        <f>IF(H4256="UNPAID", AsOfDate-D4256, 0)</f>
        <v/>
      </c>
      <c r="J4256">
        <f>IF(F4256&lt;&gt;"", TEXT(F4256, "yyyy-mm"), "")</f>
        <v/>
      </c>
    </row>
    <row r="4257">
      <c r="A4257" t="inlineStr">
        <is>
          <t>RP0004256</t>
        </is>
      </c>
      <c r="B4257" t="inlineStr">
        <is>
          <t>LN200605</t>
        </is>
      </c>
      <c r="C4257" t="n">
        <v>8</v>
      </c>
      <c r="D4257" s="8" t="n">
        <v>45940</v>
      </c>
      <c r="E4257" s="9" t="n">
        <v>4642.75</v>
      </c>
      <c r="F4257" s="8" t="n">
        <v>45941</v>
      </c>
      <c r="G4257" s="9" t="n">
        <v>4642.75</v>
      </c>
      <c r="H4257" t="inlineStr">
        <is>
          <t>PAID_ON_TIME</t>
        </is>
      </c>
      <c r="I4257">
        <f>IF(H4257="UNPAID", AsOfDate-D4257, 0)</f>
        <v/>
      </c>
      <c r="J4257">
        <f>IF(F4257&lt;&gt;"", TEXT(F4257, "yyyy-mm"), "")</f>
        <v/>
      </c>
    </row>
    <row r="4258">
      <c r="A4258" t="inlineStr">
        <is>
          <t>RP0004257</t>
        </is>
      </c>
      <c r="B4258" t="inlineStr">
        <is>
          <t>LN200605</t>
        </is>
      </c>
      <c r="C4258" t="n">
        <v>9</v>
      </c>
      <c r="D4258" s="8" t="n">
        <v>45971</v>
      </c>
      <c r="E4258" s="9" t="n">
        <v>4642.75</v>
      </c>
      <c r="F4258" s="8" t="n">
        <v>45970</v>
      </c>
      <c r="G4258" s="9" t="n">
        <v>4642.75</v>
      </c>
      <c r="H4258" t="inlineStr">
        <is>
          <t>PAID_ON_TIME</t>
        </is>
      </c>
      <c r="I4258">
        <f>IF(H4258="UNPAID", AsOfDate-D4258, 0)</f>
        <v/>
      </c>
      <c r="J4258">
        <f>IF(F4258&lt;&gt;"", TEXT(F4258, "yyyy-mm"), "")</f>
        <v/>
      </c>
    </row>
    <row r="4259">
      <c r="A4259" t="inlineStr">
        <is>
          <t>RP0004258</t>
        </is>
      </c>
      <c r="B4259" t="inlineStr">
        <is>
          <t>LN200605</t>
        </is>
      </c>
      <c r="C4259" t="n">
        <v>10</v>
      </c>
      <c r="D4259" s="8" t="n">
        <v>46001</v>
      </c>
      <c r="E4259" s="9" t="n">
        <v>4642.75</v>
      </c>
      <c r="F4259" s="8" t="n">
        <v>46095</v>
      </c>
      <c r="G4259" s="9" t="n">
        <v>4642.75</v>
      </c>
      <c r="H4259" t="inlineStr">
        <is>
          <t>PAID_LATE</t>
        </is>
      </c>
      <c r="I4259">
        <f>IF(H4259="UNPAID", AsOfDate-D4259, 0)</f>
        <v/>
      </c>
      <c r="J4259">
        <f>IF(F4259&lt;&gt;"", TEXT(F4259, "yyyy-mm"), "")</f>
        <v/>
      </c>
    </row>
    <row r="4260">
      <c r="A4260" t="inlineStr">
        <is>
          <t>RP0004259</t>
        </is>
      </c>
      <c r="B4260" t="inlineStr">
        <is>
          <t>LN200605</t>
        </is>
      </c>
      <c r="C4260" t="n">
        <v>11</v>
      </c>
      <c r="D4260" s="8" t="n">
        <v>46032</v>
      </c>
      <c r="E4260" s="9" t="n">
        <v>4642.75</v>
      </c>
      <c r="F4260" s="8" t="n">
        <v>46035</v>
      </c>
      <c r="G4260" s="9" t="n">
        <v>4642.75</v>
      </c>
      <c r="H4260" t="inlineStr">
        <is>
          <t>PAID_ON_TIME</t>
        </is>
      </c>
      <c r="I4260">
        <f>IF(H4260="UNPAID", AsOfDate-D4260, 0)</f>
        <v/>
      </c>
      <c r="J4260">
        <f>IF(F4260&lt;&gt;"", TEXT(F4260, "yyyy-mm"), "")</f>
        <v/>
      </c>
    </row>
    <row r="4261">
      <c r="A4261" t="inlineStr">
        <is>
          <t>RP0004260</t>
        </is>
      </c>
      <c r="B4261" t="inlineStr">
        <is>
          <t>LN200605</t>
        </is>
      </c>
      <c r="C4261" t="n">
        <v>12</v>
      </c>
      <c r="D4261" s="8" t="n">
        <v>46063</v>
      </c>
      <c r="E4261" s="9" t="n">
        <v>4642.75</v>
      </c>
      <c r="F4261" s="8" t="n">
        <v>46063</v>
      </c>
      <c r="G4261" s="9" t="n">
        <v>4642.75</v>
      </c>
      <c r="H4261" t="inlineStr">
        <is>
          <t>PAID_ON_TIME</t>
        </is>
      </c>
      <c r="I4261">
        <f>IF(H4261="UNPAID", AsOfDate-D4261, 0)</f>
        <v/>
      </c>
      <c r="J4261">
        <f>IF(F4261&lt;&gt;"", TEXT(F4261, "yyyy-mm"), "")</f>
        <v/>
      </c>
    </row>
    <row r="4262">
      <c r="A4262" t="inlineStr">
        <is>
          <t>RP0004261</t>
        </is>
      </c>
      <c r="B4262" t="inlineStr">
        <is>
          <t>LN200606</t>
        </is>
      </c>
      <c r="C4262" t="n">
        <v>1</v>
      </c>
      <c r="D4262" s="8" t="n">
        <v>45996</v>
      </c>
      <c r="E4262" s="9" t="n">
        <v>8143.58</v>
      </c>
      <c r="F4262" s="8" t="n">
        <v>45997</v>
      </c>
      <c r="G4262" s="9" t="n">
        <v>8143.58</v>
      </c>
      <c r="H4262" t="inlineStr">
        <is>
          <t>PAID_ON_TIME</t>
        </is>
      </c>
      <c r="I4262">
        <f>IF(H4262="UNPAID", AsOfDate-D4262, 0)</f>
        <v/>
      </c>
      <c r="J4262">
        <f>IF(F4262&lt;&gt;"", TEXT(F4262, "yyyy-mm"), "")</f>
        <v/>
      </c>
    </row>
    <row r="4263">
      <c r="A4263" t="inlineStr">
        <is>
          <t>RP0004262</t>
        </is>
      </c>
      <c r="B4263" t="inlineStr">
        <is>
          <t>LN200606</t>
        </is>
      </c>
      <c r="C4263" t="n">
        <v>2</v>
      </c>
      <c r="D4263" s="8" t="n">
        <v>46027</v>
      </c>
      <c r="E4263" s="9" t="n">
        <v>8143.58</v>
      </c>
      <c r="F4263" s="8" t="n">
        <v>46026</v>
      </c>
      <c r="G4263" s="9" t="n">
        <v>8143.58</v>
      </c>
      <c r="H4263" t="inlineStr">
        <is>
          <t>PAID_ON_TIME</t>
        </is>
      </c>
      <c r="I4263">
        <f>IF(H4263="UNPAID", AsOfDate-D4263, 0)</f>
        <v/>
      </c>
      <c r="J4263">
        <f>IF(F4263&lt;&gt;"", TEXT(F4263, "yyyy-mm"), "")</f>
        <v/>
      </c>
    </row>
    <row r="4264">
      <c r="A4264" t="inlineStr">
        <is>
          <t>RP0004263</t>
        </is>
      </c>
      <c r="B4264" t="inlineStr">
        <is>
          <t>LN200606</t>
        </is>
      </c>
      <c r="C4264" t="n">
        <v>3</v>
      </c>
      <c r="D4264" s="8" t="n">
        <v>46058</v>
      </c>
      <c r="E4264" s="9" t="n">
        <v>8143.58</v>
      </c>
      <c r="F4264" s="8" t="n">
        <v>46055</v>
      </c>
      <c r="G4264" s="9" t="n">
        <v>8143.58</v>
      </c>
      <c r="H4264" t="inlineStr">
        <is>
          <t>PAID_ON_TIME</t>
        </is>
      </c>
      <c r="I4264">
        <f>IF(H4264="UNPAID", AsOfDate-D4264, 0)</f>
        <v/>
      </c>
      <c r="J4264">
        <f>IF(F4264&lt;&gt;"", TEXT(F4264, "yyyy-mm"), "")</f>
        <v/>
      </c>
    </row>
    <row r="4265">
      <c r="A4265" t="inlineStr">
        <is>
          <t>RP0004264</t>
        </is>
      </c>
      <c r="B4265" t="inlineStr">
        <is>
          <t>LN200606</t>
        </is>
      </c>
      <c r="C4265" t="n">
        <v>4</v>
      </c>
      <c r="D4265" s="8" t="n">
        <v>46086</v>
      </c>
      <c r="E4265" s="9" t="n">
        <v>8143.58</v>
      </c>
      <c r="F4265" s="8" t="n">
        <v>46084</v>
      </c>
      <c r="G4265" s="9" t="n">
        <v>8143.58</v>
      </c>
      <c r="H4265" t="inlineStr">
        <is>
          <t>PAID_ON_TIME</t>
        </is>
      </c>
      <c r="I4265">
        <f>IF(H4265="UNPAID", AsOfDate-D4265, 0)</f>
        <v/>
      </c>
      <c r="J4265">
        <f>IF(F4265&lt;&gt;"", TEXT(F4265, "yyyy-mm"), "")</f>
        <v/>
      </c>
    </row>
    <row r="4266">
      <c r="A4266" t="inlineStr">
        <is>
          <t>RP0004265</t>
        </is>
      </c>
      <c r="B4266" t="inlineStr">
        <is>
          <t>LN200606</t>
        </is>
      </c>
      <c r="C4266" t="n">
        <v>5</v>
      </c>
      <c r="D4266" s="8" t="n">
        <v>46117</v>
      </c>
      <c r="E4266" s="9" t="n">
        <v>8143.58</v>
      </c>
      <c r="F4266" s="8" t="n">
        <v>46225</v>
      </c>
      <c r="G4266" s="9" t="n">
        <v>8143.58</v>
      </c>
      <c r="H4266" t="inlineStr">
        <is>
          <t>PAID_LATE</t>
        </is>
      </c>
      <c r="I4266">
        <f>IF(H4266="UNPAID", AsOfDate-D4266, 0)</f>
        <v/>
      </c>
      <c r="J4266">
        <f>IF(F4266&lt;&gt;"", TEXT(F4266, "yyyy-mm"), "")</f>
        <v/>
      </c>
    </row>
    <row r="4267">
      <c r="A4267" t="inlineStr">
        <is>
          <t>RP0004266</t>
        </is>
      </c>
      <c r="B4267" t="inlineStr">
        <is>
          <t>LN200606</t>
        </is>
      </c>
      <c r="C4267" t="n">
        <v>6</v>
      </c>
      <c r="D4267" s="8" t="n">
        <v>46147</v>
      </c>
      <c r="E4267" s="9" t="n">
        <v>8143.58</v>
      </c>
      <c r="F4267" s="8" t="n">
        <v>46150</v>
      </c>
      <c r="G4267" s="9" t="n">
        <v>8143.58</v>
      </c>
      <c r="H4267" t="inlineStr">
        <is>
          <t>PAID_ON_TIME</t>
        </is>
      </c>
      <c r="I4267">
        <f>IF(H4267="UNPAID", AsOfDate-D4267, 0)</f>
        <v/>
      </c>
      <c r="J4267">
        <f>IF(F4267&lt;&gt;"", TEXT(F4267, "yyyy-mm"), "")</f>
        <v/>
      </c>
    </row>
    <row r="4268">
      <c r="A4268" t="inlineStr">
        <is>
          <t>RP0004267</t>
        </is>
      </c>
      <c r="B4268" t="inlineStr">
        <is>
          <t>LN200606</t>
        </is>
      </c>
      <c r="C4268" t="n">
        <v>7</v>
      </c>
      <c r="D4268" s="8" t="n">
        <v>46178</v>
      </c>
      <c r="E4268" s="9" t="n">
        <v>8143.58</v>
      </c>
      <c r="F4268" s="8" t="n">
        <v>46180</v>
      </c>
      <c r="G4268" s="9" t="n">
        <v>8143.58</v>
      </c>
      <c r="H4268" t="inlineStr">
        <is>
          <t>PAID_ON_TIME</t>
        </is>
      </c>
      <c r="I4268">
        <f>IF(H4268="UNPAID", AsOfDate-D4268, 0)</f>
        <v/>
      </c>
      <c r="J4268">
        <f>IF(F4268&lt;&gt;"", TEXT(F4268, "yyyy-mm"), "")</f>
        <v/>
      </c>
    </row>
    <row r="4269">
      <c r="A4269" t="inlineStr">
        <is>
          <t>RP0004268</t>
        </is>
      </c>
      <c r="B4269" t="inlineStr">
        <is>
          <t>LN200606</t>
        </is>
      </c>
      <c r="C4269" t="n">
        <v>8</v>
      </c>
      <c r="D4269" s="8" t="n">
        <v>46208</v>
      </c>
      <c r="E4269" s="9" t="n">
        <v>8143.58</v>
      </c>
      <c r="F4269" s="8" t="n">
        <v>46207</v>
      </c>
      <c r="G4269" s="9" t="n">
        <v>8143.58</v>
      </c>
      <c r="H4269" t="inlineStr">
        <is>
          <t>PAID_ON_TIME</t>
        </is>
      </c>
      <c r="I4269">
        <f>IF(H4269="UNPAID", AsOfDate-D4269, 0)</f>
        <v/>
      </c>
      <c r="J4269">
        <f>IF(F4269&lt;&gt;"", TEXT(F4269, "yyyy-mm"), "")</f>
        <v/>
      </c>
    </row>
    <row r="4270">
      <c r="A4270" t="inlineStr">
        <is>
          <t>RP0004269</t>
        </is>
      </c>
      <c r="B4270" t="inlineStr">
        <is>
          <t>LN200606</t>
        </is>
      </c>
      <c r="C4270" t="n">
        <v>9</v>
      </c>
      <c r="D4270" s="8" t="n">
        <v>46239</v>
      </c>
      <c r="E4270" s="9" t="n">
        <v>8143.58</v>
      </c>
      <c r="F4270" s="8" t="n">
        <v>46241</v>
      </c>
      <c r="G4270" s="9" t="n">
        <v>8143.58</v>
      </c>
      <c r="H4270" t="inlineStr">
        <is>
          <t>PAID_ON_TIME</t>
        </is>
      </c>
      <c r="I4270">
        <f>IF(H4270="UNPAID", AsOfDate-D4270, 0)</f>
        <v/>
      </c>
      <c r="J4270">
        <f>IF(F4270&lt;&gt;"", TEXT(F4270, "yyyy-mm"), "")</f>
        <v/>
      </c>
    </row>
    <row r="4271">
      <c r="A4271" t="inlineStr">
        <is>
          <t>RP0004270</t>
        </is>
      </c>
      <c r="B4271" t="inlineStr">
        <is>
          <t>LN200606</t>
        </is>
      </c>
      <c r="C4271" t="n">
        <v>10</v>
      </c>
      <c r="D4271" s="8" t="n">
        <v>46270</v>
      </c>
      <c r="E4271" s="9" t="n">
        <v>8143.58</v>
      </c>
      <c r="F4271" s="8" t="n"/>
      <c r="G4271" s="9" t="n">
        <v>0</v>
      </c>
      <c r="H4271" t="inlineStr">
        <is>
          <t>NOT_DUE</t>
        </is>
      </c>
      <c r="I4271">
        <f>IF(H4271="UNPAID", AsOfDate-D4271, 0)</f>
        <v/>
      </c>
      <c r="J4271">
        <f>IF(F4271&lt;&gt;"", TEXT(F4271, "yyyy-mm"), "")</f>
        <v/>
      </c>
    </row>
    <row r="4272">
      <c r="A4272" t="inlineStr">
        <is>
          <t>RP0004271</t>
        </is>
      </c>
      <c r="B4272" t="inlineStr">
        <is>
          <t>LN200606</t>
        </is>
      </c>
      <c r="C4272" t="n">
        <v>11</v>
      </c>
      <c r="D4272" s="8" t="n">
        <v>46300</v>
      </c>
      <c r="E4272" s="9" t="n">
        <v>8143.58</v>
      </c>
      <c r="F4272" s="8" t="n"/>
      <c r="G4272" s="9" t="n">
        <v>0</v>
      </c>
      <c r="H4272" t="inlineStr">
        <is>
          <t>NOT_DUE</t>
        </is>
      </c>
      <c r="I4272">
        <f>IF(H4272="UNPAID", AsOfDate-D4272, 0)</f>
        <v/>
      </c>
      <c r="J4272">
        <f>IF(F4272&lt;&gt;"", TEXT(F4272, "yyyy-mm"), "")</f>
        <v/>
      </c>
    </row>
    <row r="4273">
      <c r="A4273" t="inlineStr">
        <is>
          <t>RP0004272</t>
        </is>
      </c>
      <c r="B4273" t="inlineStr">
        <is>
          <t>LN200606</t>
        </is>
      </c>
      <c r="C4273" t="n">
        <v>12</v>
      </c>
      <c r="D4273" s="8" t="n">
        <v>46331</v>
      </c>
      <c r="E4273" s="9" t="n">
        <v>8143.58</v>
      </c>
      <c r="F4273" s="8" t="n"/>
      <c r="G4273" s="9" t="n">
        <v>0</v>
      </c>
      <c r="H4273" t="inlineStr">
        <is>
          <t>NOT_DUE</t>
        </is>
      </c>
      <c r="I4273">
        <f>IF(H4273="UNPAID", AsOfDate-D4273, 0)</f>
        <v/>
      </c>
      <c r="J4273">
        <f>IF(F4273&lt;&gt;"", TEXT(F4273, "yyyy-mm"), "")</f>
        <v/>
      </c>
    </row>
    <row r="4274">
      <c r="A4274" t="inlineStr">
        <is>
          <t>RP0004273</t>
        </is>
      </c>
      <c r="B4274" t="inlineStr">
        <is>
          <t>LN200607</t>
        </is>
      </c>
      <c r="C4274" t="n">
        <v>1</v>
      </c>
      <c r="D4274" s="8" t="n">
        <v>46185</v>
      </c>
      <c r="E4274" s="9" t="n">
        <v>10862.92</v>
      </c>
      <c r="F4274" s="8" t="n">
        <v>46186</v>
      </c>
      <c r="G4274" s="9" t="n">
        <v>10862.92</v>
      </c>
      <c r="H4274" t="inlineStr">
        <is>
          <t>PAID_ON_TIME</t>
        </is>
      </c>
      <c r="I4274">
        <f>IF(H4274="UNPAID", AsOfDate-D4274, 0)</f>
        <v/>
      </c>
      <c r="J4274">
        <f>IF(F4274&lt;&gt;"", TEXT(F4274, "yyyy-mm"), "")</f>
        <v/>
      </c>
    </row>
    <row r="4275">
      <c r="A4275" t="inlineStr">
        <is>
          <t>RP0004274</t>
        </is>
      </c>
      <c r="B4275" t="inlineStr">
        <is>
          <t>LN200607</t>
        </is>
      </c>
      <c r="C4275" t="n">
        <v>2</v>
      </c>
      <c r="D4275" s="8" t="n">
        <v>46215</v>
      </c>
      <c r="E4275" s="9" t="n">
        <v>10862.92</v>
      </c>
      <c r="F4275" s="8" t="n">
        <v>46218</v>
      </c>
      <c r="G4275" s="9" t="n">
        <v>10862.92</v>
      </c>
      <c r="H4275" t="inlineStr">
        <is>
          <t>PAID_ON_TIME</t>
        </is>
      </c>
      <c r="I4275">
        <f>IF(H4275="UNPAID", AsOfDate-D4275, 0)</f>
        <v/>
      </c>
      <c r="J4275">
        <f>IF(F4275&lt;&gt;"", TEXT(F4275, "yyyy-mm"), "")</f>
        <v/>
      </c>
    </row>
    <row r="4276">
      <c r="A4276" t="inlineStr">
        <is>
          <t>RP0004275</t>
        </is>
      </c>
      <c r="B4276" t="inlineStr">
        <is>
          <t>LN200607</t>
        </is>
      </c>
      <c r="C4276" t="n">
        <v>3</v>
      </c>
      <c r="D4276" s="8" t="n">
        <v>46246</v>
      </c>
      <c r="E4276" s="9" t="n">
        <v>10862.92</v>
      </c>
      <c r="F4276" s="8" t="n">
        <v>46246</v>
      </c>
      <c r="G4276" s="9" t="n">
        <v>10862.92</v>
      </c>
      <c r="H4276" t="inlineStr">
        <is>
          <t>PAID_ON_TIME</t>
        </is>
      </c>
      <c r="I4276">
        <f>IF(H4276="UNPAID", AsOfDate-D4276, 0)</f>
        <v/>
      </c>
      <c r="J4276">
        <f>IF(F4276&lt;&gt;"", TEXT(F4276, "yyyy-mm"), "")</f>
        <v/>
      </c>
    </row>
    <row r="4277">
      <c r="A4277" t="inlineStr">
        <is>
          <t>RP0004276</t>
        </is>
      </c>
      <c r="B4277" t="inlineStr">
        <is>
          <t>LN200608</t>
        </is>
      </c>
      <c r="C4277" t="n">
        <v>1</v>
      </c>
      <c r="D4277" s="8" t="n">
        <v>46188</v>
      </c>
      <c r="E4277" s="9" t="n">
        <v>23569.08</v>
      </c>
      <c r="F4277" s="8" t="n">
        <v>46190</v>
      </c>
      <c r="G4277" s="9" t="n">
        <v>23569.08</v>
      </c>
      <c r="H4277" t="inlineStr">
        <is>
          <t>PAID_ON_TIME</t>
        </is>
      </c>
      <c r="I4277">
        <f>IF(H4277="UNPAID", AsOfDate-D4277, 0)</f>
        <v/>
      </c>
      <c r="J4277">
        <f>IF(F4277&lt;&gt;"", TEXT(F4277, "yyyy-mm"), "")</f>
        <v/>
      </c>
    </row>
    <row r="4278">
      <c r="A4278" t="inlineStr">
        <is>
          <t>RP0004277</t>
        </is>
      </c>
      <c r="B4278" t="inlineStr">
        <is>
          <t>LN200608</t>
        </is>
      </c>
      <c r="C4278" t="n">
        <v>2</v>
      </c>
      <c r="D4278" s="8" t="n">
        <v>46218</v>
      </c>
      <c r="E4278" s="9" t="n">
        <v>23569.08</v>
      </c>
      <c r="F4278" s="8" t="n">
        <v>46221</v>
      </c>
      <c r="G4278" s="9" t="n">
        <v>23569.08</v>
      </c>
      <c r="H4278" t="inlineStr">
        <is>
          <t>PAID_ON_TIME</t>
        </is>
      </c>
      <c r="I4278">
        <f>IF(H4278="UNPAID", AsOfDate-D4278, 0)</f>
        <v/>
      </c>
      <c r="J4278">
        <f>IF(F4278&lt;&gt;"", TEXT(F4278, "yyyy-mm"), "")</f>
        <v/>
      </c>
    </row>
    <row r="4279">
      <c r="A4279" t="inlineStr">
        <is>
          <t>RP0004278</t>
        </is>
      </c>
      <c r="B4279" t="inlineStr">
        <is>
          <t>LN200608</t>
        </is>
      </c>
      <c r="C4279" t="n">
        <v>3</v>
      </c>
      <c r="D4279" s="8" t="n">
        <v>46249</v>
      </c>
      <c r="E4279" s="9" t="n">
        <v>23569.08</v>
      </c>
      <c r="F4279" s="8" t="n">
        <v>46252</v>
      </c>
      <c r="G4279" s="9" t="n">
        <v>23569.08</v>
      </c>
      <c r="H4279" t="inlineStr">
        <is>
          <t>PAID_ON_TIME</t>
        </is>
      </c>
      <c r="I4279">
        <f>IF(H4279="UNPAID", AsOfDate-D4279, 0)</f>
        <v/>
      </c>
      <c r="J4279">
        <f>IF(F4279&lt;&gt;"", TEXT(F4279, "yyyy-mm"), "")</f>
        <v/>
      </c>
    </row>
    <row r="4280">
      <c r="A4280" t="inlineStr">
        <is>
          <t>RP0004279</t>
        </is>
      </c>
      <c r="B4280" t="inlineStr">
        <is>
          <t>LN200608</t>
        </is>
      </c>
      <c r="C4280" t="n">
        <v>4</v>
      </c>
      <c r="D4280" s="8" t="n">
        <v>46280</v>
      </c>
      <c r="E4280" s="9" t="n">
        <v>23569.08</v>
      </c>
      <c r="F4280" s="8" t="n"/>
      <c r="G4280" s="9" t="n">
        <v>0</v>
      </c>
      <c r="H4280" t="inlineStr">
        <is>
          <t>NOT_DUE</t>
        </is>
      </c>
      <c r="I4280">
        <f>IF(H4280="UNPAID", AsOfDate-D4280, 0)</f>
        <v/>
      </c>
      <c r="J4280">
        <f>IF(F4280&lt;&gt;"", TEXT(F4280, "yyyy-mm"), "")</f>
        <v/>
      </c>
    </row>
    <row r="4281">
      <c r="A4281" t="inlineStr">
        <is>
          <t>RP0004280</t>
        </is>
      </c>
      <c r="B4281" t="inlineStr">
        <is>
          <t>LN200608</t>
        </is>
      </c>
      <c r="C4281" t="n">
        <v>5</v>
      </c>
      <c r="D4281" s="8" t="n">
        <v>46310</v>
      </c>
      <c r="E4281" s="9" t="n">
        <v>23569.08</v>
      </c>
      <c r="F4281" s="8" t="n"/>
      <c r="G4281" s="9" t="n">
        <v>0</v>
      </c>
      <c r="H4281" t="inlineStr">
        <is>
          <t>NOT_DUE</t>
        </is>
      </c>
      <c r="I4281">
        <f>IF(H4281="UNPAID", AsOfDate-D4281, 0)</f>
        <v/>
      </c>
      <c r="J4281">
        <f>IF(F4281&lt;&gt;"", TEXT(F4281, "yyyy-mm"), "")</f>
        <v/>
      </c>
    </row>
    <row r="4282">
      <c r="A4282" t="inlineStr">
        <is>
          <t>RP0004281</t>
        </is>
      </c>
      <c r="B4282" t="inlineStr">
        <is>
          <t>LN200608</t>
        </is>
      </c>
      <c r="C4282" t="n">
        <v>6</v>
      </c>
      <c r="D4282" s="8" t="n">
        <v>46341</v>
      </c>
      <c r="E4282" s="9" t="n">
        <v>23569.08</v>
      </c>
      <c r="F4282" s="8" t="n"/>
      <c r="G4282" s="9" t="n">
        <v>0</v>
      </c>
      <c r="H4282" t="inlineStr">
        <is>
          <t>NOT_DUE</t>
        </is>
      </c>
      <c r="I4282">
        <f>IF(H4282="UNPAID", AsOfDate-D4282, 0)</f>
        <v/>
      </c>
      <c r="J4282">
        <f>IF(F4282&lt;&gt;"", TEXT(F4282, "yyyy-mm"), "")</f>
        <v/>
      </c>
    </row>
    <row r="4283">
      <c r="A4283" t="inlineStr">
        <is>
          <t>RP0004282</t>
        </is>
      </c>
      <c r="B4283" t="inlineStr">
        <is>
          <t>LN200609</t>
        </is>
      </c>
      <c r="C4283" t="n">
        <v>1</v>
      </c>
      <c r="D4283" s="8" t="n">
        <v>45777</v>
      </c>
      <c r="E4283" s="9" t="n">
        <v>24952.5</v>
      </c>
      <c r="F4283" s="8" t="n">
        <v>45781</v>
      </c>
      <c r="G4283" s="9" t="n">
        <v>24952.5</v>
      </c>
      <c r="H4283" t="inlineStr">
        <is>
          <t>PAID_ON_TIME</t>
        </is>
      </c>
      <c r="I4283">
        <f>IF(H4283="UNPAID", AsOfDate-D4283, 0)</f>
        <v/>
      </c>
      <c r="J4283">
        <f>IF(F4283&lt;&gt;"", TEXT(F4283, "yyyy-mm"), "")</f>
        <v/>
      </c>
    </row>
    <row r="4284">
      <c r="A4284" t="inlineStr">
        <is>
          <t>RP0004283</t>
        </is>
      </c>
      <c r="B4284" t="inlineStr">
        <is>
          <t>LN200609</t>
        </is>
      </c>
      <c r="C4284" t="n">
        <v>2</v>
      </c>
      <c r="D4284" s="8" t="n">
        <v>45807</v>
      </c>
      <c r="E4284" s="9" t="n">
        <v>24952.5</v>
      </c>
      <c r="F4284" s="8" t="n">
        <v>45804</v>
      </c>
      <c r="G4284" s="9" t="n">
        <v>24952.5</v>
      </c>
      <c r="H4284" t="inlineStr">
        <is>
          <t>PAID_ON_TIME</t>
        </is>
      </c>
      <c r="I4284">
        <f>IF(H4284="UNPAID", AsOfDate-D4284, 0)</f>
        <v/>
      </c>
      <c r="J4284">
        <f>IF(F4284&lt;&gt;"", TEXT(F4284, "yyyy-mm"), "")</f>
        <v/>
      </c>
    </row>
    <row r="4285">
      <c r="A4285" t="inlineStr">
        <is>
          <t>RP0004284</t>
        </is>
      </c>
      <c r="B4285" t="inlineStr">
        <is>
          <t>LN200609</t>
        </is>
      </c>
      <c r="C4285" t="n">
        <v>3</v>
      </c>
      <c r="D4285" s="8" t="n">
        <v>45838</v>
      </c>
      <c r="E4285" s="9" t="n">
        <v>24952.5</v>
      </c>
      <c r="F4285" s="8" t="n">
        <v>45841</v>
      </c>
      <c r="G4285" s="9" t="n">
        <v>24952.5</v>
      </c>
      <c r="H4285" t="inlineStr">
        <is>
          <t>PAID_ON_TIME</t>
        </is>
      </c>
      <c r="I4285">
        <f>IF(H4285="UNPAID", AsOfDate-D4285, 0)</f>
        <v/>
      </c>
      <c r="J4285">
        <f>IF(F4285&lt;&gt;"", TEXT(F4285, "yyyy-mm"), "")</f>
        <v/>
      </c>
    </row>
    <row r="4286">
      <c r="A4286" t="inlineStr">
        <is>
          <t>RP0004285</t>
        </is>
      </c>
      <c r="B4286" t="inlineStr">
        <is>
          <t>LN200609</t>
        </is>
      </c>
      <c r="C4286" t="n">
        <v>4</v>
      </c>
      <c r="D4286" s="8" t="n">
        <v>45868</v>
      </c>
      <c r="E4286" s="9" t="n">
        <v>24952.5</v>
      </c>
      <c r="F4286" s="8" t="n">
        <v>45872</v>
      </c>
      <c r="G4286" s="9" t="n">
        <v>24952.5</v>
      </c>
      <c r="H4286" t="inlineStr">
        <is>
          <t>PAID_ON_TIME</t>
        </is>
      </c>
      <c r="I4286">
        <f>IF(H4286="UNPAID", AsOfDate-D4286, 0)</f>
        <v/>
      </c>
      <c r="J4286">
        <f>IF(F4286&lt;&gt;"", TEXT(F4286, "yyyy-mm"), "")</f>
        <v/>
      </c>
    </row>
    <row r="4287">
      <c r="A4287" t="inlineStr">
        <is>
          <t>RP0004286</t>
        </is>
      </c>
      <c r="B4287" t="inlineStr">
        <is>
          <t>LN200609</t>
        </is>
      </c>
      <c r="C4287" t="n">
        <v>5</v>
      </c>
      <c r="D4287" s="8" t="n">
        <v>45899</v>
      </c>
      <c r="E4287" s="9" t="n">
        <v>24952.5</v>
      </c>
      <c r="F4287" s="8" t="n">
        <v>45897</v>
      </c>
      <c r="G4287" s="9" t="n">
        <v>24952.5</v>
      </c>
      <c r="H4287" t="inlineStr">
        <is>
          <t>PAID_ON_TIME</t>
        </is>
      </c>
      <c r="I4287">
        <f>IF(H4287="UNPAID", AsOfDate-D4287, 0)</f>
        <v/>
      </c>
      <c r="J4287">
        <f>IF(F4287&lt;&gt;"", TEXT(F4287, "yyyy-mm"), "")</f>
        <v/>
      </c>
    </row>
    <row r="4288">
      <c r="A4288" t="inlineStr">
        <is>
          <t>RP0004287</t>
        </is>
      </c>
      <c r="B4288" t="inlineStr">
        <is>
          <t>LN200609</t>
        </is>
      </c>
      <c r="C4288" t="n">
        <v>6</v>
      </c>
      <c r="D4288" s="8" t="n">
        <v>45930</v>
      </c>
      <c r="E4288" s="9" t="n">
        <v>24952.5</v>
      </c>
      <c r="F4288" s="8" t="n">
        <v>45932</v>
      </c>
      <c r="G4288" s="9" t="n">
        <v>24952.5</v>
      </c>
      <c r="H4288" t="inlineStr">
        <is>
          <t>PAID_ON_TIME</t>
        </is>
      </c>
      <c r="I4288">
        <f>IF(H4288="UNPAID", AsOfDate-D4288, 0)</f>
        <v/>
      </c>
      <c r="J4288">
        <f>IF(F4288&lt;&gt;"", TEXT(F4288, "yyyy-mm"), "")</f>
        <v/>
      </c>
    </row>
    <row r="4289">
      <c r="A4289" t="inlineStr">
        <is>
          <t>RP0004288</t>
        </is>
      </c>
      <c r="B4289" t="inlineStr">
        <is>
          <t>LN200610</t>
        </is>
      </c>
      <c r="C4289" t="n">
        <v>1</v>
      </c>
      <c r="D4289" s="8" t="n">
        <v>46264</v>
      </c>
      <c r="E4289" s="9" t="n">
        <v>24740.67</v>
      </c>
      <c r="F4289" s="8" t="n">
        <v>46262</v>
      </c>
      <c r="G4289" s="9" t="n">
        <v>24740.67</v>
      </c>
      <c r="H4289" t="inlineStr">
        <is>
          <t>PAID_ON_TIME</t>
        </is>
      </c>
      <c r="I4289">
        <f>IF(H4289="UNPAID", AsOfDate-D4289, 0)</f>
        <v/>
      </c>
      <c r="J4289">
        <f>IF(F4289&lt;&gt;"", TEXT(F4289, "yyyy-mm"), "")</f>
        <v/>
      </c>
    </row>
    <row r="4290">
      <c r="A4290" t="inlineStr">
        <is>
          <t>RP0004289</t>
        </is>
      </c>
      <c r="B4290" t="inlineStr">
        <is>
          <t>LN200610</t>
        </is>
      </c>
      <c r="C4290" t="n">
        <v>2</v>
      </c>
      <c r="D4290" s="8" t="n">
        <v>46295</v>
      </c>
      <c r="E4290" s="9" t="n">
        <v>24740.67</v>
      </c>
      <c r="F4290" s="8" t="n"/>
      <c r="G4290" s="9" t="n">
        <v>0</v>
      </c>
      <c r="H4290" t="inlineStr">
        <is>
          <t>NOT_DUE</t>
        </is>
      </c>
      <c r="I4290">
        <f>IF(H4290="UNPAID", AsOfDate-D4290, 0)</f>
        <v/>
      </c>
      <c r="J4290">
        <f>IF(F4290&lt;&gt;"", TEXT(F4290, "yyyy-mm"), "")</f>
        <v/>
      </c>
    </row>
    <row r="4291">
      <c r="A4291" t="inlineStr">
        <is>
          <t>RP0004290</t>
        </is>
      </c>
      <c r="B4291" t="inlineStr">
        <is>
          <t>LN200610</t>
        </is>
      </c>
      <c r="C4291" t="n">
        <v>3</v>
      </c>
      <c r="D4291" s="8" t="n">
        <v>46325</v>
      </c>
      <c r="E4291" s="9" t="n">
        <v>24740.67</v>
      </c>
      <c r="F4291" s="8" t="n"/>
      <c r="G4291" s="9" t="n">
        <v>0</v>
      </c>
      <c r="H4291" t="inlineStr">
        <is>
          <t>NOT_DUE</t>
        </is>
      </c>
      <c r="I4291">
        <f>IF(H4291="UNPAID", AsOfDate-D4291, 0)</f>
        <v/>
      </c>
      <c r="J4291">
        <f>IF(F4291&lt;&gt;"", TEXT(F4291, "yyyy-mm"), "")</f>
        <v/>
      </c>
    </row>
    <row r="4292">
      <c r="A4292" t="inlineStr">
        <is>
          <t>RP0004291</t>
        </is>
      </c>
      <c r="B4292" t="inlineStr">
        <is>
          <t>LN200610</t>
        </is>
      </c>
      <c r="C4292" t="n">
        <v>4</v>
      </c>
      <c r="D4292" s="8" t="n">
        <v>46356</v>
      </c>
      <c r="E4292" s="9" t="n">
        <v>24740.67</v>
      </c>
      <c r="F4292" s="8" t="n"/>
      <c r="G4292" s="9" t="n">
        <v>0</v>
      </c>
      <c r="H4292" t="inlineStr">
        <is>
          <t>NOT_DUE</t>
        </is>
      </c>
      <c r="I4292">
        <f>IF(H4292="UNPAID", AsOfDate-D4292, 0)</f>
        <v/>
      </c>
      <c r="J4292">
        <f>IF(F4292&lt;&gt;"", TEXT(F4292, "yyyy-mm"), "")</f>
        <v/>
      </c>
    </row>
    <row r="4293">
      <c r="A4293" t="inlineStr">
        <is>
          <t>RP0004292</t>
        </is>
      </c>
      <c r="B4293" t="inlineStr">
        <is>
          <t>LN200610</t>
        </is>
      </c>
      <c r="C4293" t="n">
        <v>5</v>
      </c>
      <c r="D4293" s="8" t="n">
        <v>46386</v>
      </c>
      <c r="E4293" s="9" t="n">
        <v>24740.67</v>
      </c>
      <c r="F4293" s="8" t="n"/>
      <c r="G4293" s="9" t="n">
        <v>0</v>
      </c>
      <c r="H4293" t="inlineStr">
        <is>
          <t>NOT_DUE</t>
        </is>
      </c>
      <c r="I4293">
        <f>IF(H4293="UNPAID", AsOfDate-D4293, 0)</f>
        <v/>
      </c>
      <c r="J4293">
        <f>IF(F4293&lt;&gt;"", TEXT(F4293, "yyyy-mm"), "")</f>
        <v/>
      </c>
    </row>
    <row r="4294">
      <c r="A4294" t="inlineStr">
        <is>
          <t>RP0004293</t>
        </is>
      </c>
      <c r="B4294" t="inlineStr">
        <is>
          <t>LN200610</t>
        </is>
      </c>
      <c r="C4294" t="n">
        <v>6</v>
      </c>
      <c r="D4294" s="8" t="n">
        <v>46417</v>
      </c>
      <c r="E4294" s="9" t="n">
        <v>24740.67</v>
      </c>
      <c r="F4294" s="8" t="n"/>
      <c r="G4294" s="9" t="n">
        <v>0</v>
      </c>
      <c r="H4294" t="inlineStr">
        <is>
          <t>NOT_DUE</t>
        </is>
      </c>
      <c r="I4294">
        <f>IF(H4294="UNPAID", AsOfDate-D4294, 0)</f>
        <v/>
      </c>
      <c r="J4294">
        <f>IF(F4294&lt;&gt;"", TEXT(F4294, "yyyy-mm"), "")</f>
        <v/>
      </c>
    </row>
    <row r="4295">
      <c r="A4295" t="inlineStr">
        <is>
          <t>RP0004294</t>
        </is>
      </c>
      <c r="B4295" t="inlineStr">
        <is>
          <t>LN200612</t>
        </is>
      </c>
      <c r="C4295" t="n">
        <v>1</v>
      </c>
      <c r="D4295" s="8" t="n">
        <v>46053</v>
      </c>
      <c r="E4295" s="9" t="n">
        <v>10225</v>
      </c>
      <c r="F4295" s="8" t="n">
        <v>46056</v>
      </c>
      <c r="G4295" s="9" t="n">
        <v>10225</v>
      </c>
      <c r="H4295" t="inlineStr">
        <is>
          <t>PAID_ON_TIME</t>
        </is>
      </c>
      <c r="I4295">
        <f>IF(H4295="UNPAID", AsOfDate-D4295, 0)</f>
        <v/>
      </c>
      <c r="J4295">
        <f>IF(F4295&lt;&gt;"", TEXT(F4295, "yyyy-mm"), "")</f>
        <v/>
      </c>
    </row>
    <row r="4296">
      <c r="A4296" t="inlineStr">
        <is>
          <t>RP0004295</t>
        </is>
      </c>
      <c r="B4296" t="inlineStr">
        <is>
          <t>LN200612</t>
        </is>
      </c>
      <c r="C4296" t="n">
        <v>2</v>
      </c>
      <c r="D4296" s="8" t="n">
        <v>46081</v>
      </c>
      <c r="E4296" s="9" t="n">
        <v>10225</v>
      </c>
      <c r="F4296" s="8" t="n">
        <v>46080</v>
      </c>
      <c r="G4296" s="9" t="n">
        <v>10225</v>
      </c>
      <c r="H4296" t="inlineStr">
        <is>
          <t>PAID_ON_TIME</t>
        </is>
      </c>
      <c r="I4296">
        <f>IF(H4296="UNPAID", AsOfDate-D4296, 0)</f>
        <v/>
      </c>
      <c r="J4296">
        <f>IF(F4296&lt;&gt;"", TEXT(F4296, "yyyy-mm"), "")</f>
        <v/>
      </c>
    </row>
    <row r="4297">
      <c r="A4297" t="inlineStr">
        <is>
          <t>RP0004296</t>
        </is>
      </c>
      <c r="B4297" t="inlineStr">
        <is>
          <t>LN200612</t>
        </is>
      </c>
      <c r="C4297" t="n">
        <v>3</v>
      </c>
      <c r="D4297" s="8" t="n">
        <v>46112</v>
      </c>
      <c r="E4297" s="9" t="n">
        <v>10225</v>
      </c>
      <c r="F4297" s="8" t="n">
        <v>46110</v>
      </c>
      <c r="G4297" s="9" t="n">
        <v>10225</v>
      </c>
      <c r="H4297" t="inlineStr">
        <is>
          <t>PAID_ON_TIME</t>
        </is>
      </c>
      <c r="I4297">
        <f>IF(H4297="UNPAID", AsOfDate-D4297, 0)</f>
        <v/>
      </c>
      <c r="J4297">
        <f>IF(F4297&lt;&gt;"", TEXT(F4297, "yyyy-mm"), "")</f>
        <v/>
      </c>
    </row>
    <row r="4298">
      <c r="A4298" t="inlineStr">
        <is>
          <t>RP0004297</t>
        </is>
      </c>
      <c r="B4298" t="inlineStr">
        <is>
          <t>LN200612</t>
        </is>
      </c>
      <c r="C4298" t="n">
        <v>4</v>
      </c>
      <c r="D4298" s="8" t="n">
        <v>46142</v>
      </c>
      <c r="E4298" s="9" t="n">
        <v>10225</v>
      </c>
      <c r="F4298" s="8" t="n">
        <v>46140</v>
      </c>
      <c r="G4298" s="9" t="n">
        <v>10225</v>
      </c>
      <c r="H4298" t="inlineStr">
        <is>
          <t>PAID_ON_TIME</t>
        </is>
      </c>
      <c r="I4298">
        <f>IF(H4298="UNPAID", AsOfDate-D4298, 0)</f>
        <v/>
      </c>
      <c r="J4298">
        <f>IF(F4298&lt;&gt;"", TEXT(F4298, "yyyy-mm"), "")</f>
        <v/>
      </c>
    </row>
    <row r="4299">
      <c r="A4299" t="inlineStr">
        <is>
          <t>RP0004298</t>
        </is>
      </c>
      <c r="B4299" t="inlineStr">
        <is>
          <t>LN200612</t>
        </is>
      </c>
      <c r="C4299" t="n">
        <v>5</v>
      </c>
      <c r="D4299" s="8" t="n">
        <v>46173</v>
      </c>
      <c r="E4299" s="9" t="n">
        <v>10225</v>
      </c>
      <c r="F4299" s="8" t="n">
        <v>46174</v>
      </c>
      <c r="G4299" s="9" t="n">
        <v>10225</v>
      </c>
      <c r="H4299" t="inlineStr">
        <is>
          <t>PAID_ON_TIME</t>
        </is>
      </c>
      <c r="I4299">
        <f>IF(H4299="UNPAID", AsOfDate-D4299, 0)</f>
        <v/>
      </c>
      <c r="J4299">
        <f>IF(F4299&lt;&gt;"", TEXT(F4299, "yyyy-mm"), "")</f>
        <v/>
      </c>
    </row>
    <row r="4300">
      <c r="A4300" t="inlineStr">
        <is>
          <t>RP0004299</t>
        </is>
      </c>
      <c r="B4300" t="inlineStr">
        <is>
          <t>LN200612</t>
        </is>
      </c>
      <c r="C4300" t="n">
        <v>6</v>
      </c>
      <c r="D4300" s="8" t="n">
        <v>46203</v>
      </c>
      <c r="E4300" s="9" t="n">
        <v>10225</v>
      </c>
      <c r="F4300" s="8" t="n">
        <v>46204</v>
      </c>
      <c r="G4300" s="9" t="n">
        <v>10225</v>
      </c>
      <c r="H4300" t="inlineStr">
        <is>
          <t>PAID_ON_TIME</t>
        </is>
      </c>
      <c r="I4300">
        <f>IF(H4300="UNPAID", AsOfDate-D4300, 0)</f>
        <v/>
      </c>
      <c r="J4300">
        <f>IF(F4300&lt;&gt;"", TEXT(F4300, "yyyy-mm"), "")</f>
        <v/>
      </c>
    </row>
    <row r="4301">
      <c r="A4301" t="inlineStr">
        <is>
          <t>RP0004300</t>
        </is>
      </c>
      <c r="B4301" t="inlineStr">
        <is>
          <t>LN200612</t>
        </is>
      </c>
      <c r="C4301" t="n">
        <v>7</v>
      </c>
      <c r="D4301" s="8" t="n">
        <v>46234</v>
      </c>
      <c r="E4301" s="9" t="n">
        <v>10225</v>
      </c>
      <c r="F4301" s="8" t="n">
        <v>46234</v>
      </c>
      <c r="G4301" s="9" t="n">
        <v>10225</v>
      </c>
      <c r="H4301" t="inlineStr">
        <is>
          <t>PAID_ON_TIME</t>
        </is>
      </c>
      <c r="I4301">
        <f>IF(H4301="UNPAID", AsOfDate-D4301, 0)</f>
        <v/>
      </c>
      <c r="J4301">
        <f>IF(F4301&lt;&gt;"", TEXT(F4301, "yyyy-mm"), "")</f>
        <v/>
      </c>
    </row>
    <row r="4302">
      <c r="A4302" t="inlineStr">
        <is>
          <t>RP0004301</t>
        </is>
      </c>
      <c r="B4302" t="inlineStr">
        <is>
          <t>LN200612</t>
        </is>
      </c>
      <c r="C4302" t="n">
        <v>8</v>
      </c>
      <c r="D4302" s="8" t="n">
        <v>46265</v>
      </c>
      <c r="E4302" s="9" t="n">
        <v>10225</v>
      </c>
      <c r="F4302" s="8" t="n">
        <v>46263</v>
      </c>
      <c r="G4302" s="9" t="n">
        <v>10225</v>
      </c>
      <c r="H4302" t="inlineStr">
        <is>
          <t>PAID_ON_TIME</t>
        </is>
      </c>
      <c r="I4302">
        <f>IF(H4302="UNPAID", AsOfDate-D4302, 0)</f>
        <v/>
      </c>
      <c r="J4302">
        <f>IF(F4302&lt;&gt;"", TEXT(F4302, "yyyy-mm"), "")</f>
        <v/>
      </c>
    </row>
    <row r="4303">
      <c r="A4303" t="inlineStr">
        <is>
          <t>RP0004302</t>
        </is>
      </c>
      <c r="B4303" t="inlineStr">
        <is>
          <t>LN200612</t>
        </is>
      </c>
      <c r="C4303" t="n">
        <v>9</v>
      </c>
      <c r="D4303" s="8" t="n">
        <v>46295</v>
      </c>
      <c r="E4303" s="9" t="n">
        <v>10225</v>
      </c>
      <c r="F4303" s="8" t="n"/>
      <c r="G4303" s="9" t="n">
        <v>0</v>
      </c>
      <c r="H4303" t="inlineStr">
        <is>
          <t>NOT_DUE</t>
        </is>
      </c>
      <c r="I4303">
        <f>IF(H4303="UNPAID", AsOfDate-D4303, 0)</f>
        <v/>
      </c>
      <c r="J4303">
        <f>IF(F4303&lt;&gt;"", TEXT(F4303, "yyyy-mm"), "")</f>
        <v/>
      </c>
    </row>
    <row r="4304">
      <c r="A4304" t="inlineStr">
        <is>
          <t>RP0004303</t>
        </is>
      </c>
      <c r="B4304" t="inlineStr">
        <is>
          <t>LN200612</t>
        </is>
      </c>
      <c r="C4304" t="n">
        <v>10</v>
      </c>
      <c r="D4304" s="8" t="n">
        <v>46326</v>
      </c>
      <c r="E4304" s="9" t="n">
        <v>10225</v>
      </c>
      <c r="F4304" s="8" t="n"/>
      <c r="G4304" s="9" t="n">
        <v>0</v>
      </c>
      <c r="H4304" t="inlineStr">
        <is>
          <t>NOT_DUE</t>
        </is>
      </c>
      <c r="I4304">
        <f>IF(H4304="UNPAID", AsOfDate-D4304, 0)</f>
        <v/>
      </c>
      <c r="J4304">
        <f>IF(F4304&lt;&gt;"", TEXT(F4304, "yyyy-mm"), "")</f>
        <v/>
      </c>
    </row>
    <row r="4305">
      <c r="A4305" t="inlineStr">
        <is>
          <t>RP0004304</t>
        </is>
      </c>
      <c r="B4305" t="inlineStr">
        <is>
          <t>LN200612</t>
        </is>
      </c>
      <c r="C4305" t="n">
        <v>11</v>
      </c>
      <c r="D4305" s="8" t="n">
        <v>46356</v>
      </c>
      <c r="E4305" s="9" t="n">
        <v>10225</v>
      </c>
      <c r="F4305" s="8" t="n"/>
      <c r="G4305" s="9" t="n">
        <v>0</v>
      </c>
      <c r="H4305" t="inlineStr">
        <is>
          <t>NOT_DUE</t>
        </is>
      </c>
      <c r="I4305">
        <f>IF(H4305="UNPAID", AsOfDate-D4305, 0)</f>
        <v/>
      </c>
      <c r="J4305">
        <f>IF(F4305&lt;&gt;"", TEXT(F4305, "yyyy-mm"), "")</f>
        <v/>
      </c>
    </row>
    <row r="4306">
      <c r="A4306" t="inlineStr">
        <is>
          <t>RP0004305</t>
        </is>
      </c>
      <c r="B4306" t="inlineStr">
        <is>
          <t>LN200612</t>
        </is>
      </c>
      <c r="C4306" t="n">
        <v>12</v>
      </c>
      <c r="D4306" s="8" t="n">
        <v>46387</v>
      </c>
      <c r="E4306" s="9" t="n">
        <v>10225</v>
      </c>
      <c r="F4306" s="8" t="n"/>
      <c r="G4306" s="9" t="n">
        <v>0</v>
      </c>
      <c r="H4306" t="inlineStr">
        <is>
          <t>NOT_DUE</t>
        </is>
      </c>
      <c r="I4306">
        <f>IF(H4306="UNPAID", AsOfDate-D4306, 0)</f>
        <v/>
      </c>
      <c r="J4306">
        <f>IF(F4306&lt;&gt;"", TEXT(F4306, "yyyy-mm"), "")</f>
        <v/>
      </c>
    </row>
    <row r="4307">
      <c r="A4307" t="inlineStr">
        <is>
          <t>RP0004306</t>
        </is>
      </c>
      <c r="B4307" t="inlineStr">
        <is>
          <t>LN200613</t>
        </is>
      </c>
      <c r="C4307" t="n">
        <v>1</v>
      </c>
      <c r="D4307" s="8" t="n">
        <v>46007</v>
      </c>
      <c r="E4307" s="9" t="n">
        <v>12798</v>
      </c>
      <c r="F4307" s="8" t="n">
        <v>46088</v>
      </c>
      <c r="G4307" s="9" t="n">
        <v>12798</v>
      </c>
      <c r="H4307" t="inlineStr">
        <is>
          <t>PAID_LATE</t>
        </is>
      </c>
      <c r="I4307">
        <f>IF(H4307="UNPAID", AsOfDate-D4307, 0)</f>
        <v/>
      </c>
      <c r="J4307">
        <f>IF(F4307&lt;&gt;"", TEXT(F4307, "yyyy-mm"), "")</f>
        <v/>
      </c>
    </row>
    <row r="4308">
      <c r="A4308" t="inlineStr">
        <is>
          <t>RP0004307</t>
        </is>
      </c>
      <c r="B4308" t="inlineStr">
        <is>
          <t>LN200613</t>
        </is>
      </c>
      <c r="C4308" t="n">
        <v>2</v>
      </c>
      <c r="D4308" s="8" t="n">
        <v>46038</v>
      </c>
      <c r="E4308" s="9" t="n">
        <v>12798</v>
      </c>
      <c r="F4308" s="8" t="n">
        <v>46035</v>
      </c>
      <c r="G4308" s="9" t="n">
        <v>12798</v>
      </c>
      <c r="H4308" t="inlineStr">
        <is>
          <t>PAID_ON_TIME</t>
        </is>
      </c>
      <c r="I4308">
        <f>IF(H4308="UNPAID", AsOfDate-D4308, 0)</f>
        <v/>
      </c>
      <c r="J4308">
        <f>IF(F4308&lt;&gt;"", TEXT(F4308, "yyyy-mm"), "")</f>
        <v/>
      </c>
    </row>
    <row r="4309">
      <c r="A4309" t="inlineStr">
        <is>
          <t>RP0004308</t>
        </is>
      </c>
      <c r="B4309" t="inlineStr">
        <is>
          <t>LN200613</t>
        </is>
      </c>
      <c r="C4309" t="n">
        <v>3</v>
      </c>
      <c r="D4309" s="8" t="n">
        <v>46069</v>
      </c>
      <c r="E4309" s="9" t="n">
        <v>12798</v>
      </c>
      <c r="F4309" s="8" t="n">
        <v>46071</v>
      </c>
      <c r="G4309" s="9" t="n">
        <v>12798</v>
      </c>
      <c r="H4309" t="inlineStr">
        <is>
          <t>PAID_ON_TIME</t>
        </is>
      </c>
      <c r="I4309">
        <f>IF(H4309="UNPAID", AsOfDate-D4309, 0)</f>
        <v/>
      </c>
      <c r="J4309">
        <f>IF(F4309&lt;&gt;"", TEXT(F4309, "yyyy-mm"), "")</f>
        <v/>
      </c>
    </row>
    <row r="4310">
      <c r="A4310" t="inlineStr">
        <is>
          <t>RP0004309</t>
        </is>
      </c>
      <c r="B4310" t="inlineStr">
        <is>
          <t>LN200613</t>
        </is>
      </c>
      <c r="C4310" t="n">
        <v>4</v>
      </c>
      <c r="D4310" s="8" t="n">
        <v>46097</v>
      </c>
      <c r="E4310" s="9" t="n">
        <v>12798</v>
      </c>
      <c r="F4310" s="8" t="n">
        <v>46094</v>
      </c>
      <c r="G4310" s="9" t="n">
        <v>12798</v>
      </c>
      <c r="H4310" t="inlineStr">
        <is>
          <t>PAID_ON_TIME</t>
        </is>
      </c>
      <c r="I4310">
        <f>IF(H4310="UNPAID", AsOfDate-D4310, 0)</f>
        <v/>
      </c>
      <c r="J4310">
        <f>IF(F4310&lt;&gt;"", TEXT(F4310, "yyyy-mm"), "")</f>
        <v/>
      </c>
    </row>
    <row r="4311">
      <c r="A4311" t="inlineStr">
        <is>
          <t>RP0004310</t>
        </is>
      </c>
      <c r="B4311" t="inlineStr">
        <is>
          <t>LN200613</t>
        </is>
      </c>
      <c r="C4311" t="n">
        <v>5</v>
      </c>
      <c r="D4311" s="8" t="n">
        <v>46128</v>
      </c>
      <c r="E4311" s="9" t="n">
        <v>12798</v>
      </c>
      <c r="F4311" s="8" t="n">
        <v>46210</v>
      </c>
      <c r="G4311" s="9" t="n">
        <v>12798</v>
      </c>
      <c r="H4311" t="inlineStr">
        <is>
          <t>PAID_LATE</t>
        </is>
      </c>
      <c r="I4311">
        <f>IF(H4311="UNPAID", AsOfDate-D4311, 0)</f>
        <v/>
      </c>
      <c r="J4311">
        <f>IF(F4311&lt;&gt;"", TEXT(F4311, "yyyy-mm"), "")</f>
        <v/>
      </c>
    </row>
    <row r="4312">
      <c r="A4312" t="inlineStr">
        <is>
          <t>RP0004311</t>
        </is>
      </c>
      <c r="B4312" t="inlineStr">
        <is>
          <t>LN200613</t>
        </is>
      </c>
      <c r="C4312" t="n">
        <v>6</v>
      </c>
      <c r="D4312" s="8" t="n">
        <v>46158</v>
      </c>
      <c r="E4312" s="9" t="n">
        <v>12798</v>
      </c>
      <c r="F4312" s="8" t="n">
        <v>46161</v>
      </c>
      <c r="G4312" s="9" t="n">
        <v>12798</v>
      </c>
      <c r="H4312" t="inlineStr">
        <is>
          <t>PAID_ON_TIME</t>
        </is>
      </c>
      <c r="I4312">
        <f>IF(H4312="UNPAID", AsOfDate-D4312, 0)</f>
        <v/>
      </c>
      <c r="J4312">
        <f>IF(F4312&lt;&gt;"", TEXT(F4312, "yyyy-mm"), "")</f>
        <v/>
      </c>
    </row>
    <row r="4313">
      <c r="A4313" t="inlineStr">
        <is>
          <t>RP0004312</t>
        </is>
      </c>
      <c r="B4313" t="inlineStr">
        <is>
          <t>LN200614</t>
        </is>
      </c>
      <c r="C4313" t="n">
        <v>1</v>
      </c>
      <c r="D4313" s="8" t="n">
        <v>46093</v>
      </c>
      <c r="E4313" s="9" t="n">
        <v>35783.92</v>
      </c>
      <c r="F4313" s="8" t="n">
        <v>46093</v>
      </c>
      <c r="G4313" s="9" t="n">
        <v>35783.92</v>
      </c>
      <c r="H4313" t="inlineStr">
        <is>
          <t>PAID_ON_TIME</t>
        </is>
      </c>
      <c r="I4313">
        <f>IF(H4313="UNPAID", AsOfDate-D4313, 0)</f>
        <v/>
      </c>
      <c r="J4313">
        <f>IF(F4313&lt;&gt;"", TEXT(F4313, "yyyy-mm"), "")</f>
        <v/>
      </c>
    </row>
    <row r="4314">
      <c r="A4314" t="inlineStr">
        <is>
          <t>RP0004313</t>
        </is>
      </c>
      <c r="B4314" t="inlineStr">
        <is>
          <t>LN200614</t>
        </is>
      </c>
      <c r="C4314" t="n">
        <v>2</v>
      </c>
      <c r="D4314" s="8" t="n">
        <v>46124</v>
      </c>
      <c r="E4314" s="9" t="n">
        <v>35783.92</v>
      </c>
      <c r="F4314" s="8" t="n">
        <v>46123</v>
      </c>
      <c r="G4314" s="9" t="n">
        <v>35783.92</v>
      </c>
      <c r="H4314" t="inlineStr">
        <is>
          <t>PAID_ON_TIME</t>
        </is>
      </c>
      <c r="I4314">
        <f>IF(H4314="UNPAID", AsOfDate-D4314, 0)</f>
        <v/>
      </c>
      <c r="J4314">
        <f>IF(F4314&lt;&gt;"", TEXT(F4314, "yyyy-mm"), "")</f>
        <v/>
      </c>
    </row>
    <row r="4315">
      <c r="A4315" t="inlineStr">
        <is>
          <t>RP0004314</t>
        </is>
      </c>
      <c r="B4315" t="inlineStr">
        <is>
          <t>LN200614</t>
        </is>
      </c>
      <c r="C4315" t="n">
        <v>3</v>
      </c>
      <c r="D4315" s="8" t="n">
        <v>46154</v>
      </c>
      <c r="E4315" s="9" t="n">
        <v>35783.92</v>
      </c>
      <c r="F4315" s="8" t="n">
        <v>46156</v>
      </c>
      <c r="G4315" s="9" t="n">
        <v>35783.92</v>
      </c>
      <c r="H4315" t="inlineStr">
        <is>
          <t>PAID_ON_TIME</t>
        </is>
      </c>
      <c r="I4315">
        <f>IF(H4315="UNPAID", AsOfDate-D4315, 0)</f>
        <v/>
      </c>
      <c r="J4315">
        <f>IF(F4315&lt;&gt;"", TEXT(F4315, "yyyy-mm"), "")</f>
        <v/>
      </c>
    </row>
    <row r="4316">
      <c r="A4316" t="inlineStr">
        <is>
          <t>RP0004315</t>
        </is>
      </c>
      <c r="B4316" t="inlineStr">
        <is>
          <t>LN200615</t>
        </is>
      </c>
      <c r="C4316" t="n">
        <v>1</v>
      </c>
      <c r="D4316" s="8" t="n">
        <v>45962</v>
      </c>
      <c r="E4316" s="9" t="n">
        <v>14131.67</v>
      </c>
      <c r="F4316" s="8" t="n">
        <v>45960</v>
      </c>
      <c r="G4316" s="9" t="n">
        <v>14131.67</v>
      </c>
      <c r="H4316" t="inlineStr">
        <is>
          <t>PAID_ON_TIME</t>
        </is>
      </c>
      <c r="I4316">
        <f>IF(H4316="UNPAID", AsOfDate-D4316, 0)</f>
        <v/>
      </c>
      <c r="J4316">
        <f>IF(F4316&lt;&gt;"", TEXT(F4316, "yyyy-mm"), "")</f>
        <v/>
      </c>
    </row>
    <row r="4317">
      <c r="A4317" t="inlineStr">
        <is>
          <t>RP0004316</t>
        </is>
      </c>
      <c r="B4317" t="inlineStr">
        <is>
          <t>LN200615</t>
        </is>
      </c>
      <c r="C4317" t="n">
        <v>2</v>
      </c>
      <c r="D4317" s="8" t="n">
        <v>45992</v>
      </c>
      <c r="E4317" s="9" t="n">
        <v>14131.67</v>
      </c>
      <c r="F4317" s="8" t="n">
        <v>45993</v>
      </c>
      <c r="G4317" s="9" t="n">
        <v>14131.67</v>
      </c>
      <c r="H4317" t="inlineStr">
        <is>
          <t>PAID_ON_TIME</t>
        </is>
      </c>
      <c r="I4317">
        <f>IF(H4317="UNPAID", AsOfDate-D4317, 0)</f>
        <v/>
      </c>
      <c r="J4317">
        <f>IF(F4317&lt;&gt;"", TEXT(F4317, "yyyy-mm"), "")</f>
        <v/>
      </c>
    </row>
    <row r="4318">
      <c r="A4318" t="inlineStr">
        <is>
          <t>RP0004317</t>
        </is>
      </c>
      <c r="B4318" t="inlineStr">
        <is>
          <t>LN200615</t>
        </is>
      </c>
      <c r="C4318" t="n">
        <v>3</v>
      </c>
      <c r="D4318" s="8" t="n">
        <v>46023</v>
      </c>
      <c r="E4318" s="9" t="n">
        <v>14131.67</v>
      </c>
      <c r="F4318" s="8" t="n">
        <v>46024</v>
      </c>
      <c r="G4318" s="9" t="n">
        <v>14131.67</v>
      </c>
      <c r="H4318" t="inlineStr">
        <is>
          <t>PAID_ON_TIME</t>
        </is>
      </c>
      <c r="I4318">
        <f>IF(H4318="UNPAID", AsOfDate-D4318, 0)</f>
        <v/>
      </c>
      <c r="J4318">
        <f>IF(F4318&lt;&gt;"", TEXT(F4318, "yyyy-mm"), "")</f>
        <v/>
      </c>
    </row>
    <row r="4319">
      <c r="A4319" t="inlineStr">
        <is>
          <t>RP0004318</t>
        </is>
      </c>
      <c r="B4319" t="inlineStr">
        <is>
          <t>LN200615</t>
        </is>
      </c>
      <c r="C4319" t="n">
        <v>4</v>
      </c>
      <c r="D4319" s="8" t="n">
        <v>46054</v>
      </c>
      <c r="E4319" s="9" t="n">
        <v>14131.67</v>
      </c>
      <c r="F4319" s="8" t="n">
        <v>46051</v>
      </c>
      <c r="G4319" s="9" t="n">
        <v>14131.67</v>
      </c>
      <c r="H4319" t="inlineStr">
        <is>
          <t>PAID_ON_TIME</t>
        </is>
      </c>
      <c r="I4319">
        <f>IF(H4319="UNPAID", AsOfDate-D4319, 0)</f>
        <v/>
      </c>
      <c r="J4319">
        <f>IF(F4319&lt;&gt;"", TEXT(F4319, "yyyy-mm"), "")</f>
        <v/>
      </c>
    </row>
    <row r="4320">
      <c r="A4320" t="inlineStr">
        <is>
          <t>RP0004319</t>
        </is>
      </c>
      <c r="B4320" t="inlineStr">
        <is>
          <t>LN200615</t>
        </is>
      </c>
      <c r="C4320" t="n">
        <v>5</v>
      </c>
      <c r="D4320" s="8" t="n">
        <v>46082</v>
      </c>
      <c r="E4320" s="9" t="n">
        <v>14131.67</v>
      </c>
      <c r="F4320" s="8" t="n">
        <v>46083</v>
      </c>
      <c r="G4320" s="9" t="n">
        <v>14131.67</v>
      </c>
      <c r="H4320" t="inlineStr">
        <is>
          <t>PAID_ON_TIME</t>
        </is>
      </c>
      <c r="I4320">
        <f>IF(H4320="UNPAID", AsOfDate-D4320, 0)</f>
        <v/>
      </c>
      <c r="J4320">
        <f>IF(F4320&lt;&gt;"", TEXT(F4320, "yyyy-mm"), "")</f>
        <v/>
      </c>
    </row>
    <row r="4321">
      <c r="A4321" t="inlineStr">
        <is>
          <t>RP0004320</t>
        </is>
      </c>
      <c r="B4321" t="inlineStr">
        <is>
          <t>LN200615</t>
        </is>
      </c>
      <c r="C4321" t="n">
        <v>6</v>
      </c>
      <c r="D4321" s="8" t="n">
        <v>46113</v>
      </c>
      <c r="E4321" s="9" t="n">
        <v>14131.67</v>
      </c>
      <c r="F4321" s="8" t="n"/>
      <c r="G4321" s="9" t="n">
        <v>0</v>
      </c>
      <c r="H4321" t="inlineStr">
        <is>
          <t>UNPAID</t>
        </is>
      </c>
      <c r="I4321">
        <f>IF(H4321="UNPAID", AsOfDate-D4321, 0)</f>
        <v/>
      </c>
      <c r="J4321">
        <f>IF(F4321&lt;&gt;"", TEXT(F4321, "yyyy-mm"), "")</f>
        <v/>
      </c>
    </row>
    <row r="4322">
      <c r="A4322" t="inlineStr">
        <is>
          <t>RP0004321</t>
        </is>
      </c>
      <c r="B4322" t="inlineStr">
        <is>
          <t>LN200615</t>
        </is>
      </c>
      <c r="C4322" t="n">
        <v>7</v>
      </c>
      <c r="D4322" s="8" t="n">
        <v>46143</v>
      </c>
      <c r="E4322" s="9" t="n">
        <v>14131.67</v>
      </c>
      <c r="F4322" s="8" t="n">
        <v>46141</v>
      </c>
      <c r="G4322" s="9" t="n">
        <v>14131.67</v>
      </c>
      <c r="H4322" t="inlineStr">
        <is>
          <t>PAID_ON_TIME</t>
        </is>
      </c>
      <c r="I4322">
        <f>IF(H4322="UNPAID", AsOfDate-D4322, 0)</f>
        <v/>
      </c>
      <c r="J4322">
        <f>IF(F4322&lt;&gt;"", TEXT(F4322, "yyyy-mm"), "")</f>
        <v/>
      </c>
    </row>
    <row r="4323">
      <c r="A4323" t="inlineStr">
        <is>
          <t>RP0004322</t>
        </is>
      </c>
      <c r="B4323" t="inlineStr">
        <is>
          <t>LN200615</t>
        </is>
      </c>
      <c r="C4323" t="n">
        <v>8</v>
      </c>
      <c r="D4323" s="8" t="n">
        <v>46174</v>
      </c>
      <c r="E4323" s="9" t="n">
        <v>14131.67</v>
      </c>
      <c r="F4323" s="8" t="n">
        <v>46174</v>
      </c>
      <c r="G4323" s="9" t="n">
        <v>14131.67</v>
      </c>
      <c r="H4323" t="inlineStr">
        <is>
          <t>PAID_ON_TIME</t>
        </is>
      </c>
      <c r="I4323">
        <f>IF(H4323="UNPAID", AsOfDate-D4323, 0)</f>
        <v/>
      </c>
      <c r="J4323">
        <f>IF(F4323&lt;&gt;"", TEXT(F4323, "yyyy-mm"), "")</f>
        <v/>
      </c>
    </row>
    <row r="4324">
      <c r="A4324" t="inlineStr">
        <is>
          <t>RP0004323</t>
        </is>
      </c>
      <c r="B4324" t="inlineStr">
        <is>
          <t>LN200615</t>
        </is>
      </c>
      <c r="C4324" t="n">
        <v>9</v>
      </c>
      <c r="D4324" s="8" t="n">
        <v>46204</v>
      </c>
      <c r="E4324" s="9" t="n">
        <v>14131.67</v>
      </c>
      <c r="F4324" s="8" t="n">
        <v>46207</v>
      </c>
      <c r="G4324" s="9" t="n">
        <v>14131.67</v>
      </c>
      <c r="H4324" t="inlineStr">
        <is>
          <t>PAID_ON_TIME</t>
        </is>
      </c>
      <c r="I4324">
        <f>IF(H4324="UNPAID", AsOfDate-D4324, 0)</f>
        <v/>
      </c>
      <c r="J4324">
        <f>IF(F4324&lt;&gt;"", TEXT(F4324, "yyyy-mm"), "")</f>
        <v/>
      </c>
    </row>
    <row r="4325">
      <c r="A4325" t="inlineStr">
        <is>
          <t>RP0004324</t>
        </is>
      </c>
      <c r="B4325" t="inlineStr">
        <is>
          <t>LN200615</t>
        </is>
      </c>
      <c r="C4325" t="n">
        <v>10</v>
      </c>
      <c r="D4325" s="8" t="n">
        <v>46235</v>
      </c>
      <c r="E4325" s="9" t="n">
        <v>14131.67</v>
      </c>
      <c r="F4325" s="8" t="n">
        <v>46235</v>
      </c>
      <c r="G4325" s="9" t="n">
        <v>14131.67</v>
      </c>
      <c r="H4325" t="inlineStr">
        <is>
          <t>PAID_ON_TIME</t>
        </is>
      </c>
      <c r="I4325">
        <f>IF(H4325="UNPAID", AsOfDate-D4325, 0)</f>
        <v/>
      </c>
      <c r="J4325">
        <f>IF(F4325&lt;&gt;"", TEXT(F4325, "yyyy-mm"), "")</f>
        <v/>
      </c>
    </row>
    <row r="4326">
      <c r="A4326" t="inlineStr">
        <is>
          <t>RP0004325</t>
        </is>
      </c>
      <c r="B4326" t="inlineStr">
        <is>
          <t>LN200615</t>
        </is>
      </c>
      <c r="C4326" t="n">
        <v>11</v>
      </c>
      <c r="D4326" s="8" t="n">
        <v>46266</v>
      </c>
      <c r="E4326" s="9" t="n">
        <v>14131.67</v>
      </c>
      <c r="F4326" s="8" t="n">
        <v>46268</v>
      </c>
      <c r="G4326" s="9" t="n">
        <v>14131.67</v>
      </c>
      <c r="H4326" t="inlineStr">
        <is>
          <t>PAID_ON_TIME</t>
        </is>
      </c>
      <c r="I4326">
        <f>IF(H4326="UNPAID", AsOfDate-D4326, 0)</f>
        <v/>
      </c>
      <c r="J4326">
        <f>IF(F4326&lt;&gt;"", TEXT(F4326, "yyyy-mm"), "")</f>
        <v/>
      </c>
    </row>
    <row r="4327">
      <c r="A4327" t="inlineStr">
        <is>
          <t>RP0004326</t>
        </is>
      </c>
      <c r="B4327" t="inlineStr">
        <is>
          <t>LN200615</t>
        </is>
      </c>
      <c r="C4327" t="n">
        <v>12</v>
      </c>
      <c r="D4327" s="8" t="n">
        <v>46296</v>
      </c>
      <c r="E4327" s="9" t="n">
        <v>14131.67</v>
      </c>
      <c r="F4327" s="8" t="n"/>
      <c r="G4327" s="9" t="n">
        <v>0</v>
      </c>
      <c r="H4327" t="inlineStr">
        <is>
          <t>NOT_DUE</t>
        </is>
      </c>
      <c r="I4327">
        <f>IF(H4327="UNPAID", AsOfDate-D4327, 0)</f>
        <v/>
      </c>
      <c r="J4327">
        <f>IF(F4327&lt;&gt;"", TEXT(F4327, "yyyy-mm"), "")</f>
        <v/>
      </c>
    </row>
    <row r="4328">
      <c r="A4328" t="inlineStr">
        <is>
          <t>RP0004327</t>
        </is>
      </c>
      <c r="B4328" t="inlineStr">
        <is>
          <t>LN200616</t>
        </is>
      </c>
      <c r="C4328" t="n">
        <v>1</v>
      </c>
      <c r="D4328" s="8" t="n">
        <v>45805</v>
      </c>
      <c r="E4328" s="9" t="n">
        <v>8302.5</v>
      </c>
      <c r="F4328" s="8" t="n">
        <v>45809</v>
      </c>
      <c r="G4328" s="9" t="n">
        <v>8302.5</v>
      </c>
      <c r="H4328" t="inlineStr">
        <is>
          <t>PAID_ON_TIME</t>
        </is>
      </c>
      <c r="I4328">
        <f>IF(H4328="UNPAID", AsOfDate-D4328, 0)</f>
        <v/>
      </c>
      <c r="J4328">
        <f>IF(F4328&lt;&gt;"", TEXT(F4328, "yyyy-mm"), "")</f>
        <v/>
      </c>
    </row>
    <row r="4329">
      <c r="A4329" t="inlineStr">
        <is>
          <t>RP0004328</t>
        </is>
      </c>
      <c r="B4329" t="inlineStr">
        <is>
          <t>LN200616</t>
        </is>
      </c>
      <c r="C4329" t="n">
        <v>2</v>
      </c>
      <c r="D4329" s="8" t="n">
        <v>45836</v>
      </c>
      <c r="E4329" s="9" t="n">
        <v>8302.5</v>
      </c>
      <c r="F4329" s="8" t="n">
        <v>45833</v>
      </c>
      <c r="G4329" s="9" t="n">
        <v>8302.5</v>
      </c>
      <c r="H4329" t="inlineStr">
        <is>
          <t>PAID_ON_TIME</t>
        </is>
      </c>
      <c r="I4329">
        <f>IF(H4329="UNPAID", AsOfDate-D4329, 0)</f>
        <v/>
      </c>
      <c r="J4329">
        <f>IF(F4329&lt;&gt;"", TEXT(F4329, "yyyy-mm"), "")</f>
        <v/>
      </c>
    </row>
    <row r="4330">
      <c r="A4330" t="inlineStr">
        <is>
          <t>RP0004329</t>
        </is>
      </c>
      <c r="B4330" t="inlineStr">
        <is>
          <t>LN200616</t>
        </is>
      </c>
      <c r="C4330" t="n">
        <v>3</v>
      </c>
      <c r="D4330" s="8" t="n">
        <v>45866</v>
      </c>
      <c r="E4330" s="9" t="n">
        <v>8302.5</v>
      </c>
      <c r="F4330" s="8" t="n">
        <v>45864</v>
      </c>
      <c r="G4330" s="9" t="n">
        <v>8302.5</v>
      </c>
      <c r="H4330" t="inlineStr">
        <is>
          <t>PAID_ON_TIME</t>
        </is>
      </c>
      <c r="I4330">
        <f>IF(H4330="UNPAID", AsOfDate-D4330, 0)</f>
        <v/>
      </c>
      <c r="J4330">
        <f>IF(F4330&lt;&gt;"", TEXT(F4330, "yyyy-mm"), "")</f>
        <v/>
      </c>
    </row>
    <row r="4331">
      <c r="A4331" t="inlineStr">
        <is>
          <t>RP0004330</t>
        </is>
      </c>
      <c r="B4331" t="inlineStr">
        <is>
          <t>LN200616</t>
        </is>
      </c>
      <c r="C4331" t="n">
        <v>4</v>
      </c>
      <c r="D4331" s="8" t="n">
        <v>45897</v>
      </c>
      <c r="E4331" s="9" t="n">
        <v>8302.5</v>
      </c>
      <c r="F4331" s="8" t="n">
        <v>45894</v>
      </c>
      <c r="G4331" s="9" t="n">
        <v>8302.5</v>
      </c>
      <c r="H4331" t="inlineStr">
        <is>
          <t>PAID_ON_TIME</t>
        </is>
      </c>
      <c r="I4331">
        <f>IF(H4331="UNPAID", AsOfDate-D4331, 0)</f>
        <v/>
      </c>
      <c r="J4331">
        <f>IF(F4331&lt;&gt;"", TEXT(F4331, "yyyy-mm"), "")</f>
        <v/>
      </c>
    </row>
    <row r="4332">
      <c r="A4332" t="inlineStr">
        <is>
          <t>RP0004331</t>
        </is>
      </c>
      <c r="B4332" t="inlineStr">
        <is>
          <t>LN200616</t>
        </is>
      </c>
      <c r="C4332" t="n">
        <v>5</v>
      </c>
      <c r="D4332" s="8" t="n">
        <v>45928</v>
      </c>
      <c r="E4332" s="9" t="n">
        <v>8302.5</v>
      </c>
      <c r="F4332" s="8" t="n">
        <v>45925</v>
      </c>
      <c r="G4332" s="9" t="n">
        <v>8302.5</v>
      </c>
      <c r="H4332" t="inlineStr">
        <is>
          <t>PAID_ON_TIME</t>
        </is>
      </c>
      <c r="I4332">
        <f>IF(H4332="UNPAID", AsOfDate-D4332, 0)</f>
        <v/>
      </c>
      <c r="J4332">
        <f>IF(F4332&lt;&gt;"", TEXT(F4332, "yyyy-mm"), "")</f>
        <v/>
      </c>
    </row>
    <row r="4333">
      <c r="A4333" t="inlineStr">
        <is>
          <t>RP0004332</t>
        </is>
      </c>
      <c r="B4333" t="inlineStr">
        <is>
          <t>LN200616</t>
        </is>
      </c>
      <c r="C4333" t="n">
        <v>6</v>
      </c>
      <c r="D4333" s="8" t="n">
        <v>45958</v>
      </c>
      <c r="E4333" s="9" t="n">
        <v>8302.5</v>
      </c>
      <c r="F4333" s="8" t="n">
        <v>45956</v>
      </c>
      <c r="G4333" s="9" t="n">
        <v>8302.5</v>
      </c>
      <c r="H4333" t="inlineStr">
        <is>
          <t>PAID_ON_TIME</t>
        </is>
      </c>
      <c r="I4333">
        <f>IF(H4333="UNPAID", AsOfDate-D4333, 0)</f>
        <v/>
      </c>
      <c r="J4333">
        <f>IF(F4333&lt;&gt;"", TEXT(F4333, "yyyy-mm"), "")</f>
        <v/>
      </c>
    </row>
    <row r="4334">
      <c r="A4334" t="inlineStr">
        <is>
          <t>RP0004333</t>
        </is>
      </c>
      <c r="B4334" t="inlineStr">
        <is>
          <t>LN200616</t>
        </is>
      </c>
      <c r="C4334" t="n">
        <v>7</v>
      </c>
      <c r="D4334" s="8" t="n">
        <v>45989</v>
      </c>
      <c r="E4334" s="9" t="n">
        <v>8302.5</v>
      </c>
      <c r="F4334" s="8" t="n">
        <v>45988</v>
      </c>
      <c r="G4334" s="9" t="n">
        <v>8302.5</v>
      </c>
      <c r="H4334" t="inlineStr">
        <is>
          <t>PAID_ON_TIME</t>
        </is>
      </c>
      <c r="I4334">
        <f>IF(H4334="UNPAID", AsOfDate-D4334, 0)</f>
        <v/>
      </c>
      <c r="J4334">
        <f>IF(F4334&lt;&gt;"", TEXT(F4334, "yyyy-mm"), "")</f>
        <v/>
      </c>
    </row>
    <row r="4335">
      <c r="A4335" t="inlineStr">
        <is>
          <t>RP0004334</t>
        </is>
      </c>
      <c r="B4335" t="inlineStr">
        <is>
          <t>LN200616</t>
        </is>
      </c>
      <c r="C4335" t="n">
        <v>8</v>
      </c>
      <c r="D4335" s="8" t="n">
        <v>46019</v>
      </c>
      <c r="E4335" s="9" t="n">
        <v>8302.5</v>
      </c>
      <c r="F4335" s="8" t="n">
        <v>46016</v>
      </c>
      <c r="G4335" s="9" t="n">
        <v>8302.5</v>
      </c>
      <c r="H4335" t="inlineStr">
        <is>
          <t>PAID_ON_TIME</t>
        </is>
      </c>
      <c r="I4335">
        <f>IF(H4335="UNPAID", AsOfDate-D4335, 0)</f>
        <v/>
      </c>
      <c r="J4335">
        <f>IF(F4335&lt;&gt;"", TEXT(F4335, "yyyy-mm"), "")</f>
        <v/>
      </c>
    </row>
    <row r="4336">
      <c r="A4336" t="inlineStr">
        <is>
          <t>RP0004335</t>
        </is>
      </c>
      <c r="B4336" t="inlineStr">
        <is>
          <t>LN200616</t>
        </is>
      </c>
      <c r="C4336" t="n">
        <v>9</v>
      </c>
      <c r="D4336" s="8" t="n">
        <v>46050</v>
      </c>
      <c r="E4336" s="9" t="n">
        <v>8302.5</v>
      </c>
      <c r="F4336" s="8" t="n">
        <v>46048</v>
      </c>
      <c r="G4336" s="9" t="n">
        <v>8302.5</v>
      </c>
      <c r="H4336" t="inlineStr">
        <is>
          <t>PAID_ON_TIME</t>
        </is>
      </c>
      <c r="I4336">
        <f>IF(H4336="UNPAID", AsOfDate-D4336, 0)</f>
        <v/>
      </c>
      <c r="J4336">
        <f>IF(F4336&lt;&gt;"", TEXT(F4336, "yyyy-mm"), "")</f>
        <v/>
      </c>
    </row>
    <row r="4337">
      <c r="A4337" t="inlineStr">
        <is>
          <t>RP0004336</t>
        </is>
      </c>
      <c r="B4337" t="inlineStr">
        <is>
          <t>LN200616</t>
        </is>
      </c>
      <c r="C4337" t="n">
        <v>10</v>
      </c>
      <c r="D4337" s="8" t="n">
        <v>46081</v>
      </c>
      <c r="E4337" s="9" t="n">
        <v>8302.5</v>
      </c>
      <c r="F4337" s="8" t="n">
        <v>46083</v>
      </c>
      <c r="G4337" s="9" t="n">
        <v>8302.5</v>
      </c>
      <c r="H4337" t="inlineStr">
        <is>
          <t>PAID_ON_TIME</t>
        </is>
      </c>
      <c r="I4337">
        <f>IF(H4337="UNPAID", AsOfDate-D4337, 0)</f>
        <v/>
      </c>
      <c r="J4337">
        <f>IF(F4337&lt;&gt;"", TEXT(F4337, "yyyy-mm"), "")</f>
        <v/>
      </c>
    </row>
    <row r="4338">
      <c r="A4338" t="inlineStr">
        <is>
          <t>RP0004337</t>
        </is>
      </c>
      <c r="B4338" t="inlineStr">
        <is>
          <t>LN200616</t>
        </is>
      </c>
      <c r="C4338" t="n">
        <v>11</v>
      </c>
      <c r="D4338" s="8" t="n">
        <v>46109</v>
      </c>
      <c r="E4338" s="9" t="n">
        <v>8302.5</v>
      </c>
      <c r="F4338" s="8" t="n">
        <v>46107</v>
      </c>
      <c r="G4338" s="9" t="n">
        <v>8302.5</v>
      </c>
      <c r="H4338" t="inlineStr">
        <is>
          <t>PAID_ON_TIME</t>
        </is>
      </c>
      <c r="I4338">
        <f>IF(H4338="UNPAID", AsOfDate-D4338, 0)</f>
        <v/>
      </c>
      <c r="J4338">
        <f>IF(F4338&lt;&gt;"", TEXT(F4338, "yyyy-mm"), "")</f>
        <v/>
      </c>
    </row>
    <row r="4339">
      <c r="A4339" t="inlineStr">
        <is>
          <t>RP0004338</t>
        </is>
      </c>
      <c r="B4339" t="inlineStr">
        <is>
          <t>LN200616</t>
        </is>
      </c>
      <c r="C4339" t="n">
        <v>12</v>
      </c>
      <c r="D4339" s="8" t="n">
        <v>46140</v>
      </c>
      <c r="E4339" s="9" t="n">
        <v>8302.5</v>
      </c>
      <c r="F4339" s="8" t="n">
        <v>46144</v>
      </c>
      <c r="G4339" s="9" t="n">
        <v>8302.5</v>
      </c>
      <c r="H4339" t="inlineStr">
        <is>
          <t>PAID_ON_TIME</t>
        </is>
      </c>
      <c r="I4339">
        <f>IF(H4339="UNPAID", AsOfDate-D4339, 0)</f>
        <v/>
      </c>
      <c r="J4339">
        <f>IF(F4339&lt;&gt;"", TEXT(F4339, "yyyy-mm"), "")</f>
        <v/>
      </c>
    </row>
    <row r="4340">
      <c r="A4340" t="inlineStr">
        <is>
          <t>RP0004339</t>
        </is>
      </c>
      <c r="B4340" t="inlineStr">
        <is>
          <t>LN200617</t>
        </is>
      </c>
      <c r="C4340" t="n">
        <v>1</v>
      </c>
      <c r="D4340" s="8" t="n">
        <v>45871</v>
      </c>
      <c r="E4340" s="9" t="n">
        <v>21276.33</v>
      </c>
      <c r="F4340" s="8" t="n">
        <v>45868</v>
      </c>
      <c r="G4340" s="9" t="n">
        <v>21276.33</v>
      </c>
      <c r="H4340" t="inlineStr">
        <is>
          <t>PAID_ON_TIME</t>
        </is>
      </c>
      <c r="I4340">
        <f>IF(H4340="UNPAID", AsOfDate-D4340, 0)</f>
        <v/>
      </c>
      <c r="J4340">
        <f>IF(F4340&lt;&gt;"", TEXT(F4340, "yyyy-mm"), "")</f>
        <v/>
      </c>
    </row>
    <row r="4341">
      <c r="A4341" t="inlineStr">
        <is>
          <t>RP0004340</t>
        </is>
      </c>
      <c r="B4341" t="inlineStr">
        <is>
          <t>LN200617</t>
        </is>
      </c>
      <c r="C4341" t="n">
        <v>2</v>
      </c>
      <c r="D4341" s="8" t="n">
        <v>45902</v>
      </c>
      <c r="E4341" s="9" t="n">
        <v>21276.33</v>
      </c>
      <c r="F4341" s="8" t="n">
        <v>45900</v>
      </c>
      <c r="G4341" s="9" t="n">
        <v>21276.33</v>
      </c>
      <c r="H4341" t="inlineStr">
        <is>
          <t>PAID_ON_TIME</t>
        </is>
      </c>
      <c r="I4341">
        <f>IF(H4341="UNPAID", AsOfDate-D4341, 0)</f>
        <v/>
      </c>
      <c r="J4341">
        <f>IF(F4341&lt;&gt;"", TEXT(F4341, "yyyy-mm"), "")</f>
        <v/>
      </c>
    </row>
    <row r="4342">
      <c r="A4342" t="inlineStr">
        <is>
          <t>RP0004341</t>
        </is>
      </c>
      <c r="B4342" t="inlineStr">
        <is>
          <t>LN200617</t>
        </is>
      </c>
      <c r="C4342" t="n">
        <v>3</v>
      </c>
      <c r="D4342" s="8" t="n">
        <v>45932</v>
      </c>
      <c r="E4342" s="9" t="n">
        <v>21276.33</v>
      </c>
      <c r="F4342" s="8" t="n">
        <v>45934</v>
      </c>
      <c r="G4342" s="9" t="n">
        <v>21276.33</v>
      </c>
      <c r="H4342" t="inlineStr">
        <is>
          <t>PAID_ON_TIME</t>
        </is>
      </c>
      <c r="I4342">
        <f>IF(H4342="UNPAID", AsOfDate-D4342, 0)</f>
        <v/>
      </c>
      <c r="J4342">
        <f>IF(F4342&lt;&gt;"", TEXT(F4342, "yyyy-mm"), "")</f>
        <v/>
      </c>
    </row>
    <row r="4343">
      <c r="A4343" t="inlineStr">
        <is>
          <t>RP0004342</t>
        </is>
      </c>
      <c r="B4343" t="inlineStr">
        <is>
          <t>LN200617</t>
        </is>
      </c>
      <c r="C4343" t="n">
        <v>4</v>
      </c>
      <c r="D4343" s="8" t="n">
        <v>45963</v>
      </c>
      <c r="E4343" s="9" t="n">
        <v>21276.33</v>
      </c>
      <c r="F4343" s="8" t="n">
        <v>45967</v>
      </c>
      <c r="G4343" s="9" t="n">
        <v>21276.33</v>
      </c>
      <c r="H4343" t="inlineStr">
        <is>
          <t>PAID_LATE</t>
        </is>
      </c>
      <c r="I4343">
        <f>IF(H4343="UNPAID", AsOfDate-D4343, 0)</f>
        <v/>
      </c>
      <c r="J4343">
        <f>IF(F4343&lt;&gt;"", TEXT(F4343, "yyyy-mm"), "")</f>
        <v/>
      </c>
    </row>
    <row r="4344">
      <c r="A4344" t="inlineStr">
        <is>
          <t>RP0004343</t>
        </is>
      </c>
      <c r="B4344" t="inlineStr">
        <is>
          <t>LN200617</t>
        </is>
      </c>
      <c r="C4344" t="n">
        <v>5</v>
      </c>
      <c r="D4344" s="8" t="n">
        <v>45993</v>
      </c>
      <c r="E4344" s="9" t="n">
        <v>21276.33</v>
      </c>
      <c r="F4344" s="8" t="n">
        <v>45994</v>
      </c>
      <c r="G4344" s="9" t="n">
        <v>21276.33</v>
      </c>
      <c r="H4344" t="inlineStr">
        <is>
          <t>PAID_ON_TIME</t>
        </is>
      </c>
      <c r="I4344">
        <f>IF(H4344="UNPAID", AsOfDate-D4344, 0)</f>
        <v/>
      </c>
      <c r="J4344">
        <f>IF(F4344&lt;&gt;"", TEXT(F4344, "yyyy-mm"), "")</f>
        <v/>
      </c>
    </row>
    <row r="4345">
      <c r="A4345" t="inlineStr">
        <is>
          <t>RP0004344</t>
        </is>
      </c>
      <c r="B4345" t="inlineStr">
        <is>
          <t>LN200617</t>
        </is>
      </c>
      <c r="C4345" t="n">
        <v>6</v>
      </c>
      <c r="D4345" s="8" t="n">
        <v>46024</v>
      </c>
      <c r="E4345" s="9" t="n">
        <v>21276.33</v>
      </c>
      <c r="F4345" s="8" t="n">
        <v>46023</v>
      </c>
      <c r="G4345" s="9" t="n">
        <v>21276.33</v>
      </c>
      <c r="H4345" t="inlineStr">
        <is>
          <t>PAID_ON_TIME</t>
        </is>
      </c>
      <c r="I4345">
        <f>IF(H4345="UNPAID", AsOfDate-D4345, 0)</f>
        <v/>
      </c>
      <c r="J4345">
        <f>IF(F4345&lt;&gt;"", TEXT(F4345, "yyyy-mm"), "")</f>
        <v/>
      </c>
    </row>
    <row r="4346">
      <c r="A4346" t="inlineStr">
        <is>
          <t>RP0004345</t>
        </is>
      </c>
      <c r="B4346" t="inlineStr">
        <is>
          <t>LN200618</t>
        </is>
      </c>
      <c r="C4346" t="n">
        <v>1</v>
      </c>
      <c r="D4346" s="8" t="n">
        <v>46091</v>
      </c>
      <c r="E4346" s="9" t="n">
        <v>16323.03</v>
      </c>
      <c r="F4346" s="8" t="n">
        <v>46090</v>
      </c>
      <c r="G4346" s="9" t="n">
        <v>16323.03</v>
      </c>
      <c r="H4346" t="inlineStr">
        <is>
          <t>PAID_ON_TIME</t>
        </is>
      </c>
      <c r="I4346">
        <f>IF(H4346="UNPAID", AsOfDate-D4346, 0)</f>
        <v/>
      </c>
      <c r="J4346">
        <f>IF(F4346&lt;&gt;"", TEXT(F4346, "yyyy-mm"), "")</f>
        <v/>
      </c>
    </row>
    <row r="4347">
      <c r="A4347" t="inlineStr">
        <is>
          <t>RP0004346</t>
        </is>
      </c>
      <c r="B4347" t="inlineStr">
        <is>
          <t>LN200618</t>
        </is>
      </c>
      <c r="C4347" t="n">
        <v>2</v>
      </c>
      <c r="D4347" s="8" t="n">
        <v>46122</v>
      </c>
      <c r="E4347" s="9" t="n">
        <v>16323.03</v>
      </c>
      <c r="F4347" s="8" t="n">
        <v>46125</v>
      </c>
      <c r="G4347" s="9" t="n">
        <v>16323.03</v>
      </c>
      <c r="H4347" t="inlineStr">
        <is>
          <t>PAID_ON_TIME</t>
        </is>
      </c>
      <c r="I4347">
        <f>IF(H4347="UNPAID", AsOfDate-D4347, 0)</f>
        <v/>
      </c>
      <c r="J4347">
        <f>IF(F4347&lt;&gt;"", TEXT(F4347, "yyyy-mm"), "")</f>
        <v/>
      </c>
    </row>
    <row r="4348">
      <c r="A4348" t="inlineStr">
        <is>
          <t>RP0004347</t>
        </is>
      </c>
      <c r="B4348" t="inlineStr">
        <is>
          <t>LN200618</t>
        </is>
      </c>
      <c r="C4348" t="n">
        <v>3</v>
      </c>
      <c r="D4348" s="8" t="n">
        <v>46152</v>
      </c>
      <c r="E4348" s="9" t="n">
        <v>16323.03</v>
      </c>
      <c r="F4348" s="8" t="n">
        <v>46156</v>
      </c>
      <c r="G4348" s="9" t="n">
        <v>16323.03</v>
      </c>
      <c r="H4348" t="inlineStr">
        <is>
          <t>PAID_ON_TIME</t>
        </is>
      </c>
      <c r="I4348">
        <f>IF(H4348="UNPAID", AsOfDate-D4348, 0)</f>
        <v/>
      </c>
      <c r="J4348">
        <f>IF(F4348&lt;&gt;"", TEXT(F4348, "yyyy-mm"), "")</f>
        <v/>
      </c>
    </row>
    <row r="4349">
      <c r="A4349" t="inlineStr">
        <is>
          <t>RP0004348</t>
        </is>
      </c>
      <c r="B4349" t="inlineStr">
        <is>
          <t>LN200618</t>
        </is>
      </c>
      <c r="C4349" t="n">
        <v>4</v>
      </c>
      <c r="D4349" s="8" t="n">
        <v>46183</v>
      </c>
      <c r="E4349" s="9" t="n">
        <v>16323.03</v>
      </c>
      <c r="F4349" s="8" t="n"/>
      <c r="G4349" s="9" t="n">
        <v>0</v>
      </c>
      <c r="H4349" t="inlineStr">
        <is>
          <t>UNPAID</t>
        </is>
      </c>
      <c r="I4349">
        <f>IF(H4349="UNPAID", AsOfDate-D4349, 0)</f>
        <v/>
      </c>
      <c r="J4349">
        <f>IF(F4349&lt;&gt;"", TEXT(F4349, "yyyy-mm"), "")</f>
        <v/>
      </c>
    </row>
    <row r="4350">
      <c r="A4350" t="inlineStr">
        <is>
          <t>RP0004349</t>
        </is>
      </c>
      <c r="B4350" t="inlineStr">
        <is>
          <t>LN200618</t>
        </is>
      </c>
      <c r="C4350" t="n">
        <v>5</v>
      </c>
      <c r="D4350" s="8" t="n">
        <v>46213</v>
      </c>
      <c r="E4350" s="9" t="n">
        <v>16323.03</v>
      </c>
      <c r="F4350" s="8" t="n">
        <v>46211</v>
      </c>
      <c r="G4350" s="9" t="n">
        <v>16323.03</v>
      </c>
      <c r="H4350" t="inlineStr">
        <is>
          <t>PAID_ON_TIME</t>
        </is>
      </c>
      <c r="I4350">
        <f>IF(H4350="UNPAID", AsOfDate-D4350, 0)</f>
        <v/>
      </c>
      <c r="J4350">
        <f>IF(F4350&lt;&gt;"", TEXT(F4350, "yyyy-mm"), "")</f>
        <v/>
      </c>
    </row>
    <row r="4351">
      <c r="A4351" t="inlineStr">
        <is>
          <t>RP0004350</t>
        </is>
      </c>
      <c r="B4351" t="inlineStr">
        <is>
          <t>LN200618</t>
        </is>
      </c>
      <c r="C4351" t="n">
        <v>6</v>
      </c>
      <c r="D4351" s="8" t="n">
        <v>46244</v>
      </c>
      <c r="E4351" s="9" t="n">
        <v>16323.03</v>
      </c>
      <c r="F4351" s="8" t="n">
        <v>46241</v>
      </c>
      <c r="G4351" s="9" t="n">
        <v>16323.03</v>
      </c>
      <c r="H4351" t="inlineStr">
        <is>
          <t>PAID_ON_TIME</t>
        </is>
      </c>
      <c r="I4351">
        <f>IF(H4351="UNPAID", AsOfDate-D4351, 0)</f>
        <v/>
      </c>
      <c r="J4351">
        <f>IF(F4351&lt;&gt;"", TEXT(F4351, "yyyy-mm"), "")</f>
        <v/>
      </c>
    </row>
    <row r="4352">
      <c r="A4352" t="inlineStr">
        <is>
          <t>RP0004351</t>
        </is>
      </c>
      <c r="B4352" t="inlineStr">
        <is>
          <t>LN200618</t>
        </is>
      </c>
      <c r="C4352" t="n">
        <v>7</v>
      </c>
      <c r="D4352" s="8" t="n">
        <v>46275</v>
      </c>
      <c r="E4352" s="9" t="n">
        <v>16323.03</v>
      </c>
      <c r="F4352" s="8" t="n"/>
      <c r="G4352" s="9" t="n">
        <v>0</v>
      </c>
      <c r="H4352" t="inlineStr">
        <is>
          <t>NOT_DUE</t>
        </is>
      </c>
      <c r="I4352">
        <f>IF(H4352="UNPAID", AsOfDate-D4352, 0)</f>
        <v/>
      </c>
      <c r="J4352">
        <f>IF(F4352&lt;&gt;"", TEXT(F4352, "yyyy-mm"), "")</f>
        <v/>
      </c>
    </row>
    <row r="4353">
      <c r="A4353" t="inlineStr">
        <is>
          <t>RP0004352</t>
        </is>
      </c>
      <c r="B4353" t="inlineStr">
        <is>
          <t>LN200618</t>
        </is>
      </c>
      <c r="C4353" t="n">
        <v>8</v>
      </c>
      <c r="D4353" s="8" t="n">
        <v>46305</v>
      </c>
      <c r="E4353" s="9" t="n">
        <v>16323.03</v>
      </c>
      <c r="F4353" s="8" t="n"/>
      <c r="G4353" s="9" t="n">
        <v>0</v>
      </c>
      <c r="H4353" t="inlineStr">
        <is>
          <t>NOT_DUE</t>
        </is>
      </c>
      <c r="I4353">
        <f>IF(H4353="UNPAID", AsOfDate-D4353, 0)</f>
        <v/>
      </c>
      <c r="J4353">
        <f>IF(F4353&lt;&gt;"", TEXT(F4353, "yyyy-mm"), "")</f>
        <v/>
      </c>
    </row>
    <row r="4354">
      <c r="A4354" t="inlineStr">
        <is>
          <t>RP0004353</t>
        </is>
      </c>
      <c r="B4354" t="inlineStr">
        <is>
          <t>LN200618</t>
        </is>
      </c>
      <c r="C4354" t="n">
        <v>9</v>
      </c>
      <c r="D4354" s="8" t="n">
        <v>46336</v>
      </c>
      <c r="E4354" s="9" t="n">
        <v>16323.03</v>
      </c>
      <c r="F4354" s="8" t="n"/>
      <c r="G4354" s="9" t="n">
        <v>0</v>
      </c>
      <c r="H4354" t="inlineStr">
        <is>
          <t>NOT_DUE</t>
        </is>
      </c>
      <c r="I4354">
        <f>IF(H4354="UNPAID", AsOfDate-D4354, 0)</f>
        <v/>
      </c>
      <c r="J4354">
        <f>IF(F4354&lt;&gt;"", TEXT(F4354, "yyyy-mm"), "")</f>
        <v/>
      </c>
    </row>
    <row r="4355">
      <c r="A4355" t="inlineStr">
        <is>
          <t>RP0004354</t>
        </is>
      </c>
      <c r="B4355" t="inlineStr">
        <is>
          <t>LN200619</t>
        </is>
      </c>
      <c r="C4355" t="n">
        <v>1</v>
      </c>
      <c r="D4355" s="8" t="n">
        <v>45762</v>
      </c>
      <c r="E4355" s="9" t="n">
        <v>16763.25</v>
      </c>
      <c r="F4355" s="8" t="n">
        <v>45766</v>
      </c>
      <c r="G4355" s="9" t="n">
        <v>16763.25</v>
      </c>
      <c r="H4355" t="inlineStr">
        <is>
          <t>PAID_ON_TIME</t>
        </is>
      </c>
      <c r="I4355">
        <f>IF(H4355="UNPAID", AsOfDate-D4355, 0)</f>
        <v/>
      </c>
      <c r="J4355">
        <f>IF(F4355&lt;&gt;"", TEXT(F4355, "yyyy-mm"), "")</f>
        <v/>
      </c>
    </row>
    <row r="4356">
      <c r="A4356" t="inlineStr">
        <is>
          <t>RP0004355</t>
        </is>
      </c>
      <c r="B4356" t="inlineStr">
        <is>
          <t>LN200619</t>
        </is>
      </c>
      <c r="C4356" t="n">
        <v>2</v>
      </c>
      <c r="D4356" s="8" t="n">
        <v>45792</v>
      </c>
      <c r="E4356" s="9" t="n">
        <v>16763.25</v>
      </c>
      <c r="F4356" s="8" t="n">
        <v>45789</v>
      </c>
      <c r="G4356" s="9" t="n">
        <v>16763.25</v>
      </c>
      <c r="H4356" t="inlineStr">
        <is>
          <t>PAID_ON_TIME</t>
        </is>
      </c>
      <c r="I4356">
        <f>IF(H4356="UNPAID", AsOfDate-D4356, 0)</f>
        <v/>
      </c>
      <c r="J4356">
        <f>IF(F4356&lt;&gt;"", TEXT(F4356, "yyyy-mm"), "")</f>
        <v/>
      </c>
    </row>
    <row r="4357">
      <c r="A4357" t="inlineStr">
        <is>
          <t>RP0004356</t>
        </is>
      </c>
      <c r="B4357" t="inlineStr">
        <is>
          <t>LN200619</t>
        </is>
      </c>
      <c r="C4357" t="n">
        <v>3</v>
      </c>
      <c r="D4357" s="8" t="n">
        <v>45823</v>
      </c>
      <c r="E4357" s="9" t="n">
        <v>16763.25</v>
      </c>
      <c r="F4357" s="8" t="n">
        <v>45827</v>
      </c>
      <c r="G4357" s="9" t="n">
        <v>16763.25</v>
      </c>
      <c r="H4357" t="inlineStr">
        <is>
          <t>PAID_ON_TIME</t>
        </is>
      </c>
      <c r="I4357">
        <f>IF(H4357="UNPAID", AsOfDate-D4357, 0)</f>
        <v/>
      </c>
      <c r="J4357">
        <f>IF(F4357&lt;&gt;"", TEXT(F4357, "yyyy-mm"), "")</f>
        <v/>
      </c>
    </row>
    <row r="4358">
      <c r="A4358" t="inlineStr">
        <is>
          <t>RP0004357</t>
        </is>
      </c>
      <c r="B4358" t="inlineStr">
        <is>
          <t>LN200619</t>
        </is>
      </c>
      <c r="C4358" t="n">
        <v>4</v>
      </c>
      <c r="D4358" s="8" t="n">
        <v>45853</v>
      </c>
      <c r="E4358" s="9" t="n">
        <v>16763.25</v>
      </c>
      <c r="F4358" s="8" t="n">
        <v>45856</v>
      </c>
      <c r="G4358" s="9" t="n">
        <v>16763.25</v>
      </c>
      <c r="H4358" t="inlineStr">
        <is>
          <t>PAID_ON_TIME</t>
        </is>
      </c>
      <c r="I4358">
        <f>IF(H4358="UNPAID", AsOfDate-D4358, 0)</f>
        <v/>
      </c>
      <c r="J4358">
        <f>IF(F4358&lt;&gt;"", TEXT(F4358, "yyyy-mm"), "")</f>
        <v/>
      </c>
    </row>
    <row r="4359">
      <c r="A4359" t="inlineStr">
        <is>
          <t>RP0004358</t>
        </is>
      </c>
      <c r="B4359" t="inlineStr">
        <is>
          <t>LN200619</t>
        </is>
      </c>
      <c r="C4359" t="n">
        <v>5</v>
      </c>
      <c r="D4359" s="8" t="n">
        <v>45884</v>
      </c>
      <c r="E4359" s="9" t="n">
        <v>16763.25</v>
      </c>
      <c r="F4359" s="8" t="n">
        <v>45887</v>
      </c>
      <c r="G4359" s="9" t="n">
        <v>16763.25</v>
      </c>
      <c r="H4359" t="inlineStr">
        <is>
          <t>PAID_ON_TIME</t>
        </is>
      </c>
      <c r="I4359">
        <f>IF(H4359="UNPAID", AsOfDate-D4359, 0)</f>
        <v/>
      </c>
      <c r="J4359">
        <f>IF(F4359&lt;&gt;"", TEXT(F4359, "yyyy-mm"), "")</f>
        <v/>
      </c>
    </row>
    <row r="4360">
      <c r="A4360" t="inlineStr">
        <is>
          <t>RP0004359</t>
        </is>
      </c>
      <c r="B4360" t="inlineStr">
        <is>
          <t>LN200619</t>
        </is>
      </c>
      <c r="C4360" t="n">
        <v>6</v>
      </c>
      <c r="D4360" s="8" t="n">
        <v>45915</v>
      </c>
      <c r="E4360" s="9" t="n">
        <v>16763.25</v>
      </c>
      <c r="F4360" s="8" t="n">
        <v>45913</v>
      </c>
      <c r="G4360" s="9" t="n">
        <v>16763.25</v>
      </c>
      <c r="H4360" t="inlineStr">
        <is>
          <t>PAID_ON_TIME</t>
        </is>
      </c>
      <c r="I4360">
        <f>IF(H4360="UNPAID", AsOfDate-D4360, 0)</f>
        <v/>
      </c>
      <c r="J4360">
        <f>IF(F4360&lt;&gt;"", TEXT(F4360, "yyyy-mm"), "")</f>
        <v/>
      </c>
    </row>
    <row r="4361">
      <c r="A4361" t="inlineStr">
        <is>
          <t>RP0004360</t>
        </is>
      </c>
      <c r="B4361" t="inlineStr">
        <is>
          <t>LN200620</t>
        </is>
      </c>
      <c r="C4361" t="n">
        <v>1</v>
      </c>
      <c r="D4361" s="8" t="n">
        <v>45756</v>
      </c>
      <c r="E4361" s="9" t="n">
        <v>28924.75</v>
      </c>
      <c r="F4361" s="8" t="n">
        <v>45760</v>
      </c>
      <c r="G4361" s="9" t="n">
        <v>28924.75</v>
      </c>
      <c r="H4361" t="inlineStr">
        <is>
          <t>PAID_ON_TIME</t>
        </is>
      </c>
      <c r="I4361">
        <f>IF(H4361="UNPAID", AsOfDate-D4361, 0)</f>
        <v/>
      </c>
      <c r="J4361">
        <f>IF(F4361&lt;&gt;"", TEXT(F4361, "yyyy-mm"), "")</f>
        <v/>
      </c>
    </row>
    <row r="4362">
      <c r="A4362" t="inlineStr">
        <is>
          <t>RP0004361</t>
        </is>
      </c>
      <c r="B4362" t="inlineStr">
        <is>
          <t>LN200620</t>
        </is>
      </c>
      <c r="C4362" t="n">
        <v>2</v>
      </c>
      <c r="D4362" s="8" t="n">
        <v>45786</v>
      </c>
      <c r="E4362" s="9" t="n">
        <v>28924.75</v>
      </c>
      <c r="F4362" s="8" t="n">
        <v>45830</v>
      </c>
      <c r="G4362" s="9" t="n">
        <v>28924.75</v>
      </c>
      <c r="H4362" t="inlineStr">
        <is>
          <t>PAID_LATE</t>
        </is>
      </c>
      <c r="I4362">
        <f>IF(H4362="UNPAID", AsOfDate-D4362, 0)</f>
        <v/>
      </c>
      <c r="J4362">
        <f>IF(F4362&lt;&gt;"", TEXT(F4362, "yyyy-mm"), "")</f>
        <v/>
      </c>
    </row>
    <row r="4363">
      <c r="A4363" t="inlineStr">
        <is>
          <t>RP0004362</t>
        </is>
      </c>
      <c r="B4363" t="inlineStr">
        <is>
          <t>LN200620</t>
        </is>
      </c>
      <c r="C4363" t="n">
        <v>3</v>
      </c>
      <c r="D4363" s="8" t="n">
        <v>45817</v>
      </c>
      <c r="E4363" s="9" t="n">
        <v>28924.75</v>
      </c>
      <c r="F4363" s="8" t="n">
        <v>45821</v>
      </c>
      <c r="G4363" s="9" t="n">
        <v>28924.75</v>
      </c>
      <c r="H4363" t="inlineStr">
        <is>
          <t>PAID_ON_TIME</t>
        </is>
      </c>
      <c r="I4363">
        <f>IF(H4363="UNPAID", AsOfDate-D4363, 0)</f>
        <v/>
      </c>
      <c r="J4363">
        <f>IF(F4363&lt;&gt;"", TEXT(F4363, "yyyy-mm"), "")</f>
        <v/>
      </c>
    </row>
    <row r="4364">
      <c r="A4364" t="inlineStr">
        <is>
          <t>RP0004363</t>
        </is>
      </c>
      <c r="B4364" t="inlineStr">
        <is>
          <t>LN200620</t>
        </is>
      </c>
      <c r="C4364" t="n">
        <v>4</v>
      </c>
      <c r="D4364" s="8" t="n">
        <v>45847</v>
      </c>
      <c r="E4364" s="9" t="n">
        <v>28924.75</v>
      </c>
      <c r="F4364" s="8" t="n">
        <v>45846</v>
      </c>
      <c r="G4364" s="9" t="n">
        <v>28924.75</v>
      </c>
      <c r="H4364" t="inlineStr">
        <is>
          <t>PAID_ON_TIME</t>
        </is>
      </c>
      <c r="I4364">
        <f>IF(H4364="UNPAID", AsOfDate-D4364, 0)</f>
        <v/>
      </c>
      <c r="J4364">
        <f>IF(F4364&lt;&gt;"", TEXT(F4364, "yyyy-mm"), "")</f>
        <v/>
      </c>
    </row>
    <row r="4365">
      <c r="A4365" t="inlineStr">
        <is>
          <t>RP0004364</t>
        </is>
      </c>
      <c r="B4365" t="inlineStr">
        <is>
          <t>LN200620</t>
        </is>
      </c>
      <c r="C4365" t="n">
        <v>5</v>
      </c>
      <c r="D4365" s="8" t="n">
        <v>45878</v>
      </c>
      <c r="E4365" s="9" t="n">
        <v>28924.75</v>
      </c>
      <c r="F4365" s="8" t="n">
        <v>45882</v>
      </c>
      <c r="G4365" s="9" t="n">
        <v>28924.75</v>
      </c>
      <c r="H4365" t="inlineStr">
        <is>
          <t>PAID_ON_TIME</t>
        </is>
      </c>
      <c r="I4365">
        <f>IF(H4365="UNPAID", AsOfDate-D4365, 0)</f>
        <v/>
      </c>
      <c r="J4365">
        <f>IF(F4365&lt;&gt;"", TEXT(F4365, "yyyy-mm"), "")</f>
        <v/>
      </c>
    </row>
    <row r="4366">
      <c r="A4366" t="inlineStr">
        <is>
          <t>RP0004365</t>
        </is>
      </c>
      <c r="B4366" t="inlineStr">
        <is>
          <t>LN200620</t>
        </is>
      </c>
      <c r="C4366" t="n">
        <v>6</v>
      </c>
      <c r="D4366" s="8" t="n">
        <v>45909</v>
      </c>
      <c r="E4366" s="9" t="n">
        <v>28924.75</v>
      </c>
      <c r="F4366" s="8" t="n">
        <v>45911</v>
      </c>
      <c r="G4366" s="9" t="n">
        <v>28924.75</v>
      </c>
      <c r="H4366" t="inlineStr">
        <is>
          <t>PAID_ON_TIME</t>
        </is>
      </c>
      <c r="I4366">
        <f>IF(H4366="UNPAID", AsOfDate-D4366, 0)</f>
        <v/>
      </c>
      <c r="J4366">
        <f>IF(F4366&lt;&gt;"", TEXT(F4366, "yyyy-mm"), "")</f>
        <v/>
      </c>
    </row>
    <row r="4367">
      <c r="A4367" t="inlineStr">
        <is>
          <t>RP0004366</t>
        </is>
      </c>
      <c r="B4367" t="inlineStr">
        <is>
          <t>LN200621</t>
        </is>
      </c>
      <c r="C4367" t="n">
        <v>1</v>
      </c>
      <c r="D4367" s="8" t="n">
        <v>45933</v>
      </c>
      <c r="E4367" s="9" t="n">
        <v>105149.33</v>
      </c>
      <c r="F4367" s="8" t="n">
        <v>45931</v>
      </c>
      <c r="G4367" s="9" t="n">
        <v>105149.33</v>
      </c>
      <c r="H4367" t="inlineStr">
        <is>
          <t>PAID_ON_TIME</t>
        </is>
      </c>
      <c r="I4367">
        <f>IF(H4367="UNPAID", AsOfDate-D4367, 0)</f>
        <v/>
      </c>
      <c r="J4367">
        <f>IF(F4367&lt;&gt;"", TEXT(F4367, "yyyy-mm"), "")</f>
        <v/>
      </c>
    </row>
    <row r="4368">
      <c r="A4368" t="inlineStr">
        <is>
          <t>RP0004367</t>
        </is>
      </c>
      <c r="B4368" t="inlineStr">
        <is>
          <t>LN200621</t>
        </is>
      </c>
      <c r="C4368" t="n">
        <v>2</v>
      </c>
      <c r="D4368" s="8" t="n">
        <v>45964</v>
      </c>
      <c r="E4368" s="9" t="n">
        <v>105149.33</v>
      </c>
      <c r="F4368" s="8" t="n">
        <v>45961</v>
      </c>
      <c r="G4368" s="9" t="n">
        <v>105149.33</v>
      </c>
      <c r="H4368" t="inlineStr">
        <is>
          <t>PAID_ON_TIME</t>
        </is>
      </c>
      <c r="I4368">
        <f>IF(H4368="UNPAID", AsOfDate-D4368, 0)</f>
        <v/>
      </c>
      <c r="J4368">
        <f>IF(F4368&lt;&gt;"", TEXT(F4368, "yyyy-mm"), "")</f>
        <v/>
      </c>
    </row>
    <row r="4369">
      <c r="A4369" t="inlineStr">
        <is>
          <t>RP0004368</t>
        </is>
      </c>
      <c r="B4369" t="inlineStr">
        <is>
          <t>LN200621</t>
        </is>
      </c>
      <c r="C4369" t="n">
        <v>3</v>
      </c>
      <c r="D4369" s="8" t="n">
        <v>45994</v>
      </c>
      <c r="E4369" s="9" t="n">
        <v>105149.33</v>
      </c>
      <c r="F4369" s="8" t="n">
        <v>45994</v>
      </c>
      <c r="G4369" s="9" t="n">
        <v>105149.33</v>
      </c>
      <c r="H4369" t="inlineStr">
        <is>
          <t>PAID_ON_TIME</t>
        </is>
      </c>
      <c r="I4369">
        <f>IF(H4369="UNPAID", AsOfDate-D4369, 0)</f>
        <v/>
      </c>
      <c r="J4369">
        <f>IF(F4369&lt;&gt;"", TEXT(F4369, "yyyy-mm"), "")</f>
        <v/>
      </c>
    </row>
    <row r="4370">
      <c r="A4370" t="inlineStr">
        <is>
          <t>RP0004369</t>
        </is>
      </c>
      <c r="B4370" t="inlineStr">
        <is>
          <t>LN200622</t>
        </is>
      </c>
      <c r="C4370" t="n">
        <v>1</v>
      </c>
      <c r="D4370" s="8" t="n">
        <v>45954</v>
      </c>
      <c r="E4370" s="9" t="n">
        <v>12705</v>
      </c>
      <c r="F4370" s="8" t="n">
        <v>45955</v>
      </c>
      <c r="G4370" s="9" t="n">
        <v>12705</v>
      </c>
      <c r="H4370" t="inlineStr">
        <is>
          <t>PAID_ON_TIME</t>
        </is>
      </c>
      <c r="I4370">
        <f>IF(H4370="UNPAID", AsOfDate-D4370, 0)</f>
        <v/>
      </c>
      <c r="J4370">
        <f>IF(F4370&lt;&gt;"", TEXT(F4370, "yyyy-mm"), "")</f>
        <v/>
      </c>
    </row>
    <row r="4371">
      <c r="A4371" t="inlineStr">
        <is>
          <t>RP0004370</t>
        </is>
      </c>
      <c r="B4371" t="inlineStr">
        <is>
          <t>LN200622</t>
        </is>
      </c>
      <c r="C4371" t="n">
        <v>2</v>
      </c>
      <c r="D4371" s="8" t="n">
        <v>45985</v>
      </c>
      <c r="E4371" s="9" t="n">
        <v>12705</v>
      </c>
      <c r="F4371" s="8" t="n">
        <v>45982</v>
      </c>
      <c r="G4371" s="9" t="n">
        <v>12705</v>
      </c>
      <c r="H4371" t="inlineStr">
        <is>
          <t>PAID_ON_TIME</t>
        </is>
      </c>
      <c r="I4371">
        <f>IF(H4371="UNPAID", AsOfDate-D4371, 0)</f>
        <v/>
      </c>
      <c r="J4371">
        <f>IF(F4371&lt;&gt;"", TEXT(F4371, "yyyy-mm"), "")</f>
        <v/>
      </c>
    </row>
    <row r="4372">
      <c r="A4372" t="inlineStr">
        <is>
          <t>RP0004371</t>
        </is>
      </c>
      <c r="B4372" t="inlineStr">
        <is>
          <t>LN200622</t>
        </is>
      </c>
      <c r="C4372" t="n">
        <v>3</v>
      </c>
      <c r="D4372" s="8" t="n">
        <v>46015</v>
      </c>
      <c r="E4372" s="9" t="n">
        <v>12705</v>
      </c>
      <c r="F4372" s="8" t="n">
        <v>46015</v>
      </c>
      <c r="G4372" s="9" t="n">
        <v>12705</v>
      </c>
      <c r="H4372" t="inlineStr">
        <is>
          <t>PAID_ON_TIME</t>
        </is>
      </c>
      <c r="I4372">
        <f>IF(H4372="UNPAID", AsOfDate-D4372, 0)</f>
        <v/>
      </c>
      <c r="J4372">
        <f>IF(F4372&lt;&gt;"", TEXT(F4372, "yyyy-mm"), "")</f>
        <v/>
      </c>
    </row>
    <row r="4373">
      <c r="A4373" t="inlineStr">
        <is>
          <t>RP0004372</t>
        </is>
      </c>
      <c r="B4373" t="inlineStr">
        <is>
          <t>LN200622</t>
        </is>
      </c>
      <c r="C4373" t="n">
        <v>4</v>
      </c>
      <c r="D4373" s="8" t="n">
        <v>46046</v>
      </c>
      <c r="E4373" s="9" t="n">
        <v>12705</v>
      </c>
      <c r="F4373" s="8" t="n">
        <v>46048</v>
      </c>
      <c r="G4373" s="9" t="n">
        <v>12705</v>
      </c>
      <c r="H4373" t="inlineStr">
        <is>
          <t>PAID_ON_TIME</t>
        </is>
      </c>
      <c r="I4373">
        <f>IF(H4373="UNPAID", AsOfDate-D4373, 0)</f>
        <v/>
      </c>
      <c r="J4373">
        <f>IF(F4373&lt;&gt;"", TEXT(F4373, "yyyy-mm"), "")</f>
        <v/>
      </c>
    </row>
    <row r="4374">
      <c r="A4374" t="inlineStr">
        <is>
          <t>RP0004373</t>
        </is>
      </c>
      <c r="B4374" t="inlineStr">
        <is>
          <t>LN200622</t>
        </is>
      </c>
      <c r="C4374" t="n">
        <v>5</v>
      </c>
      <c r="D4374" s="8" t="n">
        <v>46077</v>
      </c>
      <c r="E4374" s="9" t="n">
        <v>12705</v>
      </c>
      <c r="F4374" s="8" t="n">
        <v>46074</v>
      </c>
      <c r="G4374" s="9" t="n">
        <v>12705</v>
      </c>
      <c r="H4374" t="inlineStr">
        <is>
          <t>PAID_ON_TIME</t>
        </is>
      </c>
      <c r="I4374">
        <f>IF(H4374="UNPAID", AsOfDate-D4374, 0)</f>
        <v/>
      </c>
      <c r="J4374">
        <f>IF(F4374&lt;&gt;"", TEXT(F4374, "yyyy-mm"), "")</f>
        <v/>
      </c>
    </row>
    <row r="4375">
      <c r="A4375" t="inlineStr">
        <is>
          <t>RP0004374</t>
        </is>
      </c>
      <c r="B4375" t="inlineStr">
        <is>
          <t>LN200622</t>
        </is>
      </c>
      <c r="C4375" t="n">
        <v>6</v>
      </c>
      <c r="D4375" s="8" t="n">
        <v>46105</v>
      </c>
      <c r="E4375" s="9" t="n">
        <v>12705</v>
      </c>
      <c r="F4375" s="8" t="n">
        <v>46137</v>
      </c>
      <c r="G4375" s="9" t="n">
        <v>12705</v>
      </c>
      <c r="H4375" t="inlineStr">
        <is>
          <t>PAID_LATE</t>
        </is>
      </c>
      <c r="I4375">
        <f>IF(H4375="UNPAID", AsOfDate-D4375, 0)</f>
        <v/>
      </c>
      <c r="J4375">
        <f>IF(F4375&lt;&gt;"", TEXT(F4375, "yyyy-mm"), "")</f>
        <v/>
      </c>
    </row>
    <row r="4376">
      <c r="A4376" t="inlineStr">
        <is>
          <t>RP0004375</t>
        </is>
      </c>
      <c r="B4376" t="inlineStr">
        <is>
          <t>LN200623</t>
        </is>
      </c>
      <c r="C4376" t="n">
        <v>1</v>
      </c>
      <c r="D4376" s="8" t="n">
        <v>46100</v>
      </c>
      <c r="E4376" s="9" t="n">
        <v>33392.5</v>
      </c>
      <c r="F4376" s="8" t="n">
        <v>46101</v>
      </c>
      <c r="G4376" s="9" t="n">
        <v>33392.5</v>
      </c>
      <c r="H4376" t="inlineStr">
        <is>
          <t>PAID_ON_TIME</t>
        </is>
      </c>
      <c r="I4376">
        <f>IF(H4376="UNPAID", AsOfDate-D4376, 0)</f>
        <v/>
      </c>
      <c r="J4376">
        <f>IF(F4376&lt;&gt;"", TEXT(F4376, "yyyy-mm"), "")</f>
        <v/>
      </c>
    </row>
    <row r="4377">
      <c r="A4377" t="inlineStr">
        <is>
          <t>RP0004376</t>
        </is>
      </c>
      <c r="B4377" t="inlineStr">
        <is>
          <t>LN200623</t>
        </is>
      </c>
      <c r="C4377" t="n">
        <v>2</v>
      </c>
      <c r="D4377" s="8" t="n">
        <v>46131</v>
      </c>
      <c r="E4377" s="9" t="n">
        <v>33392.5</v>
      </c>
      <c r="F4377" s="8" t="n">
        <v>46129</v>
      </c>
      <c r="G4377" s="9" t="n">
        <v>33392.5</v>
      </c>
      <c r="H4377" t="inlineStr">
        <is>
          <t>PAID_ON_TIME</t>
        </is>
      </c>
      <c r="I4377">
        <f>IF(H4377="UNPAID", AsOfDate-D4377, 0)</f>
        <v/>
      </c>
      <c r="J4377">
        <f>IF(F4377&lt;&gt;"", TEXT(F4377, "yyyy-mm"), "")</f>
        <v/>
      </c>
    </row>
    <row r="4378">
      <c r="A4378" t="inlineStr">
        <is>
          <t>RP0004377</t>
        </is>
      </c>
      <c r="B4378" t="inlineStr">
        <is>
          <t>LN200623</t>
        </is>
      </c>
      <c r="C4378" t="n">
        <v>3</v>
      </c>
      <c r="D4378" s="8" t="n">
        <v>46161</v>
      </c>
      <c r="E4378" s="9" t="n">
        <v>33392.5</v>
      </c>
      <c r="F4378" s="8" t="n">
        <v>46164</v>
      </c>
      <c r="G4378" s="9" t="n">
        <v>33392.5</v>
      </c>
      <c r="H4378" t="inlineStr">
        <is>
          <t>PAID_ON_TIME</t>
        </is>
      </c>
      <c r="I4378">
        <f>IF(H4378="UNPAID", AsOfDate-D4378, 0)</f>
        <v/>
      </c>
      <c r="J4378">
        <f>IF(F4378&lt;&gt;"", TEXT(F4378, "yyyy-mm"), "")</f>
        <v/>
      </c>
    </row>
    <row r="4379">
      <c r="A4379" t="inlineStr">
        <is>
          <t>RP0004378</t>
        </is>
      </c>
      <c r="B4379" t="inlineStr">
        <is>
          <t>LN200623</t>
        </is>
      </c>
      <c r="C4379" t="n">
        <v>4</v>
      </c>
      <c r="D4379" s="8" t="n">
        <v>46192</v>
      </c>
      <c r="E4379" s="9" t="n">
        <v>33392.5</v>
      </c>
      <c r="F4379" s="8" t="n">
        <v>46190</v>
      </c>
      <c r="G4379" s="9" t="n">
        <v>33392.5</v>
      </c>
      <c r="H4379" t="inlineStr">
        <is>
          <t>PAID_ON_TIME</t>
        </is>
      </c>
      <c r="I4379">
        <f>IF(H4379="UNPAID", AsOfDate-D4379, 0)</f>
        <v/>
      </c>
      <c r="J4379">
        <f>IF(F4379&lt;&gt;"", TEXT(F4379, "yyyy-mm"), "")</f>
        <v/>
      </c>
    </row>
    <row r="4380">
      <c r="A4380" t="inlineStr">
        <is>
          <t>RP0004379</t>
        </is>
      </c>
      <c r="B4380" t="inlineStr">
        <is>
          <t>LN200623</t>
        </is>
      </c>
      <c r="C4380" t="n">
        <v>5</v>
      </c>
      <c r="D4380" s="8" t="n">
        <v>46222</v>
      </c>
      <c r="E4380" s="9" t="n">
        <v>33392.5</v>
      </c>
      <c r="F4380" s="8" t="n">
        <v>46221</v>
      </c>
      <c r="G4380" s="9" t="n">
        <v>33392.5</v>
      </c>
      <c r="H4380" t="inlineStr">
        <is>
          <t>PAID_ON_TIME</t>
        </is>
      </c>
      <c r="I4380">
        <f>IF(H4380="UNPAID", AsOfDate-D4380, 0)</f>
        <v/>
      </c>
      <c r="J4380">
        <f>IF(F4380&lt;&gt;"", TEXT(F4380, "yyyy-mm"), "")</f>
        <v/>
      </c>
    </row>
    <row r="4381">
      <c r="A4381" t="inlineStr">
        <is>
          <t>RP0004380</t>
        </is>
      </c>
      <c r="B4381" t="inlineStr">
        <is>
          <t>LN200623</t>
        </is>
      </c>
      <c r="C4381" t="n">
        <v>6</v>
      </c>
      <c r="D4381" s="8" t="n">
        <v>46253</v>
      </c>
      <c r="E4381" s="9" t="n">
        <v>33392.5</v>
      </c>
      <c r="F4381" s="8" t="n">
        <v>46254</v>
      </c>
      <c r="G4381" s="9" t="n">
        <v>33392.5</v>
      </c>
      <c r="H4381" t="inlineStr">
        <is>
          <t>PAID_ON_TIME</t>
        </is>
      </c>
      <c r="I4381">
        <f>IF(H4381="UNPAID", AsOfDate-D4381, 0)</f>
        <v/>
      </c>
      <c r="J4381">
        <f>IF(F4381&lt;&gt;"", TEXT(F4381, "yyyy-mm"), "")</f>
        <v/>
      </c>
    </row>
    <row r="4382">
      <c r="A4382" t="inlineStr">
        <is>
          <t>RP0004381</t>
        </is>
      </c>
      <c r="B4382" t="inlineStr">
        <is>
          <t>LN200625</t>
        </is>
      </c>
      <c r="C4382" t="n">
        <v>1</v>
      </c>
      <c r="D4382" s="8" t="n">
        <v>46145</v>
      </c>
      <c r="E4382" s="9" t="n">
        <v>11682</v>
      </c>
      <c r="F4382" s="8" t="n">
        <v>46145</v>
      </c>
      <c r="G4382" s="9" t="n">
        <v>11682</v>
      </c>
      <c r="H4382" t="inlineStr">
        <is>
          <t>PAID_ON_TIME</t>
        </is>
      </c>
      <c r="I4382">
        <f>IF(H4382="UNPAID", AsOfDate-D4382, 0)</f>
        <v/>
      </c>
      <c r="J4382">
        <f>IF(F4382&lt;&gt;"", TEXT(F4382, "yyyy-mm"), "")</f>
        <v/>
      </c>
    </row>
    <row r="4383">
      <c r="A4383" t="inlineStr">
        <is>
          <t>RP0004382</t>
        </is>
      </c>
      <c r="B4383" t="inlineStr">
        <is>
          <t>LN200625</t>
        </is>
      </c>
      <c r="C4383" t="n">
        <v>2</v>
      </c>
      <c r="D4383" s="8" t="n">
        <v>46176</v>
      </c>
      <c r="E4383" s="9" t="n">
        <v>11682</v>
      </c>
      <c r="F4383" s="8" t="n">
        <v>46176</v>
      </c>
      <c r="G4383" s="9" t="n">
        <v>11682</v>
      </c>
      <c r="H4383" t="inlineStr">
        <is>
          <t>PAID_ON_TIME</t>
        </is>
      </c>
      <c r="I4383">
        <f>IF(H4383="UNPAID", AsOfDate-D4383, 0)</f>
        <v/>
      </c>
      <c r="J4383">
        <f>IF(F4383&lt;&gt;"", TEXT(F4383, "yyyy-mm"), "")</f>
        <v/>
      </c>
    </row>
    <row r="4384">
      <c r="A4384" t="inlineStr">
        <is>
          <t>RP0004383</t>
        </is>
      </c>
      <c r="B4384" t="inlineStr">
        <is>
          <t>LN200625</t>
        </is>
      </c>
      <c r="C4384" t="n">
        <v>3</v>
      </c>
      <c r="D4384" s="8" t="n">
        <v>46206</v>
      </c>
      <c r="E4384" s="9" t="n">
        <v>11682</v>
      </c>
      <c r="F4384" s="8" t="n">
        <v>46207</v>
      </c>
      <c r="G4384" s="9" t="n">
        <v>11682</v>
      </c>
      <c r="H4384" t="inlineStr">
        <is>
          <t>PAID_ON_TIME</t>
        </is>
      </c>
      <c r="I4384">
        <f>IF(H4384="UNPAID", AsOfDate-D4384, 0)</f>
        <v/>
      </c>
      <c r="J4384">
        <f>IF(F4384&lt;&gt;"", TEXT(F4384, "yyyy-mm"), "")</f>
        <v/>
      </c>
    </row>
    <row r="4385">
      <c r="A4385" t="inlineStr">
        <is>
          <t>RP0004384</t>
        </is>
      </c>
      <c r="B4385" t="inlineStr">
        <is>
          <t>LN200625</t>
        </is>
      </c>
      <c r="C4385" t="n">
        <v>4</v>
      </c>
      <c r="D4385" s="8" t="n">
        <v>46237</v>
      </c>
      <c r="E4385" s="9" t="n">
        <v>11682</v>
      </c>
      <c r="F4385" s="8" t="n">
        <v>46236</v>
      </c>
      <c r="G4385" s="9" t="n">
        <v>11682</v>
      </c>
      <c r="H4385" t="inlineStr">
        <is>
          <t>PAID_ON_TIME</t>
        </is>
      </c>
      <c r="I4385">
        <f>IF(H4385="UNPAID", AsOfDate-D4385, 0)</f>
        <v/>
      </c>
      <c r="J4385">
        <f>IF(F4385&lt;&gt;"", TEXT(F4385, "yyyy-mm"), "")</f>
        <v/>
      </c>
    </row>
    <row r="4386">
      <c r="A4386" t="inlineStr">
        <is>
          <t>RP0004385</t>
        </is>
      </c>
      <c r="B4386" t="inlineStr">
        <is>
          <t>LN200625</t>
        </is>
      </c>
      <c r="C4386" t="n">
        <v>5</v>
      </c>
      <c r="D4386" s="8" t="n">
        <v>46268</v>
      </c>
      <c r="E4386" s="9" t="n">
        <v>11682</v>
      </c>
      <c r="F4386" s="8" t="n"/>
      <c r="G4386" s="9" t="n">
        <v>0</v>
      </c>
      <c r="H4386" t="inlineStr">
        <is>
          <t>NOT_DUE</t>
        </is>
      </c>
      <c r="I4386">
        <f>IF(H4386="UNPAID", AsOfDate-D4386, 0)</f>
        <v/>
      </c>
      <c r="J4386">
        <f>IF(F4386&lt;&gt;"", TEXT(F4386, "yyyy-mm"), "")</f>
        <v/>
      </c>
    </row>
    <row r="4387">
      <c r="A4387" t="inlineStr">
        <is>
          <t>RP0004386</t>
        </is>
      </c>
      <c r="B4387" t="inlineStr">
        <is>
          <t>LN200625</t>
        </is>
      </c>
      <c r="C4387" t="n">
        <v>6</v>
      </c>
      <c r="D4387" s="8" t="n">
        <v>46298</v>
      </c>
      <c r="E4387" s="9" t="n">
        <v>11682</v>
      </c>
      <c r="F4387" s="8" t="n"/>
      <c r="G4387" s="9" t="n">
        <v>0</v>
      </c>
      <c r="H4387" t="inlineStr">
        <is>
          <t>NOT_DUE</t>
        </is>
      </c>
      <c r="I4387">
        <f>IF(H4387="UNPAID", AsOfDate-D4387, 0)</f>
        <v/>
      </c>
      <c r="J4387">
        <f>IF(F4387&lt;&gt;"", TEXT(F4387, "yyyy-mm"), "")</f>
        <v/>
      </c>
    </row>
    <row r="4388">
      <c r="A4388" t="inlineStr">
        <is>
          <t>RP0004387</t>
        </is>
      </c>
      <c r="B4388" t="inlineStr">
        <is>
          <t>LN200625</t>
        </is>
      </c>
      <c r="C4388" t="n">
        <v>7</v>
      </c>
      <c r="D4388" s="8" t="n">
        <v>46329</v>
      </c>
      <c r="E4388" s="9" t="n">
        <v>11682</v>
      </c>
      <c r="F4388" s="8" t="n"/>
      <c r="G4388" s="9" t="n">
        <v>0</v>
      </c>
      <c r="H4388" t="inlineStr">
        <is>
          <t>NOT_DUE</t>
        </is>
      </c>
      <c r="I4388">
        <f>IF(H4388="UNPAID", AsOfDate-D4388, 0)</f>
        <v/>
      </c>
      <c r="J4388">
        <f>IF(F4388&lt;&gt;"", TEXT(F4388, "yyyy-mm"), "")</f>
        <v/>
      </c>
    </row>
    <row r="4389">
      <c r="A4389" t="inlineStr">
        <is>
          <t>RP0004388</t>
        </is>
      </c>
      <c r="B4389" t="inlineStr">
        <is>
          <t>LN200625</t>
        </is>
      </c>
      <c r="C4389" t="n">
        <v>8</v>
      </c>
      <c r="D4389" s="8" t="n">
        <v>46359</v>
      </c>
      <c r="E4389" s="9" t="n">
        <v>11682</v>
      </c>
      <c r="F4389" s="8" t="n"/>
      <c r="G4389" s="9" t="n">
        <v>0</v>
      </c>
      <c r="H4389" t="inlineStr">
        <is>
          <t>NOT_DUE</t>
        </is>
      </c>
      <c r="I4389">
        <f>IF(H4389="UNPAID", AsOfDate-D4389, 0)</f>
        <v/>
      </c>
      <c r="J4389">
        <f>IF(F4389&lt;&gt;"", TEXT(F4389, "yyyy-mm"), "")</f>
        <v/>
      </c>
    </row>
    <row r="4390">
      <c r="A4390" t="inlineStr">
        <is>
          <t>RP0004389</t>
        </is>
      </c>
      <c r="B4390" t="inlineStr">
        <is>
          <t>LN200625</t>
        </is>
      </c>
      <c r="C4390" t="n">
        <v>9</v>
      </c>
      <c r="D4390" s="8" t="n">
        <v>46390</v>
      </c>
      <c r="E4390" s="9" t="n">
        <v>11682</v>
      </c>
      <c r="F4390" s="8" t="n"/>
      <c r="G4390" s="9" t="n">
        <v>0</v>
      </c>
      <c r="H4390" t="inlineStr">
        <is>
          <t>NOT_DUE</t>
        </is>
      </c>
      <c r="I4390">
        <f>IF(H4390="UNPAID", AsOfDate-D4390, 0)</f>
        <v/>
      </c>
      <c r="J4390">
        <f>IF(F4390&lt;&gt;"", TEXT(F4390, "yyyy-mm"), "")</f>
        <v/>
      </c>
    </row>
    <row r="4391">
      <c r="A4391" t="inlineStr">
        <is>
          <t>RP0004390</t>
        </is>
      </c>
      <c r="B4391" t="inlineStr">
        <is>
          <t>LN200625</t>
        </is>
      </c>
      <c r="C4391" t="n">
        <v>10</v>
      </c>
      <c r="D4391" s="8" t="n">
        <v>46421</v>
      </c>
      <c r="E4391" s="9" t="n">
        <v>11682</v>
      </c>
      <c r="F4391" s="8" t="n"/>
      <c r="G4391" s="9" t="n">
        <v>0</v>
      </c>
      <c r="H4391" t="inlineStr">
        <is>
          <t>NOT_DUE</t>
        </is>
      </c>
      <c r="I4391">
        <f>IF(H4391="UNPAID", AsOfDate-D4391, 0)</f>
        <v/>
      </c>
      <c r="J4391">
        <f>IF(F4391&lt;&gt;"", TEXT(F4391, "yyyy-mm"), "")</f>
        <v/>
      </c>
    </row>
    <row r="4392">
      <c r="A4392" t="inlineStr">
        <is>
          <t>RP0004391</t>
        </is>
      </c>
      <c r="B4392" t="inlineStr">
        <is>
          <t>LN200625</t>
        </is>
      </c>
      <c r="C4392" t="n">
        <v>11</v>
      </c>
      <c r="D4392" s="8" t="n">
        <v>46449</v>
      </c>
      <c r="E4392" s="9" t="n">
        <v>11682</v>
      </c>
      <c r="F4392" s="8" t="n"/>
      <c r="G4392" s="9" t="n">
        <v>0</v>
      </c>
      <c r="H4392" t="inlineStr">
        <is>
          <t>NOT_DUE</t>
        </is>
      </c>
      <c r="I4392">
        <f>IF(H4392="UNPAID", AsOfDate-D4392, 0)</f>
        <v/>
      </c>
      <c r="J4392">
        <f>IF(F4392&lt;&gt;"", TEXT(F4392, "yyyy-mm"), "")</f>
        <v/>
      </c>
    </row>
    <row r="4393">
      <c r="A4393" t="inlineStr">
        <is>
          <t>RP0004392</t>
        </is>
      </c>
      <c r="B4393" t="inlineStr">
        <is>
          <t>LN200625</t>
        </is>
      </c>
      <c r="C4393" t="n">
        <v>12</v>
      </c>
      <c r="D4393" s="8" t="n">
        <v>46480</v>
      </c>
      <c r="E4393" s="9" t="n">
        <v>11682</v>
      </c>
      <c r="F4393" s="8" t="n"/>
      <c r="G4393" s="9" t="n">
        <v>0</v>
      </c>
      <c r="H4393" t="inlineStr">
        <is>
          <t>NOT_DUE</t>
        </is>
      </c>
      <c r="I4393">
        <f>IF(H4393="UNPAID", AsOfDate-D4393, 0)</f>
        <v/>
      </c>
      <c r="J4393">
        <f>IF(F4393&lt;&gt;"", TEXT(F4393, "yyyy-mm"), "")</f>
        <v/>
      </c>
    </row>
    <row r="4394">
      <c r="A4394" t="inlineStr">
        <is>
          <t>RP0004393</t>
        </is>
      </c>
      <c r="B4394" t="inlineStr">
        <is>
          <t>LN200626</t>
        </is>
      </c>
      <c r="C4394" t="n">
        <v>1</v>
      </c>
      <c r="D4394" s="8" t="n">
        <v>46036</v>
      </c>
      <c r="E4394" s="9" t="n">
        <v>8764.83</v>
      </c>
      <c r="F4394" s="8" t="n">
        <v>46034</v>
      </c>
      <c r="G4394" s="9" t="n">
        <v>8764.83</v>
      </c>
      <c r="H4394" t="inlineStr">
        <is>
          <t>PAID_ON_TIME</t>
        </is>
      </c>
      <c r="I4394">
        <f>IF(H4394="UNPAID", AsOfDate-D4394, 0)</f>
        <v/>
      </c>
      <c r="J4394">
        <f>IF(F4394&lt;&gt;"", TEXT(F4394, "yyyy-mm"), "")</f>
        <v/>
      </c>
    </row>
    <row r="4395">
      <c r="A4395" t="inlineStr">
        <is>
          <t>RP0004394</t>
        </is>
      </c>
      <c r="B4395" t="inlineStr">
        <is>
          <t>LN200626</t>
        </is>
      </c>
      <c r="C4395" t="n">
        <v>2</v>
      </c>
      <c r="D4395" s="8" t="n">
        <v>46067</v>
      </c>
      <c r="E4395" s="9" t="n">
        <v>8764.83</v>
      </c>
      <c r="F4395" s="8" t="n">
        <v>46068</v>
      </c>
      <c r="G4395" s="9" t="n">
        <v>8764.83</v>
      </c>
      <c r="H4395" t="inlineStr">
        <is>
          <t>PAID_ON_TIME</t>
        </is>
      </c>
      <c r="I4395">
        <f>IF(H4395="UNPAID", AsOfDate-D4395, 0)</f>
        <v/>
      </c>
      <c r="J4395">
        <f>IF(F4395&lt;&gt;"", TEXT(F4395, "yyyy-mm"), "")</f>
        <v/>
      </c>
    </row>
    <row r="4396">
      <c r="A4396" t="inlineStr">
        <is>
          <t>RP0004395</t>
        </is>
      </c>
      <c r="B4396" t="inlineStr">
        <is>
          <t>LN200626</t>
        </is>
      </c>
      <c r="C4396" t="n">
        <v>3</v>
      </c>
      <c r="D4396" s="8" t="n">
        <v>46095</v>
      </c>
      <c r="E4396" s="9" t="n">
        <v>8764.83</v>
      </c>
      <c r="F4396" s="8" t="n">
        <v>46098</v>
      </c>
      <c r="G4396" s="9" t="n">
        <v>8764.83</v>
      </c>
      <c r="H4396" t="inlineStr">
        <is>
          <t>PAID_ON_TIME</t>
        </is>
      </c>
      <c r="I4396">
        <f>IF(H4396="UNPAID", AsOfDate-D4396, 0)</f>
        <v/>
      </c>
      <c r="J4396">
        <f>IF(F4396&lt;&gt;"", TEXT(F4396, "yyyy-mm"), "")</f>
        <v/>
      </c>
    </row>
    <row r="4397">
      <c r="A4397" t="inlineStr">
        <is>
          <t>RP0004396</t>
        </is>
      </c>
      <c r="B4397" t="inlineStr">
        <is>
          <t>LN200626</t>
        </is>
      </c>
      <c r="C4397" t="n">
        <v>4</v>
      </c>
      <c r="D4397" s="8" t="n">
        <v>46126</v>
      </c>
      <c r="E4397" s="9" t="n">
        <v>8764.83</v>
      </c>
      <c r="F4397" s="8" t="n">
        <v>46126</v>
      </c>
      <c r="G4397" s="9" t="n">
        <v>8764.83</v>
      </c>
      <c r="H4397" t="inlineStr">
        <is>
          <t>PAID_ON_TIME</t>
        </is>
      </c>
      <c r="I4397">
        <f>IF(H4397="UNPAID", AsOfDate-D4397, 0)</f>
        <v/>
      </c>
      <c r="J4397">
        <f>IF(F4397&lt;&gt;"", TEXT(F4397, "yyyy-mm"), "")</f>
        <v/>
      </c>
    </row>
    <row r="4398">
      <c r="A4398" t="inlineStr">
        <is>
          <t>RP0004397</t>
        </is>
      </c>
      <c r="B4398" t="inlineStr">
        <is>
          <t>LN200626</t>
        </is>
      </c>
      <c r="C4398" t="n">
        <v>5</v>
      </c>
      <c r="D4398" s="8" t="n">
        <v>46156</v>
      </c>
      <c r="E4398" s="9" t="n">
        <v>8764.83</v>
      </c>
      <c r="F4398" s="8" t="n">
        <v>46153</v>
      </c>
      <c r="G4398" s="9" t="n">
        <v>8764.83</v>
      </c>
      <c r="H4398" t="inlineStr">
        <is>
          <t>PAID_ON_TIME</t>
        </is>
      </c>
      <c r="I4398">
        <f>IF(H4398="UNPAID", AsOfDate-D4398, 0)</f>
        <v/>
      </c>
      <c r="J4398">
        <f>IF(F4398&lt;&gt;"", TEXT(F4398, "yyyy-mm"), "")</f>
        <v/>
      </c>
    </row>
    <row r="4399">
      <c r="A4399" t="inlineStr">
        <is>
          <t>RP0004398</t>
        </is>
      </c>
      <c r="B4399" t="inlineStr">
        <is>
          <t>LN200626</t>
        </is>
      </c>
      <c r="C4399" t="n">
        <v>6</v>
      </c>
      <c r="D4399" s="8" t="n">
        <v>46187</v>
      </c>
      <c r="E4399" s="9" t="n">
        <v>8764.83</v>
      </c>
      <c r="F4399" s="8" t="n">
        <v>46187</v>
      </c>
      <c r="G4399" s="9" t="n">
        <v>8764.83</v>
      </c>
      <c r="H4399" t="inlineStr">
        <is>
          <t>PAID_ON_TIME</t>
        </is>
      </c>
      <c r="I4399">
        <f>IF(H4399="UNPAID", AsOfDate-D4399, 0)</f>
        <v/>
      </c>
      <c r="J4399">
        <f>IF(F4399&lt;&gt;"", TEXT(F4399, "yyyy-mm"), "")</f>
        <v/>
      </c>
    </row>
    <row r="4400">
      <c r="A4400" t="inlineStr">
        <is>
          <t>RP0004399</t>
        </is>
      </c>
      <c r="B4400" t="inlineStr">
        <is>
          <t>LN200626</t>
        </is>
      </c>
      <c r="C4400" t="n">
        <v>7</v>
      </c>
      <c r="D4400" s="8" t="n">
        <v>46217</v>
      </c>
      <c r="E4400" s="9" t="n">
        <v>8764.83</v>
      </c>
      <c r="F4400" s="8" t="n"/>
      <c r="G4400" s="9" t="n">
        <v>0</v>
      </c>
      <c r="H4400" t="inlineStr">
        <is>
          <t>UNPAID</t>
        </is>
      </c>
      <c r="I4400">
        <f>IF(H4400="UNPAID", AsOfDate-D4400, 0)</f>
        <v/>
      </c>
      <c r="J4400">
        <f>IF(F4400&lt;&gt;"", TEXT(F4400, "yyyy-mm"), "")</f>
        <v/>
      </c>
    </row>
    <row r="4401">
      <c r="A4401" t="inlineStr">
        <is>
          <t>RP0004400</t>
        </is>
      </c>
      <c r="B4401" t="inlineStr">
        <is>
          <t>LN200626</t>
        </is>
      </c>
      <c r="C4401" t="n">
        <v>8</v>
      </c>
      <c r="D4401" s="8" t="n">
        <v>46248</v>
      </c>
      <c r="E4401" s="9" t="n">
        <v>8764.83</v>
      </c>
      <c r="F4401" s="8" t="n">
        <v>46251</v>
      </c>
      <c r="G4401" s="9" t="n">
        <v>8764.83</v>
      </c>
      <c r="H4401" t="inlineStr">
        <is>
          <t>PAID_ON_TIME</t>
        </is>
      </c>
      <c r="I4401">
        <f>IF(H4401="UNPAID", AsOfDate-D4401, 0)</f>
        <v/>
      </c>
      <c r="J4401">
        <f>IF(F4401&lt;&gt;"", TEXT(F4401, "yyyy-mm"), "")</f>
        <v/>
      </c>
    </row>
    <row r="4402">
      <c r="A4402" t="inlineStr">
        <is>
          <t>RP0004401</t>
        </is>
      </c>
      <c r="B4402" t="inlineStr">
        <is>
          <t>LN200626</t>
        </is>
      </c>
      <c r="C4402" t="n">
        <v>9</v>
      </c>
      <c r="D4402" s="8" t="n">
        <v>46279</v>
      </c>
      <c r="E4402" s="9" t="n">
        <v>8764.83</v>
      </c>
      <c r="F4402" s="8" t="n"/>
      <c r="G4402" s="9" t="n">
        <v>0</v>
      </c>
      <c r="H4402" t="inlineStr">
        <is>
          <t>NOT_DUE</t>
        </is>
      </c>
      <c r="I4402">
        <f>IF(H4402="UNPAID", AsOfDate-D4402, 0)</f>
        <v/>
      </c>
      <c r="J4402">
        <f>IF(F4402&lt;&gt;"", TEXT(F4402, "yyyy-mm"), "")</f>
        <v/>
      </c>
    </row>
    <row r="4403">
      <c r="A4403" t="inlineStr">
        <is>
          <t>RP0004402</t>
        </is>
      </c>
      <c r="B4403" t="inlineStr">
        <is>
          <t>LN200626</t>
        </is>
      </c>
      <c r="C4403" t="n">
        <v>10</v>
      </c>
      <c r="D4403" s="8" t="n">
        <v>46309</v>
      </c>
      <c r="E4403" s="9" t="n">
        <v>8764.83</v>
      </c>
      <c r="F4403" s="8" t="n"/>
      <c r="G4403" s="9" t="n">
        <v>0</v>
      </c>
      <c r="H4403" t="inlineStr">
        <is>
          <t>NOT_DUE</t>
        </is>
      </c>
      <c r="I4403">
        <f>IF(H4403="UNPAID", AsOfDate-D4403, 0)</f>
        <v/>
      </c>
      <c r="J4403">
        <f>IF(F4403&lt;&gt;"", TEXT(F4403, "yyyy-mm"), "")</f>
        <v/>
      </c>
    </row>
    <row r="4404">
      <c r="A4404" t="inlineStr">
        <is>
          <t>RP0004403</t>
        </is>
      </c>
      <c r="B4404" t="inlineStr">
        <is>
          <t>LN200626</t>
        </is>
      </c>
      <c r="C4404" t="n">
        <v>11</v>
      </c>
      <c r="D4404" s="8" t="n">
        <v>46340</v>
      </c>
      <c r="E4404" s="9" t="n">
        <v>8764.83</v>
      </c>
      <c r="F4404" s="8" t="n"/>
      <c r="G4404" s="9" t="n">
        <v>0</v>
      </c>
      <c r="H4404" t="inlineStr">
        <is>
          <t>NOT_DUE</t>
        </is>
      </c>
      <c r="I4404">
        <f>IF(H4404="UNPAID", AsOfDate-D4404, 0)</f>
        <v/>
      </c>
      <c r="J4404">
        <f>IF(F4404&lt;&gt;"", TEXT(F4404, "yyyy-mm"), "")</f>
        <v/>
      </c>
    </row>
    <row r="4405">
      <c r="A4405" t="inlineStr">
        <is>
          <t>RP0004404</t>
        </is>
      </c>
      <c r="B4405" t="inlineStr">
        <is>
          <t>LN200626</t>
        </is>
      </c>
      <c r="C4405" t="n">
        <v>12</v>
      </c>
      <c r="D4405" s="8" t="n">
        <v>46370</v>
      </c>
      <c r="E4405" s="9" t="n">
        <v>8764.83</v>
      </c>
      <c r="F4405" s="8" t="n"/>
      <c r="G4405" s="9" t="n">
        <v>0</v>
      </c>
      <c r="H4405" t="inlineStr">
        <is>
          <t>NOT_DUE</t>
        </is>
      </c>
      <c r="I4405">
        <f>IF(H4405="UNPAID", AsOfDate-D4405, 0)</f>
        <v/>
      </c>
      <c r="J4405">
        <f>IF(F4405&lt;&gt;"", TEXT(F4405, "yyyy-mm"), "")</f>
        <v/>
      </c>
    </row>
    <row r="4406">
      <c r="A4406" t="inlineStr">
        <is>
          <t>RP0004405</t>
        </is>
      </c>
      <c r="B4406" t="inlineStr">
        <is>
          <t>LN200627</t>
        </is>
      </c>
      <c r="C4406" t="n">
        <v>1</v>
      </c>
      <c r="D4406" s="8" t="n">
        <v>46231</v>
      </c>
      <c r="E4406" s="9" t="n">
        <v>22375.5</v>
      </c>
      <c r="F4406" s="8" t="n"/>
      <c r="G4406" s="9" t="n">
        <v>0</v>
      </c>
      <c r="H4406" t="inlineStr">
        <is>
          <t>UNPAID</t>
        </is>
      </c>
      <c r="I4406">
        <f>IF(H4406="UNPAID", AsOfDate-D4406, 0)</f>
        <v/>
      </c>
      <c r="J4406">
        <f>IF(F4406&lt;&gt;"", TEXT(F4406, "yyyy-mm"), "")</f>
        <v/>
      </c>
    </row>
    <row r="4407">
      <c r="A4407" t="inlineStr">
        <is>
          <t>RP0004406</t>
        </is>
      </c>
      <c r="B4407" t="inlineStr">
        <is>
          <t>LN200627</t>
        </is>
      </c>
      <c r="C4407" t="n">
        <v>2</v>
      </c>
      <c r="D4407" s="8" t="n">
        <v>46262</v>
      </c>
      <c r="E4407" s="9" t="n">
        <v>22375.5</v>
      </c>
      <c r="F4407" s="8" t="n">
        <v>46265</v>
      </c>
      <c r="G4407" s="9" t="n">
        <v>22375.5</v>
      </c>
      <c r="H4407" t="inlineStr">
        <is>
          <t>PAID_ON_TIME</t>
        </is>
      </c>
      <c r="I4407">
        <f>IF(H4407="UNPAID", AsOfDate-D4407, 0)</f>
        <v/>
      </c>
      <c r="J4407">
        <f>IF(F4407&lt;&gt;"", TEXT(F4407, "yyyy-mm"), "")</f>
        <v/>
      </c>
    </row>
    <row r="4408">
      <c r="A4408" t="inlineStr">
        <is>
          <t>RP0004407</t>
        </is>
      </c>
      <c r="B4408" t="inlineStr">
        <is>
          <t>LN200627</t>
        </is>
      </c>
      <c r="C4408" t="n">
        <v>3</v>
      </c>
      <c r="D4408" s="8" t="n">
        <v>46293</v>
      </c>
      <c r="E4408" s="9" t="n">
        <v>22375.5</v>
      </c>
      <c r="F4408" s="8" t="n"/>
      <c r="G4408" s="9" t="n">
        <v>0</v>
      </c>
      <c r="H4408" t="inlineStr">
        <is>
          <t>NOT_DUE</t>
        </is>
      </c>
      <c r="I4408">
        <f>IF(H4408="UNPAID", AsOfDate-D4408, 0)</f>
        <v/>
      </c>
      <c r="J4408">
        <f>IF(F4408&lt;&gt;"", TEXT(F4408, "yyyy-mm"), "")</f>
        <v/>
      </c>
    </row>
    <row r="4409">
      <c r="A4409" t="inlineStr">
        <is>
          <t>RP0004408</t>
        </is>
      </c>
      <c r="B4409" t="inlineStr">
        <is>
          <t>LN200627</t>
        </is>
      </c>
      <c r="C4409" t="n">
        <v>4</v>
      </c>
      <c r="D4409" s="8" t="n">
        <v>46323</v>
      </c>
      <c r="E4409" s="9" t="n">
        <v>22375.5</v>
      </c>
      <c r="F4409" s="8" t="n"/>
      <c r="G4409" s="9" t="n">
        <v>0</v>
      </c>
      <c r="H4409" t="inlineStr">
        <is>
          <t>NOT_DUE</t>
        </is>
      </c>
      <c r="I4409">
        <f>IF(H4409="UNPAID", AsOfDate-D4409, 0)</f>
        <v/>
      </c>
      <c r="J4409">
        <f>IF(F4409&lt;&gt;"", TEXT(F4409, "yyyy-mm"), "")</f>
        <v/>
      </c>
    </row>
    <row r="4410">
      <c r="A4410" t="inlineStr">
        <is>
          <t>RP0004409</t>
        </is>
      </c>
      <c r="B4410" t="inlineStr">
        <is>
          <t>LN200627</t>
        </is>
      </c>
      <c r="C4410" t="n">
        <v>5</v>
      </c>
      <c r="D4410" s="8" t="n">
        <v>46354</v>
      </c>
      <c r="E4410" s="9" t="n">
        <v>22375.5</v>
      </c>
      <c r="F4410" s="8" t="n"/>
      <c r="G4410" s="9" t="n">
        <v>0</v>
      </c>
      <c r="H4410" t="inlineStr">
        <is>
          <t>NOT_DUE</t>
        </is>
      </c>
      <c r="I4410">
        <f>IF(H4410="UNPAID", AsOfDate-D4410, 0)</f>
        <v/>
      </c>
      <c r="J4410">
        <f>IF(F4410&lt;&gt;"", TEXT(F4410, "yyyy-mm"), "")</f>
        <v/>
      </c>
    </row>
    <row r="4411">
      <c r="A4411" t="inlineStr">
        <is>
          <t>RP0004410</t>
        </is>
      </c>
      <c r="B4411" t="inlineStr">
        <is>
          <t>LN200627</t>
        </is>
      </c>
      <c r="C4411" t="n">
        <v>6</v>
      </c>
      <c r="D4411" s="8" t="n">
        <v>46384</v>
      </c>
      <c r="E4411" s="9" t="n">
        <v>22375.5</v>
      </c>
      <c r="F4411" s="8" t="n"/>
      <c r="G4411" s="9" t="n">
        <v>0</v>
      </c>
      <c r="H4411" t="inlineStr">
        <is>
          <t>NOT_DUE</t>
        </is>
      </c>
      <c r="I4411">
        <f>IF(H4411="UNPAID", AsOfDate-D4411, 0)</f>
        <v/>
      </c>
      <c r="J4411">
        <f>IF(F4411&lt;&gt;"", TEXT(F4411, "yyyy-mm"), "")</f>
        <v/>
      </c>
    </row>
    <row r="4412">
      <c r="A4412" t="inlineStr">
        <is>
          <t>RP0004411</t>
        </is>
      </c>
      <c r="B4412" t="inlineStr">
        <is>
          <t>LN200628</t>
        </is>
      </c>
      <c r="C4412" t="n">
        <v>1</v>
      </c>
      <c r="D4412" s="8" t="n">
        <v>46113</v>
      </c>
      <c r="E4412" s="9" t="n">
        <v>64317.36</v>
      </c>
      <c r="F4412" s="8" t="n">
        <v>46114</v>
      </c>
      <c r="G4412" s="9" t="n">
        <v>64317.36</v>
      </c>
      <c r="H4412" t="inlineStr">
        <is>
          <t>PAID_ON_TIME</t>
        </is>
      </c>
      <c r="I4412">
        <f>IF(H4412="UNPAID", AsOfDate-D4412, 0)</f>
        <v/>
      </c>
      <c r="J4412">
        <f>IF(F4412&lt;&gt;"", TEXT(F4412, "yyyy-mm"), "")</f>
        <v/>
      </c>
    </row>
    <row r="4413">
      <c r="A4413" t="inlineStr">
        <is>
          <t>RP0004412</t>
        </is>
      </c>
      <c r="B4413" t="inlineStr">
        <is>
          <t>LN200628</t>
        </is>
      </c>
      <c r="C4413" t="n">
        <v>2</v>
      </c>
      <c r="D4413" s="8" t="n">
        <v>46143</v>
      </c>
      <c r="E4413" s="9" t="n">
        <v>64317.36</v>
      </c>
      <c r="F4413" s="8" t="n">
        <v>46144</v>
      </c>
      <c r="G4413" s="9" t="n">
        <v>64317.36</v>
      </c>
      <c r="H4413" t="inlineStr">
        <is>
          <t>PAID_ON_TIME</t>
        </is>
      </c>
      <c r="I4413">
        <f>IF(H4413="UNPAID", AsOfDate-D4413, 0)</f>
        <v/>
      </c>
      <c r="J4413">
        <f>IF(F4413&lt;&gt;"", TEXT(F4413, "yyyy-mm"), "")</f>
        <v/>
      </c>
    </row>
    <row r="4414">
      <c r="A4414" t="inlineStr">
        <is>
          <t>RP0004413</t>
        </is>
      </c>
      <c r="B4414" t="inlineStr">
        <is>
          <t>LN200628</t>
        </is>
      </c>
      <c r="C4414" t="n">
        <v>3</v>
      </c>
      <c r="D4414" s="8" t="n">
        <v>46174</v>
      </c>
      <c r="E4414" s="9" t="n">
        <v>64317.36</v>
      </c>
      <c r="F4414" s="8" t="n">
        <v>46174</v>
      </c>
      <c r="G4414" s="9" t="n">
        <v>64317.36</v>
      </c>
      <c r="H4414" t="inlineStr">
        <is>
          <t>PAID_ON_TIME</t>
        </is>
      </c>
      <c r="I4414">
        <f>IF(H4414="UNPAID", AsOfDate-D4414, 0)</f>
        <v/>
      </c>
      <c r="J4414">
        <f>IF(F4414&lt;&gt;"", TEXT(F4414, "yyyy-mm"), "")</f>
        <v/>
      </c>
    </row>
    <row r="4415">
      <c r="A4415" t="inlineStr">
        <is>
          <t>RP0004414</t>
        </is>
      </c>
      <c r="B4415" t="inlineStr">
        <is>
          <t>LN200628</t>
        </is>
      </c>
      <c r="C4415" t="n">
        <v>4</v>
      </c>
      <c r="D4415" s="8" t="n">
        <v>46204</v>
      </c>
      <c r="E4415" s="9" t="n">
        <v>64317.36</v>
      </c>
      <c r="F4415" s="8" t="n">
        <v>46203</v>
      </c>
      <c r="G4415" s="9" t="n">
        <v>64317.36</v>
      </c>
      <c r="H4415" t="inlineStr">
        <is>
          <t>PAID_ON_TIME</t>
        </is>
      </c>
      <c r="I4415">
        <f>IF(H4415="UNPAID", AsOfDate-D4415, 0)</f>
        <v/>
      </c>
      <c r="J4415">
        <f>IF(F4415&lt;&gt;"", TEXT(F4415, "yyyy-mm"), "")</f>
        <v/>
      </c>
    </row>
    <row r="4416">
      <c r="A4416" t="inlineStr">
        <is>
          <t>RP0004415</t>
        </is>
      </c>
      <c r="B4416" t="inlineStr">
        <is>
          <t>LN200628</t>
        </is>
      </c>
      <c r="C4416" t="n">
        <v>5</v>
      </c>
      <c r="D4416" s="8" t="n">
        <v>46235</v>
      </c>
      <c r="E4416" s="9" t="n">
        <v>64317.36</v>
      </c>
      <c r="F4416" s="8" t="n">
        <v>46259</v>
      </c>
      <c r="G4416" s="9" t="n">
        <v>64317.36</v>
      </c>
      <c r="H4416" t="inlineStr">
        <is>
          <t>PAID_LATE</t>
        </is>
      </c>
      <c r="I4416">
        <f>IF(H4416="UNPAID", AsOfDate-D4416, 0)</f>
        <v/>
      </c>
      <c r="J4416">
        <f>IF(F4416&lt;&gt;"", TEXT(F4416, "yyyy-mm"), "")</f>
        <v/>
      </c>
    </row>
    <row r="4417">
      <c r="A4417" t="inlineStr">
        <is>
          <t>RP0004416</t>
        </is>
      </c>
      <c r="B4417" t="inlineStr">
        <is>
          <t>LN200628</t>
        </is>
      </c>
      <c r="C4417" t="n">
        <v>6</v>
      </c>
      <c r="D4417" s="8" t="n">
        <v>46266</v>
      </c>
      <c r="E4417" s="9" t="n">
        <v>64317.36</v>
      </c>
      <c r="F4417" s="8" t="n">
        <v>46270</v>
      </c>
      <c r="G4417" s="9" t="n">
        <v>64317.36</v>
      </c>
      <c r="H4417" t="inlineStr">
        <is>
          <t>PAID_ON_TIME</t>
        </is>
      </c>
      <c r="I4417">
        <f>IF(H4417="UNPAID", AsOfDate-D4417, 0)</f>
        <v/>
      </c>
      <c r="J4417">
        <f>IF(F4417&lt;&gt;"", TEXT(F4417, "yyyy-mm"), "")</f>
        <v/>
      </c>
    </row>
    <row r="4418">
      <c r="A4418" t="inlineStr">
        <is>
          <t>RP0004417</t>
        </is>
      </c>
      <c r="B4418" t="inlineStr">
        <is>
          <t>LN200628</t>
        </is>
      </c>
      <c r="C4418" t="n">
        <v>7</v>
      </c>
      <c r="D4418" s="8" t="n">
        <v>46296</v>
      </c>
      <c r="E4418" s="9" t="n">
        <v>64317.36</v>
      </c>
      <c r="F4418" s="8" t="n"/>
      <c r="G4418" s="9" t="n">
        <v>0</v>
      </c>
      <c r="H4418" t="inlineStr">
        <is>
          <t>NOT_DUE</t>
        </is>
      </c>
      <c r="I4418">
        <f>IF(H4418="UNPAID", AsOfDate-D4418, 0)</f>
        <v/>
      </c>
      <c r="J4418">
        <f>IF(F4418&lt;&gt;"", TEXT(F4418, "yyyy-mm"), "")</f>
        <v/>
      </c>
    </row>
    <row r="4419">
      <c r="A4419" t="inlineStr">
        <is>
          <t>RP0004418</t>
        </is>
      </c>
      <c r="B4419" t="inlineStr">
        <is>
          <t>LN200628</t>
        </is>
      </c>
      <c r="C4419" t="n">
        <v>8</v>
      </c>
      <c r="D4419" s="8" t="n">
        <v>46327</v>
      </c>
      <c r="E4419" s="9" t="n">
        <v>64317.36</v>
      </c>
      <c r="F4419" s="8" t="n"/>
      <c r="G4419" s="9" t="n">
        <v>0</v>
      </c>
      <c r="H4419" t="inlineStr">
        <is>
          <t>NOT_DUE</t>
        </is>
      </c>
      <c r="I4419">
        <f>IF(H4419="UNPAID", AsOfDate-D4419, 0)</f>
        <v/>
      </c>
      <c r="J4419">
        <f>IF(F4419&lt;&gt;"", TEXT(F4419, "yyyy-mm"), "")</f>
        <v/>
      </c>
    </row>
    <row r="4420">
      <c r="A4420" t="inlineStr">
        <is>
          <t>RP0004419</t>
        </is>
      </c>
      <c r="B4420" t="inlineStr">
        <is>
          <t>LN200628</t>
        </is>
      </c>
      <c r="C4420" t="n">
        <v>9</v>
      </c>
      <c r="D4420" s="8" t="n">
        <v>46357</v>
      </c>
      <c r="E4420" s="9" t="n">
        <v>64317.36</v>
      </c>
      <c r="F4420" s="8" t="n"/>
      <c r="G4420" s="9" t="n">
        <v>0</v>
      </c>
      <c r="H4420" t="inlineStr">
        <is>
          <t>NOT_DUE</t>
        </is>
      </c>
      <c r="I4420">
        <f>IF(H4420="UNPAID", AsOfDate-D4420, 0)</f>
        <v/>
      </c>
      <c r="J4420">
        <f>IF(F4420&lt;&gt;"", TEXT(F4420, "yyyy-mm"), "")</f>
        <v/>
      </c>
    </row>
    <row r="4421">
      <c r="A4421" t="inlineStr">
        <is>
          <t>RP0004420</t>
        </is>
      </c>
      <c r="B4421" t="inlineStr">
        <is>
          <t>LN200629</t>
        </is>
      </c>
      <c r="C4421" t="n">
        <v>1</v>
      </c>
      <c r="D4421" s="8" t="n">
        <v>45871</v>
      </c>
      <c r="E4421" s="9" t="n">
        <v>31976.5</v>
      </c>
      <c r="F4421" s="8" t="n">
        <v>45871</v>
      </c>
      <c r="G4421" s="9" t="n">
        <v>31976.5</v>
      </c>
      <c r="H4421" t="inlineStr">
        <is>
          <t>PAID_ON_TIME</t>
        </is>
      </c>
      <c r="I4421">
        <f>IF(H4421="UNPAID", AsOfDate-D4421, 0)</f>
        <v/>
      </c>
      <c r="J4421">
        <f>IF(F4421&lt;&gt;"", TEXT(F4421, "yyyy-mm"), "")</f>
        <v/>
      </c>
    </row>
    <row r="4422">
      <c r="A4422" t="inlineStr">
        <is>
          <t>RP0004421</t>
        </is>
      </c>
      <c r="B4422" t="inlineStr">
        <is>
          <t>LN200629</t>
        </is>
      </c>
      <c r="C4422" t="n">
        <v>2</v>
      </c>
      <c r="D4422" s="8" t="n">
        <v>45902</v>
      </c>
      <c r="E4422" s="9" t="n">
        <v>31976.5</v>
      </c>
      <c r="F4422" s="8" t="n">
        <v>45902</v>
      </c>
      <c r="G4422" s="9" t="n">
        <v>31976.5</v>
      </c>
      <c r="H4422" t="inlineStr">
        <is>
          <t>PAID_ON_TIME</t>
        </is>
      </c>
      <c r="I4422">
        <f>IF(H4422="UNPAID", AsOfDate-D4422, 0)</f>
        <v/>
      </c>
      <c r="J4422">
        <f>IF(F4422&lt;&gt;"", TEXT(F4422, "yyyy-mm"), "")</f>
        <v/>
      </c>
    </row>
    <row r="4423">
      <c r="A4423" t="inlineStr">
        <is>
          <t>RP0004422</t>
        </is>
      </c>
      <c r="B4423" t="inlineStr">
        <is>
          <t>LN200629</t>
        </is>
      </c>
      <c r="C4423" t="n">
        <v>3</v>
      </c>
      <c r="D4423" s="8" t="n">
        <v>45932</v>
      </c>
      <c r="E4423" s="9" t="n">
        <v>31976.5</v>
      </c>
      <c r="F4423" s="8" t="n">
        <v>45934</v>
      </c>
      <c r="G4423" s="9" t="n">
        <v>31976.5</v>
      </c>
      <c r="H4423" t="inlineStr">
        <is>
          <t>PAID_ON_TIME</t>
        </is>
      </c>
      <c r="I4423">
        <f>IF(H4423="UNPAID", AsOfDate-D4423, 0)</f>
        <v/>
      </c>
      <c r="J4423">
        <f>IF(F4423&lt;&gt;"", TEXT(F4423, "yyyy-mm"), "")</f>
        <v/>
      </c>
    </row>
    <row r="4424">
      <c r="A4424" t="inlineStr">
        <is>
          <t>RP0004423</t>
        </is>
      </c>
      <c r="B4424" t="inlineStr">
        <is>
          <t>LN200630</t>
        </is>
      </c>
      <c r="C4424" t="n">
        <v>1</v>
      </c>
      <c r="D4424" s="8" t="n">
        <v>46101</v>
      </c>
      <c r="E4424" s="9" t="n">
        <v>34683.33</v>
      </c>
      <c r="F4424" s="8" t="n">
        <v>46104</v>
      </c>
      <c r="G4424" s="9" t="n">
        <v>34683.33</v>
      </c>
      <c r="H4424" t="inlineStr">
        <is>
          <t>PAID_ON_TIME</t>
        </is>
      </c>
      <c r="I4424">
        <f>IF(H4424="UNPAID", AsOfDate-D4424, 0)</f>
        <v/>
      </c>
      <c r="J4424">
        <f>IF(F4424&lt;&gt;"", TEXT(F4424, "yyyy-mm"), "")</f>
        <v/>
      </c>
    </row>
    <row r="4425">
      <c r="A4425" t="inlineStr">
        <is>
          <t>RP0004424</t>
        </is>
      </c>
      <c r="B4425" t="inlineStr">
        <is>
          <t>LN200630</t>
        </is>
      </c>
      <c r="C4425" t="n">
        <v>2</v>
      </c>
      <c r="D4425" s="8" t="n">
        <v>46132</v>
      </c>
      <c r="E4425" s="9" t="n">
        <v>34683.33</v>
      </c>
      <c r="F4425" s="8" t="n">
        <v>46133</v>
      </c>
      <c r="G4425" s="9" t="n">
        <v>34683.33</v>
      </c>
      <c r="H4425" t="inlineStr">
        <is>
          <t>PAID_ON_TIME</t>
        </is>
      </c>
      <c r="I4425">
        <f>IF(H4425="UNPAID", AsOfDate-D4425, 0)</f>
        <v/>
      </c>
      <c r="J4425">
        <f>IF(F4425&lt;&gt;"", TEXT(F4425, "yyyy-mm"), "")</f>
        <v/>
      </c>
    </row>
    <row r="4426">
      <c r="A4426" t="inlineStr">
        <is>
          <t>RP0004425</t>
        </is>
      </c>
      <c r="B4426" t="inlineStr">
        <is>
          <t>LN200630</t>
        </is>
      </c>
      <c r="C4426" t="n">
        <v>3</v>
      </c>
      <c r="D4426" s="8" t="n">
        <v>46162</v>
      </c>
      <c r="E4426" s="9" t="n">
        <v>34683.33</v>
      </c>
      <c r="F4426" s="8" t="n">
        <v>46165</v>
      </c>
      <c r="G4426" s="9" t="n">
        <v>34683.33</v>
      </c>
      <c r="H4426" t="inlineStr">
        <is>
          <t>PAID_ON_TIME</t>
        </is>
      </c>
      <c r="I4426">
        <f>IF(H4426="UNPAID", AsOfDate-D4426, 0)</f>
        <v/>
      </c>
      <c r="J4426">
        <f>IF(F4426&lt;&gt;"", TEXT(F4426, "yyyy-mm"), "")</f>
        <v/>
      </c>
    </row>
    <row r="4427">
      <c r="A4427" t="inlineStr">
        <is>
          <t>RP0004426</t>
        </is>
      </c>
      <c r="B4427" t="inlineStr">
        <is>
          <t>LN200631</t>
        </is>
      </c>
      <c r="C4427" t="n">
        <v>1</v>
      </c>
      <c r="D4427" s="8" t="n">
        <v>45990</v>
      </c>
      <c r="E4427" s="9" t="n">
        <v>5191</v>
      </c>
      <c r="F4427" s="8" t="n">
        <v>46049</v>
      </c>
      <c r="G4427" s="9" t="n">
        <v>5191</v>
      </c>
      <c r="H4427" t="inlineStr">
        <is>
          <t>PAID_LATE</t>
        </is>
      </c>
      <c r="I4427">
        <f>IF(H4427="UNPAID", AsOfDate-D4427, 0)</f>
        <v/>
      </c>
      <c r="J4427">
        <f>IF(F4427&lt;&gt;"", TEXT(F4427, "yyyy-mm"), "")</f>
        <v/>
      </c>
    </row>
    <row r="4428">
      <c r="A4428" t="inlineStr">
        <is>
          <t>RP0004427</t>
        </is>
      </c>
      <c r="B4428" t="inlineStr">
        <is>
          <t>LN200631</t>
        </is>
      </c>
      <c r="C4428" t="n">
        <v>2</v>
      </c>
      <c r="D4428" s="8" t="n">
        <v>46020</v>
      </c>
      <c r="E4428" s="9" t="n">
        <v>5191</v>
      </c>
      <c r="F4428" s="8" t="n">
        <v>46022</v>
      </c>
      <c r="G4428" s="9" t="n">
        <v>5191</v>
      </c>
      <c r="H4428" t="inlineStr">
        <is>
          <t>PAID_ON_TIME</t>
        </is>
      </c>
      <c r="I4428">
        <f>IF(H4428="UNPAID", AsOfDate-D4428, 0)</f>
        <v/>
      </c>
      <c r="J4428">
        <f>IF(F4428&lt;&gt;"", TEXT(F4428, "yyyy-mm"), "")</f>
        <v/>
      </c>
    </row>
    <row r="4429">
      <c r="A4429" t="inlineStr">
        <is>
          <t>RP0004428</t>
        </is>
      </c>
      <c r="B4429" t="inlineStr">
        <is>
          <t>LN200631</t>
        </is>
      </c>
      <c r="C4429" t="n">
        <v>3</v>
      </c>
      <c r="D4429" s="8" t="n">
        <v>46051</v>
      </c>
      <c r="E4429" s="9" t="n">
        <v>5191</v>
      </c>
      <c r="F4429" s="8" t="n"/>
      <c r="G4429" s="9" t="n">
        <v>0</v>
      </c>
      <c r="H4429" t="inlineStr">
        <is>
          <t>UNPAID</t>
        </is>
      </c>
      <c r="I4429">
        <f>IF(H4429="UNPAID", AsOfDate-D4429, 0)</f>
        <v/>
      </c>
      <c r="J4429">
        <f>IF(F4429&lt;&gt;"", TEXT(F4429, "yyyy-mm"), "")</f>
        <v/>
      </c>
    </row>
    <row r="4430">
      <c r="A4430" t="inlineStr">
        <is>
          <t>RP0004429</t>
        </is>
      </c>
      <c r="B4430" t="inlineStr">
        <is>
          <t>LN200631</t>
        </is>
      </c>
      <c r="C4430" t="n">
        <v>4</v>
      </c>
      <c r="D4430" s="8" t="n">
        <v>46081</v>
      </c>
      <c r="E4430" s="9" t="n">
        <v>5191</v>
      </c>
      <c r="F4430" s="8" t="n">
        <v>46083</v>
      </c>
      <c r="G4430" s="9" t="n">
        <v>5191</v>
      </c>
      <c r="H4430" t="inlineStr">
        <is>
          <t>PAID_ON_TIME</t>
        </is>
      </c>
      <c r="I4430">
        <f>IF(H4430="UNPAID", AsOfDate-D4430, 0)</f>
        <v/>
      </c>
      <c r="J4430">
        <f>IF(F4430&lt;&gt;"", TEXT(F4430, "yyyy-mm"), "")</f>
        <v/>
      </c>
    </row>
    <row r="4431">
      <c r="A4431" t="inlineStr">
        <is>
          <t>RP0004430</t>
        </is>
      </c>
      <c r="B4431" t="inlineStr">
        <is>
          <t>LN200631</t>
        </is>
      </c>
      <c r="C4431" t="n">
        <v>5</v>
      </c>
      <c r="D4431" s="8" t="n">
        <v>46110</v>
      </c>
      <c r="E4431" s="9" t="n">
        <v>5191</v>
      </c>
      <c r="F4431" s="8" t="n">
        <v>46107</v>
      </c>
      <c r="G4431" s="9" t="n">
        <v>5191</v>
      </c>
      <c r="H4431" t="inlineStr">
        <is>
          <t>PAID_ON_TIME</t>
        </is>
      </c>
      <c r="I4431">
        <f>IF(H4431="UNPAID", AsOfDate-D4431, 0)</f>
        <v/>
      </c>
      <c r="J4431">
        <f>IF(F4431&lt;&gt;"", TEXT(F4431, "yyyy-mm"), "")</f>
        <v/>
      </c>
    </row>
    <row r="4432">
      <c r="A4432" t="inlineStr">
        <is>
          <t>RP0004431</t>
        </is>
      </c>
      <c r="B4432" t="inlineStr">
        <is>
          <t>LN200631</t>
        </is>
      </c>
      <c r="C4432" t="n">
        <v>6</v>
      </c>
      <c r="D4432" s="8" t="n">
        <v>46141</v>
      </c>
      <c r="E4432" s="9" t="n">
        <v>5191</v>
      </c>
      <c r="F4432" s="8" t="n">
        <v>46140</v>
      </c>
      <c r="G4432" s="9" t="n">
        <v>5191</v>
      </c>
      <c r="H4432" t="inlineStr">
        <is>
          <t>PAID_ON_TIME</t>
        </is>
      </c>
      <c r="I4432">
        <f>IF(H4432="UNPAID", AsOfDate-D4432, 0)</f>
        <v/>
      </c>
      <c r="J4432">
        <f>IF(F4432&lt;&gt;"", TEXT(F4432, "yyyy-mm"), "")</f>
        <v/>
      </c>
    </row>
    <row r="4433">
      <c r="A4433" t="inlineStr">
        <is>
          <t>RP0004432</t>
        </is>
      </c>
      <c r="B4433" t="inlineStr">
        <is>
          <t>LN200632</t>
        </is>
      </c>
      <c r="C4433" t="n">
        <v>1</v>
      </c>
      <c r="D4433" s="8" t="n">
        <v>45924</v>
      </c>
      <c r="E4433" s="9" t="n">
        <v>9508.440000000001</v>
      </c>
      <c r="F4433" s="8" t="n">
        <v>45926</v>
      </c>
      <c r="G4433" s="9" t="n">
        <v>9508.440000000001</v>
      </c>
      <c r="H4433" t="inlineStr">
        <is>
          <t>PAID_ON_TIME</t>
        </is>
      </c>
      <c r="I4433">
        <f>IF(H4433="UNPAID", AsOfDate-D4433, 0)</f>
        <v/>
      </c>
      <c r="J4433">
        <f>IF(F4433&lt;&gt;"", TEXT(F4433, "yyyy-mm"), "")</f>
        <v/>
      </c>
    </row>
    <row r="4434">
      <c r="A4434" t="inlineStr">
        <is>
          <t>RP0004433</t>
        </is>
      </c>
      <c r="B4434" t="inlineStr">
        <is>
          <t>LN200632</t>
        </is>
      </c>
      <c r="C4434" t="n">
        <v>2</v>
      </c>
      <c r="D4434" s="8" t="n">
        <v>45954</v>
      </c>
      <c r="E4434" s="9" t="n">
        <v>9508.440000000001</v>
      </c>
      <c r="F4434" s="8" t="n">
        <v>45958</v>
      </c>
      <c r="G4434" s="9" t="n">
        <v>9508.440000000001</v>
      </c>
      <c r="H4434" t="inlineStr">
        <is>
          <t>PAID_ON_TIME</t>
        </is>
      </c>
      <c r="I4434">
        <f>IF(H4434="UNPAID", AsOfDate-D4434, 0)</f>
        <v/>
      </c>
      <c r="J4434">
        <f>IF(F4434&lt;&gt;"", TEXT(F4434, "yyyy-mm"), "")</f>
        <v/>
      </c>
    </row>
    <row r="4435">
      <c r="A4435" t="inlineStr">
        <is>
          <t>RP0004434</t>
        </is>
      </c>
      <c r="B4435" t="inlineStr">
        <is>
          <t>LN200632</t>
        </is>
      </c>
      <c r="C4435" t="n">
        <v>3</v>
      </c>
      <c r="D4435" s="8" t="n">
        <v>45985</v>
      </c>
      <c r="E4435" s="9" t="n">
        <v>9508.440000000001</v>
      </c>
      <c r="F4435" s="8" t="n">
        <v>45985</v>
      </c>
      <c r="G4435" s="9" t="n">
        <v>9508.440000000001</v>
      </c>
      <c r="H4435" t="inlineStr">
        <is>
          <t>PAID_ON_TIME</t>
        </is>
      </c>
      <c r="I4435">
        <f>IF(H4435="UNPAID", AsOfDate-D4435, 0)</f>
        <v/>
      </c>
      <c r="J4435">
        <f>IF(F4435&lt;&gt;"", TEXT(F4435, "yyyy-mm"), "")</f>
        <v/>
      </c>
    </row>
    <row r="4436">
      <c r="A4436" t="inlineStr">
        <is>
          <t>RP0004435</t>
        </is>
      </c>
      <c r="B4436" t="inlineStr">
        <is>
          <t>LN200632</t>
        </is>
      </c>
      <c r="C4436" t="n">
        <v>4</v>
      </c>
      <c r="D4436" s="8" t="n">
        <v>46015</v>
      </c>
      <c r="E4436" s="9" t="n">
        <v>9508.440000000001</v>
      </c>
      <c r="F4436" s="8" t="n">
        <v>46012</v>
      </c>
      <c r="G4436" s="9" t="n">
        <v>9508.440000000001</v>
      </c>
      <c r="H4436" t="inlineStr">
        <is>
          <t>PAID_ON_TIME</t>
        </is>
      </c>
      <c r="I4436">
        <f>IF(H4436="UNPAID", AsOfDate-D4436, 0)</f>
        <v/>
      </c>
      <c r="J4436">
        <f>IF(F4436&lt;&gt;"", TEXT(F4436, "yyyy-mm"), "")</f>
        <v/>
      </c>
    </row>
    <row r="4437">
      <c r="A4437" t="inlineStr">
        <is>
          <t>RP0004436</t>
        </is>
      </c>
      <c r="B4437" t="inlineStr">
        <is>
          <t>LN200632</t>
        </is>
      </c>
      <c r="C4437" t="n">
        <v>5</v>
      </c>
      <c r="D4437" s="8" t="n">
        <v>46046</v>
      </c>
      <c r="E4437" s="9" t="n">
        <v>9508.440000000001</v>
      </c>
      <c r="F4437" s="8" t="n">
        <v>46088</v>
      </c>
      <c r="G4437" s="9" t="n">
        <v>9508.440000000001</v>
      </c>
      <c r="H4437" t="inlineStr">
        <is>
          <t>PAID_LATE</t>
        </is>
      </c>
      <c r="I4437">
        <f>IF(H4437="UNPAID", AsOfDate-D4437, 0)</f>
        <v/>
      </c>
      <c r="J4437">
        <f>IF(F4437&lt;&gt;"", TEXT(F4437, "yyyy-mm"), "")</f>
        <v/>
      </c>
    </row>
    <row r="4438">
      <c r="A4438" t="inlineStr">
        <is>
          <t>RP0004437</t>
        </is>
      </c>
      <c r="B4438" t="inlineStr">
        <is>
          <t>LN200632</t>
        </is>
      </c>
      <c r="C4438" t="n">
        <v>6</v>
      </c>
      <c r="D4438" s="8" t="n">
        <v>46077</v>
      </c>
      <c r="E4438" s="9" t="n">
        <v>9508.440000000001</v>
      </c>
      <c r="F4438" s="8" t="n">
        <v>46081</v>
      </c>
      <c r="G4438" s="9" t="n">
        <v>9508.440000000001</v>
      </c>
      <c r="H4438" t="inlineStr">
        <is>
          <t>PAID_ON_TIME</t>
        </is>
      </c>
      <c r="I4438">
        <f>IF(H4438="UNPAID", AsOfDate-D4438, 0)</f>
        <v/>
      </c>
      <c r="J4438">
        <f>IF(F4438&lt;&gt;"", TEXT(F4438, "yyyy-mm"), "")</f>
        <v/>
      </c>
    </row>
    <row r="4439">
      <c r="A4439" t="inlineStr">
        <is>
          <t>RP0004438</t>
        </is>
      </c>
      <c r="B4439" t="inlineStr">
        <is>
          <t>LN200632</t>
        </is>
      </c>
      <c r="C4439" t="n">
        <v>7</v>
      </c>
      <c r="D4439" s="8" t="n">
        <v>46105</v>
      </c>
      <c r="E4439" s="9" t="n">
        <v>9508.440000000001</v>
      </c>
      <c r="F4439" s="8" t="n">
        <v>46173</v>
      </c>
      <c r="G4439" s="9" t="n">
        <v>9508.440000000001</v>
      </c>
      <c r="H4439" t="inlineStr">
        <is>
          <t>PAID_LATE</t>
        </is>
      </c>
      <c r="I4439">
        <f>IF(H4439="UNPAID", AsOfDate-D4439, 0)</f>
        <v/>
      </c>
      <c r="J4439">
        <f>IF(F4439&lt;&gt;"", TEXT(F4439, "yyyy-mm"), "")</f>
        <v/>
      </c>
    </row>
    <row r="4440">
      <c r="A4440" t="inlineStr">
        <is>
          <t>RP0004439</t>
        </is>
      </c>
      <c r="B4440" t="inlineStr">
        <is>
          <t>LN200632</t>
        </is>
      </c>
      <c r="C4440" t="n">
        <v>8</v>
      </c>
      <c r="D4440" s="8" t="n">
        <v>46136</v>
      </c>
      <c r="E4440" s="9" t="n">
        <v>9508.440000000001</v>
      </c>
      <c r="F4440" s="8" t="n">
        <v>46138</v>
      </c>
      <c r="G4440" s="9" t="n">
        <v>9508.440000000001</v>
      </c>
      <c r="H4440" t="inlineStr">
        <is>
          <t>PAID_ON_TIME</t>
        </is>
      </c>
      <c r="I4440">
        <f>IF(H4440="UNPAID", AsOfDate-D4440, 0)</f>
        <v/>
      </c>
      <c r="J4440">
        <f>IF(F4440&lt;&gt;"", TEXT(F4440, "yyyy-mm"), "")</f>
        <v/>
      </c>
    </row>
    <row r="4441">
      <c r="A4441" t="inlineStr">
        <is>
          <t>RP0004440</t>
        </is>
      </c>
      <c r="B4441" t="inlineStr">
        <is>
          <t>LN200632</t>
        </is>
      </c>
      <c r="C4441" t="n">
        <v>9</v>
      </c>
      <c r="D4441" s="8" t="n">
        <v>46166</v>
      </c>
      <c r="E4441" s="9" t="n">
        <v>9508.440000000001</v>
      </c>
      <c r="F4441" s="8" t="n">
        <v>46165</v>
      </c>
      <c r="G4441" s="9" t="n">
        <v>9508.440000000001</v>
      </c>
      <c r="H4441" t="inlineStr">
        <is>
          <t>PAID_ON_TIME</t>
        </is>
      </c>
      <c r="I4441">
        <f>IF(H4441="UNPAID", AsOfDate-D4441, 0)</f>
        <v/>
      </c>
      <c r="J4441">
        <f>IF(F4441&lt;&gt;"", TEXT(F4441, "yyyy-mm"), "")</f>
        <v/>
      </c>
    </row>
    <row r="4442">
      <c r="A4442" t="inlineStr">
        <is>
          <t>RP0004441</t>
        </is>
      </c>
      <c r="B4442" t="inlineStr">
        <is>
          <t>LN200633</t>
        </is>
      </c>
      <c r="C4442" t="n">
        <v>1</v>
      </c>
      <c r="D4442" s="8" t="n">
        <v>46250</v>
      </c>
      <c r="E4442" s="9" t="n">
        <v>32296.83</v>
      </c>
      <c r="F4442" s="8" t="n">
        <v>46248</v>
      </c>
      <c r="G4442" s="9" t="n">
        <v>32296.83</v>
      </c>
      <c r="H4442" t="inlineStr">
        <is>
          <t>PAID_ON_TIME</t>
        </is>
      </c>
      <c r="I4442">
        <f>IF(H4442="UNPAID", AsOfDate-D4442, 0)</f>
        <v/>
      </c>
      <c r="J4442">
        <f>IF(F4442&lt;&gt;"", TEXT(F4442, "yyyy-mm"), "")</f>
        <v/>
      </c>
    </row>
    <row r="4443">
      <c r="A4443" t="inlineStr">
        <is>
          <t>RP0004442</t>
        </is>
      </c>
      <c r="B4443" t="inlineStr">
        <is>
          <t>LN200633</t>
        </is>
      </c>
      <c r="C4443" t="n">
        <v>2</v>
      </c>
      <c r="D4443" s="8" t="n">
        <v>46281</v>
      </c>
      <c r="E4443" s="9" t="n">
        <v>32296.83</v>
      </c>
      <c r="F4443" s="8" t="n"/>
      <c r="G4443" s="9" t="n">
        <v>0</v>
      </c>
      <c r="H4443" t="inlineStr">
        <is>
          <t>NOT_DUE</t>
        </is>
      </c>
      <c r="I4443">
        <f>IF(H4443="UNPAID", AsOfDate-D4443, 0)</f>
        <v/>
      </c>
      <c r="J4443">
        <f>IF(F4443&lt;&gt;"", TEXT(F4443, "yyyy-mm"), "")</f>
        <v/>
      </c>
    </row>
    <row r="4444">
      <c r="A4444" t="inlineStr">
        <is>
          <t>RP0004443</t>
        </is>
      </c>
      <c r="B4444" t="inlineStr">
        <is>
          <t>LN200633</t>
        </is>
      </c>
      <c r="C4444" t="n">
        <v>3</v>
      </c>
      <c r="D4444" s="8" t="n">
        <v>46311</v>
      </c>
      <c r="E4444" s="9" t="n">
        <v>32296.83</v>
      </c>
      <c r="F4444" s="8" t="n"/>
      <c r="G4444" s="9" t="n">
        <v>0</v>
      </c>
      <c r="H4444" t="inlineStr">
        <is>
          <t>NOT_DUE</t>
        </is>
      </c>
      <c r="I4444">
        <f>IF(H4444="UNPAID", AsOfDate-D4444, 0)</f>
        <v/>
      </c>
      <c r="J4444">
        <f>IF(F4444&lt;&gt;"", TEXT(F4444, "yyyy-mm"), "")</f>
        <v/>
      </c>
    </row>
    <row r="4445">
      <c r="A4445" t="inlineStr">
        <is>
          <t>RP0004444</t>
        </is>
      </c>
      <c r="B4445" t="inlineStr">
        <is>
          <t>LN200634</t>
        </is>
      </c>
      <c r="C4445" t="n">
        <v>1</v>
      </c>
      <c r="D4445" s="8" t="n">
        <v>46245</v>
      </c>
      <c r="E4445" s="9" t="n">
        <v>27966</v>
      </c>
      <c r="F4445" s="8" t="n">
        <v>46242</v>
      </c>
      <c r="G4445" s="9" t="n">
        <v>27966</v>
      </c>
      <c r="H4445" t="inlineStr">
        <is>
          <t>PAID_ON_TIME</t>
        </is>
      </c>
      <c r="I4445">
        <f>IF(H4445="UNPAID", AsOfDate-D4445, 0)</f>
        <v/>
      </c>
      <c r="J4445">
        <f>IF(F4445&lt;&gt;"", TEXT(F4445, "yyyy-mm"), "")</f>
        <v/>
      </c>
    </row>
    <row r="4446">
      <c r="A4446" t="inlineStr">
        <is>
          <t>RP0004445</t>
        </is>
      </c>
      <c r="B4446" t="inlineStr">
        <is>
          <t>LN200634</t>
        </is>
      </c>
      <c r="C4446" t="n">
        <v>2</v>
      </c>
      <c r="D4446" s="8" t="n">
        <v>46276</v>
      </c>
      <c r="E4446" s="9" t="n">
        <v>27966</v>
      </c>
      <c r="F4446" s="8" t="n"/>
      <c r="G4446" s="9" t="n">
        <v>0</v>
      </c>
      <c r="H4446" t="inlineStr">
        <is>
          <t>NOT_DUE</t>
        </is>
      </c>
      <c r="I4446">
        <f>IF(H4446="UNPAID", AsOfDate-D4446, 0)</f>
        <v/>
      </c>
      <c r="J4446">
        <f>IF(F4446&lt;&gt;"", TEXT(F4446, "yyyy-mm"), "")</f>
        <v/>
      </c>
    </row>
    <row r="4447">
      <c r="A4447" t="inlineStr">
        <is>
          <t>RP0004446</t>
        </is>
      </c>
      <c r="B4447" t="inlineStr">
        <is>
          <t>LN200634</t>
        </is>
      </c>
      <c r="C4447" t="n">
        <v>3</v>
      </c>
      <c r="D4447" s="8" t="n">
        <v>46306</v>
      </c>
      <c r="E4447" s="9" t="n">
        <v>27966</v>
      </c>
      <c r="F4447" s="8" t="n"/>
      <c r="G4447" s="9" t="n">
        <v>0</v>
      </c>
      <c r="H4447" t="inlineStr">
        <is>
          <t>NOT_DUE</t>
        </is>
      </c>
      <c r="I4447">
        <f>IF(H4447="UNPAID", AsOfDate-D4447, 0)</f>
        <v/>
      </c>
      <c r="J4447">
        <f>IF(F4447&lt;&gt;"", TEXT(F4447, "yyyy-mm"), "")</f>
        <v/>
      </c>
    </row>
    <row r="4448">
      <c r="A4448" t="inlineStr">
        <is>
          <t>RP0004447</t>
        </is>
      </c>
      <c r="B4448" t="inlineStr">
        <is>
          <t>LN200634</t>
        </is>
      </c>
      <c r="C4448" t="n">
        <v>4</v>
      </c>
      <c r="D4448" s="8" t="n">
        <v>46337</v>
      </c>
      <c r="E4448" s="9" t="n">
        <v>27966</v>
      </c>
      <c r="F4448" s="8" t="n"/>
      <c r="G4448" s="9" t="n">
        <v>0</v>
      </c>
      <c r="H4448" t="inlineStr">
        <is>
          <t>NOT_DUE</t>
        </is>
      </c>
      <c r="I4448">
        <f>IF(H4448="UNPAID", AsOfDate-D4448, 0)</f>
        <v/>
      </c>
      <c r="J4448">
        <f>IF(F4448&lt;&gt;"", TEXT(F4448, "yyyy-mm"), "")</f>
        <v/>
      </c>
    </row>
    <row r="4449">
      <c r="A4449" t="inlineStr">
        <is>
          <t>RP0004448</t>
        </is>
      </c>
      <c r="B4449" t="inlineStr">
        <is>
          <t>LN200634</t>
        </is>
      </c>
      <c r="C4449" t="n">
        <v>5</v>
      </c>
      <c r="D4449" s="8" t="n">
        <v>46367</v>
      </c>
      <c r="E4449" s="9" t="n">
        <v>27966</v>
      </c>
      <c r="F4449" s="8" t="n"/>
      <c r="G4449" s="9" t="n">
        <v>0</v>
      </c>
      <c r="H4449" t="inlineStr">
        <is>
          <t>NOT_DUE</t>
        </is>
      </c>
      <c r="I4449">
        <f>IF(H4449="UNPAID", AsOfDate-D4449, 0)</f>
        <v/>
      </c>
      <c r="J4449">
        <f>IF(F4449&lt;&gt;"", TEXT(F4449, "yyyy-mm"), "")</f>
        <v/>
      </c>
    </row>
    <row r="4450">
      <c r="A4450" t="inlineStr">
        <is>
          <t>RP0004449</t>
        </is>
      </c>
      <c r="B4450" t="inlineStr">
        <is>
          <t>LN200634</t>
        </is>
      </c>
      <c r="C4450" t="n">
        <v>6</v>
      </c>
      <c r="D4450" s="8" t="n">
        <v>46398</v>
      </c>
      <c r="E4450" s="9" t="n">
        <v>27966</v>
      </c>
      <c r="F4450" s="8" t="n"/>
      <c r="G4450" s="9" t="n">
        <v>0</v>
      </c>
      <c r="H4450" t="inlineStr">
        <is>
          <t>NOT_DUE</t>
        </is>
      </c>
      <c r="I4450">
        <f>IF(H4450="UNPAID", AsOfDate-D4450, 0)</f>
        <v/>
      </c>
      <c r="J4450">
        <f>IF(F4450&lt;&gt;"", TEXT(F4450, "yyyy-mm"), "")</f>
        <v/>
      </c>
    </row>
    <row r="4451">
      <c r="A4451" t="inlineStr">
        <is>
          <t>RP0004450</t>
        </is>
      </c>
      <c r="B4451" t="inlineStr">
        <is>
          <t>LN200636</t>
        </is>
      </c>
      <c r="C4451" t="n">
        <v>1</v>
      </c>
      <c r="D4451" s="8" t="n">
        <v>45743</v>
      </c>
      <c r="E4451" s="9" t="n">
        <v>28939.17</v>
      </c>
      <c r="F4451" s="8" t="n">
        <v>45745</v>
      </c>
      <c r="G4451" s="9" t="n">
        <v>28939.17</v>
      </c>
      <c r="H4451" t="inlineStr">
        <is>
          <t>PAID_ON_TIME</t>
        </is>
      </c>
      <c r="I4451">
        <f>IF(H4451="UNPAID", AsOfDate-D4451, 0)</f>
        <v/>
      </c>
      <c r="J4451">
        <f>IF(F4451&lt;&gt;"", TEXT(F4451, "yyyy-mm"), "")</f>
        <v/>
      </c>
    </row>
    <row r="4452">
      <c r="A4452" t="inlineStr">
        <is>
          <t>RP0004451</t>
        </is>
      </c>
      <c r="B4452" t="inlineStr">
        <is>
          <t>LN200636</t>
        </is>
      </c>
      <c r="C4452" t="n">
        <v>2</v>
      </c>
      <c r="D4452" s="8" t="n">
        <v>45774</v>
      </c>
      <c r="E4452" s="9" t="n">
        <v>28939.17</v>
      </c>
      <c r="F4452" s="8" t="n">
        <v>45773</v>
      </c>
      <c r="G4452" s="9" t="n">
        <v>28939.17</v>
      </c>
      <c r="H4452" t="inlineStr">
        <is>
          <t>PAID_ON_TIME</t>
        </is>
      </c>
      <c r="I4452">
        <f>IF(H4452="UNPAID", AsOfDate-D4452, 0)</f>
        <v/>
      </c>
      <c r="J4452">
        <f>IF(F4452&lt;&gt;"", TEXT(F4452, "yyyy-mm"), "")</f>
        <v/>
      </c>
    </row>
    <row r="4453">
      <c r="A4453" t="inlineStr">
        <is>
          <t>RP0004452</t>
        </is>
      </c>
      <c r="B4453" t="inlineStr">
        <is>
          <t>LN200636</t>
        </is>
      </c>
      <c r="C4453" t="n">
        <v>3</v>
      </c>
      <c r="D4453" s="8" t="n">
        <v>45804</v>
      </c>
      <c r="E4453" s="9" t="n">
        <v>28939.17</v>
      </c>
      <c r="F4453" s="8" t="n">
        <v>45804</v>
      </c>
      <c r="G4453" s="9" t="n">
        <v>28939.17</v>
      </c>
      <c r="H4453" t="inlineStr">
        <is>
          <t>PAID_ON_TIME</t>
        </is>
      </c>
      <c r="I4453">
        <f>IF(H4453="UNPAID", AsOfDate-D4453, 0)</f>
        <v/>
      </c>
      <c r="J4453">
        <f>IF(F4453&lt;&gt;"", TEXT(F4453, "yyyy-mm"), "")</f>
        <v/>
      </c>
    </row>
    <row r="4454">
      <c r="A4454" t="inlineStr">
        <is>
          <t>RP0004453</t>
        </is>
      </c>
      <c r="B4454" t="inlineStr">
        <is>
          <t>LN200636</t>
        </is>
      </c>
      <c r="C4454" t="n">
        <v>4</v>
      </c>
      <c r="D4454" s="8" t="n">
        <v>45835</v>
      </c>
      <c r="E4454" s="9" t="n">
        <v>28939.17</v>
      </c>
      <c r="F4454" s="8" t="n">
        <v>45835</v>
      </c>
      <c r="G4454" s="9" t="n">
        <v>28939.17</v>
      </c>
      <c r="H4454" t="inlineStr">
        <is>
          <t>PAID_ON_TIME</t>
        </is>
      </c>
      <c r="I4454">
        <f>IF(H4454="UNPAID", AsOfDate-D4454, 0)</f>
        <v/>
      </c>
      <c r="J4454">
        <f>IF(F4454&lt;&gt;"", TEXT(F4454, "yyyy-mm"), "")</f>
        <v/>
      </c>
    </row>
    <row r="4455">
      <c r="A4455" t="inlineStr">
        <is>
          <t>RP0004454</t>
        </is>
      </c>
      <c r="B4455" t="inlineStr">
        <is>
          <t>LN200636</t>
        </is>
      </c>
      <c r="C4455" t="n">
        <v>5</v>
      </c>
      <c r="D4455" s="8" t="n">
        <v>45865</v>
      </c>
      <c r="E4455" s="9" t="n">
        <v>28939.17</v>
      </c>
      <c r="F4455" s="8" t="n">
        <v>45869</v>
      </c>
      <c r="G4455" s="9" t="n">
        <v>28939.17</v>
      </c>
      <c r="H4455" t="inlineStr">
        <is>
          <t>PAID_ON_TIME</t>
        </is>
      </c>
      <c r="I4455">
        <f>IF(H4455="UNPAID", AsOfDate-D4455, 0)</f>
        <v/>
      </c>
      <c r="J4455">
        <f>IF(F4455&lt;&gt;"", TEXT(F4455, "yyyy-mm"), "")</f>
        <v/>
      </c>
    </row>
    <row r="4456">
      <c r="A4456" t="inlineStr">
        <is>
          <t>RP0004455</t>
        </is>
      </c>
      <c r="B4456" t="inlineStr">
        <is>
          <t>LN200636</t>
        </is>
      </c>
      <c r="C4456" t="n">
        <v>6</v>
      </c>
      <c r="D4456" s="8" t="n">
        <v>45896</v>
      </c>
      <c r="E4456" s="9" t="n">
        <v>28939.17</v>
      </c>
      <c r="F4456" s="8" t="n">
        <v>45895</v>
      </c>
      <c r="G4456" s="9" t="n">
        <v>28939.17</v>
      </c>
      <c r="H4456" t="inlineStr">
        <is>
          <t>PAID_ON_TIME</t>
        </is>
      </c>
      <c r="I4456">
        <f>IF(H4456="UNPAID", AsOfDate-D4456, 0)</f>
        <v/>
      </c>
      <c r="J4456">
        <f>IF(F4456&lt;&gt;"", TEXT(F4456, "yyyy-mm"), "")</f>
        <v/>
      </c>
    </row>
    <row r="4457">
      <c r="A4457" t="inlineStr">
        <is>
          <t>RP0004456</t>
        </is>
      </c>
      <c r="B4457" t="inlineStr">
        <is>
          <t>LN200636</t>
        </is>
      </c>
      <c r="C4457" t="n">
        <v>7</v>
      </c>
      <c r="D4457" s="8" t="n">
        <v>45927</v>
      </c>
      <c r="E4457" s="9" t="n">
        <v>28939.17</v>
      </c>
      <c r="F4457" s="8" t="n">
        <v>45930</v>
      </c>
      <c r="G4457" s="9" t="n">
        <v>28939.17</v>
      </c>
      <c r="H4457" t="inlineStr">
        <is>
          <t>PAID_ON_TIME</t>
        </is>
      </c>
      <c r="I4457">
        <f>IF(H4457="UNPAID", AsOfDate-D4457, 0)</f>
        <v/>
      </c>
      <c r="J4457">
        <f>IF(F4457&lt;&gt;"", TEXT(F4457, "yyyy-mm"), "")</f>
        <v/>
      </c>
    </row>
    <row r="4458">
      <c r="A4458" t="inlineStr">
        <is>
          <t>RP0004457</t>
        </is>
      </c>
      <c r="B4458" t="inlineStr">
        <is>
          <t>LN200636</t>
        </is>
      </c>
      <c r="C4458" t="n">
        <v>8</v>
      </c>
      <c r="D4458" s="8" t="n">
        <v>45957</v>
      </c>
      <c r="E4458" s="9" t="n">
        <v>28939.17</v>
      </c>
      <c r="F4458" s="8" t="n">
        <v>45961</v>
      </c>
      <c r="G4458" s="9" t="n">
        <v>28939.17</v>
      </c>
      <c r="H4458" t="inlineStr">
        <is>
          <t>PAID_ON_TIME</t>
        </is>
      </c>
      <c r="I4458">
        <f>IF(H4458="UNPAID", AsOfDate-D4458, 0)</f>
        <v/>
      </c>
      <c r="J4458">
        <f>IF(F4458&lt;&gt;"", TEXT(F4458, "yyyy-mm"), "")</f>
        <v/>
      </c>
    </row>
    <row r="4459">
      <c r="A4459" t="inlineStr">
        <is>
          <t>RP0004458</t>
        </is>
      </c>
      <c r="B4459" t="inlineStr">
        <is>
          <t>LN200636</t>
        </is>
      </c>
      <c r="C4459" t="n">
        <v>9</v>
      </c>
      <c r="D4459" s="8" t="n">
        <v>45988</v>
      </c>
      <c r="E4459" s="9" t="n">
        <v>28939.17</v>
      </c>
      <c r="F4459" s="8" t="n">
        <v>46017</v>
      </c>
      <c r="G4459" s="9" t="n">
        <v>28939.17</v>
      </c>
      <c r="H4459" t="inlineStr">
        <is>
          <t>PAID_LATE</t>
        </is>
      </c>
      <c r="I4459">
        <f>IF(H4459="UNPAID", AsOfDate-D4459, 0)</f>
        <v/>
      </c>
      <c r="J4459">
        <f>IF(F4459&lt;&gt;"", TEXT(F4459, "yyyy-mm"), "")</f>
        <v/>
      </c>
    </row>
    <row r="4460">
      <c r="A4460" t="inlineStr">
        <is>
          <t>RP0004459</t>
        </is>
      </c>
      <c r="B4460" t="inlineStr">
        <is>
          <t>LN200636</t>
        </is>
      </c>
      <c r="C4460" t="n">
        <v>10</v>
      </c>
      <c r="D4460" s="8" t="n">
        <v>46018</v>
      </c>
      <c r="E4460" s="9" t="n">
        <v>28939.17</v>
      </c>
      <c r="F4460" s="8" t="n">
        <v>46015</v>
      </c>
      <c r="G4460" s="9" t="n">
        <v>28939.17</v>
      </c>
      <c r="H4460" t="inlineStr">
        <is>
          <t>PAID_ON_TIME</t>
        </is>
      </c>
      <c r="I4460">
        <f>IF(H4460="UNPAID", AsOfDate-D4460, 0)</f>
        <v/>
      </c>
      <c r="J4460">
        <f>IF(F4460&lt;&gt;"", TEXT(F4460, "yyyy-mm"), "")</f>
        <v/>
      </c>
    </row>
    <row r="4461">
      <c r="A4461" t="inlineStr">
        <is>
          <t>RP0004460</t>
        </is>
      </c>
      <c r="B4461" t="inlineStr">
        <is>
          <t>LN200636</t>
        </is>
      </c>
      <c r="C4461" t="n">
        <v>11</v>
      </c>
      <c r="D4461" s="8" t="n">
        <v>46049</v>
      </c>
      <c r="E4461" s="9" t="n">
        <v>28939.17</v>
      </c>
      <c r="F4461" s="8" t="n">
        <v>46050</v>
      </c>
      <c r="G4461" s="9" t="n">
        <v>28939.17</v>
      </c>
      <c r="H4461" t="inlineStr">
        <is>
          <t>PAID_ON_TIME</t>
        </is>
      </c>
      <c r="I4461">
        <f>IF(H4461="UNPAID", AsOfDate-D4461, 0)</f>
        <v/>
      </c>
      <c r="J4461">
        <f>IF(F4461&lt;&gt;"", TEXT(F4461, "yyyy-mm"), "")</f>
        <v/>
      </c>
    </row>
    <row r="4462">
      <c r="A4462" t="inlineStr">
        <is>
          <t>RP0004461</t>
        </is>
      </c>
      <c r="B4462" t="inlineStr">
        <is>
          <t>LN200636</t>
        </is>
      </c>
      <c r="C4462" t="n">
        <v>12</v>
      </c>
      <c r="D4462" s="8" t="n">
        <v>46080</v>
      </c>
      <c r="E4462" s="9" t="n">
        <v>28939.17</v>
      </c>
      <c r="F4462" s="8" t="n">
        <v>46081</v>
      </c>
      <c r="G4462" s="9" t="n">
        <v>28939.17</v>
      </c>
      <c r="H4462" t="inlineStr">
        <is>
          <t>PAID_ON_TIME</t>
        </is>
      </c>
      <c r="I4462">
        <f>IF(H4462="UNPAID", AsOfDate-D4462, 0)</f>
        <v/>
      </c>
      <c r="J4462">
        <f>IF(F4462&lt;&gt;"", TEXT(F4462, "yyyy-mm"), "")</f>
        <v/>
      </c>
    </row>
    <row r="4463">
      <c r="A4463" t="inlineStr">
        <is>
          <t>RP0004462</t>
        </is>
      </c>
      <c r="B4463" t="inlineStr">
        <is>
          <t>LN200637</t>
        </is>
      </c>
      <c r="C4463" t="n">
        <v>1</v>
      </c>
      <c r="D4463" s="8" t="n">
        <v>46040</v>
      </c>
      <c r="E4463" s="9" t="n">
        <v>22764.75</v>
      </c>
      <c r="F4463" s="8" t="n">
        <v>46038</v>
      </c>
      <c r="G4463" s="9" t="n">
        <v>22764.75</v>
      </c>
      <c r="H4463" t="inlineStr">
        <is>
          <t>PAID_ON_TIME</t>
        </is>
      </c>
      <c r="I4463">
        <f>IF(H4463="UNPAID", AsOfDate-D4463, 0)</f>
        <v/>
      </c>
      <c r="J4463">
        <f>IF(F4463&lt;&gt;"", TEXT(F4463, "yyyy-mm"), "")</f>
        <v/>
      </c>
    </row>
    <row r="4464">
      <c r="A4464" t="inlineStr">
        <is>
          <t>RP0004463</t>
        </is>
      </c>
      <c r="B4464" t="inlineStr">
        <is>
          <t>LN200637</t>
        </is>
      </c>
      <c r="C4464" t="n">
        <v>2</v>
      </c>
      <c r="D4464" s="8" t="n">
        <v>46071</v>
      </c>
      <c r="E4464" s="9" t="n">
        <v>22764.75</v>
      </c>
      <c r="F4464" s="8" t="n">
        <v>46075</v>
      </c>
      <c r="G4464" s="9" t="n">
        <v>22764.75</v>
      </c>
      <c r="H4464" t="inlineStr">
        <is>
          <t>PAID_ON_TIME</t>
        </is>
      </c>
      <c r="I4464">
        <f>IF(H4464="UNPAID", AsOfDate-D4464, 0)</f>
        <v/>
      </c>
      <c r="J4464">
        <f>IF(F4464&lt;&gt;"", TEXT(F4464, "yyyy-mm"), "")</f>
        <v/>
      </c>
    </row>
    <row r="4465">
      <c r="A4465" t="inlineStr">
        <is>
          <t>RP0004464</t>
        </is>
      </c>
      <c r="B4465" t="inlineStr">
        <is>
          <t>LN200637</t>
        </is>
      </c>
      <c r="C4465" t="n">
        <v>3</v>
      </c>
      <c r="D4465" s="8" t="n">
        <v>46099</v>
      </c>
      <c r="E4465" s="9" t="n">
        <v>22764.75</v>
      </c>
      <c r="F4465" s="8" t="n">
        <v>46098</v>
      </c>
      <c r="G4465" s="9" t="n">
        <v>22764.75</v>
      </c>
      <c r="H4465" t="inlineStr">
        <is>
          <t>PAID_ON_TIME</t>
        </is>
      </c>
      <c r="I4465">
        <f>IF(H4465="UNPAID", AsOfDate-D4465, 0)</f>
        <v/>
      </c>
      <c r="J4465">
        <f>IF(F4465&lt;&gt;"", TEXT(F4465, "yyyy-mm"), "")</f>
        <v/>
      </c>
    </row>
    <row r="4466">
      <c r="A4466" t="inlineStr">
        <is>
          <t>RP0004465</t>
        </is>
      </c>
      <c r="B4466" t="inlineStr">
        <is>
          <t>LN200637</t>
        </is>
      </c>
      <c r="C4466" t="n">
        <v>4</v>
      </c>
      <c r="D4466" s="8" t="n">
        <v>46130</v>
      </c>
      <c r="E4466" s="9" t="n">
        <v>22764.75</v>
      </c>
      <c r="F4466" s="8" t="n">
        <v>46132</v>
      </c>
      <c r="G4466" s="9" t="n">
        <v>22764.75</v>
      </c>
      <c r="H4466" t="inlineStr">
        <is>
          <t>PAID_ON_TIME</t>
        </is>
      </c>
      <c r="I4466">
        <f>IF(H4466="UNPAID", AsOfDate-D4466, 0)</f>
        <v/>
      </c>
      <c r="J4466">
        <f>IF(F4466&lt;&gt;"", TEXT(F4466, "yyyy-mm"), "")</f>
        <v/>
      </c>
    </row>
    <row r="4467">
      <c r="A4467" t="inlineStr">
        <is>
          <t>RP0004466</t>
        </is>
      </c>
      <c r="B4467" t="inlineStr">
        <is>
          <t>LN200637</t>
        </is>
      </c>
      <c r="C4467" t="n">
        <v>5</v>
      </c>
      <c r="D4467" s="8" t="n">
        <v>46160</v>
      </c>
      <c r="E4467" s="9" t="n">
        <v>22764.75</v>
      </c>
      <c r="F4467" s="8" t="n">
        <v>46160</v>
      </c>
      <c r="G4467" s="9" t="n">
        <v>22764.75</v>
      </c>
      <c r="H4467" t="inlineStr">
        <is>
          <t>PAID_ON_TIME</t>
        </is>
      </c>
      <c r="I4467">
        <f>IF(H4467="UNPAID", AsOfDate-D4467, 0)</f>
        <v/>
      </c>
      <c r="J4467">
        <f>IF(F4467&lt;&gt;"", TEXT(F4467, "yyyy-mm"), "")</f>
        <v/>
      </c>
    </row>
    <row r="4468">
      <c r="A4468" t="inlineStr">
        <is>
          <t>RP0004467</t>
        </is>
      </c>
      <c r="B4468" t="inlineStr">
        <is>
          <t>LN200637</t>
        </is>
      </c>
      <c r="C4468" t="n">
        <v>6</v>
      </c>
      <c r="D4468" s="8" t="n">
        <v>46191</v>
      </c>
      <c r="E4468" s="9" t="n">
        <v>22764.75</v>
      </c>
      <c r="F4468" s="8" t="n">
        <v>46194</v>
      </c>
      <c r="G4468" s="9" t="n">
        <v>22764.75</v>
      </c>
      <c r="H4468" t="inlineStr">
        <is>
          <t>PAID_ON_TIME</t>
        </is>
      </c>
      <c r="I4468">
        <f>IF(H4468="UNPAID", AsOfDate-D4468, 0)</f>
        <v/>
      </c>
      <c r="J4468">
        <f>IF(F4468&lt;&gt;"", TEXT(F4468, "yyyy-mm"), "")</f>
        <v/>
      </c>
    </row>
    <row r="4469">
      <c r="A4469" t="inlineStr">
        <is>
          <t>RP0004468</t>
        </is>
      </c>
      <c r="B4469" t="inlineStr">
        <is>
          <t>LN200638</t>
        </is>
      </c>
      <c r="C4469" t="n">
        <v>1</v>
      </c>
      <c r="D4469" s="8" t="n">
        <v>45970</v>
      </c>
      <c r="E4469" s="9" t="n">
        <v>42443.33</v>
      </c>
      <c r="F4469" s="8" t="n">
        <v>45973</v>
      </c>
      <c r="G4469" s="9" t="n">
        <v>42443.33</v>
      </c>
      <c r="H4469" t="inlineStr">
        <is>
          <t>PAID_ON_TIME</t>
        </is>
      </c>
      <c r="I4469">
        <f>IF(H4469="UNPAID", AsOfDate-D4469, 0)</f>
        <v/>
      </c>
      <c r="J4469">
        <f>IF(F4469&lt;&gt;"", TEXT(F4469, "yyyy-mm"), "")</f>
        <v/>
      </c>
    </row>
    <row r="4470">
      <c r="A4470" t="inlineStr">
        <is>
          <t>RP0004469</t>
        </is>
      </c>
      <c r="B4470" t="inlineStr">
        <is>
          <t>LN200638</t>
        </is>
      </c>
      <c r="C4470" t="n">
        <v>2</v>
      </c>
      <c r="D4470" s="8" t="n">
        <v>46000</v>
      </c>
      <c r="E4470" s="9" t="n">
        <v>42443.33</v>
      </c>
      <c r="F4470" s="8" t="n">
        <v>45998</v>
      </c>
      <c r="G4470" s="9" t="n">
        <v>42443.33</v>
      </c>
      <c r="H4470" t="inlineStr">
        <is>
          <t>PAID_ON_TIME</t>
        </is>
      </c>
      <c r="I4470">
        <f>IF(H4470="UNPAID", AsOfDate-D4470, 0)</f>
        <v/>
      </c>
      <c r="J4470">
        <f>IF(F4470&lt;&gt;"", TEXT(F4470, "yyyy-mm"), "")</f>
        <v/>
      </c>
    </row>
    <row r="4471">
      <c r="A4471" t="inlineStr">
        <is>
          <t>RP0004470</t>
        </is>
      </c>
      <c r="B4471" t="inlineStr">
        <is>
          <t>LN200638</t>
        </is>
      </c>
      <c r="C4471" t="n">
        <v>3</v>
      </c>
      <c r="D4471" s="8" t="n">
        <v>46031</v>
      </c>
      <c r="E4471" s="9" t="n">
        <v>42443.33</v>
      </c>
      <c r="F4471" s="8" t="n">
        <v>46028</v>
      </c>
      <c r="G4471" s="9" t="n">
        <v>42443.33</v>
      </c>
      <c r="H4471" t="inlineStr">
        <is>
          <t>PAID_ON_TIME</t>
        </is>
      </c>
      <c r="I4471">
        <f>IF(H4471="UNPAID", AsOfDate-D4471, 0)</f>
        <v/>
      </c>
      <c r="J4471">
        <f>IF(F4471&lt;&gt;"", TEXT(F4471, "yyyy-mm"), "")</f>
        <v/>
      </c>
    </row>
    <row r="4472">
      <c r="A4472" t="inlineStr">
        <is>
          <t>RP0004471</t>
        </is>
      </c>
      <c r="B4472" t="inlineStr">
        <is>
          <t>LN200638</t>
        </is>
      </c>
      <c r="C4472" t="n">
        <v>4</v>
      </c>
      <c r="D4472" s="8" t="n">
        <v>46062</v>
      </c>
      <c r="E4472" s="9" t="n">
        <v>42443.33</v>
      </c>
      <c r="F4472" s="8" t="n">
        <v>46061</v>
      </c>
      <c r="G4472" s="9" t="n">
        <v>42443.33</v>
      </c>
      <c r="H4472" t="inlineStr">
        <is>
          <t>PAID_ON_TIME</t>
        </is>
      </c>
      <c r="I4472">
        <f>IF(H4472="UNPAID", AsOfDate-D4472, 0)</f>
        <v/>
      </c>
      <c r="J4472">
        <f>IF(F4472&lt;&gt;"", TEXT(F4472, "yyyy-mm"), "")</f>
        <v/>
      </c>
    </row>
    <row r="4473">
      <c r="A4473" t="inlineStr">
        <is>
          <t>RP0004472</t>
        </is>
      </c>
      <c r="B4473" t="inlineStr">
        <is>
          <t>LN200638</t>
        </is>
      </c>
      <c r="C4473" t="n">
        <v>5</v>
      </c>
      <c r="D4473" s="8" t="n">
        <v>46090</v>
      </c>
      <c r="E4473" s="9" t="n">
        <v>42443.33</v>
      </c>
      <c r="F4473" s="8" t="n">
        <v>46094</v>
      </c>
      <c r="G4473" s="9" t="n">
        <v>42443.33</v>
      </c>
      <c r="H4473" t="inlineStr">
        <is>
          <t>PAID_ON_TIME</t>
        </is>
      </c>
      <c r="I4473">
        <f>IF(H4473="UNPAID", AsOfDate-D4473, 0)</f>
        <v/>
      </c>
      <c r="J4473">
        <f>IF(F4473&lt;&gt;"", TEXT(F4473, "yyyy-mm"), "")</f>
        <v/>
      </c>
    </row>
    <row r="4474">
      <c r="A4474" t="inlineStr">
        <is>
          <t>RP0004473</t>
        </is>
      </c>
      <c r="B4474" t="inlineStr">
        <is>
          <t>LN200638</t>
        </is>
      </c>
      <c r="C4474" t="n">
        <v>6</v>
      </c>
      <c r="D4474" s="8" t="n">
        <v>46121</v>
      </c>
      <c r="E4474" s="9" t="n">
        <v>42443.33</v>
      </c>
      <c r="F4474" s="8" t="n">
        <v>46123</v>
      </c>
      <c r="G4474" s="9" t="n">
        <v>42443.33</v>
      </c>
      <c r="H4474" t="inlineStr">
        <is>
          <t>PAID_ON_TIME</t>
        </is>
      </c>
      <c r="I4474">
        <f>IF(H4474="UNPAID", AsOfDate-D4474, 0)</f>
        <v/>
      </c>
      <c r="J4474">
        <f>IF(F4474&lt;&gt;"", TEXT(F4474, "yyyy-mm"), "")</f>
        <v/>
      </c>
    </row>
    <row r="4475">
      <c r="A4475" t="inlineStr">
        <is>
          <t>RP0004474</t>
        </is>
      </c>
      <c r="B4475" t="inlineStr">
        <is>
          <t>LN200639</t>
        </is>
      </c>
      <c r="C4475" t="n">
        <v>1</v>
      </c>
      <c r="D4475" s="8" t="n">
        <v>46245</v>
      </c>
      <c r="E4475" s="9" t="n">
        <v>10432.5</v>
      </c>
      <c r="F4475" s="8" t="n">
        <v>46245</v>
      </c>
      <c r="G4475" s="9" t="n">
        <v>10432.5</v>
      </c>
      <c r="H4475" t="inlineStr">
        <is>
          <t>PAID_ON_TIME</t>
        </is>
      </c>
      <c r="I4475">
        <f>IF(H4475="UNPAID", AsOfDate-D4475, 0)</f>
        <v/>
      </c>
      <c r="J4475">
        <f>IF(F4475&lt;&gt;"", TEXT(F4475, "yyyy-mm"), "")</f>
        <v/>
      </c>
    </row>
    <row r="4476">
      <c r="A4476" t="inlineStr">
        <is>
          <t>RP0004475</t>
        </is>
      </c>
      <c r="B4476" t="inlineStr">
        <is>
          <t>LN200639</t>
        </is>
      </c>
      <c r="C4476" t="n">
        <v>2</v>
      </c>
      <c r="D4476" s="8" t="n">
        <v>46276</v>
      </c>
      <c r="E4476" s="9" t="n">
        <v>10432.5</v>
      </c>
      <c r="F4476" s="8" t="n"/>
      <c r="G4476" s="9" t="n">
        <v>0</v>
      </c>
      <c r="H4476" t="inlineStr">
        <is>
          <t>NOT_DUE</t>
        </is>
      </c>
      <c r="I4476">
        <f>IF(H4476="UNPAID", AsOfDate-D4476, 0)</f>
        <v/>
      </c>
      <c r="J4476">
        <f>IF(F4476&lt;&gt;"", TEXT(F4476, "yyyy-mm"), "")</f>
        <v/>
      </c>
    </row>
    <row r="4477">
      <c r="A4477" t="inlineStr">
        <is>
          <t>RP0004476</t>
        </is>
      </c>
      <c r="B4477" t="inlineStr">
        <is>
          <t>LN200639</t>
        </is>
      </c>
      <c r="C4477" t="n">
        <v>3</v>
      </c>
      <c r="D4477" s="8" t="n">
        <v>46306</v>
      </c>
      <c r="E4477" s="9" t="n">
        <v>10432.5</v>
      </c>
      <c r="F4477" s="8" t="n"/>
      <c r="G4477" s="9" t="n">
        <v>0</v>
      </c>
      <c r="H4477" t="inlineStr">
        <is>
          <t>NOT_DUE</t>
        </is>
      </c>
      <c r="I4477">
        <f>IF(H4477="UNPAID", AsOfDate-D4477, 0)</f>
        <v/>
      </c>
      <c r="J4477">
        <f>IF(F4477&lt;&gt;"", TEXT(F4477, "yyyy-mm"), "")</f>
        <v/>
      </c>
    </row>
    <row r="4478">
      <c r="A4478" t="inlineStr">
        <is>
          <t>RP0004477</t>
        </is>
      </c>
      <c r="B4478" t="inlineStr">
        <is>
          <t>LN200639</t>
        </is>
      </c>
      <c r="C4478" t="n">
        <v>4</v>
      </c>
      <c r="D4478" s="8" t="n">
        <v>46337</v>
      </c>
      <c r="E4478" s="9" t="n">
        <v>10432.5</v>
      </c>
      <c r="F4478" s="8" t="n"/>
      <c r="G4478" s="9" t="n">
        <v>0</v>
      </c>
      <c r="H4478" t="inlineStr">
        <is>
          <t>NOT_DUE</t>
        </is>
      </c>
      <c r="I4478">
        <f>IF(H4478="UNPAID", AsOfDate-D4478, 0)</f>
        <v/>
      </c>
      <c r="J4478">
        <f>IF(F4478&lt;&gt;"", TEXT(F4478, "yyyy-mm"), "")</f>
        <v/>
      </c>
    </row>
    <row r="4479">
      <c r="A4479" t="inlineStr">
        <is>
          <t>RP0004478</t>
        </is>
      </c>
      <c r="B4479" t="inlineStr">
        <is>
          <t>LN200639</t>
        </is>
      </c>
      <c r="C4479" t="n">
        <v>5</v>
      </c>
      <c r="D4479" s="8" t="n">
        <v>46367</v>
      </c>
      <c r="E4479" s="9" t="n">
        <v>10432.5</v>
      </c>
      <c r="F4479" s="8" t="n"/>
      <c r="G4479" s="9" t="n">
        <v>0</v>
      </c>
      <c r="H4479" t="inlineStr">
        <is>
          <t>NOT_DUE</t>
        </is>
      </c>
      <c r="I4479">
        <f>IF(H4479="UNPAID", AsOfDate-D4479, 0)</f>
        <v/>
      </c>
      <c r="J4479">
        <f>IF(F4479&lt;&gt;"", TEXT(F4479, "yyyy-mm"), "")</f>
        <v/>
      </c>
    </row>
    <row r="4480">
      <c r="A4480" t="inlineStr">
        <is>
          <t>RP0004479</t>
        </is>
      </c>
      <c r="B4480" t="inlineStr">
        <is>
          <t>LN200639</t>
        </is>
      </c>
      <c r="C4480" t="n">
        <v>6</v>
      </c>
      <c r="D4480" s="8" t="n">
        <v>46398</v>
      </c>
      <c r="E4480" s="9" t="n">
        <v>10432.5</v>
      </c>
      <c r="F4480" s="8" t="n"/>
      <c r="G4480" s="9" t="n">
        <v>0</v>
      </c>
      <c r="H4480" t="inlineStr">
        <is>
          <t>NOT_DUE</t>
        </is>
      </c>
      <c r="I4480">
        <f>IF(H4480="UNPAID", AsOfDate-D4480, 0)</f>
        <v/>
      </c>
      <c r="J4480">
        <f>IF(F4480&lt;&gt;"", TEXT(F4480, "yyyy-mm"), "")</f>
        <v/>
      </c>
    </row>
    <row r="4481">
      <c r="A4481" t="inlineStr">
        <is>
          <t>RP0004480</t>
        </is>
      </c>
      <c r="B4481" t="inlineStr">
        <is>
          <t>LN200639</t>
        </is>
      </c>
      <c r="C4481" t="n">
        <v>7</v>
      </c>
      <c r="D4481" s="8" t="n">
        <v>46429</v>
      </c>
      <c r="E4481" s="9" t="n">
        <v>10432.5</v>
      </c>
      <c r="F4481" s="8" t="n"/>
      <c r="G4481" s="9" t="n">
        <v>0</v>
      </c>
      <c r="H4481" t="inlineStr">
        <is>
          <t>NOT_DUE</t>
        </is>
      </c>
      <c r="I4481">
        <f>IF(H4481="UNPAID", AsOfDate-D4481, 0)</f>
        <v/>
      </c>
      <c r="J4481">
        <f>IF(F4481&lt;&gt;"", TEXT(F4481, "yyyy-mm"), "")</f>
        <v/>
      </c>
    </row>
    <row r="4482">
      <c r="A4482" t="inlineStr">
        <is>
          <t>RP0004481</t>
        </is>
      </c>
      <c r="B4482" t="inlineStr">
        <is>
          <t>LN200639</t>
        </is>
      </c>
      <c r="C4482" t="n">
        <v>8</v>
      </c>
      <c r="D4482" s="8" t="n">
        <v>46457</v>
      </c>
      <c r="E4482" s="9" t="n">
        <v>10432.5</v>
      </c>
      <c r="F4482" s="8" t="n"/>
      <c r="G4482" s="9" t="n">
        <v>0</v>
      </c>
      <c r="H4482" t="inlineStr">
        <is>
          <t>NOT_DUE</t>
        </is>
      </c>
      <c r="I4482">
        <f>IF(H4482="UNPAID", AsOfDate-D4482, 0)</f>
        <v/>
      </c>
      <c r="J4482">
        <f>IF(F4482&lt;&gt;"", TEXT(F4482, "yyyy-mm"), "")</f>
        <v/>
      </c>
    </row>
    <row r="4483">
      <c r="A4483" t="inlineStr">
        <is>
          <t>RP0004482</t>
        </is>
      </c>
      <c r="B4483" t="inlineStr">
        <is>
          <t>LN200639</t>
        </is>
      </c>
      <c r="C4483" t="n">
        <v>9</v>
      </c>
      <c r="D4483" s="8" t="n">
        <v>46488</v>
      </c>
      <c r="E4483" s="9" t="n">
        <v>10432.5</v>
      </c>
      <c r="F4483" s="8" t="n"/>
      <c r="G4483" s="9" t="n">
        <v>0</v>
      </c>
      <c r="H4483" t="inlineStr">
        <is>
          <t>NOT_DUE</t>
        </is>
      </c>
      <c r="I4483">
        <f>IF(H4483="UNPAID", AsOfDate-D4483, 0)</f>
        <v/>
      </c>
      <c r="J4483">
        <f>IF(F4483&lt;&gt;"", TEXT(F4483, "yyyy-mm"), "")</f>
        <v/>
      </c>
    </row>
    <row r="4484">
      <c r="A4484" t="inlineStr">
        <is>
          <t>RP0004483</t>
        </is>
      </c>
      <c r="B4484" t="inlineStr">
        <is>
          <t>LN200639</t>
        </is>
      </c>
      <c r="C4484" t="n">
        <v>10</v>
      </c>
      <c r="D4484" s="8" t="n">
        <v>46518</v>
      </c>
      <c r="E4484" s="9" t="n">
        <v>10432.5</v>
      </c>
      <c r="F4484" s="8" t="n"/>
      <c r="G4484" s="9" t="n">
        <v>0</v>
      </c>
      <c r="H4484" t="inlineStr">
        <is>
          <t>NOT_DUE</t>
        </is>
      </c>
      <c r="I4484">
        <f>IF(H4484="UNPAID", AsOfDate-D4484, 0)</f>
        <v/>
      </c>
      <c r="J4484">
        <f>IF(F4484&lt;&gt;"", TEXT(F4484, "yyyy-mm"), "")</f>
        <v/>
      </c>
    </row>
    <row r="4485">
      <c r="A4485" t="inlineStr">
        <is>
          <t>RP0004484</t>
        </is>
      </c>
      <c r="B4485" t="inlineStr">
        <is>
          <t>LN200639</t>
        </is>
      </c>
      <c r="C4485" t="n">
        <v>11</v>
      </c>
      <c r="D4485" s="8" t="n">
        <v>46549</v>
      </c>
      <c r="E4485" s="9" t="n">
        <v>10432.5</v>
      </c>
      <c r="F4485" s="8" t="n"/>
      <c r="G4485" s="9" t="n">
        <v>0</v>
      </c>
      <c r="H4485" t="inlineStr">
        <is>
          <t>NOT_DUE</t>
        </is>
      </c>
      <c r="I4485">
        <f>IF(H4485="UNPAID", AsOfDate-D4485, 0)</f>
        <v/>
      </c>
      <c r="J4485">
        <f>IF(F4485&lt;&gt;"", TEXT(F4485, "yyyy-mm"), "")</f>
        <v/>
      </c>
    </row>
    <row r="4486">
      <c r="A4486" t="inlineStr">
        <is>
          <t>RP0004485</t>
        </is>
      </c>
      <c r="B4486" t="inlineStr">
        <is>
          <t>LN200639</t>
        </is>
      </c>
      <c r="C4486" t="n">
        <v>12</v>
      </c>
      <c r="D4486" s="8" t="n">
        <v>46579</v>
      </c>
      <c r="E4486" s="9" t="n">
        <v>10432.5</v>
      </c>
      <c r="F4486" s="8" t="n"/>
      <c r="G4486" s="9" t="n">
        <v>0</v>
      </c>
      <c r="H4486" t="inlineStr">
        <is>
          <t>NOT_DUE</t>
        </is>
      </c>
      <c r="I4486">
        <f>IF(H4486="UNPAID", AsOfDate-D4486, 0)</f>
        <v/>
      </c>
      <c r="J4486">
        <f>IF(F4486&lt;&gt;"", TEXT(F4486, "yyyy-mm"), "")</f>
        <v/>
      </c>
    </row>
    <row r="4487">
      <c r="A4487" t="inlineStr">
        <is>
          <t>RP0004486</t>
        </is>
      </c>
      <c r="B4487" t="inlineStr">
        <is>
          <t>LN200640</t>
        </is>
      </c>
      <c r="C4487" t="n">
        <v>1</v>
      </c>
      <c r="D4487" s="8" t="n">
        <v>45830</v>
      </c>
      <c r="E4487" s="9" t="n">
        <v>13736.67</v>
      </c>
      <c r="F4487" s="8" t="n">
        <v>45828</v>
      </c>
      <c r="G4487" s="9" t="n">
        <v>13736.67</v>
      </c>
      <c r="H4487" t="inlineStr">
        <is>
          <t>PAID_ON_TIME</t>
        </is>
      </c>
      <c r="I4487">
        <f>IF(H4487="UNPAID", AsOfDate-D4487, 0)</f>
        <v/>
      </c>
      <c r="J4487">
        <f>IF(F4487&lt;&gt;"", TEXT(F4487, "yyyy-mm"), "")</f>
        <v/>
      </c>
    </row>
    <row r="4488">
      <c r="A4488" t="inlineStr">
        <is>
          <t>RP0004487</t>
        </is>
      </c>
      <c r="B4488" t="inlineStr">
        <is>
          <t>LN200640</t>
        </is>
      </c>
      <c r="C4488" t="n">
        <v>2</v>
      </c>
      <c r="D4488" s="8" t="n">
        <v>45860</v>
      </c>
      <c r="E4488" s="9" t="n">
        <v>13736.67</v>
      </c>
      <c r="F4488" s="8" t="n">
        <v>45857</v>
      </c>
      <c r="G4488" s="9" t="n">
        <v>13736.67</v>
      </c>
      <c r="H4488" t="inlineStr">
        <is>
          <t>PAID_ON_TIME</t>
        </is>
      </c>
      <c r="I4488">
        <f>IF(H4488="UNPAID", AsOfDate-D4488, 0)</f>
        <v/>
      </c>
      <c r="J4488">
        <f>IF(F4488&lt;&gt;"", TEXT(F4488, "yyyy-mm"), "")</f>
        <v/>
      </c>
    </row>
    <row r="4489">
      <c r="A4489" t="inlineStr">
        <is>
          <t>RP0004488</t>
        </is>
      </c>
      <c r="B4489" t="inlineStr">
        <is>
          <t>LN200640</t>
        </is>
      </c>
      <c r="C4489" t="n">
        <v>3</v>
      </c>
      <c r="D4489" s="8" t="n">
        <v>45891</v>
      </c>
      <c r="E4489" s="9" t="n">
        <v>13736.67</v>
      </c>
      <c r="F4489" s="8" t="n">
        <v>45956</v>
      </c>
      <c r="G4489" s="9" t="n">
        <v>13736.67</v>
      </c>
      <c r="H4489" t="inlineStr">
        <is>
          <t>PAID_LATE</t>
        </is>
      </c>
      <c r="I4489">
        <f>IF(H4489="UNPAID", AsOfDate-D4489, 0)</f>
        <v/>
      </c>
      <c r="J4489">
        <f>IF(F4489&lt;&gt;"", TEXT(F4489, "yyyy-mm"), "")</f>
        <v/>
      </c>
    </row>
    <row r="4490">
      <c r="A4490" t="inlineStr">
        <is>
          <t>RP0004489</t>
        </is>
      </c>
      <c r="B4490" t="inlineStr">
        <is>
          <t>LN200641</t>
        </is>
      </c>
      <c r="C4490" t="n">
        <v>1</v>
      </c>
      <c r="D4490" s="8" t="n">
        <v>46258</v>
      </c>
      <c r="E4490" s="9" t="n">
        <v>43322.92</v>
      </c>
      <c r="F4490" s="8" t="n">
        <v>46257</v>
      </c>
      <c r="G4490" s="9" t="n">
        <v>43322.92</v>
      </c>
      <c r="H4490" t="inlineStr">
        <is>
          <t>PAID_ON_TIME</t>
        </is>
      </c>
      <c r="I4490">
        <f>IF(H4490="UNPAID", AsOfDate-D4490, 0)</f>
        <v/>
      </c>
      <c r="J4490">
        <f>IF(F4490&lt;&gt;"", TEXT(F4490, "yyyy-mm"), "")</f>
        <v/>
      </c>
    </row>
    <row r="4491">
      <c r="A4491" t="inlineStr">
        <is>
          <t>RP0004490</t>
        </is>
      </c>
      <c r="B4491" t="inlineStr">
        <is>
          <t>LN200641</t>
        </is>
      </c>
      <c r="C4491" t="n">
        <v>2</v>
      </c>
      <c r="D4491" s="8" t="n">
        <v>46289</v>
      </c>
      <c r="E4491" s="9" t="n">
        <v>43322.92</v>
      </c>
      <c r="F4491" s="8" t="n"/>
      <c r="G4491" s="9" t="n">
        <v>0</v>
      </c>
      <c r="H4491" t="inlineStr">
        <is>
          <t>NOT_DUE</t>
        </is>
      </c>
      <c r="I4491">
        <f>IF(H4491="UNPAID", AsOfDate-D4491, 0)</f>
        <v/>
      </c>
      <c r="J4491">
        <f>IF(F4491&lt;&gt;"", TEXT(F4491, "yyyy-mm"), "")</f>
        <v/>
      </c>
    </row>
    <row r="4492">
      <c r="A4492" t="inlineStr">
        <is>
          <t>RP0004491</t>
        </is>
      </c>
      <c r="B4492" t="inlineStr">
        <is>
          <t>LN200641</t>
        </is>
      </c>
      <c r="C4492" t="n">
        <v>3</v>
      </c>
      <c r="D4492" s="8" t="n">
        <v>46319</v>
      </c>
      <c r="E4492" s="9" t="n">
        <v>43322.92</v>
      </c>
      <c r="F4492" s="8" t="n"/>
      <c r="G4492" s="9" t="n">
        <v>0</v>
      </c>
      <c r="H4492" t="inlineStr">
        <is>
          <t>NOT_DUE</t>
        </is>
      </c>
      <c r="I4492">
        <f>IF(H4492="UNPAID", AsOfDate-D4492, 0)</f>
        <v/>
      </c>
      <c r="J4492">
        <f>IF(F4492&lt;&gt;"", TEXT(F4492, "yyyy-mm"), "")</f>
        <v/>
      </c>
    </row>
    <row r="4493">
      <c r="A4493" t="inlineStr">
        <is>
          <t>RP0004492</t>
        </is>
      </c>
      <c r="B4493" t="inlineStr">
        <is>
          <t>LN200642</t>
        </is>
      </c>
      <c r="C4493" t="n">
        <v>1</v>
      </c>
      <c r="D4493" s="8" t="n">
        <v>45908</v>
      </c>
      <c r="E4493" s="9" t="n">
        <v>64729</v>
      </c>
      <c r="F4493" s="8" t="n">
        <v>45907</v>
      </c>
      <c r="G4493" s="9" t="n">
        <v>64729</v>
      </c>
      <c r="H4493" t="inlineStr">
        <is>
          <t>PAID_ON_TIME</t>
        </is>
      </c>
      <c r="I4493">
        <f>IF(H4493="UNPAID", AsOfDate-D4493, 0)</f>
        <v/>
      </c>
      <c r="J4493">
        <f>IF(F4493&lt;&gt;"", TEXT(F4493, "yyyy-mm"), "")</f>
        <v/>
      </c>
    </row>
    <row r="4494">
      <c r="A4494" t="inlineStr">
        <is>
          <t>RP0004493</t>
        </is>
      </c>
      <c r="B4494" t="inlineStr">
        <is>
          <t>LN200642</t>
        </is>
      </c>
      <c r="C4494" t="n">
        <v>2</v>
      </c>
      <c r="D4494" s="8" t="n">
        <v>45938</v>
      </c>
      <c r="E4494" s="9" t="n">
        <v>64729</v>
      </c>
      <c r="F4494" s="8" t="n">
        <v>45982</v>
      </c>
      <c r="G4494" s="9" t="n">
        <v>64729</v>
      </c>
      <c r="H4494" t="inlineStr">
        <is>
          <t>PAID_LATE</t>
        </is>
      </c>
      <c r="I4494">
        <f>IF(H4494="UNPAID", AsOfDate-D4494, 0)</f>
        <v/>
      </c>
      <c r="J4494">
        <f>IF(F4494&lt;&gt;"", TEXT(F4494, "yyyy-mm"), "")</f>
        <v/>
      </c>
    </row>
    <row r="4495">
      <c r="A4495" t="inlineStr">
        <is>
          <t>RP0004494</t>
        </is>
      </c>
      <c r="B4495" t="inlineStr">
        <is>
          <t>LN200642</t>
        </is>
      </c>
      <c r="C4495" t="n">
        <v>3</v>
      </c>
      <c r="D4495" s="8" t="n">
        <v>45969</v>
      </c>
      <c r="E4495" s="9" t="n">
        <v>64729</v>
      </c>
      <c r="F4495" s="8" t="n">
        <v>45968</v>
      </c>
      <c r="G4495" s="9" t="n">
        <v>64729</v>
      </c>
      <c r="H4495" t="inlineStr">
        <is>
          <t>PAID_ON_TIME</t>
        </is>
      </c>
      <c r="I4495">
        <f>IF(H4495="UNPAID", AsOfDate-D4495, 0)</f>
        <v/>
      </c>
      <c r="J4495">
        <f>IF(F4495&lt;&gt;"", TEXT(F4495, "yyyy-mm"), "")</f>
        <v/>
      </c>
    </row>
    <row r="4496">
      <c r="A4496" t="inlineStr">
        <is>
          <t>RP0004495</t>
        </is>
      </c>
      <c r="B4496" t="inlineStr">
        <is>
          <t>LN200642</t>
        </is>
      </c>
      <c r="C4496" t="n">
        <v>4</v>
      </c>
      <c r="D4496" s="8" t="n">
        <v>45999</v>
      </c>
      <c r="E4496" s="9" t="n">
        <v>64729</v>
      </c>
      <c r="F4496" s="8" t="n">
        <v>46000</v>
      </c>
      <c r="G4496" s="9" t="n">
        <v>64729</v>
      </c>
      <c r="H4496" t="inlineStr">
        <is>
          <t>PAID_ON_TIME</t>
        </is>
      </c>
      <c r="I4496">
        <f>IF(H4496="UNPAID", AsOfDate-D4496, 0)</f>
        <v/>
      </c>
      <c r="J4496">
        <f>IF(F4496&lt;&gt;"", TEXT(F4496, "yyyy-mm"), "")</f>
        <v/>
      </c>
    </row>
    <row r="4497">
      <c r="A4497" t="inlineStr">
        <is>
          <t>RP0004496</t>
        </is>
      </c>
      <c r="B4497" t="inlineStr">
        <is>
          <t>LN200642</t>
        </is>
      </c>
      <c r="C4497" t="n">
        <v>5</v>
      </c>
      <c r="D4497" s="8" t="n">
        <v>46030</v>
      </c>
      <c r="E4497" s="9" t="n">
        <v>64729</v>
      </c>
      <c r="F4497" s="8" t="n">
        <v>46031</v>
      </c>
      <c r="G4497" s="9" t="n">
        <v>64729</v>
      </c>
      <c r="H4497" t="inlineStr">
        <is>
          <t>PAID_ON_TIME</t>
        </is>
      </c>
      <c r="I4497">
        <f>IF(H4497="UNPAID", AsOfDate-D4497, 0)</f>
        <v/>
      </c>
      <c r="J4497">
        <f>IF(F4497&lt;&gt;"", TEXT(F4497, "yyyy-mm"), "")</f>
        <v/>
      </c>
    </row>
    <row r="4498">
      <c r="A4498" t="inlineStr">
        <is>
          <t>RP0004497</t>
        </is>
      </c>
      <c r="B4498" t="inlineStr">
        <is>
          <t>LN200642</t>
        </is>
      </c>
      <c r="C4498" t="n">
        <v>6</v>
      </c>
      <c r="D4498" s="8" t="n">
        <v>46061</v>
      </c>
      <c r="E4498" s="9" t="n">
        <v>64729</v>
      </c>
      <c r="F4498" s="8" t="n">
        <v>46063</v>
      </c>
      <c r="G4498" s="9" t="n">
        <v>64729</v>
      </c>
      <c r="H4498" t="inlineStr">
        <is>
          <t>PAID_ON_TIME</t>
        </is>
      </c>
      <c r="I4498">
        <f>IF(H4498="UNPAID", AsOfDate-D4498, 0)</f>
        <v/>
      </c>
      <c r="J4498">
        <f>IF(F4498&lt;&gt;"", TEXT(F4498, "yyyy-mm"), "")</f>
        <v/>
      </c>
    </row>
    <row r="4499">
      <c r="A4499" t="inlineStr">
        <is>
          <t>RP0004498</t>
        </is>
      </c>
      <c r="B4499" t="inlineStr">
        <is>
          <t>LN200642</t>
        </is>
      </c>
      <c r="C4499" t="n">
        <v>7</v>
      </c>
      <c r="D4499" s="8" t="n">
        <v>46089</v>
      </c>
      <c r="E4499" s="9" t="n">
        <v>64729</v>
      </c>
      <c r="F4499" s="8" t="n">
        <v>46086</v>
      </c>
      <c r="G4499" s="9" t="n">
        <v>64729</v>
      </c>
      <c r="H4499" t="inlineStr">
        <is>
          <t>PAID_ON_TIME</t>
        </is>
      </c>
      <c r="I4499">
        <f>IF(H4499="UNPAID", AsOfDate-D4499, 0)</f>
        <v/>
      </c>
      <c r="J4499">
        <f>IF(F4499&lt;&gt;"", TEXT(F4499, "yyyy-mm"), "")</f>
        <v/>
      </c>
    </row>
    <row r="4500">
      <c r="A4500" t="inlineStr">
        <is>
          <t>RP0004499</t>
        </is>
      </c>
      <c r="B4500" t="inlineStr">
        <is>
          <t>LN200642</t>
        </is>
      </c>
      <c r="C4500" t="n">
        <v>8</v>
      </c>
      <c r="D4500" s="8" t="n">
        <v>46120</v>
      </c>
      <c r="E4500" s="9" t="n">
        <v>64729</v>
      </c>
      <c r="F4500" s="8" t="n">
        <v>46118</v>
      </c>
      <c r="G4500" s="9" t="n">
        <v>64729</v>
      </c>
      <c r="H4500" t="inlineStr">
        <is>
          <t>PAID_ON_TIME</t>
        </is>
      </c>
      <c r="I4500">
        <f>IF(H4500="UNPAID", AsOfDate-D4500, 0)</f>
        <v/>
      </c>
      <c r="J4500">
        <f>IF(F4500&lt;&gt;"", TEXT(F4500, "yyyy-mm"), "")</f>
        <v/>
      </c>
    </row>
    <row r="4501">
      <c r="A4501" t="inlineStr">
        <is>
          <t>RP0004500</t>
        </is>
      </c>
      <c r="B4501" t="inlineStr">
        <is>
          <t>LN200642</t>
        </is>
      </c>
      <c r="C4501" t="n">
        <v>9</v>
      </c>
      <c r="D4501" s="8" t="n">
        <v>46150</v>
      </c>
      <c r="E4501" s="9" t="n">
        <v>64729</v>
      </c>
      <c r="F4501" s="8" t="n">
        <v>46152</v>
      </c>
      <c r="G4501" s="9" t="n">
        <v>64729</v>
      </c>
      <c r="H4501" t="inlineStr">
        <is>
          <t>PAID_ON_TIME</t>
        </is>
      </c>
      <c r="I4501">
        <f>IF(H4501="UNPAID", AsOfDate-D4501, 0)</f>
        <v/>
      </c>
      <c r="J4501">
        <f>IF(F4501&lt;&gt;"", TEXT(F4501, "yyyy-mm"), "")</f>
        <v/>
      </c>
    </row>
    <row r="4502">
      <c r="A4502" t="inlineStr">
        <is>
          <t>RP0004501</t>
        </is>
      </c>
      <c r="B4502" t="inlineStr">
        <is>
          <t>LN200642</t>
        </is>
      </c>
      <c r="C4502" t="n">
        <v>10</v>
      </c>
      <c r="D4502" s="8" t="n">
        <v>46181</v>
      </c>
      <c r="E4502" s="9" t="n">
        <v>64729</v>
      </c>
      <c r="F4502" s="8" t="n">
        <v>46184</v>
      </c>
      <c r="G4502" s="9" t="n">
        <v>64729</v>
      </c>
      <c r="H4502" t="inlineStr">
        <is>
          <t>PAID_ON_TIME</t>
        </is>
      </c>
      <c r="I4502">
        <f>IF(H4502="UNPAID", AsOfDate-D4502, 0)</f>
        <v/>
      </c>
      <c r="J4502">
        <f>IF(F4502&lt;&gt;"", TEXT(F4502, "yyyy-mm"), "")</f>
        <v/>
      </c>
    </row>
    <row r="4503">
      <c r="A4503" t="inlineStr">
        <is>
          <t>RP0004502</t>
        </is>
      </c>
      <c r="B4503" t="inlineStr">
        <is>
          <t>LN200642</t>
        </is>
      </c>
      <c r="C4503" t="n">
        <v>11</v>
      </c>
      <c r="D4503" s="8" t="n">
        <v>46211</v>
      </c>
      <c r="E4503" s="9" t="n">
        <v>64729</v>
      </c>
      <c r="F4503" s="8" t="n">
        <v>46212</v>
      </c>
      <c r="G4503" s="9" t="n">
        <v>64729</v>
      </c>
      <c r="H4503" t="inlineStr">
        <is>
          <t>PAID_ON_TIME</t>
        </is>
      </c>
      <c r="I4503">
        <f>IF(H4503="UNPAID", AsOfDate-D4503, 0)</f>
        <v/>
      </c>
      <c r="J4503">
        <f>IF(F4503&lt;&gt;"", TEXT(F4503, "yyyy-mm"), "")</f>
        <v/>
      </c>
    </row>
    <row r="4504">
      <c r="A4504" t="inlineStr">
        <is>
          <t>RP0004503</t>
        </is>
      </c>
      <c r="B4504" t="inlineStr">
        <is>
          <t>LN200642</t>
        </is>
      </c>
      <c r="C4504" t="n">
        <v>12</v>
      </c>
      <c r="D4504" s="8" t="n">
        <v>46242</v>
      </c>
      <c r="E4504" s="9" t="n">
        <v>64729</v>
      </c>
      <c r="F4504" s="8" t="n">
        <v>46242</v>
      </c>
      <c r="G4504" s="9" t="n">
        <v>64729</v>
      </c>
      <c r="H4504" t="inlineStr">
        <is>
          <t>PAID_ON_TIME</t>
        </is>
      </c>
      <c r="I4504">
        <f>IF(H4504="UNPAID", AsOfDate-D4504, 0)</f>
        <v/>
      </c>
      <c r="J4504">
        <f>IF(F4504&lt;&gt;"", TEXT(F4504, "yyyy-mm"), "")</f>
        <v/>
      </c>
    </row>
    <row r="4505">
      <c r="A4505" t="inlineStr">
        <is>
          <t>RP0004504</t>
        </is>
      </c>
      <c r="B4505" t="inlineStr">
        <is>
          <t>LN200642</t>
        </is>
      </c>
      <c r="C4505" t="n">
        <v>13</v>
      </c>
      <c r="D4505" s="8" t="n">
        <v>46273</v>
      </c>
      <c r="E4505" s="9" t="n">
        <v>64729</v>
      </c>
      <c r="F4505" s="8" t="n"/>
      <c r="G4505" s="9" t="n">
        <v>0</v>
      </c>
      <c r="H4505" t="inlineStr">
        <is>
          <t>NOT_DUE</t>
        </is>
      </c>
      <c r="I4505">
        <f>IF(H4505="UNPAID", AsOfDate-D4505, 0)</f>
        <v/>
      </c>
      <c r="J4505">
        <f>IF(F4505&lt;&gt;"", TEXT(F4505, "yyyy-mm"), "")</f>
        <v/>
      </c>
    </row>
    <row r="4506">
      <c r="A4506" t="inlineStr">
        <is>
          <t>RP0004505</t>
        </is>
      </c>
      <c r="B4506" t="inlineStr">
        <is>
          <t>LN200642</t>
        </is>
      </c>
      <c r="C4506" t="n">
        <v>14</v>
      </c>
      <c r="D4506" s="8" t="n">
        <v>46303</v>
      </c>
      <c r="E4506" s="9" t="n">
        <v>64729</v>
      </c>
      <c r="F4506" s="8" t="n"/>
      <c r="G4506" s="9" t="n">
        <v>0</v>
      </c>
      <c r="H4506" t="inlineStr">
        <is>
          <t>NOT_DUE</t>
        </is>
      </c>
      <c r="I4506">
        <f>IF(H4506="UNPAID", AsOfDate-D4506, 0)</f>
        <v/>
      </c>
      <c r="J4506">
        <f>IF(F4506&lt;&gt;"", TEXT(F4506, "yyyy-mm"), "")</f>
        <v/>
      </c>
    </row>
    <row r="4507">
      <c r="A4507" t="inlineStr">
        <is>
          <t>RP0004506</t>
        </is>
      </c>
      <c r="B4507" t="inlineStr">
        <is>
          <t>LN200642</t>
        </is>
      </c>
      <c r="C4507" t="n">
        <v>15</v>
      </c>
      <c r="D4507" s="8" t="n">
        <v>46334</v>
      </c>
      <c r="E4507" s="9" t="n">
        <v>64729</v>
      </c>
      <c r="F4507" s="8" t="n"/>
      <c r="G4507" s="9" t="n">
        <v>0</v>
      </c>
      <c r="H4507" t="inlineStr">
        <is>
          <t>NOT_DUE</t>
        </is>
      </c>
      <c r="I4507">
        <f>IF(H4507="UNPAID", AsOfDate-D4507, 0)</f>
        <v/>
      </c>
      <c r="J4507">
        <f>IF(F4507&lt;&gt;"", TEXT(F4507, "yyyy-mm"), "")</f>
        <v/>
      </c>
    </row>
    <row r="4508">
      <c r="A4508" t="inlineStr">
        <is>
          <t>RP0004507</t>
        </is>
      </c>
      <c r="B4508" t="inlineStr">
        <is>
          <t>LN200642</t>
        </is>
      </c>
      <c r="C4508" t="n">
        <v>16</v>
      </c>
      <c r="D4508" s="8" t="n">
        <v>46364</v>
      </c>
      <c r="E4508" s="9" t="n">
        <v>64729</v>
      </c>
      <c r="F4508" s="8" t="n"/>
      <c r="G4508" s="9" t="n">
        <v>0</v>
      </c>
      <c r="H4508" t="inlineStr">
        <is>
          <t>NOT_DUE</t>
        </is>
      </c>
      <c r="I4508">
        <f>IF(H4508="UNPAID", AsOfDate-D4508, 0)</f>
        <v/>
      </c>
      <c r="J4508">
        <f>IF(F4508&lt;&gt;"", TEXT(F4508, "yyyy-mm"), "")</f>
        <v/>
      </c>
    </row>
    <row r="4509">
      <c r="A4509" t="inlineStr">
        <is>
          <t>RP0004508</t>
        </is>
      </c>
      <c r="B4509" t="inlineStr">
        <is>
          <t>LN200642</t>
        </is>
      </c>
      <c r="C4509" t="n">
        <v>17</v>
      </c>
      <c r="D4509" s="8" t="n">
        <v>46395</v>
      </c>
      <c r="E4509" s="9" t="n">
        <v>64729</v>
      </c>
      <c r="F4509" s="8" t="n"/>
      <c r="G4509" s="9" t="n">
        <v>0</v>
      </c>
      <c r="H4509" t="inlineStr">
        <is>
          <t>NOT_DUE</t>
        </is>
      </c>
      <c r="I4509">
        <f>IF(H4509="UNPAID", AsOfDate-D4509, 0)</f>
        <v/>
      </c>
      <c r="J4509">
        <f>IF(F4509&lt;&gt;"", TEXT(F4509, "yyyy-mm"), "")</f>
        <v/>
      </c>
    </row>
    <row r="4510">
      <c r="A4510" t="inlineStr">
        <is>
          <t>RP0004509</t>
        </is>
      </c>
      <c r="B4510" t="inlineStr">
        <is>
          <t>LN200642</t>
        </is>
      </c>
      <c r="C4510" t="n">
        <v>18</v>
      </c>
      <c r="D4510" s="8" t="n">
        <v>46426</v>
      </c>
      <c r="E4510" s="9" t="n">
        <v>64729</v>
      </c>
      <c r="F4510" s="8" t="n"/>
      <c r="G4510" s="9" t="n">
        <v>0</v>
      </c>
      <c r="H4510" t="inlineStr">
        <is>
          <t>NOT_DUE</t>
        </is>
      </c>
      <c r="I4510">
        <f>IF(H4510="UNPAID", AsOfDate-D4510, 0)</f>
        <v/>
      </c>
      <c r="J4510">
        <f>IF(F4510&lt;&gt;"", TEXT(F4510, "yyyy-mm"), "")</f>
        <v/>
      </c>
    </row>
    <row r="4511">
      <c r="A4511" t="inlineStr">
        <is>
          <t>RP0004510</t>
        </is>
      </c>
      <c r="B4511" t="inlineStr">
        <is>
          <t>LN200643</t>
        </is>
      </c>
      <c r="C4511" t="n">
        <v>1</v>
      </c>
      <c r="D4511" s="8" t="n">
        <v>46059</v>
      </c>
      <c r="E4511" s="9" t="n">
        <v>6459.92</v>
      </c>
      <c r="F4511" s="8" t="n">
        <v>46056</v>
      </c>
      <c r="G4511" s="9" t="n">
        <v>6459.92</v>
      </c>
      <c r="H4511" t="inlineStr">
        <is>
          <t>PAID_ON_TIME</t>
        </is>
      </c>
      <c r="I4511">
        <f>IF(H4511="UNPAID", AsOfDate-D4511, 0)</f>
        <v/>
      </c>
      <c r="J4511">
        <f>IF(F4511&lt;&gt;"", TEXT(F4511, "yyyy-mm"), "")</f>
        <v/>
      </c>
    </row>
    <row r="4512">
      <c r="A4512" t="inlineStr">
        <is>
          <t>RP0004511</t>
        </is>
      </c>
      <c r="B4512" t="inlineStr">
        <is>
          <t>LN200643</t>
        </is>
      </c>
      <c r="C4512" t="n">
        <v>2</v>
      </c>
      <c r="D4512" s="8" t="n">
        <v>46087</v>
      </c>
      <c r="E4512" s="9" t="n">
        <v>6459.92</v>
      </c>
      <c r="F4512" s="8" t="n">
        <v>46088</v>
      </c>
      <c r="G4512" s="9" t="n">
        <v>6459.92</v>
      </c>
      <c r="H4512" t="inlineStr">
        <is>
          <t>PAID_ON_TIME</t>
        </is>
      </c>
      <c r="I4512">
        <f>IF(H4512="UNPAID", AsOfDate-D4512, 0)</f>
        <v/>
      </c>
      <c r="J4512">
        <f>IF(F4512&lt;&gt;"", TEXT(F4512, "yyyy-mm"), "")</f>
        <v/>
      </c>
    </row>
    <row r="4513">
      <c r="A4513" t="inlineStr">
        <is>
          <t>RP0004512</t>
        </is>
      </c>
      <c r="B4513" t="inlineStr">
        <is>
          <t>LN200643</t>
        </is>
      </c>
      <c r="C4513" t="n">
        <v>3</v>
      </c>
      <c r="D4513" s="8" t="n">
        <v>46118</v>
      </c>
      <c r="E4513" s="9" t="n">
        <v>6459.92</v>
      </c>
      <c r="F4513" s="8" t="n">
        <v>46121</v>
      </c>
      <c r="G4513" s="9" t="n">
        <v>6459.92</v>
      </c>
      <c r="H4513" t="inlineStr">
        <is>
          <t>PAID_ON_TIME</t>
        </is>
      </c>
      <c r="I4513">
        <f>IF(H4513="UNPAID", AsOfDate-D4513, 0)</f>
        <v/>
      </c>
      <c r="J4513">
        <f>IF(F4513&lt;&gt;"", TEXT(F4513, "yyyy-mm"), "")</f>
        <v/>
      </c>
    </row>
    <row r="4514">
      <c r="A4514" t="inlineStr">
        <is>
          <t>RP0004513</t>
        </is>
      </c>
      <c r="B4514" t="inlineStr">
        <is>
          <t>LN200643</t>
        </is>
      </c>
      <c r="C4514" t="n">
        <v>4</v>
      </c>
      <c r="D4514" s="8" t="n">
        <v>46148</v>
      </c>
      <c r="E4514" s="9" t="n">
        <v>6459.92</v>
      </c>
      <c r="F4514" s="8" t="n">
        <v>46147</v>
      </c>
      <c r="G4514" s="9" t="n">
        <v>6459.92</v>
      </c>
      <c r="H4514" t="inlineStr">
        <is>
          <t>PAID_ON_TIME</t>
        </is>
      </c>
      <c r="I4514">
        <f>IF(H4514="UNPAID", AsOfDate-D4514, 0)</f>
        <v/>
      </c>
      <c r="J4514">
        <f>IF(F4514&lt;&gt;"", TEXT(F4514, "yyyy-mm"), "")</f>
        <v/>
      </c>
    </row>
    <row r="4515">
      <c r="A4515" t="inlineStr">
        <is>
          <t>RP0004514</t>
        </is>
      </c>
      <c r="B4515" t="inlineStr">
        <is>
          <t>LN200643</t>
        </is>
      </c>
      <c r="C4515" t="n">
        <v>5</v>
      </c>
      <c r="D4515" s="8" t="n">
        <v>46179</v>
      </c>
      <c r="E4515" s="9" t="n">
        <v>6459.92</v>
      </c>
      <c r="F4515" s="8" t="n">
        <v>46246</v>
      </c>
      <c r="G4515" s="9" t="n">
        <v>6459.92</v>
      </c>
      <c r="H4515" t="inlineStr">
        <is>
          <t>PAID_LATE</t>
        </is>
      </c>
      <c r="I4515">
        <f>IF(H4515="UNPAID", AsOfDate-D4515, 0)</f>
        <v/>
      </c>
      <c r="J4515">
        <f>IF(F4515&lt;&gt;"", TEXT(F4515, "yyyy-mm"), "")</f>
        <v/>
      </c>
    </row>
    <row r="4516">
      <c r="A4516" t="inlineStr">
        <is>
          <t>RP0004515</t>
        </is>
      </c>
      <c r="B4516" t="inlineStr">
        <is>
          <t>LN200643</t>
        </is>
      </c>
      <c r="C4516" t="n">
        <v>6</v>
      </c>
      <c r="D4516" s="8" t="n">
        <v>46209</v>
      </c>
      <c r="E4516" s="9" t="n">
        <v>6459.92</v>
      </c>
      <c r="F4516" s="8" t="n">
        <v>46209</v>
      </c>
      <c r="G4516" s="9" t="n">
        <v>6459.92</v>
      </c>
      <c r="H4516" t="inlineStr">
        <is>
          <t>PAID_ON_TIME</t>
        </is>
      </c>
      <c r="I4516">
        <f>IF(H4516="UNPAID", AsOfDate-D4516, 0)</f>
        <v/>
      </c>
      <c r="J4516">
        <f>IF(F4516&lt;&gt;"", TEXT(F4516, "yyyy-mm"), "")</f>
        <v/>
      </c>
    </row>
    <row r="4517">
      <c r="A4517" t="inlineStr">
        <is>
          <t>RP0004516</t>
        </is>
      </c>
      <c r="B4517" t="inlineStr">
        <is>
          <t>LN200643</t>
        </is>
      </c>
      <c r="C4517" t="n">
        <v>7</v>
      </c>
      <c r="D4517" s="8" t="n">
        <v>46240</v>
      </c>
      <c r="E4517" s="9" t="n">
        <v>6459.92</v>
      </c>
      <c r="F4517" s="8" t="n">
        <v>46240</v>
      </c>
      <c r="G4517" s="9" t="n">
        <v>6459.92</v>
      </c>
      <c r="H4517" t="inlineStr">
        <is>
          <t>PAID_ON_TIME</t>
        </is>
      </c>
      <c r="I4517">
        <f>IF(H4517="UNPAID", AsOfDate-D4517, 0)</f>
        <v/>
      </c>
      <c r="J4517">
        <f>IF(F4517&lt;&gt;"", TEXT(F4517, "yyyy-mm"), "")</f>
        <v/>
      </c>
    </row>
    <row r="4518">
      <c r="A4518" t="inlineStr">
        <is>
          <t>RP0004517</t>
        </is>
      </c>
      <c r="B4518" t="inlineStr">
        <is>
          <t>LN200643</t>
        </is>
      </c>
      <c r="C4518" t="n">
        <v>8</v>
      </c>
      <c r="D4518" s="8" t="n">
        <v>46271</v>
      </c>
      <c r="E4518" s="9" t="n">
        <v>6459.92</v>
      </c>
      <c r="F4518" s="8" t="n"/>
      <c r="G4518" s="9" t="n">
        <v>0</v>
      </c>
      <c r="H4518" t="inlineStr">
        <is>
          <t>NOT_DUE</t>
        </is>
      </c>
      <c r="I4518">
        <f>IF(H4518="UNPAID", AsOfDate-D4518, 0)</f>
        <v/>
      </c>
      <c r="J4518">
        <f>IF(F4518&lt;&gt;"", TEXT(F4518, "yyyy-mm"), "")</f>
        <v/>
      </c>
    </row>
    <row r="4519">
      <c r="A4519" t="inlineStr">
        <is>
          <t>RP0004518</t>
        </is>
      </c>
      <c r="B4519" t="inlineStr">
        <is>
          <t>LN200643</t>
        </is>
      </c>
      <c r="C4519" t="n">
        <v>9</v>
      </c>
      <c r="D4519" s="8" t="n">
        <v>46301</v>
      </c>
      <c r="E4519" s="9" t="n">
        <v>6459.92</v>
      </c>
      <c r="F4519" s="8" t="n"/>
      <c r="G4519" s="9" t="n">
        <v>0</v>
      </c>
      <c r="H4519" t="inlineStr">
        <is>
          <t>NOT_DUE</t>
        </is>
      </c>
      <c r="I4519">
        <f>IF(H4519="UNPAID", AsOfDate-D4519, 0)</f>
        <v/>
      </c>
      <c r="J4519">
        <f>IF(F4519&lt;&gt;"", TEXT(F4519, "yyyy-mm"), "")</f>
        <v/>
      </c>
    </row>
    <row r="4520">
      <c r="A4520" t="inlineStr">
        <is>
          <t>RP0004519</t>
        </is>
      </c>
      <c r="B4520" t="inlineStr">
        <is>
          <t>LN200643</t>
        </is>
      </c>
      <c r="C4520" t="n">
        <v>10</v>
      </c>
      <c r="D4520" s="8" t="n">
        <v>46332</v>
      </c>
      <c r="E4520" s="9" t="n">
        <v>6459.92</v>
      </c>
      <c r="F4520" s="8" t="n"/>
      <c r="G4520" s="9" t="n">
        <v>0</v>
      </c>
      <c r="H4520" t="inlineStr">
        <is>
          <t>NOT_DUE</t>
        </is>
      </c>
      <c r="I4520">
        <f>IF(H4520="UNPAID", AsOfDate-D4520, 0)</f>
        <v/>
      </c>
      <c r="J4520">
        <f>IF(F4520&lt;&gt;"", TEXT(F4520, "yyyy-mm"), "")</f>
        <v/>
      </c>
    </row>
    <row r="4521">
      <c r="A4521" t="inlineStr">
        <is>
          <t>RP0004520</t>
        </is>
      </c>
      <c r="B4521" t="inlineStr">
        <is>
          <t>LN200643</t>
        </is>
      </c>
      <c r="C4521" t="n">
        <v>11</v>
      </c>
      <c r="D4521" s="8" t="n">
        <v>46362</v>
      </c>
      <c r="E4521" s="9" t="n">
        <v>6459.92</v>
      </c>
      <c r="F4521" s="8" t="n"/>
      <c r="G4521" s="9" t="n">
        <v>0</v>
      </c>
      <c r="H4521" t="inlineStr">
        <is>
          <t>NOT_DUE</t>
        </is>
      </c>
      <c r="I4521">
        <f>IF(H4521="UNPAID", AsOfDate-D4521, 0)</f>
        <v/>
      </c>
      <c r="J4521">
        <f>IF(F4521&lt;&gt;"", TEXT(F4521, "yyyy-mm"), "")</f>
        <v/>
      </c>
    </row>
    <row r="4522">
      <c r="A4522" t="inlineStr">
        <is>
          <t>RP0004521</t>
        </is>
      </c>
      <c r="B4522" t="inlineStr">
        <is>
          <t>LN200643</t>
        </is>
      </c>
      <c r="C4522" t="n">
        <v>12</v>
      </c>
      <c r="D4522" s="8" t="n">
        <v>46393</v>
      </c>
      <c r="E4522" s="9" t="n">
        <v>6459.92</v>
      </c>
      <c r="F4522" s="8" t="n"/>
      <c r="G4522" s="9" t="n">
        <v>0</v>
      </c>
      <c r="H4522" t="inlineStr">
        <is>
          <t>NOT_DUE</t>
        </is>
      </c>
      <c r="I4522">
        <f>IF(H4522="UNPAID", AsOfDate-D4522, 0)</f>
        <v/>
      </c>
      <c r="J4522">
        <f>IF(F4522&lt;&gt;"", TEXT(F4522, "yyyy-mm"), "")</f>
        <v/>
      </c>
    </row>
    <row r="4523">
      <c r="A4523" t="inlineStr">
        <is>
          <t>RP0004522</t>
        </is>
      </c>
      <c r="B4523" t="inlineStr">
        <is>
          <t>LN200644</t>
        </is>
      </c>
      <c r="C4523" t="n">
        <v>1</v>
      </c>
      <c r="D4523" s="8" t="n">
        <v>45752</v>
      </c>
      <c r="E4523" s="9" t="n">
        <v>10438.08</v>
      </c>
      <c r="F4523" s="8" t="n">
        <v>45756</v>
      </c>
      <c r="G4523" s="9" t="n">
        <v>10438.08</v>
      </c>
      <c r="H4523" t="inlineStr">
        <is>
          <t>PAID_ON_TIME</t>
        </is>
      </c>
      <c r="I4523">
        <f>IF(H4523="UNPAID", AsOfDate-D4523, 0)</f>
        <v/>
      </c>
      <c r="J4523">
        <f>IF(F4523&lt;&gt;"", TEXT(F4523, "yyyy-mm"), "")</f>
        <v/>
      </c>
    </row>
    <row r="4524">
      <c r="A4524" t="inlineStr">
        <is>
          <t>RP0004523</t>
        </is>
      </c>
      <c r="B4524" t="inlineStr">
        <is>
          <t>LN200644</t>
        </is>
      </c>
      <c r="C4524" t="n">
        <v>2</v>
      </c>
      <c r="D4524" s="8" t="n">
        <v>45782</v>
      </c>
      <c r="E4524" s="9" t="n">
        <v>10438.08</v>
      </c>
      <c r="F4524" s="8" t="n">
        <v>45780</v>
      </c>
      <c r="G4524" s="9" t="n">
        <v>10438.08</v>
      </c>
      <c r="H4524" t="inlineStr">
        <is>
          <t>PAID_ON_TIME</t>
        </is>
      </c>
      <c r="I4524">
        <f>IF(H4524="UNPAID", AsOfDate-D4524, 0)</f>
        <v/>
      </c>
      <c r="J4524">
        <f>IF(F4524&lt;&gt;"", TEXT(F4524, "yyyy-mm"), "")</f>
        <v/>
      </c>
    </row>
    <row r="4525">
      <c r="A4525" t="inlineStr">
        <is>
          <t>RP0004524</t>
        </is>
      </c>
      <c r="B4525" t="inlineStr">
        <is>
          <t>LN200644</t>
        </is>
      </c>
      <c r="C4525" t="n">
        <v>3</v>
      </c>
      <c r="D4525" s="8" t="n">
        <v>45813</v>
      </c>
      <c r="E4525" s="9" t="n">
        <v>10438.08</v>
      </c>
      <c r="F4525" s="8" t="n">
        <v>45813</v>
      </c>
      <c r="G4525" s="9" t="n">
        <v>10438.08</v>
      </c>
      <c r="H4525" t="inlineStr">
        <is>
          <t>PAID_ON_TIME</t>
        </is>
      </c>
      <c r="I4525">
        <f>IF(H4525="UNPAID", AsOfDate-D4525, 0)</f>
        <v/>
      </c>
      <c r="J4525">
        <f>IF(F4525&lt;&gt;"", TEXT(F4525, "yyyy-mm"), "")</f>
        <v/>
      </c>
    </row>
    <row r="4526">
      <c r="A4526" t="inlineStr">
        <is>
          <t>RP0004525</t>
        </is>
      </c>
      <c r="B4526" t="inlineStr">
        <is>
          <t>LN200644</t>
        </is>
      </c>
      <c r="C4526" t="n">
        <v>4</v>
      </c>
      <c r="D4526" s="8" t="n">
        <v>45843</v>
      </c>
      <c r="E4526" s="9" t="n">
        <v>10438.08</v>
      </c>
      <c r="F4526" s="8" t="n">
        <v>45881</v>
      </c>
      <c r="G4526" s="9" t="n">
        <v>10438.08</v>
      </c>
      <c r="H4526" t="inlineStr">
        <is>
          <t>PAID_LATE</t>
        </is>
      </c>
      <c r="I4526">
        <f>IF(H4526="UNPAID", AsOfDate-D4526, 0)</f>
        <v/>
      </c>
      <c r="J4526">
        <f>IF(F4526&lt;&gt;"", TEXT(F4526, "yyyy-mm"), "")</f>
        <v/>
      </c>
    </row>
    <row r="4527">
      <c r="A4527" t="inlineStr">
        <is>
          <t>RP0004526</t>
        </is>
      </c>
      <c r="B4527" t="inlineStr">
        <is>
          <t>LN200644</t>
        </is>
      </c>
      <c r="C4527" t="n">
        <v>5</v>
      </c>
      <c r="D4527" s="8" t="n">
        <v>45874</v>
      </c>
      <c r="E4527" s="9" t="n">
        <v>10438.08</v>
      </c>
      <c r="F4527" s="8" t="n">
        <v>45936</v>
      </c>
      <c r="G4527" s="9" t="n">
        <v>10438.08</v>
      </c>
      <c r="H4527" t="inlineStr">
        <is>
          <t>PAID_LATE</t>
        </is>
      </c>
      <c r="I4527">
        <f>IF(H4527="UNPAID", AsOfDate-D4527, 0)</f>
        <v/>
      </c>
      <c r="J4527">
        <f>IF(F4527&lt;&gt;"", TEXT(F4527, "yyyy-mm"), "")</f>
        <v/>
      </c>
    </row>
    <row r="4528">
      <c r="A4528" t="inlineStr">
        <is>
          <t>RP0004527</t>
        </is>
      </c>
      <c r="B4528" t="inlineStr">
        <is>
          <t>LN200644</t>
        </is>
      </c>
      <c r="C4528" t="n">
        <v>6</v>
      </c>
      <c r="D4528" s="8" t="n">
        <v>45905</v>
      </c>
      <c r="E4528" s="9" t="n">
        <v>10438.08</v>
      </c>
      <c r="F4528" s="8" t="n">
        <v>45909</v>
      </c>
      <c r="G4528" s="9" t="n">
        <v>10438.08</v>
      </c>
      <c r="H4528" t="inlineStr">
        <is>
          <t>PAID_ON_TIME</t>
        </is>
      </c>
      <c r="I4528">
        <f>IF(H4528="UNPAID", AsOfDate-D4528, 0)</f>
        <v/>
      </c>
      <c r="J4528">
        <f>IF(F4528&lt;&gt;"", TEXT(F4528, "yyyy-mm"), "")</f>
        <v/>
      </c>
    </row>
    <row r="4529">
      <c r="A4529" t="inlineStr">
        <is>
          <t>RP0004528</t>
        </is>
      </c>
      <c r="B4529" t="inlineStr">
        <is>
          <t>LN200645</t>
        </is>
      </c>
      <c r="C4529" t="n">
        <v>1</v>
      </c>
      <c r="D4529" s="8" t="n">
        <v>45797</v>
      </c>
      <c r="E4529" s="9" t="n">
        <v>12944.17</v>
      </c>
      <c r="F4529" s="8" t="n">
        <v>45800</v>
      </c>
      <c r="G4529" s="9" t="n">
        <v>12944.17</v>
      </c>
      <c r="H4529" t="inlineStr">
        <is>
          <t>PAID_ON_TIME</t>
        </is>
      </c>
      <c r="I4529">
        <f>IF(H4529="UNPAID", AsOfDate-D4529, 0)</f>
        <v/>
      </c>
      <c r="J4529">
        <f>IF(F4529&lt;&gt;"", TEXT(F4529, "yyyy-mm"), "")</f>
        <v/>
      </c>
    </row>
    <row r="4530">
      <c r="A4530" t="inlineStr">
        <is>
          <t>RP0004529</t>
        </is>
      </c>
      <c r="B4530" t="inlineStr">
        <is>
          <t>LN200645</t>
        </is>
      </c>
      <c r="C4530" t="n">
        <v>2</v>
      </c>
      <c r="D4530" s="8" t="n">
        <v>45828</v>
      </c>
      <c r="E4530" s="9" t="n">
        <v>12944.17</v>
      </c>
      <c r="F4530" s="8" t="n">
        <v>45829</v>
      </c>
      <c r="G4530" s="9" t="n">
        <v>12944.17</v>
      </c>
      <c r="H4530" t="inlineStr">
        <is>
          <t>PAID_ON_TIME</t>
        </is>
      </c>
      <c r="I4530">
        <f>IF(H4530="UNPAID", AsOfDate-D4530, 0)</f>
        <v/>
      </c>
      <c r="J4530">
        <f>IF(F4530&lt;&gt;"", TEXT(F4530, "yyyy-mm"), "")</f>
        <v/>
      </c>
    </row>
    <row r="4531">
      <c r="A4531" t="inlineStr">
        <is>
          <t>RP0004530</t>
        </is>
      </c>
      <c r="B4531" t="inlineStr">
        <is>
          <t>LN200645</t>
        </is>
      </c>
      <c r="C4531" t="n">
        <v>3</v>
      </c>
      <c r="D4531" s="8" t="n">
        <v>45858</v>
      </c>
      <c r="E4531" s="9" t="n">
        <v>12944.17</v>
      </c>
      <c r="F4531" s="8" t="n">
        <v>45944</v>
      </c>
      <c r="G4531" s="9" t="n">
        <v>12944.17</v>
      </c>
      <c r="H4531" t="inlineStr">
        <is>
          <t>PAID_LATE</t>
        </is>
      </c>
      <c r="I4531">
        <f>IF(H4531="UNPAID", AsOfDate-D4531, 0)</f>
        <v/>
      </c>
      <c r="J4531">
        <f>IF(F4531&lt;&gt;"", TEXT(F4531, "yyyy-mm"), "")</f>
        <v/>
      </c>
    </row>
    <row r="4532">
      <c r="A4532" t="inlineStr">
        <is>
          <t>RP0004531</t>
        </is>
      </c>
      <c r="B4532" t="inlineStr">
        <is>
          <t>LN200645</t>
        </is>
      </c>
      <c r="C4532" t="n">
        <v>4</v>
      </c>
      <c r="D4532" s="8" t="n">
        <v>45889</v>
      </c>
      <c r="E4532" s="9" t="n">
        <v>12944.17</v>
      </c>
      <c r="F4532" s="8" t="n">
        <v>45890</v>
      </c>
      <c r="G4532" s="9" t="n">
        <v>12944.17</v>
      </c>
      <c r="H4532" t="inlineStr">
        <is>
          <t>PAID_ON_TIME</t>
        </is>
      </c>
      <c r="I4532">
        <f>IF(H4532="UNPAID", AsOfDate-D4532, 0)</f>
        <v/>
      </c>
      <c r="J4532">
        <f>IF(F4532&lt;&gt;"", TEXT(F4532, "yyyy-mm"), "")</f>
        <v/>
      </c>
    </row>
    <row r="4533">
      <c r="A4533" t="inlineStr">
        <is>
          <t>RP0004532</t>
        </is>
      </c>
      <c r="B4533" t="inlineStr">
        <is>
          <t>LN200645</t>
        </is>
      </c>
      <c r="C4533" t="n">
        <v>5</v>
      </c>
      <c r="D4533" s="8" t="n">
        <v>45920</v>
      </c>
      <c r="E4533" s="9" t="n">
        <v>12944.17</v>
      </c>
      <c r="F4533" s="8" t="n">
        <v>45923</v>
      </c>
      <c r="G4533" s="9" t="n">
        <v>12944.17</v>
      </c>
      <c r="H4533" t="inlineStr">
        <is>
          <t>PAID_ON_TIME</t>
        </is>
      </c>
      <c r="I4533">
        <f>IF(H4533="UNPAID", AsOfDate-D4533, 0)</f>
        <v/>
      </c>
      <c r="J4533">
        <f>IF(F4533&lt;&gt;"", TEXT(F4533, "yyyy-mm"), "")</f>
        <v/>
      </c>
    </row>
    <row r="4534">
      <c r="A4534" t="inlineStr">
        <is>
          <t>RP0004533</t>
        </is>
      </c>
      <c r="B4534" t="inlineStr">
        <is>
          <t>LN200645</t>
        </is>
      </c>
      <c r="C4534" t="n">
        <v>6</v>
      </c>
      <c r="D4534" s="8" t="n">
        <v>45950</v>
      </c>
      <c r="E4534" s="9" t="n">
        <v>12944.17</v>
      </c>
      <c r="F4534" s="8" t="n">
        <v>45952</v>
      </c>
      <c r="G4534" s="9" t="n">
        <v>12944.17</v>
      </c>
      <c r="H4534" t="inlineStr">
        <is>
          <t>PAID_ON_TIME</t>
        </is>
      </c>
      <c r="I4534">
        <f>IF(H4534="UNPAID", AsOfDate-D4534, 0)</f>
        <v/>
      </c>
      <c r="J4534">
        <f>IF(F4534&lt;&gt;"", TEXT(F4534, "yyyy-mm"), "")</f>
        <v/>
      </c>
    </row>
    <row r="4535">
      <c r="A4535" t="inlineStr">
        <is>
          <t>RP0004534</t>
        </is>
      </c>
      <c r="B4535" t="inlineStr">
        <is>
          <t>LN200646</t>
        </is>
      </c>
      <c r="C4535" t="n">
        <v>1</v>
      </c>
      <c r="D4535" s="8" t="n">
        <v>46025</v>
      </c>
      <c r="E4535" s="9" t="n">
        <v>3160</v>
      </c>
      <c r="F4535" s="8" t="n">
        <v>46069</v>
      </c>
      <c r="G4535" s="9" t="n">
        <v>3160</v>
      </c>
      <c r="H4535" t="inlineStr">
        <is>
          <t>PAID_LATE</t>
        </is>
      </c>
      <c r="I4535">
        <f>IF(H4535="UNPAID", AsOfDate-D4535, 0)</f>
        <v/>
      </c>
      <c r="J4535">
        <f>IF(F4535&lt;&gt;"", TEXT(F4535, "yyyy-mm"), "")</f>
        <v/>
      </c>
    </row>
    <row r="4536">
      <c r="A4536" t="inlineStr">
        <is>
          <t>RP0004535</t>
        </is>
      </c>
      <c r="B4536" t="inlineStr">
        <is>
          <t>LN200646</t>
        </is>
      </c>
      <c r="C4536" t="n">
        <v>2</v>
      </c>
      <c r="D4536" s="8" t="n">
        <v>46056</v>
      </c>
      <c r="E4536" s="9" t="n">
        <v>3160</v>
      </c>
      <c r="F4536" s="8" t="n">
        <v>46173</v>
      </c>
      <c r="G4536" s="9" t="n">
        <v>3160</v>
      </c>
      <c r="H4536" t="inlineStr">
        <is>
          <t>PAID_LATE</t>
        </is>
      </c>
      <c r="I4536">
        <f>IF(H4536="UNPAID", AsOfDate-D4536, 0)</f>
        <v/>
      </c>
      <c r="J4536">
        <f>IF(F4536&lt;&gt;"", TEXT(F4536, "yyyy-mm"), "")</f>
        <v/>
      </c>
    </row>
    <row r="4537">
      <c r="A4537" t="inlineStr">
        <is>
          <t>RP0004536</t>
        </is>
      </c>
      <c r="B4537" t="inlineStr">
        <is>
          <t>LN200646</t>
        </is>
      </c>
      <c r="C4537" t="n">
        <v>3</v>
      </c>
      <c r="D4537" s="8" t="n">
        <v>46084</v>
      </c>
      <c r="E4537" s="9" t="n">
        <v>3160</v>
      </c>
      <c r="F4537" s="8" t="n">
        <v>46085</v>
      </c>
      <c r="G4537" s="9" t="n">
        <v>3160</v>
      </c>
      <c r="H4537" t="inlineStr">
        <is>
          <t>PAID_ON_TIME</t>
        </is>
      </c>
      <c r="I4537">
        <f>IF(H4537="UNPAID", AsOfDate-D4537, 0)</f>
        <v/>
      </c>
      <c r="J4537">
        <f>IF(F4537&lt;&gt;"", TEXT(F4537, "yyyy-mm"), "")</f>
        <v/>
      </c>
    </row>
    <row r="4538">
      <c r="A4538" t="inlineStr">
        <is>
          <t>RP0004537</t>
        </is>
      </c>
      <c r="B4538" t="inlineStr">
        <is>
          <t>LN200646</t>
        </is>
      </c>
      <c r="C4538" t="n">
        <v>4</v>
      </c>
      <c r="D4538" s="8" t="n">
        <v>46115</v>
      </c>
      <c r="E4538" s="9" t="n">
        <v>3160</v>
      </c>
      <c r="F4538" s="8" t="n">
        <v>46117</v>
      </c>
      <c r="G4538" s="9" t="n">
        <v>3160</v>
      </c>
      <c r="H4538" t="inlineStr">
        <is>
          <t>PAID_ON_TIME</t>
        </is>
      </c>
      <c r="I4538">
        <f>IF(H4538="UNPAID", AsOfDate-D4538, 0)</f>
        <v/>
      </c>
      <c r="J4538">
        <f>IF(F4538&lt;&gt;"", TEXT(F4538, "yyyy-mm"), "")</f>
        <v/>
      </c>
    </row>
    <row r="4539">
      <c r="A4539" t="inlineStr">
        <is>
          <t>RP0004538</t>
        </is>
      </c>
      <c r="B4539" t="inlineStr">
        <is>
          <t>LN200646</t>
        </is>
      </c>
      <c r="C4539" t="n">
        <v>5</v>
      </c>
      <c r="D4539" s="8" t="n">
        <v>46145</v>
      </c>
      <c r="E4539" s="9" t="n">
        <v>3160</v>
      </c>
      <c r="F4539" s="8" t="n">
        <v>46143</v>
      </c>
      <c r="G4539" s="9" t="n">
        <v>3160</v>
      </c>
      <c r="H4539" t="inlineStr">
        <is>
          <t>PAID_ON_TIME</t>
        </is>
      </c>
      <c r="I4539">
        <f>IF(H4539="UNPAID", AsOfDate-D4539, 0)</f>
        <v/>
      </c>
      <c r="J4539">
        <f>IF(F4539&lt;&gt;"", TEXT(F4539, "yyyy-mm"), "")</f>
        <v/>
      </c>
    </row>
    <row r="4540">
      <c r="A4540" t="inlineStr">
        <is>
          <t>RP0004539</t>
        </is>
      </c>
      <c r="B4540" t="inlineStr">
        <is>
          <t>LN200646</t>
        </is>
      </c>
      <c r="C4540" t="n">
        <v>6</v>
      </c>
      <c r="D4540" s="8" t="n">
        <v>46176</v>
      </c>
      <c r="E4540" s="9" t="n">
        <v>3160</v>
      </c>
      <c r="F4540" s="8" t="n">
        <v>46174</v>
      </c>
      <c r="G4540" s="9" t="n">
        <v>3160</v>
      </c>
      <c r="H4540" t="inlineStr">
        <is>
          <t>PAID_ON_TIME</t>
        </is>
      </c>
      <c r="I4540">
        <f>IF(H4540="UNPAID", AsOfDate-D4540, 0)</f>
        <v/>
      </c>
      <c r="J4540">
        <f>IF(F4540&lt;&gt;"", TEXT(F4540, "yyyy-mm"), "")</f>
        <v/>
      </c>
    </row>
    <row r="4541">
      <c r="A4541" t="inlineStr">
        <is>
          <t>RP0004540</t>
        </is>
      </c>
      <c r="B4541" t="inlineStr">
        <is>
          <t>LN200646</t>
        </is>
      </c>
      <c r="C4541" t="n">
        <v>7</v>
      </c>
      <c r="D4541" s="8" t="n">
        <v>46206</v>
      </c>
      <c r="E4541" s="9" t="n">
        <v>3160</v>
      </c>
      <c r="F4541" s="8" t="n">
        <v>46205</v>
      </c>
      <c r="G4541" s="9" t="n">
        <v>3160</v>
      </c>
      <c r="H4541" t="inlineStr">
        <is>
          <t>PAID_ON_TIME</t>
        </is>
      </c>
      <c r="I4541">
        <f>IF(H4541="UNPAID", AsOfDate-D4541, 0)</f>
        <v/>
      </c>
      <c r="J4541">
        <f>IF(F4541&lt;&gt;"", TEXT(F4541, "yyyy-mm"), "")</f>
        <v/>
      </c>
    </row>
    <row r="4542">
      <c r="A4542" t="inlineStr">
        <is>
          <t>RP0004541</t>
        </is>
      </c>
      <c r="B4542" t="inlineStr">
        <is>
          <t>LN200646</t>
        </is>
      </c>
      <c r="C4542" t="n">
        <v>8</v>
      </c>
      <c r="D4542" s="8" t="n">
        <v>46237</v>
      </c>
      <c r="E4542" s="9" t="n">
        <v>3160</v>
      </c>
      <c r="F4542" s="8" t="n">
        <v>46237</v>
      </c>
      <c r="G4542" s="9" t="n">
        <v>3160</v>
      </c>
      <c r="H4542" t="inlineStr">
        <is>
          <t>PAID_ON_TIME</t>
        </is>
      </c>
      <c r="I4542">
        <f>IF(H4542="UNPAID", AsOfDate-D4542, 0)</f>
        <v/>
      </c>
      <c r="J4542">
        <f>IF(F4542&lt;&gt;"", TEXT(F4542, "yyyy-mm"), "")</f>
        <v/>
      </c>
    </row>
    <row r="4543">
      <c r="A4543" t="inlineStr">
        <is>
          <t>RP0004542</t>
        </is>
      </c>
      <c r="B4543" t="inlineStr">
        <is>
          <t>LN200646</t>
        </is>
      </c>
      <c r="C4543" t="n">
        <v>9</v>
      </c>
      <c r="D4543" s="8" t="n">
        <v>46268</v>
      </c>
      <c r="E4543" s="9" t="n">
        <v>3160</v>
      </c>
      <c r="F4543" s="8" t="n"/>
      <c r="G4543" s="9" t="n">
        <v>0</v>
      </c>
      <c r="H4543" t="inlineStr">
        <is>
          <t>NOT_DUE</t>
        </is>
      </c>
      <c r="I4543">
        <f>IF(H4543="UNPAID", AsOfDate-D4543, 0)</f>
        <v/>
      </c>
      <c r="J4543">
        <f>IF(F4543&lt;&gt;"", TEXT(F4543, "yyyy-mm"), "")</f>
        <v/>
      </c>
    </row>
    <row r="4544">
      <c r="A4544" t="inlineStr">
        <is>
          <t>RP0004543</t>
        </is>
      </c>
      <c r="B4544" t="inlineStr">
        <is>
          <t>LN200646</t>
        </is>
      </c>
      <c r="C4544" t="n">
        <v>10</v>
      </c>
      <c r="D4544" s="8" t="n">
        <v>46298</v>
      </c>
      <c r="E4544" s="9" t="n">
        <v>3160</v>
      </c>
      <c r="F4544" s="8" t="n"/>
      <c r="G4544" s="9" t="n">
        <v>0</v>
      </c>
      <c r="H4544" t="inlineStr">
        <is>
          <t>NOT_DUE</t>
        </is>
      </c>
      <c r="I4544">
        <f>IF(H4544="UNPAID", AsOfDate-D4544, 0)</f>
        <v/>
      </c>
      <c r="J4544">
        <f>IF(F4544&lt;&gt;"", TEXT(F4544, "yyyy-mm"), "")</f>
        <v/>
      </c>
    </row>
    <row r="4545">
      <c r="A4545" t="inlineStr">
        <is>
          <t>RP0004544</t>
        </is>
      </c>
      <c r="B4545" t="inlineStr">
        <is>
          <t>LN200646</t>
        </is>
      </c>
      <c r="C4545" t="n">
        <v>11</v>
      </c>
      <c r="D4545" s="8" t="n">
        <v>46329</v>
      </c>
      <c r="E4545" s="9" t="n">
        <v>3160</v>
      </c>
      <c r="F4545" s="8" t="n"/>
      <c r="G4545" s="9" t="n">
        <v>0</v>
      </c>
      <c r="H4545" t="inlineStr">
        <is>
          <t>NOT_DUE</t>
        </is>
      </c>
      <c r="I4545">
        <f>IF(H4545="UNPAID", AsOfDate-D4545, 0)</f>
        <v/>
      </c>
      <c r="J4545">
        <f>IF(F4545&lt;&gt;"", TEXT(F4545, "yyyy-mm"), "")</f>
        <v/>
      </c>
    </row>
    <row r="4546">
      <c r="A4546" t="inlineStr">
        <is>
          <t>RP0004545</t>
        </is>
      </c>
      <c r="B4546" t="inlineStr">
        <is>
          <t>LN200646</t>
        </is>
      </c>
      <c r="C4546" t="n">
        <v>12</v>
      </c>
      <c r="D4546" s="8" t="n">
        <v>46359</v>
      </c>
      <c r="E4546" s="9" t="n">
        <v>3160</v>
      </c>
      <c r="F4546" s="8" t="n"/>
      <c r="G4546" s="9" t="n">
        <v>0</v>
      </c>
      <c r="H4546" t="inlineStr">
        <is>
          <t>NOT_DUE</t>
        </is>
      </c>
      <c r="I4546">
        <f>IF(H4546="UNPAID", AsOfDate-D4546, 0)</f>
        <v/>
      </c>
      <c r="J4546">
        <f>IF(F4546&lt;&gt;"", TEXT(F4546, "yyyy-mm"), "")</f>
        <v/>
      </c>
    </row>
    <row r="4547">
      <c r="A4547" t="inlineStr">
        <is>
          <t>RP0004546</t>
        </is>
      </c>
      <c r="B4547" t="inlineStr">
        <is>
          <t>LN200647</t>
        </is>
      </c>
      <c r="C4547" t="n">
        <v>1</v>
      </c>
      <c r="D4547" s="8" t="n">
        <v>46038</v>
      </c>
      <c r="E4547" s="9" t="n">
        <v>84088.17</v>
      </c>
      <c r="F4547" s="8" t="n">
        <v>46035</v>
      </c>
      <c r="G4547" s="9" t="n">
        <v>84088.17</v>
      </c>
      <c r="H4547" t="inlineStr">
        <is>
          <t>PAID_ON_TIME</t>
        </is>
      </c>
      <c r="I4547">
        <f>IF(H4547="UNPAID", AsOfDate-D4547, 0)</f>
        <v/>
      </c>
      <c r="J4547">
        <f>IF(F4547&lt;&gt;"", TEXT(F4547, "yyyy-mm"), "")</f>
        <v/>
      </c>
    </row>
    <row r="4548">
      <c r="A4548" t="inlineStr">
        <is>
          <t>RP0004547</t>
        </is>
      </c>
      <c r="B4548" t="inlineStr">
        <is>
          <t>LN200647</t>
        </is>
      </c>
      <c r="C4548" t="n">
        <v>2</v>
      </c>
      <c r="D4548" s="8" t="n">
        <v>46069</v>
      </c>
      <c r="E4548" s="9" t="n">
        <v>84088.17</v>
      </c>
      <c r="F4548" s="8" t="n">
        <v>46067</v>
      </c>
      <c r="G4548" s="9" t="n">
        <v>84088.17</v>
      </c>
      <c r="H4548" t="inlineStr">
        <is>
          <t>PAID_ON_TIME</t>
        </is>
      </c>
      <c r="I4548">
        <f>IF(H4548="UNPAID", AsOfDate-D4548, 0)</f>
        <v/>
      </c>
      <c r="J4548">
        <f>IF(F4548&lt;&gt;"", TEXT(F4548, "yyyy-mm"), "")</f>
        <v/>
      </c>
    </row>
    <row r="4549">
      <c r="A4549" t="inlineStr">
        <is>
          <t>RP0004548</t>
        </is>
      </c>
      <c r="B4549" t="inlineStr">
        <is>
          <t>LN200647</t>
        </is>
      </c>
      <c r="C4549" t="n">
        <v>3</v>
      </c>
      <c r="D4549" s="8" t="n">
        <v>46097</v>
      </c>
      <c r="E4549" s="9" t="n">
        <v>84088.17</v>
      </c>
      <c r="F4549" s="8" t="n">
        <v>46094</v>
      </c>
      <c r="G4549" s="9" t="n">
        <v>84088.17</v>
      </c>
      <c r="H4549" t="inlineStr">
        <is>
          <t>PAID_ON_TIME</t>
        </is>
      </c>
      <c r="I4549">
        <f>IF(H4549="UNPAID", AsOfDate-D4549, 0)</f>
        <v/>
      </c>
      <c r="J4549">
        <f>IF(F4549&lt;&gt;"", TEXT(F4549, "yyyy-mm"), "")</f>
        <v/>
      </c>
    </row>
    <row r="4550">
      <c r="A4550" t="inlineStr">
        <is>
          <t>RP0004549</t>
        </is>
      </c>
      <c r="B4550" t="inlineStr">
        <is>
          <t>LN200648</t>
        </is>
      </c>
      <c r="C4550" t="n">
        <v>1</v>
      </c>
      <c r="D4550" s="8" t="n">
        <v>45813</v>
      </c>
      <c r="E4550" s="9" t="n">
        <v>10528</v>
      </c>
      <c r="F4550" s="8" t="n">
        <v>45815</v>
      </c>
      <c r="G4550" s="9" t="n">
        <v>10528</v>
      </c>
      <c r="H4550" t="inlineStr">
        <is>
          <t>PAID_ON_TIME</t>
        </is>
      </c>
      <c r="I4550">
        <f>IF(H4550="UNPAID", AsOfDate-D4550, 0)</f>
        <v/>
      </c>
      <c r="J4550">
        <f>IF(F4550&lt;&gt;"", TEXT(F4550, "yyyy-mm"), "")</f>
        <v/>
      </c>
    </row>
    <row r="4551">
      <c r="A4551" t="inlineStr">
        <is>
          <t>RP0004550</t>
        </is>
      </c>
      <c r="B4551" t="inlineStr">
        <is>
          <t>LN200648</t>
        </is>
      </c>
      <c r="C4551" t="n">
        <v>2</v>
      </c>
      <c r="D4551" s="8" t="n">
        <v>45843</v>
      </c>
      <c r="E4551" s="9" t="n">
        <v>10528</v>
      </c>
      <c r="F4551" s="8" t="n">
        <v>45878</v>
      </c>
      <c r="G4551" s="9" t="n">
        <v>10528</v>
      </c>
      <c r="H4551" t="inlineStr">
        <is>
          <t>PAID_LATE</t>
        </is>
      </c>
      <c r="I4551">
        <f>IF(H4551="UNPAID", AsOfDate-D4551, 0)</f>
        <v/>
      </c>
      <c r="J4551">
        <f>IF(F4551&lt;&gt;"", TEXT(F4551, "yyyy-mm"), "")</f>
        <v/>
      </c>
    </row>
    <row r="4552">
      <c r="A4552" t="inlineStr">
        <is>
          <t>RP0004551</t>
        </is>
      </c>
      <c r="B4552" t="inlineStr">
        <is>
          <t>LN200648</t>
        </is>
      </c>
      <c r="C4552" t="n">
        <v>3</v>
      </c>
      <c r="D4552" s="8" t="n">
        <v>45874</v>
      </c>
      <c r="E4552" s="9" t="n">
        <v>10528</v>
      </c>
      <c r="F4552" s="8" t="n">
        <v>45875</v>
      </c>
      <c r="G4552" s="9" t="n">
        <v>10528</v>
      </c>
      <c r="H4552" t="inlineStr">
        <is>
          <t>PAID_ON_TIME</t>
        </is>
      </c>
      <c r="I4552">
        <f>IF(H4552="UNPAID", AsOfDate-D4552, 0)</f>
        <v/>
      </c>
      <c r="J4552">
        <f>IF(F4552&lt;&gt;"", TEXT(F4552, "yyyy-mm"), "")</f>
        <v/>
      </c>
    </row>
    <row r="4553">
      <c r="A4553" t="inlineStr">
        <is>
          <t>RP0004552</t>
        </is>
      </c>
      <c r="B4553" t="inlineStr">
        <is>
          <t>LN200648</t>
        </is>
      </c>
      <c r="C4553" t="n">
        <v>4</v>
      </c>
      <c r="D4553" s="8" t="n">
        <v>45905</v>
      </c>
      <c r="E4553" s="9" t="n">
        <v>10528</v>
      </c>
      <c r="F4553" s="8" t="n">
        <v>45908</v>
      </c>
      <c r="G4553" s="9" t="n">
        <v>10528</v>
      </c>
      <c r="H4553" t="inlineStr">
        <is>
          <t>PAID_ON_TIME</t>
        </is>
      </c>
      <c r="I4553">
        <f>IF(H4553="UNPAID", AsOfDate-D4553, 0)</f>
        <v/>
      </c>
      <c r="J4553">
        <f>IF(F4553&lt;&gt;"", TEXT(F4553, "yyyy-mm"), "")</f>
        <v/>
      </c>
    </row>
    <row r="4554">
      <c r="A4554" t="inlineStr">
        <is>
          <t>RP0004553</t>
        </is>
      </c>
      <c r="B4554" t="inlineStr">
        <is>
          <t>LN200648</t>
        </is>
      </c>
      <c r="C4554" t="n">
        <v>5</v>
      </c>
      <c r="D4554" s="8" t="n">
        <v>45935</v>
      </c>
      <c r="E4554" s="9" t="n">
        <v>10528</v>
      </c>
      <c r="F4554" s="8" t="n">
        <v>45937</v>
      </c>
      <c r="G4554" s="9" t="n">
        <v>10528</v>
      </c>
      <c r="H4554" t="inlineStr">
        <is>
          <t>PAID_ON_TIME</t>
        </is>
      </c>
      <c r="I4554">
        <f>IF(H4554="UNPAID", AsOfDate-D4554, 0)</f>
        <v/>
      </c>
      <c r="J4554">
        <f>IF(F4554&lt;&gt;"", TEXT(F4554, "yyyy-mm"), "")</f>
        <v/>
      </c>
    </row>
    <row r="4555">
      <c r="A4555" t="inlineStr">
        <is>
          <t>RP0004554</t>
        </is>
      </c>
      <c r="B4555" t="inlineStr">
        <is>
          <t>LN200648</t>
        </is>
      </c>
      <c r="C4555" t="n">
        <v>6</v>
      </c>
      <c r="D4555" s="8" t="n">
        <v>45966</v>
      </c>
      <c r="E4555" s="9" t="n">
        <v>10528</v>
      </c>
      <c r="F4555" s="8" t="n">
        <v>45965</v>
      </c>
      <c r="G4555" s="9" t="n">
        <v>10528</v>
      </c>
      <c r="H4555" t="inlineStr">
        <is>
          <t>PAID_ON_TIME</t>
        </is>
      </c>
      <c r="I4555">
        <f>IF(H4555="UNPAID", AsOfDate-D4555, 0)</f>
        <v/>
      </c>
      <c r="J4555">
        <f>IF(F4555&lt;&gt;"", TEXT(F4555, "yyyy-mm"), "")</f>
        <v/>
      </c>
    </row>
    <row r="4556">
      <c r="A4556" t="inlineStr">
        <is>
          <t>RP0004555</t>
        </is>
      </c>
      <c r="B4556" t="inlineStr">
        <is>
          <t>LN200648</t>
        </is>
      </c>
      <c r="C4556" t="n">
        <v>7</v>
      </c>
      <c r="D4556" s="8" t="n">
        <v>45996</v>
      </c>
      <c r="E4556" s="9" t="n">
        <v>10528</v>
      </c>
      <c r="F4556" s="8" t="n">
        <v>46074</v>
      </c>
      <c r="G4556" s="9" t="n">
        <v>10528</v>
      </c>
      <c r="H4556" t="inlineStr">
        <is>
          <t>PAID_LATE</t>
        </is>
      </c>
      <c r="I4556">
        <f>IF(H4556="UNPAID", AsOfDate-D4556, 0)</f>
        <v/>
      </c>
      <c r="J4556">
        <f>IF(F4556&lt;&gt;"", TEXT(F4556, "yyyy-mm"), "")</f>
        <v/>
      </c>
    </row>
    <row r="4557">
      <c r="A4557" t="inlineStr">
        <is>
          <t>RP0004556</t>
        </is>
      </c>
      <c r="B4557" t="inlineStr">
        <is>
          <t>LN200648</t>
        </is>
      </c>
      <c r="C4557" t="n">
        <v>8</v>
      </c>
      <c r="D4557" s="8" t="n">
        <v>46027</v>
      </c>
      <c r="E4557" s="9" t="n">
        <v>10528</v>
      </c>
      <c r="F4557" s="8" t="n">
        <v>46039</v>
      </c>
      <c r="G4557" s="9" t="n">
        <v>10528</v>
      </c>
      <c r="H4557" t="inlineStr">
        <is>
          <t>PAID_LATE</t>
        </is>
      </c>
      <c r="I4557">
        <f>IF(H4557="UNPAID", AsOfDate-D4557, 0)</f>
        <v/>
      </c>
      <c r="J4557">
        <f>IF(F4557&lt;&gt;"", TEXT(F4557, "yyyy-mm"), "")</f>
        <v/>
      </c>
    </row>
    <row r="4558">
      <c r="A4558" t="inlineStr">
        <is>
          <t>RP0004557</t>
        </is>
      </c>
      <c r="B4558" t="inlineStr">
        <is>
          <t>LN200648</t>
        </is>
      </c>
      <c r="C4558" t="n">
        <v>9</v>
      </c>
      <c r="D4558" s="8" t="n">
        <v>46058</v>
      </c>
      <c r="E4558" s="9" t="n">
        <v>10528</v>
      </c>
      <c r="F4558" s="8" t="n">
        <v>46058</v>
      </c>
      <c r="G4558" s="9" t="n">
        <v>10528</v>
      </c>
      <c r="H4558" t="inlineStr">
        <is>
          <t>PAID_ON_TIME</t>
        </is>
      </c>
      <c r="I4558">
        <f>IF(H4558="UNPAID", AsOfDate-D4558, 0)</f>
        <v/>
      </c>
      <c r="J4558">
        <f>IF(F4558&lt;&gt;"", TEXT(F4558, "yyyy-mm"), "")</f>
        <v/>
      </c>
    </row>
    <row r="4559">
      <c r="A4559" t="inlineStr">
        <is>
          <t>RP0004558</t>
        </is>
      </c>
      <c r="B4559" t="inlineStr">
        <is>
          <t>LN200648</t>
        </is>
      </c>
      <c r="C4559" t="n">
        <v>10</v>
      </c>
      <c r="D4559" s="8" t="n">
        <v>46086</v>
      </c>
      <c r="E4559" s="9" t="n">
        <v>10528</v>
      </c>
      <c r="F4559" s="8" t="n">
        <v>46084</v>
      </c>
      <c r="G4559" s="9" t="n">
        <v>10528</v>
      </c>
      <c r="H4559" t="inlineStr">
        <is>
          <t>PAID_ON_TIME</t>
        </is>
      </c>
      <c r="I4559">
        <f>IF(H4559="UNPAID", AsOfDate-D4559, 0)</f>
        <v/>
      </c>
      <c r="J4559">
        <f>IF(F4559&lt;&gt;"", TEXT(F4559, "yyyy-mm"), "")</f>
        <v/>
      </c>
    </row>
    <row r="4560">
      <c r="A4560" t="inlineStr">
        <is>
          <t>RP0004559</t>
        </is>
      </c>
      <c r="B4560" t="inlineStr">
        <is>
          <t>LN200648</t>
        </is>
      </c>
      <c r="C4560" t="n">
        <v>11</v>
      </c>
      <c r="D4560" s="8" t="n">
        <v>46117</v>
      </c>
      <c r="E4560" s="9" t="n">
        <v>10528</v>
      </c>
      <c r="F4560" s="8" t="n">
        <v>46118</v>
      </c>
      <c r="G4560" s="9" t="n">
        <v>10528</v>
      </c>
      <c r="H4560" t="inlineStr">
        <is>
          <t>PAID_ON_TIME</t>
        </is>
      </c>
      <c r="I4560">
        <f>IF(H4560="UNPAID", AsOfDate-D4560, 0)</f>
        <v/>
      </c>
      <c r="J4560">
        <f>IF(F4560&lt;&gt;"", TEXT(F4560, "yyyy-mm"), "")</f>
        <v/>
      </c>
    </row>
    <row r="4561">
      <c r="A4561" t="inlineStr">
        <is>
          <t>RP0004560</t>
        </is>
      </c>
      <c r="B4561" t="inlineStr">
        <is>
          <t>LN200648</t>
        </is>
      </c>
      <c r="C4561" t="n">
        <v>12</v>
      </c>
      <c r="D4561" s="8" t="n">
        <v>46147</v>
      </c>
      <c r="E4561" s="9" t="n">
        <v>10528</v>
      </c>
      <c r="F4561" s="8" t="n">
        <v>46146</v>
      </c>
      <c r="G4561" s="9" t="n">
        <v>10528</v>
      </c>
      <c r="H4561" t="inlineStr">
        <is>
          <t>PAID_ON_TIME</t>
        </is>
      </c>
      <c r="I4561">
        <f>IF(H4561="UNPAID", AsOfDate-D4561, 0)</f>
        <v/>
      </c>
      <c r="J4561">
        <f>IF(F4561&lt;&gt;"", TEXT(F4561, "yyyy-mm"), "")</f>
        <v/>
      </c>
    </row>
    <row r="4562">
      <c r="A4562" t="inlineStr">
        <is>
          <t>RP0004561</t>
        </is>
      </c>
      <c r="B4562" t="inlineStr">
        <is>
          <t>LN200649</t>
        </is>
      </c>
      <c r="C4562" t="n">
        <v>1</v>
      </c>
      <c r="D4562" s="8" t="n">
        <v>46249</v>
      </c>
      <c r="E4562" s="9" t="n">
        <v>4279.92</v>
      </c>
      <c r="F4562" s="8" t="n">
        <v>46247</v>
      </c>
      <c r="G4562" s="9" t="n">
        <v>4279.92</v>
      </c>
      <c r="H4562" t="inlineStr">
        <is>
          <t>PAID_ON_TIME</t>
        </is>
      </c>
      <c r="I4562">
        <f>IF(H4562="UNPAID", AsOfDate-D4562, 0)</f>
        <v/>
      </c>
      <c r="J4562">
        <f>IF(F4562&lt;&gt;"", TEXT(F4562, "yyyy-mm"), "")</f>
        <v/>
      </c>
    </row>
    <row r="4563">
      <c r="A4563" t="inlineStr">
        <is>
          <t>RP0004562</t>
        </is>
      </c>
      <c r="B4563" t="inlineStr">
        <is>
          <t>LN200649</t>
        </is>
      </c>
      <c r="C4563" t="n">
        <v>2</v>
      </c>
      <c r="D4563" s="8" t="n">
        <v>46280</v>
      </c>
      <c r="E4563" s="9" t="n">
        <v>4279.92</v>
      </c>
      <c r="F4563" s="8" t="n"/>
      <c r="G4563" s="9" t="n">
        <v>0</v>
      </c>
      <c r="H4563" t="inlineStr">
        <is>
          <t>NOT_DUE</t>
        </is>
      </c>
      <c r="I4563">
        <f>IF(H4563="UNPAID", AsOfDate-D4563, 0)</f>
        <v/>
      </c>
      <c r="J4563">
        <f>IF(F4563&lt;&gt;"", TEXT(F4563, "yyyy-mm"), "")</f>
        <v/>
      </c>
    </row>
    <row r="4564">
      <c r="A4564" t="inlineStr">
        <is>
          <t>RP0004563</t>
        </is>
      </c>
      <c r="B4564" t="inlineStr">
        <is>
          <t>LN200649</t>
        </is>
      </c>
      <c r="C4564" t="n">
        <v>3</v>
      </c>
      <c r="D4564" s="8" t="n">
        <v>46310</v>
      </c>
      <c r="E4564" s="9" t="n">
        <v>4279.92</v>
      </c>
      <c r="F4564" s="8" t="n"/>
      <c r="G4564" s="9" t="n">
        <v>0</v>
      </c>
      <c r="H4564" t="inlineStr">
        <is>
          <t>NOT_DUE</t>
        </is>
      </c>
      <c r="I4564">
        <f>IF(H4564="UNPAID", AsOfDate-D4564, 0)</f>
        <v/>
      </c>
      <c r="J4564">
        <f>IF(F4564&lt;&gt;"", TEXT(F4564, "yyyy-mm"), "")</f>
        <v/>
      </c>
    </row>
    <row r="4565">
      <c r="A4565" t="inlineStr">
        <is>
          <t>RP0004564</t>
        </is>
      </c>
      <c r="B4565" t="inlineStr">
        <is>
          <t>LN200649</t>
        </is>
      </c>
      <c r="C4565" t="n">
        <v>4</v>
      </c>
      <c r="D4565" s="8" t="n">
        <v>46341</v>
      </c>
      <c r="E4565" s="9" t="n">
        <v>4279.92</v>
      </c>
      <c r="F4565" s="8" t="n"/>
      <c r="G4565" s="9" t="n">
        <v>0</v>
      </c>
      <c r="H4565" t="inlineStr">
        <is>
          <t>NOT_DUE</t>
        </is>
      </c>
      <c r="I4565">
        <f>IF(H4565="UNPAID", AsOfDate-D4565, 0)</f>
        <v/>
      </c>
      <c r="J4565">
        <f>IF(F4565&lt;&gt;"", TEXT(F4565, "yyyy-mm"), "")</f>
        <v/>
      </c>
    </row>
    <row r="4566">
      <c r="A4566" t="inlineStr">
        <is>
          <t>RP0004565</t>
        </is>
      </c>
      <c r="B4566" t="inlineStr">
        <is>
          <t>LN200649</t>
        </is>
      </c>
      <c r="C4566" t="n">
        <v>5</v>
      </c>
      <c r="D4566" s="8" t="n">
        <v>46371</v>
      </c>
      <c r="E4566" s="9" t="n">
        <v>4279.92</v>
      </c>
      <c r="F4566" s="8" t="n"/>
      <c r="G4566" s="9" t="n">
        <v>0</v>
      </c>
      <c r="H4566" t="inlineStr">
        <is>
          <t>NOT_DUE</t>
        </is>
      </c>
      <c r="I4566">
        <f>IF(H4566="UNPAID", AsOfDate-D4566, 0)</f>
        <v/>
      </c>
      <c r="J4566">
        <f>IF(F4566&lt;&gt;"", TEXT(F4566, "yyyy-mm"), "")</f>
        <v/>
      </c>
    </row>
    <row r="4567">
      <c r="A4567" t="inlineStr">
        <is>
          <t>RP0004566</t>
        </is>
      </c>
      <c r="B4567" t="inlineStr">
        <is>
          <t>LN200649</t>
        </is>
      </c>
      <c r="C4567" t="n">
        <v>6</v>
      </c>
      <c r="D4567" s="8" t="n">
        <v>46402</v>
      </c>
      <c r="E4567" s="9" t="n">
        <v>4279.92</v>
      </c>
      <c r="F4567" s="8" t="n"/>
      <c r="G4567" s="9" t="n">
        <v>0</v>
      </c>
      <c r="H4567" t="inlineStr">
        <is>
          <t>NOT_DUE</t>
        </is>
      </c>
      <c r="I4567">
        <f>IF(H4567="UNPAID", AsOfDate-D4567, 0)</f>
        <v/>
      </c>
      <c r="J4567">
        <f>IF(F4567&lt;&gt;"", TEXT(F4567, "yyyy-mm"), "")</f>
        <v/>
      </c>
    </row>
    <row r="4568">
      <c r="A4568" t="inlineStr">
        <is>
          <t>RP0004567</t>
        </is>
      </c>
      <c r="B4568" t="inlineStr">
        <is>
          <t>LN200649</t>
        </is>
      </c>
      <c r="C4568" t="n">
        <v>7</v>
      </c>
      <c r="D4568" s="8" t="n">
        <v>46433</v>
      </c>
      <c r="E4568" s="9" t="n">
        <v>4279.92</v>
      </c>
      <c r="F4568" s="8" t="n"/>
      <c r="G4568" s="9" t="n">
        <v>0</v>
      </c>
      <c r="H4568" t="inlineStr">
        <is>
          <t>NOT_DUE</t>
        </is>
      </c>
      <c r="I4568">
        <f>IF(H4568="UNPAID", AsOfDate-D4568, 0)</f>
        <v/>
      </c>
      <c r="J4568">
        <f>IF(F4568&lt;&gt;"", TEXT(F4568, "yyyy-mm"), "")</f>
        <v/>
      </c>
    </row>
    <row r="4569">
      <c r="A4569" t="inlineStr">
        <is>
          <t>RP0004568</t>
        </is>
      </c>
      <c r="B4569" t="inlineStr">
        <is>
          <t>LN200649</t>
        </is>
      </c>
      <c r="C4569" t="n">
        <v>8</v>
      </c>
      <c r="D4569" s="8" t="n">
        <v>46461</v>
      </c>
      <c r="E4569" s="9" t="n">
        <v>4279.92</v>
      </c>
      <c r="F4569" s="8" t="n"/>
      <c r="G4569" s="9" t="n">
        <v>0</v>
      </c>
      <c r="H4569" t="inlineStr">
        <is>
          <t>NOT_DUE</t>
        </is>
      </c>
      <c r="I4569">
        <f>IF(H4569="UNPAID", AsOfDate-D4569, 0)</f>
        <v/>
      </c>
      <c r="J4569">
        <f>IF(F4569&lt;&gt;"", TEXT(F4569, "yyyy-mm"), "")</f>
        <v/>
      </c>
    </row>
    <row r="4570">
      <c r="A4570" t="inlineStr">
        <is>
          <t>RP0004569</t>
        </is>
      </c>
      <c r="B4570" t="inlineStr">
        <is>
          <t>LN200649</t>
        </is>
      </c>
      <c r="C4570" t="n">
        <v>9</v>
      </c>
      <c r="D4570" s="8" t="n">
        <v>46492</v>
      </c>
      <c r="E4570" s="9" t="n">
        <v>4279.92</v>
      </c>
      <c r="F4570" s="8" t="n"/>
      <c r="G4570" s="9" t="n">
        <v>0</v>
      </c>
      <c r="H4570" t="inlineStr">
        <is>
          <t>NOT_DUE</t>
        </is>
      </c>
      <c r="I4570">
        <f>IF(H4570="UNPAID", AsOfDate-D4570, 0)</f>
        <v/>
      </c>
      <c r="J4570">
        <f>IF(F4570&lt;&gt;"", TEXT(F4570, "yyyy-mm"), "")</f>
        <v/>
      </c>
    </row>
    <row r="4571">
      <c r="A4571" t="inlineStr">
        <is>
          <t>RP0004570</t>
        </is>
      </c>
      <c r="B4571" t="inlineStr">
        <is>
          <t>LN200650</t>
        </is>
      </c>
      <c r="C4571" t="n">
        <v>1</v>
      </c>
      <c r="D4571" s="8" t="n">
        <v>45715</v>
      </c>
      <c r="E4571" s="9" t="n">
        <v>7067.08</v>
      </c>
      <c r="F4571" s="8" t="n">
        <v>45715</v>
      </c>
      <c r="G4571" s="9" t="n">
        <v>7067.08</v>
      </c>
      <c r="H4571" t="inlineStr">
        <is>
          <t>PAID_ON_TIME</t>
        </is>
      </c>
      <c r="I4571">
        <f>IF(H4571="UNPAID", AsOfDate-D4571, 0)</f>
        <v/>
      </c>
      <c r="J4571">
        <f>IF(F4571&lt;&gt;"", TEXT(F4571, "yyyy-mm"), "")</f>
        <v/>
      </c>
    </row>
    <row r="4572">
      <c r="A4572" t="inlineStr">
        <is>
          <t>RP0004571</t>
        </is>
      </c>
      <c r="B4572" t="inlineStr">
        <is>
          <t>LN200650</t>
        </is>
      </c>
      <c r="C4572" t="n">
        <v>2</v>
      </c>
      <c r="D4572" s="8" t="n">
        <v>45743</v>
      </c>
      <c r="E4572" s="9" t="n">
        <v>7067.08</v>
      </c>
      <c r="F4572" s="8" t="n">
        <v>45740</v>
      </c>
      <c r="G4572" s="9" t="n">
        <v>7067.08</v>
      </c>
      <c r="H4572" t="inlineStr">
        <is>
          <t>PAID_ON_TIME</t>
        </is>
      </c>
      <c r="I4572">
        <f>IF(H4572="UNPAID", AsOfDate-D4572, 0)</f>
        <v/>
      </c>
      <c r="J4572">
        <f>IF(F4572&lt;&gt;"", TEXT(F4572, "yyyy-mm"), "")</f>
        <v/>
      </c>
    </row>
    <row r="4573">
      <c r="A4573" t="inlineStr">
        <is>
          <t>RP0004572</t>
        </is>
      </c>
      <c r="B4573" t="inlineStr">
        <is>
          <t>LN200650</t>
        </is>
      </c>
      <c r="C4573" t="n">
        <v>3</v>
      </c>
      <c r="D4573" s="8" t="n">
        <v>45774</v>
      </c>
      <c r="E4573" s="9" t="n">
        <v>7067.08</v>
      </c>
      <c r="F4573" s="8" t="n">
        <v>45819</v>
      </c>
      <c r="G4573" s="9" t="n">
        <v>7067.08</v>
      </c>
      <c r="H4573" t="inlineStr">
        <is>
          <t>PAID_LATE</t>
        </is>
      </c>
      <c r="I4573">
        <f>IF(H4573="UNPAID", AsOfDate-D4573, 0)</f>
        <v/>
      </c>
      <c r="J4573">
        <f>IF(F4573&lt;&gt;"", TEXT(F4573, "yyyy-mm"), "")</f>
        <v/>
      </c>
    </row>
    <row r="4574">
      <c r="A4574" t="inlineStr">
        <is>
          <t>RP0004573</t>
        </is>
      </c>
      <c r="B4574" t="inlineStr">
        <is>
          <t>LN200650</t>
        </is>
      </c>
      <c r="C4574" t="n">
        <v>4</v>
      </c>
      <c r="D4574" s="8" t="n">
        <v>45804</v>
      </c>
      <c r="E4574" s="9" t="n">
        <v>7067.08</v>
      </c>
      <c r="F4574" s="8" t="n">
        <v>45807</v>
      </c>
      <c r="G4574" s="9" t="n">
        <v>7067.08</v>
      </c>
      <c r="H4574" t="inlineStr">
        <is>
          <t>PAID_ON_TIME</t>
        </is>
      </c>
      <c r="I4574">
        <f>IF(H4574="UNPAID", AsOfDate-D4574, 0)</f>
        <v/>
      </c>
      <c r="J4574">
        <f>IF(F4574&lt;&gt;"", TEXT(F4574, "yyyy-mm"), "")</f>
        <v/>
      </c>
    </row>
    <row r="4575">
      <c r="A4575" t="inlineStr">
        <is>
          <t>RP0004574</t>
        </is>
      </c>
      <c r="B4575" t="inlineStr">
        <is>
          <t>LN200650</t>
        </is>
      </c>
      <c r="C4575" t="n">
        <v>5</v>
      </c>
      <c r="D4575" s="8" t="n">
        <v>45835</v>
      </c>
      <c r="E4575" s="9" t="n">
        <v>7067.08</v>
      </c>
      <c r="F4575" s="8" t="n">
        <v>45950</v>
      </c>
      <c r="G4575" s="9" t="n">
        <v>7067.08</v>
      </c>
      <c r="H4575" t="inlineStr">
        <is>
          <t>PAID_LATE</t>
        </is>
      </c>
      <c r="I4575">
        <f>IF(H4575="UNPAID", AsOfDate-D4575, 0)</f>
        <v/>
      </c>
      <c r="J4575">
        <f>IF(F4575&lt;&gt;"", TEXT(F4575, "yyyy-mm"), "")</f>
        <v/>
      </c>
    </row>
    <row r="4576">
      <c r="A4576" t="inlineStr">
        <is>
          <t>RP0004575</t>
        </is>
      </c>
      <c r="B4576" t="inlineStr">
        <is>
          <t>LN200650</t>
        </is>
      </c>
      <c r="C4576" t="n">
        <v>6</v>
      </c>
      <c r="D4576" s="8" t="n">
        <v>45865</v>
      </c>
      <c r="E4576" s="9" t="n">
        <v>7067.08</v>
      </c>
      <c r="F4576" s="8" t="n">
        <v>45925</v>
      </c>
      <c r="G4576" s="9" t="n">
        <v>7067.08</v>
      </c>
      <c r="H4576" t="inlineStr">
        <is>
          <t>PAID_LATE</t>
        </is>
      </c>
      <c r="I4576">
        <f>IF(H4576="UNPAID", AsOfDate-D4576, 0)</f>
        <v/>
      </c>
      <c r="J4576">
        <f>IF(F4576&lt;&gt;"", TEXT(F4576, "yyyy-mm"), "")</f>
        <v/>
      </c>
    </row>
    <row r="4577">
      <c r="A4577" t="inlineStr">
        <is>
          <t>RP0004576</t>
        </is>
      </c>
      <c r="B4577" t="inlineStr">
        <is>
          <t>LN200650</t>
        </is>
      </c>
      <c r="C4577" t="n">
        <v>7</v>
      </c>
      <c r="D4577" s="8" t="n">
        <v>45896</v>
      </c>
      <c r="E4577" s="9" t="n">
        <v>7067.08</v>
      </c>
      <c r="F4577" s="8" t="n">
        <v>45900</v>
      </c>
      <c r="G4577" s="9" t="n">
        <v>7067.08</v>
      </c>
      <c r="H4577" t="inlineStr">
        <is>
          <t>PAID_ON_TIME</t>
        </is>
      </c>
      <c r="I4577">
        <f>IF(H4577="UNPAID", AsOfDate-D4577, 0)</f>
        <v/>
      </c>
      <c r="J4577">
        <f>IF(F4577&lt;&gt;"", TEXT(F4577, "yyyy-mm"), "")</f>
        <v/>
      </c>
    </row>
    <row r="4578">
      <c r="A4578" t="inlineStr">
        <is>
          <t>RP0004577</t>
        </is>
      </c>
      <c r="B4578" t="inlineStr">
        <is>
          <t>LN200650</t>
        </is>
      </c>
      <c r="C4578" t="n">
        <v>8</v>
      </c>
      <c r="D4578" s="8" t="n">
        <v>45927</v>
      </c>
      <c r="E4578" s="9" t="n">
        <v>7067.08</v>
      </c>
      <c r="F4578" s="8" t="n">
        <v>45948</v>
      </c>
      <c r="G4578" s="9" t="n">
        <v>7067.08</v>
      </c>
      <c r="H4578" t="inlineStr">
        <is>
          <t>PAID_LATE</t>
        </is>
      </c>
      <c r="I4578">
        <f>IF(H4578="UNPAID", AsOfDate-D4578, 0)</f>
        <v/>
      </c>
      <c r="J4578">
        <f>IF(F4578&lt;&gt;"", TEXT(F4578, "yyyy-mm"), "")</f>
        <v/>
      </c>
    </row>
    <row r="4579">
      <c r="A4579" t="inlineStr">
        <is>
          <t>RP0004578</t>
        </is>
      </c>
      <c r="B4579" t="inlineStr">
        <is>
          <t>LN200650</t>
        </is>
      </c>
      <c r="C4579" t="n">
        <v>9</v>
      </c>
      <c r="D4579" s="8" t="n">
        <v>45957</v>
      </c>
      <c r="E4579" s="9" t="n">
        <v>7067.08</v>
      </c>
      <c r="F4579" s="8" t="n">
        <v>45960</v>
      </c>
      <c r="G4579" s="9" t="n">
        <v>7067.08</v>
      </c>
      <c r="H4579" t="inlineStr">
        <is>
          <t>PAID_ON_TIME</t>
        </is>
      </c>
      <c r="I4579">
        <f>IF(H4579="UNPAID", AsOfDate-D4579, 0)</f>
        <v/>
      </c>
      <c r="J4579">
        <f>IF(F4579&lt;&gt;"", TEXT(F4579, "yyyy-mm"), "")</f>
        <v/>
      </c>
    </row>
    <row r="4580">
      <c r="A4580" t="inlineStr">
        <is>
          <t>RP0004579</t>
        </is>
      </c>
      <c r="B4580" t="inlineStr">
        <is>
          <t>LN200650</t>
        </is>
      </c>
      <c r="C4580" t="n">
        <v>10</v>
      </c>
      <c r="D4580" s="8" t="n">
        <v>45988</v>
      </c>
      <c r="E4580" s="9" t="n">
        <v>7067.08</v>
      </c>
      <c r="F4580" s="8" t="n">
        <v>45992</v>
      </c>
      <c r="G4580" s="9" t="n">
        <v>7067.08</v>
      </c>
      <c r="H4580" t="inlineStr">
        <is>
          <t>PAID_ON_TIME</t>
        </is>
      </c>
      <c r="I4580">
        <f>IF(H4580="UNPAID", AsOfDate-D4580, 0)</f>
        <v/>
      </c>
      <c r="J4580">
        <f>IF(F4580&lt;&gt;"", TEXT(F4580, "yyyy-mm"), "")</f>
        <v/>
      </c>
    </row>
    <row r="4581">
      <c r="A4581" t="inlineStr">
        <is>
          <t>RP0004580</t>
        </is>
      </c>
      <c r="B4581" t="inlineStr">
        <is>
          <t>LN200650</t>
        </is>
      </c>
      <c r="C4581" t="n">
        <v>11</v>
      </c>
      <c r="D4581" s="8" t="n">
        <v>46018</v>
      </c>
      <c r="E4581" s="9" t="n">
        <v>7067.08</v>
      </c>
      <c r="F4581" s="8" t="n">
        <v>46018</v>
      </c>
      <c r="G4581" s="9" t="n">
        <v>7067.08</v>
      </c>
      <c r="H4581" t="inlineStr">
        <is>
          <t>PAID_ON_TIME</t>
        </is>
      </c>
      <c r="I4581">
        <f>IF(H4581="UNPAID", AsOfDate-D4581, 0)</f>
        <v/>
      </c>
      <c r="J4581">
        <f>IF(F4581&lt;&gt;"", TEXT(F4581, "yyyy-mm"), "")</f>
        <v/>
      </c>
    </row>
    <row r="4582">
      <c r="A4582" t="inlineStr">
        <is>
          <t>RP0004581</t>
        </is>
      </c>
      <c r="B4582" t="inlineStr">
        <is>
          <t>LN200650</t>
        </is>
      </c>
      <c r="C4582" t="n">
        <v>12</v>
      </c>
      <c r="D4582" s="8" t="n">
        <v>46049</v>
      </c>
      <c r="E4582" s="9" t="n">
        <v>7067.08</v>
      </c>
      <c r="F4582" s="8" t="n">
        <v>46125</v>
      </c>
      <c r="G4582" s="9" t="n">
        <v>7067.08</v>
      </c>
      <c r="H4582" t="inlineStr">
        <is>
          <t>PAID_LATE</t>
        </is>
      </c>
      <c r="I4582">
        <f>IF(H4582="UNPAID", AsOfDate-D4582, 0)</f>
        <v/>
      </c>
      <c r="J4582">
        <f>IF(F4582&lt;&gt;"", TEXT(F4582, "yyyy-mm"), "")</f>
        <v/>
      </c>
    </row>
    <row r="4583">
      <c r="A4583" t="inlineStr">
        <is>
          <t>RP0004582</t>
        </is>
      </c>
      <c r="B4583" t="inlineStr">
        <is>
          <t>LN200650</t>
        </is>
      </c>
      <c r="C4583" t="n">
        <v>13</v>
      </c>
      <c r="D4583" s="8" t="n">
        <v>46080</v>
      </c>
      <c r="E4583" s="9" t="n">
        <v>7067.08</v>
      </c>
      <c r="F4583" s="8" t="n"/>
      <c r="G4583" s="9" t="n">
        <v>0</v>
      </c>
      <c r="H4583" t="inlineStr">
        <is>
          <t>UNPAID</t>
        </is>
      </c>
      <c r="I4583">
        <f>IF(H4583="UNPAID", AsOfDate-D4583, 0)</f>
        <v/>
      </c>
      <c r="J4583">
        <f>IF(F4583&lt;&gt;"", TEXT(F4583, "yyyy-mm"), "")</f>
        <v/>
      </c>
    </row>
    <row r="4584">
      <c r="A4584" t="inlineStr">
        <is>
          <t>RP0004583</t>
        </is>
      </c>
      <c r="B4584" t="inlineStr">
        <is>
          <t>LN200650</t>
        </is>
      </c>
      <c r="C4584" t="n">
        <v>14</v>
      </c>
      <c r="D4584" s="8" t="n">
        <v>46108</v>
      </c>
      <c r="E4584" s="9" t="n">
        <v>7067.08</v>
      </c>
      <c r="F4584" s="8" t="n">
        <v>46111</v>
      </c>
      <c r="G4584" s="9" t="n">
        <v>7067.08</v>
      </c>
      <c r="H4584" t="inlineStr">
        <is>
          <t>PAID_ON_TIME</t>
        </is>
      </c>
      <c r="I4584">
        <f>IF(H4584="UNPAID", AsOfDate-D4584, 0)</f>
        <v/>
      </c>
      <c r="J4584">
        <f>IF(F4584&lt;&gt;"", TEXT(F4584, "yyyy-mm"), "")</f>
        <v/>
      </c>
    </row>
    <row r="4585">
      <c r="A4585" t="inlineStr">
        <is>
          <t>RP0004584</t>
        </is>
      </c>
      <c r="B4585" t="inlineStr">
        <is>
          <t>LN200650</t>
        </is>
      </c>
      <c r="C4585" t="n">
        <v>15</v>
      </c>
      <c r="D4585" s="8" t="n">
        <v>46139</v>
      </c>
      <c r="E4585" s="9" t="n">
        <v>7067.08</v>
      </c>
      <c r="F4585" s="8" t="n">
        <v>46139</v>
      </c>
      <c r="G4585" s="9" t="n">
        <v>7067.08</v>
      </c>
      <c r="H4585" t="inlineStr">
        <is>
          <t>PAID_ON_TIME</t>
        </is>
      </c>
      <c r="I4585">
        <f>IF(H4585="UNPAID", AsOfDate-D4585, 0)</f>
        <v/>
      </c>
      <c r="J4585">
        <f>IF(F4585&lt;&gt;"", TEXT(F4585, "yyyy-mm"), "")</f>
        <v/>
      </c>
    </row>
    <row r="4586">
      <c r="A4586" t="inlineStr">
        <is>
          <t>RP0004585</t>
        </is>
      </c>
      <c r="B4586" t="inlineStr">
        <is>
          <t>LN200650</t>
        </is>
      </c>
      <c r="C4586" t="n">
        <v>16</v>
      </c>
      <c r="D4586" s="8" t="n">
        <v>46169</v>
      </c>
      <c r="E4586" s="9" t="n">
        <v>7067.08</v>
      </c>
      <c r="F4586" s="8" t="n">
        <v>46172</v>
      </c>
      <c r="G4586" s="9" t="n">
        <v>7067.08</v>
      </c>
      <c r="H4586" t="inlineStr">
        <is>
          <t>PAID_ON_TIME</t>
        </is>
      </c>
      <c r="I4586">
        <f>IF(H4586="UNPAID", AsOfDate-D4586, 0)</f>
        <v/>
      </c>
      <c r="J4586">
        <f>IF(F4586&lt;&gt;"", TEXT(F4586, "yyyy-mm"), "")</f>
        <v/>
      </c>
    </row>
    <row r="4587">
      <c r="A4587" t="inlineStr">
        <is>
          <t>RP0004586</t>
        </is>
      </c>
      <c r="B4587" t="inlineStr">
        <is>
          <t>LN200650</t>
        </is>
      </c>
      <c r="C4587" t="n">
        <v>17</v>
      </c>
      <c r="D4587" s="8" t="n">
        <v>46200</v>
      </c>
      <c r="E4587" s="9" t="n">
        <v>7067.08</v>
      </c>
      <c r="F4587" s="8" t="n">
        <v>46198</v>
      </c>
      <c r="G4587" s="9" t="n">
        <v>7067.08</v>
      </c>
      <c r="H4587" t="inlineStr">
        <is>
          <t>PAID_ON_TIME</t>
        </is>
      </c>
      <c r="I4587">
        <f>IF(H4587="UNPAID", AsOfDate-D4587, 0)</f>
        <v/>
      </c>
      <c r="J4587">
        <f>IF(F4587&lt;&gt;"", TEXT(F4587, "yyyy-mm"), "")</f>
        <v/>
      </c>
    </row>
    <row r="4588">
      <c r="A4588" t="inlineStr">
        <is>
          <t>RP0004587</t>
        </is>
      </c>
      <c r="B4588" t="inlineStr">
        <is>
          <t>LN200650</t>
        </is>
      </c>
      <c r="C4588" t="n">
        <v>18</v>
      </c>
      <c r="D4588" s="8" t="n">
        <v>46230</v>
      </c>
      <c r="E4588" s="9" t="n">
        <v>7067.08</v>
      </c>
      <c r="F4588" s="8" t="n">
        <v>46232</v>
      </c>
      <c r="G4588" s="9" t="n">
        <v>7067.08</v>
      </c>
      <c r="H4588" t="inlineStr">
        <is>
          <t>PAID_ON_TIME</t>
        </is>
      </c>
      <c r="I4588">
        <f>IF(H4588="UNPAID", AsOfDate-D4588, 0)</f>
        <v/>
      </c>
      <c r="J4588">
        <f>IF(F4588&lt;&gt;"", TEXT(F4588, "yyyy-mm"), "")</f>
        <v/>
      </c>
    </row>
    <row r="4589">
      <c r="A4589" t="inlineStr">
        <is>
          <t>RP0004588</t>
        </is>
      </c>
      <c r="B4589" t="inlineStr">
        <is>
          <t>LN200651</t>
        </is>
      </c>
      <c r="C4589" t="n">
        <v>1</v>
      </c>
      <c r="D4589" s="8" t="n">
        <v>46104</v>
      </c>
      <c r="E4589" s="9" t="n">
        <v>9218.25</v>
      </c>
      <c r="F4589" s="8" t="n">
        <v>46101</v>
      </c>
      <c r="G4589" s="9" t="n">
        <v>9218.25</v>
      </c>
      <c r="H4589" t="inlineStr">
        <is>
          <t>PAID_ON_TIME</t>
        </is>
      </c>
      <c r="I4589">
        <f>IF(H4589="UNPAID", AsOfDate-D4589, 0)</f>
        <v/>
      </c>
      <c r="J4589">
        <f>IF(F4589&lt;&gt;"", TEXT(F4589, "yyyy-mm"), "")</f>
        <v/>
      </c>
    </row>
    <row r="4590">
      <c r="A4590" t="inlineStr">
        <is>
          <t>RP0004589</t>
        </is>
      </c>
      <c r="B4590" t="inlineStr">
        <is>
          <t>LN200651</t>
        </is>
      </c>
      <c r="C4590" t="n">
        <v>2</v>
      </c>
      <c r="D4590" s="8" t="n">
        <v>46135</v>
      </c>
      <c r="E4590" s="9" t="n">
        <v>9218.25</v>
      </c>
      <c r="F4590" s="8" t="n">
        <v>46135</v>
      </c>
      <c r="G4590" s="9" t="n">
        <v>9218.25</v>
      </c>
      <c r="H4590" t="inlineStr">
        <is>
          <t>PAID_ON_TIME</t>
        </is>
      </c>
      <c r="I4590">
        <f>IF(H4590="UNPAID", AsOfDate-D4590, 0)</f>
        <v/>
      </c>
      <c r="J4590">
        <f>IF(F4590&lt;&gt;"", TEXT(F4590, "yyyy-mm"), "")</f>
        <v/>
      </c>
    </row>
    <row r="4591">
      <c r="A4591" t="inlineStr">
        <is>
          <t>RP0004590</t>
        </is>
      </c>
      <c r="B4591" t="inlineStr">
        <is>
          <t>LN200651</t>
        </is>
      </c>
      <c r="C4591" t="n">
        <v>3</v>
      </c>
      <c r="D4591" s="8" t="n">
        <v>46165</v>
      </c>
      <c r="E4591" s="9" t="n">
        <v>9218.25</v>
      </c>
      <c r="F4591" s="8" t="n">
        <v>46162</v>
      </c>
      <c r="G4591" s="9" t="n">
        <v>9218.25</v>
      </c>
      <c r="H4591" t="inlineStr">
        <is>
          <t>PAID_ON_TIME</t>
        </is>
      </c>
      <c r="I4591">
        <f>IF(H4591="UNPAID", AsOfDate-D4591, 0)</f>
        <v/>
      </c>
      <c r="J4591">
        <f>IF(F4591&lt;&gt;"", TEXT(F4591, "yyyy-mm"), "")</f>
        <v/>
      </c>
    </row>
    <row r="4592">
      <c r="A4592" t="inlineStr">
        <is>
          <t>RP0004591</t>
        </is>
      </c>
      <c r="B4592" t="inlineStr">
        <is>
          <t>LN200651</t>
        </is>
      </c>
      <c r="C4592" t="n">
        <v>4</v>
      </c>
      <c r="D4592" s="8" t="n">
        <v>46196</v>
      </c>
      <c r="E4592" s="9" t="n">
        <v>9218.25</v>
      </c>
      <c r="F4592" s="8" t="n">
        <v>46197</v>
      </c>
      <c r="G4592" s="9" t="n">
        <v>9218.25</v>
      </c>
      <c r="H4592" t="inlineStr">
        <is>
          <t>PAID_ON_TIME</t>
        </is>
      </c>
      <c r="I4592">
        <f>IF(H4592="UNPAID", AsOfDate-D4592, 0)</f>
        <v/>
      </c>
      <c r="J4592">
        <f>IF(F4592&lt;&gt;"", TEXT(F4592, "yyyy-mm"), "")</f>
        <v/>
      </c>
    </row>
    <row r="4593">
      <c r="A4593" t="inlineStr">
        <is>
          <t>RP0004592</t>
        </is>
      </c>
      <c r="B4593" t="inlineStr">
        <is>
          <t>LN200651</t>
        </is>
      </c>
      <c r="C4593" t="n">
        <v>5</v>
      </c>
      <c r="D4593" s="8" t="n">
        <v>46226</v>
      </c>
      <c r="E4593" s="9" t="n">
        <v>9218.25</v>
      </c>
      <c r="F4593" s="8" t="n">
        <v>46235</v>
      </c>
      <c r="G4593" s="9" t="n">
        <v>9218.25</v>
      </c>
      <c r="H4593" t="inlineStr">
        <is>
          <t>PAID_LATE</t>
        </is>
      </c>
      <c r="I4593">
        <f>IF(H4593="UNPAID", AsOfDate-D4593, 0)</f>
        <v/>
      </c>
      <c r="J4593">
        <f>IF(F4593&lt;&gt;"", TEXT(F4593, "yyyy-mm"), "")</f>
        <v/>
      </c>
    </row>
    <row r="4594">
      <c r="A4594" t="inlineStr">
        <is>
          <t>RP0004593</t>
        </is>
      </c>
      <c r="B4594" t="inlineStr">
        <is>
          <t>LN200651</t>
        </is>
      </c>
      <c r="C4594" t="n">
        <v>6</v>
      </c>
      <c r="D4594" s="8" t="n">
        <v>46257</v>
      </c>
      <c r="E4594" s="9" t="n">
        <v>9218.25</v>
      </c>
      <c r="F4594" s="8" t="n">
        <v>46261</v>
      </c>
      <c r="G4594" s="9" t="n">
        <v>9218.25</v>
      </c>
      <c r="H4594" t="inlineStr">
        <is>
          <t>PAID_ON_TIME</t>
        </is>
      </c>
      <c r="I4594">
        <f>IF(H4594="UNPAID", AsOfDate-D4594, 0)</f>
        <v/>
      </c>
      <c r="J4594">
        <f>IF(F4594&lt;&gt;"", TEXT(F4594, "yyyy-mm"), "")</f>
        <v/>
      </c>
    </row>
    <row r="4595">
      <c r="A4595" t="inlineStr">
        <is>
          <t>RP0004594</t>
        </is>
      </c>
      <c r="B4595" t="inlineStr">
        <is>
          <t>LN200652</t>
        </is>
      </c>
      <c r="C4595" t="n">
        <v>1</v>
      </c>
      <c r="D4595" s="8" t="n">
        <v>45734</v>
      </c>
      <c r="E4595" s="9" t="n">
        <v>8742</v>
      </c>
      <c r="F4595" s="8" t="n">
        <v>45738</v>
      </c>
      <c r="G4595" s="9" t="n">
        <v>8742</v>
      </c>
      <c r="H4595" t="inlineStr">
        <is>
          <t>PAID_ON_TIME</t>
        </is>
      </c>
      <c r="I4595">
        <f>IF(H4595="UNPAID", AsOfDate-D4595, 0)</f>
        <v/>
      </c>
      <c r="J4595">
        <f>IF(F4595&lt;&gt;"", TEXT(F4595, "yyyy-mm"), "")</f>
        <v/>
      </c>
    </row>
    <row r="4596">
      <c r="A4596" t="inlineStr">
        <is>
          <t>RP0004595</t>
        </is>
      </c>
      <c r="B4596" t="inlineStr">
        <is>
          <t>LN200652</t>
        </is>
      </c>
      <c r="C4596" t="n">
        <v>2</v>
      </c>
      <c r="D4596" s="8" t="n">
        <v>45765</v>
      </c>
      <c r="E4596" s="9" t="n">
        <v>8742</v>
      </c>
      <c r="F4596" s="8" t="n">
        <v>45765</v>
      </c>
      <c r="G4596" s="9" t="n">
        <v>8742</v>
      </c>
      <c r="H4596" t="inlineStr">
        <is>
          <t>PAID_ON_TIME</t>
        </is>
      </c>
      <c r="I4596">
        <f>IF(H4596="UNPAID", AsOfDate-D4596, 0)</f>
        <v/>
      </c>
      <c r="J4596">
        <f>IF(F4596&lt;&gt;"", TEXT(F4596, "yyyy-mm"), "")</f>
        <v/>
      </c>
    </row>
    <row r="4597">
      <c r="A4597" t="inlineStr">
        <is>
          <t>RP0004596</t>
        </is>
      </c>
      <c r="B4597" t="inlineStr">
        <is>
          <t>LN200652</t>
        </is>
      </c>
      <c r="C4597" t="n">
        <v>3</v>
      </c>
      <c r="D4597" s="8" t="n">
        <v>45795</v>
      </c>
      <c r="E4597" s="9" t="n">
        <v>8742</v>
      </c>
      <c r="F4597" s="8" t="n">
        <v>45792</v>
      </c>
      <c r="G4597" s="9" t="n">
        <v>8742</v>
      </c>
      <c r="H4597" t="inlineStr">
        <is>
          <t>PAID_ON_TIME</t>
        </is>
      </c>
      <c r="I4597">
        <f>IF(H4597="UNPAID", AsOfDate-D4597, 0)</f>
        <v/>
      </c>
      <c r="J4597">
        <f>IF(F4597&lt;&gt;"", TEXT(F4597, "yyyy-mm"), "")</f>
        <v/>
      </c>
    </row>
    <row r="4598">
      <c r="A4598" t="inlineStr">
        <is>
          <t>RP0004597</t>
        </is>
      </c>
      <c r="B4598" t="inlineStr">
        <is>
          <t>LN200652</t>
        </is>
      </c>
      <c r="C4598" t="n">
        <v>4</v>
      </c>
      <c r="D4598" s="8" t="n">
        <v>45826</v>
      </c>
      <c r="E4598" s="9" t="n">
        <v>8742</v>
      </c>
      <c r="F4598" s="8" t="n">
        <v>45828</v>
      </c>
      <c r="G4598" s="9" t="n">
        <v>8742</v>
      </c>
      <c r="H4598" t="inlineStr">
        <is>
          <t>PAID_ON_TIME</t>
        </is>
      </c>
      <c r="I4598">
        <f>IF(H4598="UNPAID", AsOfDate-D4598, 0)</f>
        <v/>
      </c>
      <c r="J4598">
        <f>IF(F4598&lt;&gt;"", TEXT(F4598, "yyyy-mm"), "")</f>
        <v/>
      </c>
    </row>
    <row r="4599">
      <c r="A4599" t="inlineStr">
        <is>
          <t>RP0004598</t>
        </is>
      </c>
      <c r="B4599" t="inlineStr">
        <is>
          <t>LN200652</t>
        </is>
      </c>
      <c r="C4599" t="n">
        <v>5</v>
      </c>
      <c r="D4599" s="8" t="n">
        <v>45856</v>
      </c>
      <c r="E4599" s="9" t="n">
        <v>8742</v>
      </c>
      <c r="F4599" s="8" t="n">
        <v>45855</v>
      </c>
      <c r="G4599" s="9" t="n">
        <v>8742</v>
      </c>
      <c r="H4599" t="inlineStr">
        <is>
          <t>PAID_ON_TIME</t>
        </is>
      </c>
      <c r="I4599">
        <f>IF(H4599="UNPAID", AsOfDate-D4599, 0)</f>
        <v/>
      </c>
      <c r="J4599">
        <f>IF(F4599&lt;&gt;"", TEXT(F4599, "yyyy-mm"), "")</f>
        <v/>
      </c>
    </row>
    <row r="4600">
      <c r="A4600" t="inlineStr">
        <is>
          <t>RP0004599</t>
        </is>
      </c>
      <c r="B4600" t="inlineStr">
        <is>
          <t>LN200652</t>
        </is>
      </c>
      <c r="C4600" t="n">
        <v>6</v>
      </c>
      <c r="D4600" s="8" t="n">
        <v>45887</v>
      </c>
      <c r="E4600" s="9" t="n">
        <v>8742</v>
      </c>
      <c r="F4600" s="8" t="n">
        <v>45936</v>
      </c>
      <c r="G4600" s="9" t="n">
        <v>8742</v>
      </c>
      <c r="H4600" t="inlineStr">
        <is>
          <t>PAID_LATE</t>
        </is>
      </c>
      <c r="I4600">
        <f>IF(H4600="UNPAID", AsOfDate-D4600, 0)</f>
        <v/>
      </c>
      <c r="J4600">
        <f>IF(F4600&lt;&gt;"", TEXT(F4600, "yyyy-mm"), "")</f>
        <v/>
      </c>
    </row>
    <row r="4601">
      <c r="A4601" t="inlineStr">
        <is>
          <t>RP0004600</t>
        </is>
      </c>
      <c r="B4601" t="inlineStr">
        <is>
          <t>LN200653</t>
        </is>
      </c>
      <c r="C4601" t="n">
        <v>1</v>
      </c>
      <c r="D4601" s="8" t="n">
        <v>45923</v>
      </c>
      <c r="E4601" s="9" t="n">
        <v>11669.33</v>
      </c>
      <c r="F4601" s="8" t="n">
        <v>45926</v>
      </c>
      <c r="G4601" s="9" t="n">
        <v>11669.33</v>
      </c>
      <c r="H4601" t="inlineStr">
        <is>
          <t>PAID_ON_TIME</t>
        </is>
      </c>
      <c r="I4601">
        <f>IF(H4601="UNPAID", AsOfDate-D4601, 0)</f>
        <v/>
      </c>
      <c r="J4601">
        <f>IF(F4601&lt;&gt;"", TEXT(F4601, "yyyy-mm"), "")</f>
        <v/>
      </c>
    </row>
    <row r="4602">
      <c r="A4602" t="inlineStr">
        <is>
          <t>RP0004601</t>
        </is>
      </c>
      <c r="B4602" t="inlineStr">
        <is>
          <t>LN200653</t>
        </is>
      </c>
      <c r="C4602" t="n">
        <v>2</v>
      </c>
      <c r="D4602" s="8" t="n">
        <v>45953</v>
      </c>
      <c r="E4602" s="9" t="n">
        <v>11669.33</v>
      </c>
      <c r="F4602" s="8" t="n">
        <v>46012</v>
      </c>
      <c r="G4602" s="9" t="n">
        <v>11669.33</v>
      </c>
      <c r="H4602" t="inlineStr">
        <is>
          <t>PAID_LATE</t>
        </is>
      </c>
      <c r="I4602">
        <f>IF(H4602="UNPAID", AsOfDate-D4602, 0)</f>
        <v/>
      </c>
      <c r="J4602">
        <f>IF(F4602&lt;&gt;"", TEXT(F4602, "yyyy-mm"), "")</f>
        <v/>
      </c>
    </row>
    <row r="4603">
      <c r="A4603" t="inlineStr">
        <is>
          <t>RP0004602</t>
        </is>
      </c>
      <c r="B4603" t="inlineStr">
        <is>
          <t>LN200653</t>
        </is>
      </c>
      <c r="C4603" t="n">
        <v>3</v>
      </c>
      <c r="D4603" s="8" t="n">
        <v>45984</v>
      </c>
      <c r="E4603" s="9" t="n">
        <v>11669.33</v>
      </c>
      <c r="F4603" s="8" t="n">
        <v>45985</v>
      </c>
      <c r="G4603" s="9" t="n">
        <v>11669.33</v>
      </c>
      <c r="H4603" t="inlineStr">
        <is>
          <t>PAID_ON_TIME</t>
        </is>
      </c>
      <c r="I4603">
        <f>IF(H4603="UNPAID", AsOfDate-D4603, 0)</f>
        <v/>
      </c>
      <c r="J4603">
        <f>IF(F4603&lt;&gt;"", TEXT(F4603, "yyyy-mm"), "")</f>
        <v/>
      </c>
    </row>
    <row r="4604">
      <c r="A4604" t="inlineStr">
        <is>
          <t>RP0004603</t>
        </is>
      </c>
      <c r="B4604" t="inlineStr">
        <is>
          <t>LN200653</t>
        </is>
      </c>
      <c r="C4604" t="n">
        <v>4</v>
      </c>
      <c r="D4604" s="8" t="n">
        <v>46014</v>
      </c>
      <c r="E4604" s="9" t="n">
        <v>11669.33</v>
      </c>
      <c r="F4604" s="8" t="n">
        <v>46014</v>
      </c>
      <c r="G4604" s="9" t="n">
        <v>11669.33</v>
      </c>
      <c r="H4604" t="inlineStr">
        <is>
          <t>PAID_ON_TIME</t>
        </is>
      </c>
      <c r="I4604">
        <f>IF(H4604="UNPAID", AsOfDate-D4604, 0)</f>
        <v/>
      </c>
      <c r="J4604">
        <f>IF(F4604&lt;&gt;"", TEXT(F4604, "yyyy-mm"), "")</f>
        <v/>
      </c>
    </row>
    <row r="4605">
      <c r="A4605" t="inlineStr">
        <is>
          <t>RP0004604</t>
        </is>
      </c>
      <c r="B4605" t="inlineStr">
        <is>
          <t>LN200653</t>
        </is>
      </c>
      <c r="C4605" t="n">
        <v>5</v>
      </c>
      <c r="D4605" s="8" t="n">
        <v>46045</v>
      </c>
      <c r="E4605" s="9" t="n">
        <v>11669.33</v>
      </c>
      <c r="F4605" s="8" t="n">
        <v>46043</v>
      </c>
      <c r="G4605" s="9" t="n">
        <v>11669.33</v>
      </c>
      <c r="H4605" t="inlineStr">
        <is>
          <t>PAID_ON_TIME</t>
        </is>
      </c>
      <c r="I4605">
        <f>IF(H4605="UNPAID", AsOfDate-D4605, 0)</f>
        <v/>
      </c>
      <c r="J4605">
        <f>IF(F4605&lt;&gt;"", TEXT(F4605, "yyyy-mm"), "")</f>
        <v/>
      </c>
    </row>
    <row r="4606">
      <c r="A4606" t="inlineStr">
        <is>
          <t>RP0004605</t>
        </is>
      </c>
      <c r="B4606" t="inlineStr">
        <is>
          <t>LN200653</t>
        </is>
      </c>
      <c r="C4606" t="n">
        <v>6</v>
      </c>
      <c r="D4606" s="8" t="n">
        <v>46076</v>
      </c>
      <c r="E4606" s="9" t="n">
        <v>11669.33</v>
      </c>
      <c r="F4606" s="8" t="n"/>
      <c r="G4606" s="9" t="n">
        <v>0</v>
      </c>
      <c r="H4606" t="inlineStr">
        <is>
          <t>UNPAID</t>
        </is>
      </c>
      <c r="I4606">
        <f>IF(H4606="UNPAID", AsOfDate-D4606, 0)</f>
        <v/>
      </c>
      <c r="J4606">
        <f>IF(F4606&lt;&gt;"", TEXT(F4606, "yyyy-mm"), "")</f>
        <v/>
      </c>
    </row>
    <row r="4607">
      <c r="A4607" t="inlineStr">
        <is>
          <t>RP0004606</t>
        </is>
      </c>
      <c r="B4607" t="inlineStr">
        <is>
          <t>LN200654</t>
        </is>
      </c>
      <c r="C4607" t="n">
        <v>1</v>
      </c>
      <c r="D4607" s="8" t="n">
        <v>45696</v>
      </c>
      <c r="E4607" s="9" t="n">
        <v>34709.83</v>
      </c>
      <c r="F4607" s="8" t="n">
        <v>45694</v>
      </c>
      <c r="G4607" s="9" t="n">
        <v>34709.83</v>
      </c>
      <c r="H4607" t="inlineStr">
        <is>
          <t>PAID_ON_TIME</t>
        </is>
      </c>
      <c r="I4607">
        <f>IF(H4607="UNPAID", AsOfDate-D4607, 0)</f>
        <v/>
      </c>
      <c r="J4607">
        <f>IF(F4607&lt;&gt;"", TEXT(F4607, "yyyy-mm"), "")</f>
        <v/>
      </c>
    </row>
    <row r="4608">
      <c r="A4608" t="inlineStr">
        <is>
          <t>RP0004607</t>
        </is>
      </c>
      <c r="B4608" t="inlineStr">
        <is>
          <t>LN200654</t>
        </is>
      </c>
      <c r="C4608" t="n">
        <v>2</v>
      </c>
      <c r="D4608" s="8" t="n">
        <v>45724</v>
      </c>
      <c r="E4608" s="9" t="n">
        <v>34709.83</v>
      </c>
      <c r="F4608" s="8" t="n">
        <v>45722</v>
      </c>
      <c r="G4608" s="9" t="n">
        <v>34709.83</v>
      </c>
      <c r="H4608" t="inlineStr">
        <is>
          <t>PAID_ON_TIME</t>
        </is>
      </c>
      <c r="I4608">
        <f>IF(H4608="UNPAID", AsOfDate-D4608, 0)</f>
        <v/>
      </c>
      <c r="J4608">
        <f>IF(F4608&lt;&gt;"", TEXT(F4608, "yyyy-mm"), "")</f>
        <v/>
      </c>
    </row>
    <row r="4609">
      <c r="A4609" t="inlineStr">
        <is>
          <t>RP0004608</t>
        </is>
      </c>
      <c r="B4609" t="inlineStr">
        <is>
          <t>LN200654</t>
        </is>
      </c>
      <c r="C4609" t="n">
        <v>3</v>
      </c>
      <c r="D4609" s="8" t="n">
        <v>45755</v>
      </c>
      <c r="E4609" s="9" t="n">
        <v>34709.83</v>
      </c>
      <c r="F4609" s="8" t="n">
        <v>45754</v>
      </c>
      <c r="G4609" s="9" t="n">
        <v>34709.83</v>
      </c>
      <c r="H4609" t="inlineStr">
        <is>
          <t>PAID_ON_TIME</t>
        </is>
      </c>
      <c r="I4609">
        <f>IF(H4609="UNPAID", AsOfDate-D4609, 0)</f>
        <v/>
      </c>
      <c r="J4609">
        <f>IF(F4609&lt;&gt;"", TEXT(F4609, "yyyy-mm"), "")</f>
        <v/>
      </c>
    </row>
    <row r="4610">
      <c r="A4610" t="inlineStr">
        <is>
          <t>RP0004609</t>
        </is>
      </c>
      <c r="B4610" t="inlineStr">
        <is>
          <t>LN200654</t>
        </is>
      </c>
      <c r="C4610" t="n">
        <v>4</v>
      </c>
      <c r="D4610" s="8" t="n">
        <v>45785</v>
      </c>
      <c r="E4610" s="9" t="n">
        <v>34709.83</v>
      </c>
      <c r="F4610" s="8" t="n">
        <v>45787</v>
      </c>
      <c r="G4610" s="9" t="n">
        <v>34709.83</v>
      </c>
      <c r="H4610" t="inlineStr">
        <is>
          <t>PAID_ON_TIME</t>
        </is>
      </c>
      <c r="I4610">
        <f>IF(H4610="UNPAID", AsOfDate-D4610, 0)</f>
        <v/>
      </c>
      <c r="J4610">
        <f>IF(F4610&lt;&gt;"", TEXT(F4610, "yyyy-mm"), "")</f>
        <v/>
      </c>
    </row>
    <row r="4611">
      <c r="A4611" t="inlineStr">
        <is>
          <t>RP0004610</t>
        </is>
      </c>
      <c r="B4611" t="inlineStr">
        <is>
          <t>LN200654</t>
        </is>
      </c>
      <c r="C4611" t="n">
        <v>5</v>
      </c>
      <c r="D4611" s="8" t="n">
        <v>45816</v>
      </c>
      <c r="E4611" s="9" t="n">
        <v>34709.83</v>
      </c>
      <c r="F4611" s="8" t="n">
        <v>45820</v>
      </c>
      <c r="G4611" s="9" t="n">
        <v>34709.83</v>
      </c>
      <c r="H4611" t="inlineStr">
        <is>
          <t>PAID_ON_TIME</t>
        </is>
      </c>
      <c r="I4611">
        <f>IF(H4611="UNPAID", AsOfDate-D4611, 0)</f>
        <v/>
      </c>
      <c r="J4611">
        <f>IF(F4611&lt;&gt;"", TEXT(F4611, "yyyy-mm"), "")</f>
        <v/>
      </c>
    </row>
    <row r="4612">
      <c r="A4612" t="inlineStr">
        <is>
          <t>RP0004611</t>
        </is>
      </c>
      <c r="B4612" t="inlineStr">
        <is>
          <t>LN200654</t>
        </is>
      </c>
      <c r="C4612" t="n">
        <v>6</v>
      </c>
      <c r="D4612" s="8" t="n">
        <v>45846</v>
      </c>
      <c r="E4612" s="9" t="n">
        <v>34709.83</v>
      </c>
      <c r="F4612" s="8" t="n">
        <v>45850</v>
      </c>
      <c r="G4612" s="9" t="n">
        <v>34709.83</v>
      </c>
      <c r="H4612" t="inlineStr">
        <is>
          <t>PAID_ON_TIME</t>
        </is>
      </c>
      <c r="I4612">
        <f>IF(H4612="UNPAID", AsOfDate-D4612, 0)</f>
        <v/>
      </c>
      <c r="J4612">
        <f>IF(F4612&lt;&gt;"", TEXT(F4612, "yyyy-mm"), "")</f>
        <v/>
      </c>
    </row>
    <row r="4613">
      <c r="A4613" t="inlineStr">
        <is>
          <t>RP0004612</t>
        </is>
      </c>
      <c r="B4613" t="inlineStr">
        <is>
          <t>LN200655</t>
        </is>
      </c>
      <c r="C4613" t="n">
        <v>1</v>
      </c>
      <c r="D4613" s="8" t="n">
        <v>46229</v>
      </c>
      <c r="E4613" s="9" t="n">
        <v>16877.78</v>
      </c>
      <c r="F4613" s="8" t="n">
        <v>46226</v>
      </c>
      <c r="G4613" s="9" t="n">
        <v>16877.78</v>
      </c>
      <c r="H4613" t="inlineStr">
        <is>
          <t>PAID_ON_TIME</t>
        </is>
      </c>
      <c r="I4613">
        <f>IF(H4613="UNPAID", AsOfDate-D4613, 0)</f>
        <v/>
      </c>
      <c r="J4613">
        <f>IF(F4613&lt;&gt;"", TEXT(F4613, "yyyy-mm"), "")</f>
        <v/>
      </c>
    </row>
    <row r="4614">
      <c r="A4614" t="inlineStr">
        <is>
          <t>RP0004613</t>
        </is>
      </c>
      <c r="B4614" t="inlineStr">
        <is>
          <t>LN200655</t>
        </is>
      </c>
      <c r="C4614" t="n">
        <v>2</v>
      </c>
      <c r="D4614" s="8" t="n">
        <v>46260</v>
      </c>
      <c r="E4614" s="9" t="n">
        <v>16877.78</v>
      </c>
      <c r="F4614" s="8" t="n">
        <v>46259</v>
      </c>
      <c r="G4614" s="9" t="n">
        <v>16877.78</v>
      </c>
      <c r="H4614" t="inlineStr">
        <is>
          <t>PAID_ON_TIME</t>
        </is>
      </c>
      <c r="I4614">
        <f>IF(H4614="UNPAID", AsOfDate-D4614, 0)</f>
        <v/>
      </c>
      <c r="J4614">
        <f>IF(F4614&lt;&gt;"", TEXT(F4614, "yyyy-mm"), "")</f>
        <v/>
      </c>
    </row>
    <row r="4615">
      <c r="A4615" t="inlineStr">
        <is>
          <t>RP0004614</t>
        </is>
      </c>
      <c r="B4615" t="inlineStr">
        <is>
          <t>LN200655</t>
        </is>
      </c>
      <c r="C4615" t="n">
        <v>3</v>
      </c>
      <c r="D4615" s="8" t="n">
        <v>46291</v>
      </c>
      <c r="E4615" s="9" t="n">
        <v>16877.78</v>
      </c>
      <c r="F4615" s="8" t="n"/>
      <c r="G4615" s="9" t="n">
        <v>0</v>
      </c>
      <c r="H4615" t="inlineStr">
        <is>
          <t>NOT_DUE</t>
        </is>
      </c>
      <c r="I4615">
        <f>IF(H4615="UNPAID", AsOfDate-D4615, 0)</f>
        <v/>
      </c>
      <c r="J4615">
        <f>IF(F4615&lt;&gt;"", TEXT(F4615, "yyyy-mm"), "")</f>
        <v/>
      </c>
    </row>
    <row r="4616">
      <c r="A4616" t="inlineStr">
        <is>
          <t>RP0004615</t>
        </is>
      </c>
      <c r="B4616" t="inlineStr">
        <is>
          <t>LN200655</t>
        </is>
      </c>
      <c r="C4616" t="n">
        <v>4</v>
      </c>
      <c r="D4616" s="8" t="n">
        <v>46321</v>
      </c>
      <c r="E4616" s="9" t="n">
        <v>16877.78</v>
      </c>
      <c r="F4616" s="8" t="n"/>
      <c r="G4616" s="9" t="n">
        <v>0</v>
      </c>
      <c r="H4616" t="inlineStr">
        <is>
          <t>NOT_DUE</t>
        </is>
      </c>
      <c r="I4616">
        <f>IF(H4616="UNPAID", AsOfDate-D4616, 0)</f>
        <v/>
      </c>
      <c r="J4616">
        <f>IF(F4616&lt;&gt;"", TEXT(F4616, "yyyy-mm"), "")</f>
        <v/>
      </c>
    </row>
    <row r="4617">
      <c r="A4617" t="inlineStr">
        <is>
          <t>RP0004616</t>
        </is>
      </c>
      <c r="B4617" t="inlineStr">
        <is>
          <t>LN200655</t>
        </is>
      </c>
      <c r="C4617" t="n">
        <v>5</v>
      </c>
      <c r="D4617" s="8" t="n">
        <v>46352</v>
      </c>
      <c r="E4617" s="9" t="n">
        <v>16877.78</v>
      </c>
      <c r="F4617" s="8" t="n"/>
      <c r="G4617" s="9" t="n">
        <v>0</v>
      </c>
      <c r="H4617" t="inlineStr">
        <is>
          <t>NOT_DUE</t>
        </is>
      </c>
      <c r="I4617">
        <f>IF(H4617="UNPAID", AsOfDate-D4617, 0)</f>
        <v/>
      </c>
      <c r="J4617">
        <f>IF(F4617&lt;&gt;"", TEXT(F4617, "yyyy-mm"), "")</f>
        <v/>
      </c>
    </row>
    <row r="4618">
      <c r="A4618" t="inlineStr">
        <is>
          <t>RP0004617</t>
        </is>
      </c>
      <c r="B4618" t="inlineStr">
        <is>
          <t>LN200655</t>
        </is>
      </c>
      <c r="C4618" t="n">
        <v>6</v>
      </c>
      <c r="D4618" s="8" t="n">
        <v>46382</v>
      </c>
      <c r="E4618" s="9" t="n">
        <v>16877.78</v>
      </c>
      <c r="F4618" s="8" t="n"/>
      <c r="G4618" s="9" t="n">
        <v>0</v>
      </c>
      <c r="H4618" t="inlineStr">
        <is>
          <t>NOT_DUE</t>
        </is>
      </c>
      <c r="I4618">
        <f>IF(H4618="UNPAID", AsOfDate-D4618, 0)</f>
        <v/>
      </c>
      <c r="J4618">
        <f>IF(F4618&lt;&gt;"", TEXT(F4618, "yyyy-mm"), "")</f>
        <v/>
      </c>
    </row>
    <row r="4619">
      <c r="A4619" t="inlineStr">
        <is>
          <t>RP0004618</t>
        </is>
      </c>
      <c r="B4619" t="inlineStr">
        <is>
          <t>LN200655</t>
        </is>
      </c>
      <c r="C4619" t="n">
        <v>7</v>
      </c>
      <c r="D4619" s="8" t="n">
        <v>46413</v>
      </c>
      <c r="E4619" s="9" t="n">
        <v>16877.78</v>
      </c>
      <c r="F4619" s="8" t="n"/>
      <c r="G4619" s="9" t="n">
        <v>0</v>
      </c>
      <c r="H4619" t="inlineStr">
        <is>
          <t>NOT_DUE</t>
        </is>
      </c>
      <c r="I4619">
        <f>IF(H4619="UNPAID", AsOfDate-D4619, 0)</f>
        <v/>
      </c>
      <c r="J4619">
        <f>IF(F4619&lt;&gt;"", TEXT(F4619, "yyyy-mm"), "")</f>
        <v/>
      </c>
    </row>
    <row r="4620">
      <c r="A4620" t="inlineStr">
        <is>
          <t>RP0004619</t>
        </is>
      </c>
      <c r="B4620" t="inlineStr">
        <is>
          <t>LN200655</t>
        </is>
      </c>
      <c r="C4620" t="n">
        <v>8</v>
      </c>
      <c r="D4620" s="8" t="n">
        <v>46444</v>
      </c>
      <c r="E4620" s="9" t="n">
        <v>16877.78</v>
      </c>
      <c r="F4620" s="8" t="n"/>
      <c r="G4620" s="9" t="n">
        <v>0</v>
      </c>
      <c r="H4620" t="inlineStr">
        <is>
          <t>NOT_DUE</t>
        </is>
      </c>
      <c r="I4620">
        <f>IF(H4620="UNPAID", AsOfDate-D4620, 0)</f>
        <v/>
      </c>
      <c r="J4620">
        <f>IF(F4620&lt;&gt;"", TEXT(F4620, "yyyy-mm"), "")</f>
        <v/>
      </c>
    </row>
    <row r="4621">
      <c r="A4621" t="inlineStr">
        <is>
          <t>RP0004620</t>
        </is>
      </c>
      <c r="B4621" t="inlineStr">
        <is>
          <t>LN200655</t>
        </is>
      </c>
      <c r="C4621" t="n">
        <v>9</v>
      </c>
      <c r="D4621" s="8" t="n">
        <v>46472</v>
      </c>
      <c r="E4621" s="9" t="n">
        <v>16877.78</v>
      </c>
      <c r="F4621" s="8" t="n"/>
      <c r="G4621" s="9" t="n">
        <v>0</v>
      </c>
      <c r="H4621" t="inlineStr">
        <is>
          <t>NOT_DUE</t>
        </is>
      </c>
      <c r="I4621">
        <f>IF(H4621="UNPAID", AsOfDate-D4621, 0)</f>
        <v/>
      </c>
      <c r="J4621">
        <f>IF(F4621&lt;&gt;"", TEXT(F4621, "yyyy-mm"), "")</f>
        <v/>
      </c>
    </row>
    <row r="4622">
      <c r="A4622" t="inlineStr">
        <is>
          <t>RP0004621</t>
        </is>
      </c>
      <c r="B4622" t="inlineStr">
        <is>
          <t>LN200655</t>
        </is>
      </c>
      <c r="C4622" t="n">
        <v>10</v>
      </c>
      <c r="D4622" s="8" t="n">
        <v>46503</v>
      </c>
      <c r="E4622" s="9" t="n">
        <v>16877.78</v>
      </c>
      <c r="F4622" s="8" t="n"/>
      <c r="G4622" s="9" t="n">
        <v>0</v>
      </c>
      <c r="H4622" t="inlineStr">
        <is>
          <t>NOT_DUE</t>
        </is>
      </c>
      <c r="I4622">
        <f>IF(H4622="UNPAID", AsOfDate-D4622, 0)</f>
        <v/>
      </c>
      <c r="J4622">
        <f>IF(F4622&lt;&gt;"", TEXT(F4622, "yyyy-mm"), "")</f>
        <v/>
      </c>
    </row>
    <row r="4623">
      <c r="A4623" t="inlineStr">
        <is>
          <t>RP0004622</t>
        </is>
      </c>
      <c r="B4623" t="inlineStr">
        <is>
          <t>LN200655</t>
        </is>
      </c>
      <c r="C4623" t="n">
        <v>11</v>
      </c>
      <c r="D4623" s="8" t="n">
        <v>46533</v>
      </c>
      <c r="E4623" s="9" t="n">
        <v>16877.78</v>
      </c>
      <c r="F4623" s="8" t="n"/>
      <c r="G4623" s="9" t="n">
        <v>0</v>
      </c>
      <c r="H4623" t="inlineStr">
        <is>
          <t>NOT_DUE</t>
        </is>
      </c>
      <c r="I4623">
        <f>IF(H4623="UNPAID", AsOfDate-D4623, 0)</f>
        <v/>
      </c>
      <c r="J4623">
        <f>IF(F4623&lt;&gt;"", TEXT(F4623, "yyyy-mm"), "")</f>
        <v/>
      </c>
    </row>
    <row r="4624">
      <c r="A4624" t="inlineStr">
        <is>
          <t>RP0004623</t>
        </is>
      </c>
      <c r="B4624" t="inlineStr">
        <is>
          <t>LN200655</t>
        </is>
      </c>
      <c r="C4624" t="n">
        <v>12</v>
      </c>
      <c r="D4624" s="8" t="n">
        <v>46564</v>
      </c>
      <c r="E4624" s="9" t="n">
        <v>16877.78</v>
      </c>
      <c r="F4624" s="8" t="n"/>
      <c r="G4624" s="9" t="n">
        <v>0</v>
      </c>
      <c r="H4624" t="inlineStr">
        <is>
          <t>NOT_DUE</t>
        </is>
      </c>
      <c r="I4624">
        <f>IF(H4624="UNPAID", AsOfDate-D4624, 0)</f>
        <v/>
      </c>
      <c r="J4624">
        <f>IF(F4624&lt;&gt;"", TEXT(F4624, "yyyy-mm"), "")</f>
        <v/>
      </c>
    </row>
    <row r="4625">
      <c r="A4625" t="inlineStr">
        <is>
          <t>RP0004624</t>
        </is>
      </c>
      <c r="B4625" t="inlineStr">
        <is>
          <t>LN200655</t>
        </is>
      </c>
      <c r="C4625" t="n">
        <v>13</v>
      </c>
      <c r="D4625" s="8" t="n">
        <v>46594</v>
      </c>
      <c r="E4625" s="9" t="n">
        <v>16877.78</v>
      </c>
      <c r="F4625" s="8" t="n"/>
      <c r="G4625" s="9" t="n">
        <v>0</v>
      </c>
      <c r="H4625" t="inlineStr">
        <is>
          <t>NOT_DUE</t>
        </is>
      </c>
      <c r="I4625">
        <f>IF(H4625="UNPAID", AsOfDate-D4625, 0)</f>
        <v/>
      </c>
      <c r="J4625">
        <f>IF(F4625&lt;&gt;"", TEXT(F4625, "yyyy-mm"), "")</f>
        <v/>
      </c>
    </row>
    <row r="4626">
      <c r="A4626" t="inlineStr">
        <is>
          <t>RP0004625</t>
        </is>
      </c>
      <c r="B4626" t="inlineStr">
        <is>
          <t>LN200655</t>
        </is>
      </c>
      <c r="C4626" t="n">
        <v>14</v>
      </c>
      <c r="D4626" s="8" t="n">
        <v>46625</v>
      </c>
      <c r="E4626" s="9" t="n">
        <v>16877.78</v>
      </c>
      <c r="F4626" s="8" t="n"/>
      <c r="G4626" s="9" t="n">
        <v>0</v>
      </c>
      <c r="H4626" t="inlineStr">
        <is>
          <t>NOT_DUE</t>
        </is>
      </c>
      <c r="I4626">
        <f>IF(H4626="UNPAID", AsOfDate-D4626, 0)</f>
        <v/>
      </c>
      <c r="J4626">
        <f>IF(F4626&lt;&gt;"", TEXT(F4626, "yyyy-mm"), "")</f>
        <v/>
      </c>
    </row>
    <row r="4627">
      <c r="A4627" t="inlineStr">
        <is>
          <t>RP0004626</t>
        </is>
      </c>
      <c r="B4627" t="inlineStr">
        <is>
          <t>LN200655</t>
        </is>
      </c>
      <c r="C4627" t="n">
        <v>15</v>
      </c>
      <c r="D4627" s="8" t="n">
        <v>46656</v>
      </c>
      <c r="E4627" s="9" t="n">
        <v>16877.78</v>
      </c>
      <c r="F4627" s="8" t="n"/>
      <c r="G4627" s="9" t="n">
        <v>0</v>
      </c>
      <c r="H4627" t="inlineStr">
        <is>
          <t>NOT_DUE</t>
        </is>
      </c>
      <c r="I4627">
        <f>IF(H4627="UNPAID", AsOfDate-D4627, 0)</f>
        <v/>
      </c>
      <c r="J4627">
        <f>IF(F4627&lt;&gt;"", TEXT(F4627, "yyyy-mm"), "")</f>
        <v/>
      </c>
    </row>
    <row r="4628">
      <c r="A4628" t="inlineStr">
        <is>
          <t>RP0004627</t>
        </is>
      </c>
      <c r="B4628" t="inlineStr">
        <is>
          <t>LN200655</t>
        </is>
      </c>
      <c r="C4628" t="n">
        <v>16</v>
      </c>
      <c r="D4628" s="8" t="n">
        <v>46686</v>
      </c>
      <c r="E4628" s="9" t="n">
        <v>16877.78</v>
      </c>
      <c r="F4628" s="8" t="n"/>
      <c r="G4628" s="9" t="n">
        <v>0</v>
      </c>
      <c r="H4628" t="inlineStr">
        <is>
          <t>NOT_DUE</t>
        </is>
      </c>
      <c r="I4628">
        <f>IF(H4628="UNPAID", AsOfDate-D4628, 0)</f>
        <v/>
      </c>
      <c r="J4628">
        <f>IF(F4628&lt;&gt;"", TEXT(F4628, "yyyy-mm"), "")</f>
        <v/>
      </c>
    </row>
    <row r="4629">
      <c r="A4629" t="inlineStr">
        <is>
          <t>RP0004628</t>
        </is>
      </c>
      <c r="B4629" t="inlineStr">
        <is>
          <t>LN200655</t>
        </is>
      </c>
      <c r="C4629" t="n">
        <v>17</v>
      </c>
      <c r="D4629" s="8" t="n">
        <v>46717</v>
      </c>
      <c r="E4629" s="9" t="n">
        <v>16877.78</v>
      </c>
      <c r="F4629" s="8" t="n"/>
      <c r="G4629" s="9" t="n">
        <v>0</v>
      </c>
      <c r="H4629" t="inlineStr">
        <is>
          <t>NOT_DUE</t>
        </is>
      </c>
      <c r="I4629">
        <f>IF(H4629="UNPAID", AsOfDate-D4629, 0)</f>
        <v/>
      </c>
      <c r="J4629">
        <f>IF(F4629&lt;&gt;"", TEXT(F4629, "yyyy-mm"), "")</f>
        <v/>
      </c>
    </row>
    <row r="4630">
      <c r="A4630" t="inlineStr">
        <is>
          <t>RP0004629</t>
        </is>
      </c>
      <c r="B4630" t="inlineStr">
        <is>
          <t>LN200655</t>
        </is>
      </c>
      <c r="C4630" t="n">
        <v>18</v>
      </c>
      <c r="D4630" s="8" t="n">
        <v>46747</v>
      </c>
      <c r="E4630" s="9" t="n">
        <v>16877.78</v>
      </c>
      <c r="F4630" s="8" t="n"/>
      <c r="G4630" s="9" t="n">
        <v>0</v>
      </c>
      <c r="H4630" t="inlineStr">
        <is>
          <t>NOT_DUE</t>
        </is>
      </c>
      <c r="I4630">
        <f>IF(H4630="UNPAID", AsOfDate-D4630, 0)</f>
        <v/>
      </c>
      <c r="J4630">
        <f>IF(F4630&lt;&gt;"", TEXT(F4630, "yyyy-mm"), "")</f>
        <v/>
      </c>
    </row>
    <row r="4631">
      <c r="A4631" t="inlineStr">
        <is>
          <t>RP0004630</t>
        </is>
      </c>
      <c r="B4631" t="inlineStr">
        <is>
          <t>LN200656</t>
        </is>
      </c>
      <c r="C4631" t="n">
        <v>1</v>
      </c>
      <c r="D4631" s="8" t="n">
        <v>45762</v>
      </c>
      <c r="E4631" s="9" t="n">
        <v>23316</v>
      </c>
      <c r="F4631" s="8" t="n">
        <v>45764</v>
      </c>
      <c r="G4631" s="9" t="n">
        <v>23316</v>
      </c>
      <c r="H4631" t="inlineStr">
        <is>
          <t>PAID_ON_TIME</t>
        </is>
      </c>
      <c r="I4631">
        <f>IF(H4631="UNPAID", AsOfDate-D4631, 0)</f>
        <v/>
      </c>
      <c r="J4631">
        <f>IF(F4631&lt;&gt;"", TEXT(F4631, "yyyy-mm"), "")</f>
        <v/>
      </c>
    </row>
    <row r="4632">
      <c r="A4632" t="inlineStr">
        <is>
          <t>RP0004631</t>
        </is>
      </c>
      <c r="B4632" t="inlineStr">
        <is>
          <t>LN200656</t>
        </is>
      </c>
      <c r="C4632" t="n">
        <v>2</v>
      </c>
      <c r="D4632" s="8" t="n">
        <v>45792</v>
      </c>
      <c r="E4632" s="9" t="n">
        <v>23316</v>
      </c>
      <c r="F4632" s="8" t="n">
        <v>45790</v>
      </c>
      <c r="G4632" s="9" t="n">
        <v>23316</v>
      </c>
      <c r="H4632" t="inlineStr">
        <is>
          <t>PAID_ON_TIME</t>
        </is>
      </c>
      <c r="I4632">
        <f>IF(H4632="UNPAID", AsOfDate-D4632, 0)</f>
        <v/>
      </c>
      <c r="J4632">
        <f>IF(F4632&lt;&gt;"", TEXT(F4632, "yyyy-mm"), "")</f>
        <v/>
      </c>
    </row>
    <row r="4633">
      <c r="A4633" t="inlineStr">
        <is>
          <t>RP0004632</t>
        </is>
      </c>
      <c r="B4633" t="inlineStr">
        <is>
          <t>LN200656</t>
        </is>
      </c>
      <c r="C4633" t="n">
        <v>3</v>
      </c>
      <c r="D4633" s="8" t="n">
        <v>45823</v>
      </c>
      <c r="E4633" s="9" t="n">
        <v>23316</v>
      </c>
      <c r="F4633" s="8" t="n">
        <v>45824</v>
      </c>
      <c r="G4633" s="9" t="n">
        <v>23316</v>
      </c>
      <c r="H4633" t="inlineStr">
        <is>
          <t>PAID_ON_TIME</t>
        </is>
      </c>
      <c r="I4633">
        <f>IF(H4633="UNPAID", AsOfDate-D4633, 0)</f>
        <v/>
      </c>
      <c r="J4633">
        <f>IF(F4633&lt;&gt;"", TEXT(F4633, "yyyy-mm"), "")</f>
        <v/>
      </c>
    </row>
    <row r="4634">
      <c r="A4634" t="inlineStr">
        <is>
          <t>RP0004633</t>
        </is>
      </c>
      <c r="B4634" t="inlineStr">
        <is>
          <t>LN200657</t>
        </is>
      </c>
      <c r="C4634" t="n">
        <v>1</v>
      </c>
      <c r="D4634" s="8" t="n">
        <v>46243</v>
      </c>
      <c r="E4634" s="9" t="n">
        <v>6567</v>
      </c>
      <c r="F4634" s="8" t="n">
        <v>46247</v>
      </c>
      <c r="G4634" s="9" t="n">
        <v>6567</v>
      </c>
      <c r="H4634" t="inlineStr">
        <is>
          <t>PAID_ON_TIME</t>
        </is>
      </c>
      <c r="I4634">
        <f>IF(H4634="UNPAID", AsOfDate-D4634, 0)</f>
        <v/>
      </c>
      <c r="J4634">
        <f>IF(F4634&lt;&gt;"", TEXT(F4634, "yyyy-mm"), "")</f>
        <v/>
      </c>
    </row>
    <row r="4635">
      <c r="A4635" t="inlineStr">
        <is>
          <t>RP0004634</t>
        </is>
      </c>
      <c r="B4635" t="inlineStr">
        <is>
          <t>LN200657</t>
        </is>
      </c>
      <c r="C4635" t="n">
        <v>2</v>
      </c>
      <c r="D4635" s="8" t="n">
        <v>46274</v>
      </c>
      <c r="E4635" s="9" t="n">
        <v>6567</v>
      </c>
      <c r="F4635" s="8" t="n"/>
      <c r="G4635" s="9" t="n">
        <v>0</v>
      </c>
      <c r="H4635" t="inlineStr">
        <is>
          <t>NOT_DUE</t>
        </is>
      </c>
      <c r="I4635">
        <f>IF(H4635="UNPAID", AsOfDate-D4635, 0)</f>
        <v/>
      </c>
      <c r="J4635">
        <f>IF(F4635&lt;&gt;"", TEXT(F4635, "yyyy-mm"), "")</f>
        <v/>
      </c>
    </row>
    <row r="4636">
      <c r="A4636" t="inlineStr">
        <is>
          <t>RP0004635</t>
        </is>
      </c>
      <c r="B4636" t="inlineStr">
        <is>
          <t>LN200657</t>
        </is>
      </c>
      <c r="C4636" t="n">
        <v>3</v>
      </c>
      <c r="D4636" s="8" t="n">
        <v>46304</v>
      </c>
      <c r="E4636" s="9" t="n">
        <v>6567</v>
      </c>
      <c r="F4636" s="8" t="n"/>
      <c r="G4636" s="9" t="n">
        <v>0</v>
      </c>
      <c r="H4636" t="inlineStr">
        <is>
          <t>NOT_DUE</t>
        </is>
      </c>
      <c r="I4636">
        <f>IF(H4636="UNPAID", AsOfDate-D4636, 0)</f>
        <v/>
      </c>
      <c r="J4636">
        <f>IF(F4636&lt;&gt;"", TEXT(F4636, "yyyy-mm"), "")</f>
        <v/>
      </c>
    </row>
    <row r="4637">
      <c r="A4637" t="inlineStr">
        <is>
          <t>RP0004636</t>
        </is>
      </c>
      <c r="B4637" t="inlineStr">
        <is>
          <t>LN200657</t>
        </is>
      </c>
      <c r="C4637" t="n">
        <v>4</v>
      </c>
      <c r="D4637" s="8" t="n">
        <v>46335</v>
      </c>
      <c r="E4637" s="9" t="n">
        <v>6567</v>
      </c>
      <c r="F4637" s="8" t="n"/>
      <c r="G4637" s="9" t="n">
        <v>0</v>
      </c>
      <c r="H4637" t="inlineStr">
        <is>
          <t>NOT_DUE</t>
        </is>
      </c>
      <c r="I4637">
        <f>IF(H4637="UNPAID", AsOfDate-D4637, 0)</f>
        <v/>
      </c>
      <c r="J4637">
        <f>IF(F4637&lt;&gt;"", TEXT(F4637, "yyyy-mm"), "")</f>
        <v/>
      </c>
    </row>
    <row r="4638">
      <c r="A4638" t="inlineStr">
        <is>
          <t>RP0004637</t>
        </is>
      </c>
      <c r="B4638" t="inlineStr">
        <is>
          <t>LN200657</t>
        </is>
      </c>
      <c r="C4638" t="n">
        <v>5</v>
      </c>
      <c r="D4638" s="8" t="n">
        <v>46365</v>
      </c>
      <c r="E4638" s="9" t="n">
        <v>6567</v>
      </c>
      <c r="F4638" s="8" t="n"/>
      <c r="G4638" s="9" t="n">
        <v>0</v>
      </c>
      <c r="H4638" t="inlineStr">
        <is>
          <t>NOT_DUE</t>
        </is>
      </c>
      <c r="I4638">
        <f>IF(H4638="UNPAID", AsOfDate-D4638, 0)</f>
        <v/>
      </c>
      <c r="J4638">
        <f>IF(F4638&lt;&gt;"", TEXT(F4638, "yyyy-mm"), "")</f>
        <v/>
      </c>
    </row>
    <row r="4639">
      <c r="A4639" t="inlineStr">
        <is>
          <t>RP0004638</t>
        </is>
      </c>
      <c r="B4639" t="inlineStr">
        <is>
          <t>LN200657</t>
        </is>
      </c>
      <c r="C4639" t="n">
        <v>6</v>
      </c>
      <c r="D4639" s="8" t="n">
        <v>46396</v>
      </c>
      <c r="E4639" s="9" t="n">
        <v>6567</v>
      </c>
      <c r="F4639" s="8" t="n"/>
      <c r="G4639" s="9" t="n">
        <v>0</v>
      </c>
      <c r="H4639" t="inlineStr">
        <is>
          <t>NOT_DUE</t>
        </is>
      </c>
      <c r="I4639">
        <f>IF(H4639="UNPAID", AsOfDate-D4639, 0)</f>
        <v/>
      </c>
      <c r="J4639">
        <f>IF(F4639&lt;&gt;"", TEXT(F4639, "yyyy-mm"), "")</f>
        <v/>
      </c>
    </row>
    <row r="4640">
      <c r="A4640" t="inlineStr">
        <is>
          <t>RP0004639</t>
        </is>
      </c>
      <c r="B4640" t="inlineStr">
        <is>
          <t>LN200657</t>
        </is>
      </c>
      <c r="C4640" t="n">
        <v>7</v>
      </c>
      <c r="D4640" s="8" t="n">
        <v>46427</v>
      </c>
      <c r="E4640" s="9" t="n">
        <v>6567</v>
      </c>
      <c r="F4640" s="8" t="n"/>
      <c r="G4640" s="9" t="n">
        <v>0</v>
      </c>
      <c r="H4640" t="inlineStr">
        <is>
          <t>NOT_DUE</t>
        </is>
      </c>
      <c r="I4640">
        <f>IF(H4640="UNPAID", AsOfDate-D4640, 0)</f>
        <v/>
      </c>
      <c r="J4640">
        <f>IF(F4640&lt;&gt;"", TEXT(F4640, "yyyy-mm"), "")</f>
        <v/>
      </c>
    </row>
    <row r="4641">
      <c r="A4641" t="inlineStr">
        <is>
          <t>RP0004640</t>
        </is>
      </c>
      <c r="B4641" t="inlineStr">
        <is>
          <t>LN200657</t>
        </is>
      </c>
      <c r="C4641" t="n">
        <v>8</v>
      </c>
      <c r="D4641" s="8" t="n">
        <v>46455</v>
      </c>
      <c r="E4641" s="9" t="n">
        <v>6567</v>
      </c>
      <c r="F4641" s="8" t="n"/>
      <c r="G4641" s="9" t="n">
        <v>0</v>
      </c>
      <c r="H4641" t="inlineStr">
        <is>
          <t>NOT_DUE</t>
        </is>
      </c>
      <c r="I4641">
        <f>IF(H4641="UNPAID", AsOfDate-D4641, 0)</f>
        <v/>
      </c>
      <c r="J4641">
        <f>IF(F4641&lt;&gt;"", TEXT(F4641, "yyyy-mm"), "")</f>
        <v/>
      </c>
    </row>
    <row r="4642">
      <c r="A4642" t="inlineStr">
        <is>
          <t>RP0004641</t>
        </is>
      </c>
      <c r="B4642" t="inlineStr">
        <is>
          <t>LN200657</t>
        </is>
      </c>
      <c r="C4642" t="n">
        <v>9</v>
      </c>
      <c r="D4642" s="8" t="n">
        <v>46486</v>
      </c>
      <c r="E4642" s="9" t="n">
        <v>6567</v>
      </c>
      <c r="F4642" s="8" t="n"/>
      <c r="G4642" s="9" t="n">
        <v>0</v>
      </c>
      <c r="H4642" t="inlineStr">
        <is>
          <t>NOT_DUE</t>
        </is>
      </c>
      <c r="I4642">
        <f>IF(H4642="UNPAID", AsOfDate-D4642, 0)</f>
        <v/>
      </c>
      <c r="J4642">
        <f>IF(F4642&lt;&gt;"", TEXT(F4642, "yyyy-mm"), "")</f>
        <v/>
      </c>
    </row>
    <row r="4643">
      <c r="A4643" t="inlineStr">
        <is>
          <t>RP0004642</t>
        </is>
      </c>
      <c r="B4643" t="inlineStr">
        <is>
          <t>LN200658</t>
        </is>
      </c>
      <c r="C4643" t="n">
        <v>1</v>
      </c>
      <c r="D4643" s="8" t="n">
        <v>45905</v>
      </c>
      <c r="E4643" s="9" t="n">
        <v>22437.25</v>
      </c>
      <c r="F4643" s="8" t="n">
        <v>45905</v>
      </c>
      <c r="G4643" s="9" t="n">
        <v>22437.25</v>
      </c>
      <c r="H4643" t="inlineStr">
        <is>
          <t>PAID_ON_TIME</t>
        </is>
      </c>
      <c r="I4643">
        <f>IF(H4643="UNPAID", AsOfDate-D4643, 0)</f>
        <v/>
      </c>
      <c r="J4643">
        <f>IF(F4643&lt;&gt;"", TEXT(F4643, "yyyy-mm"), "")</f>
        <v/>
      </c>
    </row>
    <row r="4644">
      <c r="A4644" t="inlineStr">
        <is>
          <t>RP0004643</t>
        </is>
      </c>
      <c r="B4644" t="inlineStr">
        <is>
          <t>LN200658</t>
        </is>
      </c>
      <c r="C4644" t="n">
        <v>2</v>
      </c>
      <c r="D4644" s="8" t="n">
        <v>45935</v>
      </c>
      <c r="E4644" s="9" t="n">
        <v>22437.25</v>
      </c>
      <c r="F4644" s="8" t="n">
        <v>45934</v>
      </c>
      <c r="G4644" s="9" t="n">
        <v>22437.25</v>
      </c>
      <c r="H4644" t="inlineStr">
        <is>
          <t>PAID_ON_TIME</t>
        </is>
      </c>
      <c r="I4644">
        <f>IF(H4644="UNPAID", AsOfDate-D4644, 0)</f>
        <v/>
      </c>
      <c r="J4644">
        <f>IF(F4644&lt;&gt;"", TEXT(F4644, "yyyy-mm"), "")</f>
        <v/>
      </c>
    </row>
    <row r="4645">
      <c r="A4645" t="inlineStr">
        <is>
          <t>RP0004644</t>
        </is>
      </c>
      <c r="B4645" t="inlineStr">
        <is>
          <t>LN200658</t>
        </is>
      </c>
      <c r="C4645" t="n">
        <v>3</v>
      </c>
      <c r="D4645" s="8" t="n">
        <v>45966</v>
      </c>
      <c r="E4645" s="9" t="n">
        <v>22437.25</v>
      </c>
      <c r="F4645" s="8" t="n">
        <v>46003</v>
      </c>
      <c r="G4645" s="9" t="n">
        <v>22437.25</v>
      </c>
      <c r="H4645" t="inlineStr">
        <is>
          <t>PAID_LATE</t>
        </is>
      </c>
      <c r="I4645">
        <f>IF(H4645="UNPAID", AsOfDate-D4645, 0)</f>
        <v/>
      </c>
      <c r="J4645">
        <f>IF(F4645&lt;&gt;"", TEXT(F4645, "yyyy-mm"), "")</f>
        <v/>
      </c>
    </row>
    <row r="4646">
      <c r="A4646" t="inlineStr">
        <is>
          <t>RP0004645</t>
        </is>
      </c>
      <c r="B4646" t="inlineStr">
        <is>
          <t>LN200658</t>
        </is>
      </c>
      <c r="C4646" t="n">
        <v>4</v>
      </c>
      <c r="D4646" s="8" t="n">
        <v>45996</v>
      </c>
      <c r="E4646" s="9" t="n">
        <v>22437.25</v>
      </c>
      <c r="F4646" s="8" t="n">
        <v>45994</v>
      </c>
      <c r="G4646" s="9" t="n">
        <v>22437.25</v>
      </c>
      <c r="H4646" t="inlineStr">
        <is>
          <t>PAID_ON_TIME</t>
        </is>
      </c>
      <c r="I4646">
        <f>IF(H4646="UNPAID", AsOfDate-D4646, 0)</f>
        <v/>
      </c>
      <c r="J4646">
        <f>IF(F4646&lt;&gt;"", TEXT(F4646, "yyyy-mm"), "")</f>
        <v/>
      </c>
    </row>
    <row r="4647">
      <c r="A4647" t="inlineStr">
        <is>
          <t>RP0004646</t>
        </is>
      </c>
      <c r="B4647" t="inlineStr">
        <is>
          <t>LN200658</t>
        </is>
      </c>
      <c r="C4647" t="n">
        <v>5</v>
      </c>
      <c r="D4647" s="8" t="n">
        <v>46027</v>
      </c>
      <c r="E4647" s="9" t="n">
        <v>22437.25</v>
      </c>
      <c r="F4647" s="8" t="n">
        <v>46028</v>
      </c>
      <c r="G4647" s="9" t="n">
        <v>22437.25</v>
      </c>
      <c r="H4647" t="inlineStr">
        <is>
          <t>PAID_ON_TIME</t>
        </is>
      </c>
      <c r="I4647">
        <f>IF(H4647="UNPAID", AsOfDate-D4647, 0)</f>
        <v/>
      </c>
      <c r="J4647">
        <f>IF(F4647&lt;&gt;"", TEXT(F4647, "yyyy-mm"), "")</f>
        <v/>
      </c>
    </row>
    <row r="4648">
      <c r="A4648" t="inlineStr">
        <is>
          <t>RP0004647</t>
        </is>
      </c>
      <c r="B4648" t="inlineStr">
        <is>
          <t>LN200658</t>
        </is>
      </c>
      <c r="C4648" t="n">
        <v>6</v>
      </c>
      <c r="D4648" s="8" t="n">
        <v>46058</v>
      </c>
      <c r="E4648" s="9" t="n">
        <v>22437.25</v>
      </c>
      <c r="F4648" s="8" t="n">
        <v>46061</v>
      </c>
      <c r="G4648" s="9" t="n">
        <v>22437.25</v>
      </c>
      <c r="H4648" t="inlineStr">
        <is>
          <t>PAID_ON_TIME</t>
        </is>
      </c>
      <c r="I4648">
        <f>IF(H4648="UNPAID", AsOfDate-D4648, 0)</f>
        <v/>
      </c>
      <c r="J4648">
        <f>IF(F4648&lt;&gt;"", TEXT(F4648, "yyyy-mm"), "")</f>
        <v/>
      </c>
    </row>
    <row r="4649">
      <c r="A4649" t="inlineStr">
        <is>
          <t>RP0004648</t>
        </is>
      </c>
      <c r="B4649" t="inlineStr">
        <is>
          <t>LN200659</t>
        </is>
      </c>
      <c r="C4649" t="n">
        <v>1</v>
      </c>
      <c r="D4649" s="8" t="n">
        <v>46178</v>
      </c>
      <c r="E4649" s="9" t="n">
        <v>61089.58</v>
      </c>
      <c r="F4649" s="8" t="n">
        <v>46182</v>
      </c>
      <c r="G4649" s="9" t="n">
        <v>61089.58</v>
      </c>
      <c r="H4649" t="inlineStr">
        <is>
          <t>PAID_ON_TIME</t>
        </is>
      </c>
      <c r="I4649">
        <f>IF(H4649="UNPAID", AsOfDate-D4649, 0)</f>
        <v/>
      </c>
      <c r="J4649">
        <f>IF(F4649&lt;&gt;"", TEXT(F4649, "yyyy-mm"), "")</f>
        <v/>
      </c>
    </row>
    <row r="4650">
      <c r="A4650" t="inlineStr">
        <is>
          <t>RP0004649</t>
        </is>
      </c>
      <c r="B4650" t="inlineStr">
        <is>
          <t>LN200659</t>
        </is>
      </c>
      <c r="C4650" t="n">
        <v>2</v>
      </c>
      <c r="D4650" s="8" t="n">
        <v>46208</v>
      </c>
      <c r="E4650" s="9" t="n">
        <v>61089.58</v>
      </c>
      <c r="F4650" s="8" t="n">
        <v>46207</v>
      </c>
      <c r="G4650" s="9" t="n">
        <v>61089.58</v>
      </c>
      <c r="H4650" t="inlineStr">
        <is>
          <t>PAID_ON_TIME</t>
        </is>
      </c>
      <c r="I4650">
        <f>IF(H4650="UNPAID", AsOfDate-D4650, 0)</f>
        <v/>
      </c>
      <c r="J4650">
        <f>IF(F4650&lt;&gt;"", TEXT(F4650, "yyyy-mm"), "")</f>
        <v/>
      </c>
    </row>
    <row r="4651">
      <c r="A4651" t="inlineStr">
        <is>
          <t>RP0004650</t>
        </is>
      </c>
      <c r="B4651" t="inlineStr">
        <is>
          <t>LN200659</t>
        </is>
      </c>
      <c r="C4651" t="n">
        <v>3</v>
      </c>
      <c r="D4651" s="8" t="n">
        <v>46239</v>
      </c>
      <c r="E4651" s="9" t="n">
        <v>61089.58</v>
      </c>
      <c r="F4651" s="8" t="n">
        <v>46242</v>
      </c>
      <c r="G4651" s="9" t="n">
        <v>61089.58</v>
      </c>
      <c r="H4651" t="inlineStr">
        <is>
          <t>PAID_ON_TIME</t>
        </is>
      </c>
      <c r="I4651">
        <f>IF(H4651="UNPAID", AsOfDate-D4651, 0)</f>
        <v/>
      </c>
      <c r="J4651">
        <f>IF(F4651&lt;&gt;"", TEXT(F4651, "yyyy-mm"), "")</f>
        <v/>
      </c>
    </row>
    <row r="4652">
      <c r="A4652" t="inlineStr">
        <is>
          <t>RP0004651</t>
        </is>
      </c>
      <c r="B4652" t="inlineStr">
        <is>
          <t>LN200660</t>
        </is>
      </c>
      <c r="C4652" t="n">
        <v>1</v>
      </c>
      <c r="D4652" s="8" t="n">
        <v>46253</v>
      </c>
      <c r="E4652" s="9" t="n">
        <v>12201</v>
      </c>
      <c r="F4652" s="8" t="n">
        <v>46257</v>
      </c>
      <c r="G4652" s="9" t="n">
        <v>12201</v>
      </c>
      <c r="H4652" t="inlineStr">
        <is>
          <t>PAID_ON_TIME</t>
        </is>
      </c>
      <c r="I4652">
        <f>IF(H4652="UNPAID", AsOfDate-D4652, 0)</f>
        <v/>
      </c>
      <c r="J4652">
        <f>IF(F4652&lt;&gt;"", TEXT(F4652, "yyyy-mm"), "")</f>
        <v/>
      </c>
    </row>
    <row r="4653">
      <c r="A4653" t="inlineStr">
        <is>
          <t>RP0004652</t>
        </is>
      </c>
      <c r="B4653" t="inlineStr">
        <is>
          <t>LN200660</t>
        </is>
      </c>
      <c r="C4653" t="n">
        <v>2</v>
      </c>
      <c r="D4653" s="8" t="n">
        <v>46284</v>
      </c>
      <c r="E4653" s="9" t="n">
        <v>12201</v>
      </c>
      <c r="F4653" s="8" t="n"/>
      <c r="G4653" s="9" t="n">
        <v>0</v>
      </c>
      <c r="H4653" t="inlineStr">
        <is>
          <t>NOT_DUE</t>
        </is>
      </c>
      <c r="I4653">
        <f>IF(H4653="UNPAID", AsOfDate-D4653, 0)</f>
        <v/>
      </c>
      <c r="J4653">
        <f>IF(F4653&lt;&gt;"", TEXT(F4653, "yyyy-mm"), "")</f>
        <v/>
      </c>
    </row>
    <row r="4654">
      <c r="A4654" t="inlineStr">
        <is>
          <t>RP0004653</t>
        </is>
      </c>
      <c r="B4654" t="inlineStr">
        <is>
          <t>LN200660</t>
        </is>
      </c>
      <c r="C4654" t="n">
        <v>3</v>
      </c>
      <c r="D4654" s="8" t="n">
        <v>46314</v>
      </c>
      <c r="E4654" s="9" t="n">
        <v>12201</v>
      </c>
      <c r="F4654" s="8" t="n"/>
      <c r="G4654" s="9" t="n">
        <v>0</v>
      </c>
      <c r="H4654" t="inlineStr">
        <is>
          <t>NOT_DUE</t>
        </is>
      </c>
      <c r="I4654">
        <f>IF(H4654="UNPAID", AsOfDate-D4654, 0)</f>
        <v/>
      </c>
      <c r="J4654">
        <f>IF(F4654&lt;&gt;"", TEXT(F4654, "yyyy-mm"), "")</f>
        <v/>
      </c>
    </row>
    <row r="4655">
      <c r="A4655" t="inlineStr">
        <is>
          <t>RP0004654</t>
        </is>
      </c>
      <c r="B4655" t="inlineStr">
        <is>
          <t>LN200660</t>
        </is>
      </c>
      <c r="C4655" t="n">
        <v>4</v>
      </c>
      <c r="D4655" s="8" t="n">
        <v>46345</v>
      </c>
      <c r="E4655" s="9" t="n">
        <v>12201</v>
      </c>
      <c r="F4655" s="8" t="n"/>
      <c r="G4655" s="9" t="n">
        <v>0</v>
      </c>
      <c r="H4655" t="inlineStr">
        <is>
          <t>NOT_DUE</t>
        </is>
      </c>
      <c r="I4655">
        <f>IF(H4655="UNPAID", AsOfDate-D4655, 0)</f>
        <v/>
      </c>
      <c r="J4655">
        <f>IF(F4655&lt;&gt;"", TEXT(F4655, "yyyy-mm"), "")</f>
        <v/>
      </c>
    </row>
    <row r="4656">
      <c r="A4656" t="inlineStr">
        <is>
          <t>RP0004655</t>
        </is>
      </c>
      <c r="B4656" t="inlineStr">
        <is>
          <t>LN200660</t>
        </is>
      </c>
      <c r="C4656" t="n">
        <v>5</v>
      </c>
      <c r="D4656" s="8" t="n">
        <v>46375</v>
      </c>
      <c r="E4656" s="9" t="n">
        <v>12201</v>
      </c>
      <c r="F4656" s="8" t="n"/>
      <c r="G4656" s="9" t="n">
        <v>0</v>
      </c>
      <c r="H4656" t="inlineStr">
        <is>
          <t>NOT_DUE</t>
        </is>
      </c>
      <c r="I4656">
        <f>IF(H4656="UNPAID", AsOfDate-D4656, 0)</f>
        <v/>
      </c>
      <c r="J4656">
        <f>IF(F4656&lt;&gt;"", TEXT(F4656, "yyyy-mm"), "")</f>
        <v/>
      </c>
    </row>
    <row r="4657">
      <c r="A4657" t="inlineStr">
        <is>
          <t>RP0004656</t>
        </is>
      </c>
      <c r="B4657" t="inlineStr">
        <is>
          <t>LN200660</t>
        </is>
      </c>
      <c r="C4657" t="n">
        <v>6</v>
      </c>
      <c r="D4657" s="8" t="n">
        <v>46406</v>
      </c>
      <c r="E4657" s="9" t="n">
        <v>12201</v>
      </c>
      <c r="F4657" s="8" t="n"/>
      <c r="G4657" s="9" t="n">
        <v>0</v>
      </c>
      <c r="H4657" t="inlineStr">
        <is>
          <t>NOT_DUE</t>
        </is>
      </c>
      <c r="I4657">
        <f>IF(H4657="UNPAID", AsOfDate-D4657, 0)</f>
        <v/>
      </c>
      <c r="J4657">
        <f>IF(F4657&lt;&gt;"", TEXT(F4657, "yyyy-mm"), "")</f>
        <v/>
      </c>
    </row>
    <row r="4658">
      <c r="A4658" t="inlineStr">
        <is>
          <t>RP0004657</t>
        </is>
      </c>
      <c r="B4658" t="inlineStr">
        <is>
          <t>LN200660</t>
        </is>
      </c>
      <c r="C4658" t="n">
        <v>7</v>
      </c>
      <c r="D4658" s="8" t="n">
        <v>46437</v>
      </c>
      <c r="E4658" s="9" t="n">
        <v>12201</v>
      </c>
      <c r="F4658" s="8" t="n"/>
      <c r="G4658" s="9" t="n">
        <v>0</v>
      </c>
      <c r="H4658" t="inlineStr">
        <is>
          <t>NOT_DUE</t>
        </is>
      </c>
      <c r="I4658">
        <f>IF(H4658="UNPAID", AsOfDate-D4658, 0)</f>
        <v/>
      </c>
      <c r="J4658">
        <f>IF(F4658&lt;&gt;"", TEXT(F4658, "yyyy-mm"), "")</f>
        <v/>
      </c>
    </row>
    <row r="4659">
      <c r="A4659" t="inlineStr">
        <is>
          <t>RP0004658</t>
        </is>
      </c>
      <c r="B4659" t="inlineStr">
        <is>
          <t>LN200660</t>
        </is>
      </c>
      <c r="C4659" t="n">
        <v>8</v>
      </c>
      <c r="D4659" s="8" t="n">
        <v>46465</v>
      </c>
      <c r="E4659" s="9" t="n">
        <v>12201</v>
      </c>
      <c r="F4659" s="8" t="n"/>
      <c r="G4659" s="9" t="n">
        <v>0</v>
      </c>
      <c r="H4659" t="inlineStr">
        <is>
          <t>NOT_DUE</t>
        </is>
      </c>
      <c r="I4659">
        <f>IF(H4659="UNPAID", AsOfDate-D4659, 0)</f>
        <v/>
      </c>
      <c r="J4659">
        <f>IF(F4659&lt;&gt;"", TEXT(F4659, "yyyy-mm"), "")</f>
        <v/>
      </c>
    </row>
    <row r="4660">
      <c r="A4660" t="inlineStr">
        <is>
          <t>RP0004659</t>
        </is>
      </c>
      <c r="B4660" t="inlineStr">
        <is>
          <t>LN200660</t>
        </is>
      </c>
      <c r="C4660" t="n">
        <v>9</v>
      </c>
      <c r="D4660" s="8" t="n">
        <v>46496</v>
      </c>
      <c r="E4660" s="9" t="n">
        <v>12201</v>
      </c>
      <c r="F4660" s="8" t="n"/>
      <c r="G4660" s="9" t="n">
        <v>0</v>
      </c>
      <c r="H4660" t="inlineStr">
        <is>
          <t>NOT_DUE</t>
        </is>
      </c>
      <c r="I4660">
        <f>IF(H4660="UNPAID", AsOfDate-D4660, 0)</f>
        <v/>
      </c>
      <c r="J4660">
        <f>IF(F4660&lt;&gt;"", TEXT(F4660, "yyyy-mm"), "")</f>
        <v/>
      </c>
    </row>
    <row r="4661">
      <c r="A4661" t="inlineStr">
        <is>
          <t>RP0004660</t>
        </is>
      </c>
      <c r="B4661" t="inlineStr">
        <is>
          <t>LN200660</t>
        </is>
      </c>
      <c r="C4661" t="n">
        <v>10</v>
      </c>
      <c r="D4661" s="8" t="n">
        <v>46526</v>
      </c>
      <c r="E4661" s="9" t="n">
        <v>12201</v>
      </c>
      <c r="F4661" s="8" t="n"/>
      <c r="G4661" s="9" t="n">
        <v>0</v>
      </c>
      <c r="H4661" t="inlineStr">
        <is>
          <t>NOT_DUE</t>
        </is>
      </c>
      <c r="I4661">
        <f>IF(H4661="UNPAID", AsOfDate-D4661, 0)</f>
        <v/>
      </c>
      <c r="J4661">
        <f>IF(F4661&lt;&gt;"", TEXT(F4661, "yyyy-mm"), "")</f>
        <v/>
      </c>
    </row>
    <row r="4662">
      <c r="A4662" t="inlineStr">
        <is>
          <t>RP0004661</t>
        </is>
      </c>
      <c r="B4662" t="inlineStr">
        <is>
          <t>LN200660</t>
        </is>
      </c>
      <c r="C4662" t="n">
        <v>11</v>
      </c>
      <c r="D4662" s="8" t="n">
        <v>46557</v>
      </c>
      <c r="E4662" s="9" t="n">
        <v>12201</v>
      </c>
      <c r="F4662" s="8" t="n"/>
      <c r="G4662" s="9" t="n">
        <v>0</v>
      </c>
      <c r="H4662" t="inlineStr">
        <is>
          <t>NOT_DUE</t>
        </is>
      </c>
      <c r="I4662">
        <f>IF(H4662="UNPAID", AsOfDate-D4662, 0)</f>
        <v/>
      </c>
      <c r="J4662">
        <f>IF(F4662&lt;&gt;"", TEXT(F4662, "yyyy-mm"), "")</f>
        <v/>
      </c>
    </row>
    <row r="4663">
      <c r="A4663" t="inlineStr">
        <is>
          <t>RP0004662</t>
        </is>
      </c>
      <c r="B4663" t="inlineStr">
        <is>
          <t>LN200660</t>
        </is>
      </c>
      <c r="C4663" t="n">
        <v>12</v>
      </c>
      <c r="D4663" s="8" t="n">
        <v>46587</v>
      </c>
      <c r="E4663" s="9" t="n">
        <v>12201</v>
      </c>
      <c r="F4663" s="8" t="n"/>
      <c r="G4663" s="9" t="n">
        <v>0</v>
      </c>
      <c r="H4663" t="inlineStr">
        <is>
          <t>NOT_DUE</t>
        </is>
      </c>
      <c r="I4663">
        <f>IF(H4663="UNPAID", AsOfDate-D4663, 0)</f>
        <v/>
      </c>
      <c r="J4663">
        <f>IF(F4663&lt;&gt;"", TEXT(F4663, "yyyy-mm"), "")</f>
        <v/>
      </c>
    </row>
    <row r="4664">
      <c r="A4664" t="inlineStr">
        <is>
          <t>RP0004663</t>
        </is>
      </c>
      <c r="B4664" t="inlineStr">
        <is>
          <t>LN200662</t>
        </is>
      </c>
      <c r="C4664" t="n">
        <v>1</v>
      </c>
      <c r="D4664" s="8" t="n">
        <v>46082</v>
      </c>
      <c r="E4664" s="9" t="n">
        <v>7672</v>
      </c>
      <c r="F4664" s="8" t="n">
        <v>46086</v>
      </c>
      <c r="G4664" s="9" t="n">
        <v>7672</v>
      </c>
      <c r="H4664" t="inlineStr">
        <is>
          <t>PAID_ON_TIME</t>
        </is>
      </c>
      <c r="I4664">
        <f>IF(H4664="UNPAID", AsOfDate-D4664, 0)</f>
        <v/>
      </c>
      <c r="J4664">
        <f>IF(F4664&lt;&gt;"", TEXT(F4664, "yyyy-mm"), "")</f>
        <v/>
      </c>
    </row>
    <row r="4665">
      <c r="A4665" t="inlineStr">
        <is>
          <t>RP0004664</t>
        </is>
      </c>
      <c r="B4665" t="inlineStr">
        <is>
          <t>LN200662</t>
        </is>
      </c>
      <c r="C4665" t="n">
        <v>2</v>
      </c>
      <c r="D4665" s="8" t="n">
        <v>46113</v>
      </c>
      <c r="E4665" s="9" t="n">
        <v>7672</v>
      </c>
      <c r="F4665" s="8" t="n">
        <v>46112</v>
      </c>
      <c r="G4665" s="9" t="n">
        <v>7672</v>
      </c>
      <c r="H4665" t="inlineStr">
        <is>
          <t>PAID_ON_TIME</t>
        </is>
      </c>
      <c r="I4665">
        <f>IF(H4665="UNPAID", AsOfDate-D4665, 0)</f>
        <v/>
      </c>
      <c r="J4665">
        <f>IF(F4665&lt;&gt;"", TEXT(F4665, "yyyy-mm"), "")</f>
        <v/>
      </c>
    </row>
    <row r="4666">
      <c r="A4666" t="inlineStr">
        <is>
          <t>RP0004665</t>
        </is>
      </c>
      <c r="B4666" t="inlineStr">
        <is>
          <t>LN200662</t>
        </is>
      </c>
      <c r="C4666" t="n">
        <v>3</v>
      </c>
      <c r="D4666" s="8" t="n">
        <v>46143</v>
      </c>
      <c r="E4666" s="9" t="n">
        <v>7672</v>
      </c>
      <c r="F4666" s="8" t="n">
        <v>46140</v>
      </c>
      <c r="G4666" s="9" t="n">
        <v>7672</v>
      </c>
      <c r="H4666" t="inlineStr">
        <is>
          <t>PAID_ON_TIME</t>
        </is>
      </c>
      <c r="I4666">
        <f>IF(H4666="UNPAID", AsOfDate-D4666, 0)</f>
        <v/>
      </c>
      <c r="J4666">
        <f>IF(F4666&lt;&gt;"", TEXT(F4666, "yyyy-mm"), "")</f>
        <v/>
      </c>
    </row>
    <row r="4667">
      <c r="A4667" t="inlineStr">
        <is>
          <t>RP0004666</t>
        </is>
      </c>
      <c r="B4667" t="inlineStr">
        <is>
          <t>LN200662</t>
        </is>
      </c>
      <c r="C4667" t="n">
        <v>4</v>
      </c>
      <c r="D4667" s="8" t="n">
        <v>46174</v>
      </c>
      <c r="E4667" s="9" t="n">
        <v>7672</v>
      </c>
      <c r="F4667" s="8" t="n">
        <v>46176</v>
      </c>
      <c r="G4667" s="9" t="n">
        <v>7672</v>
      </c>
      <c r="H4667" t="inlineStr">
        <is>
          <t>PAID_ON_TIME</t>
        </is>
      </c>
      <c r="I4667">
        <f>IF(H4667="UNPAID", AsOfDate-D4667, 0)</f>
        <v/>
      </c>
      <c r="J4667">
        <f>IF(F4667&lt;&gt;"", TEXT(F4667, "yyyy-mm"), "")</f>
        <v/>
      </c>
    </row>
    <row r="4668">
      <c r="A4668" t="inlineStr">
        <is>
          <t>RP0004667</t>
        </is>
      </c>
      <c r="B4668" t="inlineStr">
        <is>
          <t>LN200662</t>
        </is>
      </c>
      <c r="C4668" t="n">
        <v>5</v>
      </c>
      <c r="D4668" s="8" t="n">
        <v>46204</v>
      </c>
      <c r="E4668" s="9" t="n">
        <v>7672</v>
      </c>
      <c r="F4668" s="8" t="n"/>
      <c r="G4668" s="9" t="n">
        <v>0</v>
      </c>
      <c r="H4668" t="inlineStr">
        <is>
          <t>UNPAID</t>
        </is>
      </c>
      <c r="I4668">
        <f>IF(H4668="UNPAID", AsOfDate-D4668, 0)</f>
        <v/>
      </c>
      <c r="J4668">
        <f>IF(F4668&lt;&gt;"", TEXT(F4668, "yyyy-mm"), "")</f>
        <v/>
      </c>
    </row>
    <row r="4669">
      <c r="A4669" t="inlineStr">
        <is>
          <t>RP0004668</t>
        </is>
      </c>
      <c r="B4669" t="inlineStr">
        <is>
          <t>LN200662</t>
        </is>
      </c>
      <c r="C4669" t="n">
        <v>6</v>
      </c>
      <c r="D4669" s="8" t="n">
        <v>46235</v>
      </c>
      <c r="E4669" s="9" t="n">
        <v>7672</v>
      </c>
      <c r="F4669" s="8" t="n"/>
      <c r="G4669" s="9" t="n">
        <v>0</v>
      </c>
      <c r="H4669" t="inlineStr">
        <is>
          <t>UNPAID</t>
        </is>
      </c>
      <c r="I4669">
        <f>IF(H4669="UNPAID", AsOfDate-D4669, 0)</f>
        <v/>
      </c>
      <c r="J4669">
        <f>IF(F4669&lt;&gt;"", TEXT(F4669, "yyyy-mm"), "")</f>
        <v/>
      </c>
    </row>
    <row r="4670">
      <c r="A4670" t="inlineStr">
        <is>
          <t>RP0004669</t>
        </is>
      </c>
      <c r="B4670" t="inlineStr">
        <is>
          <t>LN200662</t>
        </is>
      </c>
      <c r="C4670" t="n">
        <v>7</v>
      </c>
      <c r="D4670" s="8" t="n">
        <v>46266</v>
      </c>
      <c r="E4670" s="9" t="n">
        <v>7672</v>
      </c>
      <c r="F4670" s="8" t="n">
        <v>46263</v>
      </c>
      <c r="G4670" s="9" t="n">
        <v>7672</v>
      </c>
      <c r="H4670" t="inlineStr">
        <is>
          <t>PAID_ON_TIME</t>
        </is>
      </c>
      <c r="I4670">
        <f>IF(H4670="UNPAID", AsOfDate-D4670, 0)</f>
        <v/>
      </c>
      <c r="J4670">
        <f>IF(F4670&lt;&gt;"", TEXT(F4670, "yyyy-mm"), "")</f>
        <v/>
      </c>
    </row>
    <row r="4671">
      <c r="A4671" t="inlineStr">
        <is>
          <t>RP0004670</t>
        </is>
      </c>
      <c r="B4671" t="inlineStr">
        <is>
          <t>LN200662</t>
        </is>
      </c>
      <c r="C4671" t="n">
        <v>8</v>
      </c>
      <c r="D4671" s="8" t="n">
        <v>46296</v>
      </c>
      <c r="E4671" s="9" t="n">
        <v>7672</v>
      </c>
      <c r="F4671" s="8" t="n"/>
      <c r="G4671" s="9" t="n">
        <v>0</v>
      </c>
      <c r="H4671" t="inlineStr">
        <is>
          <t>NOT_DUE</t>
        </is>
      </c>
      <c r="I4671">
        <f>IF(H4671="UNPAID", AsOfDate-D4671, 0)</f>
        <v/>
      </c>
      <c r="J4671">
        <f>IF(F4671&lt;&gt;"", TEXT(F4671, "yyyy-mm"), "")</f>
        <v/>
      </c>
    </row>
    <row r="4672">
      <c r="A4672" t="inlineStr">
        <is>
          <t>RP0004671</t>
        </is>
      </c>
      <c r="B4672" t="inlineStr">
        <is>
          <t>LN200662</t>
        </is>
      </c>
      <c r="C4672" t="n">
        <v>9</v>
      </c>
      <c r="D4672" s="8" t="n">
        <v>46327</v>
      </c>
      <c r="E4672" s="9" t="n">
        <v>7672</v>
      </c>
      <c r="F4672" s="8" t="n"/>
      <c r="G4672" s="9" t="n">
        <v>0</v>
      </c>
      <c r="H4672" t="inlineStr">
        <is>
          <t>NOT_DUE</t>
        </is>
      </c>
      <c r="I4672">
        <f>IF(H4672="UNPAID", AsOfDate-D4672, 0)</f>
        <v/>
      </c>
      <c r="J4672">
        <f>IF(F4672&lt;&gt;"", TEXT(F4672, "yyyy-mm"), "")</f>
        <v/>
      </c>
    </row>
    <row r="4673">
      <c r="A4673" t="inlineStr">
        <is>
          <t>RP0004672</t>
        </is>
      </c>
      <c r="B4673" t="inlineStr">
        <is>
          <t>LN200663</t>
        </is>
      </c>
      <c r="C4673" t="n">
        <v>1</v>
      </c>
      <c r="D4673" s="8" t="n">
        <v>45849</v>
      </c>
      <c r="E4673" s="9" t="n">
        <v>11137</v>
      </c>
      <c r="F4673" s="8" t="n">
        <v>45848</v>
      </c>
      <c r="G4673" s="9" t="n">
        <v>11137</v>
      </c>
      <c r="H4673" t="inlineStr">
        <is>
          <t>PAID_ON_TIME</t>
        </is>
      </c>
      <c r="I4673">
        <f>IF(H4673="UNPAID", AsOfDate-D4673, 0)</f>
        <v/>
      </c>
      <c r="J4673">
        <f>IF(F4673&lt;&gt;"", TEXT(F4673, "yyyy-mm"), "")</f>
        <v/>
      </c>
    </row>
    <row r="4674">
      <c r="A4674" t="inlineStr">
        <is>
          <t>RP0004673</t>
        </is>
      </c>
      <c r="B4674" t="inlineStr">
        <is>
          <t>LN200663</t>
        </is>
      </c>
      <c r="C4674" t="n">
        <v>2</v>
      </c>
      <c r="D4674" s="8" t="n">
        <v>45880</v>
      </c>
      <c r="E4674" s="9" t="n">
        <v>11137</v>
      </c>
      <c r="F4674" s="8" t="n">
        <v>45883</v>
      </c>
      <c r="G4674" s="9" t="n">
        <v>11137</v>
      </c>
      <c r="H4674" t="inlineStr">
        <is>
          <t>PAID_ON_TIME</t>
        </is>
      </c>
      <c r="I4674">
        <f>IF(H4674="UNPAID", AsOfDate-D4674, 0)</f>
        <v/>
      </c>
      <c r="J4674">
        <f>IF(F4674&lt;&gt;"", TEXT(F4674, "yyyy-mm"), "")</f>
        <v/>
      </c>
    </row>
    <row r="4675">
      <c r="A4675" t="inlineStr">
        <is>
          <t>RP0004674</t>
        </is>
      </c>
      <c r="B4675" t="inlineStr">
        <is>
          <t>LN200663</t>
        </is>
      </c>
      <c r="C4675" t="n">
        <v>3</v>
      </c>
      <c r="D4675" s="8" t="n">
        <v>45911</v>
      </c>
      <c r="E4675" s="9" t="n">
        <v>11137</v>
      </c>
      <c r="F4675" s="8" t="n">
        <v>45912</v>
      </c>
      <c r="G4675" s="9" t="n">
        <v>11137</v>
      </c>
      <c r="H4675" t="inlineStr">
        <is>
          <t>PAID_ON_TIME</t>
        </is>
      </c>
      <c r="I4675">
        <f>IF(H4675="UNPAID", AsOfDate-D4675, 0)</f>
        <v/>
      </c>
      <c r="J4675">
        <f>IF(F4675&lt;&gt;"", TEXT(F4675, "yyyy-mm"), "")</f>
        <v/>
      </c>
    </row>
    <row r="4676">
      <c r="A4676" t="inlineStr">
        <is>
          <t>RP0004675</t>
        </is>
      </c>
      <c r="B4676" t="inlineStr">
        <is>
          <t>LN200663</t>
        </is>
      </c>
      <c r="C4676" t="n">
        <v>4</v>
      </c>
      <c r="D4676" s="8" t="n">
        <v>45941</v>
      </c>
      <c r="E4676" s="9" t="n">
        <v>11137</v>
      </c>
      <c r="F4676" s="8" t="n">
        <v>45942</v>
      </c>
      <c r="G4676" s="9" t="n">
        <v>11137</v>
      </c>
      <c r="H4676" t="inlineStr">
        <is>
          <t>PAID_ON_TIME</t>
        </is>
      </c>
      <c r="I4676">
        <f>IF(H4676="UNPAID", AsOfDate-D4676, 0)</f>
        <v/>
      </c>
      <c r="J4676">
        <f>IF(F4676&lt;&gt;"", TEXT(F4676, "yyyy-mm"), "")</f>
        <v/>
      </c>
    </row>
    <row r="4677">
      <c r="A4677" t="inlineStr">
        <is>
          <t>RP0004676</t>
        </is>
      </c>
      <c r="B4677" t="inlineStr">
        <is>
          <t>LN200663</t>
        </is>
      </c>
      <c r="C4677" t="n">
        <v>5</v>
      </c>
      <c r="D4677" s="8" t="n">
        <v>45972</v>
      </c>
      <c r="E4677" s="9" t="n">
        <v>11137</v>
      </c>
      <c r="F4677" s="8" t="n">
        <v>45970</v>
      </c>
      <c r="G4677" s="9" t="n">
        <v>11137</v>
      </c>
      <c r="H4677" t="inlineStr">
        <is>
          <t>PAID_ON_TIME</t>
        </is>
      </c>
      <c r="I4677">
        <f>IF(H4677="UNPAID", AsOfDate-D4677, 0)</f>
        <v/>
      </c>
      <c r="J4677">
        <f>IF(F4677&lt;&gt;"", TEXT(F4677, "yyyy-mm"), "")</f>
        <v/>
      </c>
    </row>
    <row r="4678">
      <c r="A4678" t="inlineStr">
        <is>
          <t>RP0004677</t>
        </is>
      </c>
      <c r="B4678" t="inlineStr">
        <is>
          <t>LN200663</t>
        </is>
      </c>
      <c r="C4678" t="n">
        <v>6</v>
      </c>
      <c r="D4678" s="8" t="n">
        <v>46002</v>
      </c>
      <c r="E4678" s="9" t="n">
        <v>11137</v>
      </c>
      <c r="F4678" s="8" t="n">
        <v>46005</v>
      </c>
      <c r="G4678" s="9" t="n">
        <v>11137</v>
      </c>
      <c r="H4678" t="inlineStr">
        <is>
          <t>PAID_ON_TIME</t>
        </is>
      </c>
      <c r="I4678">
        <f>IF(H4678="UNPAID", AsOfDate-D4678, 0)</f>
        <v/>
      </c>
      <c r="J4678">
        <f>IF(F4678&lt;&gt;"", TEXT(F4678, "yyyy-mm"), "")</f>
        <v/>
      </c>
    </row>
    <row r="4679">
      <c r="A4679" t="inlineStr">
        <is>
          <t>RP0004678</t>
        </is>
      </c>
      <c r="B4679" t="inlineStr">
        <is>
          <t>LN200663</t>
        </is>
      </c>
      <c r="C4679" t="n">
        <v>7</v>
      </c>
      <c r="D4679" s="8" t="n">
        <v>46033</v>
      </c>
      <c r="E4679" s="9" t="n">
        <v>11137</v>
      </c>
      <c r="F4679" s="8" t="n">
        <v>46032</v>
      </c>
      <c r="G4679" s="9" t="n">
        <v>11137</v>
      </c>
      <c r="H4679" t="inlineStr">
        <is>
          <t>PAID_ON_TIME</t>
        </is>
      </c>
      <c r="I4679">
        <f>IF(H4679="UNPAID", AsOfDate-D4679, 0)</f>
        <v/>
      </c>
      <c r="J4679">
        <f>IF(F4679&lt;&gt;"", TEXT(F4679, "yyyy-mm"), "")</f>
        <v/>
      </c>
    </row>
    <row r="4680">
      <c r="A4680" t="inlineStr">
        <is>
          <t>RP0004679</t>
        </is>
      </c>
      <c r="B4680" t="inlineStr">
        <is>
          <t>LN200663</t>
        </is>
      </c>
      <c r="C4680" t="n">
        <v>8</v>
      </c>
      <c r="D4680" s="8" t="n">
        <v>46064</v>
      </c>
      <c r="E4680" s="9" t="n">
        <v>11137</v>
      </c>
      <c r="F4680" s="8" t="n">
        <v>46065</v>
      </c>
      <c r="G4680" s="9" t="n">
        <v>11137</v>
      </c>
      <c r="H4680" t="inlineStr">
        <is>
          <t>PAID_ON_TIME</t>
        </is>
      </c>
      <c r="I4680">
        <f>IF(H4680="UNPAID", AsOfDate-D4680, 0)</f>
        <v/>
      </c>
      <c r="J4680">
        <f>IF(F4680&lt;&gt;"", TEXT(F4680, "yyyy-mm"), "")</f>
        <v/>
      </c>
    </row>
    <row r="4681">
      <c r="A4681" t="inlineStr">
        <is>
          <t>RP0004680</t>
        </is>
      </c>
      <c r="B4681" t="inlineStr">
        <is>
          <t>LN200663</t>
        </is>
      </c>
      <c r="C4681" t="n">
        <v>9</v>
      </c>
      <c r="D4681" s="8" t="n">
        <v>46092</v>
      </c>
      <c r="E4681" s="9" t="n">
        <v>11137</v>
      </c>
      <c r="F4681" s="8" t="n">
        <v>46096</v>
      </c>
      <c r="G4681" s="9" t="n">
        <v>11137</v>
      </c>
      <c r="H4681" t="inlineStr">
        <is>
          <t>PAID_ON_TIME</t>
        </is>
      </c>
      <c r="I4681">
        <f>IF(H4681="UNPAID", AsOfDate-D4681, 0)</f>
        <v/>
      </c>
      <c r="J4681">
        <f>IF(F4681&lt;&gt;"", TEXT(F4681, "yyyy-mm"), "")</f>
        <v/>
      </c>
    </row>
    <row r="4682">
      <c r="A4682" t="inlineStr">
        <is>
          <t>RP0004681</t>
        </is>
      </c>
      <c r="B4682" t="inlineStr">
        <is>
          <t>LN200663</t>
        </is>
      </c>
      <c r="C4682" t="n">
        <v>10</v>
      </c>
      <c r="D4682" s="8" t="n">
        <v>46123</v>
      </c>
      <c r="E4682" s="9" t="n">
        <v>11137</v>
      </c>
      <c r="F4682" s="8" t="n">
        <v>46124</v>
      </c>
      <c r="G4682" s="9" t="n">
        <v>11137</v>
      </c>
      <c r="H4682" t="inlineStr">
        <is>
          <t>PAID_ON_TIME</t>
        </is>
      </c>
      <c r="I4682">
        <f>IF(H4682="UNPAID", AsOfDate-D4682, 0)</f>
        <v/>
      </c>
      <c r="J4682">
        <f>IF(F4682&lt;&gt;"", TEXT(F4682, "yyyy-mm"), "")</f>
        <v/>
      </c>
    </row>
    <row r="4683">
      <c r="A4683" t="inlineStr">
        <is>
          <t>RP0004682</t>
        </is>
      </c>
      <c r="B4683" t="inlineStr">
        <is>
          <t>LN200663</t>
        </is>
      </c>
      <c r="C4683" t="n">
        <v>11</v>
      </c>
      <c r="D4683" s="8" t="n">
        <v>46153</v>
      </c>
      <c r="E4683" s="9" t="n">
        <v>11137</v>
      </c>
      <c r="F4683" s="8" t="n">
        <v>46150</v>
      </c>
      <c r="G4683" s="9" t="n">
        <v>11137</v>
      </c>
      <c r="H4683" t="inlineStr">
        <is>
          <t>PAID_ON_TIME</t>
        </is>
      </c>
      <c r="I4683">
        <f>IF(H4683="UNPAID", AsOfDate-D4683, 0)</f>
        <v/>
      </c>
      <c r="J4683">
        <f>IF(F4683&lt;&gt;"", TEXT(F4683, "yyyy-mm"), "")</f>
        <v/>
      </c>
    </row>
    <row r="4684">
      <c r="A4684" t="inlineStr">
        <is>
          <t>RP0004683</t>
        </is>
      </c>
      <c r="B4684" t="inlineStr">
        <is>
          <t>LN200663</t>
        </is>
      </c>
      <c r="C4684" t="n">
        <v>12</v>
      </c>
      <c r="D4684" s="8" t="n">
        <v>46184</v>
      </c>
      <c r="E4684" s="9" t="n">
        <v>11137</v>
      </c>
      <c r="F4684" s="8" t="n">
        <v>46181</v>
      </c>
      <c r="G4684" s="9" t="n">
        <v>11137</v>
      </c>
      <c r="H4684" t="inlineStr">
        <is>
          <t>PAID_ON_TIME</t>
        </is>
      </c>
      <c r="I4684">
        <f>IF(H4684="UNPAID", AsOfDate-D4684, 0)</f>
        <v/>
      </c>
      <c r="J4684">
        <f>IF(F4684&lt;&gt;"", TEXT(F4684, "yyyy-mm"), "")</f>
        <v/>
      </c>
    </row>
    <row r="4685">
      <c r="A4685" t="inlineStr">
        <is>
          <t>RP0004684</t>
        </is>
      </c>
      <c r="B4685" t="inlineStr">
        <is>
          <t>LN200664</t>
        </is>
      </c>
      <c r="C4685" t="n">
        <v>1</v>
      </c>
      <c r="D4685" s="8" t="n">
        <v>46159</v>
      </c>
      <c r="E4685" s="9" t="n">
        <v>25769</v>
      </c>
      <c r="F4685" s="8" t="n">
        <v>46214</v>
      </c>
      <c r="G4685" s="9" t="n">
        <v>25769</v>
      </c>
      <c r="H4685" t="inlineStr">
        <is>
          <t>PAID_LATE</t>
        </is>
      </c>
      <c r="I4685">
        <f>IF(H4685="UNPAID", AsOfDate-D4685, 0)</f>
        <v/>
      </c>
      <c r="J4685">
        <f>IF(F4685&lt;&gt;"", TEXT(F4685, "yyyy-mm"), "")</f>
        <v/>
      </c>
    </row>
    <row r="4686">
      <c r="A4686" t="inlineStr">
        <is>
          <t>RP0004685</t>
        </is>
      </c>
      <c r="B4686" t="inlineStr">
        <is>
          <t>LN200664</t>
        </is>
      </c>
      <c r="C4686" t="n">
        <v>2</v>
      </c>
      <c r="D4686" s="8" t="n">
        <v>46190</v>
      </c>
      <c r="E4686" s="9" t="n">
        <v>25769</v>
      </c>
      <c r="F4686" s="8" t="n">
        <v>46190</v>
      </c>
      <c r="G4686" s="9" t="n">
        <v>25769</v>
      </c>
      <c r="H4686" t="inlineStr">
        <is>
          <t>PAID_ON_TIME</t>
        </is>
      </c>
      <c r="I4686">
        <f>IF(H4686="UNPAID", AsOfDate-D4686, 0)</f>
        <v/>
      </c>
      <c r="J4686">
        <f>IF(F4686&lt;&gt;"", TEXT(F4686, "yyyy-mm"), "")</f>
        <v/>
      </c>
    </row>
    <row r="4687">
      <c r="A4687" t="inlineStr">
        <is>
          <t>RP0004686</t>
        </is>
      </c>
      <c r="B4687" t="inlineStr">
        <is>
          <t>LN200664</t>
        </is>
      </c>
      <c r="C4687" t="n">
        <v>3</v>
      </c>
      <c r="D4687" s="8" t="n">
        <v>46220</v>
      </c>
      <c r="E4687" s="9" t="n">
        <v>25769</v>
      </c>
      <c r="F4687" s="8" t="n">
        <v>46224</v>
      </c>
      <c r="G4687" s="9" t="n">
        <v>25769</v>
      </c>
      <c r="H4687" t="inlineStr">
        <is>
          <t>PAID_ON_TIME</t>
        </is>
      </c>
      <c r="I4687">
        <f>IF(H4687="UNPAID", AsOfDate-D4687, 0)</f>
        <v/>
      </c>
      <c r="J4687">
        <f>IF(F4687&lt;&gt;"", TEXT(F4687, "yyyy-mm"), "")</f>
        <v/>
      </c>
    </row>
    <row r="4688">
      <c r="A4688" t="inlineStr">
        <is>
          <t>RP0004687</t>
        </is>
      </c>
      <c r="B4688" t="inlineStr">
        <is>
          <t>LN200666</t>
        </is>
      </c>
      <c r="C4688" t="n">
        <v>1</v>
      </c>
      <c r="D4688" s="8" t="n">
        <v>45701</v>
      </c>
      <c r="E4688" s="9" t="n">
        <v>22935</v>
      </c>
      <c r="F4688" s="8" t="n">
        <v>45700</v>
      </c>
      <c r="G4688" s="9" t="n">
        <v>22935</v>
      </c>
      <c r="H4688" t="inlineStr">
        <is>
          <t>PAID_ON_TIME</t>
        </is>
      </c>
      <c r="I4688">
        <f>IF(H4688="UNPAID", AsOfDate-D4688, 0)</f>
        <v/>
      </c>
      <c r="J4688">
        <f>IF(F4688&lt;&gt;"", TEXT(F4688, "yyyy-mm"), "")</f>
        <v/>
      </c>
    </row>
    <row r="4689">
      <c r="A4689" t="inlineStr">
        <is>
          <t>RP0004688</t>
        </is>
      </c>
      <c r="B4689" t="inlineStr">
        <is>
          <t>LN200666</t>
        </is>
      </c>
      <c r="C4689" t="n">
        <v>2</v>
      </c>
      <c r="D4689" s="8" t="n">
        <v>45729</v>
      </c>
      <c r="E4689" s="9" t="n">
        <v>22935</v>
      </c>
      <c r="F4689" s="8" t="n">
        <v>45733</v>
      </c>
      <c r="G4689" s="9" t="n">
        <v>22935</v>
      </c>
      <c r="H4689" t="inlineStr">
        <is>
          <t>PAID_ON_TIME</t>
        </is>
      </c>
      <c r="I4689">
        <f>IF(H4689="UNPAID", AsOfDate-D4689, 0)</f>
        <v/>
      </c>
      <c r="J4689">
        <f>IF(F4689&lt;&gt;"", TEXT(F4689, "yyyy-mm"), "")</f>
        <v/>
      </c>
    </row>
    <row r="4690">
      <c r="A4690" t="inlineStr">
        <is>
          <t>RP0004689</t>
        </is>
      </c>
      <c r="B4690" t="inlineStr">
        <is>
          <t>LN200666</t>
        </is>
      </c>
      <c r="C4690" t="n">
        <v>3</v>
      </c>
      <c r="D4690" s="8" t="n">
        <v>45760</v>
      </c>
      <c r="E4690" s="9" t="n">
        <v>22935</v>
      </c>
      <c r="F4690" s="8" t="n">
        <v>45873</v>
      </c>
      <c r="G4690" s="9" t="n">
        <v>22935</v>
      </c>
      <c r="H4690" t="inlineStr">
        <is>
          <t>PAID_LATE</t>
        </is>
      </c>
      <c r="I4690">
        <f>IF(H4690="UNPAID", AsOfDate-D4690, 0)</f>
        <v/>
      </c>
      <c r="J4690">
        <f>IF(F4690&lt;&gt;"", TEXT(F4690, "yyyy-mm"), "")</f>
        <v/>
      </c>
    </row>
    <row r="4691">
      <c r="A4691" t="inlineStr">
        <is>
          <t>RP0004690</t>
        </is>
      </c>
      <c r="B4691" t="inlineStr">
        <is>
          <t>LN200667</t>
        </is>
      </c>
      <c r="C4691" t="n">
        <v>1</v>
      </c>
      <c r="D4691" s="8" t="n">
        <v>46236</v>
      </c>
      <c r="E4691" s="9" t="n">
        <v>18853</v>
      </c>
      <c r="F4691" s="8" t="n">
        <v>46238</v>
      </c>
      <c r="G4691" s="9" t="n">
        <v>18853</v>
      </c>
      <c r="H4691" t="inlineStr">
        <is>
          <t>PAID_ON_TIME</t>
        </is>
      </c>
      <c r="I4691">
        <f>IF(H4691="UNPAID", AsOfDate-D4691, 0)</f>
        <v/>
      </c>
      <c r="J4691">
        <f>IF(F4691&lt;&gt;"", TEXT(F4691, "yyyy-mm"), "")</f>
        <v/>
      </c>
    </row>
    <row r="4692">
      <c r="A4692" t="inlineStr">
        <is>
          <t>RP0004691</t>
        </is>
      </c>
      <c r="B4692" t="inlineStr">
        <is>
          <t>LN200667</t>
        </is>
      </c>
      <c r="C4692" t="n">
        <v>2</v>
      </c>
      <c r="D4692" s="8" t="n">
        <v>46267</v>
      </c>
      <c r="E4692" s="9" t="n">
        <v>18853</v>
      </c>
      <c r="F4692" s="8" t="n"/>
      <c r="G4692" s="9" t="n">
        <v>0</v>
      </c>
      <c r="H4692" t="inlineStr">
        <is>
          <t>NOT_DUE</t>
        </is>
      </c>
      <c r="I4692">
        <f>IF(H4692="UNPAID", AsOfDate-D4692, 0)</f>
        <v/>
      </c>
      <c r="J4692">
        <f>IF(F4692&lt;&gt;"", TEXT(F4692, "yyyy-mm"), "")</f>
        <v/>
      </c>
    </row>
    <row r="4693">
      <c r="A4693" t="inlineStr">
        <is>
          <t>RP0004692</t>
        </is>
      </c>
      <c r="B4693" t="inlineStr">
        <is>
          <t>LN200667</t>
        </is>
      </c>
      <c r="C4693" t="n">
        <v>3</v>
      </c>
      <c r="D4693" s="8" t="n">
        <v>46297</v>
      </c>
      <c r="E4693" s="9" t="n">
        <v>18853</v>
      </c>
      <c r="F4693" s="8" t="n"/>
      <c r="G4693" s="9" t="n">
        <v>0</v>
      </c>
      <c r="H4693" t="inlineStr">
        <is>
          <t>NOT_DUE</t>
        </is>
      </c>
      <c r="I4693">
        <f>IF(H4693="UNPAID", AsOfDate-D4693, 0)</f>
        <v/>
      </c>
      <c r="J4693">
        <f>IF(F4693&lt;&gt;"", TEXT(F4693, "yyyy-mm"), "")</f>
        <v/>
      </c>
    </row>
    <row r="4694">
      <c r="A4694" t="inlineStr">
        <is>
          <t>RP0004693</t>
        </is>
      </c>
      <c r="B4694" t="inlineStr">
        <is>
          <t>LN200667</t>
        </is>
      </c>
      <c r="C4694" t="n">
        <v>4</v>
      </c>
      <c r="D4694" s="8" t="n">
        <v>46328</v>
      </c>
      <c r="E4694" s="9" t="n">
        <v>18853</v>
      </c>
      <c r="F4694" s="8" t="n"/>
      <c r="G4694" s="9" t="n">
        <v>0</v>
      </c>
      <c r="H4694" t="inlineStr">
        <is>
          <t>NOT_DUE</t>
        </is>
      </c>
      <c r="I4694">
        <f>IF(H4694="UNPAID", AsOfDate-D4694, 0)</f>
        <v/>
      </c>
      <c r="J4694">
        <f>IF(F4694&lt;&gt;"", TEXT(F4694, "yyyy-mm"), "")</f>
        <v/>
      </c>
    </row>
    <row r="4695">
      <c r="A4695" t="inlineStr">
        <is>
          <t>RP0004694</t>
        </is>
      </c>
      <c r="B4695" t="inlineStr">
        <is>
          <t>LN200667</t>
        </is>
      </c>
      <c r="C4695" t="n">
        <v>5</v>
      </c>
      <c r="D4695" s="8" t="n">
        <v>46358</v>
      </c>
      <c r="E4695" s="9" t="n">
        <v>18853</v>
      </c>
      <c r="F4695" s="8" t="n"/>
      <c r="G4695" s="9" t="n">
        <v>0</v>
      </c>
      <c r="H4695" t="inlineStr">
        <is>
          <t>NOT_DUE</t>
        </is>
      </c>
      <c r="I4695">
        <f>IF(H4695="UNPAID", AsOfDate-D4695, 0)</f>
        <v/>
      </c>
      <c r="J4695">
        <f>IF(F4695&lt;&gt;"", TEXT(F4695, "yyyy-mm"), "")</f>
        <v/>
      </c>
    </row>
    <row r="4696">
      <c r="A4696" t="inlineStr">
        <is>
          <t>RP0004695</t>
        </is>
      </c>
      <c r="B4696" t="inlineStr">
        <is>
          <t>LN200667</t>
        </is>
      </c>
      <c r="C4696" t="n">
        <v>6</v>
      </c>
      <c r="D4696" s="8" t="n">
        <v>46389</v>
      </c>
      <c r="E4696" s="9" t="n">
        <v>18853</v>
      </c>
      <c r="F4696" s="8" t="n"/>
      <c r="G4696" s="9" t="n">
        <v>0</v>
      </c>
      <c r="H4696" t="inlineStr">
        <is>
          <t>NOT_DUE</t>
        </is>
      </c>
      <c r="I4696">
        <f>IF(H4696="UNPAID", AsOfDate-D4696, 0)</f>
        <v/>
      </c>
      <c r="J4696">
        <f>IF(F4696&lt;&gt;"", TEXT(F4696, "yyyy-mm"), "")</f>
        <v/>
      </c>
    </row>
    <row r="4697">
      <c r="A4697" t="inlineStr">
        <is>
          <t>RP0004696</t>
        </is>
      </c>
      <c r="B4697" t="inlineStr">
        <is>
          <t>LN200669</t>
        </is>
      </c>
      <c r="C4697" t="n">
        <v>1</v>
      </c>
      <c r="D4697" s="8" t="n">
        <v>45928</v>
      </c>
      <c r="E4697" s="9" t="n">
        <v>23450</v>
      </c>
      <c r="F4697" s="8" t="n">
        <v>45930</v>
      </c>
      <c r="G4697" s="9" t="n">
        <v>23450</v>
      </c>
      <c r="H4697" t="inlineStr">
        <is>
          <t>PAID_ON_TIME</t>
        </is>
      </c>
      <c r="I4697">
        <f>IF(H4697="UNPAID", AsOfDate-D4697, 0)</f>
        <v/>
      </c>
      <c r="J4697">
        <f>IF(F4697&lt;&gt;"", TEXT(F4697, "yyyy-mm"), "")</f>
        <v/>
      </c>
    </row>
    <row r="4698">
      <c r="A4698" t="inlineStr">
        <is>
          <t>RP0004697</t>
        </is>
      </c>
      <c r="B4698" t="inlineStr">
        <is>
          <t>LN200669</t>
        </is>
      </c>
      <c r="C4698" t="n">
        <v>2</v>
      </c>
      <c r="D4698" s="8" t="n">
        <v>45958</v>
      </c>
      <c r="E4698" s="9" t="n">
        <v>23450</v>
      </c>
      <c r="F4698" s="8" t="n">
        <v>45959</v>
      </c>
      <c r="G4698" s="9" t="n">
        <v>23450</v>
      </c>
      <c r="H4698" t="inlineStr">
        <is>
          <t>PAID_ON_TIME</t>
        </is>
      </c>
      <c r="I4698">
        <f>IF(H4698="UNPAID", AsOfDate-D4698, 0)</f>
        <v/>
      </c>
      <c r="J4698">
        <f>IF(F4698&lt;&gt;"", TEXT(F4698, "yyyy-mm"), "")</f>
        <v/>
      </c>
    </row>
    <row r="4699">
      <c r="A4699" t="inlineStr">
        <is>
          <t>RP0004698</t>
        </is>
      </c>
      <c r="B4699" t="inlineStr">
        <is>
          <t>LN200669</t>
        </is>
      </c>
      <c r="C4699" t="n">
        <v>3</v>
      </c>
      <c r="D4699" s="8" t="n">
        <v>45989</v>
      </c>
      <c r="E4699" s="9" t="n">
        <v>23450</v>
      </c>
      <c r="F4699" s="8" t="n">
        <v>45991</v>
      </c>
      <c r="G4699" s="9" t="n">
        <v>23450</v>
      </c>
      <c r="H4699" t="inlineStr">
        <is>
          <t>PAID_ON_TIME</t>
        </is>
      </c>
      <c r="I4699">
        <f>IF(H4699="UNPAID", AsOfDate-D4699, 0)</f>
        <v/>
      </c>
      <c r="J4699">
        <f>IF(F4699&lt;&gt;"", TEXT(F4699, "yyyy-mm"), "")</f>
        <v/>
      </c>
    </row>
    <row r="4700">
      <c r="A4700" t="inlineStr">
        <is>
          <t>RP0004699</t>
        </is>
      </c>
      <c r="B4700" t="inlineStr">
        <is>
          <t>LN200670</t>
        </is>
      </c>
      <c r="C4700" t="n">
        <v>1</v>
      </c>
      <c r="D4700" s="8" t="n">
        <v>45695</v>
      </c>
      <c r="E4700" s="9" t="n">
        <v>37402.89</v>
      </c>
      <c r="F4700" s="8" t="n">
        <v>45699</v>
      </c>
      <c r="G4700" s="9" t="n">
        <v>37402.89</v>
      </c>
      <c r="H4700" t="inlineStr">
        <is>
          <t>PAID_ON_TIME</t>
        </is>
      </c>
      <c r="I4700">
        <f>IF(H4700="UNPAID", AsOfDate-D4700, 0)</f>
        <v/>
      </c>
      <c r="J4700">
        <f>IF(F4700&lt;&gt;"", TEXT(F4700, "yyyy-mm"), "")</f>
        <v/>
      </c>
    </row>
    <row r="4701">
      <c r="A4701" t="inlineStr">
        <is>
          <t>RP0004700</t>
        </is>
      </c>
      <c r="B4701" t="inlineStr">
        <is>
          <t>LN200670</t>
        </is>
      </c>
      <c r="C4701" t="n">
        <v>2</v>
      </c>
      <c r="D4701" s="8" t="n">
        <v>45723</v>
      </c>
      <c r="E4701" s="9" t="n">
        <v>37402.89</v>
      </c>
      <c r="F4701" s="8" t="n">
        <v>45726</v>
      </c>
      <c r="G4701" s="9" t="n">
        <v>37402.89</v>
      </c>
      <c r="H4701" t="inlineStr">
        <is>
          <t>PAID_ON_TIME</t>
        </is>
      </c>
      <c r="I4701">
        <f>IF(H4701="UNPAID", AsOfDate-D4701, 0)</f>
        <v/>
      </c>
      <c r="J4701">
        <f>IF(F4701&lt;&gt;"", TEXT(F4701, "yyyy-mm"), "")</f>
        <v/>
      </c>
    </row>
    <row r="4702">
      <c r="A4702" t="inlineStr">
        <is>
          <t>RP0004701</t>
        </is>
      </c>
      <c r="B4702" t="inlineStr">
        <is>
          <t>LN200670</t>
        </is>
      </c>
      <c r="C4702" t="n">
        <v>3</v>
      </c>
      <c r="D4702" s="8" t="n">
        <v>45754</v>
      </c>
      <c r="E4702" s="9" t="n">
        <v>37402.89</v>
      </c>
      <c r="F4702" s="8" t="n">
        <v>45751</v>
      </c>
      <c r="G4702" s="9" t="n">
        <v>37402.89</v>
      </c>
      <c r="H4702" t="inlineStr">
        <is>
          <t>PAID_ON_TIME</t>
        </is>
      </c>
      <c r="I4702">
        <f>IF(H4702="UNPAID", AsOfDate-D4702, 0)</f>
        <v/>
      </c>
      <c r="J4702">
        <f>IF(F4702&lt;&gt;"", TEXT(F4702, "yyyy-mm"), "")</f>
        <v/>
      </c>
    </row>
    <row r="4703">
      <c r="A4703" t="inlineStr">
        <is>
          <t>RP0004702</t>
        </is>
      </c>
      <c r="B4703" t="inlineStr">
        <is>
          <t>LN200670</t>
        </is>
      </c>
      <c r="C4703" t="n">
        <v>4</v>
      </c>
      <c r="D4703" s="8" t="n">
        <v>45784</v>
      </c>
      <c r="E4703" s="9" t="n">
        <v>37402.89</v>
      </c>
      <c r="F4703" s="8" t="n">
        <v>45783</v>
      </c>
      <c r="G4703" s="9" t="n">
        <v>37402.89</v>
      </c>
      <c r="H4703" t="inlineStr">
        <is>
          <t>PAID_ON_TIME</t>
        </is>
      </c>
      <c r="I4703">
        <f>IF(H4703="UNPAID", AsOfDate-D4703, 0)</f>
        <v/>
      </c>
      <c r="J4703">
        <f>IF(F4703&lt;&gt;"", TEXT(F4703, "yyyy-mm"), "")</f>
        <v/>
      </c>
    </row>
    <row r="4704">
      <c r="A4704" t="inlineStr">
        <is>
          <t>RP0004703</t>
        </is>
      </c>
      <c r="B4704" t="inlineStr">
        <is>
          <t>LN200670</t>
        </is>
      </c>
      <c r="C4704" t="n">
        <v>5</v>
      </c>
      <c r="D4704" s="8" t="n">
        <v>45815</v>
      </c>
      <c r="E4704" s="9" t="n">
        <v>37402.89</v>
      </c>
      <c r="F4704" s="8" t="n">
        <v>45818</v>
      </c>
      <c r="G4704" s="9" t="n">
        <v>37402.89</v>
      </c>
      <c r="H4704" t="inlineStr">
        <is>
          <t>PAID_ON_TIME</t>
        </is>
      </c>
      <c r="I4704">
        <f>IF(H4704="UNPAID", AsOfDate-D4704, 0)</f>
        <v/>
      </c>
      <c r="J4704">
        <f>IF(F4704&lt;&gt;"", TEXT(F4704, "yyyy-mm"), "")</f>
        <v/>
      </c>
    </row>
    <row r="4705">
      <c r="A4705" t="inlineStr">
        <is>
          <t>RP0004704</t>
        </is>
      </c>
      <c r="B4705" t="inlineStr">
        <is>
          <t>LN200670</t>
        </is>
      </c>
      <c r="C4705" t="n">
        <v>6</v>
      </c>
      <c r="D4705" s="8" t="n">
        <v>45845</v>
      </c>
      <c r="E4705" s="9" t="n">
        <v>37402.89</v>
      </c>
      <c r="F4705" s="8" t="n">
        <v>45930</v>
      </c>
      <c r="G4705" s="9" t="n">
        <v>37402.89</v>
      </c>
      <c r="H4705" t="inlineStr">
        <is>
          <t>PAID_LATE</t>
        </is>
      </c>
      <c r="I4705">
        <f>IF(H4705="UNPAID", AsOfDate-D4705, 0)</f>
        <v/>
      </c>
      <c r="J4705">
        <f>IF(F4705&lt;&gt;"", TEXT(F4705, "yyyy-mm"), "")</f>
        <v/>
      </c>
    </row>
    <row r="4706">
      <c r="A4706" t="inlineStr">
        <is>
          <t>RP0004705</t>
        </is>
      </c>
      <c r="B4706" t="inlineStr">
        <is>
          <t>LN200670</t>
        </is>
      </c>
      <c r="C4706" t="n">
        <v>7</v>
      </c>
      <c r="D4706" s="8" t="n">
        <v>45876</v>
      </c>
      <c r="E4706" s="9" t="n">
        <v>37402.89</v>
      </c>
      <c r="F4706" s="8" t="n">
        <v>45880</v>
      </c>
      <c r="G4706" s="9" t="n">
        <v>37402.89</v>
      </c>
      <c r="H4706" t="inlineStr">
        <is>
          <t>PAID_ON_TIME</t>
        </is>
      </c>
      <c r="I4706">
        <f>IF(H4706="UNPAID", AsOfDate-D4706, 0)</f>
        <v/>
      </c>
      <c r="J4706">
        <f>IF(F4706&lt;&gt;"", TEXT(F4706, "yyyy-mm"), "")</f>
        <v/>
      </c>
    </row>
    <row r="4707">
      <c r="A4707" t="inlineStr">
        <is>
          <t>RP0004706</t>
        </is>
      </c>
      <c r="B4707" t="inlineStr">
        <is>
          <t>LN200670</t>
        </is>
      </c>
      <c r="C4707" t="n">
        <v>8</v>
      </c>
      <c r="D4707" s="8" t="n">
        <v>45907</v>
      </c>
      <c r="E4707" s="9" t="n">
        <v>37402.89</v>
      </c>
      <c r="F4707" s="8" t="n">
        <v>45908</v>
      </c>
      <c r="G4707" s="9" t="n">
        <v>37402.89</v>
      </c>
      <c r="H4707" t="inlineStr">
        <is>
          <t>PAID_ON_TIME</t>
        </is>
      </c>
      <c r="I4707">
        <f>IF(H4707="UNPAID", AsOfDate-D4707, 0)</f>
        <v/>
      </c>
      <c r="J4707">
        <f>IF(F4707&lt;&gt;"", TEXT(F4707, "yyyy-mm"), "")</f>
        <v/>
      </c>
    </row>
    <row r="4708">
      <c r="A4708" t="inlineStr">
        <is>
          <t>RP0004707</t>
        </is>
      </c>
      <c r="B4708" t="inlineStr">
        <is>
          <t>LN200670</t>
        </is>
      </c>
      <c r="C4708" t="n">
        <v>9</v>
      </c>
      <c r="D4708" s="8" t="n">
        <v>45937</v>
      </c>
      <c r="E4708" s="9" t="n">
        <v>37402.89</v>
      </c>
      <c r="F4708" s="8" t="n">
        <v>46044</v>
      </c>
      <c r="G4708" s="9" t="n">
        <v>37402.89</v>
      </c>
      <c r="H4708" t="inlineStr">
        <is>
          <t>PAID_LATE</t>
        </is>
      </c>
      <c r="I4708">
        <f>IF(H4708="UNPAID", AsOfDate-D4708, 0)</f>
        <v/>
      </c>
      <c r="J4708">
        <f>IF(F4708&lt;&gt;"", TEXT(F4708, "yyyy-mm"), "")</f>
        <v/>
      </c>
    </row>
    <row r="4709">
      <c r="A4709" t="inlineStr">
        <is>
          <t>RP0004708</t>
        </is>
      </c>
      <c r="B4709" t="inlineStr">
        <is>
          <t>LN200671</t>
        </is>
      </c>
      <c r="C4709" t="n">
        <v>1</v>
      </c>
      <c r="D4709" s="8" t="n">
        <v>46157</v>
      </c>
      <c r="E4709" s="9" t="n">
        <v>23876.67</v>
      </c>
      <c r="F4709" s="8" t="n">
        <v>46155</v>
      </c>
      <c r="G4709" s="9" t="n">
        <v>23876.67</v>
      </c>
      <c r="H4709" t="inlineStr">
        <is>
          <t>PAID_ON_TIME</t>
        </is>
      </c>
      <c r="I4709">
        <f>IF(H4709="UNPAID", AsOfDate-D4709, 0)</f>
        <v/>
      </c>
      <c r="J4709">
        <f>IF(F4709&lt;&gt;"", TEXT(F4709, "yyyy-mm"), "")</f>
        <v/>
      </c>
    </row>
    <row r="4710">
      <c r="A4710" t="inlineStr">
        <is>
          <t>RP0004709</t>
        </is>
      </c>
      <c r="B4710" t="inlineStr">
        <is>
          <t>LN200671</t>
        </is>
      </c>
      <c r="C4710" t="n">
        <v>2</v>
      </c>
      <c r="D4710" s="8" t="n">
        <v>46188</v>
      </c>
      <c r="E4710" s="9" t="n">
        <v>23876.67</v>
      </c>
      <c r="F4710" s="8" t="n">
        <v>46189</v>
      </c>
      <c r="G4710" s="9" t="n">
        <v>23876.67</v>
      </c>
      <c r="H4710" t="inlineStr">
        <is>
          <t>PAID_ON_TIME</t>
        </is>
      </c>
      <c r="I4710">
        <f>IF(H4710="UNPAID", AsOfDate-D4710, 0)</f>
        <v/>
      </c>
      <c r="J4710">
        <f>IF(F4710&lt;&gt;"", TEXT(F4710, "yyyy-mm"), "")</f>
        <v/>
      </c>
    </row>
    <row r="4711">
      <c r="A4711" t="inlineStr">
        <is>
          <t>RP0004710</t>
        </is>
      </c>
      <c r="B4711" t="inlineStr">
        <is>
          <t>LN200671</t>
        </is>
      </c>
      <c r="C4711" t="n">
        <v>3</v>
      </c>
      <c r="D4711" s="8" t="n">
        <v>46218</v>
      </c>
      <c r="E4711" s="9" t="n">
        <v>23876.67</v>
      </c>
      <c r="F4711" s="8" t="n">
        <v>46221</v>
      </c>
      <c r="G4711" s="9" t="n">
        <v>23876.67</v>
      </c>
      <c r="H4711" t="inlineStr">
        <is>
          <t>PAID_ON_TIME</t>
        </is>
      </c>
      <c r="I4711">
        <f>IF(H4711="UNPAID", AsOfDate-D4711, 0)</f>
        <v/>
      </c>
      <c r="J4711">
        <f>IF(F4711&lt;&gt;"", TEXT(F4711, "yyyy-mm"), "")</f>
        <v/>
      </c>
    </row>
    <row r="4712">
      <c r="A4712" t="inlineStr">
        <is>
          <t>RP0004711</t>
        </is>
      </c>
      <c r="B4712" t="inlineStr">
        <is>
          <t>LN200671</t>
        </is>
      </c>
      <c r="C4712" t="n">
        <v>4</v>
      </c>
      <c r="D4712" s="8" t="n">
        <v>46249</v>
      </c>
      <c r="E4712" s="9" t="n">
        <v>23876.67</v>
      </c>
      <c r="F4712" s="8" t="n">
        <v>46248</v>
      </c>
      <c r="G4712" s="9" t="n">
        <v>23876.67</v>
      </c>
      <c r="H4712" t="inlineStr">
        <is>
          <t>PAID_ON_TIME</t>
        </is>
      </c>
      <c r="I4712">
        <f>IF(H4712="UNPAID", AsOfDate-D4712, 0)</f>
        <v/>
      </c>
      <c r="J4712">
        <f>IF(F4712&lt;&gt;"", TEXT(F4712, "yyyy-mm"), "")</f>
        <v/>
      </c>
    </row>
    <row r="4713">
      <c r="A4713" t="inlineStr">
        <is>
          <t>RP0004712</t>
        </is>
      </c>
      <c r="B4713" t="inlineStr">
        <is>
          <t>LN200671</t>
        </is>
      </c>
      <c r="C4713" t="n">
        <v>5</v>
      </c>
      <c r="D4713" s="8" t="n">
        <v>46280</v>
      </c>
      <c r="E4713" s="9" t="n">
        <v>23876.67</v>
      </c>
      <c r="F4713" s="8" t="n"/>
      <c r="G4713" s="9" t="n">
        <v>0</v>
      </c>
      <c r="H4713" t="inlineStr">
        <is>
          <t>NOT_DUE</t>
        </is>
      </c>
      <c r="I4713">
        <f>IF(H4713="UNPAID", AsOfDate-D4713, 0)</f>
        <v/>
      </c>
      <c r="J4713">
        <f>IF(F4713&lt;&gt;"", TEXT(F4713, "yyyy-mm"), "")</f>
        <v/>
      </c>
    </row>
    <row r="4714">
      <c r="A4714" t="inlineStr">
        <is>
          <t>RP0004713</t>
        </is>
      </c>
      <c r="B4714" t="inlineStr">
        <is>
          <t>LN200671</t>
        </is>
      </c>
      <c r="C4714" t="n">
        <v>6</v>
      </c>
      <c r="D4714" s="8" t="n">
        <v>46310</v>
      </c>
      <c r="E4714" s="9" t="n">
        <v>23876.67</v>
      </c>
      <c r="F4714" s="8" t="n"/>
      <c r="G4714" s="9" t="n">
        <v>0</v>
      </c>
      <c r="H4714" t="inlineStr">
        <is>
          <t>NOT_DUE</t>
        </is>
      </c>
      <c r="I4714">
        <f>IF(H4714="UNPAID", AsOfDate-D4714, 0)</f>
        <v/>
      </c>
      <c r="J4714">
        <f>IF(F4714&lt;&gt;"", TEXT(F4714, "yyyy-mm"), "")</f>
        <v/>
      </c>
    </row>
    <row r="4715">
      <c r="A4715" t="inlineStr">
        <is>
          <t>RP0004714</t>
        </is>
      </c>
      <c r="B4715" t="inlineStr">
        <is>
          <t>LN200672</t>
        </is>
      </c>
      <c r="C4715" t="n">
        <v>1</v>
      </c>
      <c r="D4715" s="8" t="n">
        <v>46062</v>
      </c>
      <c r="E4715" s="9" t="n">
        <v>15935.11</v>
      </c>
      <c r="F4715" s="8" t="n">
        <v>46059</v>
      </c>
      <c r="G4715" s="9" t="n">
        <v>15935.11</v>
      </c>
      <c r="H4715" t="inlineStr">
        <is>
          <t>PAID_ON_TIME</t>
        </is>
      </c>
      <c r="I4715">
        <f>IF(H4715="UNPAID", AsOfDate-D4715, 0)</f>
        <v/>
      </c>
      <c r="J4715">
        <f>IF(F4715&lt;&gt;"", TEXT(F4715, "yyyy-mm"), "")</f>
        <v/>
      </c>
    </row>
    <row r="4716">
      <c r="A4716" t="inlineStr">
        <is>
          <t>RP0004715</t>
        </is>
      </c>
      <c r="B4716" t="inlineStr">
        <is>
          <t>LN200672</t>
        </is>
      </c>
      <c r="C4716" t="n">
        <v>2</v>
      </c>
      <c r="D4716" s="8" t="n">
        <v>46090</v>
      </c>
      <c r="E4716" s="9" t="n">
        <v>15935.11</v>
      </c>
      <c r="F4716" s="8" t="n">
        <v>46088</v>
      </c>
      <c r="G4716" s="9" t="n">
        <v>15935.11</v>
      </c>
      <c r="H4716" t="inlineStr">
        <is>
          <t>PAID_ON_TIME</t>
        </is>
      </c>
      <c r="I4716">
        <f>IF(H4716="UNPAID", AsOfDate-D4716, 0)</f>
        <v/>
      </c>
      <c r="J4716">
        <f>IF(F4716&lt;&gt;"", TEXT(F4716, "yyyy-mm"), "")</f>
        <v/>
      </c>
    </row>
    <row r="4717">
      <c r="A4717" t="inlineStr">
        <is>
          <t>RP0004716</t>
        </is>
      </c>
      <c r="B4717" t="inlineStr">
        <is>
          <t>LN200672</t>
        </is>
      </c>
      <c r="C4717" t="n">
        <v>3</v>
      </c>
      <c r="D4717" s="8" t="n">
        <v>46121</v>
      </c>
      <c r="E4717" s="9" t="n">
        <v>15935.11</v>
      </c>
      <c r="F4717" s="8" t="n">
        <v>46122</v>
      </c>
      <c r="G4717" s="9" t="n">
        <v>15935.11</v>
      </c>
      <c r="H4717" t="inlineStr">
        <is>
          <t>PAID_ON_TIME</t>
        </is>
      </c>
      <c r="I4717">
        <f>IF(H4717="UNPAID", AsOfDate-D4717, 0)</f>
        <v/>
      </c>
      <c r="J4717">
        <f>IF(F4717&lt;&gt;"", TEXT(F4717, "yyyy-mm"), "")</f>
        <v/>
      </c>
    </row>
    <row r="4718">
      <c r="A4718" t="inlineStr">
        <is>
          <t>RP0004717</t>
        </is>
      </c>
      <c r="B4718" t="inlineStr">
        <is>
          <t>LN200672</t>
        </is>
      </c>
      <c r="C4718" t="n">
        <v>4</v>
      </c>
      <c r="D4718" s="8" t="n">
        <v>46151</v>
      </c>
      <c r="E4718" s="9" t="n">
        <v>15935.11</v>
      </c>
      <c r="F4718" s="8" t="n">
        <v>46154</v>
      </c>
      <c r="G4718" s="9" t="n">
        <v>15935.11</v>
      </c>
      <c r="H4718" t="inlineStr">
        <is>
          <t>PAID_ON_TIME</t>
        </is>
      </c>
      <c r="I4718">
        <f>IF(H4718="UNPAID", AsOfDate-D4718, 0)</f>
        <v/>
      </c>
      <c r="J4718">
        <f>IF(F4718&lt;&gt;"", TEXT(F4718, "yyyy-mm"), "")</f>
        <v/>
      </c>
    </row>
    <row r="4719">
      <c r="A4719" t="inlineStr">
        <is>
          <t>RP0004718</t>
        </is>
      </c>
      <c r="B4719" t="inlineStr">
        <is>
          <t>LN200672</t>
        </is>
      </c>
      <c r="C4719" t="n">
        <v>5</v>
      </c>
      <c r="D4719" s="8" t="n">
        <v>46182</v>
      </c>
      <c r="E4719" s="9" t="n">
        <v>15935.11</v>
      </c>
      <c r="F4719" s="8" t="n">
        <v>46186</v>
      </c>
      <c r="G4719" s="9" t="n">
        <v>15935.11</v>
      </c>
      <c r="H4719" t="inlineStr">
        <is>
          <t>PAID_ON_TIME</t>
        </is>
      </c>
      <c r="I4719">
        <f>IF(H4719="UNPAID", AsOfDate-D4719, 0)</f>
        <v/>
      </c>
      <c r="J4719">
        <f>IF(F4719&lt;&gt;"", TEXT(F4719, "yyyy-mm"), "")</f>
        <v/>
      </c>
    </row>
    <row r="4720">
      <c r="A4720" t="inlineStr">
        <is>
          <t>RP0004719</t>
        </is>
      </c>
      <c r="B4720" t="inlineStr">
        <is>
          <t>LN200672</t>
        </is>
      </c>
      <c r="C4720" t="n">
        <v>6</v>
      </c>
      <c r="D4720" s="8" t="n">
        <v>46212</v>
      </c>
      <c r="E4720" s="9" t="n">
        <v>15935.11</v>
      </c>
      <c r="F4720" s="8" t="n">
        <v>46209</v>
      </c>
      <c r="G4720" s="9" t="n">
        <v>15935.11</v>
      </c>
      <c r="H4720" t="inlineStr">
        <is>
          <t>PAID_ON_TIME</t>
        </is>
      </c>
      <c r="I4720">
        <f>IF(H4720="UNPAID", AsOfDate-D4720, 0)</f>
        <v/>
      </c>
      <c r="J4720">
        <f>IF(F4720&lt;&gt;"", TEXT(F4720, "yyyy-mm"), "")</f>
        <v/>
      </c>
    </row>
    <row r="4721">
      <c r="A4721" t="inlineStr">
        <is>
          <t>RP0004720</t>
        </is>
      </c>
      <c r="B4721" t="inlineStr">
        <is>
          <t>LN200672</t>
        </is>
      </c>
      <c r="C4721" t="n">
        <v>7</v>
      </c>
      <c r="D4721" s="8" t="n">
        <v>46243</v>
      </c>
      <c r="E4721" s="9" t="n">
        <v>15935.11</v>
      </c>
      <c r="F4721" s="8" t="n">
        <v>46241</v>
      </c>
      <c r="G4721" s="9" t="n">
        <v>15935.11</v>
      </c>
      <c r="H4721" t="inlineStr">
        <is>
          <t>PAID_ON_TIME</t>
        </is>
      </c>
      <c r="I4721">
        <f>IF(H4721="UNPAID", AsOfDate-D4721, 0)</f>
        <v/>
      </c>
      <c r="J4721">
        <f>IF(F4721&lt;&gt;"", TEXT(F4721, "yyyy-mm"), "")</f>
        <v/>
      </c>
    </row>
    <row r="4722">
      <c r="A4722" t="inlineStr">
        <is>
          <t>RP0004721</t>
        </is>
      </c>
      <c r="B4722" t="inlineStr">
        <is>
          <t>LN200672</t>
        </is>
      </c>
      <c r="C4722" t="n">
        <v>8</v>
      </c>
      <c r="D4722" s="8" t="n">
        <v>46274</v>
      </c>
      <c r="E4722" s="9" t="n">
        <v>15935.11</v>
      </c>
      <c r="F4722" s="8" t="n"/>
      <c r="G4722" s="9" t="n">
        <v>0</v>
      </c>
      <c r="H4722" t="inlineStr">
        <is>
          <t>NOT_DUE</t>
        </is>
      </c>
      <c r="I4722">
        <f>IF(H4722="UNPAID", AsOfDate-D4722, 0)</f>
        <v/>
      </c>
      <c r="J4722">
        <f>IF(F4722&lt;&gt;"", TEXT(F4722, "yyyy-mm"), "")</f>
        <v/>
      </c>
    </row>
    <row r="4723">
      <c r="A4723" t="inlineStr">
        <is>
          <t>RP0004722</t>
        </is>
      </c>
      <c r="B4723" t="inlineStr">
        <is>
          <t>LN200672</t>
        </is>
      </c>
      <c r="C4723" t="n">
        <v>9</v>
      </c>
      <c r="D4723" s="8" t="n">
        <v>46304</v>
      </c>
      <c r="E4723" s="9" t="n">
        <v>15935.11</v>
      </c>
      <c r="F4723" s="8" t="n"/>
      <c r="G4723" s="9" t="n">
        <v>0</v>
      </c>
      <c r="H4723" t="inlineStr">
        <is>
          <t>NOT_DUE</t>
        </is>
      </c>
      <c r="I4723">
        <f>IF(H4723="UNPAID", AsOfDate-D4723, 0)</f>
        <v/>
      </c>
      <c r="J4723">
        <f>IF(F4723&lt;&gt;"", TEXT(F4723, "yyyy-mm"), "")</f>
        <v/>
      </c>
    </row>
    <row r="4724">
      <c r="A4724" t="inlineStr">
        <is>
          <t>RP0004723</t>
        </is>
      </c>
      <c r="B4724" t="inlineStr">
        <is>
          <t>LN200672</t>
        </is>
      </c>
      <c r="C4724" t="n">
        <v>10</v>
      </c>
      <c r="D4724" s="8" t="n">
        <v>46335</v>
      </c>
      <c r="E4724" s="9" t="n">
        <v>15935.11</v>
      </c>
      <c r="F4724" s="8" t="n"/>
      <c r="G4724" s="9" t="n">
        <v>0</v>
      </c>
      <c r="H4724" t="inlineStr">
        <is>
          <t>NOT_DUE</t>
        </is>
      </c>
      <c r="I4724">
        <f>IF(H4724="UNPAID", AsOfDate-D4724, 0)</f>
        <v/>
      </c>
      <c r="J4724">
        <f>IF(F4724&lt;&gt;"", TEXT(F4724, "yyyy-mm"), "")</f>
        <v/>
      </c>
    </row>
    <row r="4725">
      <c r="A4725" t="inlineStr">
        <is>
          <t>RP0004724</t>
        </is>
      </c>
      <c r="B4725" t="inlineStr">
        <is>
          <t>LN200672</t>
        </is>
      </c>
      <c r="C4725" t="n">
        <v>11</v>
      </c>
      <c r="D4725" s="8" t="n">
        <v>46365</v>
      </c>
      <c r="E4725" s="9" t="n">
        <v>15935.11</v>
      </c>
      <c r="F4725" s="8" t="n"/>
      <c r="G4725" s="9" t="n">
        <v>0</v>
      </c>
      <c r="H4725" t="inlineStr">
        <is>
          <t>NOT_DUE</t>
        </is>
      </c>
      <c r="I4725">
        <f>IF(H4725="UNPAID", AsOfDate-D4725, 0)</f>
        <v/>
      </c>
      <c r="J4725">
        <f>IF(F4725&lt;&gt;"", TEXT(F4725, "yyyy-mm"), "")</f>
        <v/>
      </c>
    </row>
    <row r="4726">
      <c r="A4726" t="inlineStr">
        <is>
          <t>RP0004725</t>
        </is>
      </c>
      <c r="B4726" t="inlineStr">
        <is>
          <t>LN200672</t>
        </is>
      </c>
      <c r="C4726" t="n">
        <v>12</v>
      </c>
      <c r="D4726" s="8" t="n">
        <v>46396</v>
      </c>
      <c r="E4726" s="9" t="n">
        <v>15935.11</v>
      </c>
      <c r="F4726" s="8" t="n"/>
      <c r="G4726" s="9" t="n">
        <v>0</v>
      </c>
      <c r="H4726" t="inlineStr">
        <is>
          <t>NOT_DUE</t>
        </is>
      </c>
      <c r="I4726">
        <f>IF(H4726="UNPAID", AsOfDate-D4726, 0)</f>
        <v/>
      </c>
      <c r="J4726">
        <f>IF(F4726&lt;&gt;"", TEXT(F4726, "yyyy-mm"), "")</f>
        <v/>
      </c>
    </row>
    <row r="4727">
      <c r="A4727" t="inlineStr">
        <is>
          <t>RP0004726</t>
        </is>
      </c>
      <c r="B4727" t="inlineStr">
        <is>
          <t>LN200672</t>
        </is>
      </c>
      <c r="C4727" t="n">
        <v>13</v>
      </c>
      <c r="D4727" s="8" t="n">
        <v>46427</v>
      </c>
      <c r="E4727" s="9" t="n">
        <v>15935.11</v>
      </c>
      <c r="F4727" s="8" t="n"/>
      <c r="G4727" s="9" t="n">
        <v>0</v>
      </c>
      <c r="H4727" t="inlineStr">
        <is>
          <t>NOT_DUE</t>
        </is>
      </c>
      <c r="I4727">
        <f>IF(H4727="UNPAID", AsOfDate-D4727, 0)</f>
        <v/>
      </c>
      <c r="J4727">
        <f>IF(F4727&lt;&gt;"", TEXT(F4727, "yyyy-mm"), "")</f>
        <v/>
      </c>
    </row>
    <row r="4728">
      <c r="A4728" t="inlineStr">
        <is>
          <t>RP0004727</t>
        </is>
      </c>
      <c r="B4728" t="inlineStr">
        <is>
          <t>LN200672</t>
        </is>
      </c>
      <c r="C4728" t="n">
        <v>14</v>
      </c>
      <c r="D4728" s="8" t="n">
        <v>46455</v>
      </c>
      <c r="E4728" s="9" t="n">
        <v>15935.11</v>
      </c>
      <c r="F4728" s="8" t="n"/>
      <c r="G4728" s="9" t="n">
        <v>0</v>
      </c>
      <c r="H4728" t="inlineStr">
        <is>
          <t>NOT_DUE</t>
        </is>
      </c>
      <c r="I4728">
        <f>IF(H4728="UNPAID", AsOfDate-D4728, 0)</f>
        <v/>
      </c>
      <c r="J4728">
        <f>IF(F4728&lt;&gt;"", TEXT(F4728, "yyyy-mm"), "")</f>
        <v/>
      </c>
    </row>
    <row r="4729">
      <c r="A4729" t="inlineStr">
        <is>
          <t>RP0004728</t>
        </is>
      </c>
      <c r="B4729" t="inlineStr">
        <is>
          <t>LN200672</t>
        </is>
      </c>
      <c r="C4729" t="n">
        <v>15</v>
      </c>
      <c r="D4729" s="8" t="n">
        <v>46486</v>
      </c>
      <c r="E4729" s="9" t="n">
        <v>15935.11</v>
      </c>
      <c r="F4729" s="8" t="n"/>
      <c r="G4729" s="9" t="n">
        <v>0</v>
      </c>
      <c r="H4729" t="inlineStr">
        <is>
          <t>NOT_DUE</t>
        </is>
      </c>
      <c r="I4729">
        <f>IF(H4729="UNPAID", AsOfDate-D4729, 0)</f>
        <v/>
      </c>
      <c r="J4729">
        <f>IF(F4729&lt;&gt;"", TEXT(F4729, "yyyy-mm"), "")</f>
        <v/>
      </c>
    </row>
    <row r="4730">
      <c r="A4730" t="inlineStr">
        <is>
          <t>RP0004729</t>
        </is>
      </c>
      <c r="B4730" t="inlineStr">
        <is>
          <t>LN200672</t>
        </is>
      </c>
      <c r="C4730" t="n">
        <v>16</v>
      </c>
      <c r="D4730" s="8" t="n">
        <v>46516</v>
      </c>
      <c r="E4730" s="9" t="n">
        <v>15935.11</v>
      </c>
      <c r="F4730" s="8" t="n"/>
      <c r="G4730" s="9" t="n">
        <v>0</v>
      </c>
      <c r="H4730" t="inlineStr">
        <is>
          <t>NOT_DUE</t>
        </is>
      </c>
      <c r="I4730">
        <f>IF(H4730="UNPAID", AsOfDate-D4730, 0)</f>
        <v/>
      </c>
      <c r="J4730">
        <f>IF(F4730&lt;&gt;"", TEXT(F4730, "yyyy-mm"), "")</f>
        <v/>
      </c>
    </row>
    <row r="4731">
      <c r="A4731" t="inlineStr">
        <is>
          <t>RP0004730</t>
        </is>
      </c>
      <c r="B4731" t="inlineStr">
        <is>
          <t>LN200672</t>
        </is>
      </c>
      <c r="C4731" t="n">
        <v>17</v>
      </c>
      <c r="D4731" s="8" t="n">
        <v>46547</v>
      </c>
      <c r="E4731" s="9" t="n">
        <v>15935.11</v>
      </c>
      <c r="F4731" s="8" t="n"/>
      <c r="G4731" s="9" t="n">
        <v>0</v>
      </c>
      <c r="H4731" t="inlineStr">
        <is>
          <t>NOT_DUE</t>
        </is>
      </c>
      <c r="I4731">
        <f>IF(H4731="UNPAID", AsOfDate-D4731, 0)</f>
        <v/>
      </c>
      <c r="J4731">
        <f>IF(F4731&lt;&gt;"", TEXT(F4731, "yyyy-mm"), "")</f>
        <v/>
      </c>
    </row>
    <row r="4732">
      <c r="A4732" t="inlineStr">
        <is>
          <t>RP0004731</t>
        </is>
      </c>
      <c r="B4732" t="inlineStr">
        <is>
          <t>LN200672</t>
        </is>
      </c>
      <c r="C4732" t="n">
        <v>18</v>
      </c>
      <c r="D4732" s="8" t="n">
        <v>46577</v>
      </c>
      <c r="E4732" s="9" t="n">
        <v>15935.11</v>
      </c>
      <c r="F4732" s="8" t="n"/>
      <c r="G4732" s="9" t="n">
        <v>0</v>
      </c>
      <c r="H4732" t="inlineStr">
        <is>
          <t>NOT_DUE</t>
        </is>
      </c>
      <c r="I4732">
        <f>IF(H4732="UNPAID", AsOfDate-D4732, 0)</f>
        <v/>
      </c>
      <c r="J4732">
        <f>IF(F4732&lt;&gt;"", TEXT(F4732, "yyyy-mm"), "")</f>
        <v/>
      </c>
    </row>
    <row r="4733">
      <c r="A4733" t="inlineStr">
        <is>
          <t>RP0004732</t>
        </is>
      </c>
      <c r="B4733" t="inlineStr">
        <is>
          <t>LN200673</t>
        </is>
      </c>
      <c r="C4733" t="n">
        <v>1</v>
      </c>
      <c r="D4733" s="8" t="n">
        <v>45921</v>
      </c>
      <c r="E4733" s="9" t="n">
        <v>21638</v>
      </c>
      <c r="F4733" s="8" t="n">
        <v>45923</v>
      </c>
      <c r="G4733" s="9" t="n">
        <v>21638</v>
      </c>
      <c r="H4733" t="inlineStr">
        <is>
          <t>PAID_ON_TIME</t>
        </is>
      </c>
      <c r="I4733">
        <f>IF(H4733="UNPAID", AsOfDate-D4733, 0)</f>
        <v/>
      </c>
      <c r="J4733">
        <f>IF(F4733&lt;&gt;"", TEXT(F4733, "yyyy-mm"), "")</f>
        <v/>
      </c>
    </row>
    <row r="4734">
      <c r="A4734" t="inlineStr">
        <is>
          <t>RP0004733</t>
        </is>
      </c>
      <c r="B4734" t="inlineStr">
        <is>
          <t>LN200673</t>
        </is>
      </c>
      <c r="C4734" t="n">
        <v>2</v>
      </c>
      <c r="D4734" s="8" t="n">
        <v>45951</v>
      </c>
      <c r="E4734" s="9" t="n">
        <v>21638</v>
      </c>
      <c r="F4734" s="8" t="n">
        <v>45954</v>
      </c>
      <c r="G4734" s="9" t="n">
        <v>21638</v>
      </c>
      <c r="H4734" t="inlineStr">
        <is>
          <t>PAID_ON_TIME</t>
        </is>
      </c>
      <c r="I4734">
        <f>IF(H4734="UNPAID", AsOfDate-D4734, 0)</f>
        <v/>
      </c>
      <c r="J4734">
        <f>IF(F4734&lt;&gt;"", TEXT(F4734, "yyyy-mm"), "")</f>
        <v/>
      </c>
    </row>
    <row r="4735">
      <c r="A4735" t="inlineStr">
        <is>
          <t>RP0004734</t>
        </is>
      </c>
      <c r="B4735" t="inlineStr">
        <is>
          <t>LN200673</t>
        </is>
      </c>
      <c r="C4735" t="n">
        <v>3</v>
      </c>
      <c r="D4735" s="8" t="n">
        <v>45982</v>
      </c>
      <c r="E4735" s="9" t="n">
        <v>21638</v>
      </c>
      <c r="F4735" s="8" t="n">
        <v>45986</v>
      </c>
      <c r="G4735" s="9" t="n">
        <v>21638</v>
      </c>
      <c r="H4735" t="inlineStr">
        <is>
          <t>PAID_ON_TIME</t>
        </is>
      </c>
      <c r="I4735">
        <f>IF(H4735="UNPAID", AsOfDate-D4735, 0)</f>
        <v/>
      </c>
      <c r="J4735">
        <f>IF(F4735&lt;&gt;"", TEXT(F4735, "yyyy-mm"), "")</f>
        <v/>
      </c>
    </row>
    <row r="4736">
      <c r="A4736" t="inlineStr">
        <is>
          <t>RP0004735</t>
        </is>
      </c>
      <c r="B4736" t="inlineStr">
        <is>
          <t>LN200674</t>
        </is>
      </c>
      <c r="C4736" t="n">
        <v>1</v>
      </c>
      <c r="D4736" s="8" t="n">
        <v>45805</v>
      </c>
      <c r="E4736" s="9" t="n">
        <v>54205</v>
      </c>
      <c r="F4736" s="8" t="n">
        <v>45803</v>
      </c>
      <c r="G4736" s="9" t="n">
        <v>54205</v>
      </c>
      <c r="H4736" t="inlineStr">
        <is>
          <t>PAID_ON_TIME</t>
        </is>
      </c>
      <c r="I4736">
        <f>IF(H4736="UNPAID", AsOfDate-D4736, 0)</f>
        <v/>
      </c>
      <c r="J4736">
        <f>IF(F4736&lt;&gt;"", TEXT(F4736, "yyyy-mm"), "")</f>
        <v/>
      </c>
    </row>
    <row r="4737">
      <c r="A4737" t="inlineStr">
        <is>
          <t>RP0004736</t>
        </is>
      </c>
      <c r="B4737" t="inlineStr">
        <is>
          <t>LN200674</t>
        </is>
      </c>
      <c r="C4737" t="n">
        <v>2</v>
      </c>
      <c r="D4737" s="8" t="n">
        <v>45836</v>
      </c>
      <c r="E4737" s="9" t="n">
        <v>54205</v>
      </c>
      <c r="F4737" s="8" t="n">
        <v>45835</v>
      </c>
      <c r="G4737" s="9" t="n">
        <v>54205</v>
      </c>
      <c r="H4737" t="inlineStr">
        <is>
          <t>PAID_ON_TIME</t>
        </is>
      </c>
      <c r="I4737">
        <f>IF(H4737="UNPAID", AsOfDate-D4737, 0)</f>
        <v/>
      </c>
      <c r="J4737">
        <f>IF(F4737&lt;&gt;"", TEXT(F4737, "yyyy-mm"), "")</f>
        <v/>
      </c>
    </row>
    <row r="4738">
      <c r="A4738" t="inlineStr">
        <is>
          <t>RP0004737</t>
        </is>
      </c>
      <c r="B4738" t="inlineStr">
        <is>
          <t>LN200674</t>
        </is>
      </c>
      <c r="C4738" t="n">
        <v>3</v>
      </c>
      <c r="D4738" s="8" t="n">
        <v>45866</v>
      </c>
      <c r="E4738" s="9" t="n">
        <v>54205</v>
      </c>
      <c r="F4738" s="8" t="n">
        <v>45864</v>
      </c>
      <c r="G4738" s="9" t="n">
        <v>54205</v>
      </c>
      <c r="H4738" t="inlineStr">
        <is>
          <t>PAID_ON_TIME</t>
        </is>
      </c>
      <c r="I4738">
        <f>IF(H4738="UNPAID", AsOfDate-D4738, 0)</f>
        <v/>
      </c>
      <c r="J4738">
        <f>IF(F4738&lt;&gt;"", TEXT(F4738, "yyyy-mm"), "")</f>
        <v/>
      </c>
    </row>
    <row r="4739">
      <c r="A4739" t="inlineStr">
        <is>
          <t>RP0004738</t>
        </is>
      </c>
      <c r="B4739" t="inlineStr">
        <is>
          <t>LN200674</t>
        </is>
      </c>
      <c r="C4739" t="n">
        <v>4</v>
      </c>
      <c r="D4739" s="8" t="n">
        <v>45897</v>
      </c>
      <c r="E4739" s="9" t="n">
        <v>54205</v>
      </c>
      <c r="F4739" s="8" t="n">
        <v>45900</v>
      </c>
      <c r="G4739" s="9" t="n">
        <v>54205</v>
      </c>
      <c r="H4739" t="inlineStr">
        <is>
          <t>PAID_ON_TIME</t>
        </is>
      </c>
      <c r="I4739">
        <f>IF(H4739="UNPAID", AsOfDate-D4739, 0)</f>
        <v/>
      </c>
      <c r="J4739">
        <f>IF(F4739&lt;&gt;"", TEXT(F4739, "yyyy-mm"), "")</f>
        <v/>
      </c>
    </row>
    <row r="4740">
      <c r="A4740" t="inlineStr">
        <is>
          <t>RP0004739</t>
        </is>
      </c>
      <c r="B4740" t="inlineStr">
        <is>
          <t>LN200674</t>
        </is>
      </c>
      <c r="C4740" t="n">
        <v>5</v>
      </c>
      <c r="D4740" s="8" t="n">
        <v>45928</v>
      </c>
      <c r="E4740" s="9" t="n">
        <v>54205</v>
      </c>
      <c r="F4740" s="8" t="n">
        <v>45932</v>
      </c>
      <c r="G4740" s="9" t="n">
        <v>54205</v>
      </c>
      <c r="H4740" t="inlineStr">
        <is>
          <t>PAID_ON_TIME</t>
        </is>
      </c>
      <c r="I4740">
        <f>IF(H4740="UNPAID", AsOfDate-D4740, 0)</f>
        <v/>
      </c>
      <c r="J4740">
        <f>IF(F4740&lt;&gt;"", TEXT(F4740, "yyyy-mm"), "")</f>
        <v/>
      </c>
    </row>
    <row r="4741">
      <c r="A4741" t="inlineStr">
        <is>
          <t>RP0004740</t>
        </is>
      </c>
      <c r="B4741" t="inlineStr">
        <is>
          <t>LN200674</t>
        </is>
      </c>
      <c r="C4741" t="n">
        <v>6</v>
      </c>
      <c r="D4741" s="8" t="n">
        <v>45958</v>
      </c>
      <c r="E4741" s="9" t="n">
        <v>54205</v>
      </c>
      <c r="F4741" s="8" t="n">
        <v>45956</v>
      </c>
      <c r="G4741" s="9" t="n">
        <v>54205</v>
      </c>
      <c r="H4741" t="inlineStr">
        <is>
          <t>PAID_ON_TIME</t>
        </is>
      </c>
      <c r="I4741">
        <f>IF(H4741="UNPAID", AsOfDate-D4741, 0)</f>
        <v/>
      </c>
      <c r="J4741">
        <f>IF(F4741&lt;&gt;"", TEXT(F4741, "yyyy-mm"), "")</f>
        <v/>
      </c>
    </row>
    <row r="4742">
      <c r="A4742" t="inlineStr">
        <is>
          <t>RP0004741</t>
        </is>
      </c>
      <c r="B4742" t="inlineStr">
        <is>
          <t>LN200675</t>
        </is>
      </c>
      <c r="C4742" t="n">
        <v>1</v>
      </c>
      <c r="D4742" s="8" t="n">
        <v>46192</v>
      </c>
      <c r="E4742" s="9" t="n">
        <v>24330.17</v>
      </c>
      <c r="F4742" s="8" t="n">
        <v>46195</v>
      </c>
      <c r="G4742" s="9" t="n">
        <v>24330.17</v>
      </c>
      <c r="H4742" t="inlineStr">
        <is>
          <t>PAID_ON_TIME</t>
        </is>
      </c>
      <c r="I4742">
        <f>IF(H4742="UNPAID", AsOfDate-D4742, 0)</f>
        <v/>
      </c>
      <c r="J4742">
        <f>IF(F4742&lt;&gt;"", TEXT(F4742, "yyyy-mm"), "")</f>
        <v/>
      </c>
    </row>
    <row r="4743">
      <c r="A4743" t="inlineStr">
        <is>
          <t>RP0004742</t>
        </is>
      </c>
      <c r="B4743" t="inlineStr">
        <is>
          <t>LN200675</t>
        </is>
      </c>
      <c r="C4743" t="n">
        <v>2</v>
      </c>
      <c r="D4743" s="8" t="n">
        <v>46222</v>
      </c>
      <c r="E4743" s="9" t="n">
        <v>24330.17</v>
      </c>
      <c r="F4743" s="8" t="n">
        <v>46226</v>
      </c>
      <c r="G4743" s="9" t="n">
        <v>24330.17</v>
      </c>
      <c r="H4743" t="inlineStr">
        <is>
          <t>PAID_ON_TIME</t>
        </is>
      </c>
      <c r="I4743">
        <f>IF(H4743="UNPAID", AsOfDate-D4743, 0)</f>
        <v/>
      </c>
      <c r="J4743">
        <f>IF(F4743&lt;&gt;"", TEXT(F4743, "yyyy-mm"), "")</f>
        <v/>
      </c>
    </row>
    <row r="4744">
      <c r="A4744" t="inlineStr">
        <is>
          <t>RP0004743</t>
        </is>
      </c>
      <c r="B4744" t="inlineStr">
        <is>
          <t>LN200675</t>
        </is>
      </c>
      <c r="C4744" t="n">
        <v>3</v>
      </c>
      <c r="D4744" s="8" t="n">
        <v>46253</v>
      </c>
      <c r="E4744" s="9" t="n">
        <v>24330.17</v>
      </c>
      <c r="F4744" s="8" t="n">
        <v>46256</v>
      </c>
      <c r="G4744" s="9" t="n">
        <v>24330.17</v>
      </c>
      <c r="H4744" t="inlineStr">
        <is>
          <t>PAID_ON_TIME</t>
        </is>
      </c>
      <c r="I4744">
        <f>IF(H4744="UNPAID", AsOfDate-D4744, 0)</f>
        <v/>
      </c>
      <c r="J4744">
        <f>IF(F4744&lt;&gt;"", TEXT(F4744, "yyyy-mm"), "")</f>
        <v/>
      </c>
    </row>
    <row r="4745">
      <c r="A4745" t="inlineStr">
        <is>
          <t>RP0004744</t>
        </is>
      </c>
      <c r="B4745" t="inlineStr">
        <is>
          <t>LN200675</t>
        </is>
      </c>
      <c r="C4745" t="n">
        <v>4</v>
      </c>
      <c r="D4745" s="8" t="n">
        <v>46284</v>
      </c>
      <c r="E4745" s="9" t="n">
        <v>24330.17</v>
      </c>
      <c r="F4745" s="8" t="n"/>
      <c r="G4745" s="9" t="n">
        <v>0</v>
      </c>
      <c r="H4745" t="inlineStr">
        <is>
          <t>NOT_DUE</t>
        </is>
      </c>
      <c r="I4745">
        <f>IF(H4745="UNPAID", AsOfDate-D4745, 0)</f>
        <v/>
      </c>
      <c r="J4745">
        <f>IF(F4745&lt;&gt;"", TEXT(F4745, "yyyy-mm"), "")</f>
        <v/>
      </c>
    </row>
    <row r="4746">
      <c r="A4746" t="inlineStr">
        <is>
          <t>RP0004745</t>
        </is>
      </c>
      <c r="B4746" t="inlineStr">
        <is>
          <t>LN200675</t>
        </is>
      </c>
      <c r="C4746" t="n">
        <v>5</v>
      </c>
      <c r="D4746" s="8" t="n">
        <v>46314</v>
      </c>
      <c r="E4746" s="9" t="n">
        <v>24330.17</v>
      </c>
      <c r="F4746" s="8" t="n"/>
      <c r="G4746" s="9" t="n">
        <v>0</v>
      </c>
      <c r="H4746" t="inlineStr">
        <is>
          <t>NOT_DUE</t>
        </is>
      </c>
      <c r="I4746">
        <f>IF(H4746="UNPAID", AsOfDate-D4746, 0)</f>
        <v/>
      </c>
      <c r="J4746">
        <f>IF(F4746&lt;&gt;"", TEXT(F4746, "yyyy-mm"), "")</f>
        <v/>
      </c>
    </row>
    <row r="4747">
      <c r="A4747" t="inlineStr">
        <is>
          <t>RP0004746</t>
        </is>
      </c>
      <c r="B4747" t="inlineStr">
        <is>
          <t>LN200675</t>
        </is>
      </c>
      <c r="C4747" t="n">
        <v>6</v>
      </c>
      <c r="D4747" s="8" t="n">
        <v>46345</v>
      </c>
      <c r="E4747" s="9" t="n">
        <v>24330.17</v>
      </c>
      <c r="F4747" s="8" t="n"/>
      <c r="G4747" s="9" t="n">
        <v>0</v>
      </c>
      <c r="H4747" t="inlineStr">
        <is>
          <t>NOT_DUE</t>
        </is>
      </c>
      <c r="I4747">
        <f>IF(H4747="UNPAID", AsOfDate-D4747, 0)</f>
        <v/>
      </c>
      <c r="J4747">
        <f>IF(F4747&lt;&gt;"", TEXT(F4747, "yyyy-mm"), "")</f>
        <v/>
      </c>
    </row>
    <row r="4748">
      <c r="A4748" t="inlineStr">
        <is>
          <t>RP0004747</t>
        </is>
      </c>
      <c r="B4748" t="inlineStr">
        <is>
          <t>LN200675</t>
        </is>
      </c>
      <c r="C4748" t="n">
        <v>7</v>
      </c>
      <c r="D4748" s="8" t="n">
        <v>46375</v>
      </c>
      <c r="E4748" s="9" t="n">
        <v>24330.17</v>
      </c>
      <c r="F4748" s="8" t="n"/>
      <c r="G4748" s="9" t="n">
        <v>0</v>
      </c>
      <c r="H4748" t="inlineStr">
        <is>
          <t>NOT_DUE</t>
        </is>
      </c>
      <c r="I4748">
        <f>IF(H4748="UNPAID", AsOfDate-D4748, 0)</f>
        <v/>
      </c>
      <c r="J4748">
        <f>IF(F4748&lt;&gt;"", TEXT(F4748, "yyyy-mm"), "")</f>
        <v/>
      </c>
    </row>
    <row r="4749">
      <c r="A4749" t="inlineStr">
        <is>
          <t>RP0004748</t>
        </is>
      </c>
      <c r="B4749" t="inlineStr">
        <is>
          <t>LN200675</t>
        </is>
      </c>
      <c r="C4749" t="n">
        <v>8</v>
      </c>
      <c r="D4749" s="8" t="n">
        <v>46406</v>
      </c>
      <c r="E4749" s="9" t="n">
        <v>24330.17</v>
      </c>
      <c r="F4749" s="8" t="n"/>
      <c r="G4749" s="9" t="n">
        <v>0</v>
      </c>
      <c r="H4749" t="inlineStr">
        <is>
          <t>NOT_DUE</t>
        </is>
      </c>
      <c r="I4749">
        <f>IF(H4749="UNPAID", AsOfDate-D4749, 0)</f>
        <v/>
      </c>
      <c r="J4749">
        <f>IF(F4749&lt;&gt;"", TEXT(F4749, "yyyy-mm"), "")</f>
        <v/>
      </c>
    </row>
    <row r="4750">
      <c r="A4750" t="inlineStr">
        <is>
          <t>RP0004749</t>
        </is>
      </c>
      <c r="B4750" t="inlineStr">
        <is>
          <t>LN200675</t>
        </is>
      </c>
      <c r="C4750" t="n">
        <v>9</v>
      </c>
      <c r="D4750" s="8" t="n">
        <v>46437</v>
      </c>
      <c r="E4750" s="9" t="n">
        <v>24330.17</v>
      </c>
      <c r="F4750" s="8" t="n"/>
      <c r="G4750" s="9" t="n">
        <v>0</v>
      </c>
      <c r="H4750" t="inlineStr">
        <is>
          <t>NOT_DUE</t>
        </is>
      </c>
      <c r="I4750">
        <f>IF(H4750="UNPAID", AsOfDate-D4750, 0)</f>
        <v/>
      </c>
      <c r="J4750">
        <f>IF(F4750&lt;&gt;"", TEXT(F4750, "yyyy-mm"), "")</f>
        <v/>
      </c>
    </row>
    <row r="4751">
      <c r="A4751" t="inlineStr">
        <is>
          <t>RP0004750</t>
        </is>
      </c>
      <c r="B4751" t="inlineStr">
        <is>
          <t>LN200675</t>
        </is>
      </c>
      <c r="C4751" t="n">
        <v>10</v>
      </c>
      <c r="D4751" s="8" t="n">
        <v>46465</v>
      </c>
      <c r="E4751" s="9" t="n">
        <v>24330.17</v>
      </c>
      <c r="F4751" s="8" t="n"/>
      <c r="G4751" s="9" t="n">
        <v>0</v>
      </c>
      <c r="H4751" t="inlineStr">
        <is>
          <t>NOT_DUE</t>
        </is>
      </c>
      <c r="I4751">
        <f>IF(H4751="UNPAID", AsOfDate-D4751, 0)</f>
        <v/>
      </c>
      <c r="J4751">
        <f>IF(F4751&lt;&gt;"", TEXT(F4751, "yyyy-mm"), "")</f>
        <v/>
      </c>
    </row>
    <row r="4752">
      <c r="A4752" t="inlineStr">
        <is>
          <t>RP0004751</t>
        </is>
      </c>
      <c r="B4752" t="inlineStr">
        <is>
          <t>LN200675</t>
        </is>
      </c>
      <c r="C4752" t="n">
        <v>11</v>
      </c>
      <c r="D4752" s="8" t="n">
        <v>46496</v>
      </c>
      <c r="E4752" s="9" t="n">
        <v>24330.17</v>
      </c>
      <c r="F4752" s="8" t="n"/>
      <c r="G4752" s="9" t="n">
        <v>0</v>
      </c>
      <c r="H4752" t="inlineStr">
        <is>
          <t>NOT_DUE</t>
        </is>
      </c>
      <c r="I4752">
        <f>IF(H4752="UNPAID", AsOfDate-D4752, 0)</f>
        <v/>
      </c>
      <c r="J4752">
        <f>IF(F4752&lt;&gt;"", TEXT(F4752, "yyyy-mm"), "")</f>
        <v/>
      </c>
    </row>
    <row r="4753">
      <c r="A4753" t="inlineStr">
        <is>
          <t>RP0004752</t>
        </is>
      </c>
      <c r="B4753" t="inlineStr">
        <is>
          <t>LN200675</t>
        </is>
      </c>
      <c r="C4753" t="n">
        <v>12</v>
      </c>
      <c r="D4753" s="8" t="n">
        <v>46526</v>
      </c>
      <c r="E4753" s="9" t="n">
        <v>24330.17</v>
      </c>
      <c r="F4753" s="8" t="n"/>
      <c r="G4753" s="9" t="n">
        <v>0</v>
      </c>
      <c r="H4753" t="inlineStr">
        <is>
          <t>NOT_DUE</t>
        </is>
      </c>
      <c r="I4753">
        <f>IF(H4753="UNPAID", AsOfDate-D4753, 0)</f>
        <v/>
      </c>
      <c r="J4753">
        <f>IF(F4753&lt;&gt;"", TEXT(F4753, "yyyy-mm"), "")</f>
        <v/>
      </c>
    </row>
    <row r="4754">
      <c r="A4754" t="inlineStr">
        <is>
          <t>RP0004753</t>
        </is>
      </c>
      <c r="B4754" t="inlineStr">
        <is>
          <t>LN200676</t>
        </is>
      </c>
      <c r="C4754" t="n">
        <v>1</v>
      </c>
      <c r="D4754" s="8" t="n">
        <v>46007</v>
      </c>
      <c r="E4754" s="9" t="n">
        <v>61014.44</v>
      </c>
      <c r="F4754" s="8" t="n">
        <v>46005</v>
      </c>
      <c r="G4754" s="9" t="n">
        <v>61014.44</v>
      </c>
      <c r="H4754" t="inlineStr">
        <is>
          <t>PAID_ON_TIME</t>
        </is>
      </c>
      <c r="I4754">
        <f>IF(H4754="UNPAID", AsOfDate-D4754, 0)</f>
        <v/>
      </c>
      <c r="J4754">
        <f>IF(F4754&lt;&gt;"", TEXT(F4754, "yyyy-mm"), "")</f>
        <v/>
      </c>
    </row>
    <row r="4755">
      <c r="A4755" t="inlineStr">
        <is>
          <t>RP0004754</t>
        </is>
      </c>
      <c r="B4755" t="inlineStr">
        <is>
          <t>LN200676</t>
        </is>
      </c>
      <c r="C4755" t="n">
        <v>2</v>
      </c>
      <c r="D4755" s="8" t="n">
        <v>46038</v>
      </c>
      <c r="E4755" s="9" t="n">
        <v>61014.44</v>
      </c>
      <c r="F4755" s="8" t="n">
        <v>46041</v>
      </c>
      <c r="G4755" s="9" t="n">
        <v>61014.44</v>
      </c>
      <c r="H4755" t="inlineStr">
        <is>
          <t>PAID_ON_TIME</t>
        </is>
      </c>
      <c r="I4755">
        <f>IF(H4755="UNPAID", AsOfDate-D4755, 0)</f>
        <v/>
      </c>
      <c r="J4755">
        <f>IF(F4755&lt;&gt;"", TEXT(F4755, "yyyy-mm"), "")</f>
        <v/>
      </c>
    </row>
    <row r="4756">
      <c r="A4756" t="inlineStr">
        <is>
          <t>RP0004755</t>
        </is>
      </c>
      <c r="B4756" t="inlineStr">
        <is>
          <t>LN200676</t>
        </is>
      </c>
      <c r="C4756" t="n">
        <v>3</v>
      </c>
      <c r="D4756" s="8" t="n">
        <v>46069</v>
      </c>
      <c r="E4756" s="9" t="n">
        <v>61014.44</v>
      </c>
      <c r="F4756" s="8" t="n">
        <v>46068</v>
      </c>
      <c r="G4756" s="9" t="n">
        <v>61014.44</v>
      </c>
      <c r="H4756" t="inlineStr">
        <is>
          <t>PAID_ON_TIME</t>
        </is>
      </c>
      <c r="I4756">
        <f>IF(H4756="UNPAID", AsOfDate-D4756, 0)</f>
        <v/>
      </c>
      <c r="J4756">
        <f>IF(F4756&lt;&gt;"", TEXT(F4756, "yyyy-mm"), "")</f>
        <v/>
      </c>
    </row>
    <row r="4757">
      <c r="A4757" t="inlineStr">
        <is>
          <t>RP0004756</t>
        </is>
      </c>
      <c r="B4757" t="inlineStr">
        <is>
          <t>LN200676</t>
        </is>
      </c>
      <c r="C4757" t="n">
        <v>4</v>
      </c>
      <c r="D4757" s="8" t="n">
        <v>46097</v>
      </c>
      <c r="E4757" s="9" t="n">
        <v>61014.44</v>
      </c>
      <c r="F4757" s="8" t="n">
        <v>46097</v>
      </c>
      <c r="G4757" s="9" t="n">
        <v>61014.44</v>
      </c>
      <c r="H4757" t="inlineStr">
        <is>
          <t>PAID_ON_TIME</t>
        </is>
      </c>
      <c r="I4757">
        <f>IF(H4757="UNPAID", AsOfDate-D4757, 0)</f>
        <v/>
      </c>
      <c r="J4757">
        <f>IF(F4757&lt;&gt;"", TEXT(F4757, "yyyy-mm"), "")</f>
        <v/>
      </c>
    </row>
    <row r="4758">
      <c r="A4758" t="inlineStr">
        <is>
          <t>RP0004757</t>
        </is>
      </c>
      <c r="B4758" t="inlineStr">
        <is>
          <t>LN200676</t>
        </is>
      </c>
      <c r="C4758" t="n">
        <v>5</v>
      </c>
      <c r="D4758" s="8" t="n">
        <v>46128</v>
      </c>
      <c r="E4758" s="9" t="n">
        <v>61014.44</v>
      </c>
      <c r="F4758" s="8" t="n">
        <v>46127</v>
      </c>
      <c r="G4758" s="9" t="n">
        <v>61014.44</v>
      </c>
      <c r="H4758" t="inlineStr">
        <is>
          <t>PAID_ON_TIME</t>
        </is>
      </c>
      <c r="I4758">
        <f>IF(H4758="UNPAID", AsOfDate-D4758, 0)</f>
        <v/>
      </c>
      <c r="J4758">
        <f>IF(F4758&lt;&gt;"", TEXT(F4758, "yyyy-mm"), "")</f>
        <v/>
      </c>
    </row>
    <row r="4759">
      <c r="A4759" t="inlineStr">
        <is>
          <t>RP0004758</t>
        </is>
      </c>
      <c r="B4759" t="inlineStr">
        <is>
          <t>LN200676</t>
        </is>
      </c>
      <c r="C4759" t="n">
        <v>6</v>
      </c>
      <c r="D4759" s="8" t="n">
        <v>46158</v>
      </c>
      <c r="E4759" s="9" t="n">
        <v>61014.44</v>
      </c>
      <c r="F4759" s="8" t="n">
        <v>46159</v>
      </c>
      <c r="G4759" s="9" t="n">
        <v>61014.44</v>
      </c>
      <c r="H4759" t="inlineStr">
        <is>
          <t>PAID_ON_TIME</t>
        </is>
      </c>
      <c r="I4759">
        <f>IF(H4759="UNPAID", AsOfDate-D4759, 0)</f>
        <v/>
      </c>
      <c r="J4759">
        <f>IF(F4759&lt;&gt;"", TEXT(F4759, "yyyy-mm"), "")</f>
        <v/>
      </c>
    </row>
    <row r="4760">
      <c r="A4760" t="inlineStr">
        <is>
          <t>RP0004759</t>
        </is>
      </c>
      <c r="B4760" t="inlineStr">
        <is>
          <t>LN200676</t>
        </is>
      </c>
      <c r="C4760" t="n">
        <v>7</v>
      </c>
      <c r="D4760" s="8" t="n">
        <v>46189</v>
      </c>
      <c r="E4760" s="9" t="n">
        <v>61014.44</v>
      </c>
      <c r="F4760" s="8" t="n">
        <v>46187</v>
      </c>
      <c r="G4760" s="9" t="n">
        <v>61014.44</v>
      </c>
      <c r="H4760" t="inlineStr">
        <is>
          <t>PAID_ON_TIME</t>
        </is>
      </c>
      <c r="I4760">
        <f>IF(H4760="UNPAID", AsOfDate-D4760, 0)</f>
        <v/>
      </c>
      <c r="J4760">
        <f>IF(F4760&lt;&gt;"", TEXT(F4760, "yyyy-mm"), "")</f>
        <v/>
      </c>
    </row>
    <row r="4761">
      <c r="A4761" t="inlineStr">
        <is>
          <t>RP0004760</t>
        </is>
      </c>
      <c r="B4761" t="inlineStr">
        <is>
          <t>LN200676</t>
        </is>
      </c>
      <c r="C4761" t="n">
        <v>8</v>
      </c>
      <c r="D4761" s="8" t="n">
        <v>46219</v>
      </c>
      <c r="E4761" s="9" t="n">
        <v>61014.44</v>
      </c>
      <c r="F4761" s="8" t="n">
        <v>46217</v>
      </c>
      <c r="G4761" s="9" t="n">
        <v>61014.44</v>
      </c>
      <c r="H4761" t="inlineStr">
        <is>
          <t>PAID_ON_TIME</t>
        </is>
      </c>
      <c r="I4761">
        <f>IF(H4761="UNPAID", AsOfDate-D4761, 0)</f>
        <v/>
      </c>
      <c r="J4761">
        <f>IF(F4761&lt;&gt;"", TEXT(F4761, "yyyy-mm"), "")</f>
        <v/>
      </c>
    </row>
    <row r="4762">
      <c r="A4762" t="inlineStr">
        <is>
          <t>RP0004761</t>
        </is>
      </c>
      <c r="B4762" t="inlineStr">
        <is>
          <t>LN200676</t>
        </is>
      </c>
      <c r="C4762" t="n">
        <v>9</v>
      </c>
      <c r="D4762" s="8" t="n">
        <v>46250</v>
      </c>
      <c r="E4762" s="9" t="n">
        <v>61014.44</v>
      </c>
      <c r="F4762" s="8" t="n">
        <v>46253</v>
      </c>
      <c r="G4762" s="9" t="n">
        <v>61014.44</v>
      </c>
      <c r="H4762" t="inlineStr">
        <is>
          <t>PAID_ON_TIME</t>
        </is>
      </c>
      <c r="I4762">
        <f>IF(H4762="UNPAID", AsOfDate-D4762, 0)</f>
        <v/>
      </c>
      <c r="J4762">
        <f>IF(F4762&lt;&gt;"", TEXT(F4762, "yyyy-mm"), "")</f>
        <v/>
      </c>
    </row>
    <row r="4763">
      <c r="A4763" t="inlineStr">
        <is>
          <t>RP0004762</t>
        </is>
      </c>
      <c r="B4763" t="inlineStr">
        <is>
          <t>LN200676</t>
        </is>
      </c>
      <c r="C4763" t="n">
        <v>10</v>
      </c>
      <c r="D4763" s="8" t="n">
        <v>46281</v>
      </c>
      <c r="E4763" s="9" t="n">
        <v>61014.44</v>
      </c>
      <c r="F4763" s="8" t="n"/>
      <c r="G4763" s="9" t="n">
        <v>0</v>
      </c>
      <c r="H4763" t="inlineStr">
        <is>
          <t>NOT_DUE</t>
        </is>
      </c>
      <c r="I4763">
        <f>IF(H4763="UNPAID", AsOfDate-D4763, 0)</f>
        <v/>
      </c>
      <c r="J4763">
        <f>IF(F4763&lt;&gt;"", TEXT(F4763, "yyyy-mm"), "")</f>
        <v/>
      </c>
    </row>
    <row r="4764">
      <c r="A4764" t="inlineStr">
        <is>
          <t>RP0004763</t>
        </is>
      </c>
      <c r="B4764" t="inlineStr">
        <is>
          <t>LN200676</t>
        </is>
      </c>
      <c r="C4764" t="n">
        <v>11</v>
      </c>
      <c r="D4764" s="8" t="n">
        <v>46311</v>
      </c>
      <c r="E4764" s="9" t="n">
        <v>61014.44</v>
      </c>
      <c r="F4764" s="8" t="n"/>
      <c r="G4764" s="9" t="n">
        <v>0</v>
      </c>
      <c r="H4764" t="inlineStr">
        <is>
          <t>NOT_DUE</t>
        </is>
      </c>
      <c r="I4764">
        <f>IF(H4764="UNPAID", AsOfDate-D4764, 0)</f>
        <v/>
      </c>
      <c r="J4764">
        <f>IF(F4764&lt;&gt;"", TEXT(F4764, "yyyy-mm"), "")</f>
        <v/>
      </c>
    </row>
    <row r="4765">
      <c r="A4765" t="inlineStr">
        <is>
          <t>RP0004764</t>
        </is>
      </c>
      <c r="B4765" t="inlineStr">
        <is>
          <t>LN200676</t>
        </is>
      </c>
      <c r="C4765" t="n">
        <v>12</v>
      </c>
      <c r="D4765" s="8" t="n">
        <v>46342</v>
      </c>
      <c r="E4765" s="9" t="n">
        <v>61014.44</v>
      </c>
      <c r="F4765" s="8" t="n"/>
      <c r="G4765" s="9" t="n">
        <v>0</v>
      </c>
      <c r="H4765" t="inlineStr">
        <is>
          <t>NOT_DUE</t>
        </is>
      </c>
      <c r="I4765">
        <f>IF(H4765="UNPAID", AsOfDate-D4765, 0)</f>
        <v/>
      </c>
      <c r="J4765">
        <f>IF(F4765&lt;&gt;"", TEXT(F4765, "yyyy-mm"), "")</f>
        <v/>
      </c>
    </row>
    <row r="4766">
      <c r="A4766" t="inlineStr">
        <is>
          <t>RP0004765</t>
        </is>
      </c>
      <c r="B4766" t="inlineStr">
        <is>
          <t>LN200676</t>
        </is>
      </c>
      <c r="C4766" t="n">
        <v>13</v>
      </c>
      <c r="D4766" s="8" t="n">
        <v>46372</v>
      </c>
      <c r="E4766" s="9" t="n">
        <v>61014.44</v>
      </c>
      <c r="F4766" s="8" t="n"/>
      <c r="G4766" s="9" t="n">
        <v>0</v>
      </c>
      <c r="H4766" t="inlineStr">
        <is>
          <t>NOT_DUE</t>
        </is>
      </c>
      <c r="I4766">
        <f>IF(H4766="UNPAID", AsOfDate-D4766, 0)</f>
        <v/>
      </c>
      <c r="J4766">
        <f>IF(F4766&lt;&gt;"", TEXT(F4766, "yyyy-mm"), "")</f>
        <v/>
      </c>
    </row>
    <row r="4767">
      <c r="A4767" t="inlineStr">
        <is>
          <t>RP0004766</t>
        </is>
      </c>
      <c r="B4767" t="inlineStr">
        <is>
          <t>LN200676</t>
        </is>
      </c>
      <c r="C4767" t="n">
        <v>14</v>
      </c>
      <c r="D4767" s="8" t="n">
        <v>46403</v>
      </c>
      <c r="E4767" s="9" t="n">
        <v>61014.44</v>
      </c>
      <c r="F4767" s="8" t="n"/>
      <c r="G4767" s="9" t="n">
        <v>0</v>
      </c>
      <c r="H4767" t="inlineStr">
        <is>
          <t>NOT_DUE</t>
        </is>
      </c>
      <c r="I4767">
        <f>IF(H4767="UNPAID", AsOfDate-D4767, 0)</f>
        <v/>
      </c>
      <c r="J4767">
        <f>IF(F4767&lt;&gt;"", TEXT(F4767, "yyyy-mm"), "")</f>
        <v/>
      </c>
    </row>
    <row r="4768">
      <c r="A4768" t="inlineStr">
        <is>
          <t>RP0004767</t>
        </is>
      </c>
      <c r="B4768" t="inlineStr">
        <is>
          <t>LN200676</t>
        </is>
      </c>
      <c r="C4768" t="n">
        <v>15</v>
      </c>
      <c r="D4768" s="8" t="n">
        <v>46434</v>
      </c>
      <c r="E4768" s="9" t="n">
        <v>61014.44</v>
      </c>
      <c r="F4768" s="8" t="n"/>
      <c r="G4768" s="9" t="n">
        <v>0</v>
      </c>
      <c r="H4768" t="inlineStr">
        <is>
          <t>NOT_DUE</t>
        </is>
      </c>
      <c r="I4768">
        <f>IF(H4768="UNPAID", AsOfDate-D4768, 0)</f>
        <v/>
      </c>
      <c r="J4768">
        <f>IF(F4768&lt;&gt;"", TEXT(F4768, "yyyy-mm"), "")</f>
        <v/>
      </c>
    </row>
    <row r="4769">
      <c r="A4769" t="inlineStr">
        <is>
          <t>RP0004768</t>
        </is>
      </c>
      <c r="B4769" t="inlineStr">
        <is>
          <t>LN200676</t>
        </is>
      </c>
      <c r="C4769" t="n">
        <v>16</v>
      </c>
      <c r="D4769" s="8" t="n">
        <v>46462</v>
      </c>
      <c r="E4769" s="9" t="n">
        <v>61014.44</v>
      </c>
      <c r="F4769" s="8" t="n"/>
      <c r="G4769" s="9" t="n">
        <v>0</v>
      </c>
      <c r="H4769" t="inlineStr">
        <is>
          <t>NOT_DUE</t>
        </is>
      </c>
      <c r="I4769">
        <f>IF(H4769="UNPAID", AsOfDate-D4769, 0)</f>
        <v/>
      </c>
      <c r="J4769">
        <f>IF(F4769&lt;&gt;"", TEXT(F4769, "yyyy-mm"), "")</f>
        <v/>
      </c>
    </row>
    <row r="4770">
      <c r="A4770" t="inlineStr">
        <is>
          <t>RP0004769</t>
        </is>
      </c>
      <c r="B4770" t="inlineStr">
        <is>
          <t>LN200676</t>
        </is>
      </c>
      <c r="C4770" t="n">
        <v>17</v>
      </c>
      <c r="D4770" s="8" t="n">
        <v>46493</v>
      </c>
      <c r="E4770" s="9" t="n">
        <v>61014.44</v>
      </c>
      <c r="F4770" s="8" t="n"/>
      <c r="G4770" s="9" t="n">
        <v>0</v>
      </c>
      <c r="H4770" t="inlineStr">
        <is>
          <t>NOT_DUE</t>
        </is>
      </c>
      <c r="I4770">
        <f>IF(H4770="UNPAID", AsOfDate-D4770, 0)</f>
        <v/>
      </c>
      <c r="J4770">
        <f>IF(F4770&lt;&gt;"", TEXT(F4770, "yyyy-mm"), "")</f>
        <v/>
      </c>
    </row>
    <row r="4771">
      <c r="A4771" t="inlineStr">
        <is>
          <t>RP0004770</t>
        </is>
      </c>
      <c r="B4771" t="inlineStr">
        <is>
          <t>LN200676</t>
        </is>
      </c>
      <c r="C4771" t="n">
        <v>18</v>
      </c>
      <c r="D4771" s="8" t="n">
        <v>46523</v>
      </c>
      <c r="E4771" s="9" t="n">
        <v>61014.44</v>
      </c>
      <c r="F4771" s="8" t="n"/>
      <c r="G4771" s="9" t="n">
        <v>0</v>
      </c>
      <c r="H4771" t="inlineStr">
        <is>
          <t>NOT_DUE</t>
        </is>
      </c>
      <c r="I4771">
        <f>IF(H4771="UNPAID", AsOfDate-D4771, 0)</f>
        <v/>
      </c>
      <c r="J4771">
        <f>IF(F4771&lt;&gt;"", TEXT(F4771, "yyyy-mm"), "")</f>
        <v/>
      </c>
    </row>
    <row r="4772">
      <c r="A4772" t="inlineStr">
        <is>
          <t>RP0004771</t>
        </is>
      </c>
      <c r="B4772" t="inlineStr">
        <is>
          <t>LN200677</t>
        </is>
      </c>
      <c r="C4772" t="n">
        <v>1</v>
      </c>
      <c r="D4772" s="8" t="n">
        <v>45772</v>
      </c>
      <c r="E4772" s="9" t="n">
        <v>8466</v>
      </c>
      <c r="F4772" s="8" t="n">
        <v>45773</v>
      </c>
      <c r="G4772" s="9" t="n">
        <v>8466</v>
      </c>
      <c r="H4772" t="inlineStr">
        <is>
          <t>PAID_ON_TIME</t>
        </is>
      </c>
      <c r="I4772">
        <f>IF(H4772="UNPAID", AsOfDate-D4772, 0)</f>
        <v/>
      </c>
      <c r="J4772">
        <f>IF(F4772&lt;&gt;"", TEXT(F4772, "yyyy-mm"), "")</f>
        <v/>
      </c>
    </row>
    <row r="4773">
      <c r="A4773" t="inlineStr">
        <is>
          <t>RP0004772</t>
        </is>
      </c>
      <c r="B4773" t="inlineStr">
        <is>
          <t>LN200677</t>
        </is>
      </c>
      <c r="C4773" t="n">
        <v>2</v>
      </c>
      <c r="D4773" s="8" t="n">
        <v>45802</v>
      </c>
      <c r="E4773" s="9" t="n">
        <v>8466</v>
      </c>
      <c r="F4773" s="8" t="n">
        <v>45800</v>
      </c>
      <c r="G4773" s="9" t="n">
        <v>8466</v>
      </c>
      <c r="H4773" t="inlineStr">
        <is>
          <t>PAID_ON_TIME</t>
        </is>
      </c>
      <c r="I4773">
        <f>IF(H4773="UNPAID", AsOfDate-D4773, 0)</f>
        <v/>
      </c>
      <c r="J4773">
        <f>IF(F4773&lt;&gt;"", TEXT(F4773, "yyyy-mm"), "")</f>
        <v/>
      </c>
    </row>
    <row r="4774">
      <c r="A4774" t="inlineStr">
        <is>
          <t>RP0004773</t>
        </is>
      </c>
      <c r="B4774" t="inlineStr">
        <is>
          <t>LN200677</t>
        </is>
      </c>
      <c r="C4774" t="n">
        <v>3</v>
      </c>
      <c r="D4774" s="8" t="n">
        <v>45833</v>
      </c>
      <c r="E4774" s="9" t="n">
        <v>8466</v>
      </c>
      <c r="F4774" s="8" t="n">
        <v>45837</v>
      </c>
      <c r="G4774" s="9" t="n">
        <v>8466</v>
      </c>
      <c r="H4774" t="inlineStr">
        <is>
          <t>PAID_ON_TIME</t>
        </is>
      </c>
      <c r="I4774">
        <f>IF(H4774="UNPAID", AsOfDate-D4774, 0)</f>
        <v/>
      </c>
      <c r="J4774">
        <f>IF(F4774&lt;&gt;"", TEXT(F4774, "yyyy-mm"), "")</f>
        <v/>
      </c>
    </row>
    <row r="4775">
      <c r="A4775" t="inlineStr">
        <is>
          <t>RP0004774</t>
        </is>
      </c>
      <c r="B4775" t="inlineStr">
        <is>
          <t>LN200678</t>
        </is>
      </c>
      <c r="C4775" t="n">
        <v>1</v>
      </c>
      <c r="D4775" s="8" t="n">
        <v>45956</v>
      </c>
      <c r="E4775" s="9" t="n">
        <v>12768.08</v>
      </c>
      <c r="F4775" s="8" t="n">
        <v>45958</v>
      </c>
      <c r="G4775" s="9" t="n">
        <v>12768.08</v>
      </c>
      <c r="H4775" t="inlineStr">
        <is>
          <t>PAID_ON_TIME</t>
        </is>
      </c>
      <c r="I4775">
        <f>IF(H4775="UNPAID", AsOfDate-D4775, 0)</f>
        <v/>
      </c>
      <c r="J4775">
        <f>IF(F4775&lt;&gt;"", TEXT(F4775, "yyyy-mm"), "")</f>
        <v/>
      </c>
    </row>
    <row r="4776">
      <c r="A4776" t="inlineStr">
        <is>
          <t>RP0004775</t>
        </is>
      </c>
      <c r="B4776" t="inlineStr">
        <is>
          <t>LN200678</t>
        </is>
      </c>
      <c r="C4776" t="n">
        <v>2</v>
      </c>
      <c r="D4776" s="8" t="n">
        <v>45987</v>
      </c>
      <c r="E4776" s="9" t="n">
        <v>12768.08</v>
      </c>
      <c r="F4776" s="8" t="n">
        <v>45989</v>
      </c>
      <c r="G4776" s="9" t="n">
        <v>12768.08</v>
      </c>
      <c r="H4776" t="inlineStr">
        <is>
          <t>PAID_ON_TIME</t>
        </is>
      </c>
      <c r="I4776">
        <f>IF(H4776="UNPAID", AsOfDate-D4776, 0)</f>
        <v/>
      </c>
      <c r="J4776">
        <f>IF(F4776&lt;&gt;"", TEXT(F4776, "yyyy-mm"), "")</f>
        <v/>
      </c>
    </row>
    <row r="4777">
      <c r="A4777" t="inlineStr">
        <is>
          <t>RP0004776</t>
        </is>
      </c>
      <c r="B4777" t="inlineStr">
        <is>
          <t>LN200678</t>
        </is>
      </c>
      <c r="C4777" t="n">
        <v>3</v>
      </c>
      <c r="D4777" s="8" t="n">
        <v>46017</v>
      </c>
      <c r="E4777" s="9" t="n">
        <v>12768.08</v>
      </c>
      <c r="F4777" s="8" t="n">
        <v>46020</v>
      </c>
      <c r="G4777" s="9" t="n">
        <v>12768.08</v>
      </c>
      <c r="H4777" t="inlineStr">
        <is>
          <t>PAID_ON_TIME</t>
        </is>
      </c>
      <c r="I4777">
        <f>IF(H4777="UNPAID", AsOfDate-D4777, 0)</f>
        <v/>
      </c>
      <c r="J4777">
        <f>IF(F4777&lt;&gt;"", TEXT(F4777, "yyyy-mm"), "")</f>
        <v/>
      </c>
    </row>
    <row r="4778">
      <c r="A4778" t="inlineStr">
        <is>
          <t>RP0004777</t>
        </is>
      </c>
      <c r="B4778" t="inlineStr">
        <is>
          <t>LN200679</t>
        </is>
      </c>
      <c r="C4778" t="n">
        <v>1</v>
      </c>
      <c r="D4778" s="8" t="n">
        <v>46262</v>
      </c>
      <c r="E4778" s="9" t="n">
        <v>14486.5</v>
      </c>
      <c r="F4778" s="8" t="n">
        <v>46266</v>
      </c>
      <c r="G4778" s="9" t="n">
        <v>14486.5</v>
      </c>
      <c r="H4778" t="inlineStr">
        <is>
          <t>PAID_ON_TIME</t>
        </is>
      </c>
      <c r="I4778">
        <f>IF(H4778="UNPAID", AsOfDate-D4778, 0)</f>
        <v/>
      </c>
      <c r="J4778">
        <f>IF(F4778&lt;&gt;"", TEXT(F4778, "yyyy-mm"), "")</f>
        <v/>
      </c>
    </row>
    <row r="4779">
      <c r="A4779" t="inlineStr">
        <is>
          <t>RP0004778</t>
        </is>
      </c>
      <c r="B4779" t="inlineStr">
        <is>
          <t>LN200679</t>
        </is>
      </c>
      <c r="C4779" t="n">
        <v>2</v>
      </c>
      <c r="D4779" s="8" t="n">
        <v>46293</v>
      </c>
      <c r="E4779" s="9" t="n">
        <v>14486.5</v>
      </c>
      <c r="F4779" s="8" t="n"/>
      <c r="G4779" s="9" t="n">
        <v>0</v>
      </c>
      <c r="H4779" t="inlineStr">
        <is>
          <t>NOT_DUE</t>
        </is>
      </c>
      <c r="I4779">
        <f>IF(H4779="UNPAID", AsOfDate-D4779, 0)</f>
        <v/>
      </c>
      <c r="J4779">
        <f>IF(F4779&lt;&gt;"", TEXT(F4779, "yyyy-mm"), "")</f>
        <v/>
      </c>
    </row>
    <row r="4780">
      <c r="A4780" t="inlineStr">
        <is>
          <t>RP0004779</t>
        </is>
      </c>
      <c r="B4780" t="inlineStr">
        <is>
          <t>LN200679</t>
        </is>
      </c>
      <c r="C4780" t="n">
        <v>3</v>
      </c>
      <c r="D4780" s="8" t="n">
        <v>46323</v>
      </c>
      <c r="E4780" s="9" t="n">
        <v>14486.5</v>
      </c>
      <c r="F4780" s="8" t="n"/>
      <c r="G4780" s="9" t="n">
        <v>0</v>
      </c>
      <c r="H4780" t="inlineStr">
        <is>
          <t>NOT_DUE</t>
        </is>
      </c>
      <c r="I4780">
        <f>IF(H4780="UNPAID", AsOfDate-D4780, 0)</f>
        <v/>
      </c>
      <c r="J4780">
        <f>IF(F4780&lt;&gt;"", TEXT(F4780, "yyyy-mm"), "")</f>
        <v/>
      </c>
    </row>
    <row r="4781">
      <c r="A4781" t="inlineStr">
        <is>
          <t>RP0004780</t>
        </is>
      </c>
      <c r="B4781" t="inlineStr">
        <is>
          <t>LN200680</t>
        </is>
      </c>
      <c r="C4781" t="n">
        <v>1</v>
      </c>
      <c r="D4781" s="8" t="n">
        <v>46252</v>
      </c>
      <c r="E4781" s="9" t="n">
        <v>5366.67</v>
      </c>
      <c r="F4781" s="8" t="n"/>
      <c r="G4781" s="9" t="n">
        <v>0</v>
      </c>
      <c r="H4781" t="inlineStr">
        <is>
          <t>UNPAID</t>
        </is>
      </c>
      <c r="I4781">
        <f>IF(H4781="UNPAID", AsOfDate-D4781, 0)</f>
        <v/>
      </c>
      <c r="J4781">
        <f>IF(F4781&lt;&gt;"", TEXT(F4781, "yyyy-mm"), "")</f>
        <v/>
      </c>
    </row>
    <row r="4782">
      <c r="A4782" t="inlineStr">
        <is>
          <t>RP0004781</t>
        </is>
      </c>
      <c r="B4782" t="inlineStr">
        <is>
          <t>LN200680</t>
        </is>
      </c>
      <c r="C4782" t="n">
        <v>2</v>
      </c>
      <c r="D4782" s="8" t="n">
        <v>46283</v>
      </c>
      <c r="E4782" s="9" t="n">
        <v>5366.67</v>
      </c>
      <c r="F4782" s="8" t="n"/>
      <c r="G4782" s="9" t="n">
        <v>0</v>
      </c>
      <c r="H4782" t="inlineStr">
        <is>
          <t>NOT_DUE</t>
        </is>
      </c>
      <c r="I4782">
        <f>IF(H4782="UNPAID", AsOfDate-D4782, 0)</f>
        <v/>
      </c>
      <c r="J4782">
        <f>IF(F4782&lt;&gt;"", TEXT(F4782, "yyyy-mm"), "")</f>
        <v/>
      </c>
    </row>
    <row r="4783">
      <c r="A4783" t="inlineStr">
        <is>
          <t>RP0004782</t>
        </is>
      </c>
      <c r="B4783" t="inlineStr">
        <is>
          <t>LN200680</t>
        </is>
      </c>
      <c r="C4783" t="n">
        <v>3</v>
      </c>
      <c r="D4783" s="8" t="n">
        <v>46313</v>
      </c>
      <c r="E4783" s="9" t="n">
        <v>5366.67</v>
      </c>
      <c r="F4783" s="8" t="n"/>
      <c r="G4783" s="9" t="n">
        <v>0</v>
      </c>
      <c r="H4783" t="inlineStr">
        <is>
          <t>NOT_DUE</t>
        </is>
      </c>
      <c r="I4783">
        <f>IF(H4783="UNPAID", AsOfDate-D4783, 0)</f>
        <v/>
      </c>
      <c r="J4783">
        <f>IF(F4783&lt;&gt;"", TEXT(F4783, "yyyy-mm"), "")</f>
        <v/>
      </c>
    </row>
    <row r="4784">
      <c r="A4784" t="inlineStr">
        <is>
          <t>RP0004783</t>
        </is>
      </c>
      <c r="B4784" t="inlineStr">
        <is>
          <t>LN200680</t>
        </is>
      </c>
      <c r="C4784" t="n">
        <v>4</v>
      </c>
      <c r="D4784" s="8" t="n">
        <v>46344</v>
      </c>
      <c r="E4784" s="9" t="n">
        <v>5366.67</v>
      </c>
      <c r="F4784" s="8" t="n"/>
      <c r="G4784" s="9" t="n">
        <v>0</v>
      </c>
      <c r="H4784" t="inlineStr">
        <is>
          <t>NOT_DUE</t>
        </is>
      </c>
      <c r="I4784">
        <f>IF(H4784="UNPAID", AsOfDate-D4784, 0)</f>
        <v/>
      </c>
      <c r="J4784">
        <f>IF(F4784&lt;&gt;"", TEXT(F4784, "yyyy-mm"), "")</f>
        <v/>
      </c>
    </row>
    <row r="4785">
      <c r="A4785" t="inlineStr">
        <is>
          <t>RP0004784</t>
        </is>
      </c>
      <c r="B4785" t="inlineStr">
        <is>
          <t>LN200680</t>
        </is>
      </c>
      <c r="C4785" t="n">
        <v>5</v>
      </c>
      <c r="D4785" s="8" t="n">
        <v>46374</v>
      </c>
      <c r="E4785" s="9" t="n">
        <v>5366.67</v>
      </c>
      <c r="F4785" s="8" t="n"/>
      <c r="G4785" s="9" t="n">
        <v>0</v>
      </c>
      <c r="H4785" t="inlineStr">
        <is>
          <t>NOT_DUE</t>
        </is>
      </c>
      <c r="I4785">
        <f>IF(H4785="UNPAID", AsOfDate-D4785, 0)</f>
        <v/>
      </c>
      <c r="J4785">
        <f>IF(F4785&lt;&gt;"", TEXT(F4785, "yyyy-mm"), "")</f>
        <v/>
      </c>
    </row>
    <row r="4786">
      <c r="A4786" t="inlineStr">
        <is>
          <t>RP0004785</t>
        </is>
      </c>
      <c r="B4786" t="inlineStr">
        <is>
          <t>LN200680</t>
        </is>
      </c>
      <c r="C4786" t="n">
        <v>6</v>
      </c>
      <c r="D4786" s="8" t="n">
        <v>46405</v>
      </c>
      <c r="E4786" s="9" t="n">
        <v>5366.67</v>
      </c>
      <c r="F4786" s="8" t="n"/>
      <c r="G4786" s="9" t="n">
        <v>0</v>
      </c>
      <c r="H4786" t="inlineStr">
        <is>
          <t>NOT_DUE</t>
        </is>
      </c>
      <c r="I4786">
        <f>IF(H4786="UNPAID", AsOfDate-D4786, 0)</f>
        <v/>
      </c>
      <c r="J4786">
        <f>IF(F4786&lt;&gt;"", TEXT(F4786, "yyyy-mm"), "")</f>
        <v/>
      </c>
    </row>
    <row r="4787">
      <c r="A4787" t="inlineStr">
        <is>
          <t>RP0004786</t>
        </is>
      </c>
      <c r="B4787" t="inlineStr">
        <is>
          <t>LN200680</t>
        </is>
      </c>
      <c r="C4787" t="n">
        <v>7</v>
      </c>
      <c r="D4787" s="8" t="n">
        <v>46436</v>
      </c>
      <c r="E4787" s="9" t="n">
        <v>5366.67</v>
      </c>
      <c r="F4787" s="8" t="n"/>
      <c r="G4787" s="9" t="n">
        <v>0</v>
      </c>
      <c r="H4787" t="inlineStr">
        <is>
          <t>NOT_DUE</t>
        </is>
      </c>
      <c r="I4787">
        <f>IF(H4787="UNPAID", AsOfDate-D4787, 0)</f>
        <v/>
      </c>
      <c r="J4787">
        <f>IF(F4787&lt;&gt;"", TEXT(F4787, "yyyy-mm"), "")</f>
        <v/>
      </c>
    </row>
    <row r="4788">
      <c r="A4788" t="inlineStr">
        <is>
          <t>RP0004787</t>
        </is>
      </c>
      <c r="B4788" t="inlineStr">
        <is>
          <t>LN200680</t>
        </is>
      </c>
      <c r="C4788" t="n">
        <v>8</v>
      </c>
      <c r="D4788" s="8" t="n">
        <v>46464</v>
      </c>
      <c r="E4788" s="9" t="n">
        <v>5366.67</v>
      </c>
      <c r="F4788" s="8" t="n"/>
      <c r="G4788" s="9" t="n">
        <v>0</v>
      </c>
      <c r="H4788" t="inlineStr">
        <is>
          <t>NOT_DUE</t>
        </is>
      </c>
      <c r="I4788">
        <f>IF(H4788="UNPAID", AsOfDate-D4788, 0)</f>
        <v/>
      </c>
      <c r="J4788">
        <f>IF(F4788&lt;&gt;"", TEXT(F4788, "yyyy-mm"), "")</f>
        <v/>
      </c>
    </row>
    <row r="4789">
      <c r="A4789" t="inlineStr">
        <is>
          <t>RP0004788</t>
        </is>
      </c>
      <c r="B4789" t="inlineStr">
        <is>
          <t>LN200680</t>
        </is>
      </c>
      <c r="C4789" t="n">
        <v>9</v>
      </c>
      <c r="D4789" s="8" t="n">
        <v>46495</v>
      </c>
      <c r="E4789" s="9" t="n">
        <v>5366.67</v>
      </c>
      <c r="F4789" s="8" t="n"/>
      <c r="G4789" s="9" t="n">
        <v>0</v>
      </c>
      <c r="H4789" t="inlineStr">
        <is>
          <t>NOT_DUE</t>
        </is>
      </c>
      <c r="I4789">
        <f>IF(H4789="UNPAID", AsOfDate-D4789, 0)</f>
        <v/>
      </c>
      <c r="J4789">
        <f>IF(F4789&lt;&gt;"", TEXT(F4789, "yyyy-mm"), "")</f>
        <v/>
      </c>
    </row>
    <row r="4790">
      <c r="A4790" t="inlineStr">
        <is>
          <t>RP0004789</t>
        </is>
      </c>
      <c r="B4790" t="inlineStr">
        <is>
          <t>LN200681</t>
        </is>
      </c>
      <c r="C4790" t="n">
        <v>1</v>
      </c>
      <c r="D4790" s="8" t="n">
        <v>45742</v>
      </c>
      <c r="E4790" s="9" t="n">
        <v>4242.06</v>
      </c>
      <c r="F4790" s="8" t="n">
        <v>45775</v>
      </c>
      <c r="G4790" s="9" t="n">
        <v>4242.06</v>
      </c>
      <c r="H4790" t="inlineStr">
        <is>
          <t>PAID_LATE</t>
        </is>
      </c>
      <c r="I4790">
        <f>IF(H4790="UNPAID", AsOfDate-D4790, 0)</f>
        <v/>
      </c>
      <c r="J4790">
        <f>IF(F4790&lt;&gt;"", TEXT(F4790, "yyyy-mm"), "")</f>
        <v/>
      </c>
    </row>
    <row r="4791">
      <c r="A4791" t="inlineStr">
        <is>
          <t>RP0004790</t>
        </is>
      </c>
      <c r="B4791" t="inlineStr">
        <is>
          <t>LN200681</t>
        </is>
      </c>
      <c r="C4791" t="n">
        <v>2</v>
      </c>
      <c r="D4791" s="8" t="n">
        <v>45773</v>
      </c>
      <c r="E4791" s="9" t="n">
        <v>4242.06</v>
      </c>
      <c r="F4791" s="8" t="n">
        <v>45772</v>
      </c>
      <c r="G4791" s="9" t="n">
        <v>4242.06</v>
      </c>
      <c r="H4791" t="inlineStr">
        <is>
          <t>PAID_ON_TIME</t>
        </is>
      </c>
      <c r="I4791">
        <f>IF(H4791="UNPAID", AsOfDate-D4791, 0)</f>
        <v/>
      </c>
      <c r="J4791">
        <f>IF(F4791&lt;&gt;"", TEXT(F4791, "yyyy-mm"), "")</f>
        <v/>
      </c>
    </row>
    <row r="4792">
      <c r="A4792" t="inlineStr">
        <is>
          <t>RP0004791</t>
        </is>
      </c>
      <c r="B4792" t="inlineStr">
        <is>
          <t>LN200681</t>
        </is>
      </c>
      <c r="C4792" t="n">
        <v>3</v>
      </c>
      <c r="D4792" s="8" t="n">
        <v>45803</v>
      </c>
      <c r="E4792" s="9" t="n">
        <v>4242.06</v>
      </c>
      <c r="F4792" s="8" t="n">
        <v>45806</v>
      </c>
      <c r="G4792" s="9" t="n">
        <v>4242.06</v>
      </c>
      <c r="H4792" t="inlineStr">
        <is>
          <t>PAID_ON_TIME</t>
        </is>
      </c>
      <c r="I4792">
        <f>IF(H4792="UNPAID", AsOfDate-D4792, 0)</f>
        <v/>
      </c>
      <c r="J4792">
        <f>IF(F4792&lt;&gt;"", TEXT(F4792, "yyyy-mm"), "")</f>
        <v/>
      </c>
    </row>
    <row r="4793">
      <c r="A4793" t="inlineStr">
        <is>
          <t>RP0004792</t>
        </is>
      </c>
      <c r="B4793" t="inlineStr">
        <is>
          <t>LN200681</t>
        </is>
      </c>
      <c r="C4793" t="n">
        <v>4</v>
      </c>
      <c r="D4793" s="8" t="n">
        <v>45834</v>
      </c>
      <c r="E4793" s="9" t="n">
        <v>4242.06</v>
      </c>
      <c r="F4793" s="8" t="n">
        <v>45833</v>
      </c>
      <c r="G4793" s="9" t="n">
        <v>4242.06</v>
      </c>
      <c r="H4793" t="inlineStr">
        <is>
          <t>PAID_ON_TIME</t>
        </is>
      </c>
      <c r="I4793">
        <f>IF(H4793="UNPAID", AsOfDate-D4793, 0)</f>
        <v/>
      </c>
      <c r="J4793">
        <f>IF(F4793&lt;&gt;"", TEXT(F4793, "yyyy-mm"), "")</f>
        <v/>
      </c>
    </row>
    <row r="4794">
      <c r="A4794" t="inlineStr">
        <is>
          <t>RP0004793</t>
        </is>
      </c>
      <c r="B4794" t="inlineStr">
        <is>
          <t>LN200681</t>
        </is>
      </c>
      <c r="C4794" t="n">
        <v>5</v>
      </c>
      <c r="D4794" s="8" t="n">
        <v>45864</v>
      </c>
      <c r="E4794" s="9" t="n">
        <v>4242.06</v>
      </c>
      <c r="F4794" s="8" t="n">
        <v>45867</v>
      </c>
      <c r="G4794" s="9" t="n">
        <v>4242.06</v>
      </c>
      <c r="H4794" t="inlineStr">
        <is>
          <t>PAID_ON_TIME</t>
        </is>
      </c>
      <c r="I4794">
        <f>IF(H4794="UNPAID", AsOfDate-D4794, 0)</f>
        <v/>
      </c>
      <c r="J4794">
        <f>IF(F4794&lt;&gt;"", TEXT(F4794, "yyyy-mm"), "")</f>
        <v/>
      </c>
    </row>
    <row r="4795">
      <c r="A4795" t="inlineStr">
        <is>
          <t>RP0004794</t>
        </is>
      </c>
      <c r="B4795" t="inlineStr">
        <is>
          <t>LN200681</t>
        </is>
      </c>
      <c r="C4795" t="n">
        <v>6</v>
      </c>
      <c r="D4795" s="8" t="n">
        <v>45895</v>
      </c>
      <c r="E4795" s="9" t="n">
        <v>4242.06</v>
      </c>
      <c r="F4795" s="8" t="n">
        <v>45896</v>
      </c>
      <c r="G4795" s="9" t="n">
        <v>4242.06</v>
      </c>
      <c r="H4795" t="inlineStr">
        <is>
          <t>PAID_ON_TIME</t>
        </is>
      </c>
      <c r="I4795">
        <f>IF(H4795="UNPAID", AsOfDate-D4795, 0)</f>
        <v/>
      </c>
      <c r="J4795">
        <f>IF(F4795&lt;&gt;"", TEXT(F4795, "yyyy-mm"), "")</f>
        <v/>
      </c>
    </row>
    <row r="4796">
      <c r="A4796" t="inlineStr">
        <is>
          <t>RP0004795</t>
        </is>
      </c>
      <c r="B4796" t="inlineStr">
        <is>
          <t>LN200681</t>
        </is>
      </c>
      <c r="C4796" t="n">
        <v>7</v>
      </c>
      <c r="D4796" s="8" t="n">
        <v>45926</v>
      </c>
      <c r="E4796" s="9" t="n">
        <v>4242.06</v>
      </c>
      <c r="F4796" s="8" t="n">
        <v>45924</v>
      </c>
      <c r="G4796" s="9" t="n">
        <v>4242.06</v>
      </c>
      <c r="H4796" t="inlineStr">
        <is>
          <t>PAID_ON_TIME</t>
        </is>
      </c>
      <c r="I4796">
        <f>IF(H4796="UNPAID", AsOfDate-D4796, 0)</f>
        <v/>
      </c>
      <c r="J4796">
        <f>IF(F4796&lt;&gt;"", TEXT(F4796, "yyyy-mm"), "")</f>
        <v/>
      </c>
    </row>
    <row r="4797">
      <c r="A4797" t="inlineStr">
        <is>
          <t>RP0004796</t>
        </is>
      </c>
      <c r="B4797" t="inlineStr">
        <is>
          <t>LN200681</t>
        </is>
      </c>
      <c r="C4797" t="n">
        <v>8</v>
      </c>
      <c r="D4797" s="8" t="n">
        <v>45956</v>
      </c>
      <c r="E4797" s="9" t="n">
        <v>4242.06</v>
      </c>
      <c r="F4797" s="8" t="n">
        <v>45955</v>
      </c>
      <c r="G4797" s="9" t="n">
        <v>4242.06</v>
      </c>
      <c r="H4797" t="inlineStr">
        <is>
          <t>PAID_ON_TIME</t>
        </is>
      </c>
      <c r="I4797">
        <f>IF(H4797="UNPAID", AsOfDate-D4797, 0)</f>
        <v/>
      </c>
      <c r="J4797">
        <f>IF(F4797&lt;&gt;"", TEXT(F4797, "yyyy-mm"), "")</f>
        <v/>
      </c>
    </row>
    <row r="4798">
      <c r="A4798" t="inlineStr">
        <is>
          <t>RP0004797</t>
        </is>
      </c>
      <c r="B4798" t="inlineStr">
        <is>
          <t>LN200681</t>
        </is>
      </c>
      <c r="C4798" t="n">
        <v>9</v>
      </c>
      <c r="D4798" s="8" t="n">
        <v>45987</v>
      </c>
      <c r="E4798" s="9" t="n">
        <v>4242.06</v>
      </c>
      <c r="F4798" s="8" t="n">
        <v>45987</v>
      </c>
      <c r="G4798" s="9" t="n">
        <v>4242.06</v>
      </c>
      <c r="H4798" t="inlineStr">
        <is>
          <t>PAID_ON_TIME</t>
        </is>
      </c>
      <c r="I4798">
        <f>IF(H4798="UNPAID", AsOfDate-D4798, 0)</f>
        <v/>
      </c>
      <c r="J4798">
        <f>IF(F4798&lt;&gt;"", TEXT(F4798, "yyyy-mm"), "")</f>
        <v/>
      </c>
    </row>
    <row r="4799">
      <c r="A4799" t="inlineStr">
        <is>
          <t>RP0004798</t>
        </is>
      </c>
      <c r="B4799" t="inlineStr">
        <is>
          <t>LN200681</t>
        </is>
      </c>
      <c r="C4799" t="n">
        <v>10</v>
      </c>
      <c r="D4799" s="8" t="n">
        <v>46017</v>
      </c>
      <c r="E4799" s="9" t="n">
        <v>4242.06</v>
      </c>
      <c r="F4799" s="8" t="n"/>
      <c r="G4799" s="9" t="n">
        <v>0</v>
      </c>
      <c r="H4799" t="inlineStr">
        <is>
          <t>UNPAID</t>
        </is>
      </c>
      <c r="I4799">
        <f>IF(H4799="UNPAID", AsOfDate-D4799, 0)</f>
        <v/>
      </c>
      <c r="J4799">
        <f>IF(F4799&lt;&gt;"", TEXT(F4799, "yyyy-mm"), "")</f>
        <v/>
      </c>
    </row>
    <row r="4800">
      <c r="A4800" t="inlineStr">
        <is>
          <t>RP0004799</t>
        </is>
      </c>
      <c r="B4800" t="inlineStr">
        <is>
          <t>LN200681</t>
        </is>
      </c>
      <c r="C4800" t="n">
        <v>11</v>
      </c>
      <c r="D4800" s="8" t="n">
        <v>46048</v>
      </c>
      <c r="E4800" s="9" t="n">
        <v>4242.06</v>
      </c>
      <c r="F4800" s="8" t="n">
        <v>46115</v>
      </c>
      <c r="G4800" s="9" t="n">
        <v>4242.06</v>
      </c>
      <c r="H4800" t="inlineStr">
        <is>
          <t>PAID_LATE</t>
        </is>
      </c>
      <c r="I4800">
        <f>IF(H4800="UNPAID", AsOfDate-D4800, 0)</f>
        <v/>
      </c>
      <c r="J4800">
        <f>IF(F4800&lt;&gt;"", TEXT(F4800, "yyyy-mm"), "")</f>
        <v/>
      </c>
    </row>
    <row r="4801">
      <c r="A4801" t="inlineStr">
        <is>
          <t>RP0004800</t>
        </is>
      </c>
      <c r="B4801" t="inlineStr">
        <is>
          <t>LN200681</t>
        </is>
      </c>
      <c r="C4801" t="n">
        <v>12</v>
      </c>
      <c r="D4801" s="8" t="n">
        <v>46079</v>
      </c>
      <c r="E4801" s="9" t="n">
        <v>4242.06</v>
      </c>
      <c r="F4801" s="8" t="n">
        <v>46081</v>
      </c>
      <c r="G4801" s="9" t="n">
        <v>4242.06</v>
      </c>
      <c r="H4801" t="inlineStr">
        <is>
          <t>PAID_ON_TIME</t>
        </is>
      </c>
      <c r="I4801">
        <f>IF(H4801="UNPAID", AsOfDate-D4801, 0)</f>
        <v/>
      </c>
      <c r="J4801">
        <f>IF(F4801&lt;&gt;"", TEXT(F4801, "yyyy-mm"), "")</f>
        <v/>
      </c>
    </row>
    <row r="4802">
      <c r="A4802" t="inlineStr">
        <is>
          <t>RP0004801</t>
        </is>
      </c>
      <c r="B4802" t="inlineStr">
        <is>
          <t>LN200681</t>
        </is>
      </c>
      <c r="C4802" t="n">
        <v>13</v>
      </c>
      <c r="D4802" s="8" t="n">
        <v>46107</v>
      </c>
      <c r="E4802" s="9" t="n">
        <v>4242.06</v>
      </c>
      <c r="F4802" s="8" t="n">
        <v>46222</v>
      </c>
      <c r="G4802" s="9" t="n">
        <v>4242.06</v>
      </c>
      <c r="H4802" t="inlineStr">
        <is>
          <t>PAID_LATE</t>
        </is>
      </c>
      <c r="I4802">
        <f>IF(H4802="UNPAID", AsOfDate-D4802, 0)</f>
        <v/>
      </c>
      <c r="J4802">
        <f>IF(F4802&lt;&gt;"", TEXT(F4802, "yyyy-mm"), "")</f>
        <v/>
      </c>
    </row>
    <row r="4803">
      <c r="A4803" t="inlineStr">
        <is>
          <t>RP0004802</t>
        </is>
      </c>
      <c r="B4803" t="inlineStr">
        <is>
          <t>LN200681</t>
        </is>
      </c>
      <c r="C4803" t="n">
        <v>14</v>
      </c>
      <c r="D4803" s="8" t="n">
        <v>46138</v>
      </c>
      <c r="E4803" s="9" t="n">
        <v>4242.06</v>
      </c>
      <c r="F4803" s="8" t="n">
        <v>46136</v>
      </c>
      <c r="G4803" s="9" t="n">
        <v>4242.06</v>
      </c>
      <c r="H4803" t="inlineStr">
        <is>
          <t>PAID_ON_TIME</t>
        </is>
      </c>
      <c r="I4803">
        <f>IF(H4803="UNPAID", AsOfDate-D4803, 0)</f>
        <v/>
      </c>
      <c r="J4803">
        <f>IF(F4803&lt;&gt;"", TEXT(F4803, "yyyy-mm"), "")</f>
        <v/>
      </c>
    </row>
    <row r="4804">
      <c r="A4804" t="inlineStr">
        <is>
          <t>RP0004803</t>
        </is>
      </c>
      <c r="B4804" t="inlineStr">
        <is>
          <t>LN200681</t>
        </is>
      </c>
      <c r="C4804" t="n">
        <v>15</v>
      </c>
      <c r="D4804" s="8" t="n">
        <v>46168</v>
      </c>
      <c r="E4804" s="9" t="n">
        <v>4242.06</v>
      </c>
      <c r="F4804" s="8" t="n">
        <v>46172</v>
      </c>
      <c r="G4804" s="9" t="n">
        <v>4242.06</v>
      </c>
      <c r="H4804" t="inlineStr">
        <is>
          <t>PAID_ON_TIME</t>
        </is>
      </c>
      <c r="I4804">
        <f>IF(H4804="UNPAID", AsOfDate-D4804, 0)</f>
        <v/>
      </c>
      <c r="J4804">
        <f>IF(F4804&lt;&gt;"", TEXT(F4804, "yyyy-mm"), "")</f>
        <v/>
      </c>
    </row>
    <row r="4805">
      <c r="A4805" t="inlineStr">
        <is>
          <t>RP0004804</t>
        </is>
      </c>
      <c r="B4805" t="inlineStr">
        <is>
          <t>LN200681</t>
        </is>
      </c>
      <c r="C4805" t="n">
        <v>16</v>
      </c>
      <c r="D4805" s="8" t="n">
        <v>46199</v>
      </c>
      <c r="E4805" s="9" t="n">
        <v>4242.06</v>
      </c>
      <c r="F4805" s="8" t="n">
        <v>46199</v>
      </c>
      <c r="G4805" s="9" t="n">
        <v>4242.06</v>
      </c>
      <c r="H4805" t="inlineStr">
        <is>
          <t>PAID_ON_TIME</t>
        </is>
      </c>
      <c r="I4805">
        <f>IF(H4805="UNPAID", AsOfDate-D4805, 0)</f>
        <v/>
      </c>
      <c r="J4805">
        <f>IF(F4805&lt;&gt;"", TEXT(F4805, "yyyy-mm"), "")</f>
        <v/>
      </c>
    </row>
    <row r="4806">
      <c r="A4806" t="inlineStr">
        <is>
          <t>RP0004805</t>
        </is>
      </c>
      <c r="B4806" t="inlineStr">
        <is>
          <t>LN200681</t>
        </is>
      </c>
      <c r="C4806" t="n">
        <v>17</v>
      </c>
      <c r="D4806" s="8" t="n">
        <v>46229</v>
      </c>
      <c r="E4806" s="9" t="n">
        <v>4242.06</v>
      </c>
      <c r="F4806" s="8" t="n">
        <v>46231</v>
      </c>
      <c r="G4806" s="9" t="n">
        <v>4242.06</v>
      </c>
      <c r="H4806" t="inlineStr">
        <is>
          <t>PAID_ON_TIME</t>
        </is>
      </c>
      <c r="I4806">
        <f>IF(H4806="UNPAID", AsOfDate-D4806, 0)</f>
        <v/>
      </c>
      <c r="J4806">
        <f>IF(F4806&lt;&gt;"", TEXT(F4806, "yyyy-mm"), "")</f>
        <v/>
      </c>
    </row>
    <row r="4807">
      <c r="A4807" t="inlineStr">
        <is>
          <t>RP0004806</t>
        </is>
      </c>
      <c r="B4807" t="inlineStr">
        <is>
          <t>LN200681</t>
        </is>
      </c>
      <c r="C4807" t="n">
        <v>18</v>
      </c>
      <c r="D4807" s="8" t="n">
        <v>46260</v>
      </c>
      <c r="E4807" s="9" t="n">
        <v>4242.06</v>
      </c>
      <c r="F4807" s="8" t="n">
        <v>46259</v>
      </c>
      <c r="G4807" s="9" t="n">
        <v>4242.06</v>
      </c>
      <c r="H4807" t="inlineStr">
        <is>
          <t>PAID_ON_TIME</t>
        </is>
      </c>
      <c r="I4807">
        <f>IF(H4807="UNPAID", AsOfDate-D4807, 0)</f>
        <v/>
      </c>
      <c r="J4807">
        <f>IF(F4807&lt;&gt;"", TEXT(F4807, "yyyy-mm"), "")</f>
        <v/>
      </c>
    </row>
    <row r="4808">
      <c r="A4808" t="inlineStr">
        <is>
          <t>RP0004807</t>
        </is>
      </c>
      <c r="B4808" t="inlineStr">
        <is>
          <t>LN200682</t>
        </is>
      </c>
      <c r="C4808" t="n">
        <v>1</v>
      </c>
      <c r="D4808" s="8" t="n">
        <v>45874</v>
      </c>
      <c r="E4808" s="9" t="n">
        <v>4018.06</v>
      </c>
      <c r="F4808" s="8" t="n">
        <v>45871</v>
      </c>
      <c r="G4808" s="9" t="n">
        <v>4018.06</v>
      </c>
      <c r="H4808" t="inlineStr">
        <is>
          <t>PAID_ON_TIME</t>
        </is>
      </c>
      <c r="I4808">
        <f>IF(H4808="UNPAID", AsOfDate-D4808, 0)</f>
        <v/>
      </c>
      <c r="J4808">
        <f>IF(F4808&lt;&gt;"", TEXT(F4808, "yyyy-mm"), "")</f>
        <v/>
      </c>
    </row>
    <row r="4809">
      <c r="A4809" t="inlineStr">
        <is>
          <t>RP0004808</t>
        </is>
      </c>
      <c r="B4809" t="inlineStr">
        <is>
          <t>LN200682</t>
        </is>
      </c>
      <c r="C4809" t="n">
        <v>2</v>
      </c>
      <c r="D4809" s="8" t="n">
        <v>45905</v>
      </c>
      <c r="E4809" s="9" t="n">
        <v>4018.06</v>
      </c>
      <c r="F4809" s="8" t="n">
        <v>45909</v>
      </c>
      <c r="G4809" s="9" t="n">
        <v>4018.06</v>
      </c>
      <c r="H4809" t="inlineStr">
        <is>
          <t>PAID_ON_TIME</t>
        </is>
      </c>
      <c r="I4809">
        <f>IF(H4809="UNPAID", AsOfDate-D4809, 0)</f>
        <v/>
      </c>
      <c r="J4809">
        <f>IF(F4809&lt;&gt;"", TEXT(F4809, "yyyy-mm"), "")</f>
        <v/>
      </c>
    </row>
    <row r="4810">
      <c r="A4810" t="inlineStr">
        <is>
          <t>RP0004809</t>
        </is>
      </c>
      <c r="B4810" t="inlineStr">
        <is>
          <t>LN200682</t>
        </is>
      </c>
      <c r="C4810" t="n">
        <v>3</v>
      </c>
      <c r="D4810" s="8" t="n">
        <v>45935</v>
      </c>
      <c r="E4810" s="9" t="n">
        <v>4018.06</v>
      </c>
      <c r="F4810" s="8" t="n">
        <v>45938</v>
      </c>
      <c r="G4810" s="9" t="n">
        <v>4018.06</v>
      </c>
      <c r="H4810" t="inlineStr">
        <is>
          <t>PAID_ON_TIME</t>
        </is>
      </c>
      <c r="I4810">
        <f>IF(H4810="UNPAID", AsOfDate-D4810, 0)</f>
        <v/>
      </c>
      <c r="J4810">
        <f>IF(F4810&lt;&gt;"", TEXT(F4810, "yyyy-mm"), "")</f>
        <v/>
      </c>
    </row>
    <row r="4811">
      <c r="A4811" t="inlineStr">
        <is>
          <t>RP0004810</t>
        </is>
      </c>
      <c r="B4811" t="inlineStr">
        <is>
          <t>LN200682</t>
        </is>
      </c>
      <c r="C4811" t="n">
        <v>4</v>
      </c>
      <c r="D4811" s="8" t="n">
        <v>45966</v>
      </c>
      <c r="E4811" s="9" t="n">
        <v>4018.06</v>
      </c>
      <c r="F4811" s="8" t="n">
        <v>45970</v>
      </c>
      <c r="G4811" s="9" t="n">
        <v>4018.06</v>
      </c>
      <c r="H4811" t="inlineStr">
        <is>
          <t>PAID_ON_TIME</t>
        </is>
      </c>
      <c r="I4811">
        <f>IF(H4811="UNPAID", AsOfDate-D4811, 0)</f>
        <v/>
      </c>
      <c r="J4811">
        <f>IF(F4811&lt;&gt;"", TEXT(F4811, "yyyy-mm"), "")</f>
        <v/>
      </c>
    </row>
    <row r="4812">
      <c r="A4812" t="inlineStr">
        <is>
          <t>RP0004811</t>
        </is>
      </c>
      <c r="B4812" t="inlineStr">
        <is>
          <t>LN200682</t>
        </is>
      </c>
      <c r="C4812" t="n">
        <v>5</v>
      </c>
      <c r="D4812" s="8" t="n">
        <v>45996</v>
      </c>
      <c r="E4812" s="9" t="n">
        <v>4018.06</v>
      </c>
      <c r="F4812" s="8" t="n">
        <v>46082</v>
      </c>
      <c r="G4812" s="9" t="n">
        <v>4018.06</v>
      </c>
      <c r="H4812" t="inlineStr">
        <is>
          <t>PAID_LATE</t>
        </is>
      </c>
      <c r="I4812">
        <f>IF(H4812="UNPAID", AsOfDate-D4812, 0)</f>
        <v/>
      </c>
      <c r="J4812">
        <f>IF(F4812&lt;&gt;"", TEXT(F4812, "yyyy-mm"), "")</f>
        <v/>
      </c>
    </row>
    <row r="4813">
      <c r="A4813" t="inlineStr">
        <is>
          <t>RP0004812</t>
        </is>
      </c>
      <c r="B4813" t="inlineStr">
        <is>
          <t>LN200682</t>
        </is>
      </c>
      <c r="C4813" t="n">
        <v>6</v>
      </c>
      <c r="D4813" s="8" t="n">
        <v>46027</v>
      </c>
      <c r="E4813" s="9" t="n">
        <v>4018.06</v>
      </c>
      <c r="F4813" s="8" t="n"/>
      <c r="G4813" s="9" t="n">
        <v>0</v>
      </c>
      <c r="H4813" t="inlineStr">
        <is>
          <t>UNPAID</t>
        </is>
      </c>
      <c r="I4813">
        <f>IF(H4813="UNPAID", AsOfDate-D4813, 0)</f>
        <v/>
      </c>
      <c r="J4813">
        <f>IF(F4813&lt;&gt;"", TEXT(F4813, "yyyy-mm"), "")</f>
        <v/>
      </c>
    </row>
    <row r="4814">
      <c r="A4814" t="inlineStr">
        <is>
          <t>RP0004813</t>
        </is>
      </c>
      <c r="B4814" t="inlineStr">
        <is>
          <t>LN200682</t>
        </is>
      </c>
      <c r="C4814" t="n">
        <v>7</v>
      </c>
      <c r="D4814" s="8" t="n">
        <v>46058</v>
      </c>
      <c r="E4814" s="9" t="n">
        <v>4018.06</v>
      </c>
      <c r="F4814" s="8" t="n">
        <v>46062</v>
      </c>
      <c r="G4814" s="9" t="n">
        <v>4018.06</v>
      </c>
      <c r="H4814" t="inlineStr">
        <is>
          <t>PAID_ON_TIME</t>
        </is>
      </c>
      <c r="I4814">
        <f>IF(H4814="UNPAID", AsOfDate-D4814, 0)</f>
        <v/>
      </c>
      <c r="J4814">
        <f>IF(F4814&lt;&gt;"", TEXT(F4814, "yyyy-mm"), "")</f>
        <v/>
      </c>
    </row>
    <row r="4815">
      <c r="A4815" t="inlineStr">
        <is>
          <t>RP0004814</t>
        </is>
      </c>
      <c r="B4815" t="inlineStr">
        <is>
          <t>LN200682</t>
        </is>
      </c>
      <c r="C4815" t="n">
        <v>8</v>
      </c>
      <c r="D4815" s="8" t="n">
        <v>46086</v>
      </c>
      <c r="E4815" s="9" t="n">
        <v>4018.06</v>
      </c>
      <c r="F4815" s="8" t="n">
        <v>46086</v>
      </c>
      <c r="G4815" s="9" t="n">
        <v>4018.06</v>
      </c>
      <c r="H4815" t="inlineStr">
        <is>
          <t>PAID_ON_TIME</t>
        </is>
      </c>
      <c r="I4815">
        <f>IF(H4815="UNPAID", AsOfDate-D4815, 0)</f>
        <v/>
      </c>
      <c r="J4815">
        <f>IF(F4815&lt;&gt;"", TEXT(F4815, "yyyy-mm"), "")</f>
        <v/>
      </c>
    </row>
    <row r="4816">
      <c r="A4816" t="inlineStr">
        <is>
          <t>RP0004815</t>
        </is>
      </c>
      <c r="B4816" t="inlineStr">
        <is>
          <t>LN200682</t>
        </is>
      </c>
      <c r="C4816" t="n">
        <v>9</v>
      </c>
      <c r="D4816" s="8" t="n">
        <v>46117</v>
      </c>
      <c r="E4816" s="9" t="n">
        <v>4018.06</v>
      </c>
      <c r="F4816" s="8" t="n">
        <v>46115</v>
      </c>
      <c r="G4816" s="9" t="n">
        <v>4018.06</v>
      </c>
      <c r="H4816" t="inlineStr">
        <is>
          <t>PAID_ON_TIME</t>
        </is>
      </c>
      <c r="I4816">
        <f>IF(H4816="UNPAID", AsOfDate-D4816, 0)</f>
        <v/>
      </c>
      <c r="J4816">
        <f>IF(F4816&lt;&gt;"", TEXT(F4816, "yyyy-mm"), "")</f>
        <v/>
      </c>
    </row>
    <row r="4817">
      <c r="A4817" t="inlineStr">
        <is>
          <t>RP0004816</t>
        </is>
      </c>
      <c r="B4817" t="inlineStr">
        <is>
          <t>LN200682</t>
        </is>
      </c>
      <c r="C4817" t="n">
        <v>10</v>
      </c>
      <c r="D4817" s="8" t="n">
        <v>46147</v>
      </c>
      <c r="E4817" s="9" t="n">
        <v>4018.06</v>
      </c>
      <c r="F4817" s="8" t="n">
        <v>46149</v>
      </c>
      <c r="G4817" s="9" t="n">
        <v>4018.06</v>
      </c>
      <c r="H4817" t="inlineStr">
        <is>
          <t>PAID_ON_TIME</t>
        </is>
      </c>
      <c r="I4817">
        <f>IF(H4817="UNPAID", AsOfDate-D4817, 0)</f>
        <v/>
      </c>
      <c r="J4817">
        <f>IF(F4817&lt;&gt;"", TEXT(F4817, "yyyy-mm"), "")</f>
        <v/>
      </c>
    </row>
    <row r="4818">
      <c r="A4818" t="inlineStr">
        <is>
          <t>RP0004817</t>
        </is>
      </c>
      <c r="B4818" t="inlineStr">
        <is>
          <t>LN200682</t>
        </is>
      </c>
      <c r="C4818" t="n">
        <v>11</v>
      </c>
      <c r="D4818" s="8" t="n">
        <v>46178</v>
      </c>
      <c r="E4818" s="9" t="n">
        <v>4018.06</v>
      </c>
      <c r="F4818" s="8" t="n">
        <v>46180</v>
      </c>
      <c r="G4818" s="9" t="n">
        <v>4018.06</v>
      </c>
      <c r="H4818" t="inlineStr">
        <is>
          <t>PAID_ON_TIME</t>
        </is>
      </c>
      <c r="I4818">
        <f>IF(H4818="UNPAID", AsOfDate-D4818, 0)</f>
        <v/>
      </c>
      <c r="J4818">
        <f>IF(F4818&lt;&gt;"", TEXT(F4818, "yyyy-mm"), "")</f>
        <v/>
      </c>
    </row>
    <row r="4819">
      <c r="A4819" t="inlineStr">
        <is>
          <t>RP0004818</t>
        </is>
      </c>
      <c r="B4819" t="inlineStr">
        <is>
          <t>LN200682</t>
        </is>
      </c>
      <c r="C4819" t="n">
        <v>12</v>
      </c>
      <c r="D4819" s="8" t="n">
        <v>46208</v>
      </c>
      <c r="E4819" s="9" t="n">
        <v>4018.06</v>
      </c>
      <c r="F4819" s="8" t="n">
        <v>46211</v>
      </c>
      <c r="G4819" s="9" t="n">
        <v>4018.06</v>
      </c>
      <c r="H4819" t="inlineStr">
        <is>
          <t>PAID_ON_TIME</t>
        </is>
      </c>
      <c r="I4819">
        <f>IF(H4819="UNPAID", AsOfDate-D4819, 0)</f>
        <v/>
      </c>
      <c r="J4819">
        <f>IF(F4819&lt;&gt;"", TEXT(F4819, "yyyy-mm"), "")</f>
        <v/>
      </c>
    </row>
    <row r="4820">
      <c r="A4820" t="inlineStr">
        <is>
          <t>RP0004819</t>
        </is>
      </c>
      <c r="B4820" t="inlineStr">
        <is>
          <t>LN200682</t>
        </is>
      </c>
      <c r="C4820" t="n">
        <v>13</v>
      </c>
      <c r="D4820" s="8" t="n">
        <v>46239</v>
      </c>
      <c r="E4820" s="9" t="n">
        <v>4018.06</v>
      </c>
      <c r="F4820" s="8" t="n">
        <v>46241</v>
      </c>
      <c r="G4820" s="9" t="n">
        <v>4018.06</v>
      </c>
      <c r="H4820" t="inlineStr">
        <is>
          <t>PAID_ON_TIME</t>
        </is>
      </c>
      <c r="I4820">
        <f>IF(H4820="UNPAID", AsOfDate-D4820, 0)</f>
        <v/>
      </c>
      <c r="J4820">
        <f>IF(F4820&lt;&gt;"", TEXT(F4820, "yyyy-mm"), "")</f>
        <v/>
      </c>
    </row>
    <row r="4821">
      <c r="A4821" t="inlineStr">
        <is>
          <t>RP0004820</t>
        </is>
      </c>
      <c r="B4821" t="inlineStr">
        <is>
          <t>LN200682</t>
        </is>
      </c>
      <c r="C4821" t="n">
        <v>14</v>
      </c>
      <c r="D4821" s="8" t="n">
        <v>46270</v>
      </c>
      <c r="E4821" s="9" t="n">
        <v>4018.06</v>
      </c>
      <c r="F4821" s="8" t="n"/>
      <c r="G4821" s="9" t="n">
        <v>0</v>
      </c>
      <c r="H4821" t="inlineStr">
        <is>
          <t>NOT_DUE</t>
        </is>
      </c>
      <c r="I4821">
        <f>IF(H4821="UNPAID", AsOfDate-D4821, 0)</f>
        <v/>
      </c>
      <c r="J4821">
        <f>IF(F4821&lt;&gt;"", TEXT(F4821, "yyyy-mm"), "")</f>
        <v/>
      </c>
    </row>
    <row r="4822">
      <c r="A4822" t="inlineStr">
        <is>
          <t>RP0004821</t>
        </is>
      </c>
      <c r="B4822" t="inlineStr">
        <is>
          <t>LN200682</t>
        </is>
      </c>
      <c r="C4822" t="n">
        <v>15</v>
      </c>
      <c r="D4822" s="8" t="n">
        <v>46300</v>
      </c>
      <c r="E4822" s="9" t="n">
        <v>4018.06</v>
      </c>
      <c r="F4822" s="8" t="n"/>
      <c r="G4822" s="9" t="n">
        <v>0</v>
      </c>
      <c r="H4822" t="inlineStr">
        <is>
          <t>NOT_DUE</t>
        </is>
      </c>
      <c r="I4822">
        <f>IF(H4822="UNPAID", AsOfDate-D4822, 0)</f>
        <v/>
      </c>
      <c r="J4822">
        <f>IF(F4822&lt;&gt;"", TEXT(F4822, "yyyy-mm"), "")</f>
        <v/>
      </c>
    </row>
    <row r="4823">
      <c r="A4823" t="inlineStr">
        <is>
          <t>RP0004822</t>
        </is>
      </c>
      <c r="B4823" t="inlineStr">
        <is>
          <t>LN200682</t>
        </is>
      </c>
      <c r="C4823" t="n">
        <v>16</v>
      </c>
      <c r="D4823" s="8" t="n">
        <v>46331</v>
      </c>
      <c r="E4823" s="9" t="n">
        <v>4018.06</v>
      </c>
      <c r="F4823" s="8" t="n"/>
      <c r="G4823" s="9" t="n">
        <v>0</v>
      </c>
      <c r="H4823" t="inlineStr">
        <is>
          <t>NOT_DUE</t>
        </is>
      </c>
      <c r="I4823">
        <f>IF(H4823="UNPAID", AsOfDate-D4823, 0)</f>
        <v/>
      </c>
      <c r="J4823">
        <f>IF(F4823&lt;&gt;"", TEXT(F4823, "yyyy-mm"), "")</f>
        <v/>
      </c>
    </row>
    <row r="4824">
      <c r="A4824" t="inlineStr">
        <is>
          <t>RP0004823</t>
        </is>
      </c>
      <c r="B4824" t="inlineStr">
        <is>
          <t>LN200682</t>
        </is>
      </c>
      <c r="C4824" t="n">
        <v>17</v>
      </c>
      <c r="D4824" s="8" t="n">
        <v>46361</v>
      </c>
      <c r="E4824" s="9" t="n">
        <v>4018.06</v>
      </c>
      <c r="F4824" s="8" t="n"/>
      <c r="G4824" s="9" t="n">
        <v>0</v>
      </c>
      <c r="H4824" t="inlineStr">
        <is>
          <t>NOT_DUE</t>
        </is>
      </c>
      <c r="I4824">
        <f>IF(H4824="UNPAID", AsOfDate-D4824, 0)</f>
        <v/>
      </c>
      <c r="J4824">
        <f>IF(F4824&lt;&gt;"", TEXT(F4824, "yyyy-mm"), "")</f>
        <v/>
      </c>
    </row>
    <row r="4825">
      <c r="A4825" t="inlineStr">
        <is>
          <t>RP0004824</t>
        </is>
      </c>
      <c r="B4825" t="inlineStr">
        <is>
          <t>LN200682</t>
        </is>
      </c>
      <c r="C4825" t="n">
        <v>18</v>
      </c>
      <c r="D4825" s="8" t="n">
        <v>46392</v>
      </c>
      <c r="E4825" s="9" t="n">
        <v>4018.06</v>
      </c>
      <c r="F4825" s="8" t="n"/>
      <c r="G4825" s="9" t="n">
        <v>0</v>
      </c>
      <c r="H4825" t="inlineStr">
        <is>
          <t>NOT_DUE</t>
        </is>
      </c>
      <c r="I4825">
        <f>IF(H4825="UNPAID", AsOfDate-D4825, 0)</f>
        <v/>
      </c>
      <c r="J4825">
        <f>IF(F4825&lt;&gt;"", TEXT(F4825, "yyyy-mm"), "")</f>
        <v/>
      </c>
    </row>
    <row r="4826">
      <c r="A4826" t="inlineStr">
        <is>
          <t>RP0004825</t>
        </is>
      </c>
      <c r="B4826" t="inlineStr">
        <is>
          <t>LN200683</t>
        </is>
      </c>
      <c r="C4826" t="n">
        <v>1</v>
      </c>
      <c r="D4826" s="8" t="n">
        <v>46001</v>
      </c>
      <c r="E4826" s="9" t="n">
        <v>4113.33</v>
      </c>
      <c r="F4826" s="8" t="n"/>
      <c r="G4826" s="9" t="n">
        <v>0</v>
      </c>
      <c r="H4826" t="inlineStr">
        <is>
          <t>UNPAID</t>
        </is>
      </c>
      <c r="I4826">
        <f>IF(H4826="UNPAID", AsOfDate-D4826, 0)</f>
        <v/>
      </c>
      <c r="J4826">
        <f>IF(F4826&lt;&gt;"", TEXT(F4826, "yyyy-mm"), "")</f>
        <v/>
      </c>
    </row>
    <row r="4827">
      <c r="A4827" t="inlineStr">
        <is>
          <t>RP0004826</t>
        </is>
      </c>
      <c r="B4827" t="inlineStr">
        <is>
          <t>LN200683</t>
        </is>
      </c>
      <c r="C4827" t="n">
        <v>2</v>
      </c>
      <c r="D4827" s="8" t="n">
        <v>46032</v>
      </c>
      <c r="E4827" s="9" t="n">
        <v>4113.33</v>
      </c>
      <c r="F4827" s="8" t="n">
        <v>46035</v>
      </c>
      <c r="G4827" s="9" t="n">
        <v>4113.33</v>
      </c>
      <c r="H4827" t="inlineStr">
        <is>
          <t>PAID_ON_TIME</t>
        </is>
      </c>
      <c r="I4827">
        <f>IF(H4827="UNPAID", AsOfDate-D4827, 0)</f>
        <v/>
      </c>
      <c r="J4827">
        <f>IF(F4827&lt;&gt;"", TEXT(F4827, "yyyy-mm"), "")</f>
        <v/>
      </c>
    </row>
    <row r="4828">
      <c r="A4828" t="inlineStr">
        <is>
          <t>RP0004827</t>
        </is>
      </c>
      <c r="B4828" t="inlineStr">
        <is>
          <t>LN200683</t>
        </is>
      </c>
      <c r="C4828" t="n">
        <v>3</v>
      </c>
      <c r="D4828" s="8" t="n">
        <v>46063</v>
      </c>
      <c r="E4828" s="9" t="n">
        <v>4113.33</v>
      </c>
      <c r="F4828" s="8" t="n">
        <v>46063</v>
      </c>
      <c r="G4828" s="9" t="n">
        <v>4113.33</v>
      </c>
      <c r="H4828" t="inlineStr">
        <is>
          <t>PAID_ON_TIME</t>
        </is>
      </c>
      <c r="I4828">
        <f>IF(H4828="UNPAID", AsOfDate-D4828, 0)</f>
        <v/>
      </c>
      <c r="J4828">
        <f>IF(F4828&lt;&gt;"", TEXT(F4828, "yyyy-mm"), "")</f>
        <v/>
      </c>
    </row>
    <row r="4829">
      <c r="A4829" t="inlineStr">
        <is>
          <t>RP0004828</t>
        </is>
      </c>
      <c r="B4829" t="inlineStr">
        <is>
          <t>LN200683</t>
        </is>
      </c>
      <c r="C4829" t="n">
        <v>4</v>
      </c>
      <c r="D4829" s="8" t="n">
        <v>46091</v>
      </c>
      <c r="E4829" s="9" t="n">
        <v>4113.33</v>
      </c>
      <c r="F4829" s="8" t="n">
        <v>46094</v>
      </c>
      <c r="G4829" s="9" t="n">
        <v>4113.33</v>
      </c>
      <c r="H4829" t="inlineStr">
        <is>
          <t>PAID_ON_TIME</t>
        </is>
      </c>
      <c r="I4829">
        <f>IF(H4829="UNPAID", AsOfDate-D4829, 0)</f>
        <v/>
      </c>
      <c r="J4829">
        <f>IF(F4829&lt;&gt;"", TEXT(F4829, "yyyy-mm"), "")</f>
        <v/>
      </c>
    </row>
    <row r="4830">
      <c r="A4830" t="inlineStr">
        <is>
          <t>RP0004829</t>
        </is>
      </c>
      <c r="B4830" t="inlineStr">
        <is>
          <t>LN200683</t>
        </is>
      </c>
      <c r="C4830" t="n">
        <v>5</v>
      </c>
      <c r="D4830" s="8" t="n">
        <v>46122</v>
      </c>
      <c r="E4830" s="9" t="n">
        <v>4113.33</v>
      </c>
      <c r="F4830" s="8" t="n">
        <v>46121</v>
      </c>
      <c r="G4830" s="9" t="n">
        <v>4113.33</v>
      </c>
      <c r="H4830" t="inlineStr">
        <is>
          <t>PAID_ON_TIME</t>
        </is>
      </c>
      <c r="I4830">
        <f>IF(H4830="UNPAID", AsOfDate-D4830, 0)</f>
        <v/>
      </c>
      <c r="J4830">
        <f>IF(F4830&lt;&gt;"", TEXT(F4830, "yyyy-mm"), "")</f>
        <v/>
      </c>
    </row>
    <row r="4831">
      <c r="A4831" t="inlineStr">
        <is>
          <t>RP0004830</t>
        </is>
      </c>
      <c r="B4831" t="inlineStr">
        <is>
          <t>LN200683</t>
        </is>
      </c>
      <c r="C4831" t="n">
        <v>6</v>
      </c>
      <c r="D4831" s="8" t="n">
        <v>46152</v>
      </c>
      <c r="E4831" s="9" t="n">
        <v>4113.33</v>
      </c>
      <c r="F4831" s="8" t="n">
        <v>46155</v>
      </c>
      <c r="G4831" s="9" t="n">
        <v>4113.33</v>
      </c>
      <c r="H4831" t="inlineStr">
        <is>
          <t>PAID_ON_TIME</t>
        </is>
      </c>
      <c r="I4831">
        <f>IF(H4831="UNPAID", AsOfDate-D4831, 0)</f>
        <v/>
      </c>
      <c r="J4831">
        <f>IF(F4831&lt;&gt;"", TEXT(F4831, "yyyy-mm"), "")</f>
        <v/>
      </c>
    </row>
    <row r="4832">
      <c r="A4832" t="inlineStr">
        <is>
          <t>RP0004831</t>
        </is>
      </c>
      <c r="B4832" t="inlineStr">
        <is>
          <t>LN200683</t>
        </is>
      </c>
      <c r="C4832" t="n">
        <v>7</v>
      </c>
      <c r="D4832" s="8" t="n">
        <v>46183</v>
      </c>
      <c r="E4832" s="9" t="n">
        <v>4113.33</v>
      </c>
      <c r="F4832" s="8" t="n">
        <v>46181</v>
      </c>
      <c r="G4832" s="9" t="n">
        <v>4113.33</v>
      </c>
      <c r="H4832" t="inlineStr">
        <is>
          <t>PAID_ON_TIME</t>
        </is>
      </c>
      <c r="I4832">
        <f>IF(H4832="UNPAID", AsOfDate-D4832, 0)</f>
        <v/>
      </c>
      <c r="J4832">
        <f>IF(F4832&lt;&gt;"", TEXT(F4832, "yyyy-mm"), "")</f>
        <v/>
      </c>
    </row>
    <row r="4833">
      <c r="A4833" t="inlineStr">
        <is>
          <t>RP0004832</t>
        </is>
      </c>
      <c r="B4833" t="inlineStr">
        <is>
          <t>LN200683</t>
        </is>
      </c>
      <c r="C4833" t="n">
        <v>8</v>
      </c>
      <c r="D4833" s="8" t="n">
        <v>46213</v>
      </c>
      <c r="E4833" s="9" t="n">
        <v>4113.33</v>
      </c>
      <c r="F4833" s="8" t="n"/>
      <c r="G4833" s="9" t="n">
        <v>0</v>
      </c>
      <c r="H4833" t="inlineStr">
        <is>
          <t>UNPAID</t>
        </is>
      </c>
      <c r="I4833">
        <f>IF(H4833="UNPAID", AsOfDate-D4833, 0)</f>
        <v/>
      </c>
      <c r="J4833">
        <f>IF(F4833&lt;&gt;"", TEXT(F4833, "yyyy-mm"), "")</f>
        <v/>
      </c>
    </row>
    <row r="4834">
      <c r="A4834" t="inlineStr">
        <is>
          <t>RP0004833</t>
        </is>
      </c>
      <c r="B4834" t="inlineStr">
        <is>
          <t>LN200683</t>
        </is>
      </c>
      <c r="C4834" t="n">
        <v>9</v>
      </c>
      <c r="D4834" s="8" t="n">
        <v>46244</v>
      </c>
      <c r="E4834" s="9" t="n">
        <v>4113.33</v>
      </c>
      <c r="F4834" s="8" t="n"/>
      <c r="G4834" s="9" t="n">
        <v>0</v>
      </c>
      <c r="H4834" t="inlineStr">
        <is>
          <t>UNPAID</t>
        </is>
      </c>
      <c r="I4834">
        <f>IF(H4834="UNPAID", AsOfDate-D4834, 0)</f>
        <v/>
      </c>
      <c r="J4834">
        <f>IF(F4834&lt;&gt;"", TEXT(F4834, "yyyy-mm"), "")</f>
        <v/>
      </c>
    </row>
    <row r="4835">
      <c r="A4835" t="inlineStr">
        <is>
          <t>RP0004834</t>
        </is>
      </c>
      <c r="B4835" t="inlineStr">
        <is>
          <t>LN200683</t>
        </is>
      </c>
      <c r="C4835" t="n">
        <v>10</v>
      </c>
      <c r="D4835" s="8" t="n">
        <v>46275</v>
      </c>
      <c r="E4835" s="9" t="n">
        <v>4113.33</v>
      </c>
      <c r="F4835" s="8" t="n"/>
      <c r="G4835" s="9" t="n">
        <v>0</v>
      </c>
      <c r="H4835" t="inlineStr">
        <is>
          <t>NOT_DUE</t>
        </is>
      </c>
      <c r="I4835">
        <f>IF(H4835="UNPAID", AsOfDate-D4835, 0)</f>
        <v/>
      </c>
      <c r="J4835">
        <f>IF(F4835&lt;&gt;"", TEXT(F4835, "yyyy-mm"), "")</f>
        <v/>
      </c>
    </row>
    <row r="4836">
      <c r="A4836" t="inlineStr">
        <is>
          <t>RP0004835</t>
        </is>
      </c>
      <c r="B4836" t="inlineStr">
        <is>
          <t>LN200683</t>
        </is>
      </c>
      <c r="C4836" t="n">
        <v>11</v>
      </c>
      <c r="D4836" s="8" t="n">
        <v>46305</v>
      </c>
      <c r="E4836" s="9" t="n">
        <v>4113.33</v>
      </c>
      <c r="F4836" s="8" t="n"/>
      <c r="G4836" s="9" t="n">
        <v>0</v>
      </c>
      <c r="H4836" t="inlineStr">
        <is>
          <t>NOT_DUE</t>
        </is>
      </c>
      <c r="I4836">
        <f>IF(H4836="UNPAID", AsOfDate-D4836, 0)</f>
        <v/>
      </c>
      <c r="J4836">
        <f>IF(F4836&lt;&gt;"", TEXT(F4836, "yyyy-mm"), "")</f>
        <v/>
      </c>
    </row>
    <row r="4837">
      <c r="A4837" t="inlineStr">
        <is>
          <t>RP0004836</t>
        </is>
      </c>
      <c r="B4837" t="inlineStr">
        <is>
          <t>LN200683</t>
        </is>
      </c>
      <c r="C4837" t="n">
        <v>12</v>
      </c>
      <c r="D4837" s="8" t="n">
        <v>46336</v>
      </c>
      <c r="E4837" s="9" t="n">
        <v>4113.33</v>
      </c>
      <c r="F4837" s="8" t="n"/>
      <c r="G4837" s="9" t="n">
        <v>0</v>
      </c>
      <c r="H4837" t="inlineStr">
        <is>
          <t>NOT_DUE</t>
        </is>
      </c>
      <c r="I4837">
        <f>IF(H4837="UNPAID", AsOfDate-D4837, 0)</f>
        <v/>
      </c>
      <c r="J4837">
        <f>IF(F4837&lt;&gt;"", TEXT(F4837, "yyyy-mm"), "")</f>
        <v/>
      </c>
    </row>
    <row r="4838">
      <c r="A4838" t="inlineStr">
        <is>
          <t>RP0004837</t>
        </is>
      </c>
      <c r="B4838" t="inlineStr">
        <is>
          <t>LN200684</t>
        </is>
      </c>
      <c r="C4838" t="n">
        <v>1</v>
      </c>
      <c r="D4838" s="8" t="n">
        <v>46212</v>
      </c>
      <c r="E4838" s="9" t="n">
        <v>7577.17</v>
      </c>
      <c r="F4838" s="8" t="n">
        <v>46212</v>
      </c>
      <c r="G4838" s="9" t="n">
        <v>7577.17</v>
      </c>
      <c r="H4838" t="inlineStr">
        <is>
          <t>PAID_ON_TIME</t>
        </is>
      </c>
      <c r="I4838">
        <f>IF(H4838="UNPAID", AsOfDate-D4838, 0)</f>
        <v/>
      </c>
      <c r="J4838">
        <f>IF(F4838&lt;&gt;"", TEXT(F4838, "yyyy-mm"), "")</f>
        <v/>
      </c>
    </row>
    <row r="4839">
      <c r="A4839" t="inlineStr">
        <is>
          <t>RP0004838</t>
        </is>
      </c>
      <c r="B4839" t="inlineStr">
        <is>
          <t>LN200684</t>
        </is>
      </c>
      <c r="C4839" t="n">
        <v>2</v>
      </c>
      <c r="D4839" s="8" t="n">
        <v>46243</v>
      </c>
      <c r="E4839" s="9" t="n">
        <v>7577.17</v>
      </c>
      <c r="F4839" s="8" t="n">
        <v>46241</v>
      </c>
      <c r="G4839" s="9" t="n">
        <v>7577.17</v>
      </c>
      <c r="H4839" t="inlineStr">
        <is>
          <t>PAID_ON_TIME</t>
        </is>
      </c>
      <c r="I4839">
        <f>IF(H4839="UNPAID", AsOfDate-D4839, 0)</f>
        <v/>
      </c>
      <c r="J4839">
        <f>IF(F4839&lt;&gt;"", TEXT(F4839, "yyyy-mm"), "")</f>
        <v/>
      </c>
    </row>
    <row r="4840">
      <c r="A4840" t="inlineStr">
        <is>
          <t>RP0004839</t>
        </is>
      </c>
      <c r="B4840" t="inlineStr">
        <is>
          <t>LN200684</t>
        </is>
      </c>
      <c r="C4840" t="n">
        <v>3</v>
      </c>
      <c r="D4840" s="8" t="n">
        <v>46274</v>
      </c>
      <c r="E4840" s="9" t="n">
        <v>7577.17</v>
      </c>
      <c r="F4840" s="8" t="n"/>
      <c r="G4840" s="9" t="n">
        <v>0</v>
      </c>
      <c r="H4840" t="inlineStr">
        <is>
          <t>NOT_DUE</t>
        </is>
      </c>
      <c r="I4840">
        <f>IF(H4840="UNPAID", AsOfDate-D4840, 0)</f>
        <v/>
      </c>
      <c r="J4840">
        <f>IF(F4840&lt;&gt;"", TEXT(F4840, "yyyy-mm"), "")</f>
        <v/>
      </c>
    </row>
    <row r="4841">
      <c r="A4841" t="inlineStr">
        <is>
          <t>RP0004840</t>
        </is>
      </c>
      <c r="B4841" t="inlineStr">
        <is>
          <t>LN200685</t>
        </is>
      </c>
      <c r="C4841" t="n">
        <v>1</v>
      </c>
      <c r="D4841" s="8" t="n">
        <v>46253</v>
      </c>
      <c r="E4841" s="9" t="n">
        <v>6347.22</v>
      </c>
      <c r="F4841" s="8" t="n">
        <v>46253</v>
      </c>
      <c r="G4841" s="9" t="n">
        <v>6347.22</v>
      </c>
      <c r="H4841" t="inlineStr">
        <is>
          <t>PAID_ON_TIME</t>
        </is>
      </c>
      <c r="I4841">
        <f>IF(H4841="UNPAID", AsOfDate-D4841, 0)</f>
        <v/>
      </c>
      <c r="J4841">
        <f>IF(F4841&lt;&gt;"", TEXT(F4841, "yyyy-mm"), "")</f>
        <v/>
      </c>
    </row>
    <row r="4842">
      <c r="A4842" t="inlineStr">
        <is>
          <t>RP0004841</t>
        </is>
      </c>
      <c r="B4842" t="inlineStr">
        <is>
          <t>LN200685</t>
        </is>
      </c>
      <c r="C4842" t="n">
        <v>2</v>
      </c>
      <c r="D4842" s="8" t="n">
        <v>46284</v>
      </c>
      <c r="E4842" s="9" t="n">
        <v>6347.22</v>
      </c>
      <c r="F4842" s="8" t="n"/>
      <c r="G4842" s="9" t="n">
        <v>0</v>
      </c>
      <c r="H4842" t="inlineStr">
        <is>
          <t>NOT_DUE</t>
        </is>
      </c>
      <c r="I4842">
        <f>IF(H4842="UNPAID", AsOfDate-D4842, 0)</f>
        <v/>
      </c>
      <c r="J4842">
        <f>IF(F4842&lt;&gt;"", TEXT(F4842, "yyyy-mm"), "")</f>
        <v/>
      </c>
    </row>
    <row r="4843">
      <c r="A4843" t="inlineStr">
        <is>
          <t>RP0004842</t>
        </is>
      </c>
      <c r="B4843" t="inlineStr">
        <is>
          <t>LN200685</t>
        </is>
      </c>
      <c r="C4843" t="n">
        <v>3</v>
      </c>
      <c r="D4843" s="8" t="n">
        <v>46314</v>
      </c>
      <c r="E4843" s="9" t="n">
        <v>6347.22</v>
      </c>
      <c r="F4843" s="8" t="n"/>
      <c r="G4843" s="9" t="n">
        <v>0</v>
      </c>
      <c r="H4843" t="inlineStr">
        <is>
          <t>NOT_DUE</t>
        </is>
      </c>
      <c r="I4843">
        <f>IF(H4843="UNPAID", AsOfDate-D4843, 0)</f>
        <v/>
      </c>
      <c r="J4843">
        <f>IF(F4843&lt;&gt;"", TEXT(F4843, "yyyy-mm"), "")</f>
        <v/>
      </c>
    </row>
    <row r="4844">
      <c r="A4844" t="inlineStr">
        <is>
          <t>RP0004843</t>
        </is>
      </c>
      <c r="B4844" t="inlineStr">
        <is>
          <t>LN200685</t>
        </is>
      </c>
      <c r="C4844" t="n">
        <v>4</v>
      </c>
      <c r="D4844" s="8" t="n">
        <v>46345</v>
      </c>
      <c r="E4844" s="9" t="n">
        <v>6347.22</v>
      </c>
      <c r="F4844" s="8" t="n"/>
      <c r="G4844" s="9" t="n">
        <v>0</v>
      </c>
      <c r="H4844" t="inlineStr">
        <is>
          <t>NOT_DUE</t>
        </is>
      </c>
      <c r="I4844">
        <f>IF(H4844="UNPAID", AsOfDate-D4844, 0)</f>
        <v/>
      </c>
      <c r="J4844">
        <f>IF(F4844&lt;&gt;"", TEXT(F4844, "yyyy-mm"), "")</f>
        <v/>
      </c>
    </row>
    <row r="4845">
      <c r="A4845" t="inlineStr">
        <is>
          <t>RP0004844</t>
        </is>
      </c>
      <c r="B4845" t="inlineStr">
        <is>
          <t>LN200685</t>
        </is>
      </c>
      <c r="C4845" t="n">
        <v>5</v>
      </c>
      <c r="D4845" s="8" t="n">
        <v>46375</v>
      </c>
      <c r="E4845" s="9" t="n">
        <v>6347.22</v>
      </c>
      <c r="F4845" s="8" t="n"/>
      <c r="G4845" s="9" t="n">
        <v>0</v>
      </c>
      <c r="H4845" t="inlineStr">
        <is>
          <t>NOT_DUE</t>
        </is>
      </c>
      <c r="I4845">
        <f>IF(H4845="UNPAID", AsOfDate-D4845, 0)</f>
        <v/>
      </c>
      <c r="J4845">
        <f>IF(F4845&lt;&gt;"", TEXT(F4845, "yyyy-mm"), "")</f>
        <v/>
      </c>
    </row>
    <row r="4846">
      <c r="A4846" t="inlineStr">
        <is>
          <t>RP0004845</t>
        </is>
      </c>
      <c r="B4846" t="inlineStr">
        <is>
          <t>LN200685</t>
        </is>
      </c>
      <c r="C4846" t="n">
        <v>6</v>
      </c>
      <c r="D4846" s="8" t="n">
        <v>46406</v>
      </c>
      <c r="E4846" s="9" t="n">
        <v>6347.22</v>
      </c>
      <c r="F4846" s="8" t="n"/>
      <c r="G4846" s="9" t="n">
        <v>0</v>
      </c>
      <c r="H4846" t="inlineStr">
        <is>
          <t>NOT_DUE</t>
        </is>
      </c>
      <c r="I4846">
        <f>IF(H4846="UNPAID", AsOfDate-D4846, 0)</f>
        <v/>
      </c>
      <c r="J4846">
        <f>IF(F4846&lt;&gt;"", TEXT(F4846, "yyyy-mm"), "")</f>
        <v/>
      </c>
    </row>
    <row r="4847">
      <c r="A4847" t="inlineStr">
        <is>
          <t>RP0004846</t>
        </is>
      </c>
      <c r="B4847" t="inlineStr">
        <is>
          <t>LN200685</t>
        </is>
      </c>
      <c r="C4847" t="n">
        <v>7</v>
      </c>
      <c r="D4847" s="8" t="n">
        <v>46437</v>
      </c>
      <c r="E4847" s="9" t="n">
        <v>6347.22</v>
      </c>
      <c r="F4847" s="8" t="n"/>
      <c r="G4847" s="9" t="n">
        <v>0</v>
      </c>
      <c r="H4847" t="inlineStr">
        <is>
          <t>NOT_DUE</t>
        </is>
      </c>
      <c r="I4847">
        <f>IF(H4847="UNPAID", AsOfDate-D4847, 0)</f>
        <v/>
      </c>
      <c r="J4847">
        <f>IF(F4847&lt;&gt;"", TEXT(F4847, "yyyy-mm"), "")</f>
        <v/>
      </c>
    </row>
    <row r="4848">
      <c r="A4848" t="inlineStr">
        <is>
          <t>RP0004847</t>
        </is>
      </c>
      <c r="B4848" t="inlineStr">
        <is>
          <t>LN200685</t>
        </is>
      </c>
      <c r="C4848" t="n">
        <v>8</v>
      </c>
      <c r="D4848" s="8" t="n">
        <v>46465</v>
      </c>
      <c r="E4848" s="9" t="n">
        <v>6347.22</v>
      </c>
      <c r="F4848" s="8" t="n"/>
      <c r="G4848" s="9" t="n">
        <v>0</v>
      </c>
      <c r="H4848" t="inlineStr">
        <is>
          <t>NOT_DUE</t>
        </is>
      </c>
      <c r="I4848">
        <f>IF(H4848="UNPAID", AsOfDate-D4848, 0)</f>
        <v/>
      </c>
      <c r="J4848">
        <f>IF(F4848&lt;&gt;"", TEXT(F4848, "yyyy-mm"), "")</f>
        <v/>
      </c>
    </row>
    <row r="4849">
      <c r="A4849" t="inlineStr">
        <is>
          <t>RP0004848</t>
        </is>
      </c>
      <c r="B4849" t="inlineStr">
        <is>
          <t>LN200685</t>
        </is>
      </c>
      <c r="C4849" t="n">
        <v>9</v>
      </c>
      <c r="D4849" s="8" t="n">
        <v>46496</v>
      </c>
      <c r="E4849" s="9" t="n">
        <v>6347.22</v>
      </c>
      <c r="F4849" s="8" t="n"/>
      <c r="G4849" s="9" t="n">
        <v>0</v>
      </c>
      <c r="H4849" t="inlineStr">
        <is>
          <t>NOT_DUE</t>
        </is>
      </c>
      <c r="I4849">
        <f>IF(H4849="UNPAID", AsOfDate-D4849, 0)</f>
        <v/>
      </c>
      <c r="J4849">
        <f>IF(F4849&lt;&gt;"", TEXT(F4849, "yyyy-mm"), "")</f>
        <v/>
      </c>
    </row>
    <row r="4850">
      <c r="A4850" t="inlineStr">
        <is>
          <t>RP0004849</t>
        </is>
      </c>
      <c r="B4850" t="inlineStr">
        <is>
          <t>LN200686</t>
        </is>
      </c>
      <c r="C4850" t="n">
        <v>1</v>
      </c>
      <c r="D4850" s="8" t="n">
        <v>46050</v>
      </c>
      <c r="E4850" s="9" t="n">
        <v>16340.33</v>
      </c>
      <c r="F4850" s="8" t="n">
        <v>46050</v>
      </c>
      <c r="G4850" s="9" t="n">
        <v>16340.33</v>
      </c>
      <c r="H4850" t="inlineStr">
        <is>
          <t>PAID_ON_TIME</t>
        </is>
      </c>
      <c r="I4850">
        <f>IF(H4850="UNPAID", AsOfDate-D4850, 0)</f>
        <v/>
      </c>
      <c r="J4850">
        <f>IF(F4850&lt;&gt;"", TEXT(F4850, "yyyy-mm"), "")</f>
        <v/>
      </c>
    </row>
    <row r="4851">
      <c r="A4851" t="inlineStr">
        <is>
          <t>RP0004850</t>
        </is>
      </c>
      <c r="B4851" t="inlineStr">
        <is>
          <t>LN200686</t>
        </is>
      </c>
      <c r="C4851" t="n">
        <v>2</v>
      </c>
      <c r="D4851" s="8" t="n">
        <v>46081</v>
      </c>
      <c r="E4851" s="9" t="n">
        <v>16340.33</v>
      </c>
      <c r="F4851" s="8" t="n">
        <v>46079</v>
      </c>
      <c r="G4851" s="9" t="n">
        <v>16340.33</v>
      </c>
      <c r="H4851" t="inlineStr">
        <is>
          <t>PAID_ON_TIME</t>
        </is>
      </c>
      <c r="I4851">
        <f>IF(H4851="UNPAID", AsOfDate-D4851, 0)</f>
        <v/>
      </c>
      <c r="J4851">
        <f>IF(F4851&lt;&gt;"", TEXT(F4851, "yyyy-mm"), "")</f>
        <v/>
      </c>
    </row>
    <row r="4852">
      <c r="A4852" t="inlineStr">
        <is>
          <t>RP0004851</t>
        </is>
      </c>
      <c r="B4852" t="inlineStr">
        <is>
          <t>LN200686</t>
        </is>
      </c>
      <c r="C4852" t="n">
        <v>3</v>
      </c>
      <c r="D4852" s="8" t="n">
        <v>46109</v>
      </c>
      <c r="E4852" s="9" t="n">
        <v>16340.33</v>
      </c>
      <c r="F4852" s="8" t="n">
        <v>46106</v>
      </c>
      <c r="G4852" s="9" t="n">
        <v>16340.33</v>
      </c>
      <c r="H4852" t="inlineStr">
        <is>
          <t>PAID_ON_TIME</t>
        </is>
      </c>
      <c r="I4852">
        <f>IF(H4852="UNPAID", AsOfDate-D4852, 0)</f>
        <v/>
      </c>
      <c r="J4852">
        <f>IF(F4852&lt;&gt;"", TEXT(F4852, "yyyy-mm"), "")</f>
        <v/>
      </c>
    </row>
    <row r="4853">
      <c r="A4853" t="inlineStr">
        <is>
          <t>RP0004852</t>
        </is>
      </c>
      <c r="B4853" t="inlineStr">
        <is>
          <t>LN200687</t>
        </is>
      </c>
      <c r="C4853" t="n">
        <v>1</v>
      </c>
      <c r="D4853" s="8" t="n">
        <v>45833</v>
      </c>
      <c r="E4853" s="9" t="n">
        <v>9930.92</v>
      </c>
      <c r="F4853" s="8" t="n">
        <v>45834</v>
      </c>
      <c r="G4853" s="9" t="n">
        <v>9930.92</v>
      </c>
      <c r="H4853" t="inlineStr">
        <is>
          <t>PAID_ON_TIME</t>
        </is>
      </c>
      <c r="I4853">
        <f>IF(H4853="UNPAID", AsOfDate-D4853, 0)</f>
        <v/>
      </c>
      <c r="J4853">
        <f>IF(F4853&lt;&gt;"", TEXT(F4853, "yyyy-mm"), "")</f>
        <v/>
      </c>
    </row>
    <row r="4854">
      <c r="A4854" t="inlineStr">
        <is>
          <t>RP0004853</t>
        </is>
      </c>
      <c r="B4854" t="inlineStr">
        <is>
          <t>LN200687</t>
        </is>
      </c>
      <c r="C4854" t="n">
        <v>2</v>
      </c>
      <c r="D4854" s="8" t="n">
        <v>45863</v>
      </c>
      <c r="E4854" s="9" t="n">
        <v>9930.92</v>
      </c>
      <c r="F4854" s="8" t="n">
        <v>45864</v>
      </c>
      <c r="G4854" s="9" t="n">
        <v>9930.92</v>
      </c>
      <c r="H4854" t="inlineStr">
        <is>
          <t>PAID_ON_TIME</t>
        </is>
      </c>
      <c r="I4854">
        <f>IF(H4854="UNPAID", AsOfDate-D4854, 0)</f>
        <v/>
      </c>
      <c r="J4854">
        <f>IF(F4854&lt;&gt;"", TEXT(F4854, "yyyy-mm"), "")</f>
        <v/>
      </c>
    </row>
    <row r="4855">
      <c r="A4855" t="inlineStr">
        <is>
          <t>RP0004854</t>
        </is>
      </c>
      <c r="B4855" t="inlineStr">
        <is>
          <t>LN200687</t>
        </is>
      </c>
      <c r="C4855" t="n">
        <v>3</v>
      </c>
      <c r="D4855" s="8" t="n">
        <v>45894</v>
      </c>
      <c r="E4855" s="9" t="n">
        <v>9930.92</v>
      </c>
      <c r="F4855" s="8" t="n">
        <v>45892</v>
      </c>
      <c r="G4855" s="9" t="n">
        <v>9930.92</v>
      </c>
      <c r="H4855" t="inlineStr">
        <is>
          <t>PAID_ON_TIME</t>
        </is>
      </c>
      <c r="I4855">
        <f>IF(H4855="UNPAID", AsOfDate-D4855, 0)</f>
        <v/>
      </c>
      <c r="J4855">
        <f>IF(F4855&lt;&gt;"", TEXT(F4855, "yyyy-mm"), "")</f>
        <v/>
      </c>
    </row>
    <row r="4856">
      <c r="A4856" t="inlineStr">
        <is>
          <t>RP0004855</t>
        </is>
      </c>
      <c r="B4856" t="inlineStr">
        <is>
          <t>LN200687</t>
        </is>
      </c>
      <c r="C4856" t="n">
        <v>4</v>
      </c>
      <c r="D4856" s="8" t="n">
        <v>45925</v>
      </c>
      <c r="E4856" s="9" t="n">
        <v>9930.92</v>
      </c>
      <c r="F4856" s="8" t="n">
        <v>45922</v>
      </c>
      <c r="G4856" s="9" t="n">
        <v>9930.92</v>
      </c>
      <c r="H4856" t="inlineStr">
        <is>
          <t>PAID_ON_TIME</t>
        </is>
      </c>
      <c r="I4856">
        <f>IF(H4856="UNPAID", AsOfDate-D4856, 0)</f>
        <v/>
      </c>
      <c r="J4856">
        <f>IF(F4856&lt;&gt;"", TEXT(F4856, "yyyy-mm"), "")</f>
        <v/>
      </c>
    </row>
    <row r="4857">
      <c r="A4857" t="inlineStr">
        <is>
          <t>RP0004856</t>
        </is>
      </c>
      <c r="B4857" t="inlineStr">
        <is>
          <t>LN200687</t>
        </is>
      </c>
      <c r="C4857" t="n">
        <v>5</v>
      </c>
      <c r="D4857" s="8" t="n">
        <v>45955</v>
      </c>
      <c r="E4857" s="9" t="n">
        <v>9930.92</v>
      </c>
      <c r="F4857" s="8" t="n">
        <v>46004</v>
      </c>
      <c r="G4857" s="9" t="n">
        <v>9930.92</v>
      </c>
      <c r="H4857" t="inlineStr">
        <is>
          <t>PAID_LATE</t>
        </is>
      </c>
      <c r="I4857">
        <f>IF(H4857="UNPAID", AsOfDate-D4857, 0)</f>
        <v/>
      </c>
      <c r="J4857">
        <f>IF(F4857&lt;&gt;"", TEXT(F4857, "yyyy-mm"), "")</f>
        <v/>
      </c>
    </row>
    <row r="4858">
      <c r="A4858" t="inlineStr">
        <is>
          <t>RP0004857</t>
        </is>
      </c>
      <c r="B4858" t="inlineStr">
        <is>
          <t>LN200687</t>
        </is>
      </c>
      <c r="C4858" t="n">
        <v>6</v>
      </c>
      <c r="D4858" s="8" t="n">
        <v>45986</v>
      </c>
      <c r="E4858" s="9" t="n">
        <v>9930.92</v>
      </c>
      <c r="F4858" s="8" t="n">
        <v>45990</v>
      </c>
      <c r="G4858" s="9" t="n">
        <v>9930.92</v>
      </c>
      <c r="H4858" t="inlineStr">
        <is>
          <t>PAID_ON_TIME</t>
        </is>
      </c>
      <c r="I4858">
        <f>IF(H4858="UNPAID", AsOfDate-D4858, 0)</f>
        <v/>
      </c>
      <c r="J4858">
        <f>IF(F4858&lt;&gt;"", TEXT(F4858, "yyyy-mm"), "")</f>
        <v/>
      </c>
    </row>
    <row r="4859">
      <c r="A4859" t="inlineStr">
        <is>
          <t>RP0004858</t>
        </is>
      </c>
      <c r="B4859" t="inlineStr">
        <is>
          <t>LN200687</t>
        </is>
      </c>
      <c r="C4859" t="n">
        <v>7</v>
      </c>
      <c r="D4859" s="8" t="n">
        <v>46016</v>
      </c>
      <c r="E4859" s="9" t="n">
        <v>9930.92</v>
      </c>
      <c r="F4859" s="8" t="n">
        <v>46019</v>
      </c>
      <c r="G4859" s="9" t="n">
        <v>9930.92</v>
      </c>
      <c r="H4859" t="inlineStr">
        <is>
          <t>PAID_ON_TIME</t>
        </is>
      </c>
      <c r="I4859">
        <f>IF(H4859="UNPAID", AsOfDate-D4859, 0)</f>
        <v/>
      </c>
      <c r="J4859">
        <f>IF(F4859&lt;&gt;"", TEXT(F4859, "yyyy-mm"), "")</f>
        <v/>
      </c>
    </row>
    <row r="4860">
      <c r="A4860" t="inlineStr">
        <is>
          <t>RP0004859</t>
        </is>
      </c>
      <c r="B4860" t="inlineStr">
        <is>
          <t>LN200687</t>
        </is>
      </c>
      <c r="C4860" t="n">
        <v>8</v>
      </c>
      <c r="D4860" s="8" t="n">
        <v>46047</v>
      </c>
      <c r="E4860" s="9" t="n">
        <v>9930.92</v>
      </c>
      <c r="F4860" s="8" t="n">
        <v>46048</v>
      </c>
      <c r="G4860" s="9" t="n">
        <v>9930.92</v>
      </c>
      <c r="H4860" t="inlineStr">
        <is>
          <t>PAID_ON_TIME</t>
        </is>
      </c>
      <c r="I4860">
        <f>IF(H4860="UNPAID", AsOfDate-D4860, 0)</f>
        <v/>
      </c>
      <c r="J4860">
        <f>IF(F4860&lt;&gt;"", TEXT(F4860, "yyyy-mm"), "")</f>
        <v/>
      </c>
    </row>
    <row r="4861">
      <c r="A4861" t="inlineStr">
        <is>
          <t>RP0004860</t>
        </is>
      </c>
      <c r="B4861" t="inlineStr">
        <is>
          <t>LN200687</t>
        </is>
      </c>
      <c r="C4861" t="n">
        <v>9</v>
      </c>
      <c r="D4861" s="8" t="n">
        <v>46078</v>
      </c>
      <c r="E4861" s="9" t="n">
        <v>9930.92</v>
      </c>
      <c r="F4861" s="8" t="n">
        <v>46077</v>
      </c>
      <c r="G4861" s="9" t="n">
        <v>9930.92</v>
      </c>
      <c r="H4861" t="inlineStr">
        <is>
          <t>PAID_ON_TIME</t>
        </is>
      </c>
      <c r="I4861">
        <f>IF(H4861="UNPAID", AsOfDate-D4861, 0)</f>
        <v/>
      </c>
      <c r="J4861">
        <f>IF(F4861&lt;&gt;"", TEXT(F4861, "yyyy-mm"), "")</f>
        <v/>
      </c>
    </row>
    <row r="4862">
      <c r="A4862" t="inlineStr">
        <is>
          <t>RP0004861</t>
        </is>
      </c>
      <c r="B4862" t="inlineStr">
        <is>
          <t>LN200687</t>
        </is>
      </c>
      <c r="C4862" t="n">
        <v>10</v>
      </c>
      <c r="D4862" s="8" t="n">
        <v>46106</v>
      </c>
      <c r="E4862" s="9" t="n">
        <v>9930.92</v>
      </c>
      <c r="F4862" s="8" t="n">
        <v>46108</v>
      </c>
      <c r="G4862" s="9" t="n">
        <v>9930.92</v>
      </c>
      <c r="H4862" t="inlineStr">
        <is>
          <t>PAID_ON_TIME</t>
        </is>
      </c>
      <c r="I4862">
        <f>IF(H4862="UNPAID", AsOfDate-D4862, 0)</f>
        <v/>
      </c>
      <c r="J4862">
        <f>IF(F4862&lt;&gt;"", TEXT(F4862, "yyyy-mm"), "")</f>
        <v/>
      </c>
    </row>
    <row r="4863">
      <c r="A4863" t="inlineStr">
        <is>
          <t>RP0004862</t>
        </is>
      </c>
      <c r="B4863" t="inlineStr">
        <is>
          <t>LN200687</t>
        </is>
      </c>
      <c r="C4863" t="n">
        <v>11</v>
      </c>
      <c r="D4863" s="8" t="n">
        <v>46137</v>
      </c>
      <c r="E4863" s="9" t="n">
        <v>9930.92</v>
      </c>
      <c r="F4863" s="8" t="n">
        <v>46134</v>
      </c>
      <c r="G4863" s="9" t="n">
        <v>9930.92</v>
      </c>
      <c r="H4863" t="inlineStr">
        <is>
          <t>PAID_ON_TIME</t>
        </is>
      </c>
      <c r="I4863">
        <f>IF(H4863="UNPAID", AsOfDate-D4863, 0)</f>
        <v/>
      </c>
      <c r="J4863">
        <f>IF(F4863&lt;&gt;"", TEXT(F4863, "yyyy-mm"), "")</f>
        <v/>
      </c>
    </row>
    <row r="4864">
      <c r="A4864" t="inlineStr">
        <is>
          <t>RP0004863</t>
        </is>
      </c>
      <c r="B4864" t="inlineStr">
        <is>
          <t>LN200687</t>
        </is>
      </c>
      <c r="C4864" t="n">
        <v>12</v>
      </c>
      <c r="D4864" s="8" t="n">
        <v>46167</v>
      </c>
      <c r="E4864" s="9" t="n">
        <v>9930.92</v>
      </c>
      <c r="F4864" s="8" t="n">
        <v>46171</v>
      </c>
      <c r="G4864" s="9" t="n">
        <v>9930.92</v>
      </c>
      <c r="H4864" t="inlineStr">
        <is>
          <t>PAID_ON_TIME</t>
        </is>
      </c>
      <c r="I4864">
        <f>IF(H4864="UNPAID", AsOfDate-D4864, 0)</f>
        <v/>
      </c>
      <c r="J4864">
        <f>IF(F4864&lt;&gt;"", TEXT(F4864, "yyyy-mm"), "")</f>
        <v/>
      </c>
    </row>
    <row r="4865">
      <c r="A4865" t="inlineStr">
        <is>
          <t>RP0004864</t>
        </is>
      </c>
      <c r="B4865" t="inlineStr">
        <is>
          <t>LN200688</t>
        </is>
      </c>
      <c r="C4865" t="n">
        <v>1</v>
      </c>
      <c r="D4865" s="8" t="n">
        <v>45768</v>
      </c>
      <c r="E4865" s="9" t="n">
        <v>8938.42</v>
      </c>
      <c r="F4865" s="8" t="n">
        <v>45878</v>
      </c>
      <c r="G4865" s="9" t="n">
        <v>8938.42</v>
      </c>
      <c r="H4865" t="inlineStr">
        <is>
          <t>PAID_LATE</t>
        </is>
      </c>
      <c r="I4865">
        <f>IF(H4865="UNPAID", AsOfDate-D4865, 0)</f>
        <v/>
      </c>
      <c r="J4865">
        <f>IF(F4865&lt;&gt;"", TEXT(F4865, "yyyy-mm"), "")</f>
        <v/>
      </c>
    </row>
    <row r="4866">
      <c r="A4866" t="inlineStr">
        <is>
          <t>RP0004865</t>
        </is>
      </c>
      <c r="B4866" t="inlineStr">
        <is>
          <t>LN200688</t>
        </is>
      </c>
      <c r="C4866" t="n">
        <v>2</v>
      </c>
      <c r="D4866" s="8" t="n">
        <v>45798</v>
      </c>
      <c r="E4866" s="9" t="n">
        <v>8938.42</v>
      </c>
      <c r="F4866" s="8" t="n">
        <v>45799</v>
      </c>
      <c r="G4866" s="9" t="n">
        <v>8938.42</v>
      </c>
      <c r="H4866" t="inlineStr">
        <is>
          <t>PAID_ON_TIME</t>
        </is>
      </c>
      <c r="I4866">
        <f>IF(H4866="UNPAID", AsOfDate-D4866, 0)</f>
        <v/>
      </c>
      <c r="J4866">
        <f>IF(F4866&lt;&gt;"", TEXT(F4866, "yyyy-mm"), "")</f>
        <v/>
      </c>
    </row>
    <row r="4867">
      <c r="A4867" t="inlineStr">
        <is>
          <t>RP0004866</t>
        </is>
      </c>
      <c r="B4867" t="inlineStr">
        <is>
          <t>LN200688</t>
        </is>
      </c>
      <c r="C4867" t="n">
        <v>3</v>
      </c>
      <c r="D4867" s="8" t="n">
        <v>45829</v>
      </c>
      <c r="E4867" s="9" t="n">
        <v>8938.42</v>
      </c>
      <c r="F4867" s="8" t="n">
        <v>45832</v>
      </c>
      <c r="G4867" s="9" t="n">
        <v>8938.42</v>
      </c>
      <c r="H4867" t="inlineStr">
        <is>
          <t>PAID_ON_TIME</t>
        </is>
      </c>
      <c r="I4867">
        <f>IF(H4867="UNPAID", AsOfDate-D4867, 0)</f>
        <v/>
      </c>
      <c r="J4867">
        <f>IF(F4867&lt;&gt;"", TEXT(F4867, "yyyy-mm"), "")</f>
        <v/>
      </c>
    </row>
    <row r="4868">
      <c r="A4868" t="inlineStr">
        <is>
          <t>RP0004867</t>
        </is>
      </c>
      <c r="B4868" t="inlineStr">
        <is>
          <t>LN200688</t>
        </is>
      </c>
      <c r="C4868" t="n">
        <v>4</v>
      </c>
      <c r="D4868" s="8" t="n">
        <v>45859</v>
      </c>
      <c r="E4868" s="9" t="n">
        <v>8938.42</v>
      </c>
      <c r="F4868" s="8" t="n">
        <v>45859</v>
      </c>
      <c r="G4868" s="9" t="n">
        <v>8938.42</v>
      </c>
      <c r="H4868" t="inlineStr">
        <is>
          <t>PAID_ON_TIME</t>
        </is>
      </c>
      <c r="I4868">
        <f>IF(H4868="UNPAID", AsOfDate-D4868, 0)</f>
        <v/>
      </c>
      <c r="J4868">
        <f>IF(F4868&lt;&gt;"", TEXT(F4868, "yyyy-mm"), "")</f>
        <v/>
      </c>
    </row>
    <row r="4869">
      <c r="A4869" t="inlineStr">
        <is>
          <t>RP0004868</t>
        </is>
      </c>
      <c r="B4869" t="inlineStr">
        <is>
          <t>LN200688</t>
        </is>
      </c>
      <c r="C4869" t="n">
        <v>5</v>
      </c>
      <c r="D4869" s="8" t="n">
        <v>45890</v>
      </c>
      <c r="E4869" s="9" t="n">
        <v>8938.42</v>
      </c>
      <c r="F4869" s="8" t="n">
        <v>45894</v>
      </c>
      <c r="G4869" s="9" t="n">
        <v>8938.42</v>
      </c>
      <c r="H4869" t="inlineStr">
        <is>
          <t>PAID_ON_TIME</t>
        </is>
      </c>
      <c r="I4869">
        <f>IF(H4869="UNPAID", AsOfDate-D4869, 0)</f>
        <v/>
      </c>
      <c r="J4869">
        <f>IF(F4869&lt;&gt;"", TEXT(F4869, "yyyy-mm"), "")</f>
        <v/>
      </c>
    </row>
    <row r="4870">
      <c r="A4870" t="inlineStr">
        <is>
          <t>RP0004869</t>
        </is>
      </c>
      <c r="B4870" t="inlineStr">
        <is>
          <t>LN200688</t>
        </is>
      </c>
      <c r="C4870" t="n">
        <v>6</v>
      </c>
      <c r="D4870" s="8" t="n">
        <v>45921</v>
      </c>
      <c r="E4870" s="9" t="n">
        <v>8938.42</v>
      </c>
      <c r="F4870" s="8" t="n">
        <v>45920</v>
      </c>
      <c r="G4870" s="9" t="n">
        <v>8938.42</v>
      </c>
      <c r="H4870" t="inlineStr">
        <is>
          <t>PAID_ON_TIME</t>
        </is>
      </c>
      <c r="I4870">
        <f>IF(H4870="UNPAID", AsOfDate-D4870, 0)</f>
        <v/>
      </c>
      <c r="J4870">
        <f>IF(F4870&lt;&gt;"", TEXT(F4870, "yyyy-mm"), "")</f>
        <v/>
      </c>
    </row>
    <row r="4871">
      <c r="A4871" t="inlineStr">
        <is>
          <t>RP0004870</t>
        </is>
      </c>
      <c r="B4871" t="inlineStr">
        <is>
          <t>LN200689</t>
        </is>
      </c>
      <c r="C4871" t="n">
        <v>1</v>
      </c>
      <c r="D4871" s="8" t="n">
        <v>45983</v>
      </c>
      <c r="E4871" s="9" t="n">
        <v>30172.5</v>
      </c>
      <c r="F4871" s="8" t="n">
        <v>45981</v>
      </c>
      <c r="G4871" s="9" t="n">
        <v>30172.5</v>
      </c>
      <c r="H4871" t="inlineStr">
        <is>
          <t>PAID_ON_TIME</t>
        </is>
      </c>
      <c r="I4871">
        <f>IF(H4871="UNPAID", AsOfDate-D4871, 0)</f>
        <v/>
      </c>
      <c r="J4871">
        <f>IF(F4871&lt;&gt;"", TEXT(F4871, "yyyy-mm"), "")</f>
        <v/>
      </c>
    </row>
    <row r="4872">
      <c r="A4872" t="inlineStr">
        <is>
          <t>RP0004871</t>
        </is>
      </c>
      <c r="B4872" t="inlineStr">
        <is>
          <t>LN200689</t>
        </is>
      </c>
      <c r="C4872" t="n">
        <v>2</v>
      </c>
      <c r="D4872" s="8" t="n">
        <v>46013</v>
      </c>
      <c r="E4872" s="9" t="n">
        <v>30172.5</v>
      </c>
      <c r="F4872" s="8" t="n">
        <v>46016</v>
      </c>
      <c r="G4872" s="9" t="n">
        <v>30172.5</v>
      </c>
      <c r="H4872" t="inlineStr">
        <is>
          <t>PAID_ON_TIME</t>
        </is>
      </c>
      <c r="I4872">
        <f>IF(H4872="UNPAID", AsOfDate-D4872, 0)</f>
        <v/>
      </c>
      <c r="J4872">
        <f>IF(F4872&lt;&gt;"", TEXT(F4872, "yyyy-mm"), "")</f>
        <v/>
      </c>
    </row>
    <row r="4873">
      <c r="A4873" t="inlineStr">
        <is>
          <t>RP0004872</t>
        </is>
      </c>
      <c r="B4873" t="inlineStr">
        <is>
          <t>LN200689</t>
        </is>
      </c>
      <c r="C4873" t="n">
        <v>3</v>
      </c>
      <c r="D4873" s="8" t="n">
        <v>46044</v>
      </c>
      <c r="E4873" s="9" t="n">
        <v>30172.5</v>
      </c>
      <c r="F4873" s="8" t="n">
        <v>46137</v>
      </c>
      <c r="G4873" s="9" t="n">
        <v>30172.5</v>
      </c>
      <c r="H4873" t="inlineStr">
        <is>
          <t>PAID_LATE</t>
        </is>
      </c>
      <c r="I4873">
        <f>IF(H4873="UNPAID", AsOfDate-D4873, 0)</f>
        <v/>
      </c>
      <c r="J4873">
        <f>IF(F4873&lt;&gt;"", TEXT(F4873, "yyyy-mm"), "")</f>
        <v/>
      </c>
    </row>
    <row r="4874">
      <c r="A4874" t="inlineStr">
        <is>
          <t>RP0004873</t>
        </is>
      </c>
      <c r="B4874" t="inlineStr">
        <is>
          <t>LN200689</t>
        </is>
      </c>
      <c r="C4874" t="n">
        <v>4</v>
      </c>
      <c r="D4874" s="8" t="n">
        <v>46075</v>
      </c>
      <c r="E4874" s="9" t="n">
        <v>30172.5</v>
      </c>
      <c r="F4874" s="8" t="n">
        <v>46072</v>
      </c>
      <c r="G4874" s="9" t="n">
        <v>30172.5</v>
      </c>
      <c r="H4874" t="inlineStr">
        <is>
          <t>PAID_ON_TIME</t>
        </is>
      </c>
      <c r="I4874">
        <f>IF(H4874="UNPAID", AsOfDate-D4874, 0)</f>
        <v/>
      </c>
      <c r="J4874">
        <f>IF(F4874&lt;&gt;"", TEXT(F4874, "yyyy-mm"), "")</f>
        <v/>
      </c>
    </row>
    <row r="4875">
      <c r="A4875" t="inlineStr">
        <is>
          <t>RP0004874</t>
        </is>
      </c>
      <c r="B4875" t="inlineStr">
        <is>
          <t>LN200689</t>
        </is>
      </c>
      <c r="C4875" t="n">
        <v>5</v>
      </c>
      <c r="D4875" s="8" t="n">
        <v>46103</v>
      </c>
      <c r="E4875" s="9" t="n">
        <v>30172.5</v>
      </c>
      <c r="F4875" s="8" t="n">
        <v>46103</v>
      </c>
      <c r="G4875" s="9" t="n">
        <v>30172.5</v>
      </c>
      <c r="H4875" t="inlineStr">
        <is>
          <t>PAID_ON_TIME</t>
        </is>
      </c>
      <c r="I4875">
        <f>IF(H4875="UNPAID", AsOfDate-D4875, 0)</f>
        <v/>
      </c>
      <c r="J4875">
        <f>IF(F4875&lt;&gt;"", TEXT(F4875, "yyyy-mm"), "")</f>
        <v/>
      </c>
    </row>
    <row r="4876">
      <c r="A4876" t="inlineStr">
        <is>
          <t>RP0004875</t>
        </is>
      </c>
      <c r="B4876" t="inlineStr">
        <is>
          <t>LN200689</t>
        </is>
      </c>
      <c r="C4876" t="n">
        <v>6</v>
      </c>
      <c r="D4876" s="8" t="n">
        <v>46134</v>
      </c>
      <c r="E4876" s="9" t="n">
        <v>30172.5</v>
      </c>
      <c r="F4876" s="8" t="n">
        <v>46230</v>
      </c>
      <c r="G4876" s="9" t="n">
        <v>30172.5</v>
      </c>
      <c r="H4876" t="inlineStr">
        <is>
          <t>PAID_LATE</t>
        </is>
      </c>
      <c r="I4876">
        <f>IF(H4876="UNPAID", AsOfDate-D4876, 0)</f>
        <v/>
      </c>
      <c r="J4876">
        <f>IF(F4876&lt;&gt;"", TEXT(F4876, "yyyy-mm"), "")</f>
        <v/>
      </c>
    </row>
    <row r="4877">
      <c r="A4877" t="inlineStr">
        <is>
          <t>RP0004876</t>
        </is>
      </c>
      <c r="B4877" t="inlineStr">
        <is>
          <t>LN200690</t>
        </is>
      </c>
      <c r="C4877" t="n">
        <v>1</v>
      </c>
      <c r="D4877" s="8" t="n">
        <v>46244</v>
      </c>
      <c r="E4877" s="9" t="n">
        <v>59899.5</v>
      </c>
      <c r="F4877" s="8" t="n">
        <v>46243</v>
      </c>
      <c r="G4877" s="9" t="n">
        <v>59899.5</v>
      </c>
      <c r="H4877" t="inlineStr">
        <is>
          <t>PAID_ON_TIME</t>
        </is>
      </c>
      <c r="I4877">
        <f>IF(H4877="UNPAID", AsOfDate-D4877, 0)</f>
        <v/>
      </c>
      <c r="J4877">
        <f>IF(F4877&lt;&gt;"", TEXT(F4877, "yyyy-mm"), "")</f>
        <v/>
      </c>
    </row>
    <row r="4878">
      <c r="A4878" t="inlineStr">
        <is>
          <t>RP0004877</t>
        </is>
      </c>
      <c r="B4878" t="inlineStr">
        <is>
          <t>LN200690</t>
        </is>
      </c>
      <c r="C4878" t="n">
        <v>2</v>
      </c>
      <c r="D4878" s="8" t="n">
        <v>46275</v>
      </c>
      <c r="E4878" s="9" t="n">
        <v>59899.5</v>
      </c>
      <c r="F4878" s="8" t="n"/>
      <c r="G4878" s="9" t="n">
        <v>0</v>
      </c>
      <c r="H4878" t="inlineStr">
        <is>
          <t>NOT_DUE</t>
        </is>
      </c>
      <c r="I4878">
        <f>IF(H4878="UNPAID", AsOfDate-D4878, 0)</f>
        <v/>
      </c>
      <c r="J4878">
        <f>IF(F4878&lt;&gt;"", TEXT(F4878, "yyyy-mm"), "")</f>
        <v/>
      </c>
    </row>
    <row r="4879">
      <c r="A4879" t="inlineStr">
        <is>
          <t>RP0004878</t>
        </is>
      </c>
      <c r="B4879" t="inlineStr">
        <is>
          <t>LN200690</t>
        </is>
      </c>
      <c r="C4879" t="n">
        <v>3</v>
      </c>
      <c r="D4879" s="8" t="n">
        <v>46305</v>
      </c>
      <c r="E4879" s="9" t="n">
        <v>59899.5</v>
      </c>
      <c r="F4879" s="8" t="n"/>
      <c r="G4879" s="9" t="n">
        <v>0</v>
      </c>
      <c r="H4879" t="inlineStr">
        <is>
          <t>NOT_DUE</t>
        </is>
      </c>
      <c r="I4879">
        <f>IF(H4879="UNPAID", AsOfDate-D4879, 0)</f>
        <v/>
      </c>
      <c r="J4879">
        <f>IF(F4879&lt;&gt;"", TEXT(F4879, "yyyy-mm"), "")</f>
        <v/>
      </c>
    </row>
    <row r="4880">
      <c r="A4880" t="inlineStr">
        <is>
          <t>RP0004879</t>
        </is>
      </c>
      <c r="B4880" t="inlineStr">
        <is>
          <t>LN200691</t>
        </is>
      </c>
      <c r="C4880" t="n">
        <v>1</v>
      </c>
      <c r="D4880" s="8" t="n">
        <v>45848</v>
      </c>
      <c r="E4880" s="9" t="n">
        <v>12913.97</v>
      </c>
      <c r="F4880" s="8" t="n">
        <v>45845</v>
      </c>
      <c r="G4880" s="9" t="n">
        <v>12913.97</v>
      </c>
      <c r="H4880" t="inlineStr">
        <is>
          <t>PAID_ON_TIME</t>
        </is>
      </c>
      <c r="I4880">
        <f>IF(H4880="UNPAID", AsOfDate-D4880, 0)</f>
        <v/>
      </c>
      <c r="J4880">
        <f>IF(F4880&lt;&gt;"", TEXT(F4880, "yyyy-mm"), "")</f>
        <v/>
      </c>
    </row>
    <row r="4881">
      <c r="A4881" t="inlineStr">
        <is>
          <t>RP0004880</t>
        </is>
      </c>
      <c r="B4881" t="inlineStr">
        <is>
          <t>LN200691</t>
        </is>
      </c>
      <c r="C4881" t="n">
        <v>2</v>
      </c>
      <c r="D4881" s="8" t="n">
        <v>45879</v>
      </c>
      <c r="E4881" s="9" t="n">
        <v>12913.97</v>
      </c>
      <c r="F4881" s="8" t="n">
        <v>45882</v>
      </c>
      <c r="G4881" s="9" t="n">
        <v>12913.97</v>
      </c>
      <c r="H4881" t="inlineStr">
        <is>
          <t>PAID_ON_TIME</t>
        </is>
      </c>
      <c r="I4881">
        <f>IF(H4881="UNPAID", AsOfDate-D4881, 0)</f>
        <v/>
      </c>
      <c r="J4881">
        <f>IF(F4881&lt;&gt;"", TEXT(F4881, "yyyy-mm"), "")</f>
        <v/>
      </c>
    </row>
    <row r="4882">
      <c r="A4882" t="inlineStr">
        <is>
          <t>RP0004881</t>
        </is>
      </c>
      <c r="B4882" t="inlineStr">
        <is>
          <t>LN200691</t>
        </is>
      </c>
      <c r="C4882" t="n">
        <v>3</v>
      </c>
      <c r="D4882" s="8" t="n">
        <v>45910</v>
      </c>
      <c r="E4882" s="9" t="n">
        <v>12913.97</v>
      </c>
      <c r="F4882" s="8" t="n">
        <v>45911</v>
      </c>
      <c r="G4882" s="9" t="n">
        <v>12913.97</v>
      </c>
      <c r="H4882" t="inlineStr">
        <is>
          <t>PAID_ON_TIME</t>
        </is>
      </c>
      <c r="I4882">
        <f>IF(H4882="UNPAID", AsOfDate-D4882, 0)</f>
        <v/>
      </c>
      <c r="J4882">
        <f>IF(F4882&lt;&gt;"", TEXT(F4882, "yyyy-mm"), "")</f>
        <v/>
      </c>
    </row>
    <row r="4883">
      <c r="A4883" t="inlineStr">
        <is>
          <t>RP0004882</t>
        </is>
      </c>
      <c r="B4883" t="inlineStr">
        <is>
          <t>LN200691</t>
        </is>
      </c>
      <c r="C4883" t="n">
        <v>4</v>
      </c>
      <c r="D4883" s="8" t="n">
        <v>45940</v>
      </c>
      <c r="E4883" s="9" t="n">
        <v>12913.97</v>
      </c>
      <c r="F4883" s="8" t="n">
        <v>45942</v>
      </c>
      <c r="G4883" s="9" t="n">
        <v>12913.97</v>
      </c>
      <c r="H4883" t="inlineStr">
        <is>
          <t>PAID_ON_TIME</t>
        </is>
      </c>
      <c r="I4883">
        <f>IF(H4883="UNPAID", AsOfDate-D4883, 0)</f>
        <v/>
      </c>
      <c r="J4883">
        <f>IF(F4883&lt;&gt;"", TEXT(F4883, "yyyy-mm"), "")</f>
        <v/>
      </c>
    </row>
    <row r="4884">
      <c r="A4884" t="inlineStr">
        <is>
          <t>RP0004883</t>
        </is>
      </c>
      <c r="B4884" t="inlineStr">
        <is>
          <t>LN200691</t>
        </is>
      </c>
      <c r="C4884" t="n">
        <v>5</v>
      </c>
      <c r="D4884" s="8" t="n">
        <v>45971</v>
      </c>
      <c r="E4884" s="9" t="n">
        <v>12913.97</v>
      </c>
      <c r="F4884" s="8" t="n">
        <v>45974</v>
      </c>
      <c r="G4884" s="9" t="n">
        <v>12913.97</v>
      </c>
      <c r="H4884" t="inlineStr">
        <is>
          <t>PAID_ON_TIME</t>
        </is>
      </c>
      <c r="I4884">
        <f>IF(H4884="UNPAID", AsOfDate-D4884, 0)</f>
        <v/>
      </c>
      <c r="J4884">
        <f>IF(F4884&lt;&gt;"", TEXT(F4884, "yyyy-mm"), "")</f>
        <v/>
      </c>
    </row>
    <row r="4885">
      <c r="A4885" t="inlineStr">
        <is>
          <t>RP0004884</t>
        </is>
      </c>
      <c r="B4885" t="inlineStr">
        <is>
          <t>LN200691</t>
        </is>
      </c>
      <c r="C4885" t="n">
        <v>6</v>
      </c>
      <c r="D4885" s="8" t="n">
        <v>46001</v>
      </c>
      <c r="E4885" s="9" t="n">
        <v>12913.97</v>
      </c>
      <c r="F4885" s="8" t="n"/>
      <c r="G4885" s="9" t="n">
        <v>0</v>
      </c>
      <c r="H4885" t="inlineStr">
        <is>
          <t>UNPAID</t>
        </is>
      </c>
      <c r="I4885">
        <f>IF(H4885="UNPAID", AsOfDate-D4885, 0)</f>
        <v/>
      </c>
      <c r="J4885">
        <f>IF(F4885&lt;&gt;"", TEXT(F4885, "yyyy-mm"), "")</f>
        <v/>
      </c>
    </row>
    <row r="4886">
      <c r="A4886" t="inlineStr">
        <is>
          <t>RP0004885</t>
        </is>
      </c>
      <c r="B4886" t="inlineStr">
        <is>
          <t>LN200691</t>
        </is>
      </c>
      <c r="C4886" t="n">
        <v>7</v>
      </c>
      <c r="D4886" s="8" t="n">
        <v>46032</v>
      </c>
      <c r="E4886" s="9" t="n">
        <v>12913.97</v>
      </c>
      <c r="F4886" s="8" t="n">
        <v>46031</v>
      </c>
      <c r="G4886" s="9" t="n">
        <v>12913.97</v>
      </c>
      <c r="H4886" t="inlineStr">
        <is>
          <t>PAID_ON_TIME</t>
        </is>
      </c>
      <c r="I4886">
        <f>IF(H4886="UNPAID", AsOfDate-D4886, 0)</f>
        <v/>
      </c>
      <c r="J4886">
        <f>IF(F4886&lt;&gt;"", TEXT(F4886, "yyyy-mm"), "")</f>
        <v/>
      </c>
    </row>
    <row r="4887">
      <c r="A4887" t="inlineStr">
        <is>
          <t>RP0004886</t>
        </is>
      </c>
      <c r="B4887" t="inlineStr">
        <is>
          <t>LN200691</t>
        </is>
      </c>
      <c r="C4887" t="n">
        <v>8</v>
      </c>
      <c r="D4887" s="8" t="n">
        <v>46063</v>
      </c>
      <c r="E4887" s="9" t="n">
        <v>12913.97</v>
      </c>
      <c r="F4887" s="8" t="n"/>
      <c r="G4887" s="9" t="n">
        <v>0</v>
      </c>
      <c r="H4887" t="inlineStr">
        <is>
          <t>UNPAID</t>
        </is>
      </c>
      <c r="I4887">
        <f>IF(H4887="UNPAID", AsOfDate-D4887, 0)</f>
        <v/>
      </c>
      <c r="J4887">
        <f>IF(F4887&lt;&gt;"", TEXT(F4887, "yyyy-mm"), "")</f>
        <v/>
      </c>
    </row>
    <row r="4888">
      <c r="A4888" t="inlineStr">
        <is>
          <t>RP0004887</t>
        </is>
      </c>
      <c r="B4888" t="inlineStr">
        <is>
          <t>LN200691</t>
        </is>
      </c>
      <c r="C4888" t="n">
        <v>9</v>
      </c>
      <c r="D4888" s="8" t="n">
        <v>46091</v>
      </c>
      <c r="E4888" s="9" t="n">
        <v>12913.97</v>
      </c>
      <c r="F4888" s="8" t="n">
        <v>46094</v>
      </c>
      <c r="G4888" s="9" t="n">
        <v>12913.97</v>
      </c>
      <c r="H4888" t="inlineStr">
        <is>
          <t>PAID_ON_TIME</t>
        </is>
      </c>
      <c r="I4888">
        <f>IF(H4888="UNPAID", AsOfDate-D4888, 0)</f>
        <v/>
      </c>
      <c r="J4888">
        <f>IF(F4888&lt;&gt;"", TEXT(F4888, "yyyy-mm"), "")</f>
        <v/>
      </c>
    </row>
    <row r="4889">
      <c r="A4889" t="inlineStr">
        <is>
          <t>RP0004888</t>
        </is>
      </c>
      <c r="B4889" t="inlineStr">
        <is>
          <t>LN200692</t>
        </is>
      </c>
      <c r="C4889" t="n">
        <v>1</v>
      </c>
      <c r="D4889" s="8" t="n">
        <v>46134</v>
      </c>
      <c r="E4889" s="9" t="n">
        <v>7275.67</v>
      </c>
      <c r="F4889" s="8" t="n">
        <v>46134</v>
      </c>
      <c r="G4889" s="9" t="n">
        <v>7275.67</v>
      </c>
      <c r="H4889" t="inlineStr">
        <is>
          <t>PAID_ON_TIME</t>
        </is>
      </c>
      <c r="I4889">
        <f>IF(H4889="UNPAID", AsOfDate-D4889, 0)</f>
        <v/>
      </c>
      <c r="J4889">
        <f>IF(F4889&lt;&gt;"", TEXT(F4889, "yyyy-mm"), "")</f>
        <v/>
      </c>
    </row>
    <row r="4890">
      <c r="A4890" t="inlineStr">
        <is>
          <t>RP0004889</t>
        </is>
      </c>
      <c r="B4890" t="inlineStr">
        <is>
          <t>LN200692</t>
        </is>
      </c>
      <c r="C4890" t="n">
        <v>2</v>
      </c>
      <c r="D4890" s="8" t="n">
        <v>46164</v>
      </c>
      <c r="E4890" s="9" t="n">
        <v>7275.67</v>
      </c>
      <c r="F4890" s="8" t="n">
        <v>46162</v>
      </c>
      <c r="G4890" s="9" t="n">
        <v>7275.67</v>
      </c>
      <c r="H4890" t="inlineStr">
        <is>
          <t>PAID_ON_TIME</t>
        </is>
      </c>
      <c r="I4890">
        <f>IF(H4890="UNPAID", AsOfDate-D4890, 0)</f>
        <v/>
      </c>
      <c r="J4890">
        <f>IF(F4890&lt;&gt;"", TEXT(F4890, "yyyy-mm"), "")</f>
        <v/>
      </c>
    </row>
    <row r="4891">
      <c r="A4891" t="inlineStr">
        <is>
          <t>RP0004890</t>
        </is>
      </c>
      <c r="B4891" t="inlineStr">
        <is>
          <t>LN200692</t>
        </is>
      </c>
      <c r="C4891" t="n">
        <v>3</v>
      </c>
      <c r="D4891" s="8" t="n">
        <v>46195</v>
      </c>
      <c r="E4891" s="9" t="n">
        <v>7275.67</v>
      </c>
      <c r="F4891" s="8" t="n">
        <v>46196</v>
      </c>
      <c r="G4891" s="9" t="n">
        <v>7275.67</v>
      </c>
      <c r="H4891" t="inlineStr">
        <is>
          <t>PAID_ON_TIME</t>
        </is>
      </c>
      <c r="I4891">
        <f>IF(H4891="UNPAID", AsOfDate-D4891, 0)</f>
        <v/>
      </c>
      <c r="J4891">
        <f>IF(F4891&lt;&gt;"", TEXT(F4891, "yyyy-mm"), "")</f>
        <v/>
      </c>
    </row>
    <row r="4892">
      <c r="A4892" t="inlineStr">
        <is>
          <t>RP0004891</t>
        </is>
      </c>
      <c r="B4892" t="inlineStr">
        <is>
          <t>LN200692</t>
        </is>
      </c>
      <c r="C4892" t="n">
        <v>4</v>
      </c>
      <c r="D4892" s="8" t="n">
        <v>46225</v>
      </c>
      <c r="E4892" s="9" t="n">
        <v>7275.67</v>
      </c>
      <c r="F4892" s="8" t="n">
        <v>46227</v>
      </c>
      <c r="G4892" s="9" t="n">
        <v>7275.67</v>
      </c>
      <c r="H4892" t="inlineStr">
        <is>
          <t>PAID_ON_TIME</t>
        </is>
      </c>
      <c r="I4892">
        <f>IF(H4892="UNPAID", AsOfDate-D4892, 0)</f>
        <v/>
      </c>
      <c r="J4892">
        <f>IF(F4892&lt;&gt;"", TEXT(F4892, "yyyy-mm"), "")</f>
        <v/>
      </c>
    </row>
    <row r="4893">
      <c r="A4893" t="inlineStr">
        <is>
          <t>RP0004892</t>
        </is>
      </c>
      <c r="B4893" t="inlineStr">
        <is>
          <t>LN200692</t>
        </is>
      </c>
      <c r="C4893" t="n">
        <v>5</v>
      </c>
      <c r="D4893" s="8" t="n">
        <v>46256</v>
      </c>
      <c r="E4893" s="9" t="n">
        <v>7275.67</v>
      </c>
      <c r="F4893" s="8" t="n"/>
      <c r="G4893" s="9" t="n">
        <v>0</v>
      </c>
      <c r="H4893" t="inlineStr">
        <is>
          <t>UNPAID</t>
        </is>
      </c>
      <c r="I4893">
        <f>IF(H4893="UNPAID", AsOfDate-D4893, 0)</f>
        <v/>
      </c>
      <c r="J4893">
        <f>IF(F4893&lt;&gt;"", TEXT(F4893, "yyyy-mm"), "")</f>
        <v/>
      </c>
    </row>
    <row r="4894">
      <c r="A4894" t="inlineStr">
        <is>
          <t>RP0004893</t>
        </is>
      </c>
      <c r="B4894" t="inlineStr">
        <is>
          <t>LN200692</t>
        </is>
      </c>
      <c r="C4894" t="n">
        <v>6</v>
      </c>
      <c r="D4894" s="8" t="n">
        <v>46287</v>
      </c>
      <c r="E4894" s="9" t="n">
        <v>7275.67</v>
      </c>
      <c r="F4894" s="8" t="n"/>
      <c r="G4894" s="9" t="n">
        <v>0</v>
      </c>
      <c r="H4894" t="inlineStr">
        <is>
          <t>NOT_DUE</t>
        </is>
      </c>
      <c r="I4894">
        <f>IF(H4894="UNPAID", AsOfDate-D4894, 0)</f>
        <v/>
      </c>
      <c r="J4894">
        <f>IF(F4894&lt;&gt;"", TEXT(F4894, "yyyy-mm"), "")</f>
        <v/>
      </c>
    </row>
    <row r="4895">
      <c r="A4895" t="inlineStr">
        <is>
          <t>RP0004894</t>
        </is>
      </c>
      <c r="B4895" t="inlineStr">
        <is>
          <t>LN200692</t>
        </is>
      </c>
      <c r="C4895" t="n">
        <v>7</v>
      </c>
      <c r="D4895" s="8" t="n">
        <v>46317</v>
      </c>
      <c r="E4895" s="9" t="n">
        <v>7275.67</v>
      </c>
      <c r="F4895" s="8" t="n"/>
      <c r="G4895" s="9" t="n">
        <v>0</v>
      </c>
      <c r="H4895" t="inlineStr">
        <is>
          <t>NOT_DUE</t>
        </is>
      </c>
      <c r="I4895">
        <f>IF(H4895="UNPAID", AsOfDate-D4895, 0)</f>
        <v/>
      </c>
      <c r="J4895">
        <f>IF(F4895&lt;&gt;"", TEXT(F4895, "yyyy-mm"), "")</f>
        <v/>
      </c>
    </row>
    <row r="4896">
      <c r="A4896" t="inlineStr">
        <is>
          <t>RP0004895</t>
        </is>
      </c>
      <c r="B4896" t="inlineStr">
        <is>
          <t>LN200692</t>
        </is>
      </c>
      <c r="C4896" t="n">
        <v>8</v>
      </c>
      <c r="D4896" s="8" t="n">
        <v>46348</v>
      </c>
      <c r="E4896" s="9" t="n">
        <v>7275.67</v>
      </c>
      <c r="F4896" s="8" t="n"/>
      <c r="G4896" s="9" t="n">
        <v>0</v>
      </c>
      <c r="H4896" t="inlineStr">
        <is>
          <t>NOT_DUE</t>
        </is>
      </c>
      <c r="I4896">
        <f>IF(H4896="UNPAID", AsOfDate-D4896, 0)</f>
        <v/>
      </c>
      <c r="J4896">
        <f>IF(F4896&lt;&gt;"", TEXT(F4896, "yyyy-mm"), "")</f>
        <v/>
      </c>
    </row>
    <row r="4897">
      <c r="A4897" t="inlineStr">
        <is>
          <t>RP0004896</t>
        </is>
      </c>
      <c r="B4897" t="inlineStr">
        <is>
          <t>LN200692</t>
        </is>
      </c>
      <c r="C4897" t="n">
        <v>9</v>
      </c>
      <c r="D4897" s="8" t="n">
        <v>46378</v>
      </c>
      <c r="E4897" s="9" t="n">
        <v>7275.67</v>
      </c>
      <c r="F4897" s="8" t="n"/>
      <c r="G4897" s="9" t="n">
        <v>0</v>
      </c>
      <c r="H4897" t="inlineStr">
        <is>
          <t>NOT_DUE</t>
        </is>
      </c>
      <c r="I4897">
        <f>IF(H4897="UNPAID", AsOfDate-D4897, 0)</f>
        <v/>
      </c>
      <c r="J4897">
        <f>IF(F4897&lt;&gt;"", TEXT(F4897, "yyyy-mm"), "")</f>
        <v/>
      </c>
    </row>
    <row r="4898">
      <c r="A4898" t="inlineStr">
        <is>
          <t>RP0004897</t>
        </is>
      </c>
      <c r="B4898" t="inlineStr">
        <is>
          <t>LN200692</t>
        </is>
      </c>
      <c r="C4898" t="n">
        <v>10</v>
      </c>
      <c r="D4898" s="8" t="n">
        <v>46409</v>
      </c>
      <c r="E4898" s="9" t="n">
        <v>7275.67</v>
      </c>
      <c r="F4898" s="8" t="n"/>
      <c r="G4898" s="9" t="n">
        <v>0</v>
      </c>
      <c r="H4898" t="inlineStr">
        <is>
          <t>NOT_DUE</t>
        </is>
      </c>
      <c r="I4898">
        <f>IF(H4898="UNPAID", AsOfDate-D4898, 0)</f>
        <v/>
      </c>
      <c r="J4898">
        <f>IF(F4898&lt;&gt;"", TEXT(F4898, "yyyy-mm"), "")</f>
        <v/>
      </c>
    </row>
    <row r="4899">
      <c r="A4899" t="inlineStr">
        <is>
          <t>RP0004898</t>
        </is>
      </c>
      <c r="B4899" t="inlineStr">
        <is>
          <t>LN200692</t>
        </is>
      </c>
      <c r="C4899" t="n">
        <v>11</v>
      </c>
      <c r="D4899" s="8" t="n">
        <v>46440</v>
      </c>
      <c r="E4899" s="9" t="n">
        <v>7275.67</v>
      </c>
      <c r="F4899" s="8" t="n"/>
      <c r="G4899" s="9" t="n">
        <v>0</v>
      </c>
      <c r="H4899" t="inlineStr">
        <is>
          <t>NOT_DUE</t>
        </is>
      </c>
      <c r="I4899">
        <f>IF(H4899="UNPAID", AsOfDate-D4899, 0)</f>
        <v/>
      </c>
      <c r="J4899">
        <f>IF(F4899&lt;&gt;"", TEXT(F4899, "yyyy-mm"), "")</f>
        <v/>
      </c>
    </row>
    <row r="4900">
      <c r="A4900" t="inlineStr">
        <is>
          <t>RP0004899</t>
        </is>
      </c>
      <c r="B4900" t="inlineStr">
        <is>
          <t>LN200692</t>
        </is>
      </c>
      <c r="C4900" t="n">
        <v>12</v>
      </c>
      <c r="D4900" s="8" t="n">
        <v>46468</v>
      </c>
      <c r="E4900" s="9" t="n">
        <v>7275.67</v>
      </c>
      <c r="F4900" s="8" t="n"/>
      <c r="G4900" s="9" t="n">
        <v>0</v>
      </c>
      <c r="H4900" t="inlineStr">
        <is>
          <t>NOT_DUE</t>
        </is>
      </c>
      <c r="I4900">
        <f>IF(H4900="UNPAID", AsOfDate-D4900, 0)</f>
        <v/>
      </c>
      <c r="J4900">
        <f>IF(F4900&lt;&gt;"", TEXT(F4900, "yyyy-mm"), "")</f>
        <v/>
      </c>
    </row>
    <row r="4901">
      <c r="A4901" t="inlineStr">
        <is>
          <t>RP0004900</t>
        </is>
      </c>
      <c r="B4901" t="inlineStr">
        <is>
          <t>LN200693</t>
        </is>
      </c>
      <c r="C4901" t="n">
        <v>1</v>
      </c>
      <c r="D4901" s="8" t="n">
        <v>46214</v>
      </c>
      <c r="E4901" s="9" t="n">
        <v>18539.86</v>
      </c>
      <c r="F4901" s="8" t="n"/>
      <c r="G4901" s="9" t="n">
        <v>0</v>
      </c>
      <c r="H4901" t="inlineStr">
        <is>
          <t>UNPAID</t>
        </is>
      </c>
      <c r="I4901">
        <f>IF(H4901="UNPAID", AsOfDate-D4901, 0)</f>
        <v/>
      </c>
      <c r="J4901">
        <f>IF(F4901&lt;&gt;"", TEXT(F4901, "yyyy-mm"), "")</f>
        <v/>
      </c>
    </row>
    <row r="4902">
      <c r="A4902" t="inlineStr">
        <is>
          <t>RP0004901</t>
        </is>
      </c>
      <c r="B4902" t="inlineStr">
        <is>
          <t>LN200693</t>
        </is>
      </c>
      <c r="C4902" t="n">
        <v>2</v>
      </c>
      <c r="D4902" s="8" t="n">
        <v>46245</v>
      </c>
      <c r="E4902" s="9" t="n">
        <v>18539.86</v>
      </c>
      <c r="F4902" s="8" t="n">
        <v>46248</v>
      </c>
      <c r="G4902" s="9" t="n">
        <v>18539.86</v>
      </c>
      <c r="H4902" t="inlineStr">
        <is>
          <t>PAID_ON_TIME</t>
        </is>
      </c>
      <c r="I4902">
        <f>IF(H4902="UNPAID", AsOfDate-D4902, 0)</f>
        <v/>
      </c>
      <c r="J4902">
        <f>IF(F4902&lt;&gt;"", TEXT(F4902, "yyyy-mm"), "")</f>
        <v/>
      </c>
    </row>
    <row r="4903">
      <c r="A4903" t="inlineStr">
        <is>
          <t>RP0004902</t>
        </is>
      </c>
      <c r="B4903" t="inlineStr">
        <is>
          <t>LN200693</t>
        </is>
      </c>
      <c r="C4903" t="n">
        <v>3</v>
      </c>
      <c r="D4903" s="8" t="n">
        <v>46276</v>
      </c>
      <c r="E4903" s="9" t="n">
        <v>18539.86</v>
      </c>
      <c r="F4903" s="8" t="n"/>
      <c r="G4903" s="9" t="n">
        <v>0</v>
      </c>
      <c r="H4903" t="inlineStr">
        <is>
          <t>NOT_DUE</t>
        </is>
      </c>
      <c r="I4903">
        <f>IF(H4903="UNPAID", AsOfDate-D4903, 0)</f>
        <v/>
      </c>
      <c r="J4903">
        <f>IF(F4903&lt;&gt;"", TEXT(F4903, "yyyy-mm"), "")</f>
        <v/>
      </c>
    </row>
    <row r="4904">
      <c r="A4904" t="inlineStr">
        <is>
          <t>RP0004903</t>
        </is>
      </c>
      <c r="B4904" t="inlineStr">
        <is>
          <t>LN200693</t>
        </is>
      </c>
      <c r="C4904" t="n">
        <v>4</v>
      </c>
      <c r="D4904" s="8" t="n">
        <v>46306</v>
      </c>
      <c r="E4904" s="9" t="n">
        <v>18539.86</v>
      </c>
      <c r="F4904" s="8" t="n"/>
      <c r="G4904" s="9" t="n">
        <v>0</v>
      </c>
      <c r="H4904" t="inlineStr">
        <is>
          <t>NOT_DUE</t>
        </is>
      </c>
      <c r="I4904">
        <f>IF(H4904="UNPAID", AsOfDate-D4904, 0)</f>
        <v/>
      </c>
      <c r="J4904">
        <f>IF(F4904&lt;&gt;"", TEXT(F4904, "yyyy-mm"), "")</f>
        <v/>
      </c>
    </row>
    <row r="4905">
      <c r="A4905" t="inlineStr">
        <is>
          <t>RP0004904</t>
        </is>
      </c>
      <c r="B4905" t="inlineStr">
        <is>
          <t>LN200693</t>
        </is>
      </c>
      <c r="C4905" t="n">
        <v>5</v>
      </c>
      <c r="D4905" s="8" t="n">
        <v>46337</v>
      </c>
      <c r="E4905" s="9" t="n">
        <v>18539.86</v>
      </c>
      <c r="F4905" s="8" t="n"/>
      <c r="G4905" s="9" t="n">
        <v>0</v>
      </c>
      <c r="H4905" t="inlineStr">
        <is>
          <t>NOT_DUE</t>
        </is>
      </c>
      <c r="I4905">
        <f>IF(H4905="UNPAID", AsOfDate-D4905, 0)</f>
        <v/>
      </c>
      <c r="J4905">
        <f>IF(F4905&lt;&gt;"", TEXT(F4905, "yyyy-mm"), "")</f>
        <v/>
      </c>
    </row>
    <row r="4906">
      <c r="A4906" t="inlineStr">
        <is>
          <t>RP0004905</t>
        </is>
      </c>
      <c r="B4906" t="inlineStr">
        <is>
          <t>LN200693</t>
        </is>
      </c>
      <c r="C4906" t="n">
        <v>6</v>
      </c>
      <c r="D4906" s="8" t="n">
        <v>46367</v>
      </c>
      <c r="E4906" s="9" t="n">
        <v>18539.86</v>
      </c>
      <c r="F4906" s="8" t="n"/>
      <c r="G4906" s="9" t="n">
        <v>0</v>
      </c>
      <c r="H4906" t="inlineStr">
        <is>
          <t>NOT_DUE</t>
        </is>
      </c>
      <c r="I4906">
        <f>IF(H4906="UNPAID", AsOfDate-D4906, 0)</f>
        <v/>
      </c>
      <c r="J4906">
        <f>IF(F4906&lt;&gt;"", TEXT(F4906, "yyyy-mm"), "")</f>
        <v/>
      </c>
    </row>
    <row r="4907">
      <c r="A4907" t="inlineStr">
        <is>
          <t>RP0004906</t>
        </is>
      </c>
      <c r="B4907" t="inlineStr">
        <is>
          <t>LN200693</t>
        </is>
      </c>
      <c r="C4907" t="n">
        <v>7</v>
      </c>
      <c r="D4907" s="8" t="n">
        <v>46398</v>
      </c>
      <c r="E4907" s="9" t="n">
        <v>18539.86</v>
      </c>
      <c r="F4907" s="8" t="n"/>
      <c r="G4907" s="9" t="n">
        <v>0</v>
      </c>
      <c r="H4907" t="inlineStr">
        <is>
          <t>NOT_DUE</t>
        </is>
      </c>
      <c r="I4907">
        <f>IF(H4907="UNPAID", AsOfDate-D4907, 0)</f>
        <v/>
      </c>
      <c r="J4907">
        <f>IF(F4907&lt;&gt;"", TEXT(F4907, "yyyy-mm"), "")</f>
        <v/>
      </c>
    </row>
    <row r="4908">
      <c r="A4908" t="inlineStr">
        <is>
          <t>RP0004907</t>
        </is>
      </c>
      <c r="B4908" t="inlineStr">
        <is>
          <t>LN200693</t>
        </is>
      </c>
      <c r="C4908" t="n">
        <v>8</v>
      </c>
      <c r="D4908" s="8" t="n">
        <v>46429</v>
      </c>
      <c r="E4908" s="9" t="n">
        <v>18539.86</v>
      </c>
      <c r="F4908" s="8" t="n"/>
      <c r="G4908" s="9" t="n">
        <v>0</v>
      </c>
      <c r="H4908" t="inlineStr">
        <is>
          <t>NOT_DUE</t>
        </is>
      </c>
      <c r="I4908">
        <f>IF(H4908="UNPAID", AsOfDate-D4908, 0)</f>
        <v/>
      </c>
      <c r="J4908">
        <f>IF(F4908&lt;&gt;"", TEXT(F4908, "yyyy-mm"), "")</f>
        <v/>
      </c>
    </row>
    <row r="4909">
      <c r="A4909" t="inlineStr">
        <is>
          <t>RP0004908</t>
        </is>
      </c>
      <c r="B4909" t="inlineStr">
        <is>
          <t>LN200693</t>
        </is>
      </c>
      <c r="C4909" t="n">
        <v>9</v>
      </c>
      <c r="D4909" s="8" t="n">
        <v>46457</v>
      </c>
      <c r="E4909" s="9" t="n">
        <v>18539.86</v>
      </c>
      <c r="F4909" s="8" t="n"/>
      <c r="G4909" s="9" t="n">
        <v>0</v>
      </c>
      <c r="H4909" t="inlineStr">
        <is>
          <t>NOT_DUE</t>
        </is>
      </c>
      <c r="I4909">
        <f>IF(H4909="UNPAID", AsOfDate-D4909, 0)</f>
        <v/>
      </c>
      <c r="J4909">
        <f>IF(F4909&lt;&gt;"", TEXT(F4909, "yyyy-mm"), "")</f>
        <v/>
      </c>
    </row>
    <row r="4910">
      <c r="A4910" t="inlineStr">
        <is>
          <t>RP0004909</t>
        </is>
      </c>
      <c r="B4910" t="inlineStr">
        <is>
          <t>LN200694</t>
        </is>
      </c>
      <c r="C4910" t="n">
        <v>1</v>
      </c>
      <c r="D4910" s="8" t="n">
        <v>45996</v>
      </c>
      <c r="E4910" s="9" t="n">
        <v>19887.97</v>
      </c>
      <c r="F4910" s="8" t="n">
        <v>46000</v>
      </c>
      <c r="G4910" s="9" t="n">
        <v>19887.97</v>
      </c>
      <c r="H4910" t="inlineStr">
        <is>
          <t>PAID_ON_TIME</t>
        </is>
      </c>
      <c r="I4910">
        <f>IF(H4910="UNPAID", AsOfDate-D4910, 0)</f>
        <v/>
      </c>
      <c r="J4910">
        <f>IF(F4910&lt;&gt;"", TEXT(F4910, "yyyy-mm"), "")</f>
        <v/>
      </c>
    </row>
    <row r="4911">
      <c r="A4911" t="inlineStr">
        <is>
          <t>RP0004910</t>
        </is>
      </c>
      <c r="B4911" t="inlineStr">
        <is>
          <t>LN200694</t>
        </is>
      </c>
      <c r="C4911" t="n">
        <v>2</v>
      </c>
      <c r="D4911" s="8" t="n">
        <v>46027</v>
      </c>
      <c r="E4911" s="9" t="n">
        <v>19887.97</v>
      </c>
      <c r="F4911" s="8" t="n">
        <v>46026</v>
      </c>
      <c r="G4911" s="9" t="n">
        <v>19887.97</v>
      </c>
      <c r="H4911" t="inlineStr">
        <is>
          <t>PAID_ON_TIME</t>
        </is>
      </c>
      <c r="I4911">
        <f>IF(H4911="UNPAID", AsOfDate-D4911, 0)</f>
        <v/>
      </c>
      <c r="J4911">
        <f>IF(F4911&lt;&gt;"", TEXT(F4911, "yyyy-mm"), "")</f>
        <v/>
      </c>
    </row>
    <row r="4912">
      <c r="A4912" t="inlineStr">
        <is>
          <t>RP0004911</t>
        </is>
      </c>
      <c r="B4912" t="inlineStr">
        <is>
          <t>LN200694</t>
        </is>
      </c>
      <c r="C4912" t="n">
        <v>3</v>
      </c>
      <c r="D4912" s="8" t="n">
        <v>46058</v>
      </c>
      <c r="E4912" s="9" t="n">
        <v>19887.97</v>
      </c>
      <c r="F4912" s="8" t="n">
        <v>46060</v>
      </c>
      <c r="G4912" s="9" t="n">
        <v>19887.97</v>
      </c>
      <c r="H4912" t="inlineStr">
        <is>
          <t>PAID_ON_TIME</t>
        </is>
      </c>
      <c r="I4912">
        <f>IF(H4912="UNPAID", AsOfDate-D4912, 0)</f>
        <v/>
      </c>
      <c r="J4912">
        <f>IF(F4912&lt;&gt;"", TEXT(F4912, "yyyy-mm"), "")</f>
        <v/>
      </c>
    </row>
    <row r="4913">
      <c r="A4913" t="inlineStr">
        <is>
          <t>RP0004912</t>
        </is>
      </c>
      <c r="B4913" t="inlineStr">
        <is>
          <t>LN200694</t>
        </is>
      </c>
      <c r="C4913" t="n">
        <v>4</v>
      </c>
      <c r="D4913" s="8" t="n">
        <v>46086</v>
      </c>
      <c r="E4913" s="9" t="n">
        <v>19887.97</v>
      </c>
      <c r="F4913" s="8" t="n">
        <v>46089</v>
      </c>
      <c r="G4913" s="9" t="n">
        <v>19887.97</v>
      </c>
      <c r="H4913" t="inlineStr">
        <is>
          <t>PAID_ON_TIME</t>
        </is>
      </c>
      <c r="I4913">
        <f>IF(H4913="UNPAID", AsOfDate-D4913, 0)</f>
        <v/>
      </c>
      <c r="J4913">
        <f>IF(F4913&lt;&gt;"", TEXT(F4913, "yyyy-mm"), "")</f>
        <v/>
      </c>
    </row>
    <row r="4914">
      <c r="A4914" t="inlineStr">
        <is>
          <t>RP0004913</t>
        </is>
      </c>
      <c r="B4914" t="inlineStr">
        <is>
          <t>LN200694</t>
        </is>
      </c>
      <c r="C4914" t="n">
        <v>5</v>
      </c>
      <c r="D4914" s="8" t="n">
        <v>46117</v>
      </c>
      <c r="E4914" s="9" t="n">
        <v>19887.97</v>
      </c>
      <c r="F4914" s="8" t="n">
        <v>46116</v>
      </c>
      <c r="G4914" s="9" t="n">
        <v>19887.97</v>
      </c>
      <c r="H4914" t="inlineStr">
        <is>
          <t>PAID_ON_TIME</t>
        </is>
      </c>
      <c r="I4914">
        <f>IF(H4914="UNPAID", AsOfDate-D4914, 0)</f>
        <v/>
      </c>
      <c r="J4914">
        <f>IF(F4914&lt;&gt;"", TEXT(F4914, "yyyy-mm"), "")</f>
        <v/>
      </c>
    </row>
    <row r="4915">
      <c r="A4915" t="inlineStr">
        <is>
          <t>RP0004914</t>
        </is>
      </c>
      <c r="B4915" t="inlineStr">
        <is>
          <t>LN200694</t>
        </is>
      </c>
      <c r="C4915" t="n">
        <v>6</v>
      </c>
      <c r="D4915" s="8" t="n">
        <v>46147</v>
      </c>
      <c r="E4915" s="9" t="n">
        <v>19887.97</v>
      </c>
      <c r="F4915" s="8" t="n">
        <v>46147</v>
      </c>
      <c r="G4915" s="9" t="n">
        <v>19887.97</v>
      </c>
      <c r="H4915" t="inlineStr">
        <is>
          <t>PAID_ON_TIME</t>
        </is>
      </c>
      <c r="I4915">
        <f>IF(H4915="UNPAID", AsOfDate-D4915, 0)</f>
        <v/>
      </c>
      <c r="J4915">
        <f>IF(F4915&lt;&gt;"", TEXT(F4915, "yyyy-mm"), "")</f>
        <v/>
      </c>
    </row>
    <row r="4916">
      <c r="A4916" t="inlineStr">
        <is>
          <t>RP0004915</t>
        </is>
      </c>
      <c r="B4916" t="inlineStr">
        <is>
          <t>LN200694</t>
        </is>
      </c>
      <c r="C4916" t="n">
        <v>7</v>
      </c>
      <c r="D4916" s="8" t="n">
        <v>46178</v>
      </c>
      <c r="E4916" s="9" t="n">
        <v>19887.97</v>
      </c>
      <c r="F4916" s="8" t="n">
        <v>46180</v>
      </c>
      <c r="G4916" s="9" t="n">
        <v>19887.97</v>
      </c>
      <c r="H4916" t="inlineStr">
        <is>
          <t>PAID_ON_TIME</t>
        </is>
      </c>
      <c r="I4916">
        <f>IF(H4916="UNPAID", AsOfDate-D4916, 0)</f>
        <v/>
      </c>
      <c r="J4916">
        <f>IF(F4916&lt;&gt;"", TEXT(F4916, "yyyy-mm"), "")</f>
        <v/>
      </c>
    </row>
    <row r="4917">
      <c r="A4917" t="inlineStr">
        <is>
          <t>RP0004916</t>
        </is>
      </c>
      <c r="B4917" t="inlineStr">
        <is>
          <t>LN200694</t>
        </is>
      </c>
      <c r="C4917" t="n">
        <v>8</v>
      </c>
      <c r="D4917" s="8" t="n">
        <v>46208</v>
      </c>
      <c r="E4917" s="9" t="n">
        <v>19887.97</v>
      </c>
      <c r="F4917" s="8" t="n">
        <v>46261</v>
      </c>
      <c r="G4917" s="9" t="n">
        <v>19887.97</v>
      </c>
      <c r="H4917" t="inlineStr">
        <is>
          <t>PAID_LATE</t>
        </is>
      </c>
      <c r="I4917">
        <f>IF(H4917="UNPAID", AsOfDate-D4917, 0)</f>
        <v/>
      </c>
      <c r="J4917">
        <f>IF(F4917&lt;&gt;"", TEXT(F4917, "yyyy-mm"), "")</f>
        <v/>
      </c>
    </row>
    <row r="4918">
      <c r="A4918" t="inlineStr">
        <is>
          <t>RP0004917</t>
        </is>
      </c>
      <c r="B4918" t="inlineStr">
        <is>
          <t>LN200694</t>
        </is>
      </c>
      <c r="C4918" t="n">
        <v>9</v>
      </c>
      <c r="D4918" s="8" t="n">
        <v>46239</v>
      </c>
      <c r="E4918" s="9" t="n">
        <v>19887.97</v>
      </c>
      <c r="F4918" s="8" t="n">
        <v>46237</v>
      </c>
      <c r="G4918" s="9" t="n">
        <v>19887.97</v>
      </c>
      <c r="H4918" t="inlineStr">
        <is>
          <t>PAID_ON_TIME</t>
        </is>
      </c>
      <c r="I4918">
        <f>IF(H4918="UNPAID", AsOfDate-D4918, 0)</f>
        <v/>
      </c>
      <c r="J4918">
        <f>IF(F4918&lt;&gt;"", TEXT(F4918, "yyyy-mm"), "")</f>
        <v/>
      </c>
    </row>
    <row r="4919">
      <c r="A4919" t="inlineStr">
        <is>
          <t>RP0004918</t>
        </is>
      </c>
      <c r="B4919" t="inlineStr">
        <is>
          <t>LN200695</t>
        </is>
      </c>
      <c r="C4919" t="n">
        <v>1</v>
      </c>
      <c r="D4919" s="8" t="n">
        <v>45695</v>
      </c>
      <c r="E4919" s="9" t="n">
        <v>8722.889999999999</v>
      </c>
      <c r="F4919" s="8" t="n">
        <v>45692</v>
      </c>
      <c r="G4919" s="9" t="n">
        <v>8722.889999999999</v>
      </c>
      <c r="H4919" t="inlineStr">
        <is>
          <t>PAID_ON_TIME</t>
        </is>
      </c>
      <c r="I4919">
        <f>IF(H4919="UNPAID", AsOfDate-D4919, 0)</f>
        <v/>
      </c>
      <c r="J4919">
        <f>IF(F4919&lt;&gt;"", TEXT(F4919, "yyyy-mm"), "")</f>
        <v/>
      </c>
    </row>
    <row r="4920">
      <c r="A4920" t="inlineStr">
        <is>
          <t>RP0004919</t>
        </is>
      </c>
      <c r="B4920" t="inlineStr">
        <is>
          <t>LN200695</t>
        </is>
      </c>
      <c r="C4920" t="n">
        <v>2</v>
      </c>
      <c r="D4920" s="8" t="n">
        <v>45723</v>
      </c>
      <c r="E4920" s="9" t="n">
        <v>8722.889999999999</v>
      </c>
      <c r="F4920" s="8" t="n">
        <v>45727</v>
      </c>
      <c r="G4920" s="9" t="n">
        <v>8722.889999999999</v>
      </c>
      <c r="H4920" t="inlineStr">
        <is>
          <t>PAID_ON_TIME</t>
        </is>
      </c>
      <c r="I4920">
        <f>IF(H4920="UNPAID", AsOfDate-D4920, 0)</f>
        <v/>
      </c>
      <c r="J4920">
        <f>IF(F4920&lt;&gt;"", TEXT(F4920, "yyyy-mm"), "")</f>
        <v/>
      </c>
    </row>
    <row r="4921">
      <c r="A4921" t="inlineStr">
        <is>
          <t>RP0004920</t>
        </is>
      </c>
      <c r="B4921" t="inlineStr">
        <is>
          <t>LN200695</t>
        </is>
      </c>
      <c r="C4921" t="n">
        <v>3</v>
      </c>
      <c r="D4921" s="8" t="n">
        <v>45754</v>
      </c>
      <c r="E4921" s="9" t="n">
        <v>8722.889999999999</v>
      </c>
      <c r="F4921" s="8" t="n">
        <v>45752</v>
      </c>
      <c r="G4921" s="9" t="n">
        <v>8722.889999999999</v>
      </c>
      <c r="H4921" t="inlineStr">
        <is>
          <t>PAID_ON_TIME</t>
        </is>
      </c>
      <c r="I4921">
        <f>IF(H4921="UNPAID", AsOfDate-D4921, 0)</f>
        <v/>
      </c>
      <c r="J4921">
        <f>IF(F4921&lt;&gt;"", TEXT(F4921, "yyyy-mm"), "")</f>
        <v/>
      </c>
    </row>
    <row r="4922">
      <c r="A4922" t="inlineStr">
        <is>
          <t>RP0004921</t>
        </is>
      </c>
      <c r="B4922" t="inlineStr">
        <is>
          <t>LN200695</t>
        </is>
      </c>
      <c r="C4922" t="n">
        <v>4</v>
      </c>
      <c r="D4922" s="8" t="n">
        <v>45784</v>
      </c>
      <c r="E4922" s="9" t="n">
        <v>8722.889999999999</v>
      </c>
      <c r="F4922" s="8" t="n">
        <v>45783</v>
      </c>
      <c r="G4922" s="9" t="n">
        <v>8722.889999999999</v>
      </c>
      <c r="H4922" t="inlineStr">
        <is>
          <t>PAID_ON_TIME</t>
        </is>
      </c>
      <c r="I4922">
        <f>IF(H4922="UNPAID", AsOfDate-D4922, 0)</f>
        <v/>
      </c>
      <c r="J4922">
        <f>IF(F4922&lt;&gt;"", TEXT(F4922, "yyyy-mm"), "")</f>
        <v/>
      </c>
    </row>
    <row r="4923">
      <c r="A4923" t="inlineStr">
        <is>
          <t>RP0004922</t>
        </is>
      </c>
      <c r="B4923" t="inlineStr">
        <is>
          <t>LN200695</t>
        </is>
      </c>
      <c r="C4923" t="n">
        <v>5</v>
      </c>
      <c r="D4923" s="8" t="n">
        <v>45815</v>
      </c>
      <c r="E4923" s="9" t="n">
        <v>8722.889999999999</v>
      </c>
      <c r="F4923" s="8" t="n">
        <v>45817</v>
      </c>
      <c r="G4923" s="9" t="n">
        <v>8722.889999999999</v>
      </c>
      <c r="H4923" t="inlineStr">
        <is>
          <t>PAID_ON_TIME</t>
        </is>
      </c>
      <c r="I4923">
        <f>IF(H4923="UNPAID", AsOfDate-D4923, 0)</f>
        <v/>
      </c>
      <c r="J4923">
        <f>IF(F4923&lt;&gt;"", TEXT(F4923, "yyyy-mm"), "")</f>
        <v/>
      </c>
    </row>
    <row r="4924">
      <c r="A4924" t="inlineStr">
        <is>
          <t>RP0004923</t>
        </is>
      </c>
      <c r="B4924" t="inlineStr">
        <is>
          <t>LN200695</t>
        </is>
      </c>
      <c r="C4924" t="n">
        <v>6</v>
      </c>
      <c r="D4924" s="8" t="n">
        <v>45845</v>
      </c>
      <c r="E4924" s="9" t="n">
        <v>8722.889999999999</v>
      </c>
      <c r="F4924" s="8" t="n">
        <v>45848</v>
      </c>
      <c r="G4924" s="9" t="n">
        <v>8722.889999999999</v>
      </c>
      <c r="H4924" t="inlineStr">
        <is>
          <t>PAID_ON_TIME</t>
        </is>
      </c>
      <c r="I4924">
        <f>IF(H4924="UNPAID", AsOfDate-D4924, 0)</f>
        <v/>
      </c>
      <c r="J4924">
        <f>IF(F4924&lt;&gt;"", TEXT(F4924, "yyyy-mm"), "")</f>
        <v/>
      </c>
    </row>
    <row r="4925">
      <c r="A4925" t="inlineStr">
        <is>
          <t>RP0004924</t>
        </is>
      </c>
      <c r="B4925" t="inlineStr">
        <is>
          <t>LN200695</t>
        </is>
      </c>
      <c r="C4925" t="n">
        <v>7</v>
      </c>
      <c r="D4925" s="8" t="n">
        <v>45876</v>
      </c>
      <c r="E4925" s="9" t="n">
        <v>8722.889999999999</v>
      </c>
      <c r="F4925" s="8" t="n">
        <v>45873</v>
      </c>
      <c r="G4925" s="9" t="n">
        <v>8722.889999999999</v>
      </c>
      <c r="H4925" t="inlineStr">
        <is>
          <t>PAID_ON_TIME</t>
        </is>
      </c>
      <c r="I4925">
        <f>IF(H4925="UNPAID", AsOfDate-D4925, 0)</f>
        <v/>
      </c>
      <c r="J4925">
        <f>IF(F4925&lt;&gt;"", TEXT(F4925, "yyyy-mm"), "")</f>
        <v/>
      </c>
    </row>
    <row r="4926">
      <c r="A4926" t="inlineStr">
        <is>
          <t>RP0004925</t>
        </is>
      </c>
      <c r="B4926" t="inlineStr">
        <is>
          <t>LN200695</t>
        </is>
      </c>
      <c r="C4926" t="n">
        <v>8</v>
      </c>
      <c r="D4926" s="8" t="n">
        <v>45907</v>
      </c>
      <c r="E4926" s="9" t="n">
        <v>8722.889999999999</v>
      </c>
      <c r="F4926" s="8" t="n">
        <v>45908</v>
      </c>
      <c r="G4926" s="9" t="n">
        <v>8722.889999999999</v>
      </c>
      <c r="H4926" t="inlineStr">
        <is>
          <t>PAID_ON_TIME</t>
        </is>
      </c>
      <c r="I4926">
        <f>IF(H4926="UNPAID", AsOfDate-D4926, 0)</f>
        <v/>
      </c>
      <c r="J4926">
        <f>IF(F4926&lt;&gt;"", TEXT(F4926, "yyyy-mm"), "")</f>
        <v/>
      </c>
    </row>
    <row r="4927">
      <c r="A4927" t="inlineStr">
        <is>
          <t>RP0004926</t>
        </is>
      </c>
      <c r="B4927" t="inlineStr">
        <is>
          <t>LN200695</t>
        </is>
      </c>
      <c r="C4927" t="n">
        <v>9</v>
      </c>
      <c r="D4927" s="8" t="n">
        <v>45937</v>
      </c>
      <c r="E4927" s="9" t="n">
        <v>8722.889999999999</v>
      </c>
      <c r="F4927" s="8" t="n">
        <v>45937</v>
      </c>
      <c r="G4927" s="9" t="n">
        <v>8722.889999999999</v>
      </c>
      <c r="H4927" t="inlineStr">
        <is>
          <t>PAID_ON_TIME</t>
        </is>
      </c>
      <c r="I4927">
        <f>IF(H4927="UNPAID", AsOfDate-D4927, 0)</f>
        <v/>
      </c>
      <c r="J4927">
        <f>IF(F4927&lt;&gt;"", TEXT(F4927, "yyyy-mm"), "")</f>
        <v/>
      </c>
    </row>
    <row r="4928">
      <c r="A4928" t="inlineStr">
        <is>
          <t>RP0004927</t>
        </is>
      </c>
      <c r="B4928" t="inlineStr">
        <is>
          <t>LN200696</t>
        </is>
      </c>
      <c r="C4928" t="n">
        <v>1</v>
      </c>
      <c r="D4928" s="8" t="n">
        <v>46037</v>
      </c>
      <c r="E4928" s="9" t="n">
        <v>70801</v>
      </c>
      <c r="F4928" s="8" t="n">
        <v>46036</v>
      </c>
      <c r="G4928" s="9" t="n">
        <v>70801</v>
      </c>
      <c r="H4928" t="inlineStr">
        <is>
          <t>PAID_ON_TIME</t>
        </is>
      </c>
      <c r="I4928">
        <f>IF(H4928="UNPAID", AsOfDate-D4928, 0)</f>
        <v/>
      </c>
      <c r="J4928">
        <f>IF(F4928&lt;&gt;"", TEXT(F4928, "yyyy-mm"), "")</f>
        <v/>
      </c>
    </row>
    <row r="4929">
      <c r="A4929" t="inlineStr">
        <is>
          <t>RP0004928</t>
        </is>
      </c>
      <c r="B4929" t="inlineStr">
        <is>
          <t>LN200696</t>
        </is>
      </c>
      <c r="C4929" t="n">
        <v>2</v>
      </c>
      <c r="D4929" s="8" t="n">
        <v>46068</v>
      </c>
      <c r="E4929" s="9" t="n">
        <v>70801</v>
      </c>
      <c r="F4929" s="8" t="n">
        <v>46167</v>
      </c>
      <c r="G4929" s="9" t="n">
        <v>70801</v>
      </c>
      <c r="H4929" t="inlineStr">
        <is>
          <t>PAID_LATE</t>
        </is>
      </c>
      <c r="I4929">
        <f>IF(H4929="UNPAID", AsOfDate-D4929, 0)</f>
        <v/>
      </c>
      <c r="J4929">
        <f>IF(F4929&lt;&gt;"", TEXT(F4929, "yyyy-mm"), "")</f>
        <v/>
      </c>
    </row>
    <row r="4930">
      <c r="A4930" t="inlineStr">
        <is>
          <t>RP0004929</t>
        </is>
      </c>
      <c r="B4930" t="inlineStr">
        <is>
          <t>LN200696</t>
        </is>
      </c>
      <c r="C4930" t="n">
        <v>3</v>
      </c>
      <c r="D4930" s="8" t="n">
        <v>46096</v>
      </c>
      <c r="E4930" s="9" t="n">
        <v>70801</v>
      </c>
      <c r="F4930" s="8" t="n">
        <v>46095</v>
      </c>
      <c r="G4930" s="9" t="n">
        <v>70801</v>
      </c>
      <c r="H4930" t="inlineStr">
        <is>
          <t>PAID_ON_TIME</t>
        </is>
      </c>
      <c r="I4930">
        <f>IF(H4930="UNPAID", AsOfDate-D4930, 0)</f>
        <v/>
      </c>
      <c r="J4930">
        <f>IF(F4930&lt;&gt;"", TEXT(F4930, "yyyy-mm"), "")</f>
        <v/>
      </c>
    </row>
    <row r="4931">
      <c r="A4931" t="inlineStr">
        <is>
          <t>RP0004930</t>
        </is>
      </c>
      <c r="B4931" t="inlineStr">
        <is>
          <t>LN200697</t>
        </is>
      </c>
      <c r="C4931" t="n">
        <v>1</v>
      </c>
      <c r="D4931" s="8" t="n">
        <v>45986</v>
      </c>
      <c r="E4931" s="9" t="n">
        <v>8971.08</v>
      </c>
      <c r="F4931" s="8" t="n">
        <v>45986</v>
      </c>
      <c r="G4931" s="9" t="n">
        <v>8971.08</v>
      </c>
      <c r="H4931" t="inlineStr">
        <is>
          <t>PAID_ON_TIME</t>
        </is>
      </c>
      <c r="I4931">
        <f>IF(H4931="UNPAID", AsOfDate-D4931, 0)</f>
        <v/>
      </c>
      <c r="J4931">
        <f>IF(F4931&lt;&gt;"", TEXT(F4931, "yyyy-mm"), "")</f>
        <v/>
      </c>
    </row>
    <row r="4932">
      <c r="A4932" t="inlineStr">
        <is>
          <t>RP0004931</t>
        </is>
      </c>
      <c r="B4932" t="inlineStr">
        <is>
          <t>LN200697</t>
        </is>
      </c>
      <c r="C4932" t="n">
        <v>2</v>
      </c>
      <c r="D4932" s="8" t="n">
        <v>46016</v>
      </c>
      <c r="E4932" s="9" t="n">
        <v>8971.08</v>
      </c>
      <c r="F4932" s="8" t="n">
        <v>46016</v>
      </c>
      <c r="G4932" s="9" t="n">
        <v>8971.08</v>
      </c>
      <c r="H4932" t="inlineStr">
        <is>
          <t>PAID_ON_TIME</t>
        </is>
      </c>
      <c r="I4932">
        <f>IF(H4932="UNPAID", AsOfDate-D4932, 0)</f>
        <v/>
      </c>
      <c r="J4932">
        <f>IF(F4932&lt;&gt;"", TEXT(F4932, "yyyy-mm"), "")</f>
        <v/>
      </c>
    </row>
    <row r="4933">
      <c r="A4933" t="inlineStr">
        <is>
          <t>RP0004932</t>
        </is>
      </c>
      <c r="B4933" t="inlineStr">
        <is>
          <t>LN200697</t>
        </is>
      </c>
      <c r="C4933" t="n">
        <v>3</v>
      </c>
      <c r="D4933" s="8" t="n">
        <v>46047</v>
      </c>
      <c r="E4933" s="9" t="n">
        <v>8971.08</v>
      </c>
      <c r="F4933" s="8" t="n">
        <v>46051</v>
      </c>
      <c r="G4933" s="9" t="n">
        <v>8971.08</v>
      </c>
      <c r="H4933" t="inlineStr">
        <is>
          <t>PAID_ON_TIME</t>
        </is>
      </c>
      <c r="I4933">
        <f>IF(H4933="UNPAID", AsOfDate-D4933, 0)</f>
        <v/>
      </c>
      <c r="J4933">
        <f>IF(F4933&lt;&gt;"", TEXT(F4933, "yyyy-mm"), "")</f>
        <v/>
      </c>
    </row>
    <row r="4934">
      <c r="A4934" t="inlineStr">
        <is>
          <t>RP0004933</t>
        </is>
      </c>
      <c r="B4934" t="inlineStr">
        <is>
          <t>LN200697</t>
        </is>
      </c>
      <c r="C4934" t="n">
        <v>4</v>
      </c>
      <c r="D4934" s="8" t="n">
        <v>46078</v>
      </c>
      <c r="E4934" s="9" t="n">
        <v>8971.08</v>
      </c>
      <c r="F4934" s="8" t="n">
        <v>46079</v>
      </c>
      <c r="G4934" s="9" t="n">
        <v>8971.08</v>
      </c>
      <c r="H4934" t="inlineStr">
        <is>
          <t>PAID_ON_TIME</t>
        </is>
      </c>
      <c r="I4934">
        <f>IF(H4934="UNPAID", AsOfDate-D4934, 0)</f>
        <v/>
      </c>
      <c r="J4934">
        <f>IF(F4934&lt;&gt;"", TEXT(F4934, "yyyy-mm"), "")</f>
        <v/>
      </c>
    </row>
    <row r="4935">
      <c r="A4935" t="inlineStr">
        <is>
          <t>RP0004934</t>
        </is>
      </c>
      <c r="B4935" t="inlineStr">
        <is>
          <t>LN200697</t>
        </is>
      </c>
      <c r="C4935" t="n">
        <v>5</v>
      </c>
      <c r="D4935" s="8" t="n">
        <v>46106</v>
      </c>
      <c r="E4935" s="9" t="n">
        <v>8971.08</v>
      </c>
      <c r="F4935" s="8" t="n">
        <v>46105</v>
      </c>
      <c r="G4935" s="9" t="n">
        <v>8971.08</v>
      </c>
      <c r="H4935" t="inlineStr">
        <is>
          <t>PAID_ON_TIME</t>
        </is>
      </c>
      <c r="I4935">
        <f>IF(H4935="UNPAID", AsOfDate-D4935, 0)</f>
        <v/>
      </c>
      <c r="J4935">
        <f>IF(F4935&lt;&gt;"", TEXT(F4935, "yyyy-mm"), "")</f>
        <v/>
      </c>
    </row>
    <row r="4936">
      <c r="A4936" t="inlineStr">
        <is>
          <t>RP0004935</t>
        </is>
      </c>
      <c r="B4936" t="inlineStr">
        <is>
          <t>LN200697</t>
        </is>
      </c>
      <c r="C4936" t="n">
        <v>6</v>
      </c>
      <c r="D4936" s="8" t="n">
        <v>46137</v>
      </c>
      <c r="E4936" s="9" t="n">
        <v>8971.08</v>
      </c>
      <c r="F4936" s="8" t="n">
        <v>46250</v>
      </c>
      <c r="G4936" s="9" t="n">
        <v>8971.08</v>
      </c>
      <c r="H4936" t="inlineStr">
        <is>
          <t>PAID_LATE</t>
        </is>
      </c>
      <c r="I4936">
        <f>IF(H4936="UNPAID", AsOfDate-D4936, 0)</f>
        <v/>
      </c>
      <c r="J4936">
        <f>IF(F4936&lt;&gt;"", TEXT(F4936, "yyyy-mm"), "")</f>
        <v/>
      </c>
    </row>
    <row r="4937">
      <c r="A4937" t="inlineStr">
        <is>
          <t>RP0004936</t>
        </is>
      </c>
      <c r="B4937" t="inlineStr">
        <is>
          <t>LN200697</t>
        </is>
      </c>
      <c r="C4937" t="n">
        <v>7</v>
      </c>
      <c r="D4937" s="8" t="n">
        <v>46167</v>
      </c>
      <c r="E4937" s="9" t="n">
        <v>8971.08</v>
      </c>
      <c r="F4937" s="8" t="n">
        <v>46255</v>
      </c>
      <c r="G4937" s="9" t="n">
        <v>8971.08</v>
      </c>
      <c r="H4937" t="inlineStr">
        <is>
          <t>PAID_LATE</t>
        </is>
      </c>
      <c r="I4937">
        <f>IF(H4937="UNPAID", AsOfDate-D4937, 0)</f>
        <v/>
      </c>
      <c r="J4937">
        <f>IF(F4937&lt;&gt;"", TEXT(F4937, "yyyy-mm"), "")</f>
        <v/>
      </c>
    </row>
    <row r="4938">
      <c r="A4938" t="inlineStr">
        <is>
          <t>RP0004937</t>
        </is>
      </c>
      <c r="B4938" t="inlineStr">
        <is>
          <t>LN200697</t>
        </is>
      </c>
      <c r="C4938" t="n">
        <v>8</v>
      </c>
      <c r="D4938" s="8" t="n">
        <v>46198</v>
      </c>
      <c r="E4938" s="9" t="n">
        <v>8971.08</v>
      </c>
      <c r="F4938" s="8" t="n"/>
      <c r="G4938" s="9" t="n">
        <v>0</v>
      </c>
      <c r="H4938" t="inlineStr">
        <is>
          <t>UNPAID</t>
        </is>
      </c>
      <c r="I4938">
        <f>IF(H4938="UNPAID", AsOfDate-D4938, 0)</f>
        <v/>
      </c>
      <c r="J4938">
        <f>IF(F4938&lt;&gt;"", TEXT(F4938, "yyyy-mm"), "")</f>
        <v/>
      </c>
    </row>
    <row r="4939">
      <c r="A4939" t="inlineStr">
        <is>
          <t>RP0004938</t>
        </is>
      </c>
      <c r="B4939" t="inlineStr">
        <is>
          <t>LN200697</t>
        </is>
      </c>
      <c r="C4939" t="n">
        <v>9</v>
      </c>
      <c r="D4939" s="8" t="n">
        <v>46228</v>
      </c>
      <c r="E4939" s="9" t="n">
        <v>8971.08</v>
      </c>
      <c r="F4939" s="8" t="n">
        <v>46229</v>
      </c>
      <c r="G4939" s="9" t="n">
        <v>8971.08</v>
      </c>
      <c r="H4939" t="inlineStr">
        <is>
          <t>PAID_ON_TIME</t>
        </is>
      </c>
      <c r="I4939">
        <f>IF(H4939="UNPAID", AsOfDate-D4939, 0)</f>
        <v/>
      </c>
      <c r="J4939">
        <f>IF(F4939&lt;&gt;"", TEXT(F4939, "yyyy-mm"), "")</f>
        <v/>
      </c>
    </row>
    <row r="4940">
      <c r="A4940" t="inlineStr">
        <is>
          <t>RP0004939</t>
        </is>
      </c>
      <c r="B4940" t="inlineStr">
        <is>
          <t>LN200697</t>
        </is>
      </c>
      <c r="C4940" t="n">
        <v>10</v>
      </c>
      <c r="D4940" s="8" t="n">
        <v>46259</v>
      </c>
      <c r="E4940" s="9" t="n">
        <v>8971.08</v>
      </c>
      <c r="F4940" s="8" t="n">
        <v>46256</v>
      </c>
      <c r="G4940" s="9" t="n">
        <v>8971.08</v>
      </c>
      <c r="H4940" t="inlineStr">
        <is>
          <t>PAID_ON_TIME</t>
        </is>
      </c>
      <c r="I4940">
        <f>IF(H4940="UNPAID", AsOfDate-D4940, 0)</f>
        <v/>
      </c>
      <c r="J4940">
        <f>IF(F4940&lt;&gt;"", TEXT(F4940, "yyyy-mm"), "")</f>
        <v/>
      </c>
    </row>
    <row r="4941">
      <c r="A4941" t="inlineStr">
        <is>
          <t>RP0004940</t>
        </is>
      </c>
      <c r="B4941" t="inlineStr">
        <is>
          <t>LN200697</t>
        </is>
      </c>
      <c r="C4941" t="n">
        <v>11</v>
      </c>
      <c r="D4941" s="8" t="n">
        <v>46290</v>
      </c>
      <c r="E4941" s="9" t="n">
        <v>8971.08</v>
      </c>
      <c r="F4941" s="8" t="n"/>
      <c r="G4941" s="9" t="n">
        <v>0</v>
      </c>
      <c r="H4941" t="inlineStr">
        <is>
          <t>NOT_DUE</t>
        </is>
      </c>
      <c r="I4941">
        <f>IF(H4941="UNPAID", AsOfDate-D4941, 0)</f>
        <v/>
      </c>
      <c r="J4941">
        <f>IF(F4941&lt;&gt;"", TEXT(F4941, "yyyy-mm"), "")</f>
        <v/>
      </c>
    </row>
    <row r="4942">
      <c r="A4942" t="inlineStr">
        <is>
          <t>RP0004941</t>
        </is>
      </c>
      <c r="B4942" t="inlineStr">
        <is>
          <t>LN200697</t>
        </is>
      </c>
      <c r="C4942" t="n">
        <v>12</v>
      </c>
      <c r="D4942" s="8" t="n">
        <v>46320</v>
      </c>
      <c r="E4942" s="9" t="n">
        <v>8971.08</v>
      </c>
      <c r="F4942" s="8" t="n"/>
      <c r="G4942" s="9" t="n">
        <v>0</v>
      </c>
      <c r="H4942" t="inlineStr">
        <is>
          <t>NOT_DUE</t>
        </is>
      </c>
      <c r="I4942">
        <f>IF(H4942="UNPAID", AsOfDate-D4942, 0)</f>
        <v/>
      </c>
      <c r="J4942">
        <f>IF(F4942&lt;&gt;"", TEXT(F4942, "yyyy-mm"), "")</f>
        <v/>
      </c>
    </row>
    <row r="4943">
      <c r="A4943" t="inlineStr">
        <is>
          <t>RP0004942</t>
        </is>
      </c>
      <c r="B4943" t="inlineStr">
        <is>
          <t>LN200698</t>
        </is>
      </c>
      <c r="C4943" t="n">
        <v>1</v>
      </c>
      <c r="D4943" s="8" t="n">
        <v>46123</v>
      </c>
      <c r="E4943" s="9" t="n">
        <v>3144</v>
      </c>
      <c r="F4943" s="8" t="n">
        <v>46124</v>
      </c>
      <c r="G4943" s="9" t="n">
        <v>3144</v>
      </c>
      <c r="H4943" t="inlineStr">
        <is>
          <t>PAID_ON_TIME</t>
        </is>
      </c>
      <c r="I4943">
        <f>IF(H4943="UNPAID", AsOfDate-D4943, 0)</f>
        <v/>
      </c>
      <c r="J4943">
        <f>IF(F4943&lt;&gt;"", TEXT(F4943, "yyyy-mm"), "")</f>
        <v/>
      </c>
    </row>
    <row r="4944">
      <c r="A4944" t="inlineStr">
        <is>
          <t>RP0004943</t>
        </is>
      </c>
      <c r="B4944" t="inlineStr">
        <is>
          <t>LN200698</t>
        </is>
      </c>
      <c r="C4944" t="n">
        <v>2</v>
      </c>
      <c r="D4944" s="8" t="n">
        <v>46153</v>
      </c>
      <c r="E4944" s="9" t="n">
        <v>3144</v>
      </c>
      <c r="F4944" s="8" t="n">
        <v>46157</v>
      </c>
      <c r="G4944" s="9" t="n">
        <v>3144</v>
      </c>
      <c r="H4944" t="inlineStr">
        <is>
          <t>PAID_ON_TIME</t>
        </is>
      </c>
      <c r="I4944">
        <f>IF(H4944="UNPAID", AsOfDate-D4944, 0)</f>
        <v/>
      </c>
      <c r="J4944">
        <f>IF(F4944&lt;&gt;"", TEXT(F4944, "yyyy-mm"), "")</f>
        <v/>
      </c>
    </row>
    <row r="4945">
      <c r="A4945" t="inlineStr">
        <is>
          <t>RP0004944</t>
        </is>
      </c>
      <c r="B4945" t="inlineStr">
        <is>
          <t>LN200698</t>
        </is>
      </c>
      <c r="C4945" t="n">
        <v>3</v>
      </c>
      <c r="D4945" s="8" t="n">
        <v>46184</v>
      </c>
      <c r="E4945" s="9" t="n">
        <v>3144</v>
      </c>
      <c r="F4945" s="8" t="n">
        <v>46183</v>
      </c>
      <c r="G4945" s="9" t="n">
        <v>3144</v>
      </c>
      <c r="H4945" t="inlineStr">
        <is>
          <t>PAID_ON_TIME</t>
        </is>
      </c>
      <c r="I4945">
        <f>IF(H4945="UNPAID", AsOfDate-D4945, 0)</f>
        <v/>
      </c>
      <c r="J4945">
        <f>IF(F4945&lt;&gt;"", TEXT(F4945, "yyyy-mm"), "")</f>
        <v/>
      </c>
    </row>
    <row r="4946">
      <c r="A4946" t="inlineStr">
        <is>
          <t>RP0004945</t>
        </is>
      </c>
      <c r="B4946" t="inlineStr">
        <is>
          <t>LN200698</t>
        </is>
      </c>
      <c r="C4946" t="n">
        <v>4</v>
      </c>
      <c r="D4946" s="8" t="n">
        <v>46214</v>
      </c>
      <c r="E4946" s="9" t="n">
        <v>3144</v>
      </c>
      <c r="F4946" s="8" t="n">
        <v>46212</v>
      </c>
      <c r="G4946" s="9" t="n">
        <v>3144</v>
      </c>
      <c r="H4946" t="inlineStr">
        <is>
          <t>PAID_ON_TIME</t>
        </is>
      </c>
      <c r="I4946">
        <f>IF(H4946="UNPAID", AsOfDate-D4946, 0)</f>
        <v/>
      </c>
      <c r="J4946">
        <f>IF(F4946&lt;&gt;"", TEXT(F4946, "yyyy-mm"), "")</f>
        <v/>
      </c>
    </row>
    <row r="4947">
      <c r="A4947" t="inlineStr">
        <is>
          <t>RP0004946</t>
        </is>
      </c>
      <c r="B4947" t="inlineStr">
        <is>
          <t>LN200698</t>
        </is>
      </c>
      <c r="C4947" t="n">
        <v>5</v>
      </c>
      <c r="D4947" s="8" t="n">
        <v>46245</v>
      </c>
      <c r="E4947" s="9" t="n">
        <v>3144</v>
      </c>
      <c r="F4947" s="8" t="n"/>
      <c r="G4947" s="9" t="n">
        <v>0</v>
      </c>
      <c r="H4947" t="inlineStr">
        <is>
          <t>UNPAID</t>
        </is>
      </c>
      <c r="I4947">
        <f>IF(H4947="UNPAID", AsOfDate-D4947, 0)</f>
        <v/>
      </c>
      <c r="J4947">
        <f>IF(F4947&lt;&gt;"", TEXT(F4947, "yyyy-mm"), "")</f>
        <v/>
      </c>
    </row>
    <row r="4948">
      <c r="A4948" t="inlineStr">
        <is>
          <t>RP0004947</t>
        </is>
      </c>
      <c r="B4948" t="inlineStr">
        <is>
          <t>LN200698</t>
        </is>
      </c>
      <c r="C4948" t="n">
        <v>6</v>
      </c>
      <c r="D4948" s="8" t="n">
        <v>46276</v>
      </c>
      <c r="E4948" s="9" t="n">
        <v>3144</v>
      </c>
      <c r="F4948" s="8" t="n"/>
      <c r="G4948" s="9" t="n">
        <v>0</v>
      </c>
      <c r="H4948" t="inlineStr">
        <is>
          <t>NOT_DUE</t>
        </is>
      </c>
      <c r="I4948">
        <f>IF(H4948="UNPAID", AsOfDate-D4948, 0)</f>
        <v/>
      </c>
      <c r="J4948">
        <f>IF(F4948&lt;&gt;"", TEXT(F4948, "yyyy-mm"), "")</f>
        <v/>
      </c>
    </row>
    <row r="4949">
      <c r="A4949" t="inlineStr">
        <is>
          <t>RP0004948</t>
        </is>
      </c>
      <c r="B4949" t="inlineStr">
        <is>
          <t>LN200698</t>
        </is>
      </c>
      <c r="C4949" t="n">
        <v>7</v>
      </c>
      <c r="D4949" s="8" t="n">
        <v>46306</v>
      </c>
      <c r="E4949" s="9" t="n">
        <v>3144</v>
      </c>
      <c r="F4949" s="8" t="n"/>
      <c r="G4949" s="9" t="n">
        <v>0</v>
      </c>
      <c r="H4949" t="inlineStr">
        <is>
          <t>NOT_DUE</t>
        </is>
      </c>
      <c r="I4949">
        <f>IF(H4949="UNPAID", AsOfDate-D4949, 0)</f>
        <v/>
      </c>
      <c r="J4949">
        <f>IF(F4949&lt;&gt;"", TEXT(F4949, "yyyy-mm"), "")</f>
        <v/>
      </c>
    </row>
    <row r="4950">
      <c r="A4950" t="inlineStr">
        <is>
          <t>RP0004949</t>
        </is>
      </c>
      <c r="B4950" t="inlineStr">
        <is>
          <t>LN200698</t>
        </is>
      </c>
      <c r="C4950" t="n">
        <v>8</v>
      </c>
      <c r="D4950" s="8" t="n">
        <v>46337</v>
      </c>
      <c r="E4950" s="9" t="n">
        <v>3144</v>
      </c>
      <c r="F4950" s="8" t="n"/>
      <c r="G4950" s="9" t="n">
        <v>0</v>
      </c>
      <c r="H4950" t="inlineStr">
        <is>
          <t>NOT_DUE</t>
        </is>
      </c>
      <c r="I4950">
        <f>IF(H4950="UNPAID", AsOfDate-D4950, 0)</f>
        <v/>
      </c>
      <c r="J4950">
        <f>IF(F4950&lt;&gt;"", TEXT(F4950, "yyyy-mm"), "")</f>
        <v/>
      </c>
    </row>
    <row r="4951">
      <c r="A4951" t="inlineStr">
        <is>
          <t>RP0004950</t>
        </is>
      </c>
      <c r="B4951" t="inlineStr">
        <is>
          <t>LN200698</t>
        </is>
      </c>
      <c r="C4951" t="n">
        <v>9</v>
      </c>
      <c r="D4951" s="8" t="n">
        <v>46367</v>
      </c>
      <c r="E4951" s="9" t="n">
        <v>3144</v>
      </c>
      <c r="F4951" s="8" t="n"/>
      <c r="G4951" s="9" t="n">
        <v>0</v>
      </c>
      <c r="H4951" t="inlineStr">
        <is>
          <t>NOT_DUE</t>
        </is>
      </c>
      <c r="I4951">
        <f>IF(H4951="UNPAID", AsOfDate-D4951, 0)</f>
        <v/>
      </c>
      <c r="J4951">
        <f>IF(F4951&lt;&gt;"", TEXT(F4951, "yyyy-mm"), "")</f>
        <v/>
      </c>
    </row>
    <row r="4952">
      <c r="A4952" t="inlineStr">
        <is>
          <t>RP0004951</t>
        </is>
      </c>
      <c r="B4952" t="inlineStr">
        <is>
          <t>LN200698</t>
        </is>
      </c>
      <c r="C4952" t="n">
        <v>10</v>
      </c>
      <c r="D4952" s="8" t="n">
        <v>46398</v>
      </c>
      <c r="E4952" s="9" t="n">
        <v>3144</v>
      </c>
      <c r="F4952" s="8" t="n"/>
      <c r="G4952" s="9" t="n">
        <v>0</v>
      </c>
      <c r="H4952" t="inlineStr">
        <is>
          <t>NOT_DUE</t>
        </is>
      </c>
      <c r="I4952">
        <f>IF(H4952="UNPAID", AsOfDate-D4952, 0)</f>
        <v/>
      </c>
      <c r="J4952">
        <f>IF(F4952&lt;&gt;"", TEXT(F4952, "yyyy-mm"), "")</f>
        <v/>
      </c>
    </row>
    <row r="4953">
      <c r="A4953" t="inlineStr">
        <is>
          <t>RP0004952</t>
        </is>
      </c>
      <c r="B4953" t="inlineStr">
        <is>
          <t>LN200698</t>
        </is>
      </c>
      <c r="C4953" t="n">
        <v>11</v>
      </c>
      <c r="D4953" s="8" t="n">
        <v>46429</v>
      </c>
      <c r="E4953" s="9" t="n">
        <v>3144</v>
      </c>
      <c r="F4953" s="8" t="n"/>
      <c r="G4953" s="9" t="n">
        <v>0</v>
      </c>
      <c r="H4953" t="inlineStr">
        <is>
          <t>NOT_DUE</t>
        </is>
      </c>
      <c r="I4953">
        <f>IF(H4953="UNPAID", AsOfDate-D4953, 0)</f>
        <v/>
      </c>
      <c r="J4953">
        <f>IF(F4953&lt;&gt;"", TEXT(F4953, "yyyy-mm"), "")</f>
        <v/>
      </c>
    </row>
    <row r="4954">
      <c r="A4954" t="inlineStr">
        <is>
          <t>RP0004953</t>
        </is>
      </c>
      <c r="B4954" t="inlineStr">
        <is>
          <t>LN200698</t>
        </is>
      </c>
      <c r="C4954" t="n">
        <v>12</v>
      </c>
      <c r="D4954" s="8" t="n">
        <v>46457</v>
      </c>
      <c r="E4954" s="9" t="n">
        <v>3144</v>
      </c>
      <c r="F4954" s="8" t="n"/>
      <c r="G4954" s="9" t="n">
        <v>0</v>
      </c>
      <c r="H4954" t="inlineStr">
        <is>
          <t>NOT_DUE</t>
        </is>
      </c>
      <c r="I4954">
        <f>IF(H4954="UNPAID", AsOfDate-D4954, 0)</f>
        <v/>
      </c>
      <c r="J4954">
        <f>IF(F4954&lt;&gt;"", TEXT(F4954, "yyyy-mm"), "")</f>
        <v/>
      </c>
    </row>
    <row r="4955">
      <c r="A4955" t="inlineStr">
        <is>
          <t>RP0004954</t>
        </is>
      </c>
      <c r="B4955" t="inlineStr">
        <is>
          <t>LN200699</t>
        </is>
      </c>
      <c r="C4955" t="n">
        <v>1</v>
      </c>
      <c r="D4955" s="8" t="n">
        <v>46156</v>
      </c>
      <c r="E4955" s="9" t="n">
        <v>9107.75</v>
      </c>
      <c r="F4955" s="8" t="n"/>
      <c r="G4955" s="9" t="n">
        <v>0</v>
      </c>
      <c r="H4955" t="inlineStr">
        <is>
          <t>UNPAID</t>
        </is>
      </c>
      <c r="I4955">
        <f>IF(H4955="UNPAID", AsOfDate-D4955, 0)</f>
        <v/>
      </c>
      <c r="J4955">
        <f>IF(F4955&lt;&gt;"", TEXT(F4955, "yyyy-mm"), "")</f>
        <v/>
      </c>
    </row>
    <row r="4956">
      <c r="A4956" t="inlineStr">
        <is>
          <t>RP0004955</t>
        </is>
      </c>
      <c r="B4956" t="inlineStr">
        <is>
          <t>LN200699</t>
        </is>
      </c>
      <c r="C4956" t="n">
        <v>2</v>
      </c>
      <c r="D4956" s="8" t="n">
        <v>46187</v>
      </c>
      <c r="E4956" s="9" t="n">
        <v>9107.75</v>
      </c>
      <c r="F4956" s="8" t="n">
        <v>46190</v>
      </c>
      <c r="G4956" s="9" t="n">
        <v>9107.75</v>
      </c>
      <c r="H4956" t="inlineStr">
        <is>
          <t>PAID_ON_TIME</t>
        </is>
      </c>
      <c r="I4956">
        <f>IF(H4956="UNPAID", AsOfDate-D4956, 0)</f>
        <v/>
      </c>
      <c r="J4956">
        <f>IF(F4956&lt;&gt;"", TEXT(F4956, "yyyy-mm"), "")</f>
        <v/>
      </c>
    </row>
    <row r="4957">
      <c r="A4957" t="inlineStr">
        <is>
          <t>RP0004956</t>
        </is>
      </c>
      <c r="B4957" t="inlineStr">
        <is>
          <t>LN200699</t>
        </is>
      </c>
      <c r="C4957" t="n">
        <v>3</v>
      </c>
      <c r="D4957" s="8" t="n">
        <v>46217</v>
      </c>
      <c r="E4957" s="9" t="n">
        <v>9107.75</v>
      </c>
      <c r="F4957" s="8" t="n"/>
      <c r="G4957" s="9" t="n">
        <v>0</v>
      </c>
      <c r="H4957" t="inlineStr">
        <is>
          <t>UNPAID</t>
        </is>
      </c>
      <c r="I4957">
        <f>IF(H4957="UNPAID", AsOfDate-D4957, 0)</f>
        <v/>
      </c>
      <c r="J4957">
        <f>IF(F4957&lt;&gt;"", TEXT(F4957, "yyyy-mm"), "")</f>
        <v/>
      </c>
    </row>
    <row r="4958">
      <c r="A4958" t="inlineStr">
        <is>
          <t>RP0004957</t>
        </is>
      </c>
      <c r="B4958" t="inlineStr">
        <is>
          <t>LN200699</t>
        </is>
      </c>
      <c r="C4958" t="n">
        <v>4</v>
      </c>
      <c r="D4958" s="8" t="n">
        <v>46248</v>
      </c>
      <c r="E4958" s="9" t="n">
        <v>9107.75</v>
      </c>
      <c r="F4958" s="8" t="n">
        <v>46247</v>
      </c>
      <c r="G4958" s="9" t="n">
        <v>9107.75</v>
      </c>
      <c r="H4958" t="inlineStr">
        <is>
          <t>PAID_ON_TIME</t>
        </is>
      </c>
      <c r="I4958">
        <f>IF(H4958="UNPAID", AsOfDate-D4958, 0)</f>
        <v/>
      </c>
      <c r="J4958">
        <f>IF(F4958&lt;&gt;"", TEXT(F4958, "yyyy-mm"), "")</f>
        <v/>
      </c>
    </row>
    <row r="4959">
      <c r="A4959" t="inlineStr">
        <is>
          <t>RP0004958</t>
        </is>
      </c>
      <c r="B4959" t="inlineStr">
        <is>
          <t>LN200699</t>
        </is>
      </c>
      <c r="C4959" t="n">
        <v>5</v>
      </c>
      <c r="D4959" s="8" t="n">
        <v>46279</v>
      </c>
      <c r="E4959" s="9" t="n">
        <v>9107.75</v>
      </c>
      <c r="F4959" s="8" t="n"/>
      <c r="G4959" s="9" t="n">
        <v>0</v>
      </c>
      <c r="H4959" t="inlineStr">
        <is>
          <t>NOT_DUE</t>
        </is>
      </c>
      <c r="I4959">
        <f>IF(H4959="UNPAID", AsOfDate-D4959, 0)</f>
        <v/>
      </c>
      <c r="J4959">
        <f>IF(F4959&lt;&gt;"", TEXT(F4959, "yyyy-mm"), "")</f>
        <v/>
      </c>
    </row>
    <row r="4960">
      <c r="A4960" t="inlineStr">
        <is>
          <t>RP0004959</t>
        </is>
      </c>
      <c r="B4960" t="inlineStr">
        <is>
          <t>LN200699</t>
        </is>
      </c>
      <c r="C4960" t="n">
        <v>6</v>
      </c>
      <c r="D4960" s="8" t="n">
        <v>46309</v>
      </c>
      <c r="E4960" s="9" t="n">
        <v>9107.75</v>
      </c>
      <c r="F4960" s="8" t="n"/>
      <c r="G4960" s="9" t="n">
        <v>0</v>
      </c>
      <c r="H4960" t="inlineStr">
        <is>
          <t>NOT_DUE</t>
        </is>
      </c>
      <c r="I4960">
        <f>IF(H4960="UNPAID", AsOfDate-D4960, 0)</f>
        <v/>
      </c>
      <c r="J4960">
        <f>IF(F4960&lt;&gt;"", TEXT(F4960, "yyyy-mm"), "")</f>
        <v/>
      </c>
    </row>
    <row r="4961">
      <c r="A4961" t="inlineStr">
        <is>
          <t>RP0004960</t>
        </is>
      </c>
      <c r="B4961" t="inlineStr">
        <is>
          <t>LN200700</t>
        </is>
      </c>
      <c r="C4961" t="n">
        <v>1</v>
      </c>
      <c r="D4961" s="8" t="n">
        <v>46166</v>
      </c>
      <c r="E4961" s="9" t="n">
        <v>5595</v>
      </c>
      <c r="F4961" s="8" t="n">
        <v>46167</v>
      </c>
      <c r="G4961" s="9" t="n">
        <v>5595</v>
      </c>
      <c r="H4961" t="inlineStr">
        <is>
          <t>PAID_ON_TIME</t>
        </is>
      </c>
      <c r="I4961">
        <f>IF(H4961="UNPAID", AsOfDate-D4961, 0)</f>
        <v/>
      </c>
      <c r="J4961">
        <f>IF(F4961&lt;&gt;"", TEXT(F4961, "yyyy-mm"), "")</f>
        <v/>
      </c>
    </row>
    <row r="4962">
      <c r="A4962" t="inlineStr">
        <is>
          <t>RP0004961</t>
        </is>
      </c>
      <c r="B4962" t="inlineStr">
        <is>
          <t>LN200700</t>
        </is>
      </c>
      <c r="C4962" t="n">
        <v>2</v>
      </c>
      <c r="D4962" s="8" t="n">
        <v>46197</v>
      </c>
      <c r="E4962" s="9" t="n">
        <v>5595</v>
      </c>
      <c r="F4962" s="8" t="n">
        <v>46197</v>
      </c>
      <c r="G4962" s="9" t="n">
        <v>5595</v>
      </c>
      <c r="H4962" t="inlineStr">
        <is>
          <t>PAID_ON_TIME</t>
        </is>
      </c>
      <c r="I4962">
        <f>IF(H4962="UNPAID", AsOfDate-D4962, 0)</f>
        <v/>
      </c>
      <c r="J4962">
        <f>IF(F4962&lt;&gt;"", TEXT(F4962, "yyyy-mm"), "")</f>
        <v/>
      </c>
    </row>
    <row r="4963">
      <c r="A4963" t="inlineStr">
        <is>
          <t>RP0004962</t>
        </is>
      </c>
      <c r="B4963" t="inlineStr">
        <is>
          <t>LN200700</t>
        </is>
      </c>
      <c r="C4963" t="n">
        <v>3</v>
      </c>
      <c r="D4963" s="8" t="n">
        <v>46227</v>
      </c>
      <c r="E4963" s="9" t="n">
        <v>5595</v>
      </c>
      <c r="F4963" s="8" t="n">
        <v>46230</v>
      </c>
      <c r="G4963" s="9" t="n">
        <v>5595</v>
      </c>
      <c r="H4963" t="inlineStr">
        <is>
          <t>PAID_ON_TIME</t>
        </is>
      </c>
      <c r="I4963">
        <f>IF(H4963="UNPAID", AsOfDate-D4963, 0)</f>
        <v/>
      </c>
      <c r="J4963">
        <f>IF(F4963&lt;&gt;"", TEXT(F4963, "yyyy-mm"), "")</f>
        <v/>
      </c>
    </row>
    <row r="4964">
      <c r="A4964" t="inlineStr">
        <is>
          <t>RP0004963</t>
        </is>
      </c>
      <c r="B4964" t="inlineStr">
        <is>
          <t>LN200700</t>
        </is>
      </c>
      <c r="C4964" t="n">
        <v>4</v>
      </c>
      <c r="D4964" s="8" t="n">
        <v>46258</v>
      </c>
      <c r="E4964" s="9" t="n">
        <v>5595</v>
      </c>
      <c r="F4964" s="8" t="n">
        <v>46258</v>
      </c>
      <c r="G4964" s="9" t="n">
        <v>5595</v>
      </c>
      <c r="H4964" t="inlineStr">
        <is>
          <t>PAID_ON_TIME</t>
        </is>
      </c>
      <c r="I4964">
        <f>IF(H4964="UNPAID", AsOfDate-D4964, 0)</f>
        <v/>
      </c>
      <c r="J4964">
        <f>IF(F4964&lt;&gt;"", TEXT(F4964, "yyyy-mm"), "")</f>
        <v/>
      </c>
    </row>
    <row r="4965">
      <c r="A4965" t="inlineStr">
        <is>
          <t>RP0004964</t>
        </is>
      </c>
      <c r="B4965" t="inlineStr">
        <is>
          <t>LN200700</t>
        </is>
      </c>
      <c r="C4965" t="n">
        <v>5</v>
      </c>
      <c r="D4965" s="8" t="n">
        <v>46289</v>
      </c>
      <c r="E4965" s="9" t="n">
        <v>5595</v>
      </c>
      <c r="F4965" s="8" t="n"/>
      <c r="G4965" s="9" t="n">
        <v>0</v>
      </c>
      <c r="H4965" t="inlineStr">
        <is>
          <t>NOT_DUE</t>
        </is>
      </c>
      <c r="I4965">
        <f>IF(H4965="UNPAID", AsOfDate-D4965, 0)</f>
        <v/>
      </c>
      <c r="J4965">
        <f>IF(F4965&lt;&gt;"", TEXT(F4965, "yyyy-mm"), "")</f>
        <v/>
      </c>
    </row>
    <row r="4966">
      <c r="A4966" t="inlineStr">
        <is>
          <t>RP0004965</t>
        </is>
      </c>
      <c r="B4966" t="inlineStr">
        <is>
          <t>LN200700</t>
        </is>
      </c>
      <c r="C4966" t="n">
        <v>6</v>
      </c>
      <c r="D4966" s="8" t="n">
        <v>46319</v>
      </c>
      <c r="E4966" s="9" t="n">
        <v>5595</v>
      </c>
      <c r="F4966" s="8" t="n"/>
      <c r="G4966" s="9" t="n">
        <v>0</v>
      </c>
      <c r="H4966" t="inlineStr">
        <is>
          <t>NOT_DUE</t>
        </is>
      </c>
      <c r="I4966">
        <f>IF(H4966="UNPAID", AsOfDate-D4966, 0)</f>
        <v/>
      </c>
      <c r="J4966">
        <f>IF(F4966&lt;&gt;"", TEXT(F4966, "yyyy-mm"), "")</f>
        <v/>
      </c>
    </row>
    <row r="4967">
      <c r="A4967" t="inlineStr">
        <is>
          <t>RP0004966</t>
        </is>
      </c>
      <c r="B4967" t="inlineStr">
        <is>
          <t>LN200701</t>
        </is>
      </c>
      <c r="C4967" t="n">
        <v>1</v>
      </c>
      <c r="D4967" s="8" t="n">
        <v>45826</v>
      </c>
      <c r="E4967" s="9" t="n">
        <v>15301</v>
      </c>
      <c r="F4967" s="8" t="n">
        <v>45823</v>
      </c>
      <c r="G4967" s="9" t="n">
        <v>15301</v>
      </c>
      <c r="H4967" t="inlineStr">
        <is>
          <t>PAID_ON_TIME</t>
        </is>
      </c>
      <c r="I4967">
        <f>IF(H4967="UNPAID", AsOfDate-D4967, 0)</f>
        <v/>
      </c>
      <c r="J4967">
        <f>IF(F4967&lt;&gt;"", TEXT(F4967, "yyyy-mm"), "")</f>
        <v/>
      </c>
    </row>
    <row r="4968">
      <c r="A4968" t="inlineStr">
        <is>
          <t>RP0004967</t>
        </is>
      </c>
      <c r="B4968" t="inlineStr">
        <is>
          <t>LN200701</t>
        </is>
      </c>
      <c r="C4968" t="n">
        <v>2</v>
      </c>
      <c r="D4968" s="8" t="n">
        <v>45856</v>
      </c>
      <c r="E4968" s="9" t="n">
        <v>15301</v>
      </c>
      <c r="F4968" s="8" t="n">
        <v>45853</v>
      </c>
      <c r="G4968" s="9" t="n">
        <v>15301</v>
      </c>
      <c r="H4968" t="inlineStr">
        <is>
          <t>PAID_ON_TIME</t>
        </is>
      </c>
      <c r="I4968">
        <f>IF(H4968="UNPAID", AsOfDate-D4968, 0)</f>
        <v/>
      </c>
      <c r="J4968">
        <f>IF(F4968&lt;&gt;"", TEXT(F4968, "yyyy-mm"), "")</f>
        <v/>
      </c>
    </row>
    <row r="4969">
      <c r="A4969" t="inlineStr">
        <is>
          <t>RP0004968</t>
        </is>
      </c>
      <c r="B4969" t="inlineStr">
        <is>
          <t>LN200701</t>
        </is>
      </c>
      <c r="C4969" t="n">
        <v>3</v>
      </c>
      <c r="D4969" s="8" t="n">
        <v>45887</v>
      </c>
      <c r="E4969" s="9" t="n">
        <v>15301</v>
      </c>
      <c r="F4969" s="8" t="n">
        <v>45886</v>
      </c>
      <c r="G4969" s="9" t="n">
        <v>15301</v>
      </c>
      <c r="H4969" t="inlineStr">
        <is>
          <t>PAID_ON_TIME</t>
        </is>
      </c>
      <c r="I4969">
        <f>IF(H4969="UNPAID", AsOfDate-D4969, 0)</f>
        <v/>
      </c>
      <c r="J4969">
        <f>IF(F4969&lt;&gt;"", TEXT(F4969, "yyyy-mm"), "")</f>
        <v/>
      </c>
    </row>
    <row r="4970">
      <c r="A4970" t="inlineStr">
        <is>
          <t>RP0004969</t>
        </is>
      </c>
      <c r="B4970" t="inlineStr">
        <is>
          <t>LN200702</t>
        </is>
      </c>
      <c r="C4970" t="n">
        <v>1</v>
      </c>
      <c r="D4970" s="8" t="n">
        <v>46028</v>
      </c>
      <c r="E4970" s="9" t="n">
        <v>7449.78</v>
      </c>
      <c r="F4970" s="8" t="n">
        <v>46032</v>
      </c>
      <c r="G4970" s="9" t="n">
        <v>7449.78</v>
      </c>
      <c r="H4970" t="inlineStr">
        <is>
          <t>PAID_ON_TIME</t>
        </is>
      </c>
      <c r="I4970">
        <f>IF(H4970="UNPAID", AsOfDate-D4970, 0)</f>
        <v/>
      </c>
      <c r="J4970">
        <f>IF(F4970&lt;&gt;"", TEXT(F4970, "yyyy-mm"), "")</f>
        <v/>
      </c>
    </row>
    <row r="4971">
      <c r="A4971" t="inlineStr">
        <is>
          <t>RP0004970</t>
        </is>
      </c>
      <c r="B4971" t="inlineStr">
        <is>
          <t>LN200702</t>
        </is>
      </c>
      <c r="C4971" t="n">
        <v>2</v>
      </c>
      <c r="D4971" s="8" t="n">
        <v>46059</v>
      </c>
      <c r="E4971" s="9" t="n">
        <v>7449.78</v>
      </c>
      <c r="F4971" s="8" t="n">
        <v>46057</v>
      </c>
      <c r="G4971" s="9" t="n">
        <v>7449.78</v>
      </c>
      <c r="H4971" t="inlineStr">
        <is>
          <t>PAID_ON_TIME</t>
        </is>
      </c>
      <c r="I4971">
        <f>IF(H4971="UNPAID", AsOfDate-D4971, 0)</f>
        <v/>
      </c>
      <c r="J4971">
        <f>IF(F4971&lt;&gt;"", TEXT(F4971, "yyyy-mm"), "")</f>
        <v/>
      </c>
    </row>
    <row r="4972">
      <c r="A4972" t="inlineStr">
        <is>
          <t>RP0004971</t>
        </is>
      </c>
      <c r="B4972" t="inlineStr">
        <is>
          <t>LN200702</t>
        </is>
      </c>
      <c r="C4972" t="n">
        <v>3</v>
      </c>
      <c r="D4972" s="8" t="n">
        <v>46087</v>
      </c>
      <c r="E4972" s="9" t="n">
        <v>7449.78</v>
      </c>
      <c r="F4972" s="8" t="n">
        <v>46089</v>
      </c>
      <c r="G4972" s="9" t="n">
        <v>7449.78</v>
      </c>
      <c r="H4972" t="inlineStr">
        <is>
          <t>PAID_ON_TIME</t>
        </is>
      </c>
      <c r="I4972">
        <f>IF(H4972="UNPAID", AsOfDate-D4972, 0)</f>
        <v/>
      </c>
      <c r="J4972">
        <f>IF(F4972&lt;&gt;"", TEXT(F4972, "yyyy-mm"), "")</f>
        <v/>
      </c>
    </row>
    <row r="4973">
      <c r="A4973" t="inlineStr">
        <is>
          <t>RP0004972</t>
        </is>
      </c>
      <c r="B4973" t="inlineStr">
        <is>
          <t>LN200702</t>
        </is>
      </c>
      <c r="C4973" t="n">
        <v>4</v>
      </c>
      <c r="D4973" s="8" t="n">
        <v>46118</v>
      </c>
      <c r="E4973" s="9" t="n">
        <v>7449.78</v>
      </c>
      <c r="F4973" s="8" t="n">
        <v>46115</v>
      </c>
      <c r="G4973" s="9" t="n">
        <v>7449.78</v>
      </c>
      <c r="H4973" t="inlineStr">
        <is>
          <t>PAID_ON_TIME</t>
        </is>
      </c>
      <c r="I4973">
        <f>IF(H4973="UNPAID", AsOfDate-D4973, 0)</f>
        <v/>
      </c>
      <c r="J4973">
        <f>IF(F4973&lt;&gt;"", TEXT(F4973, "yyyy-mm"), "")</f>
        <v/>
      </c>
    </row>
    <row r="4974">
      <c r="A4974" t="inlineStr">
        <is>
          <t>RP0004973</t>
        </is>
      </c>
      <c r="B4974" t="inlineStr">
        <is>
          <t>LN200702</t>
        </is>
      </c>
      <c r="C4974" t="n">
        <v>5</v>
      </c>
      <c r="D4974" s="8" t="n">
        <v>46148</v>
      </c>
      <c r="E4974" s="9" t="n">
        <v>7449.78</v>
      </c>
      <c r="F4974" s="8" t="n">
        <v>46147</v>
      </c>
      <c r="G4974" s="9" t="n">
        <v>7449.78</v>
      </c>
      <c r="H4974" t="inlineStr">
        <is>
          <t>PAID_ON_TIME</t>
        </is>
      </c>
      <c r="I4974">
        <f>IF(H4974="UNPAID", AsOfDate-D4974, 0)</f>
        <v/>
      </c>
      <c r="J4974">
        <f>IF(F4974&lt;&gt;"", TEXT(F4974, "yyyy-mm"), "")</f>
        <v/>
      </c>
    </row>
    <row r="4975">
      <c r="A4975" t="inlineStr">
        <is>
          <t>RP0004974</t>
        </is>
      </c>
      <c r="B4975" t="inlineStr">
        <is>
          <t>LN200702</t>
        </is>
      </c>
      <c r="C4975" t="n">
        <v>6</v>
      </c>
      <c r="D4975" s="8" t="n">
        <v>46179</v>
      </c>
      <c r="E4975" s="9" t="n">
        <v>7449.78</v>
      </c>
      <c r="F4975" s="8" t="n">
        <v>46260</v>
      </c>
      <c r="G4975" s="9" t="n">
        <v>7449.78</v>
      </c>
      <c r="H4975" t="inlineStr">
        <is>
          <t>PAID_LATE</t>
        </is>
      </c>
      <c r="I4975">
        <f>IF(H4975="UNPAID", AsOfDate-D4975, 0)</f>
        <v/>
      </c>
      <c r="J4975">
        <f>IF(F4975&lt;&gt;"", TEXT(F4975, "yyyy-mm"), "")</f>
        <v/>
      </c>
    </row>
    <row r="4976">
      <c r="A4976" t="inlineStr">
        <is>
          <t>RP0004975</t>
        </is>
      </c>
      <c r="B4976" t="inlineStr">
        <is>
          <t>LN200702</t>
        </is>
      </c>
      <c r="C4976" t="n">
        <v>7</v>
      </c>
      <c r="D4976" s="8" t="n">
        <v>46209</v>
      </c>
      <c r="E4976" s="9" t="n">
        <v>7449.78</v>
      </c>
      <c r="F4976" s="8" t="n">
        <v>46210</v>
      </c>
      <c r="G4976" s="9" t="n">
        <v>7449.78</v>
      </c>
      <c r="H4976" t="inlineStr">
        <is>
          <t>PAID_ON_TIME</t>
        </is>
      </c>
      <c r="I4976">
        <f>IF(H4976="UNPAID", AsOfDate-D4976, 0)</f>
        <v/>
      </c>
      <c r="J4976">
        <f>IF(F4976&lt;&gt;"", TEXT(F4976, "yyyy-mm"), "")</f>
        <v/>
      </c>
    </row>
    <row r="4977">
      <c r="A4977" t="inlineStr">
        <is>
          <t>RP0004976</t>
        </is>
      </c>
      <c r="B4977" t="inlineStr">
        <is>
          <t>LN200702</t>
        </is>
      </c>
      <c r="C4977" t="n">
        <v>8</v>
      </c>
      <c r="D4977" s="8" t="n">
        <v>46240</v>
      </c>
      <c r="E4977" s="9" t="n">
        <v>7449.78</v>
      </c>
      <c r="F4977" s="8" t="n">
        <v>46243</v>
      </c>
      <c r="G4977" s="9" t="n">
        <v>7449.78</v>
      </c>
      <c r="H4977" t="inlineStr">
        <is>
          <t>PAID_ON_TIME</t>
        </is>
      </c>
      <c r="I4977">
        <f>IF(H4977="UNPAID", AsOfDate-D4977, 0)</f>
        <v/>
      </c>
      <c r="J4977">
        <f>IF(F4977&lt;&gt;"", TEXT(F4977, "yyyy-mm"), "")</f>
        <v/>
      </c>
    </row>
    <row r="4978">
      <c r="A4978" t="inlineStr">
        <is>
          <t>RP0004977</t>
        </is>
      </c>
      <c r="B4978" t="inlineStr">
        <is>
          <t>LN200702</t>
        </is>
      </c>
      <c r="C4978" t="n">
        <v>9</v>
      </c>
      <c r="D4978" s="8" t="n">
        <v>46271</v>
      </c>
      <c r="E4978" s="9" t="n">
        <v>7449.78</v>
      </c>
      <c r="F4978" s="8" t="n"/>
      <c r="G4978" s="9" t="n">
        <v>0</v>
      </c>
      <c r="H4978" t="inlineStr">
        <is>
          <t>NOT_DUE</t>
        </is>
      </c>
      <c r="I4978">
        <f>IF(H4978="UNPAID", AsOfDate-D4978, 0)</f>
        <v/>
      </c>
      <c r="J4978">
        <f>IF(F4978&lt;&gt;"", TEXT(F4978, "yyyy-mm"), "")</f>
        <v/>
      </c>
    </row>
    <row r="4979">
      <c r="A4979" t="inlineStr">
        <is>
          <t>RP0004978</t>
        </is>
      </c>
      <c r="B4979" t="inlineStr">
        <is>
          <t>LN200703</t>
        </is>
      </c>
      <c r="C4979" t="n">
        <v>1</v>
      </c>
      <c r="D4979" s="8" t="n">
        <v>46237</v>
      </c>
      <c r="E4979" s="9" t="n">
        <v>26462.5</v>
      </c>
      <c r="F4979" s="8" t="n">
        <v>46239</v>
      </c>
      <c r="G4979" s="9" t="n">
        <v>26462.5</v>
      </c>
      <c r="H4979" t="inlineStr">
        <is>
          <t>PAID_ON_TIME</t>
        </is>
      </c>
      <c r="I4979">
        <f>IF(H4979="UNPAID", AsOfDate-D4979, 0)</f>
        <v/>
      </c>
      <c r="J4979">
        <f>IF(F4979&lt;&gt;"", TEXT(F4979, "yyyy-mm"), "")</f>
        <v/>
      </c>
    </row>
    <row r="4980">
      <c r="A4980" t="inlineStr">
        <is>
          <t>RP0004979</t>
        </is>
      </c>
      <c r="B4980" t="inlineStr">
        <is>
          <t>LN200703</t>
        </is>
      </c>
      <c r="C4980" t="n">
        <v>2</v>
      </c>
      <c r="D4980" s="8" t="n">
        <v>46268</v>
      </c>
      <c r="E4980" s="9" t="n">
        <v>26462.5</v>
      </c>
      <c r="F4980" s="8" t="n"/>
      <c r="G4980" s="9" t="n">
        <v>0</v>
      </c>
      <c r="H4980" t="inlineStr">
        <is>
          <t>NOT_DUE</t>
        </is>
      </c>
      <c r="I4980">
        <f>IF(H4980="UNPAID", AsOfDate-D4980, 0)</f>
        <v/>
      </c>
      <c r="J4980">
        <f>IF(F4980&lt;&gt;"", TEXT(F4980, "yyyy-mm"), "")</f>
        <v/>
      </c>
    </row>
    <row r="4981">
      <c r="A4981" t="inlineStr">
        <is>
          <t>RP0004980</t>
        </is>
      </c>
      <c r="B4981" t="inlineStr">
        <is>
          <t>LN200703</t>
        </is>
      </c>
      <c r="C4981" t="n">
        <v>3</v>
      </c>
      <c r="D4981" s="8" t="n">
        <v>46298</v>
      </c>
      <c r="E4981" s="9" t="n">
        <v>26462.5</v>
      </c>
      <c r="F4981" s="8" t="n"/>
      <c r="G4981" s="9" t="n">
        <v>0</v>
      </c>
      <c r="H4981" t="inlineStr">
        <is>
          <t>NOT_DUE</t>
        </is>
      </c>
      <c r="I4981">
        <f>IF(H4981="UNPAID", AsOfDate-D4981, 0)</f>
        <v/>
      </c>
      <c r="J4981">
        <f>IF(F4981&lt;&gt;"", TEXT(F4981, "yyyy-mm"), "")</f>
        <v/>
      </c>
    </row>
    <row r="4982">
      <c r="A4982" t="inlineStr">
        <is>
          <t>RP0004981</t>
        </is>
      </c>
      <c r="B4982" t="inlineStr">
        <is>
          <t>LN200705</t>
        </is>
      </c>
      <c r="C4982" t="n">
        <v>1</v>
      </c>
      <c r="D4982" s="8" t="n">
        <v>46084</v>
      </c>
      <c r="E4982" s="9" t="n">
        <v>3678.97</v>
      </c>
      <c r="F4982" s="8" t="n">
        <v>46084</v>
      </c>
      <c r="G4982" s="9" t="n">
        <v>3678.97</v>
      </c>
      <c r="H4982" t="inlineStr">
        <is>
          <t>PAID_ON_TIME</t>
        </is>
      </c>
      <c r="I4982">
        <f>IF(H4982="UNPAID", AsOfDate-D4982, 0)</f>
        <v/>
      </c>
      <c r="J4982">
        <f>IF(F4982&lt;&gt;"", TEXT(F4982, "yyyy-mm"), "")</f>
        <v/>
      </c>
    </row>
    <row r="4983">
      <c r="A4983" t="inlineStr">
        <is>
          <t>RP0004982</t>
        </is>
      </c>
      <c r="B4983" t="inlineStr">
        <is>
          <t>LN200705</t>
        </is>
      </c>
      <c r="C4983" t="n">
        <v>2</v>
      </c>
      <c r="D4983" s="8" t="n">
        <v>46115</v>
      </c>
      <c r="E4983" s="9" t="n">
        <v>3678.97</v>
      </c>
      <c r="F4983" s="8" t="n">
        <v>46118</v>
      </c>
      <c r="G4983" s="9" t="n">
        <v>3678.97</v>
      </c>
      <c r="H4983" t="inlineStr">
        <is>
          <t>PAID_ON_TIME</t>
        </is>
      </c>
      <c r="I4983">
        <f>IF(H4983="UNPAID", AsOfDate-D4983, 0)</f>
        <v/>
      </c>
      <c r="J4983">
        <f>IF(F4983&lt;&gt;"", TEXT(F4983, "yyyy-mm"), "")</f>
        <v/>
      </c>
    </row>
    <row r="4984">
      <c r="A4984" t="inlineStr">
        <is>
          <t>RP0004983</t>
        </is>
      </c>
      <c r="B4984" t="inlineStr">
        <is>
          <t>LN200705</t>
        </is>
      </c>
      <c r="C4984" t="n">
        <v>3</v>
      </c>
      <c r="D4984" s="8" t="n">
        <v>46145</v>
      </c>
      <c r="E4984" s="9" t="n">
        <v>3678.97</v>
      </c>
      <c r="F4984" s="8" t="n">
        <v>46149</v>
      </c>
      <c r="G4984" s="9" t="n">
        <v>3678.97</v>
      </c>
      <c r="H4984" t="inlineStr">
        <is>
          <t>PAID_ON_TIME</t>
        </is>
      </c>
      <c r="I4984">
        <f>IF(H4984="UNPAID", AsOfDate-D4984, 0)</f>
        <v/>
      </c>
      <c r="J4984">
        <f>IF(F4984&lt;&gt;"", TEXT(F4984, "yyyy-mm"), "")</f>
        <v/>
      </c>
    </row>
    <row r="4985">
      <c r="A4985" t="inlineStr">
        <is>
          <t>RP0004984</t>
        </is>
      </c>
      <c r="B4985" t="inlineStr">
        <is>
          <t>LN200705</t>
        </is>
      </c>
      <c r="C4985" t="n">
        <v>4</v>
      </c>
      <c r="D4985" s="8" t="n">
        <v>46176</v>
      </c>
      <c r="E4985" s="9" t="n">
        <v>3678.97</v>
      </c>
      <c r="F4985" s="8" t="n"/>
      <c r="G4985" s="9" t="n">
        <v>0</v>
      </c>
      <c r="H4985" t="inlineStr">
        <is>
          <t>UNPAID</t>
        </is>
      </c>
      <c r="I4985">
        <f>IF(H4985="UNPAID", AsOfDate-D4985, 0)</f>
        <v/>
      </c>
      <c r="J4985">
        <f>IF(F4985&lt;&gt;"", TEXT(F4985, "yyyy-mm"), "")</f>
        <v/>
      </c>
    </row>
    <row r="4986">
      <c r="A4986" t="inlineStr">
        <is>
          <t>RP0004985</t>
        </is>
      </c>
      <c r="B4986" t="inlineStr">
        <is>
          <t>LN200705</t>
        </is>
      </c>
      <c r="C4986" t="n">
        <v>5</v>
      </c>
      <c r="D4986" s="8" t="n">
        <v>46206</v>
      </c>
      <c r="E4986" s="9" t="n">
        <v>3678.97</v>
      </c>
      <c r="F4986" s="8" t="n"/>
      <c r="G4986" s="9" t="n">
        <v>0</v>
      </c>
      <c r="H4986" t="inlineStr">
        <is>
          <t>UNPAID</t>
        </is>
      </c>
      <c r="I4986">
        <f>IF(H4986="UNPAID", AsOfDate-D4986, 0)</f>
        <v/>
      </c>
      <c r="J4986">
        <f>IF(F4986&lt;&gt;"", TEXT(F4986, "yyyy-mm"), "")</f>
        <v/>
      </c>
    </row>
    <row r="4987">
      <c r="A4987" t="inlineStr">
        <is>
          <t>RP0004986</t>
        </is>
      </c>
      <c r="B4987" t="inlineStr">
        <is>
          <t>LN200705</t>
        </is>
      </c>
      <c r="C4987" t="n">
        <v>6</v>
      </c>
      <c r="D4987" s="8" t="n">
        <v>46237</v>
      </c>
      <c r="E4987" s="9" t="n">
        <v>3678.97</v>
      </c>
      <c r="F4987" s="8" t="n"/>
      <c r="G4987" s="9" t="n">
        <v>0</v>
      </c>
      <c r="H4987" t="inlineStr">
        <is>
          <t>UNPAID</t>
        </is>
      </c>
      <c r="I4987">
        <f>IF(H4987="UNPAID", AsOfDate-D4987, 0)</f>
        <v/>
      </c>
      <c r="J4987">
        <f>IF(F4987&lt;&gt;"", TEXT(F4987, "yyyy-mm"), "")</f>
        <v/>
      </c>
    </row>
    <row r="4988">
      <c r="A4988" t="inlineStr">
        <is>
          <t>RP0004987</t>
        </is>
      </c>
      <c r="B4988" t="inlineStr">
        <is>
          <t>LN200705</t>
        </is>
      </c>
      <c r="C4988" t="n">
        <v>7</v>
      </c>
      <c r="D4988" s="8" t="n">
        <v>46268</v>
      </c>
      <c r="E4988" s="9" t="n">
        <v>3678.97</v>
      </c>
      <c r="F4988" s="8" t="n"/>
      <c r="G4988" s="9" t="n">
        <v>0</v>
      </c>
      <c r="H4988" t="inlineStr">
        <is>
          <t>NOT_DUE</t>
        </is>
      </c>
      <c r="I4988">
        <f>IF(H4988="UNPAID", AsOfDate-D4988, 0)</f>
        <v/>
      </c>
      <c r="J4988">
        <f>IF(F4988&lt;&gt;"", TEXT(F4988, "yyyy-mm"), "")</f>
        <v/>
      </c>
    </row>
    <row r="4989">
      <c r="A4989" t="inlineStr">
        <is>
          <t>RP0004988</t>
        </is>
      </c>
      <c r="B4989" t="inlineStr">
        <is>
          <t>LN200705</t>
        </is>
      </c>
      <c r="C4989" t="n">
        <v>8</v>
      </c>
      <c r="D4989" s="8" t="n">
        <v>46298</v>
      </c>
      <c r="E4989" s="9" t="n">
        <v>3678.97</v>
      </c>
      <c r="F4989" s="8" t="n"/>
      <c r="G4989" s="9" t="n">
        <v>0</v>
      </c>
      <c r="H4989" t="inlineStr">
        <is>
          <t>NOT_DUE</t>
        </is>
      </c>
      <c r="I4989">
        <f>IF(H4989="UNPAID", AsOfDate-D4989, 0)</f>
        <v/>
      </c>
      <c r="J4989">
        <f>IF(F4989&lt;&gt;"", TEXT(F4989, "yyyy-mm"), "")</f>
        <v/>
      </c>
    </row>
    <row r="4990">
      <c r="A4990" t="inlineStr">
        <is>
          <t>RP0004989</t>
        </is>
      </c>
      <c r="B4990" t="inlineStr">
        <is>
          <t>LN200705</t>
        </is>
      </c>
      <c r="C4990" t="n">
        <v>9</v>
      </c>
      <c r="D4990" s="8" t="n">
        <v>46329</v>
      </c>
      <c r="E4990" s="9" t="n">
        <v>3678.97</v>
      </c>
      <c r="F4990" s="8" t="n"/>
      <c r="G4990" s="9" t="n">
        <v>0</v>
      </c>
      <c r="H4990" t="inlineStr">
        <is>
          <t>NOT_DUE</t>
        </is>
      </c>
      <c r="I4990">
        <f>IF(H4990="UNPAID", AsOfDate-D4990, 0)</f>
        <v/>
      </c>
      <c r="J4990">
        <f>IF(F4990&lt;&gt;"", TEXT(F4990, "yyyy-mm"), "")</f>
        <v/>
      </c>
    </row>
    <row r="4991">
      <c r="A4991" t="inlineStr">
        <is>
          <t>RP0004990</t>
        </is>
      </c>
      <c r="B4991" t="inlineStr">
        <is>
          <t>LN200706</t>
        </is>
      </c>
      <c r="C4991" t="n">
        <v>1</v>
      </c>
      <c r="D4991" s="8" t="n">
        <v>46264</v>
      </c>
      <c r="E4991" s="9" t="n">
        <v>5071.08</v>
      </c>
      <c r="F4991" s="8" t="n"/>
      <c r="G4991" s="9" t="n">
        <v>0</v>
      </c>
      <c r="H4991" t="inlineStr">
        <is>
          <t>UNPAID</t>
        </is>
      </c>
      <c r="I4991">
        <f>IF(H4991="UNPAID", AsOfDate-D4991, 0)</f>
        <v/>
      </c>
      <c r="J4991">
        <f>IF(F4991&lt;&gt;"", TEXT(F4991, "yyyy-mm"), "")</f>
        <v/>
      </c>
    </row>
    <row r="4992">
      <c r="A4992" t="inlineStr">
        <is>
          <t>RP0004991</t>
        </is>
      </c>
      <c r="B4992" t="inlineStr">
        <is>
          <t>LN200706</t>
        </is>
      </c>
      <c r="C4992" t="n">
        <v>2</v>
      </c>
      <c r="D4992" s="8" t="n">
        <v>46295</v>
      </c>
      <c r="E4992" s="9" t="n">
        <v>5071.08</v>
      </c>
      <c r="F4992" s="8" t="n"/>
      <c r="G4992" s="9" t="n">
        <v>0</v>
      </c>
      <c r="H4992" t="inlineStr">
        <is>
          <t>NOT_DUE</t>
        </is>
      </c>
      <c r="I4992">
        <f>IF(H4992="UNPAID", AsOfDate-D4992, 0)</f>
        <v/>
      </c>
      <c r="J4992">
        <f>IF(F4992&lt;&gt;"", TEXT(F4992, "yyyy-mm"), "")</f>
        <v/>
      </c>
    </row>
    <row r="4993">
      <c r="A4993" t="inlineStr">
        <is>
          <t>RP0004992</t>
        </is>
      </c>
      <c r="B4993" t="inlineStr">
        <is>
          <t>LN200706</t>
        </is>
      </c>
      <c r="C4993" t="n">
        <v>3</v>
      </c>
      <c r="D4993" s="8" t="n">
        <v>46325</v>
      </c>
      <c r="E4993" s="9" t="n">
        <v>5071.08</v>
      </c>
      <c r="F4993" s="8" t="n"/>
      <c r="G4993" s="9" t="n">
        <v>0</v>
      </c>
      <c r="H4993" t="inlineStr">
        <is>
          <t>NOT_DUE</t>
        </is>
      </c>
      <c r="I4993">
        <f>IF(H4993="UNPAID", AsOfDate-D4993, 0)</f>
        <v/>
      </c>
      <c r="J4993">
        <f>IF(F4993&lt;&gt;"", TEXT(F4993, "yyyy-mm"), "")</f>
        <v/>
      </c>
    </row>
    <row r="4994">
      <c r="A4994" t="inlineStr">
        <is>
          <t>RP0004993</t>
        </is>
      </c>
      <c r="B4994" t="inlineStr">
        <is>
          <t>LN200706</t>
        </is>
      </c>
      <c r="C4994" t="n">
        <v>4</v>
      </c>
      <c r="D4994" s="8" t="n">
        <v>46356</v>
      </c>
      <c r="E4994" s="9" t="n">
        <v>5071.08</v>
      </c>
      <c r="F4994" s="8" t="n"/>
      <c r="G4994" s="9" t="n">
        <v>0</v>
      </c>
      <c r="H4994" t="inlineStr">
        <is>
          <t>NOT_DUE</t>
        </is>
      </c>
      <c r="I4994">
        <f>IF(H4994="UNPAID", AsOfDate-D4994, 0)</f>
        <v/>
      </c>
      <c r="J4994">
        <f>IF(F4994&lt;&gt;"", TEXT(F4994, "yyyy-mm"), "")</f>
        <v/>
      </c>
    </row>
    <row r="4995">
      <c r="A4995" t="inlineStr">
        <is>
          <t>RP0004994</t>
        </is>
      </c>
      <c r="B4995" t="inlineStr">
        <is>
          <t>LN200706</t>
        </is>
      </c>
      <c r="C4995" t="n">
        <v>5</v>
      </c>
      <c r="D4995" s="8" t="n">
        <v>46386</v>
      </c>
      <c r="E4995" s="9" t="n">
        <v>5071.08</v>
      </c>
      <c r="F4995" s="8" t="n"/>
      <c r="G4995" s="9" t="n">
        <v>0</v>
      </c>
      <c r="H4995" t="inlineStr">
        <is>
          <t>NOT_DUE</t>
        </is>
      </c>
      <c r="I4995">
        <f>IF(H4995="UNPAID", AsOfDate-D4995, 0)</f>
        <v/>
      </c>
      <c r="J4995">
        <f>IF(F4995&lt;&gt;"", TEXT(F4995, "yyyy-mm"), "")</f>
        <v/>
      </c>
    </row>
    <row r="4996">
      <c r="A4996" t="inlineStr">
        <is>
          <t>RP0004995</t>
        </is>
      </c>
      <c r="B4996" t="inlineStr">
        <is>
          <t>LN200706</t>
        </is>
      </c>
      <c r="C4996" t="n">
        <v>6</v>
      </c>
      <c r="D4996" s="8" t="n">
        <v>46417</v>
      </c>
      <c r="E4996" s="9" t="n">
        <v>5071.08</v>
      </c>
      <c r="F4996" s="8" t="n"/>
      <c r="G4996" s="9" t="n">
        <v>0</v>
      </c>
      <c r="H4996" t="inlineStr">
        <is>
          <t>NOT_DUE</t>
        </is>
      </c>
      <c r="I4996">
        <f>IF(H4996="UNPAID", AsOfDate-D4996, 0)</f>
        <v/>
      </c>
      <c r="J4996">
        <f>IF(F4996&lt;&gt;"", TEXT(F4996, "yyyy-mm"), "")</f>
        <v/>
      </c>
    </row>
    <row r="4997">
      <c r="A4997" t="inlineStr">
        <is>
          <t>RP0004996</t>
        </is>
      </c>
      <c r="B4997" t="inlineStr">
        <is>
          <t>LN200706</t>
        </is>
      </c>
      <c r="C4997" t="n">
        <v>7</v>
      </c>
      <c r="D4997" s="8" t="n">
        <v>46446</v>
      </c>
      <c r="E4997" s="9" t="n">
        <v>5071.08</v>
      </c>
      <c r="F4997" s="8" t="n"/>
      <c r="G4997" s="9" t="n">
        <v>0</v>
      </c>
      <c r="H4997" t="inlineStr">
        <is>
          <t>NOT_DUE</t>
        </is>
      </c>
      <c r="I4997">
        <f>IF(H4997="UNPAID", AsOfDate-D4997, 0)</f>
        <v/>
      </c>
      <c r="J4997">
        <f>IF(F4997&lt;&gt;"", TEXT(F4997, "yyyy-mm"), "")</f>
        <v/>
      </c>
    </row>
    <row r="4998">
      <c r="A4998" t="inlineStr">
        <is>
          <t>RP0004997</t>
        </is>
      </c>
      <c r="B4998" t="inlineStr">
        <is>
          <t>LN200706</t>
        </is>
      </c>
      <c r="C4998" t="n">
        <v>8</v>
      </c>
      <c r="D4998" s="8" t="n">
        <v>46476</v>
      </c>
      <c r="E4998" s="9" t="n">
        <v>5071.08</v>
      </c>
      <c r="F4998" s="8" t="n"/>
      <c r="G4998" s="9" t="n">
        <v>0</v>
      </c>
      <c r="H4998" t="inlineStr">
        <is>
          <t>NOT_DUE</t>
        </is>
      </c>
      <c r="I4998">
        <f>IF(H4998="UNPAID", AsOfDate-D4998, 0)</f>
        <v/>
      </c>
      <c r="J4998">
        <f>IF(F4998&lt;&gt;"", TEXT(F4998, "yyyy-mm"), "")</f>
        <v/>
      </c>
    </row>
    <row r="4999">
      <c r="A4999" t="inlineStr">
        <is>
          <t>RP0004998</t>
        </is>
      </c>
      <c r="B4999" t="inlineStr">
        <is>
          <t>LN200706</t>
        </is>
      </c>
      <c r="C4999" t="n">
        <v>9</v>
      </c>
      <c r="D4999" s="8" t="n">
        <v>46507</v>
      </c>
      <c r="E4999" s="9" t="n">
        <v>5071.08</v>
      </c>
      <c r="F4999" s="8" t="n"/>
      <c r="G4999" s="9" t="n">
        <v>0</v>
      </c>
      <c r="H4999" t="inlineStr">
        <is>
          <t>NOT_DUE</t>
        </is>
      </c>
      <c r="I4999">
        <f>IF(H4999="UNPAID", AsOfDate-D4999, 0)</f>
        <v/>
      </c>
      <c r="J4999">
        <f>IF(F4999&lt;&gt;"", TEXT(F4999, "yyyy-mm"), "")</f>
        <v/>
      </c>
    </row>
    <row r="5000">
      <c r="A5000" t="inlineStr">
        <is>
          <t>RP0004999</t>
        </is>
      </c>
      <c r="B5000" t="inlineStr">
        <is>
          <t>LN200708</t>
        </is>
      </c>
      <c r="C5000" t="n">
        <v>1</v>
      </c>
      <c r="D5000" s="8" t="n">
        <v>45982</v>
      </c>
      <c r="E5000" s="9" t="n">
        <v>134400.33</v>
      </c>
      <c r="F5000" s="8" t="n">
        <v>46054</v>
      </c>
      <c r="G5000" s="9" t="n">
        <v>134400.33</v>
      </c>
      <c r="H5000" t="inlineStr">
        <is>
          <t>PAID_LATE</t>
        </is>
      </c>
      <c r="I5000">
        <f>IF(H5000="UNPAID", AsOfDate-D5000, 0)</f>
        <v/>
      </c>
      <c r="J5000">
        <f>IF(F5000&lt;&gt;"", TEXT(F5000, "yyyy-mm"), "")</f>
        <v/>
      </c>
    </row>
    <row r="5001">
      <c r="A5001" t="inlineStr">
        <is>
          <t>RP0005000</t>
        </is>
      </c>
      <c r="B5001" t="inlineStr">
        <is>
          <t>LN200708</t>
        </is>
      </c>
      <c r="C5001" t="n">
        <v>2</v>
      </c>
      <c r="D5001" s="8" t="n">
        <v>46012</v>
      </c>
      <c r="E5001" s="9" t="n">
        <v>134400.33</v>
      </c>
      <c r="F5001" s="8" t="n">
        <v>46013</v>
      </c>
      <c r="G5001" s="9" t="n">
        <v>134400.33</v>
      </c>
      <c r="H5001" t="inlineStr">
        <is>
          <t>PAID_ON_TIME</t>
        </is>
      </c>
      <c r="I5001">
        <f>IF(H5001="UNPAID", AsOfDate-D5001, 0)</f>
        <v/>
      </c>
      <c r="J5001">
        <f>IF(F5001&lt;&gt;"", TEXT(F5001, "yyyy-mm"), "")</f>
        <v/>
      </c>
    </row>
    <row r="5002">
      <c r="A5002" t="inlineStr">
        <is>
          <t>RP0005001</t>
        </is>
      </c>
      <c r="B5002" t="inlineStr">
        <is>
          <t>LN200708</t>
        </is>
      </c>
      <c r="C5002" t="n">
        <v>3</v>
      </c>
      <c r="D5002" s="8" t="n">
        <v>46043</v>
      </c>
      <c r="E5002" s="9" t="n">
        <v>134400.33</v>
      </c>
      <c r="F5002" s="8" t="n">
        <v>46041</v>
      </c>
      <c r="G5002" s="9" t="n">
        <v>134400.33</v>
      </c>
      <c r="H5002" t="inlineStr">
        <is>
          <t>PAID_ON_TIME</t>
        </is>
      </c>
      <c r="I5002">
        <f>IF(H5002="UNPAID", AsOfDate-D5002, 0)</f>
        <v/>
      </c>
      <c r="J5002">
        <f>IF(F5002&lt;&gt;"", TEXT(F5002, "yyyy-mm"), "")</f>
        <v/>
      </c>
    </row>
    <row r="5003">
      <c r="A5003" t="inlineStr">
        <is>
          <t>RP0005002</t>
        </is>
      </c>
      <c r="B5003" t="inlineStr">
        <is>
          <t>LN200709</t>
        </is>
      </c>
      <c r="C5003" t="n">
        <v>1</v>
      </c>
      <c r="D5003" s="8" t="n">
        <v>45980</v>
      </c>
      <c r="E5003" s="9" t="n">
        <v>12292.17</v>
      </c>
      <c r="F5003" s="8" t="n">
        <v>45979</v>
      </c>
      <c r="G5003" s="9" t="n">
        <v>12292.17</v>
      </c>
      <c r="H5003" t="inlineStr">
        <is>
          <t>PAID_ON_TIME</t>
        </is>
      </c>
      <c r="I5003">
        <f>IF(H5003="UNPAID", AsOfDate-D5003, 0)</f>
        <v/>
      </c>
      <c r="J5003">
        <f>IF(F5003&lt;&gt;"", TEXT(F5003, "yyyy-mm"), "")</f>
        <v/>
      </c>
    </row>
    <row r="5004">
      <c r="A5004" t="inlineStr">
        <is>
          <t>RP0005003</t>
        </is>
      </c>
      <c r="B5004" t="inlineStr">
        <is>
          <t>LN200709</t>
        </is>
      </c>
      <c r="C5004" t="n">
        <v>2</v>
      </c>
      <c r="D5004" s="8" t="n">
        <v>46010</v>
      </c>
      <c r="E5004" s="9" t="n">
        <v>12292.17</v>
      </c>
      <c r="F5004" s="8" t="n">
        <v>46007</v>
      </c>
      <c r="G5004" s="9" t="n">
        <v>12292.17</v>
      </c>
      <c r="H5004" t="inlineStr">
        <is>
          <t>PAID_ON_TIME</t>
        </is>
      </c>
      <c r="I5004">
        <f>IF(H5004="UNPAID", AsOfDate-D5004, 0)</f>
        <v/>
      </c>
      <c r="J5004">
        <f>IF(F5004&lt;&gt;"", TEXT(F5004, "yyyy-mm"), "")</f>
        <v/>
      </c>
    </row>
    <row r="5005">
      <c r="A5005" t="inlineStr">
        <is>
          <t>RP0005004</t>
        </is>
      </c>
      <c r="B5005" t="inlineStr">
        <is>
          <t>LN200709</t>
        </is>
      </c>
      <c r="C5005" t="n">
        <v>3</v>
      </c>
      <c r="D5005" s="8" t="n">
        <v>46041</v>
      </c>
      <c r="E5005" s="9" t="n">
        <v>12292.17</v>
      </c>
      <c r="F5005" s="8" t="n">
        <v>46040</v>
      </c>
      <c r="G5005" s="9" t="n">
        <v>12292.17</v>
      </c>
      <c r="H5005" t="inlineStr">
        <is>
          <t>PAID_ON_TIME</t>
        </is>
      </c>
      <c r="I5005">
        <f>IF(H5005="UNPAID", AsOfDate-D5005, 0)</f>
        <v/>
      </c>
      <c r="J5005">
        <f>IF(F5005&lt;&gt;"", TEXT(F5005, "yyyy-mm"), "")</f>
        <v/>
      </c>
    </row>
    <row r="5006">
      <c r="A5006" t="inlineStr">
        <is>
          <t>RP0005005</t>
        </is>
      </c>
      <c r="B5006" t="inlineStr">
        <is>
          <t>LN200709</t>
        </is>
      </c>
      <c r="C5006" t="n">
        <v>4</v>
      </c>
      <c r="D5006" s="8" t="n">
        <v>46072</v>
      </c>
      <c r="E5006" s="9" t="n">
        <v>12292.17</v>
      </c>
      <c r="F5006" s="8" t="n">
        <v>46070</v>
      </c>
      <c r="G5006" s="9" t="n">
        <v>12292.17</v>
      </c>
      <c r="H5006" t="inlineStr">
        <is>
          <t>PAID_ON_TIME</t>
        </is>
      </c>
      <c r="I5006">
        <f>IF(H5006="UNPAID", AsOfDate-D5006, 0)</f>
        <v/>
      </c>
      <c r="J5006">
        <f>IF(F5006&lt;&gt;"", TEXT(F5006, "yyyy-mm"), "")</f>
        <v/>
      </c>
    </row>
    <row r="5007">
      <c r="A5007" t="inlineStr">
        <is>
          <t>RP0005006</t>
        </is>
      </c>
      <c r="B5007" t="inlineStr">
        <is>
          <t>LN200709</t>
        </is>
      </c>
      <c r="C5007" t="n">
        <v>5</v>
      </c>
      <c r="D5007" s="8" t="n">
        <v>46100</v>
      </c>
      <c r="E5007" s="9" t="n">
        <v>12292.17</v>
      </c>
      <c r="F5007" s="8" t="n">
        <v>46103</v>
      </c>
      <c r="G5007" s="9" t="n">
        <v>12292.17</v>
      </c>
      <c r="H5007" t="inlineStr">
        <is>
          <t>PAID_ON_TIME</t>
        </is>
      </c>
      <c r="I5007">
        <f>IF(H5007="UNPAID", AsOfDate-D5007, 0)</f>
        <v/>
      </c>
      <c r="J5007">
        <f>IF(F5007&lt;&gt;"", TEXT(F5007, "yyyy-mm"), "")</f>
        <v/>
      </c>
    </row>
    <row r="5008">
      <c r="A5008" t="inlineStr">
        <is>
          <t>RP0005007</t>
        </is>
      </c>
      <c r="B5008" t="inlineStr">
        <is>
          <t>LN200709</t>
        </is>
      </c>
      <c r="C5008" t="n">
        <v>6</v>
      </c>
      <c r="D5008" s="8" t="n">
        <v>46131</v>
      </c>
      <c r="E5008" s="9" t="n">
        <v>12292.17</v>
      </c>
      <c r="F5008" s="8" t="n">
        <v>46128</v>
      </c>
      <c r="G5008" s="9" t="n">
        <v>12292.17</v>
      </c>
      <c r="H5008" t="inlineStr">
        <is>
          <t>PAID_ON_TIME</t>
        </is>
      </c>
      <c r="I5008">
        <f>IF(H5008="UNPAID", AsOfDate-D5008, 0)</f>
        <v/>
      </c>
      <c r="J5008">
        <f>IF(F5008&lt;&gt;"", TEXT(F5008, "yyyy-mm"), "")</f>
        <v/>
      </c>
    </row>
    <row r="5009">
      <c r="A5009" t="inlineStr">
        <is>
          <t>RP0005008</t>
        </is>
      </c>
      <c r="B5009" t="inlineStr">
        <is>
          <t>LN200709</t>
        </is>
      </c>
      <c r="C5009" t="n">
        <v>7</v>
      </c>
      <c r="D5009" s="8" t="n">
        <v>46161</v>
      </c>
      <c r="E5009" s="9" t="n">
        <v>12292.17</v>
      </c>
      <c r="F5009" s="8" t="n">
        <v>46163</v>
      </c>
      <c r="G5009" s="9" t="n">
        <v>12292.17</v>
      </c>
      <c r="H5009" t="inlineStr">
        <is>
          <t>PAID_ON_TIME</t>
        </is>
      </c>
      <c r="I5009">
        <f>IF(H5009="UNPAID", AsOfDate-D5009, 0)</f>
        <v/>
      </c>
      <c r="J5009">
        <f>IF(F5009&lt;&gt;"", TEXT(F5009, "yyyy-mm"), "")</f>
        <v/>
      </c>
    </row>
    <row r="5010">
      <c r="A5010" t="inlineStr">
        <is>
          <t>RP0005009</t>
        </is>
      </c>
      <c r="B5010" t="inlineStr">
        <is>
          <t>LN200709</t>
        </is>
      </c>
      <c r="C5010" t="n">
        <v>8</v>
      </c>
      <c r="D5010" s="8" t="n">
        <v>46192</v>
      </c>
      <c r="E5010" s="9" t="n">
        <v>12292.17</v>
      </c>
      <c r="F5010" s="8" t="n">
        <v>46192</v>
      </c>
      <c r="G5010" s="9" t="n">
        <v>12292.17</v>
      </c>
      <c r="H5010" t="inlineStr">
        <is>
          <t>PAID_ON_TIME</t>
        </is>
      </c>
      <c r="I5010">
        <f>IF(H5010="UNPAID", AsOfDate-D5010, 0)</f>
        <v/>
      </c>
      <c r="J5010">
        <f>IF(F5010&lt;&gt;"", TEXT(F5010, "yyyy-mm"), "")</f>
        <v/>
      </c>
    </row>
    <row r="5011">
      <c r="A5011" t="inlineStr">
        <is>
          <t>RP0005010</t>
        </is>
      </c>
      <c r="B5011" t="inlineStr">
        <is>
          <t>LN200709</t>
        </is>
      </c>
      <c r="C5011" t="n">
        <v>9</v>
      </c>
      <c r="D5011" s="8" t="n">
        <v>46222</v>
      </c>
      <c r="E5011" s="9" t="n">
        <v>12292.17</v>
      </c>
      <c r="F5011" s="8" t="n">
        <v>46224</v>
      </c>
      <c r="G5011" s="9" t="n">
        <v>12292.17</v>
      </c>
      <c r="H5011" t="inlineStr">
        <is>
          <t>PAID_ON_TIME</t>
        </is>
      </c>
      <c r="I5011">
        <f>IF(H5011="UNPAID", AsOfDate-D5011, 0)</f>
        <v/>
      </c>
      <c r="J5011">
        <f>IF(F5011&lt;&gt;"", TEXT(F5011, "yyyy-mm"), "")</f>
        <v/>
      </c>
    </row>
    <row r="5012">
      <c r="A5012" t="inlineStr">
        <is>
          <t>RP0005011</t>
        </is>
      </c>
      <c r="B5012" t="inlineStr">
        <is>
          <t>LN200709</t>
        </is>
      </c>
      <c r="C5012" t="n">
        <v>10</v>
      </c>
      <c r="D5012" s="8" t="n">
        <v>46253</v>
      </c>
      <c r="E5012" s="9" t="n">
        <v>12292.17</v>
      </c>
      <c r="F5012" s="8" t="n"/>
      <c r="G5012" s="9" t="n">
        <v>0</v>
      </c>
      <c r="H5012" t="inlineStr">
        <is>
          <t>UNPAID</t>
        </is>
      </c>
      <c r="I5012">
        <f>IF(H5012="UNPAID", AsOfDate-D5012, 0)</f>
        <v/>
      </c>
      <c r="J5012">
        <f>IF(F5012&lt;&gt;"", TEXT(F5012, "yyyy-mm"), "")</f>
        <v/>
      </c>
    </row>
    <row r="5013">
      <c r="A5013" t="inlineStr">
        <is>
          <t>RP0005012</t>
        </is>
      </c>
      <c r="B5013" t="inlineStr">
        <is>
          <t>LN200709</t>
        </is>
      </c>
      <c r="C5013" t="n">
        <v>11</v>
      </c>
      <c r="D5013" s="8" t="n">
        <v>46284</v>
      </c>
      <c r="E5013" s="9" t="n">
        <v>12292.17</v>
      </c>
      <c r="F5013" s="8" t="n"/>
      <c r="G5013" s="9" t="n">
        <v>0</v>
      </c>
      <c r="H5013" t="inlineStr">
        <is>
          <t>NOT_DUE</t>
        </is>
      </c>
      <c r="I5013">
        <f>IF(H5013="UNPAID", AsOfDate-D5013, 0)</f>
        <v/>
      </c>
      <c r="J5013">
        <f>IF(F5013&lt;&gt;"", TEXT(F5013, "yyyy-mm"), "")</f>
        <v/>
      </c>
    </row>
    <row r="5014">
      <c r="A5014" t="inlineStr">
        <is>
          <t>RP0005013</t>
        </is>
      </c>
      <c r="B5014" t="inlineStr">
        <is>
          <t>LN200709</t>
        </is>
      </c>
      <c r="C5014" t="n">
        <v>12</v>
      </c>
      <c r="D5014" s="8" t="n">
        <v>46314</v>
      </c>
      <c r="E5014" s="9" t="n">
        <v>12292.17</v>
      </c>
      <c r="F5014" s="8" t="n"/>
      <c r="G5014" s="9" t="n">
        <v>0</v>
      </c>
      <c r="H5014" t="inlineStr">
        <is>
          <t>NOT_DUE</t>
        </is>
      </c>
      <c r="I5014">
        <f>IF(H5014="UNPAID", AsOfDate-D5014, 0)</f>
        <v/>
      </c>
      <c r="J5014">
        <f>IF(F5014&lt;&gt;"", TEXT(F5014, "yyyy-mm"), "")</f>
        <v/>
      </c>
    </row>
    <row r="5015">
      <c r="A5015" t="inlineStr">
        <is>
          <t>RP0005014</t>
        </is>
      </c>
      <c r="B5015" t="inlineStr">
        <is>
          <t>LN200710</t>
        </is>
      </c>
      <c r="C5015" t="n">
        <v>1</v>
      </c>
      <c r="D5015" s="8" t="n">
        <v>46056</v>
      </c>
      <c r="E5015" s="9" t="n">
        <v>41338.08</v>
      </c>
      <c r="F5015" s="8" t="n">
        <v>46056</v>
      </c>
      <c r="G5015" s="9" t="n">
        <v>41338.08</v>
      </c>
      <c r="H5015" t="inlineStr">
        <is>
          <t>PAID_ON_TIME</t>
        </is>
      </c>
      <c r="I5015">
        <f>IF(H5015="UNPAID", AsOfDate-D5015, 0)</f>
        <v/>
      </c>
      <c r="J5015">
        <f>IF(F5015&lt;&gt;"", TEXT(F5015, "yyyy-mm"), "")</f>
        <v/>
      </c>
    </row>
    <row r="5016">
      <c r="A5016" t="inlineStr">
        <is>
          <t>RP0005015</t>
        </is>
      </c>
      <c r="B5016" t="inlineStr">
        <is>
          <t>LN200710</t>
        </is>
      </c>
      <c r="C5016" t="n">
        <v>2</v>
      </c>
      <c r="D5016" s="8" t="n">
        <v>46084</v>
      </c>
      <c r="E5016" s="9" t="n">
        <v>41338.08</v>
      </c>
      <c r="F5016" s="8" t="n">
        <v>46085</v>
      </c>
      <c r="G5016" s="9" t="n">
        <v>41338.08</v>
      </c>
      <c r="H5016" t="inlineStr">
        <is>
          <t>PAID_ON_TIME</t>
        </is>
      </c>
      <c r="I5016">
        <f>IF(H5016="UNPAID", AsOfDate-D5016, 0)</f>
        <v/>
      </c>
      <c r="J5016">
        <f>IF(F5016&lt;&gt;"", TEXT(F5016, "yyyy-mm"), "")</f>
        <v/>
      </c>
    </row>
    <row r="5017">
      <c r="A5017" t="inlineStr">
        <is>
          <t>RP0005016</t>
        </is>
      </c>
      <c r="B5017" t="inlineStr">
        <is>
          <t>LN200710</t>
        </is>
      </c>
      <c r="C5017" t="n">
        <v>3</v>
      </c>
      <c r="D5017" s="8" t="n">
        <v>46115</v>
      </c>
      <c r="E5017" s="9" t="n">
        <v>41338.08</v>
      </c>
      <c r="F5017" s="8" t="n">
        <v>46114</v>
      </c>
      <c r="G5017" s="9" t="n">
        <v>41338.08</v>
      </c>
      <c r="H5017" t="inlineStr">
        <is>
          <t>PAID_ON_TIME</t>
        </is>
      </c>
      <c r="I5017">
        <f>IF(H5017="UNPAID", AsOfDate-D5017, 0)</f>
        <v/>
      </c>
      <c r="J5017">
        <f>IF(F5017&lt;&gt;"", TEXT(F5017, "yyyy-mm"), "")</f>
        <v/>
      </c>
    </row>
    <row r="5018">
      <c r="A5018" t="inlineStr">
        <is>
          <t>RP0005017</t>
        </is>
      </c>
      <c r="B5018" t="inlineStr">
        <is>
          <t>LN200710</t>
        </is>
      </c>
      <c r="C5018" t="n">
        <v>4</v>
      </c>
      <c r="D5018" s="8" t="n">
        <v>46145</v>
      </c>
      <c r="E5018" s="9" t="n">
        <v>41338.08</v>
      </c>
      <c r="F5018" s="8" t="n">
        <v>46144</v>
      </c>
      <c r="G5018" s="9" t="n">
        <v>41338.08</v>
      </c>
      <c r="H5018" t="inlineStr">
        <is>
          <t>PAID_ON_TIME</t>
        </is>
      </c>
      <c r="I5018">
        <f>IF(H5018="UNPAID", AsOfDate-D5018, 0)</f>
        <v/>
      </c>
      <c r="J5018">
        <f>IF(F5018&lt;&gt;"", TEXT(F5018, "yyyy-mm"), "")</f>
        <v/>
      </c>
    </row>
    <row r="5019">
      <c r="A5019" t="inlineStr">
        <is>
          <t>RP0005018</t>
        </is>
      </c>
      <c r="B5019" t="inlineStr">
        <is>
          <t>LN200710</t>
        </is>
      </c>
      <c r="C5019" t="n">
        <v>5</v>
      </c>
      <c r="D5019" s="8" t="n">
        <v>46176</v>
      </c>
      <c r="E5019" s="9" t="n">
        <v>41338.08</v>
      </c>
      <c r="F5019" s="8" t="n">
        <v>46173</v>
      </c>
      <c r="G5019" s="9" t="n">
        <v>41338.08</v>
      </c>
      <c r="H5019" t="inlineStr">
        <is>
          <t>PAID_ON_TIME</t>
        </is>
      </c>
      <c r="I5019">
        <f>IF(H5019="UNPAID", AsOfDate-D5019, 0)</f>
        <v/>
      </c>
      <c r="J5019">
        <f>IF(F5019&lt;&gt;"", TEXT(F5019, "yyyy-mm"), "")</f>
        <v/>
      </c>
    </row>
    <row r="5020">
      <c r="A5020" t="inlineStr">
        <is>
          <t>RP0005019</t>
        </is>
      </c>
      <c r="B5020" t="inlineStr">
        <is>
          <t>LN200710</t>
        </is>
      </c>
      <c r="C5020" t="n">
        <v>6</v>
      </c>
      <c r="D5020" s="8" t="n">
        <v>46206</v>
      </c>
      <c r="E5020" s="9" t="n">
        <v>41338.08</v>
      </c>
      <c r="F5020" s="8" t="n">
        <v>46203</v>
      </c>
      <c r="G5020" s="9" t="n">
        <v>41338.08</v>
      </c>
      <c r="H5020" t="inlineStr">
        <is>
          <t>PAID_ON_TIME</t>
        </is>
      </c>
      <c r="I5020">
        <f>IF(H5020="UNPAID", AsOfDate-D5020, 0)</f>
        <v/>
      </c>
      <c r="J5020">
        <f>IF(F5020&lt;&gt;"", TEXT(F5020, "yyyy-mm"), "")</f>
        <v/>
      </c>
    </row>
    <row r="5021">
      <c r="A5021" t="inlineStr">
        <is>
          <t>RP0005020</t>
        </is>
      </c>
      <c r="B5021" t="inlineStr">
        <is>
          <t>LN200711</t>
        </is>
      </c>
      <c r="C5021" t="n">
        <v>1</v>
      </c>
      <c r="D5021" s="8" t="n">
        <v>46239</v>
      </c>
      <c r="E5021" s="9" t="n">
        <v>3811</v>
      </c>
      <c r="F5021" s="8" t="n">
        <v>46242</v>
      </c>
      <c r="G5021" s="9" t="n">
        <v>3811</v>
      </c>
      <c r="H5021" t="inlineStr">
        <is>
          <t>PAID_ON_TIME</t>
        </is>
      </c>
      <c r="I5021">
        <f>IF(H5021="UNPAID", AsOfDate-D5021, 0)</f>
        <v/>
      </c>
      <c r="J5021">
        <f>IF(F5021&lt;&gt;"", TEXT(F5021, "yyyy-mm"), "")</f>
        <v/>
      </c>
    </row>
    <row r="5022">
      <c r="A5022" t="inlineStr">
        <is>
          <t>RP0005021</t>
        </is>
      </c>
      <c r="B5022" t="inlineStr">
        <is>
          <t>LN200711</t>
        </is>
      </c>
      <c r="C5022" t="n">
        <v>2</v>
      </c>
      <c r="D5022" s="8" t="n">
        <v>46270</v>
      </c>
      <c r="E5022" s="9" t="n">
        <v>3811</v>
      </c>
      <c r="F5022" s="8" t="n"/>
      <c r="G5022" s="9" t="n">
        <v>0</v>
      </c>
      <c r="H5022" t="inlineStr">
        <is>
          <t>NOT_DUE</t>
        </is>
      </c>
      <c r="I5022">
        <f>IF(H5022="UNPAID", AsOfDate-D5022, 0)</f>
        <v/>
      </c>
      <c r="J5022">
        <f>IF(F5022&lt;&gt;"", TEXT(F5022, "yyyy-mm"), "")</f>
        <v/>
      </c>
    </row>
    <row r="5023">
      <c r="A5023" t="inlineStr">
        <is>
          <t>RP0005022</t>
        </is>
      </c>
      <c r="B5023" t="inlineStr">
        <is>
          <t>LN200711</t>
        </is>
      </c>
      <c r="C5023" t="n">
        <v>3</v>
      </c>
      <c r="D5023" s="8" t="n">
        <v>46300</v>
      </c>
      <c r="E5023" s="9" t="n">
        <v>3811</v>
      </c>
      <c r="F5023" s="8" t="n"/>
      <c r="G5023" s="9" t="n">
        <v>0</v>
      </c>
      <c r="H5023" t="inlineStr">
        <is>
          <t>NOT_DUE</t>
        </is>
      </c>
      <c r="I5023">
        <f>IF(H5023="UNPAID", AsOfDate-D5023, 0)</f>
        <v/>
      </c>
      <c r="J5023">
        <f>IF(F5023&lt;&gt;"", TEXT(F5023, "yyyy-mm"), "")</f>
        <v/>
      </c>
    </row>
    <row r="5024">
      <c r="A5024" t="inlineStr">
        <is>
          <t>RP0005023</t>
        </is>
      </c>
      <c r="B5024" t="inlineStr">
        <is>
          <t>LN200711</t>
        </is>
      </c>
      <c r="C5024" t="n">
        <v>4</v>
      </c>
      <c r="D5024" s="8" t="n">
        <v>46331</v>
      </c>
      <c r="E5024" s="9" t="n">
        <v>3811</v>
      </c>
      <c r="F5024" s="8" t="n"/>
      <c r="G5024" s="9" t="n">
        <v>0</v>
      </c>
      <c r="H5024" t="inlineStr">
        <is>
          <t>NOT_DUE</t>
        </is>
      </c>
      <c r="I5024">
        <f>IF(H5024="UNPAID", AsOfDate-D5024, 0)</f>
        <v/>
      </c>
      <c r="J5024">
        <f>IF(F5024&lt;&gt;"", TEXT(F5024, "yyyy-mm"), "")</f>
        <v/>
      </c>
    </row>
    <row r="5025">
      <c r="A5025" t="inlineStr">
        <is>
          <t>RP0005024</t>
        </is>
      </c>
      <c r="B5025" t="inlineStr">
        <is>
          <t>LN200711</t>
        </is>
      </c>
      <c r="C5025" t="n">
        <v>5</v>
      </c>
      <c r="D5025" s="8" t="n">
        <v>46361</v>
      </c>
      <c r="E5025" s="9" t="n">
        <v>3811</v>
      </c>
      <c r="F5025" s="8" t="n"/>
      <c r="G5025" s="9" t="n">
        <v>0</v>
      </c>
      <c r="H5025" t="inlineStr">
        <is>
          <t>NOT_DUE</t>
        </is>
      </c>
      <c r="I5025">
        <f>IF(H5025="UNPAID", AsOfDate-D5025, 0)</f>
        <v/>
      </c>
      <c r="J5025">
        <f>IF(F5025&lt;&gt;"", TEXT(F5025, "yyyy-mm"), "")</f>
        <v/>
      </c>
    </row>
    <row r="5026">
      <c r="A5026" t="inlineStr">
        <is>
          <t>RP0005025</t>
        </is>
      </c>
      <c r="B5026" t="inlineStr">
        <is>
          <t>LN200711</t>
        </is>
      </c>
      <c r="C5026" t="n">
        <v>6</v>
      </c>
      <c r="D5026" s="8" t="n">
        <v>46392</v>
      </c>
      <c r="E5026" s="9" t="n">
        <v>3811</v>
      </c>
      <c r="F5026" s="8" t="n"/>
      <c r="G5026" s="9" t="n">
        <v>0</v>
      </c>
      <c r="H5026" t="inlineStr">
        <is>
          <t>NOT_DUE</t>
        </is>
      </c>
      <c r="I5026">
        <f>IF(H5026="UNPAID", AsOfDate-D5026, 0)</f>
        <v/>
      </c>
      <c r="J5026">
        <f>IF(F5026&lt;&gt;"", TEXT(F5026, "yyyy-mm"), "")</f>
        <v/>
      </c>
    </row>
    <row r="5027">
      <c r="A5027" t="inlineStr">
        <is>
          <t>RP0005026</t>
        </is>
      </c>
      <c r="B5027" t="inlineStr">
        <is>
          <t>LN200711</t>
        </is>
      </c>
      <c r="C5027" t="n">
        <v>7</v>
      </c>
      <c r="D5027" s="8" t="n">
        <v>46423</v>
      </c>
      <c r="E5027" s="9" t="n">
        <v>3811</v>
      </c>
      <c r="F5027" s="8" t="n"/>
      <c r="G5027" s="9" t="n">
        <v>0</v>
      </c>
      <c r="H5027" t="inlineStr">
        <is>
          <t>NOT_DUE</t>
        </is>
      </c>
      <c r="I5027">
        <f>IF(H5027="UNPAID", AsOfDate-D5027, 0)</f>
        <v/>
      </c>
      <c r="J5027">
        <f>IF(F5027&lt;&gt;"", TEXT(F5027, "yyyy-mm"), "")</f>
        <v/>
      </c>
    </row>
    <row r="5028">
      <c r="A5028" t="inlineStr">
        <is>
          <t>RP0005027</t>
        </is>
      </c>
      <c r="B5028" t="inlineStr">
        <is>
          <t>LN200711</t>
        </is>
      </c>
      <c r="C5028" t="n">
        <v>8</v>
      </c>
      <c r="D5028" s="8" t="n">
        <v>46451</v>
      </c>
      <c r="E5028" s="9" t="n">
        <v>3811</v>
      </c>
      <c r="F5028" s="8" t="n"/>
      <c r="G5028" s="9" t="n">
        <v>0</v>
      </c>
      <c r="H5028" t="inlineStr">
        <is>
          <t>NOT_DUE</t>
        </is>
      </c>
      <c r="I5028">
        <f>IF(H5028="UNPAID", AsOfDate-D5028, 0)</f>
        <v/>
      </c>
      <c r="J5028">
        <f>IF(F5028&lt;&gt;"", TEXT(F5028, "yyyy-mm"), "")</f>
        <v/>
      </c>
    </row>
    <row r="5029">
      <c r="A5029" t="inlineStr">
        <is>
          <t>RP0005028</t>
        </is>
      </c>
      <c r="B5029" t="inlineStr">
        <is>
          <t>LN200711</t>
        </is>
      </c>
      <c r="C5029" t="n">
        <v>9</v>
      </c>
      <c r="D5029" s="8" t="n">
        <v>46482</v>
      </c>
      <c r="E5029" s="9" t="n">
        <v>3811</v>
      </c>
      <c r="F5029" s="8" t="n"/>
      <c r="G5029" s="9" t="n">
        <v>0</v>
      </c>
      <c r="H5029" t="inlineStr">
        <is>
          <t>NOT_DUE</t>
        </is>
      </c>
      <c r="I5029">
        <f>IF(H5029="UNPAID", AsOfDate-D5029, 0)</f>
        <v/>
      </c>
      <c r="J5029">
        <f>IF(F5029&lt;&gt;"", TEXT(F5029, "yyyy-mm"), "")</f>
        <v/>
      </c>
    </row>
    <row r="5030">
      <c r="A5030" t="inlineStr">
        <is>
          <t>RP0005029</t>
        </is>
      </c>
      <c r="B5030" t="inlineStr">
        <is>
          <t>LN200711</t>
        </is>
      </c>
      <c r="C5030" t="n">
        <v>10</v>
      </c>
      <c r="D5030" s="8" t="n">
        <v>46512</v>
      </c>
      <c r="E5030" s="9" t="n">
        <v>3811</v>
      </c>
      <c r="F5030" s="8" t="n"/>
      <c r="G5030" s="9" t="n">
        <v>0</v>
      </c>
      <c r="H5030" t="inlineStr">
        <is>
          <t>NOT_DUE</t>
        </is>
      </c>
      <c r="I5030">
        <f>IF(H5030="UNPAID", AsOfDate-D5030, 0)</f>
        <v/>
      </c>
      <c r="J5030">
        <f>IF(F5030&lt;&gt;"", TEXT(F5030, "yyyy-mm"), "")</f>
        <v/>
      </c>
    </row>
    <row r="5031">
      <c r="A5031" t="inlineStr">
        <is>
          <t>RP0005030</t>
        </is>
      </c>
      <c r="B5031" t="inlineStr">
        <is>
          <t>LN200711</t>
        </is>
      </c>
      <c r="C5031" t="n">
        <v>11</v>
      </c>
      <c r="D5031" s="8" t="n">
        <v>46543</v>
      </c>
      <c r="E5031" s="9" t="n">
        <v>3811</v>
      </c>
      <c r="F5031" s="8" t="n"/>
      <c r="G5031" s="9" t="n">
        <v>0</v>
      </c>
      <c r="H5031" t="inlineStr">
        <is>
          <t>NOT_DUE</t>
        </is>
      </c>
      <c r="I5031">
        <f>IF(H5031="UNPAID", AsOfDate-D5031, 0)</f>
        <v/>
      </c>
      <c r="J5031">
        <f>IF(F5031&lt;&gt;"", TEXT(F5031, "yyyy-mm"), "")</f>
        <v/>
      </c>
    </row>
    <row r="5032">
      <c r="A5032" t="inlineStr">
        <is>
          <t>RP0005031</t>
        </is>
      </c>
      <c r="B5032" t="inlineStr">
        <is>
          <t>LN200711</t>
        </is>
      </c>
      <c r="C5032" t="n">
        <v>12</v>
      </c>
      <c r="D5032" s="8" t="n">
        <v>46573</v>
      </c>
      <c r="E5032" s="9" t="n">
        <v>3811</v>
      </c>
      <c r="F5032" s="8" t="n"/>
      <c r="G5032" s="9" t="n">
        <v>0</v>
      </c>
      <c r="H5032" t="inlineStr">
        <is>
          <t>NOT_DUE</t>
        </is>
      </c>
      <c r="I5032">
        <f>IF(H5032="UNPAID", AsOfDate-D5032, 0)</f>
        <v/>
      </c>
      <c r="J5032">
        <f>IF(F5032&lt;&gt;"", TEXT(F5032, "yyyy-mm"), "")</f>
        <v/>
      </c>
    </row>
    <row r="5033">
      <c r="A5033" t="inlineStr">
        <is>
          <t>RP0005032</t>
        </is>
      </c>
      <c r="B5033" t="inlineStr">
        <is>
          <t>LN200713</t>
        </is>
      </c>
      <c r="C5033" t="n">
        <v>1</v>
      </c>
      <c r="D5033" s="8" t="n">
        <v>45996</v>
      </c>
      <c r="E5033" s="9" t="n">
        <v>7631.78</v>
      </c>
      <c r="F5033" s="8" t="n">
        <v>45995</v>
      </c>
      <c r="G5033" s="9" t="n">
        <v>7631.78</v>
      </c>
      <c r="H5033" t="inlineStr">
        <is>
          <t>PAID_ON_TIME</t>
        </is>
      </c>
      <c r="I5033">
        <f>IF(H5033="UNPAID", AsOfDate-D5033, 0)</f>
        <v/>
      </c>
      <c r="J5033">
        <f>IF(F5033&lt;&gt;"", TEXT(F5033, "yyyy-mm"), "")</f>
        <v/>
      </c>
    </row>
    <row r="5034">
      <c r="A5034" t="inlineStr">
        <is>
          <t>RP0005033</t>
        </is>
      </c>
      <c r="B5034" t="inlineStr">
        <is>
          <t>LN200713</t>
        </is>
      </c>
      <c r="C5034" t="n">
        <v>2</v>
      </c>
      <c r="D5034" s="8" t="n">
        <v>46027</v>
      </c>
      <c r="E5034" s="9" t="n">
        <v>7631.78</v>
      </c>
      <c r="F5034" s="8" t="n">
        <v>46026</v>
      </c>
      <c r="G5034" s="9" t="n">
        <v>7631.78</v>
      </c>
      <c r="H5034" t="inlineStr">
        <is>
          <t>PAID_ON_TIME</t>
        </is>
      </c>
      <c r="I5034">
        <f>IF(H5034="UNPAID", AsOfDate-D5034, 0)</f>
        <v/>
      </c>
      <c r="J5034">
        <f>IF(F5034&lt;&gt;"", TEXT(F5034, "yyyy-mm"), "")</f>
        <v/>
      </c>
    </row>
    <row r="5035">
      <c r="A5035" t="inlineStr">
        <is>
          <t>RP0005034</t>
        </is>
      </c>
      <c r="B5035" t="inlineStr">
        <is>
          <t>LN200713</t>
        </is>
      </c>
      <c r="C5035" t="n">
        <v>3</v>
      </c>
      <c r="D5035" s="8" t="n">
        <v>46058</v>
      </c>
      <c r="E5035" s="9" t="n">
        <v>7631.78</v>
      </c>
      <c r="F5035" s="8" t="n">
        <v>46062</v>
      </c>
      <c r="G5035" s="9" t="n">
        <v>7631.78</v>
      </c>
      <c r="H5035" t="inlineStr">
        <is>
          <t>PAID_ON_TIME</t>
        </is>
      </c>
      <c r="I5035">
        <f>IF(H5035="UNPAID", AsOfDate-D5035, 0)</f>
        <v/>
      </c>
      <c r="J5035">
        <f>IF(F5035&lt;&gt;"", TEXT(F5035, "yyyy-mm"), "")</f>
        <v/>
      </c>
    </row>
    <row r="5036">
      <c r="A5036" t="inlineStr">
        <is>
          <t>RP0005035</t>
        </is>
      </c>
      <c r="B5036" t="inlineStr">
        <is>
          <t>LN200713</t>
        </is>
      </c>
      <c r="C5036" t="n">
        <v>4</v>
      </c>
      <c r="D5036" s="8" t="n">
        <v>46086</v>
      </c>
      <c r="E5036" s="9" t="n">
        <v>7631.78</v>
      </c>
      <c r="F5036" s="8" t="n">
        <v>46085</v>
      </c>
      <c r="G5036" s="9" t="n">
        <v>7631.78</v>
      </c>
      <c r="H5036" t="inlineStr">
        <is>
          <t>PAID_ON_TIME</t>
        </is>
      </c>
      <c r="I5036">
        <f>IF(H5036="UNPAID", AsOfDate-D5036, 0)</f>
        <v/>
      </c>
      <c r="J5036">
        <f>IF(F5036&lt;&gt;"", TEXT(F5036, "yyyy-mm"), "")</f>
        <v/>
      </c>
    </row>
    <row r="5037">
      <c r="A5037" t="inlineStr">
        <is>
          <t>RP0005036</t>
        </is>
      </c>
      <c r="B5037" t="inlineStr">
        <is>
          <t>LN200713</t>
        </is>
      </c>
      <c r="C5037" t="n">
        <v>5</v>
      </c>
      <c r="D5037" s="8" t="n">
        <v>46117</v>
      </c>
      <c r="E5037" s="9" t="n">
        <v>7631.78</v>
      </c>
      <c r="F5037" s="8" t="n">
        <v>46168</v>
      </c>
      <c r="G5037" s="9" t="n">
        <v>7631.78</v>
      </c>
      <c r="H5037" t="inlineStr">
        <is>
          <t>PAID_LATE</t>
        </is>
      </c>
      <c r="I5037">
        <f>IF(H5037="UNPAID", AsOfDate-D5037, 0)</f>
        <v/>
      </c>
      <c r="J5037">
        <f>IF(F5037&lt;&gt;"", TEXT(F5037, "yyyy-mm"), "")</f>
        <v/>
      </c>
    </row>
    <row r="5038">
      <c r="A5038" t="inlineStr">
        <is>
          <t>RP0005037</t>
        </is>
      </c>
      <c r="B5038" t="inlineStr">
        <is>
          <t>LN200713</t>
        </is>
      </c>
      <c r="C5038" t="n">
        <v>6</v>
      </c>
      <c r="D5038" s="8" t="n">
        <v>46147</v>
      </c>
      <c r="E5038" s="9" t="n">
        <v>7631.78</v>
      </c>
      <c r="F5038" s="8" t="n">
        <v>46247</v>
      </c>
      <c r="G5038" s="9" t="n">
        <v>7631.78</v>
      </c>
      <c r="H5038" t="inlineStr">
        <is>
          <t>PAID_LATE</t>
        </is>
      </c>
      <c r="I5038">
        <f>IF(H5038="UNPAID", AsOfDate-D5038, 0)</f>
        <v/>
      </c>
      <c r="J5038">
        <f>IF(F5038&lt;&gt;"", TEXT(F5038, "yyyy-mm"), "")</f>
        <v/>
      </c>
    </row>
    <row r="5039">
      <c r="A5039" t="inlineStr">
        <is>
          <t>RP0005038</t>
        </is>
      </c>
      <c r="B5039" t="inlineStr">
        <is>
          <t>LN200713</t>
        </is>
      </c>
      <c r="C5039" t="n">
        <v>7</v>
      </c>
      <c r="D5039" s="8" t="n">
        <v>46178</v>
      </c>
      <c r="E5039" s="9" t="n">
        <v>7631.78</v>
      </c>
      <c r="F5039" s="8" t="n">
        <v>46176</v>
      </c>
      <c r="G5039" s="9" t="n">
        <v>7631.78</v>
      </c>
      <c r="H5039" t="inlineStr">
        <is>
          <t>PAID_ON_TIME</t>
        </is>
      </c>
      <c r="I5039">
        <f>IF(H5039="UNPAID", AsOfDate-D5039, 0)</f>
        <v/>
      </c>
      <c r="J5039">
        <f>IF(F5039&lt;&gt;"", TEXT(F5039, "yyyy-mm"), "")</f>
        <v/>
      </c>
    </row>
    <row r="5040">
      <c r="A5040" t="inlineStr">
        <is>
          <t>RP0005039</t>
        </is>
      </c>
      <c r="B5040" t="inlineStr">
        <is>
          <t>LN200713</t>
        </is>
      </c>
      <c r="C5040" t="n">
        <v>8</v>
      </c>
      <c r="D5040" s="8" t="n">
        <v>46208</v>
      </c>
      <c r="E5040" s="9" t="n">
        <v>7631.78</v>
      </c>
      <c r="F5040" s="8" t="n">
        <v>46212</v>
      </c>
      <c r="G5040" s="9" t="n">
        <v>7631.78</v>
      </c>
      <c r="H5040" t="inlineStr">
        <is>
          <t>PAID_ON_TIME</t>
        </is>
      </c>
      <c r="I5040">
        <f>IF(H5040="UNPAID", AsOfDate-D5040, 0)</f>
        <v/>
      </c>
      <c r="J5040">
        <f>IF(F5040&lt;&gt;"", TEXT(F5040, "yyyy-mm"), "")</f>
        <v/>
      </c>
    </row>
    <row r="5041">
      <c r="A5041" t="inlineStr">
        <is>
          <t>RP0005040</t>
        </is>
      </c>
      <c r="B5041" t="inlineStr">
        <is>
          <t>LN200713</t>
        </is>
      </c>
      <c r="C5041" t="n">
        <v>9</v>
      </c>
      <c r="D5041" s="8" t="n">
        <v>46239</v>
      </c>
      <c r="E5041" s="9" t="n">
        <v>7631.78</v>
      </c>
      <c r="F5041" s="8" t="n"/>
      <c r="G5041" s="9" t="n">
        <v>0</v>
      </c>
      <c r="H5041" t="inlineStr">
        <is>
          <t>UNPAID</t>
        </is>
      </c>
      <c r="I5041">
        <f>IF(H5041="UNPAID", AsOfDate-D5041, 0)</f>
        <v/>
      </c>
      <c r="J5041">
        <f>IF(F5041&lt;&gt;"", TEXT(F5041, "yyyy-mm"), "")</f>
        <v/>
      </c>
    </row>
    <row r="5042">
      <c r="A5042" t="inlineStr">
        <is>
          <t>RP0005041</t>
        </is>
      </c>
      <c r="B5042" t="inlineStr">
        <is>
          <t>LN200714</t>
        </is>
      </c>
      <c r="C5042" t="n">
        <v>1</v>
      </c>
      <c r="D5042" s="8" t="n">
        <v>45923</v>
      </c>
      <c r="E5042" s="9" t="n">
        <v>9721.25</v>
      </c>
      <c r="F5042" s="8" t="n">
        <v>45922</v>
      </c>
      <c r="G5042" s="9" t="n">
        <v>9721.25</v>
      </c>
      <c r="H5042" t="inlineStr">
        <is>
          <t>PAID_ON_TIME</t>
        </is>
      </c>
      <c r="I5042">
        <f>IF(H5042="UNPAID", AsOfDate-D5042, 0)</f>
        <v/>
      </c>
      <c r="J5042">
        <f>IF(F5042&lt;&gt;"", TEXT(F5042, "yyyy-mm"), "")</f>
        <v/>
      </c>
    </row>
    <row r="5043">
      <c r="A5043" t="inlineStr">
        <is>
          <t>RP0005042</t>
        </is>
      </c>
      <c r="B5043" t="inlineStr">
        <is>
          <t>LN200714</t>
        </is>
      </c>
      <c r="C5043" t="n">
        <v>2</v>
      </c>
      <c r="D5043" s="8" t="n">
        <v>45953</v>
      </c>
      <c r="E5043" s="9" t="n">
        <v>9721.25</v>
      </c>
      <c r="F5043" s="8" t="n">
        <v>45954</v>
      </c>
      <c r="G5043" s="9" t="n">
        <v>9721.25</v>
      </c>
      <c r="H5043" t="inlineStr">
        <is>
          <t>PAID_ON_TIME</t>
        </is>
      </c>
      <c r="I5043">
        <f>IF(H5043="UNPAID", AsOfDate-D5043, 0)</f>
        <v/>
      </c>
      <c r="J5043">
        <f>IF(F5043&lt;&gt;"", TEXT(F5043, "yyyy-mm"), "")</f>
        <v/>
      </c>
    </row>
    <row r="5044">
      <c r="A5044" t="inlineStr">
        <is>
          <t>RP0005043</t>
        </is>
      </c>
      <c r="B5044" t="inlineStr">
        <is>
          <t>LN200714</t>
        </is>
      </c>
      <c r="C5044" t="n">
        <v>3</v>
      </c>
      <c r="D5044" s="8" t="n">
        <v>45984</v>
      </c>
      <c r="E5044" s="9" t="n">
        <v>9721.25</v>
      </c>
      <c r="F5044" s="8" t="n"/>
      <c r="G5044" s="9" t="n">
        <v>0</v>
      </c>
      <c r="H5044" t="inlineStr">
        <is>
          <t>UNPAID</t>
        </is>
      </c>
      <c r="I5044">
        <f>IF(H5044="UNPAID", AsOfDate-D5044, 0)</f>
        <v/>
      </c>
      <c r="J5044">
        <f>IF(F5044&lt;&gt;"", TEXT(F5044, "yyyy-mm"), "")</f>
        <v/>
      </c>
    </row>
    <row r="5045">
      <c r="A5045" t="inlineStr">
        <is>
          <t>RP0005044</t>
        </is>
      </c>
      <c r="B5045" t="inlineStr">
        <is>
          <t>LN200714</t>
        </is>
      </c>
      <c r="C5045" t="n">
        <v>4</v>
      </c>
      <c r="D5045" s="8" t="n">
        <v>46014</v>
      </c>
      <c r="E5045" s="9" t="n">
        <v>9721.25</v>
      </c>
      <c r="F5045" s="8" t="n"/>
      <c r="G5045" s="9" t="n">
        <v>0</v>
      </c>
      <c r="H5045" t="inlineStr">
        <is>
          <t>UNPAID</t>
        </is>
      </c>
      <c r="I5045">
        <f>IF(H5045="UNPAID", AsOfDate-D5045, 0)</f>
        <v/>
      </c>
      <c r="J5045">
        <f>IF(F5045&lt;&gt;"", TEXT(F5045, "yyyy-mm"), "")</f>
        <v/>
      </c>
    </row>
    <row r="5046">
      <c r="A5046" t="inlineStr">
        <is>
          <t>RP0005045</t>
        </is>
      </c>
      <c r="B5046" t="inlineStr">
        <is>
          <t>LN200714</t>
        </is>
      </c>
      <c r="C5046" t="n">
        <v>5</v>
      </c>
      <c r="D5046" s="8" t="n">
        <v>46045</v>
      </c>
      <c r="E5046" s="9" t="n">
        <v>9721.25</v>
      </c>
      <c r="F5046" s="8" t="n">
        <v>46044</v>
      </c>
      <c r="G5046" s="9" t="n">
        <v>9721.25</v>
      </c>
      <c r="H5046" t="inlineStr">
        <is>
          <t>PAID_ON_TIME</t>
        </is>
      </c>
      <c r="I5046">
        <f>IF(H5046="UNPAID", AsOfDate-D5046, 0)</f>
        <v/>
      </c>
      <c r="J5046">
        <f>IF(F5046&lt;&gt;"", TEXT(F5046, "yyyy-mm"), "")</f>
        <v/>
      </c>
    </row>
    <row r="5047">
      <c r="A5047" t="inlineStr">
        <is>
          <t>RP0005046</t>
        </is>
      </c>
      <c r="B5047" t="inlineStr">
        <is>
          <t>LN200714</t>
        </is>
      </c>
      <c r="C5047" t="n">
        <v>6</v>
      </c>
      <c r="D5047" s="8" t="n">
        <v>46076</v>
      </c>
      <c r="E5047" s="9" t="n">
        <v>9721.25</v>
      </c>
      <c r="F5047" s="8" t="n">
        <v>46075</v>
      </c>
      <c r="G5047" s="9" t="n">
        <v>9721.25</v>
      </c>
      <c r="H5047" t="inlineStr">
        <is>
          <t>PAID_ON_TIME</t>
        </is>
      </c>
      <c r="I5047">
        <f>IF(H5047="UNPAID", AsOfDate-D5047, 0)</f>
        <v/>
      </c>
      <c r="J5047">
        <f>IF(F5047&lt;&gt;"", TEXT(F5047, "yyyy-mm"), "")</f>
        <v/>
      </c>
    </row>
    <row r="5048">
      <c r="A5048" t="inlineStr">
        <is>
          <t>RP0005047</t>
        </is>
      </c>
      <c r="B5048" t="inlineStr">
        <is>
          <t>LN200715</t>
        </is>
      </c>
      <c r="C5048" t="n">
        <v>1</v>
      </c>
      <c r="D5048" s="8" t="n">
        <v>46184</v>
      </c>
      <c r="E5048" s="9" t="n">
        <v>12328</v>
      </c>
      <c r="F5048" s="8" t="n">
        <v>46204</v>
      </c>
      <c r="G5048" s="9" t="n">
        <v>12328</v>
      </c>
      <c r="H5048" t="inlineStr">
        <is>
          <t>PAID_LATE</t>
        </is>
      </c>
      <c r="I5048">
        <f>IF(H5048="UNPAID", AsOfDate-D5048, 0)</f>
        <v/>
      </c>
      <c r="J5048">
        <f>IF(F5048&lt;&gt;"", TEXT(F5048, "yyyy-mm"), "")</f>
        <v/>
      </c>
    </row>
    <row r="5049">
      <c r="A5049" t="inlineStr">
        <is>
          <t>RP0005048</t>
        </is>
      </c>
      <c r="B5049" t="inlineStr">
        <is>
          <t>LN200715</t>
        </is>
      </c>
      <c r="C5049" t="n">
        <v>2</v>
      </c>
      <c r="D5049" s="8" t="n">
        <v>46214</v>
      </c>
      <c r="E5049" s="9" t="n">
        <v>12328</v>
      </c>
      <c r="F5049" s="8" t="n"/>
      <c r="G5049" s="9" t="n">
        <v>0</v>
      </c>
      <c r="H5049" t="inlineStr">
        <is>
          <t>UNPAID</t>
        </is>
      </c>
      <c r="I5049">
        <f>IF(H5049="UNPAID", AsOfDate-D5049, 0)</f>
        <v/>
      </c>
      <c r="J5049">
        <f>IF(F5049&lt;&gt;"", TEXT(F5049, "yyyy-mm"), "")</f>
        <v/>
      </c>
    </row>
    <row r="5050">
      <c r="A5050" t="inlineStr">
        <is>
          <t>RP0005049</t>
        </is>
      </c>
      <c r="B5050" t="inlineStr">
        <is>
          <t>LN200715</t>
        </is>
      </c>
      <c r="C5050" t="n">
        <v>3</v>
      </c>
      <c r="D5050" s="8" t="n">
        <v>46245</v>
      </c>
      <c r="E5050" s="9" t="n">
        <v>12328</v>
      </c>
      <c r="F5050" s="8" t="n">
        <v>46249</v>
      </c>
      <c r="G5050" s="9" t="n">
        <v>12328</v>
      </c>
      <c r="H5050" t="inlineStr">
        <is>
          <t>PAID_ON_TIME</t>
        </is>
      </c>
      <c r="I5050">
        <f>IF(H5050="UNPAID", AsOfDate-D5050, 0)</f>
        <v/>
      </c>
      <c r="J5050">
        <f>IF(F5050&lt;&gt;"", TEXT(F5050, "yyyy-mm"), "")</f>
        <v/>
      </c>
    </row>
    <row r="5051">
      <c r="A5051" t="inlineStr">
        <is>
          <t>RP0005050</t>
        </is>
      </c>
      <c r="B5051" t="inlineStr">
        <is>
          <t>LN200715</t>
        </is>
      </c>
      <c r="C5051" t="n">
        <v>4</v>
      </c>
      <c r="D5051" s="8" t="n">
        <v>46276</v>
      </c>
      <c r="E5051" s="9" t="n">
        <v>12328</v>
      </c>
      <c r="F5051" s="8" t="n"/>
      <c r="G5051" s="9" t="n">
        <v>0</v>
      </c>
      <c r="H5051" t="inlineStr">
        <is>
          <t>NOT_DUE</t>
        </is>
      </c>
      <c r="I5051">
        <f>IF(H5051="UNPAID", AsOfDate-D5051, 0)</f>
        <v/>
      </c>
      <c r="J5051">
        <f>IF(F5051&lt;&gt;"", TEXT(F5051, "yyyy-mm"), "")</f>
        <v/>
      </c>
    </row>
    <row r="5052">
      <c r="A5052" t="inlineStr">
        <is>
          <t>RP0005051</t>
        </is>
      </c>
      <c r="B5052" t="inlineStr">
        <is>
          <t>LN200715</t>
        </is>
      </c>
      <c r="C5052" t="n">
        <v>5</v>
      </c>
      <c r="D5052" s="8" t="n">
        <v>46306</v>
      </c>
      <c r="E5052" s="9" t="n">
        <v>12328</v>
      </c>
      <c r="F5052" s="8" t="n"/>
      <c r="G5052" s="9" t="n">
        <v>0</v>
      </c>
      <c r="H5052" t="inlineStr">
        <is>
          <t>NOT_DUE</t>
        </is>
      </c>
      <c r="I5052">
        <f>IF(H5052="UNPAID", AsOfDate-D5052, 0)</f>
        <v/>
      </c>
      <c r="J5052">
        <f>IF(F5052&lt;&gt;"", TEXT(F5052, "yyyy-mm"), "")</f>
        <v/>
      </c>
    </row>
    <row r="5053">
      <c r="A5053" t="inlineStr">
        <is>
          <t>RP0005052</t>
        </is>
      </c>
      <c r="B5053" t="inlineStr">
        <is>
          <t>LN200715</t>
        </is>
      </c>
      <c r="C5053" t="n">
        <v>6</v>
      </c>
      <c r="D5053" s="8" t="n">
        <v>46337</v>
      </c>
      <c r="E5053" s="9" t="n">
        <v>12328</v>
      </c>
      <c r="F5053" s="8" t="n"/>
      <c r="G5053" s="9" t="n">
        <v>0</v>
      </c>
      <c r="H5053" t="inlineStr">
        <is>
          <t>NOT_DUE</t>
        </is>
      </c>
      <c r="I5053">
        <f>IF(H5053="UNPAID", AsOfDate-D5053, 0)</f>
        <v/>
      </c>
      <c r="J5053">
        <f>IF(F5053&lt;&gt;"", TEXT(F5053, "yyyy-mm"), "")</f>
        <v/>
      </c>
    </row>
    <row r="5054">
      <c r="A5054" t="inlineStr">
        <is>
          <t>RP0005053</t>
        </is>
      </c>
      <c r="B5054" t="inlineStr">
        <is>
          <t>LN200716</t>
        </is>
      </c>
      <c r="C5054" t="n">
        <v>1</v>
      </c>
      <c r="D5054" s="8" t="n">
        <v>45719</v>
      </c>
      <c r="E5054" s="9" t="n">
        <v>3576.67</v>
      </c>
      <c r="F5054" s="8" t="n">
        <v>45717</v>
      </c>
      <c r="G5054" s="9" t="n">
        <v>3576.67</v>
      </c>
      <c r="H5054" t="inlineStr">
        <is>
          <t>PAID_ON_TIME</t>
        </is>
      </c>
      <c r="I5054">
        <f>IF(H5054="UNPAID", AsOfDate-D5054, 0)</f>
        <v/>
      </c>
      <c r="J5054">
        <f>IF(F5054&lt;&gt;"", TEXT(F5054, "yyyy-mm"), "")</f>
        <v/>
      </c>
    </row>
    <row r="5055">
      <c r="A5055" t="inlineStr">
        <is>
          <t>RP0005054</t>
        </is>
      </c>
      <c r="B5055" t="inlineStr">
        <is>
          <t>LN200716</t>
        </is>
      </c>
      <c r="C5055" t="n">
        <v>2</v>
      </c>
      <c r="D5055" s="8" t="n">
        <v>45750</v>
      </c>
      <c r="E5055" s="9" t="n">
        <v>3576.67</v>
      </c>
      <c r="F5055" s="8" t="n">
        <v>45747</v>
      </c>
      <c r="G5055" s="9" t="n">
        <v>3576.67</v>
      </c>
      <c r="H5055" t="inlineStr">
        <is>
          <t>PAID_ON_TIME</t>
        </is>
      </c>
      <c r="I5055">
        <f>IF(H5055="UNPAID", AsOfDate-D5055, 0)</f>
        <v/>
      </c>
      <c r="J5055">
        <f>IF(F5055&lt;&gt;"", TEXT(F5055, "yyyy-mm"), "")</f>
        <v/>
      </c>
    </row>
    <row r="5056">
      <c r="A5056" t="inlineStr">
        <is>
          <t>RP0005055</t>
        </is>
      </c>
      <c r="B5056" t="inlineStr">
        <is>
          <t>LN200716</t>
        </is>
      </c>
      <c r="C5056" t="n">
        <v>3</v>
      </c>
      <c r="D5056" s="8" t="n">
        <v>45780</v>
      </c>
      <c r="E5056" s="9" t="n">
        <v>3576.67</v>
      </c>
      <c r="F5056" s="8" t="n">
        <v>45780</v>
      </c>
      <c r="G5056" s="9" t="n">
        <v>3576.67</v>
      </c>
      <c r="H5056" t="inlineStr">
        <is>
          <t>PAID_ON_TIME</t>
        </is>
      </c>
      <c r="I5056">
        <f>IF(H5056="UNPAID", AsOfDate-D5056, 0)</f>
        <v/>
      </c>
      <c r="J5056">
        <f>IF(F5056&lt;&gt;"", TEXT(F5056, "yyyy-mm"), "")</f>
        <v/>
      </c>
    </row>
    <row r="5057">
      <c r="A5057" t="inlineStr">
        <is>
          <t>RP0005056</t>
        </is>
      </c>
      <c r="B5057" t="inlineStr">
        <is>
          <t>LN200716</t>
        </is>
      </c>
      <c r="C5057" t="n">
        <v>4</v>
      </c>
      <c r="D5057" s="8" t="n">
        <v>45811</v>
      </c>
      <c r="E5057" s="9" t="n">
        <v>3576.67</v>
      </c>
      <c r="F5057" s="8" t="n">
        <v>45812</v>
      </c>
      <c r="G5057" s="9" t="n">
        <v>3576.67</v>
      </c>
      <c r="H5057" t="inlineStr">
        <is>
          <t>PAID_ON_TIME</t>
        </is>
      </c>
      <c r="I5057">
        <f>IF(H5057="UNPAID", AsOfDate-D5057, 0)</f>
        <v/>
      </c>
      <c r="J5057">
        <f>IF(F5057&lt;&gt;"", TEXT(F5057, "yyyy-mm"), "")</f>
        <v/>
      </c>
    </row>
    <row r="5058">
      <c r="A5058" t="inlineStr">
        <is>
          <t>RP0005057</t>
        </is>
      </c>
      <c r="B5058" t="inlineStr">
        <is>
          <t>LN200716</t>
        </is>
      </c>
      <c r="C5058" t="n">
        <v>5</v>
      </c>
      <c r="D5058" s="8" t="n">
        <v>45841</v>
      </c>
      <c r="E5058" s="9" t="n">
        <v>3576.67</v>
      </c>
      <c r="F5058" s="8" t="n">
        <v>45838</v>
      </c>
      <c r="G5058" s="9" t="n">
        <v>3576.67</v>
      </c>
      <c r="H5058" t="inlineStr">
        <is>
          <t>PAID_ON_TIME</t>
        </is>
      </c>
      <c r="I5058">
        <f>IF(H5058="UNPAID", AsOfDate-D5058, 0)</f>
        <v/>
      </c>
      <c r="J5058">
        <f>IF(F5058&lt;&gt;"", TEXT(F5058, "yyyy-mm"), "")</f>
        <v/>
      </c>
    </row>
    <row r="5059">
      <c r="A5059" t="inlineStr">
        <is>
          <t>RP0005058</t>
        </is>
      </c>
      <c r="B5059" t="inlineStr">
        <is>
          <t>LN200716</t>
        </is>
      </c>
      <c r="C5059" t="n">
        <v>6</v>
      </c>
      <c r="D5059" s="8" t="n">
        <v>45872</v>
      </c>
      <c r="E5059" s="9" t="n">
        <v>3576.67</v>
      </c>
      <c r="F5059" s="8" t="n">
        <v>45873</v>
      </c>
      <c r="G5059" s="9" t="n">
        <v>3576.67</v>
      </c>
      <c r="H5059" t="inlineStr">
        <is>
          <t>PAID_ON_TIME</t>
        </is>
      </c>
      <c r="I5059">
        <f>IF(H5059="UNPAID", AsOfDate-D5059, 0)</f>
        <v/>
      </c>
      <c r="J5059">
        <f>IF(F5059&lt;&gt;"", TEXT(F5059, "yyyy-mm"), "")</f>
        <v/>
      </c>
    </row>
    <row r="5060">
      <c r="A5060" t="inlineStr">
        <is>
          <t>RP0005059</t>
        </is>
      </c>
      <c r="B5060" t="inlineStr">
        <is>
          <t>LN200717</t>
        </is>
      </c>
      <c r="C5060" t="n">
        <v>1</v>
      </c>
      <c r="D5060" s="8" t="n">
        <v>45723</v>
      </c>
      <c r="E5060" s="9" t="n">
        <v>8475.5</v>
      </c>
      <c r="F5060" s="8" t="n">
        <v>45727</v>
      </c>
      <c r="G5060" s="9" t="n">
        <v>8475.5</v>
      </c>
      <c r="H5060" t="inlineStr">
        <is>
          <t>PAID_ON_TIME</t>
        </is>
      </c>
      <c r="I5060">
        <f>IF(H5060="UNPAID", AsOfDate-D5060, 0)</f>
        <v/>
      </c>
      <c r="J5060">
        <f>IF(F5060&lt;&gt;"", TEXT(F5060, "yyyy-mm"), "")</f>
        <v/>
      </c>
    </row>
    <row r="5061">
      <c r="A5061" t="inlineStr">
        <is>
          <t>RP0005060</t>
        </is>
      </c>
      <c r="B5061" t="inlineStr">
        <is>
          <t>LN200717</t>
        </is>
      </c>
      <c r="C5061" t="n">
        <v>2</v>
      </c>
      <c r="D5061" s="8" t="n">
        <v>45754</v>
      </c>
      <c r="E5061" s="9" t="n">
        <v>8475.5</v>
      </c>
      <c r="F5061" s="8" t="n">
        <v>45755</v>
      </c>
      <c r="G5061" s="9" t="n">
        <v>8475.5</v>
      </c>
      <c r="H5061" t="inlineStr">
        <is>
          <t>PAID_ON_TIME</t>
        </is>
      </c>
      <c r="I5061">
        <f>IF(H5061="UNPAID", AsOfDate-D5061, 0)</f>
        <v/>
      </c>
      <c r="J5061">
        <f>IF(F5061&lt;&gt;"", TEXT(F5061, "yyyy-mm"), "")</f>
        <v/>
      </c>
    </row>
    <row r="5062">
      <c r="A5062" t="inlineStr">
        <is>
          <t>RP0005061</t>
        </is>
      </c>
      <c r="B5062" t="inlineStr">
        <is>
          <t>LN200717</t>
        </is>
      </c>
      <c r="C5062" t="n">
        <v>3</v>
      </c>
      <c r="D5062" s="8" t="n">
        <v>45784</v>
      </c>
      <c r="E5062" s="9" t="n">
        <v>8475.5</v>
      </c>
      <c r="F5062" s="8" t="n">
        <v>45781</v>
      </c>
      <c r="G5062" s="9" t="n">
        <v>8475.5</v>
      </c>
      <c r="H5062" t="inlineStr">
        <is>
          <t>PAID_ON_TIME</t>
        </is>
      </c>
      <c r="I5062">
        <f>IF(H5062="UNPAID", AsOfDate-D5062, 0)</f>
        <v/>
      </c>
      <c r="J5062">
        <f>IF(F5062&lt;&gt;"", TEXT(F5062, "yyyy-mm"), "")</f>
        <v/>
      </c>
    </row>
    <row r="5063">
      <c r="A5063" t="inlineStr">
        <is>
          <t>RP0005062</t>
        </is>
      </c>
      <c r="B5063" t="inlineStr">
        <is>
          <t>LN200717</t>
        </is>
      </c>
      <c r="C5063" t="n">
        <v>4</v>
      </c>
      <c r="D5063" s="8" t="n">
        <v>45815</v>
      </c>
      <c r="E5063" s="9" t="n">
        <v>8475.5</v>
      </c>
      <c r="F5063" s="8" t="n">
        <v>45841</v>
      </c>
      <c r="G5063" s="9" t="n">
        <v>8475.5</v>
      </c>
      <c r="H5063" t="inlineStr">
        <is>
          <t>PAID_LATE</t>
        </is>
      </c>
      <c r="I5063">
        <f>IF(H5063="UNPAID", AsOfDate-D5063, 0)</f>
        <v/>
      </c>
      <c r="J5063">
        <f>IF(F5063&lt;&gt;"", TEXT(F5063, "yyyy-mm"), "")</f>
        <v/>
      </c>
    </row>
    <row r="5064">
      <c r="A5064" t="inlineStr">
        <is>
          <t>RP0005063</t>
        </is>
      </c>
      <c r="B5064" t="inlineStr">
        <is>
          <t>LN200717</t>
        </is>
      </c>
      <c r="C5064" t="n">
        <v>5</v>
      </c>
      <c r="D5064" s="8" t="n">
        <v>45845</v>
      </c>
      <c r="E5064" s="9" t="n">
        <v>8475.5</v>
      </c>
      <c r="F5064" s="8" t="n">
        <v>45842</v>
      </c>
      <c r="G5064" s="9" t="n">
        <v>8475.5</v>
      </c>
      <c r="H5064" t="inlineStr">
        <is>
          <t>PAID_ON_TIME</t>
        </is>
      </c>
      <c r="I5064">
        <f>IF(H5064="UNPAID", AsOfDate-D5064, 0)</f>
        <v/>
      </c>
      <c r="J5064">
        <f>IF(F5064&lt;&gt;"", TEXT(F5064, "yyyy-mm"), "")</f>
        <v/>
      </c>
    </row>
    <row r="5065">
      <c r="A5065" t="inlineStr">
        <is>
          <t>RP0005064</t>
        </is>
      </c>
      <c r="B5065" t="inlineStr">
        <is>
          <t>LN200717</t>
        </is>
      </c>
      <c r="C5065" t="n">
        <v>6</v>
      </c>
      <c r="D5065" s="8" t="n">
        <v>45876</v>
      </c>
      <c r="E5065" s="9" t="n">
        <v>8475.5</v>
      </c>
      <c r="F5065" s="8" t="n">
        <v>45902</v>
      </c>
      <c r="G5065" s="9" t="n">
        <v>8475.5</v>
      </c>
      <c r="H5065" t="inlineStr">
        <is>
          <t>PAID_LATE</t>
        </is>
      </c>
      <c r="I5065">
        <f>IF(H5065="UNPAID", AsOfDate-D5065, 0)</f>
        <v/>
      </c>
      <c r="J5065">
        <f>IF(F5065&lt;&gt;"", TEXT(F5065, "yyyy-mm"), "")</f>
        <v/>
      </c>
    </row>
    <row r="5066">
      <c r="A5066" t="inlineStr">
        <is>
          <t>RP0005065</t>
        </is>
      </c>
      <c r="B5066" t="inlineStr">
        <is>
          <t>LN200718</t>
        </is>
      </c>
      <c r="C5066" t="n">
        <v>1</v>
      </c>
      <c r="D5066" s="8" t="n">
        <v>46084</v>
      </c>
      <c r="E5066" s="9" t="n">
        <v>23268</v>
      </c>
      <c r="F5066" s="8" t="n">
        <v>46081</v>
      </c>
      <c r="G5066" s="9" t="n">
        <v>23268</v>
      </c>
      <c r="H5066" t="inlineStr">
        <is>
          <t>PAID_ON_TIME</t>
        </is>
      </c>
      <c r="I5066">
        <f>IF(H5066="UNPAID", AsOfDate-D5066, 0)</f>
        <v/>
      </c>
      <c r="J5066">
        <f>IF(F5066&lt;&gt;"", TEXT(F5066, "yyyy-mm"), "")</f>
        <v/>
      </c>
    </row>
    <row r="5067">
      <c r="A5067" t="inlineStr">
        <is>
          <t>RP0005066</t>
        </is>
      </c>
      <c r="B5067" t="inlineStr">
        <is>
          <t>LN200718</t>
        </is>
      </c>
      <c r="C5067" t="n">
        <v>2</v>
      </c>
      <c r="D5067" s="8" t="n">
        <v>46115</v>
      </c>
      <c r="E5067" s="9" t="n">
        <v>23268</v>
      </c>
      <c r="F5067" s="8" t="n">
        <v>46112</v>
      </c>
      <c r="G5067" s="9" t="n">
        <v>23268</v>
      </c>
      <c r="H5067" t="inlineStr">
        <is>
          <t>PAID_ON_TIME</t>
        </is>
      </c>
      <c r="I5067">
        <f>IF(H5067="UNPAID", AsOfDate-D5067, 0)</f>
        <v/>
      </c>
      <c r="J5067">
        <f>IF(F5067&lt;&gt;"", TEXT(F5067, "yyyy-mm"), "")</f>
        <v/>
      </c>
    </row>
    <row r="5068">
      <c r="A5068" t="inlineStr">
        <is>
          <t>RP0005067</t>
        </is>
      </c>
      <c r="B5068" t="inlineStr">
        <is>
          <t>LN200718</t>
        </is>
      </c>
      <c r="C5068" t="n">
        <v>3</v>
      </c>
      <c r="D5068" s="8" t="n">
        <v>46145</v>
      </c>
      <c r="E5068" s="9" t="n">
        <v>23268</v>
      </c>
      <c r="F5068" s="8" t="n">
        <v>46195</v>
      </c>
      <c r="G5068" s="9" t="n">
        <v>23268</v>
      </c>
      <c r="H5068" t="inlineStr">
        <is>
          <t>PAID_LATE</t>
        </is>
      </c>
      <c r="I5068">
        <f>IF(H5068="UNPAID", AsOfDate-D5068, 0)</f>
        <v/>
      </c>
      <c r="J5068">
        <f>IF(F5068&lt;&gt;"", TEXT(F5068, "yyyy-mm"), "")</f>
        <v/>
      </c>
    </row>
    <row r="5069">
      <c r="A5069" t="inlineStr">
        <is>
          <t>RP0005068</t>
        </is>
      </c>
      <c r="B5069" t="inlineStr">
        <is>
          <t>LN200718</t>
        </is>
      </c>
      <c r="C5069" t="n">
        <v>4</v>
      </c>
      <c r="D5069" s="8" t="n">
        <v>46176</v>
      </c>
      <c r="E5069" s="9" t="n">
        <v>23268</v>
      </c>
      <c r="F5069" s="8" t="n">
        <v>46176</v>
      </c>
      <c r="G5069" s="9" t="n">
        <v>23268</v>
      </c>
      <c r="H5069" t="inlineStr">
        <is>
          <t>PAID_ON_TIME</t>
        </is>
      </c>
      <c r="I5069">
        <f>IF(H5069="UNPAID", AsOfDate-D5069, 0)</f>
        <v/>
      </c>
      <c r="J5069">
        <f>IF(F5069&lt;&gt;"", TEXT(F5069, "yyyy-mm"), "")</f>
        <v/>
      </c>
    </row>
    <row r="5070">
      <c r="A5070" t="inlineStr">
        <is>
          <t>RP0005069</t>
        </is>
      </c>
      <c r="B5070" t="inlineStr">
        <is>
          <t>LN200718</t>
        </is>
      </c>
      <c r="C5070" t="n">
        <v>5</v>
      </c>
      <c r="D5070" s="8" t="n">
        <v>46206</v>
      </c>
      <c r="E5070" s="9" t="n">
        <v>23268</v>
      </c>
      <c r="F5070" s="8" t="n"/>
      <c r="G5070" s="9" t="n">
        <v>0</v>
      </c>
      <c r="H5070" t="inlineStr">
        <is>
          <t>UNPAID</t>
        </is>
      </c>
      <c r="I5070">
        <f>IF(H5070="UNPAID", AsOfDate-D5070, 0)</f>
        <v/>
      </c>
      <c r="J5070">
        <f>IF(F5070&lt;&gt;"", TEXT(F5070, "yyyy-mm"), "")</f>
        <v/>
      </c>
    </row>
    <row r="5071">
      <c r="A5071" t="inlineStr">
        <is>
          <t>RP0005070</t>
        </is>
      </c>
      <c r="B5071" t="inlineStr">
        <is>
          <t>LN200718</t>
        </is>
      </c>
      <c r="C5071" t="n">
        <v>6</v>
      </c>
      <c r="D5071" s="8" t="n">
        <v>46237</v>
      </c>
      <c r="E5071" s="9" t="n">
        <v>23268</v>
      </c>
      <c r="F5071" s="8" t="n">
        <v>46241</v>
      </c>
      <c r="G5071" s="9" t="n">
        <v>23268</v>
      </c>
      <c r="H5071" t="inlineStr">
        <is>
          <t>PAID_ON_TIME</t>
        </is>
      </c>
      <c r="I5071">
        <f>IF(H5071="UNPAID", AsOfDate-D5071, 0)</f>
        <v/>
      </c>
      <c r="J5071">
        <f>IF(F5071&lt;&gt;"", TEXT(F5071, "yyyy-mm"), "")</f>
        <v/>
      </c>
    </row>
    <row r="5072">
      <c r="A5072" t="inlineStr">
        <is>
          <t>RP0005071</t>
        </is>
      </c>
      <c r="B5072" t="inlineStr">
        <is>
          <t>LN200719</t>
        </is>
      </c>
      <c r="C5072" t="n">
        <v>1</v>
      </c>
      <c r="D5072" s="8" t="n">
        <v>46265</v>
      </c>
      <c r="E5072" s="9" t="n">
        <v>42927.08</v>
      </c>
      <c r="F5072" s="8" t="n">
        <v>46268</v>
      </c>
      <c r="G5072" s="9" t="n">
        <v>42927.08</v>
      </c>
      <c r="H5072" t="inlineStr">
        <is>
          <t>PAID_ON_TIME</t>
        </is>
      </c>
      <c r="I5072">
        <f>IF(H5072="UNPAID", AsOfDate-D5072, 0)</f>
        <v/>
      </c>
      <c r="J5072">
        <f>IF(F5072&lt;&gt;"", TEXT(F5072, "yyyy-mm"), "")</f>
        <v/>
      </c>
    </row>
    <row r="5073">
      <c r="A5073" t="inlineStr">
        <is>
          <t>RP0005072</t>
        </is>
      </c>
      <c r="B5073" t="inlineStr">
        <is>
          <t>LN200719</t>
        </is>
      </c>
      <c r="C5073" t="n">
        <v>2</v>
      </c>
      <c r="D5073" s="8" t="n">
        <v>46295</v>
      </c>
      <c r="E5073" s="9" t="n">
        <v>42927.08</v>
      </c>
      <c r="F5073" s="8" t="n"/>
      <c r="G5073" s="9" t="n">
        <v>0</v>
      </c>
      <c r="H5073" t="inlineStr">
        <is>
          <t>NOT_DUE</t>
        </is>
      </c>
      <c r="I5073">
        <f>IF(H5073="UNPAID", AsOfDate-D5073, 0)</f>
        <v/>
      </c>
      <c r="J5073">
        <f>IF(F5073&lt;&gt;"", TEXT(F5073, "yyyy-mm"), "")</f>
        <v/>
      </c>
    </row>
    <row r="5074">
      <c r="A5074" t="inlineStr">
        <is>
          <t>RP0005073</t>
        </is>
      </c>
      <c r="B5074" t="inlineStr">
        <is>
          <t>LN200719</t>
        </is>
      </c>
      <c r="C5074" t="n">
        <v>3</v>
      </c>
      <c r="D5074" s="8" t="n">
        <v>46326</v>
      </c>
      <c r="E5074" s="9" t="n">
        <v>42927.08</v>
      </c>
      <c r="F5074" s="8" t="n"/>
      <c r="G5074" s="9" t="n">
        <v>0</v>
      </c>
      <c r="H5074" t="inlineStr">
        <is>
          <t>NOT_DUE</t>
        </is>
      </c>
      <c r="I5074">
        <f>IF(H5074="UNPAID", AsOfDate-D5074, 0)</f>
        <v/>
      </c>
      <c r="J5074">
        <f>IF(F5074&lt;&gt;"", TEXT(F5074, "yyyy-mm"), "")</f>
        <v/>
      </c>
    </row>
    <row r="5075">
      <c r="A5075" t="inlineStr">
        <is>
          <t>RP0005074</t>
        </is>
      </c>
      <c r="B5075" t="inlineStr">
        <is>
          <t>LN200720</t>
        </is>
      </c>
      <c r="C5075" t="n">
        <v>1</v>
      </c>
      <c r="D5075" s="8" t="n">
        <v>46108</v>
      </c>
      <c r="E5075" s="9" t="n">
        <v>17046.83</v>
      </c>
      <c r="F5075" s="8" t="n">
        <v>46112</v>
      </c>
      <c r="G5075" s="9" t="n">
        <v>17046.83</v>
      </c>
      <c r="H5075" t="inlineStr">
        <is>
          <t>PAID_ON_TIME</t>
        </is>
      </c>
      <c r="I5075">
        <f>IF(H5075="UNPAID", AsOfDate-D5075, 0)</f>
        <v/>
      </c>
      <c r="J5075">
        <f>IF(F5075&lt;&gt;"", TEXT(F5075, "yyyy-mm"), "")</f>
        <v/>
      </c>
    </row>
    <row r="5076">
      <c r="A5076" t="inlineStr">
        <is>
          <t>RP0005075</t>
        </is>
      </c>
      <c r="B5076" t="inlineStr">
        <is>
          <t>LN200720</t>
        </is>
      </c>
      <c r="C5076" t="n">
        <v>2</v>
      </c>
      <c r="D5076" s="8" t="n">
        <v>46139</v>
      </c>
      <c r="E5076" s="9" t="n">
        <v>17046.83</v>
      </c>
      <c r="F5076" s="8" t="n">
        <v>46142</v>
      </c>
      <c r="G5076" s="9" t="n">
        <v>17046.83</v>
      </c>
      <c r="H5076" t="inlineStr">
        <is>
          <t>PAID_ON_TIME</t>
        </is>
      </c>
      <c r="I5076">
        <f>IF(H5076="UNPAID", AsOfDate-D5076, 0)</f>
        <v/>
      </c>
      <c r="J5076">
        <f>IF(F5076&lt;&gt;"", TEXT(F5076, "yyyy-mm"), "")</f>
        <v/>
      </c>
    </row>
    <row r="5077">
      <c r="A5077" t="inlineStr">
        <is>
          <t>RP0005076</t>
        </is>
      </c>
      <c r="B5077" t="inlineStr">
        <is>
          <t>LN200720</t>
        </is>
      </c>
      <c r="C5077" t="n">
        <v>3</v>
      </c>
      <c r="D5077" s="8" t="n">
        <v>46169</v>
      </c>
      <c r="E5077" s="9" t="n">
        <v>17046.83</v>
      </c>
      <c r="F5077" s="8" t="n">
        <v>46170</v>
      </c>
      <c r="G5077" s="9" t="n">
        <v>17046.83</v>
      </c>
      <c r="H5077" t="inlineStr">
        <is>
          <t>PAID_ON_TIME</t>
        </is>
      </c>
      <c r="I5077">
        <f>IF(H5077="UNPAID", AsOfDate-D5077, 0)</f>
        <v/>
      </c>
      <c r="J5077">
        <f>IF(F5077&lt;&gt;"", TEXT(F5077, "yyyy-mm"), "")</f>
        <v/>
      </c>
    </row>
    <row r="5078">
      <c r="A5078" t="inlineStr">
        <is>
          <t>RP0005077</t>
        </is>
      </c>
      <c r="B5078" t="inlineStr">
        <is>
          <t>LN200720</t>
        </is>
      </c>
      <c r="C5078" t="n">
        <v>4</v>
      </c>
      <c r="D5078" s="8" t="n">
        <v>46200</v>
      </c>
      <c r="E5078" s="9" t="n">
        <v>17046.83</v>
      </c>
      <c r="F5078" s="8" t="n">
        <v>46200</v>
      </c>
      <c r="G5078" s="9" t="n">
        <v>17046.83</v>
      </c>
      <c r="H5078" t="inlineStr">
        <is>
          <t>PAID_ON_TIME</t>
        </is>
      </c>
      <c r="I5078">
        <f>IF(H5078="UNPAID", AsOfDate-D5078, 0)</f>
        <v/>
      </c>
      <c r="J5078">
        <f>IF(F5078&lt;&gt;"", TEXT(F5078, "yyyy-mm"), "")</f>
        <v/>
      </c>
    </row>
    <row r="5079">
      <c r="A5079" t="inlineStr">
        <is>
          <t>RP0005078</t>
        </is>
      </c>
      <c r="B5079" t="inlineStr">
        <is>
          <t>LN200720</t>
        </is>
      </c>
      <c r="C5079" t="n">
        <v>5</v>
      </c>
      <c r="D5079" s="8" t="n">
        <v>46230</v>
      </c>
      <c r="E5079" s="9" t="n">
        <v>17046.83</v>
      </c>
      <c r="F5079" s="8" t="n">
        <v>46229</v>
      </c>
      <c r="G5079" s="9" t="n">
        <v>17046.83</v>
      </c>
      <c r="H5079" t="inlineStr">
        <is>
          <t>PAID_ON_TIME</t>
        </is>
      </c>
      <c r="I5079">
        <f>IF(H5079="UNPAID", AsOfDate-D5079, 0)</f>
        <v/>
      </c>
      <c r="J5079">
        <f>IF(F5079&lt;&gt;"", TEXT(F5079, "yyyy-mm"), "")</f>
        <v/>
      </c>
    </row>
    <row r="5080">
      <c r="A5080" t="inlineStr">
        <is>
          <t>RP0005079</t>
        </is>
      </c>
      <c r="B5080" t="inlineStr">
        <is>
          <t>LN200720</t>
        </is>
      </c>
      <c r="C5080" t="n">
        <v>6</v>
      </c>
      <c r="D5080" s="8" t="n">
        <v>46261</v>
      </c>
      <c r="E5080" s="9" t="n">
        <v>17046.83</v>
      </c>
      <c r="F5080" s="8" t="n">
        <v>46258</v>
      </c>
      <c r="G5080" s="9" t="n">
        <v>17046.83</v>
      </c>
      <c r="H5080" t="inlineStr">
        <is>
          <t>PAID_ON_TIME</t>
        </is>
      </c>
      <c r="I5080">
        <f>IF(H5080="UNPAID", AsOfDate-D5080, 0)</f>
        <v/>
      </c>
      <c r="J5080">
        <f>IF(F5080&lt;&gt;"", TEXT(F5080, "yyyy-mm"), "")</f>
        <v/>
      </c>
    </row>
    <row r="5081">
      <c r="A5081" t="inlineStr">
        <is>
          <t>RP0005080</t>
        </is>
      </c>
      <c r="B5081" t="inlineStr">
        <is>
          <t>LN200720</t>
        </is>
      </c>
      <c r="C5081" t="n">
        <v>7</v>
      </c>
      <c r="D5081" s="8" t="n">
        <v>46292</v>
      </c>
      <c r="E5081" s="9" t="n">
        <v>17046.83</v>
      </c>
      <c r="F5081" s="8" t="n"/>
      <c r="G5081" s="9" t="n">
        <v>0</v>
      </c>
      <c r="H5081" t="inlineStr">
        <is>
          <t>NOT_DUE</t>
        </is>
      </c>
      <c r="I5081">
        <f>IF(H5081="UNPAID", AsOfDate-D5081, 0)</f>
        <v/>
      </c>
      <c r="J5081">
        <f>IF(F5081&lt;&gt;"", TEXT(F5081, "yyyy-mm"), "")</f>
        <v/>
      </c>
    </row>
    <row r="5082">
      <c r="A5082" t="inlineStr">
        <is>
          <t>RP0005081</t>
        </is>
      </c>
      <c r="B5082" t="inlineStr">
        <is>
          <t>LN200720</t>
        </is>
      </c>
      <c r="C5082" t="n">
        <v>8</v>
      </c>
      <c r="D5082" s="8" t="n">
        <v>46322</v>
      </c>
      <c r="E5082" s="9" t="n">
        <v>17046.83</v>
      </c>
      <c r="F5082" s="8" t="n"/>
      <c r="G5082" s="9" t="n">
        <v>0</v>
      </c>
      <c r="H5082" t="inlineStr">
        <is>
          <t>NOT_DUE</t>
        </is>
      </c>
      <c r="I5082">
        <f>IF(H5082="UNPAID", AsOfDate-D5082, 0)</f>
        <v/>
      </c>
      <c r="J5082">
        <f>IF(F5082&lt;&gt;"", TEXT(F5082, "yyyy-mm"), "")</f>
        <v/>
      </c>
    </row>
    <row r="5083">
      <c r="A5083" t="inlineStr">
        <is>
          <t>RP0005082</t>
        </is>
      </c>
      <c r="B5083" t="inlineStr">
        <is>
          <t>LN200720</t>
        </is>
      </c>
      <c r="C5083" t="n">
        <v>9</v>
      </c>
      <c r="D5083" s="8" t="n">
        <v>46353</v>
      </c>
      <c r="E5083" s="9" t="n">
        <v>17046.83</v>
      </c>
      <c r="F5083" s="8" t="n"/>
      <c r="G5083" s="9" t="n">
        <v>0</v>
      </c>
      <c r="H5083" t="inlineStr">
        <is>
          <t>NOT_DUE</t>
        </is>
      </c>
      <c r="I5083">
        <f>IF(H5083="UNPAID", AsOfDate-D5083, 0)</f>
        <v/>
      </c>
      <c r="J5083">
        <f>IF(F5083&lt;&gt;"", TEXT(F5083, "yyyy-mm"), "")</f>
        <v/>
      </c>
    </row>
    <row r="5084">
      <c r="A5084" t="inlineStr">
        <is>
          <t>RP0005083</t>
        </is>
      </c>
      <c r="B5084" t="inlineStr">
        <is>
          <t>LN200721</t>
        </is>
      </c>
      <c r="C5084" t="n">
        <v>1</v>
      </c>
      <c r="D5084" s="8" t="n">
        <v>45833</v>
      </c>
      <c r="E5084" s="9" t="n">
        <v>24621.5</v>
      </c>
      <c r="F5084" s="8" t="n">
        <v>45891</v>
      </c>
      <c r="G5084" s="9" t="n">
        <v>24621.5</v>
      </c>
      <c r="H5084" t="inlineStr">
        <is>
          <t>PAID_LATE</t>
        </is>
      </c>
      <c r="I5084">
        <f>IF(H5084="UNPAID", AsOfDate-D5084, 0)</f>
        <v/>
      </c>
      <c r="J5084">
        <f>IF(F5084&lt;&gt;"", TEXT(F5084, "yyyy-mm"), "")</f>
        <v/>
      </c>
    </row>
    <row r="5085">
      <c r="A5085" t="inlineStr">
        <is>
          <t>RP0005084</t>
        </is>
      </c>
      <c r="B5085" t="inlineStr">
        <is>
          <t>LN200721</t>
        </is>
      </c>
      <c r="C5085" t="n">
        <v>2</v>
      </c>
      <c r="D5085" s="8" t="n">
        <v>45863</v>
      </c>
      <c r="E5085" s="9" t="n">
        <v>24621.5</v>
      </c>
      <c r="F5085" s="8" t="n">
        <v>45863</v>
      </c>
      <c r="G5085" s="9" t="n">
        <v>24621.5</v>
      </c>
      <c r="H5085" t="inlineStr">
        <is>
          <t>PAID_ON_TIME</t>
        </is>
      </c>
      <c r="I5085">
        <f>IF(H5085="UNPAID", AsOfDate-D5085, 0)</f>
        <v/>
      </c>
      <c r="J5085">
        <f>IF(F5085&lt;&gt;"", TEXT(F5085, "yyyy-mm"), "")</f>
        <v/>
      </c>
    </row>
    <row r="5086">
      <c r="A5086" t="inlineStr">
        <is>
          <t>RP0005085</t>
        </is>
      </c>
      <c r="B5086" t="inlineStr">
        <is>
          <t>LN200721</t>
        </is>
      </c>
      <c r="C5086" t="n">
        <v>3</v>
      </c>
      <c r="D5086" s="8" t="n">
        <v>45894</v>
      </c>
      <c r="E5086" s="9" t="n">
        <v>24621.5</v>
      </c>
      <c r="F5086" s="8" t="n">
        <v>45894</v>
      </c>
      <c r="G5086" s="9" t="n">
        <v>24621.5</v>
      </c>
      <c r="H5086" t="inlineStr">
        <is>
          <t>PAID_ON_TIME</t>
        </is>
      </c>
      <c r="I5086">
        <f>IF(H5086="UNPAID", AsOfDate-D5086, 0)</f>
        <v/>
      </c>
      <c r="J5086">
        <f>IF(F5086&lt;&gt;"", TEXT(F5086, "yyyy-mm"), "")</f>
        <v/>
      </c>
    </row>
    <row r="5087">
      <c r="A5087" t="inlineStr">
        <is>
          <t>RP0005086</t>
        </is>
      </c>
      <c r="B5087" t="inlineStr">
        <is>
          <t>LN200721</t>
        </is>
      </c>
      <c r="C5087" t="n">
        <v>4</v>
      </c>
      <c r="D5087" s="8" t="n">
        <v>45925</v>
      </c>
      <c r="E5087" s="9" t="n">
        <v>24621.5</v>
      </c>
      <c r="F5087" s="8" t="n">
        <v>45924</v>
      </c>
      <c r="G5087" s="9" t="n">
        <v>24621.5</v>
      </c>
      <c r="H5087" t="inlineStr">
        <is>
          <t>PAID_ON_TIME</t>
        </is>
      </c>
      <c r="I5087">
        <f>IF(H5087="UNPAID", AsOfDate-D5087, 0)</f>
        <v/>
      </c>
      <c r="J5087">
        <f>IF(F5087&lt;&gt;"", TEXT(F5087, "yyyy-mm"), "")</f>
        <v/>
      </c>
    </row>
    <row r="5088">
      <c r="A5088" t="inlineStr">
        <is>
          <t>RP0005087</t>
        </is>
      </c>
      <c r="B5088" t="inlineStr">
        <is>
          <t>LN200721</t>
        </is>
      </c>
      <c r="C5088" t="n">
        <v>5</v>
      </c>
      <c r="D5088" s="8" t="n">
        <v>45955</v>
      </c>
      <c r="E5088" s="9" t="n">
        <v>24621.5</v>
      </c>
      <c r="F5088" s="8" t="n">
        <v>45958</v>
      </c>
      <c r="G5088" s="9" t="n">
        <v>24621.5</v>
      </c>
      <c r="H5088" t="inlineStr">
        <is>
          <t>PAID_ON_TIME</t>
        </is>
      </c>
      <c r="I5088">
        <f>IF(H5088="UNPAID", AsOfDate-D5088, 0)</f>
        <v/>
      </c>
      <c r="J5088">
        <f>IF(F5088&lt;&gt;"", TEXT(F5088, "yyyy-mm"), "")</f>
        <v/>
      </c>
    </row>
    <row r="5089">
      <c r="A5089" t="inlineStr">
        <is>
          <t>RP0005088</t>
        </is>
      </c>
      <c r="B5089" t="inlineStr">
        <is>
          <t>LN200721</t>
        </is>
      </c>
      <c r="C5089" t="n">
        <v>6</v>
      </c>
      <c r="D5089" s="8" t="n">
        <v>45986</v>
      </c>
      <c r="E5089" s="9" t="n">
        <v>24621.5</v>
      </c>
      <c r="F5089" s="8" t="n">
        <v>45986</v>
      </c>
      <c r="G5089" s="9" t="n">
        <v>24621.5</v>
      </c>
      <c r="H5089" t="inlineStr">
        <is>
          <t>PAID_ON_TIME</t>
        </is>
      </c>
      <c r="I5089">
        <f>IF(H5089="UNPAID", AsOfDate-D5089, 0)</f>
        <v/>
      </c>
      <c r="J5089">
        <f>IF(F5089&lt;&gt;"", TEXT(F5089, "yyyy-mm"), "")</f>
        <v/>
      </c>
    </row>
    <row r="5090">
      <c r="A5090" t="inlineStr">
        <is>
          <t>RP0005089</t>
        </is>
      </c>
      <c r="B5090" t="inlineStr">
        <is>
          <t>LN200722</t>
        </is>
      </c>
      <c r="C5090" t="n">
        <v>1</v>
      </c>
      <c r="D5090" s="8" t="n">
        <v>46138</v>
      </c>
      <c r="E5090" s="9" t="n">
        <v>12871.83</v>
      </c>
      <c r="F5090" s="8" t="n">
        <v>46136</v>
      </c>
      <c r="G5090" s="9" t="n">
        <v>12871.83</v>
      </c>
      <c r="H5090" t="inlineStr">
        <is>
          <t>PAID_ON_TIME</t>
        </is>
      </c>
      <c r="I5090">
        <f>IF(H5090="UNPAID", AsOfDate-D5090, 0)</f>
        <v/>
      </c>
      <c r="J5090">
        <f>IF(F5090&lt;&gt;"", TEXT(F5090, "yyyy-mm"), "")</f>
        <v/>
      </c>
    </row>
    <row r="5091">
      <c r="A5091" t="inlineStr">
        <is>
          <t>RP0005090</t>
        </is>
      </c>
      <c r="B5091" t="inlineStr">
        <is>
          <t>LN200722</t>
        </is>
      </c>
      <c r="C5091" t="n">
        <v>2</v>
      </c>
      <c r="D5091" s="8" t="n">
        <v>46168</v>
      </c>
      <c r="E5091" s="9" t="n">
        <v>12871.83</v>
      </c>
      <c r="F5091" s="8" t="n">
        <v>46166</v>
      </c>
      <c r="G5091" s="9" t="n">
        <v>12871.83</v>
      </c>
      <c r="H5091" t="inlineStr">
        <is>
          <t>PAID_ON_TIME</t>
        </is>
      </c>
      <c r="I5091">
        <f>IF(H5091="UNPAID", AsOfDate-D5091, 0)</f>
        <v/>
      </c>
      <c r="J5091">
        <f>IF(F5091&lt;&gt;"", TEXT(F5091, "yyyy-mm"), "")</f>
        <v/>
      </c>
    </row>
    <row r="5092">
      <c r="A5092" t="inlineStr">
        <is>
          <t>RP0005091</t>
        </is>
      </c>
      <c r="B5092" t="inlineStr">
        <is>
          <t>LN200722</t>
        </is>
      </c>
      <c r="C5092" t="n">
        <v>3</v>
      </c>
      <c r="D5092" s="8" t="n">
        <v>46199</v>
      </c>
      <c r="E5092" s="9" t="n">
        <v>12871.83</v>
      </c>
      <c r="F5092" s="8" t="n">
        <v>46196</v>
      </c>
      <c r="G5092" s="9" t="n">
        <v>12871.83</v>
      </c>
      <c r="H5092" t="inlineStr">
        <is>
          <t>PAID_ON_TIME</t>
        </is>
      </c>
      <c r="I5092">
        <f>IF(H5092="UNPAID", AsOfDate-D5092, 0)</f>
        <v/>
      </c>
      <c r="J5092">
        <f>IF(F5092&lt;&gt;"", TEXT(F5092, "yyyy-mm"), "")</f>
        <v/>
      </c>
    </row>
    <row r="5093">
      <c r="A5093" t="inlineStr">
        <is>
          <t>RP0005092</t>
        </is>
      </c>
      <c r="B5093" t="inlineStr">
        <is>
          <t>LN200722</t>
        </is>
      </c>
      <c r="C5093" t="n">
        <v>4</v>
      </c>
      <c r="D5093" s="8" t="n">
        <v>46229</v>
      </c>
      <c r="E5093" s="9" t="n">
        <v>12871.83</v>
      </c>
      <c r="F5093" s="8" t="n">
        <v>46230</v>
      </c>
      <c r="G5093" s="9" t="n">
        <v>12871.83</v>
      </c>
      <c r="H5093" t="inlineStr">
        <is>
          <t>PAID_ON_TIME</t>
        </is>
      </c>
      <c r="I5093">
        <f>IF(H5093="UNPAID", AsOfDate-D5093, 0)</f>
        <v/>
      </c>
      <c r="J5093">
        <f>IF(F5093&lt;&gt;"", TEXT(F5093, "yyyy-mm"), "")</f>
        <v/>
      </c>
    </row>
    <row r="5094">
      <c r="A5094" t="inlineStr">
        <is>
          <t>RP0005093</t>
        </is>
      </c>
      <c r="B5094" t="inlineStr">
        <is>
          <t>LN200722</t>
        </is>
      </c>
      <c r="C5094" t="n">
        <v>5</v>
      </c>
      <c r="D5094" s="8" t="n">
        <v>46260</v>
      </c>
      <c r="E5094" s="9" t="n">
        <v>12871.83</v>
      </c>
      <c r="F5094" s="8" t="n">
        <v>46260</v>
      </c>
      <c r="G5094" s="9" t="n">
        <v>12871.83</v>
      </c>
      <c r="H5094" t="inlineStr">
        <is>
          <t>PAID_ON_TIME</t>
        </is>
      </c>
      <c r="I5094">
        <f>IF(H5094="UNPAID", AsOfDate-D5094, 0)</f>
        <v/>
      </c>
      <c r="J5094">
        <f>IF(F5094&lt;&gt;"", TEXT(F5094, "yyyy-mm"), "")</f>
        <v/>
      </c>
    </row>
    <row r="5095">
      <c r="A5095" t="inlineStr">
        <is>
          <t>RP0005094</t>
        </is>
      </c>
      <c r="B5095" t="inlineStr">
        <is>
          <t>LN200722</t>
        </is>
      </c>
      <c r="C5095" t="n">
        <v>6</v>
      </c>
      <c r="D5095" s="8" t="n">
        <v>46291</v>
      </c>
      <c r="E5095" s="9" t="n">
        <v>12871.83</v>
      </c>
      <c r="F5095" s="8" t="n"/>
      <c r="G5095" s="9" t="n">
        <v>0</v>
      </c>
      <c r="H5095" t="inlineStr">
        <is>
          <t>NOT_DUE</t>
        </is>
      </c>
      <c r="I5095">
        <f>IF(H5095="UNPAID", AsOfDate-D5095, 0)</f>
        <v/>
      </c>
      <c r="J5095">
        <f>IF(F5095&lt;&gt;"", TEXT(F5095, "yyyy-mm"), "")</f>
        <v/>
      </c>
    </row>
    <row r="5096">
      <c r="A5096" t="inlineStr">
        <is>
          <t>RP0005095</t>
        </is>
      </c>
      <c r="B5096" t="inlineStr">
        <is>
          <t>LN200722</t>
        </is>
      </c>
      <c r="C5096" t="n">
        <v>7</v>
      </c>
      <c r="D5096" s="8" t="n">
        <v>46321</v>
      </c>
      <c r="E5096" s="9" t="n">
        <v>12871.83</v>
      </c>
      <c r="F5096" s="8" t="n"/>
      <c r="G5096" s="9" t="n">
        <v>0</v>
      </c>
      <c r="H5096" t="inlineStr">
        <is>
          <t>NOT_DUE</t>
        </is>
      </c>
      <c r="I5096">
        <f>IF(H5096="UNPAID", AsOfDate-D5096, 0)</f>
        <v/>
      </c>
      <c r="J5096">
        <f>IF(F5096&lt;&gt;"", TEXT(F5096, "yyyy-mm"), "")</f>
        <v/>
      </c>
    </row>
    <row r="5097">
      <c r="A5097" t="inlineStr">
        <is>
          <t>RP0005096</t>
        </is>
      </c>
      <c r="B5097" t="inlineStr">
        <is>
          <t>LN200722</t>
        </is>
      </c>
      <c r="C5097" t="n">
        <v>8</v>
      </c>
      <c r="D5097" s="8" t="n">
        <v>46352</v>
      </c>
      <c r="E5097" s="9" t="n">
        <v>12871.83</v>
      </c>
      <c r="F5097" s="8" t="n"/>
      <c r="G5097" s="9" t="n">
        <v>0</v>
      </c>
      <c r="H5097" t="inlineStr">
        <is>
          <t>NOT_DUE</t>
        </is>
      </c>
      <c r="I5097">
        <f>IF(H5097="UNPAID", AsOfDate-D5097, 0)</f>
        <v/>
      </c>
      <c r="J5097">
        <f>IF(F5097&lt;&gt;"", TEXT(F5097, "yyyy-mm"), "")</f>
        <v/>
      </c>
    </row>
    <row r="5098">
      <c r="A5098" t="inlineStr">
        <is>
          <t>RP0005097</t>
        </is>
      </c>
      <c r="B5098" t="inlineStr">
        <is>
          <t>LN200722</t>
        </is>
      </c>
      <c r="C5098" t="n">
        <v>9</v>
      </c>
      <c r="D5098" s="8" t="n">
        <v>46382</v>
      </c>
      <c r="E5098" s="9" t="n">
        <v>12871.83</v>
      </c>
      <c r="F5098" s="8" t="n"/>
      <c r="G5098" s="9" t="n">
        <v>0</v>
      </c>
      <c r="H5098" t="inlineStr">
        <is>
          <t>NOT_DUE</t>
        </is>
      </c>
      <c r="I5098">
        <f>IF(H5098="UNPAID", AsOfDate-D5098, 0)</f>
        <v/>
      </c>
      <c r="J5098">
        <f>IF(F5098&lt;&gt;"", TEXT(F5098, "yyyy-mm"), "")</f>
        <v/>
      </c>
    </row>
    <row r="5099">
      <c r="A5099" t="inlineStr">
        <is>
          <t>RP0005098</t>
        </is>
      </c>
      <c r="B5099" t="inlineStr">
        <is>
          <t>LN200723</t>
        </is>
      </c>
      <c r="C5099" t="n">
        <v>1</v>
      </c>
      <c r="D5099" s="8" t="n">
        <v>46261</v>
      </c>
      <c r="E5099" s="9" t="n">
        <v>6850.75</v>
      </c>
      <c r="F5099" s="8" t="n">
        <v>46258</v>
      </c>
      <c r="G5099" s="9" t="n">
        <v>6850.75</v>
      </c>
      <c r="H5099" t="inlineStr">
        <is>
          <t>PAID_ON_TIME</t>
        </is>
      </c>
      <c r="I5099">
        <f>IF(H5099="UNPAID", AsOfDate-D5099, 0)</f>
        <v/>
      </c>
      <c r="J5099">
        <f>IF(F5099&lt;&gt;"", TEXT(F5099, "yyyy-mm"), "")</f>
        <v/>
      </c>
    </row>
    <row r="5100">
      <c r="A5100" t="inlineStr">
        <is>
          <t>RP0005099</t>
        </is>
      </c>
      <c r="B5100" t="inlineStr">
        <is>
          <t>LN200723</t>
        </is>
      </c>
      <c r="C5100" t="n">
        <v>2</v>
      </c>
      <c r="D5100" s="8" t="n">
        <v>46292</v>
      </c>
      <c r="E5100" s="9" t="n">
        <v>6850.75</v>
      </c>
      <c r="F5100" s="8" t="n"/>
      <c r="G5100" s="9" t="n">
        <v>0</v>
      </c>
      <c r="H5100" t="inlineStr">
        <is>
          <t>NOT_DUE</t>
        </is>
      </c>
      <c r="I5100">
        <f>IF(H5100="UNPAID", AsOfDate-D5100, 0)</f>
        <v/>
      </c>
      <c r="J5100">
        <f>IF(F5100&lt;&gt;"", TEXT(F5100, "yyyy-mm"), "")</f>
        <v/>
      </c>
    </row>
    <row r="5101">
      <c r="A5101" t="inlineStr">
        <is>
          <t>RP0005100</t>
        </is>
      </c>
      <c r="B5101" t="inlineStr">
        <is>
          <t>LN200723</t>
        </is>
      </c>
      <c r="C5101" t="n">
        <v>3</v>
      </c>
      <c r="D5101" s="8" t="n">
        <v>46322</v>
      </c>
      <c r="E5101" s="9" t="n">
        <v>6850.75</v>
      </c>
      <c r="F5101" s="8" t="n"/>
      <c r="G5101" s="9" t="n">
        <v>0</v>
      </c>
      <c r="H5101" t="inlineStr">
        <is>
          <t>NOT_DUE</t>
        </is>
      </c>
      <c r="I5101">
        <f>IF(H5101="UNPAID", AsOfDate-D5101, 0)</f>
        <v/>
      </c>
      <c r="J5101">
        <f>IF(F5101&lt;&gt;"", TEXT(F5101, "yyyy-mm"), "")</f>
        <v/>
      </c>
    </row>
    <row r="5102">
      <c r="A5102" t="inlineStr">
        <is>
          <t>RP0005101</t>
        </is>
      </c>
      <c r="B5102" t="inlineStr">
        <is>
          <t>LN200723</t>
        </is>
      </c>
      <c r="C5102" t="n">
        <v>4</v>
      </c>
      <c r="D5102" s="8" t="n">
        <v>46353</v>
      </c>
      <c r="E5102" s="9" t="n">
        <v>6850.75</v>
      </c>
      <c r="F5102" s="8" t="n"/>
      <c r="G5102" s="9" t="n">
        <v>0</v>
      </c>
      <c r="H5102" t="inlineStr">
        <is>
          <t>NOT_DUE</t>
        </is>
      </c>
      <c r="I5102">
        <f>IF(H5102="UNPAID", AsOfDate-D5102, 0)</f>
        <v/>
      </c>
      <c r="J5102">
        <f>IF(F5102&lt;&gt;"", TEXT(F5102, "yyyy-mm"), "")</f>
        <v/>
      </c>
    </row>
    <row r="5103">
      <c r="A5103" t="inlineStr">
        <is>
          <t>RP0005102</t>
        </is>
      </c>
      <c r="B5103" t="inlineStr">
        <is>
          <t>LN200723</t>
        </is>
      </c>
      <c r="C5103" t="n">
        <v>5</v>
      </c>
      <c r="D5103" s="8" t="n">
        <v>46383</v>
      </c>
      <c r="E5103" s="9" t="n">
        <v>6850.75</v>
      </c>
      <c r="F5103" s="8" t="n"/>
      <c r="G5103" s="9" t="n">
        <v>0</v>
      </c>
      <c r="H5103" t="inlineStr">
        <is>
          <t>NOT_DUE</t>
        </is>
      </c>
      <c r="I5103">
        <f>IF(H5103="UNPAID", AsOfDate-D5103, 0)</f>
        <v/>
      </c>
      <c r="J5103">
        <f>IF(F5103&lt;&gt;"", TEXT(F5103, "yyyy-mm"), "")</f>
        <v/>
      </c>
    </row>
    <row r="5104">
      <c r="A5104" t="inlineStr">
        <is>
          <t>RP0005103</t>
        </is>
      </c>
      <c r="B5104" t="inlineStr">
        <is>
          <t>LN200723</t>
        </is>
      </c>
      <c r="C5104" t="n">
        <v>6</v>
      </c>
      <c r="D5104" s="8" t="n">
        <v>46414</v>
      </c>
      <c r="E5104" s="9" t="n">
        <v>6850.75</v>
      </c>
      <c r="F5104" s="8" t="n"/>
      <c r="G5104" s="9" t="n">
        <v>0</v>
      </c>
      <c r="H5104" t="inlineStr">
        <is>
          <t>NOT_DUE</t>
        </is>
      </c>
      <c r="I5104">
        <f>IF(H5104="UNPAID", AsOfDate-D5104, 0)</f>
        <v/>
      </c>
      <c r="J5104">
        <f>IF(F5104&lt;&gt;"", TEXT(F5104, "yyyy-mm"), "")</f>
        <v/>
      </c>
    </row>
    <row r="5105">
      <c r="A5105" t="inlineStr">
        <is>
          <t>RP0005104</t>
        </is>
      </c>
      <c r="B5105" t="inlineStr">
        <is>
          <t>LN200723</t>
        </is>
      </c>
      <c r="C5105" t="n">
        <v>7</v>
      </c>
      <c r="D5105" s="8" t="n">
        <v>46445</v>
      </c>
      <c r="E5105" s="9" t="n">
        <v>6850.75</v>
      </c>
      <c r="F5105" s="8" t="n"/>
      <c r="G5105" s="9" t="n">
        <v>0</v>
      </c>
      <c r="H5105" t="inlineStr">
        <is>
          <t>NOT_DUE</t>
        </is>
      </c>
      <c r="I5105">
        <f>IF(H5105="UNPAID", AsOfDate-D5105, 0)</f>
        <v/>
      </c>
      <c r="J5105">
        <f>IF(F5105&lt;&gt;"", TEXT(F5105, "yyyy-mm"), "")</f>
        <v/>
      </c>
    </row>
    <row r="5106">
      <c r="A5106" t="inlineStr">
        <is>
          <t>RP0005105</t>
        </is>
      </c>
      <c r="B5106" t="inlineStr">
        <is>
          <t>LN200723</t>
        </is>
      </c>
      <c r="C5106" t="n">
        <v>8</v>
      </c>
      <c r="D5106" s="8" t="n">
        <v>46473</v>
      </c>
      <c r="E5106" s="9" t="n">
        <v>6850.75</v>
      </c>
      <c r="F5106" s="8" t="n"/>
      <c r="G5106" s="9" t="n">
        <v>0</v>
      </c>
      <c r="H5106" t="inlineStr">
        <is>
          <t>NOT_DUE</t>
        </is>
      </c>
      <c r="I5106">
        <f>IF(H5106="UNPAID", AsOfDate-D5106, 0)</f>
        <v/>
      </c>
      <c r="J5106">
        <f>IF(F5106&lt;&gt;"", TEXT(F5106, "yyyy-mm"), "")</f>
        <v/>
      </c>
    </row>
    <row r="5107">
      <c r="A5107" t="inlineStr">
        <is>
          <t>RP0005106</t>
        </is>
      </c>
      <c r="B5107" t="inlineStr">
        <is>
          <t>LN200723</t>
        </is>
      </c>
      <c r="C5107" t="n">
        <v>9</v>
      </c>
      <c r="D5107" s="8" t="n">
        <v>46504</v>
      </c>
      <c r="E5107" s="9" t="n">
        <v>6850.75</v>
      </c>
      <c r="F5107" s="8" t="n"/>
      <c r="G5107" s="9" t="n">
        <v>0</v>
      </c>
      <c r="H5107" t="inlineStr">
        <is>
          <t>NOT_DUE</t>
        </is>
      </c>
      <c r="I5107">
        <f>IF(H5107="UNPAID", AsOfDate-D5107, 0)</f>
        <v/>
      </c>
      <c r="J5107">
        <f>IF(F5107&lt;&gt;"", TEXT(F5107, "yyyy-mm"), "")</f>
        <v/>
      </c>
    </row>
    <row r="5108">
      <c r="A5108" t="inlineStr">
        <is>
          <t>RP0005107</t>
        </is>
      </c>
      <c r="B5108" t="inlineStr">
        <is>
          <t>LN200723</t>
        </is>
      </c>
      <c r="C5108" t="n">
        <v>10</v>
      </c>
      <c r="D5108" s="8" t="n">
        <v>46534</v>
      </c>
      <c r="E5108" s="9" t="n">
        <v>6850.75</v>
      </c>
      <c r="F5108" s="8" t="n"/>
      <c r="G5108" s="9" t="n">
        <v>0</v>
      </c>
      <c r="H5108" t="inlineStr">
        <is>
          <t>NOT_DUE</t>
        </is>
      </c>
      <c r="I5108">
        <f>IF(H5108="UNPAID", AsOfDate-D5108, 0)</f>
        <v/>
      </c>
      <c r="J5108">
        <f>IF(F5108&lt;&gt;"", TEXT(F5108, "yyyy-mm"), "")</f>
        <v/>
      </c>
    </row>
    <row r="5109">
      <c r="A5109" t="inlineStr">
        <is>
          <t>RP0005108</t>
        </is>
      </c>
      <c r="B5109" t="inlineStr">
        <is>
          <t>LN200723</t>
        </is>
      </c>
      <c r="C5109" t="n">
        <v>11</v>
      </c>
      <c r="D5109" s="8" t="n">
        <v>46565</v>
      </c>
      <c r="E5109" s="9" t="n">
        <v>6850.75</v>
      </c>
      <c r="F5109" s="8" t="n"/>
      <c r="G5109" s="9" t="n">
        <v>0</v>
      </c>
      <c r="H5109" t="inlineStr">
        <is>
          <t>NOT_DUE</t>
        </is>
      </c>
      <c r="I5109">
        <f>IF(H5109="UNPAID", AsOfDate-D5109, 0)</f>
        <v/>
      </c>
      <c r="J5109">
        <f>IF(F5109&lt;&gt;"", TEXT(F5109, "yyyy-mm"), "")</f>
        <v/>
      </c>
    </row>
    <row r="5110">
      <c r="A5110" t="inlineStr">
        <is>
          <t>RP0005109</t>
        </is>
      </c>
      <c r="B5110" t="inlineStr">
        <is>
          <t>LN200723</t>
        </is>
      </c>
      <c r="C5110" t="n">
        <v>12</v>
      </c>
      <c r="D5110" s="8" t="n">
        <v>46595</v>
      </c>
      <c r="E5110" s="9" t="n">
        <v>6850.75</v>
      </c>
      <c r="F5110" s="8" t="n"/>
      <c r="G5110" s="9" t="n">
        <v>0</v>
      </c>
      <c r="H5110" t="inlineStr">
        <is>
          <t>NOT_DUE</t>
        </is>
      </c>
      <c r="I5110">
        <f>IF(H5110="UNPAID", AsOfDate-D5110, 0)</f>
        <v/>
      </c>
      <c r="J5110">
        <f>IF(F5110&lt;&gt;"", TEXT(F5110, "yyyy-mm"), "")</f>
        <v/>
      </c>
    </row>
    <row r="5111">
      <c r="A5111" t="inlineStr">
        <is>
          <t>RP0005110</t>
        </is>
      </c>
      <c r="B5111" t="inlineStr">
        <is>
          <t>LN200724</t>
        </is>
      </c>
      <c r="C5111" t="n">
        <v>1</v>
      </c>
      <c r="D5111" s="8" t="n">
        <v>45827</v>
      </c>
      <c r="E5111" s="9" t="n">
        <v>4932</v>
      </c>
      <c r="F5111" s="8" t="n">
        <v>45830</v>
      </c>
      <c r="G5111" s="9" t="n">
        <v>4932</v>
      </c>
      <c r="H5111" t="inlineStr">
        <is>
          <t>PAID_ON_TIME</t>
        </is>
      </c>
      <c r="I5111">
        <f>IF(H5111="UNPAID", AsOfDate-D5111, 0)</f>
        <v/>
      </c>
      <c r="J5111">
        <f>IF(F5111&lt;&gt;"", TEXT(F5111, "yyyy-mm"), "")</f>
        <v/>
      </c>
    </row>
    <row r="5112">
      <c r="A5112" t="inlineStr">
        <is>
          <t>RP0005111</t>
        </is>
      </c>
      <c r="B5112" t="inlineStr">
        <is>
          <t>LN200724</t>
        </is>
      </c>
      <c r="C5112" t="n">
        <v>2</v>
      </c>
      <c r="D5112" s="8" t="n">
        <v>45857</v>
      </c>
      <c r="E5112" s="9" t="n">
        <v>4932</v>
      </c>
      <c r="F5112" s="8" t="n">
        <v>45954</v>
      </c>
      <c r="G5112" s="9" t="n">
        <v>4932</v>
      </c>
      <c r="H5112" t="inlineStr">
        <is>
          <t>PAID_LATE</t>
        </is>
      </c>
      <c r="I5112">
        <f>IF(H5112="UNPAID", AsOfDate-D5112, 0)</f>
        <v/>
      </c>
      <c r="J5112">
        <f>IF(F5112&lt;&gt;"", TEXT(F5112, "yyyy-mm"), "")</f>
        <v/>
      </c>
    </row>
    <row r="5113">
      <c r="A5113" t="inlineStr">
        <is>
          <t>RP0005112</t>
        </is>
      </c>
      <c r="B5113" t="inlineStr">
        <is>
          <t>LN200724</t>
        </is>
      </c>
      <c r="C5113" t="n">
        <v>3</v>
      </c>
      <c r="D5113" s="8" t="n">
        <v>45888</v>
      </c>
      <c r="E5113" s="9" t="n">
        <v>4932</v>
      </c>
      <c r="F5113" s="8" t="n">
        <v>45887</v>
      </c>
      <c r="G5113" s="9" t="n">
        <v>4932</v>
      </c>
      <c r="H5113" t="inlineStr">
        <is>
          <t>PAID_ON_TIME</t>
        </is>
      </c>
      <c r="I5113">
        <f>IF(H5113="UNPAID", AsOfDate-D5113, 0)</f>
        <v/>
      </c>
      <c r="J5113">
        <f>IF(F5113&lt;&gt;"", TEXT(F5113, "yyyy-mm"), "")</f>
        <v/>
      </c>
    </row>
    <row r="5114">
      <c r="A5114" t="inlineStr">
        <is>
          <t>RP0005113</t>
        </is>
      </c>
      <c r="B5114" t="inlineStr">
        <is>
          <t>LN200724</t>
        </is>
      </c>
      <c r="C5114" t="n">
        <v>4</v>
      </c>
      <c r="D5114" s="8" t="n">
        <v>45919</v>
      </c>
      <c r="E5114" s="9" t="n">
        <v>4932</v>
      </c>
      <c r="F5114" s="8" t="n"/>
      <c r="G5114" s="9" t="n">
        <v>0</v>
      </c>
      <c r="H5114" t="inlineStr">
        <is>
          <t>UNPAID</t>
        </is>
      </c>
      <c r="I5114">
        <f>IF(H5114="UNPAID", AsOfDate-D5114, 0)</f>
        <v/>
      </c>
      <c r="J5114">
        <f>IF(F5114&lt;&gt;"", TEXT(F5114, "yyyy-mm"), "")</f>
        <v/>
      </c>
    </row>
    <row r="5115">
      <c r="A5115" t="inlineStr">
        <is>
          <t>RP0005114</t>
        </is>
      </c>
      <c r="B5115" t="inlineStr">
        <is>
          <t>LN200724</t>
        </is>
      </c>
      <c r="C5115" t="n">
        <v>5</v>
      </c>
      <c r="D5115" s="8" t="n">
        <v>45949</v>
      </c>
      <c r="E5115" s="9" t="n">
        <v>4932</v>
      </c>
      <c r="F5115" s="8" t="n">
        <v>45950</v>
      </c>
      <c r="G5115" s="9" t="n">
        <v>4932</v>
      </c>
      <c r="H5115" t="inlineStr">
        <is>
          <t>PAID_ON_TIME</t>
        </is>
      </c>
      <c r="I5115">
        <f>IF(H5115="UNPAID", AsOfDate-D5115, 0)</f>
        <v/>
      </c>
      <c r="J5115">
        <f>IF(F5115&lt;&gt;"", TEXT(F5115, "yyyy-mm"), "")</f>
        <v/>
      </c>
    </row>
    <row r="5116">
      <c r="A5116" t="inlineStr">
        <is>
          <t>RP0005115</t>
        </is>
      </c>
      <c r="B5116" t="inlineStr">
        <is>
          <t>LN200724</t>
        </is>
      </c>
      <c r="C5116" t="n">
        <v>6</v>
      </c>
      <c r="D5116" s="8" t="n">
        <v>45980</v>
      </c>
      <c r="E5116" s="9" t="n">
        <v>4932</v>
      </c>
      <c r="F5116" s="8" t="n">
        <v>45979</v>
      </c>
      <c r="G5116" s="9" t="n">
        <v>4932</v>
      </c>
      <c r="H5116" t="inlineStr">
        <is>
          <t>PAID_ON_TIME</t>
        </is>
      </c>
      <c r="I5116">
        <f>IF(H5116="UNPAID", AsOfDate-D5116, 0)</f>
        <v/>
      </c>
      <c r="J5116">
        <f>IF(F5116&lt;&gt;"", TEXT(F5116, "yyyy-mm"), "")</f>
        <v/>
      </c>
    </row>
    <row r="5117">
      <c r="A5117" t="inlineStr">
        <is>
          <t>RP0005116</t>
        </is>
      </c>
      <c r="B5117" t="inlineStr">
        <is>
          <t>LN200725</t>
        </is>
      </c>
      <c r="C5117" t="n">
        <v>1</v>
      </c>
      <c r="D5117" s="8" t="n">
        <v>45717</v>
      </c>
      <c r="E5117" s="9" t="n">
        <v>44343.75</v>
      </c>
      <c r="F5117" s="8" t="n">
        <v>45718</v>
      </c>
      <c r="G5117" s="9" t="n">
        <v>44343.75</v>
      </c>
      <c r="H5117" t="inlineStr">
        <is>
          <t>PAID_ON_TIME</t>
        </is>
      </c>
      <c r="I5117">
        <f>IF(H5117="UNPAID", AsOfDate-D5117, 0)</f>
        <v/>
      </c>
      <c r="J5117">
        <f>IF(F5117&lt;&gt;"", TEXT(F5117, "yyyy-mm"), "")</f>
        <v/>
      </c>
    </row>
    <row r="5118">
      <c r="A5118" t="inlineStr">
        <is>
          <t>RP0005117</t>
        </is>
      </c>
      <c r="B5118" t="inlineStr">
        <is>
          <t>LN200725</t>
        </is>
      </c>
      <c r="C5118" t="n">
        <v>2</v>
      </c>
      <c r="D5118" s="8" t="n">
        <v>45748</v>
      </c>
      <c r="E5118" s="9" t="n">
        <v>44343.75</v>
      </c>
      <c r="F5118" s="8" t="n">
        <v>45752</v>
      </c>
      <c r="G5118" s="9" t="n">
        <v>44343.75</v>
      </c>
      <c r="H5118" t="inlineStr">
        <is>
          <t>PAID_ON_TIME</t>
        </is>
      </c>
      <c r="I5118">
        <f>IF(H5118="UNPAID", AsOfDate-D5118, 0)</f>
        <v/>
      </c>
      <c r="J5118">
        <f>IF(F5118&lt;&gt;"", TEXT(F5118, "yyyy-mm"), "")</f>
        <v/>
      </c>
    </row>
    <row r="5119">
      <c r="A5119" t="inlineStr">
        <is>
          <t>RP0005118</t>
        </is>
      </c>
      <c r="B5119" t="inlineStr">
        <is>
          <t>LN200725</t>
        </is>
      </c>
      <c r="C5119" t="n">
        <v>3</v>
      </c>
      <c r="D5119" s="8" t="n">
        <v>45778</v>
      </c>
      <c r="E5119" s="9" t="n">
        <v>44343.75</v>
      </c>
      <c r="F5119" s="8" t="n">
        <v>45776</v>
      </c>
      <c r="G5119" s="9" t="n">
        <v>44343.75</v>
      </c>
      <c r="H5119" t="inlineStr">
        <is>
          <t>PAID_ON_TIME</t>
        </is>
      </c>
      <c r="I5119">
        <f>IF(H5119="UNPAID", AsOfDate-D5119, 0)</f>
        <v/>
      </c>
      <c r="J5119">
        <f>IF(F5119&lt;&gt;"", TEXT(F5119, "yyyy-mm"), "")</f>
        <v/>
      </c>
    </row>
    <row r="5120">
      <c r="A5120" t="inlineStr">
        <is>
          <t>RP0005119</t>
        </is>
      </c>
      <c r="B5120" t="inlineStr">
        <is>
          <t>LN200726</t>
        </is>
      </c>
      <c r="C5120" t="n">
        <v>1</v>
      </c>
      <c r="D5120" s="8" t="n">
        <v>46040</v>
      </c>
      <c r="E5120" s="9" t="n">
        <v>10990</v>
      </c>
      <c r="F5120" s="8" t="n">
        <v>46135</v>
      </c>
      <c r="G5120" s="9" t="n">
        <v>10990</v>
      </c>
      <c r="H5120" t="inlineStr">
        <is>
          <t>PAID_LATE</t>
        </is>
      </c>
      <c r="I5120">
        <f>IF(H5120="UNPAID", AsOfDate-D5120, 0)</f>
        <v/>
      </c>
      <c r="J5120">
        <f>IF(F5120&lt;&gt;"", TEXT(F5120, "yyyy-mm"), "")</f>
        <v/>
      </c>
    </row>
    <row r="5121">
      <c r="A5121" t="inlineStr">
        <is>
          <t>RP0005120</t>
        </is>
      </c>
      <c r="B5121" t="inlineStr">
        <is>
          <t>LN200726</t>
        </is>
      </c>
      <c r="C5121" t="n">
        <v>2</v>
      </c>
      <c r="D5121" s="8" t="n">
        <v>46071</v>
      </c>
      <c r="E5121" s="9" t="n">
        <v>10990</v>
      </c>
      <c r="F5121" s="8" t="n">
        <v>46068</v>
      </c>
      <c r="G5121" s="9" t="n">
        <v>10990</v>
      </c>
      <c r="H5121" t="inlineStr">
        <is>
          <t>PAID_ON_TIME</t>
        </is>
      </c>
      <c r="I5121">
        <f>IF(H5121="UNPAID", AsOfDate-D5121, 0)</f>
        <v/>
      </c>
      <c r="J5121">
        <f>IF(F5121&lt;&gt;"", TEXT(F5121, "yyyy-mm"), "")</f>
        <v/>
      </c>
    </row>
    <row r="5122">
      <c r="A5122" t="inlineStr">
        <is>
          <t>RP0005121</t>
        </is>
      </c>
      <c r="B5122" t="inlineStr">
        <is>
          <t>LN200726</t>
        </is>
      </c>
      <c r="C5122" t="n">
        <v>3</v>
      </c>
      <c r="D5122" s="8" t="n">
        <v>46099</v>
      </c>
      <c r="E5122" s="9" t="n">
        <v>10990</v>
      </c>
      <c r="F5122" s="8" t="n">
        <v>46101</v>
      </c>
      <c r="G5122" s="9" t="n">
        <v>10990</v>
      </c>
      <c r="H5122" t="inlineStr">
        <is>
          <t>PAID_ON_TIME</t>
        </is>
      </c>
      <c r="I5122">
        <f>IF(H5122="UNPAID", AsOfDate-D5122, 0)</f>
        <v/>
      </c>
      <c r="J5122">
        <f>IF(F5122&lt;&gt;"", TEXT(F5122, "yyyy-mm"), "")</f>
        <v/>
      </c>
    </row>
    <row r="5123">
      <c r="A5123" t="inlineStr">
        <is>
          <t>RP0005122</t>
        </is>
      </c>
      <c r="B5123" t="inlineStr">
        <is>
          <t>LN200726</t>
        </is>
      </c>
      <c r="C5123" t="n">
        <v>4</v>
      </c>
      <c r="D5123" s="8" t="n">
        <v>46130</v>
      </c>
      <c r="E5123" s="9" t="n">
        <v>10990</v>
      </c>
      <c r="F5123" s="8" t="n">
        <v>46133</v>
      </c>
      <c r="G5123" s="9" t="n">
        <v>10990</v>
      </c>
      <c r="H5123" t="inlineStr">
        <is>
          <t>PAID_ON_TIME</t>
        </is>
      </c>
      <c r="I5123">
        <f>IF(H5123="UNPAID", AsOfDate-D5123, 0)</f>
        <v/>
      </c>
      <c r="J5123">
        <f>IF(F5123&lt;&gt;"", TEXT(F5123, "yyyy-mm"), "")</f>
        <v/>
      </c>
    </row>
    <row r="5124">
      <c r="A5124" t="inlineStr">
        <is>
          <t>RP0005123</t>
        </is>
      </c>
      <c r="B5124" t="inlineStr">
        <is>
          <t>LN200726</t>
        </is>
      </c>
      <c r="C5124" t="n">
        <v>5</v>
      </c>
      <c r="D5124" s="8" t="n">
        <v>46160</v>
      </c>
      <c r="E5124" s="9" t="n">
        <v>10990</v>
      </c>
      <c r="F5124" s="8" t="n">
        <v>46160</v>
      </c>
      <c r="G5124" s="9" t="n">
        <v>10990</v>
      </c>
      <c r="H5124" t="inlineStr">
        <is>
          <t>PAID_ON_TIME</t>
        </is>
      </c>
      <c r="I5124">
        <f>IF(H5124="UNPAID", AsOfDate-D5124, 0)</f>
        <v/>
      </c>
      <c r="J5124">
        <f>IF(F5124&lt;&gt;"", TEXT(F5124, "yyyy-mm"), "")</f>
        <v/>
      </c>
    </row>
    <row r="5125">
      <c r="A5125" t="inlineStr">
        <is>
          <t>RP0005124</t>
        </is>
      </c>
      <c r="B5125" t="inlineStr">
        <is>
          <t>LN200726</t>
        </is>
      </c>
      <c r="C5125" t="n">
        <v>6</v>
      </c>
      <c r="D5125" s="8" t="n">
        <v>46191</v>
      </c>
      <c r="E5125" s="9" t="n">
        <v>10990</v>
      </c>
      <c r="F5125" s="8" t="n">
        <v>46191</v>
      </c>
      <c r="G5125" s="9" t="n">
        <v>10990</v>
      </c>
      <c r="H5125" t="inlineStr">
        <is>
          <t>PAID_ON_TIME</t>
        </is>
      </c>
      <c r="I5125">
        <f>IF(H5125="UNPAID", AsOfDate-D5125, 0)</f>
        <v/>
      </c>
      <c r="J5125">
        <f>IF(F5125&lt;&gt;"", TEXT(F5125, "yyyy-mm"), "")</f>
        <v/>
      </c>
    </row>
    <row r="5126">
      <c r="A5126" t="inlineStr">
        <is>
          <t>RP0005125</t>
        </is>
      </c>
      <c r="B5126" t="inlineStr">
        <is>
          <t>LN200727</t>
        </is>
      </c>
      <c r="C5126" t="n">
        <v>1</v>
      </c>
      <c r="D5126" s="8" t="n">
        <v>46086</v>
      </c>
      <c r="E5126" s="9" t="n">
        <v>14303.58</v>
      </c>
      <c r="F5126" s="8" t="n">
        <v>46087</v>
      </c>
      <c r="G5126" s="9" t="n">
        <v>14303.58</v>
      </c>
      <c r="H5126" t="inlineStr">
        <is>
          <t>PAID_ON_TIME</t>
        </is>
      </c>
      <c r="I5126">
        <f>IF(H5126="UNPAID", AsOfDate-D5126, 0)</f>
        <v/>
      </c>
      <c r="J5126">
        <f>IF(F5126&lt;&gt;"", TEXT(F5126, "yyyy-mm"), "")</f>
        <v/>
      </c>
    </row>
    <row r="5127">
      <c r="A5127" t="inlineStr">
        <is>
          <t>RP0005126</t>
        </is>
      </c>
      <c r="B5127" t="inlineStr">
        <is>
          <t>LN200727</t>
        </is>
      </c>
      <c r="C5127" t="n">
        <v>2</v>
      </c>
      <c r="D5127" s="8" t="n">
        <v>46117</v>
      </c>
      <c r="E5127" s="9" t="n">
        <v>14303.58</v>
      </c>
      <c r="F5127" s="8" t="n">
        <v>46120</v>
      </c>
      <c r="G5127" s="9" t="n">
        <v>14303.58</v>
      </c>
      <c r="H5127" t="inlineStr">
        <is>
          <t>PAID_ON_TIME</t>
        </is>
      </c>
      <c r="I5127">
        <f>IF(H5127="UNPAID", AsOfDate-D5127, 0)</f>
        <v/>
      </c>
      <c r="J5127">
        <f>IF(F5127&lt;&gt;"", TEXT(F5127, "yyyy-mm"), "")</f>
        <v/>
      </c>
    </row>
    <row r="5128">
      <c r="A5128" t="inlineStr">
        <is>
          <t>RP0005127</t>
        </is>
      </c>
      <c r="B5128" t="inlineStr">
        <is>
          <t>LN200727</t>
        </is>
      </c>
      <c r="C5128" t="n">
        <v>3</v>
      </c>
      <c r="D5128" s="8" t="n">
        <v>46147</v>
      </c>
      <c r="E5128" s="9" t="n">
        <v>14303.58</v>
      </c>
      <c r="F5128" s="8" t="n">
        <v>46150</v>
      </c>
      <c r="G5128" s="9" t="n">
        <v>14303.58</v>
      </c>
      <c r="H5128" t="inlineStr">
        <is>
          <t>PAID_ON_TIME</t>
        </is>
      </c>
      <c r="I5128">
        <f>IF(H5128="UNPAID", AsOfDate-D5128, 0)</f>
        <v/>
      </c>
      <c r="J5128">
        <f>IF(F5128&lt;&gt;"", TEXT(F5128, "yyyy-mm"), "")</f>
        <v/>
      </c>
    </row>
    <row r="5129">
      <c r="A5129" t="inlineStr">
        <is>
          <t>RP0005128</t>
        </is>
      </c>
      <c r="B5129" t="inlineStr">
        <is>
          <t>LN200727</t>
        </is>
      </c>
      <c r="C5129" t="n">
        <v>4</v>
      </c>
      <c r="D5129" s="8" t="n">
        <v>46178</v>
      </c>
      <c r="E5129" s="9" t="n">
        <v>14303.58</v>
      </c>
      <c r="F5129" s="8" t="n">
        <v>46179</v>
      </c>
      <c r="G5129" s="9" t="n">
        <v>14303.58</v>
      </c>
      <c r="H5129" t="inlineStr">
        <is>
          <t>PAID_ON_TIME</t>
        </is>
      </c>
      <c r="I5129">
        <f>IF(H5129="UNPAID", AsOfDate-D5129, 0)</f>
        <v/>
      </c>
      <c r="J5129">
        <f>IF(F5129&lt;&gt;"", TEXT(F5129, "yyyy-mm"), "")</f>
        <v/>
      </c>
    </row>
    <row r="5130">
      <c r="A5130" t="inlineStr">
        <is>
          <t>RP0005129</t>
        </is>
      </c>
      <c r="B5130" t="inlineStr">
        <is>
          <t>LN200727</t>
        </is>
      </c>
      <c r="C5130" t="n">
        <v>5</v>
      </c>
      <c r="D5130" s="8" t="n">
        <v>46208</v>
      </c>
      <c r="E5130" s="9" t="n">
        <v>14303.58</v>
      </c>
      <c r="F5130" s="8" t="n">
        <v>46210</v>
      </c>
      <c r="G5130" s="9" t="n">
        <v>14303.58</v>
      </c>
      <c r="H5130" t="inlineStr">
        <is>
          <t>PAID_ON_TIME</t>
        </is>
      </c>
      <c r="I5130">
        <f>IF(H5130="UNPAID", AsOfDate-D5130, 0)</f>
        <v/>
      </c>
      <c r="J5130">
        <f>IF(F5130&lt;&gt;"", TEXT(F5130, "yyyy-mm"), "")</f>
        <v/>
      </c>
    </row>
    <row r="5131">
      <c r="A5131" t="inlineStr">
        <is>
          <t>RP0005130</t>
        </is>
      </c>
      <c r="B5131" t="inlineStr">
        <is>
          <t>LN200727</t>
        </is>
      </c>
      <c r="C5131" t="n">
        <v>6</v>
      </c>
      <c r="D5131" s="8" t="n">
        <v>46239</v>
      </c>
      <c r="E5131" s="9" t="n">
        <v>14303.58</v>
      </c>
      <c r="F5131" s="8" t="n">
        <v>46241</v>
      </c>
      <c r="G5131" s="9" t="n">
        <v>14303.58</v>
      </c>
      <c r="H5131" t="inlineStr">
        <is>
          <t>PAID_ON_TIME</t>
        </is>
      </c>
      <c r="I5131">
        <f>IF(H5131="UNPAID", AsOfDate-D5131, 0)</f>
        <v/>
      </c>
      <c r="J5131">
        <f>IF(F5131&lt;&gt;"", TEXT(F5131, "yyyy-mm"), "")</f>
        <v/>
      </c>
    </row>
    <row r="5132">
      <c r="A5132" t="inlineStr">
        <is>
          <t>RP0005131</t>
        </is>
      </c>
      <c r="B5132" t="inlineStr">
        <is>
          <t>LN200727</t>
        </is>
      </c>
      <c r="C5132" t="n">
        <v>7</v>
      </c>
      <c r="D5132" s="8" t="n">
        <v>46270</v>
      </c>
      <c r="E5132" s="9" t="n">
        <v>14303.58</v>
      </c>
      <c r="F5132" s="8" t="n"/>
      <c r="G5132" s="9" t="n">
        <v>0</v>
      </c>
      <c r="H5132" t="inlineStr">
        <is>
          <t>NOT_DUE</t>
        </is>
      </c>
      <c r="I5132">
        <f>IF(H5132="UNPAID", AsOfDate-D5132, 0)</f>
        <v/>
      </c>
      <c r="J5132">
        <f>IF(F5132&lt;&gt;"", TEXT(F5132, "yyyy-mm"), "")</f>
        <v/>
      </c>
    </row>
    <row r="5133">
      <c r="A5133" t="inlineStr">
        <is>
          <t>RP0005132</t>
        </is>
      </c>
      <c r="B5133" t="inlineStr">
        <is>
          <t>LN200727</t>
        </is>
      </c>
      <c r="C5133" t="n">
        <v>8</v>
      </c>
      <c r="D5133" s="8" t="n">
        <v>46300</v>
      </c>
      <c r="E5133" s="9" t="n">
        <v>14303.58</v>
      </c>
      <c r="F5133" s="8" t="n"/>
      <c r="G5133" s="9" t="n">
        <v>0</v>
      </c>
      <c r="H5133" t="inlineStr">
        <is>
          <t>NOT_DUE</t>
        </is>
      </c>
      <c r="I5133">
        <f>IF(H5133="UNPAID", AsOfDate-D5133, 0)</f>
        <v/>
      </c>
      <c r="J5133">
        <f>IF(F5133&lt;&gt;"", TEXT(F5133, "yyyy-mm"), "")</f>
        <v/>
      </c>
    </row>
    <row r="5134">
      <c r="A5134" t="inlineStr">
        <is>
          <t>RP0005133</t>
        </is>
      </c>
      <c r="B5134" t="inlineStr">
        <is>
          <t>LN200727</t>
        </is>
      </c>
      <c r="C5134" t="n">
        <v>9</v>
      </c>
      <c r="D5134" s="8" t="n">
        <v>46331</v>
      </c>
      <c r="E5134" s="9" t="n">
        <v>14303.58</v>
      </c>
      <c r="F5134" s="8" t="n"/>
      <c r="G5134" s="9" t="n">
        <v>0</v>
      </c>
      <c r="H5134" t="inlineStr">
        <is>
          <t>NOT_DUE</t>
        </is>
      </c>
      <c r="I5134">
        <f>IF(H5134="UNPAID", AsOfDate-D5134, 0)</f>
        <v/>
      </c>
      <c r="J5134">
        <f>IF(F5134&lt;&gt;"", TEXT(F5134, "yyyy-mm"), "")</f>
        <v/>
      </c>
    </row>
    <row r="5135">
      <c r="A5135" t="inlineStr">
        <is>
          <t>RP0005134</t>
        </is>
      </c>
      <c r="B5135" t="inlineStr">
        <is>
          <t>LN200728</t>
        </is>
      </c>
      <c r="C5135" t="n">
        <v>1</v>
      </c>
      <c r="D5135" s="8" t="n">
        <v>45751</v>
      </c>
      <c r="E5135" s="9" t="n">
        <v>8865</v>
      </c>
      <c r="F5135" s="8" t="n">
        <v>45748</v>
      </c>
      <c r="G5135" s="9" t="n">
        <v>8865</v>
      </c>
      <c r="H5135" t="inlineStr">
        <is>
          <t>PAID_ON_TIME</t>
        </is>
      </c>
      <c r="I5135">
        <f>IF(H5135="UNPAID", AsOfDate-D5135, 0)</f>
        <v/>
      </c>
      <c r="J5135">
        <f>IF(F5135&lt;&gt;"", TEXT(F5135, "yyyy-mm"), "")</f>
        <v/>
      </c>
    </row>
    <row r="5136">
      <c r="A5136" t="inlineStr">
        <is>
          <t>RP0005135</t>
        </is>
      </c>
      <c r="B5136" t="inlineStr">
        <is>
          <t>LN200728</t>
        </is>
      </c>
      <c r="C5136" t="n">
        <v>2</v>
      </c>
      <c r="D5136" s="8" t="n">
        <v>45781</v>
      </c>
      <c r="E5136" s="9" t="n">
        <v>8865</v>
      </c>
      <c r="F5136" s="8" t="n">
        <v>45778</v>
      </c>
      <c r="G5136" s="9" t="n">
        <v>8865</v>
      </c>
      <c r="H5136" t="inlineStr">
        <is>
          <t>PAID_ON_TIME</t>
        </is>
      </c>
      <c r="I5136">
        <f>IF(H5136="UNPAID", AsOfDate-D5136, 0)</f>
        <v/>
      </c>
      <c r="J5136">
        <f>IF(F5136&lt;&gt;"", TEXT(F5136, "yyyy-mm"), "")</f>
        <v/>
      </c>
    </row>
    <row r="5137">
      <c r="A5137" t="inlineStr">
        <is>
          <t>RP0005136</t>
        </is>
      </c>
      <c r="B5137" t="inlineStr">
        <is>
          <t>LN200728</t>
        </is>
      </c>
      <c r="C5137" t="n">
        <v>3</v>
      </c>
      <c r="D5137" s="8" t="n">
        <v>45812</v>
      </c>
      <c r="E5137" s="9" t="n">
        <v>8865</v>
      </c>
      <c r="F5137" s="8" t="n">
        <v>45812</v>
      </c>
      <c r="G5137" s="9" t="n">
        <v>8865</v>
      </c>
      <c r="H5137" t="inlineStr">
        <is>
          <t>PAID_ON_TIME</t>
        </is>
      </c>
      <c r="I5137">
        <f>IF(H5137="UNPAID", AsOfDate-D5137, 0)</f>
        <v/>
      </c>
      <c r="J5137">
        <f>IF(F5137&lt;&gt;"", TEXT(F5137, "yyyy-mm"), "")</f>
        <v/>
      </c>
    </row>
    <row r="5138">
      <c r="A5138" t="inlineStr">
        <is>
          <t>RP0005137</t>
        </is>
      </c>
      <c r="B5138" t="inlineStr">
        <is>
          <t>LN200728</t>
        </is>
      </c>
      <c r="C5138" t="n">
        <v>4</v>
      </c>
      <c r="D5138" s="8" t="n">
        <v>45842</v>
      </c>
      <c r="E5138" s="9" t="n">
        <v>8865</v>
      </c>
      <c r="F5138" s="8" t="n">
        <v>45839</v>
      </c>
      <c r="G5138" s="9" t="n">
        <v>8865</v>
      </c>
      <c r="H5138" t="inlineStr">
        <is>
          <t>PAID_ON_TIME</t>
        </is>
      </c>
      <c r="I5138">
        <f>IF(H5138="UNPAID", AsOfDate-D5138, 0)</f>
        <v/>
      </c>
      <c r="J5138">
        <f>IF(F5138&lt;&gt;"", TEXT(F5138, "yyyy-mm"), "")</f>
        <v/>
      </c>
    </row>
    <row r="5139">
      <c r="A5139" t="inlineStr">
        <is>
          <t>RP0005138</t>
        </is>
      </c>
      <c r="B5139" t="inlineStr">
        <is>
          <t>LN200728</t>
        </is>
      </c>
      <c r="C5139" t="n">
        <v>5</v>
      </c>
      <c r="D5139" s="8" t="n">
        <v>45873</v>
      </c>
      <c r="E5139" s="9" t="n">
        <v>8865</v>
      </c>
      <c r="F5139" s="8" t="n">
        <v>45949</v>
      </c>
      <c r="G5139" s="9" t="n">
        <v>8865</v>
      </c>
      <c r="H5139" t="inlineStr">
        <is>
          <t>PAID_LATE</t>
        </is>
      </c>
      <c r="I5139">
        <f>IF(H5139="UNPAID", AsOfDate-D5139, 0)</f>
        <v/>
      </c>
      <c r="J5139">
        <f>IF(F5139&lt;&gt;"", TEXT(F5139, "yyyy-mm"), "")</f>
        <v/>
      </c>
    </row>
    <row r="5140">
      <c r="A5140" t="inlineStr">
        <is>
          <t>RP0005139</t>
        </is>
      </c>
      <c r="B5140" t="inlineStr">
        <is>
          <t>LN200728</t>
        </is>
      </c>
      <c r="C5140" t="n">
        <v>6</v>
      </c>
      <c r="D5140" s="8" t="n">
        <v>45904</v>
      </c>
      <c r="E5140" s="9" t="n">
        <v>8865</v>
      </c>
      <c r="F5140" s="8" t="n">
        <v>45901</v>
      </c>
      <c r="G5140" s="9" t="n">
        <v>8865</v>
      </c>
      <c r="H5140" t="inlineStr">
        <is>
          <t>PAID_ON_TIME</t>
        </is>
      </c>
      <c r="I5140">
        <f>IF(H5140="UNPAID", AsOfDate-D5140, 0)</f>
        <v/>
      </c>
      <c r="J5140">
        <f>IF(F5140&lt;&gt;"", TEXT(F5140, "yyyy-mm"), "")</f>
        <v/>
      </c>
    </row>
    <row r="5141">
      <c r="A5141" t="inlineStr">
        <is>
          <t>RP0005140</t>
        </is>
      </c>
      <c r="B5141" t="inlineStr">
        <is>
          <t>LN200728</t>
        </is>
      </c>
      <c r="C5141" t="n">
        <v>7</v>
      </c>
      <c r="D5141" s="8" t="n">
        <v>45934</v>
      </c>
      <c r="E5141" s="9" t="n">
        <v>8865</v>
      </c>
      <c r="F5141" s="8" t="n">
        <v>46043</v>
      </c>
      <c r="G5141" s="9" t="n">
        <v>8865</v>
      </c>
      <c r="H5141" t="inlineStr">
        <is>
          <t>PAID_LATE</t>
        </is>
      </c>
      <c r="I5141">
        <f>IF(H5141="UNPAID", AsOfDate-D5141, 0)</f>
        <v/>
      </c>
      <c r="J5141">
        <f>IF(F5141&lt;&gt;"", TEXT(F5141, "yyyy-mm"), "")</f>
        <v/>
      </c>
    </row>
    <row r="5142">
      <c r="A5142" t="inlineStr">
        <is>
          <t>RP0005141</t>
        </is>
      </c>
      <c r="B5142" t="inlineStr">
        <is>
          <t>LN200728</t>
        </is>
      </c>
      <c r="C5142" t="n">
        <v>8</v>
      </c>
      <c r="D5142" s="8" t="n">
        <v>45965</v>
      </c>
      <c r="E5142" s="9" t="n">
        <v>8865</v>
      </c>
      <c r="F5142" s="8" t="n">
        <v>45962</v>
      </c>
      <c r="G5142" s="9" t="n">
        <v>8865</v>
      </c>
      <c r="H5142" t="inlineStr">
        <is>
          <t>PAID_ON_TIME</t>
        </is>
      </c>
      <c r="I5142">
        <f>IF(H5142="UNPAID", AsOfDate-D5142, 0)</f>
        <v/>
      </c>
      <c r="J5142">
        <f>IF(F5142&lt;&gt;"", TEXT(F5142, "yyyy-mm"), "")</f>
        <v/>
      </c>
    </row>
    <row r="5143">
      <c r="A5143" t="inlineStr">
        <is>
          <t>RP0005142</t>
        </is>
      </c>
      <c r="B5143" t="inlineStr">
        <is>
          <t>LN200728</t>
        </is>
      </c>
      <c r="C5143" t="n">
        <v>9</v>
      </c>
      <c r="D5143" s="8" t="n">
        <v>45995</v>
      </c>
      <c r="E5143" s="9" t="n">
        <v>8865</v>
      </c>
      <c r="F5143" s="8" t="n">
        <v>46035</v>
      </c>
      <c r="G5143" s="9" t="n">
        <v>8865</v>
      </c>
      <c r="H5143" t="inlineStr">
        <is>
          <t>PAID_LATE</t>
        </is>
      </c>
      <c r="I5143">
        <f>IF(H5143="UNPAID", AsOfDate-D5143, 0)</f>
        <v/>
      </c>
      <c r="J5143">
        <f>IF(F5143&lt;&gt;"", TEXT(F5143, "yyyy-mm"), "")</f>
        <v/>
      </c>
    </row>
    <row r="5144">
      <c r="A5144" t="inlineStr">
        <is>
          <t>RP0005143</t>
        </is>
      </c>
      <c r="B5144" t="inlineStr">
        <is>
          <t>LN200728</t>
        </is>
      </c>
      <c r="C5144" t="n">
        <v>10</v>
      </c>
      <c r="D5144" s="8" t="n">
        <v>46026</v>
      </c>
      <c r="E5144" s="9" t="n">
        <v>8865</v>
      </c>
      <c r="F5144" s="8" t="n">
        <v>46029</v>
      </c>
      <c r="G5144" s="9" t="n">
        <v>8865</v>
      </c>
      <c r="H5144" t="inlineStr">
        <is>
          <t>PAID_ON_TIME</t>
        </is>
      </c>
      <c r="I5144">
        <f>IF(H5144="UNPAID", AsOfDate-D5144, 0)</f>
        <v/>
      </c>
      <c r="J5144">
        <f>IF(F5144&lt;&gt;"", TEXT(F5144, "yyyy-mm"), "")</f>
        <v/>
      </c>
    </row>
    <row r="5145">
      <c r="A5145" t="inlineStr">
        <is>
          <t>RP0005144</t>
        </is>
      </c>
      <c r="B5145" t="inlineStr">
        <is>
          <t>LN200728</t>
        </is>
      </c>
      <c r="C5145" t="n">
        <v>11</v>
      </c>
      <c r="D5145" s="8" t="n">
        <v>46057</v>
      </c>
      <c r="E5145" s="9" t="n">
        <v>8865</v>
      </c>
      <c r="F5145" s="8" t="n">
        <v>46060</v>
      </c>
      <c r="G5145" s="9" t="n">
        <v>8865</v>
      </c>
      <c r="H5145" t="inlineStr">
        <is>
          <t>PAID_ON_TIME</t>
        </is>
      </c>
      <c r="I5145">
        <f>IF(H5145="UNPAID", AsOfDate-D5145, 0)</f>
        <v/>
      </c>
      <c r="J5145">
        <f>IF(F5145&lt;&gt;"", TEXT(F5145, "yyyy-mm"), "")</f>
        <v/>
      </c>
    </row>
    <row r="5146">
      <c r="A5146" t="inlineStr">
        <is>
          <t>RP0005145</t>
        </is>
      </c>
      <c r="B5146" t="inlineStr">
        <is>
          <t>LN200728</t>
        </is>
      </c>
      <c r="C5146" t="n">
        <v>12</v>
      </c>
      <c r="D5146" s="8" t="n">
        <v>46085</v>
      </c>
      <c r="E5146" s="9" t="n">
        <v>8865</v>
      </c>
      <c r="F5146" s="8" t="n">
        <v>46089</v>
      </c>
      <c r="G5146" s="9" t="n">
        <v>8865</v>
      </c>
      <c r="H5146" t="inlineStr">
        <is>
          <t>PAID_ON_TIME</t>
        </is>
      </c>
      <c r="I5146">
        <f>IF(H5146="UNPAID", AsOfDate-D5146, 0)</f>
        <v/>
      </c>
      <c r="J5146">
        <f>IF(F5146&lt;&gt;"", TEXT(F5146, "yyyy-mm"), "")</f>
        <v/>
      </c>
    </row>
    <row r="5147">
      <c r="A5147" t="inlineStr">
        <is>
          <t>RP0005146</t>
        </is>
      </c>
      <c r="B5147" t="inlineStr">
        <is>
          <t>LN200729</t>
        </is>
      </c>
      <c r="C5147" t="n">
        <v>1</v>
      </c>
      <c r="D5147" s="8" t="n">
        <v>46070</v>
      </c>
      <c r="E5147" s="9" t="n">
        <v>61153.5</v>
      </c>
      <c r="F5147" s="8" t="n">
        <v>46072</v>
      </c>
      <c r="G5147" s="9" t="n">
        <v>61153.5</v>
      </c>
      <c r="H5147" t="inlineStr">
        <is>
          <t>PAID_ON_TIME</t>
        </is>
      </c>
      <c r="I5147">
        <f>IF(H5147="UNPAID", AsOfDate-D5147, 0)</f>
        <v/>
      </c>
      <c r="J5147">
        <f>IF(F5147&lt;&gt;"", TEXT(F5147, "yyyy-mm"), "")</f>
        <v/>
      </c>
    </row>
    <row r="5148">
      <c r="A5148" t="inlineStr">
        <is>
          <t>RP0005147</t>
        </is>
      </c>
      <c r="B5148" t="inlineStr">
        <is>
          <t>LN200729</t>
        </is>
      </c>
      <c r="C5148" t="n">
        <v>2</v>
      </c>
      <c r="D5148" s="8" t="n">
        <v>46098</v>
      </c>
      <c r="E5148" s="9" t="n">
        <v>61153.5</v>
      </c>
      <c r="F5148" s="8" t="n">
        <v>46095</v>
      </c>
      <c r="G5148" s="9" t="n">
        <v>61153.5</v>
      </c>
      <c r="H5148" t="inlineStr">
        <is>
          <t>PAID_ON_TIME</t>
        </is>
      </c>
      <c r="I5148">
        <f>IF(H5148="UNPAID", AsOfDate-D5148, 0)</f>
        <v/>
      </c>
      <c r="J5148">
        <f>IF(F5148&lt;&gt;"", TEXT(F5148, "yyyy-mm"), "")</f>
        <v/>
      </c>
    </row>
    <row r="5149">
      <c r="A5149" t="inlineStr">
        <is>
          <t>RP0005148</t>
        </is>
      </c>
      <c r="B5149" t="inlineStr">
        <is>
          <t>LN200729</t>
        </is>
      </c>
      <c r="C5149" t="n">
        <v>3</v>
      </c>
      <c r="D5149" s="8" t="n">
        <v>46129</v>
      </c>
      <c r="E5149" s="9" t="n">
        <v>61153.5</v>
      </c>
      <c r="F5149" s="8" t="n">
        <v>46132</v>
      </c>
      <c r="G5149" s="9" t="n">
        <v>61153.5</v>
      </c>
      <c r="H5149" t="inlineStr">
        <is>
          <t>PAID_ON_TIME</t>
        </is>
      </c>
      <c r="I5149">
        <f>IF(H5149="UNPAID", AsOfDate-D5149, 0)</f>
        <v/>
      </c>
      <c r="J5149">
        <f>IF(F5149&lt;&gt;"", TEXT(F5149, "yyyy-mm"), "")</f>
        <v/>
      </c>
    </row>
    <row r="5150">
      <c r="A5150" t="inlineStr">
        <is>
          <t>RP0005149</t>
        </is>
      </c>
      <c r="B5150" t="inlineStr">
        <is>
          <t>LN200730</t>
        </is>
      </c>
      <c r="C5150" t="n">
        <v>1</v>
      </c>
      <c r="D5150" s="8" t="n">
        <v>46209</v>
      </c>
      <c r="E5150" s="9" t="n">
        <v>17121.42</v>
      </c>
      <c r="F5150" s="8" t="n">
        <v>46211</v>
      </c>
      <c r="G5150" s="9" t="n">
        <v>17121.42</v>
      </c>
      <c r="H5150" t="inlineStr">
        <is>
          <t>PAID_ON_TIME</t>
        </is>
      </c>
      <c r="I5150">
        <f>IF(H5150="UNPAID", AsOfDate-D5150, 0)</f>
        <v/>
      </c>
      <c r="J5150">
        <f>IF(F5150&lt;&gt;"", TEXT(F5150, "yyyy-mm"), "")</f>
        <v/>
      </c>
    </row>
    <row r="5151">
      <c r="A5151" t="inlineStr">
        <is>
          <t>RP0005150</t>
        </is>
      </c>
      <c r="B5151" t="inlineStr">
        <is>
          <t>LN200730</t>
        </is>
      </c>
      <c r="C5151" t="n">
        <v>2</v>
      </c>
      <c r="D5151" s="8" t="n">
        <v>46240</v>
      </c>
      <c r="E5151" s="9" t="n">
        <v>17121.42</v>
      </c>
      <c r="F5151" s="8" t="n">
        <v>46239</v>
      </c>
      <c r="G5151" s="9" t="n">
        <v>17121.42</v>
      </c>
      <c r="H5151" t="inlineStr">
        <is>
          <t>PAID_ON_TIME</t>
        </is>
      </c>
      <c r="I5151">
        <f>IF(H5151="UNPAID", AsOfDate-D5151, 0)</f>
        <v/>
      </c>
      <c r="J5151">
        <f>IF(F5151&lt;&gt;"", TEXT(F5151, "yyyy-mm"), "")</f>
        <v/>
      </c>
    </row>
    <row r="5152">
      <c r="A5152" t="inlineStr">
        <is>
          <t>RP0005151</t>
        </is>
      </c>
      <c r="B5152" t="inlineStr">
        <is>
          <t>LN200730</t>
        </is>
      </c>
      <c r="C5152" t="n">
        <v>3</v>
      </c>
      <c r="D5152" s="8" t="n">
        <v>46271</v>
      </c>
      <c r="E5152" s="9" t="n">
        <v>17121.42</v>
      </c>
      <c r="F5152" s="8" t="n"/>
      <c r="G5152" s="9" t="n">
        <v>0</v>
      </c>
      <c r="H5152" t="inlineStr">
        <is>
          <t>NOT_DUE</t>
        </is>
      </c>
      <c r="I5152">
        <f>IF(H5152="UNPAID", AsOfDate-D5152, 0)</f>
        <v/>
      </c>
      <c r="J5152">
        <f>IF(F5152&lt;&gt;"", TEXT(F5152, "yyyy-mm"), "")</f>
        <v/>
      </c>
    </row>
    <row r="5153">
      <c r="A5153" t="inlineStr">
        <is>
          <t>RP0005152</t>
        </is>
      </c>
      <c r="B5153" t="inlineStr">
        <is>
          <t>LN200731</t>
        </is>
      </c>
      <c r="C5153" t="n">
        <v>1</v>
      </c>
      <c r="D5153" s="8" t="n">
        <v>45699</v>
      </c>
      <c r="E5153" s="9" t="n">
        <v>28370.25</v>
      </c>
      <c r="F5153" s="8" t="n">
        <v>45700</v>
      </c>
      <c r="G5153" s="9" t="n">
        <v>28370.25</v>
      </c>
      <c r="H5153" t="inlineStr">
        <is>
          <t>PAID_ON_TIME</t>
        </is>
      </c>
      <c r="I5153">
        <f>IF(H5153="UNPAID", AsOfDate-D5153, 0)</f>
        <v/>
      </c>
      <c r="J5153">
        <f>IF(F5153&lt;&gt;"", TEXT(F5153, "yyyy-mm"), "")</f>
        <v/>
      </c>
    </row>
    <row r="5154">
      <c r="A5154" t="inlineStr">
        <is>
          <t>RP0005153</t>
        </is>
      </c>
      <c r="B5154" t="inlineStr">
        <is>
          <t>LN200731</t>
        </is>
      </c>
      <c r="C5154" t="n">
        <v>2</v>
      </c>
      <c r="D5154" s="8" t="n">
        <v>45727</v>
      </c>
      <c r="E5154" s="9" t="n">
        <v>28370.25</v>
      </c>
      <c r="F5154" s="8" t="n">
        <v>45725</v>
      </c>
      <c r="G5154" s="9" t="n">
        <v>28370.25</v>
      </c>
      <c r="H5154" t="inlineStr">
        <is>
          <t>PAID_ON_TIME</t>
        </is>
      </c>
      <c r="I5154">
        <f>IF(H5154="UNPAID", AsOfDate-D5154, 0)</f>
        <v/>
      </c>
      <c r="J5154">
        <f>IF(F5154&lt;&gt;"", TEXT(F5154, "yyyy-mm"), "")</f>
        <v/>
      </c>
    </row>
    <row r="5155">
      <c r="A5155" t="inlineStr">
        <is>
          <t>RP0005154</t>
        </is>
      </c>
      <c r="B5155" t="inlineStr">
        <is>
          <t>LN200731</t>
        </is>
      </c>
      <c r="C5155" t="n">
        <v>3</v>
      </c>
      <c r="D5155" s="8" t="n">
        <v>45758</v>
      </c>
      <c r="E5155" s="9" t="n">
        <v>28370.25</v>
      </c>
      <c r="F5155" s="8" t="n">
        <v>45760</v>
      </c>
      <c r="G5155" s="9" t="n">
        <v>28370.25</v>
      </c>
      <c r="H5155" t="inlineStr">
        <is>
          <t>PAID_ON_TIME</t>
        </is>
      </c>
      <c r="I5155">
        <f>IF(H5155="UNPAID", AsOfDate-D5155, 0)</f>
        <v/>
      </c>
      <c r="J5155">
        <f>IF(F5155&lt;&gt;"", TEXT(F5155, "yyyy-mm"), "")</f>
        <v/>
      </c>
    </row>
    <row r="5156">
      <c r="A5156" t="inlineStr">
        <is>
          <t>RP0005155</t>
        </is>
      </c>
      <c r="B5156" t="inlineStr">
        <is>
          <t>LN200732</t>
        </is>
      </c>
      <c r="C5156" t="n">
        <v>1</v>
      </c>
      <c r="D5156" s="8" t="n">
        <v>46108</v>
      </c>
      <c r="E5156" s="9" t="n">
        <v>43524</v>
      </c>
      <c r="F5156" s="8" t="n">
        <v>46111</v>
      </c>
      <c r="G5156" s="9" t="n">
        <v>43524</v>
      </c>
      <c r="H5156" t="inlineStr">
        <is>
          <t>PAID_ON_TIME</t>
        </is>
      </c>
      <c r="I5156">
        <f>IF(H5156="UNPAID", AsOfDate-D5156, 0)</f>
        <v/>
      </c>
      <c r="J5156">
        <f>IF(F5156&lt;&gt;"", TEXT(F5156, "yyyy-mm"), "")</f>
        <v/>
      </c>
    </row>
    <row r="5157">
      <c r="A5157" t="inlineStr">
        <is>
          <t>RP0005156</t>
        </is>
      </c>
      <c r="B5157" t="inlineStr">
        <is>
          <t>LN200732</t>
        </is>
      </c>
      <c r="C5157" t="n">
        <v>2</v>
      </c>
      <c r="D5157" s="8" t="n">
        <v>46139</v>
      </c>
      <c r="E5157" s="9" t="n">
        <v>43524</v>
      </c>
      <c r="F5157" s="8" t="n">
        <v>46138</v>
      </c>
      <c r="G5157" s="9" t="n">
        <v>43524</v>
      </c>
      <c r="H5157" t="inlineStr">
        <is>
          <t>PAID_ON_TIME</t>
        </is>
      </c>
      <c r="I5157">
        <f>IF(H5157="UNPAID", AsOfDate-D5157, 0)</f>
        <v/>
      </c>
      <c r="J5157">
        <f>IF(F5157&lt;&gt;"", TEXT(F5157, "yyyy-mm"), "")</f>
        <v/>
      </c>
    </row>
    <row r="5158">
      <c r="A5158" t="inlineStr">
        <is>
          <t>RP0005157</t>
        </is>
      </c>
      <c r="B5158" t="inlineStr">
        <is>
          <t>LN200732</t>
        </is>
      </c>
      <c r="C5158" t="n">
        <v>3</v>
      </c>
      <c r="D5158" s="8" t="n">
        <v>46169</v>
      </c>
      <c r="E5158" s="9" t="n">
        <v>43524</v>
      </c>
      <c r="F5158" s="8" t="n">
        <v>46172</v>
      </c>
      <c r="G5158" s="9" t="n">
        <v>43524</v>
      </c>
      <c r="H5158" t="inlineStr">
        <is>
          <t>PAID_ON_TIME</t>
        </is>
      </c>
      <c r="I5158">
        <f>IF(H5158="UNPAID", AsOfDate-D5158, 0)</f>
        <v/>
      </c>
      <c r="J5158">
        <f>IF(F5158&lt;&gt;"", TEXT(F5158, "yyyy-mm"), "")</f>
        <v/>
      </c>
    </row>
    <row r="5159">
      <c r="A5159" t="inlineStr">
        <is>
          <t>RP0005158</t>
        </is>
      </c>
      <c r="B5159" t="inlineStr">
        <is>
          <t>LN200733</t>
        </is>
      </c>
      <c r="C5159" t="n">
        <v>1</v>
      </c>
      <c r="D5159" s="8" t="n">
        <v>46253</v>
      </c>
      <c r="E5159" s="9" t="n">
        <v>5198.64</v>
      </c>
      <c r="F5159" s="8" t="n">
        <v>46251</v>
      </c>
      <c r="G5159" s="9" t="n">
        <v>5198.64</v>
      </c>
      <c r="H5159" t="inlineStr">
        <is>
          <t>PAID_ON_TIME</t>
        </is>
      </c>
      <c r="I5159">
        <f>IF(H5159="UNPAID", AsOfDate-D5159, 0)</f>
        <v/>
      </c>
      <c r="J5159">
        <f>IF(F5159&lt;&gt;"", TEXT(F5159, "yyyy-mm"), "")</f>
        <v/>
      </c>
    </row>
    <row r="5160">
      <c r="A5160" t="inlineStr">
        <is>
          <t>RP0005159</t>
        </is>
      </c>
      <c r="B5160" t="inlineStr">
        <is>
          <t>LN200733</t>
        </is>
      </c>
      <c r="C5160" t="n">
        <v>2</v>
      </c>
      <c r="D5160" s="8" t="n">
        <v>46284</v>
      </c>
      <c r="E5160" s="9" t="n">
        <v>5198.64</v>
      </c>
      <c r="F5160" s="8" t="n"/>
      <c r="G5160" s="9" t="n">
        <v>0</v>
      </c>
      <c r="H5160" t="inlineStr">
        <is>
          <t>NOT_DUE</t>
        </is>
      </c>
      <c r="I5160">
        <f>IF(H5160="UNPAID", AsOfDate-D5160, 0)</f>
        <v/>
      </c>
      <c r="J5160">
        <f>IF(F5160&lt;&gt;"", TEXT(F5160, "yyyy-mm"), "")</f>
        <v/>
      </c>
    </row>
    <row r="5161">
      <c r="A5161" t="inlineStr">
        <is>
          <t>RP0005160</t>
        </is>
      </c>
      <c r="B5161" t="inlineStr">
        <is>
          <t>LN200733</t>
        </is>
      </c>
      <c r="C5161" t="n">
        <v>3</v>
      </c>
      <c r="D5161" s="8" t="n">
        <v>46314</v>
      </c>
      <c r="E5161" s="9" t="n">
        <v>5198.64</v>
      </c>
      <c r="F5161" s="8" t="n"/>
      <c r="G5161" s="9" t="n">
        <v>0</v>
      </c>
      <c r="H5161" t="inlineStr">
        <is>
          <t>NOT_DUE</t>
        </is>
      </c>
      <c r="I5161">
        <f>IF(H5161="UNPAID", AsOfDate-D5161, 0)</f>
        <v/>
      </c>
      <c r="J5161">
        <f>IF(F5161&lt;&gt;"", TEXT(F5161, "yyyy-mm"), "")</f>
        <v/>
      </c>
    </row>
    <row r="5162">
      <c r="A5162" t="inlineStr">
        <is>
          <t>RP0005161</t>
        </is>
      </c>
      <c r="B5162" t="inlineStr">
        <is>
          <t>LN200733</t>
        </is>
      </c>
      <c r="C5162" t="n">
        <v>4</v>
      </c>
      <c r="D5162" s="8" t="n">
        <v>46345</v>
      </c>
      <c r="E5162" s="9" t="n">
        <v>5198.64</v>
      </c>
      <c r="F5162" s="8" t="n"/>
      <c r="G5162" s="9" t="n">
        <v>0</v>
      </c>
      <c r="H5162" t="inlineStr">
        <is>
          <t>NOT_DUE</t>
        </is>
      </c>
      <c r="I5162">
        <f>IF(H5162="UNPAID", AsOfDate-D5162, 0)</f>
        <v/>
      </c>
      <c r="J5162">
        <f>IF(F5162&lt;&gt;"", TEXT(F5162, "yyyy-mm"), "")</f>
        <v/>
      </c>
    </row>
    <row r="5163">
      <c r="A5163" t="inlineStr">
        <is>
          <t>RP0005162</t>
        </is>
      </c>
      <c r="B5163" t="inlineStr">
        <is>
          <t>LN200733</t>
        </is>
      </c>
      <c r="C5163" t="n">
        <v>5</v>
      </c>
      <c r="D5163" s="8" t="n">
        <v>46375</v>
      </c>
      <c r="E5163" s="9" t="n">
        <v>5198.64</v>
      </c>
      <c r="F5163" s="8" t="n"/>
      <c r="G5163" s="9" t="n">
        <v>0</v>
      </c>
      <c r="H5163" t="inlineStr">
        <is>
          <t>NOT_DUE</t>
        </is>
      </c>
      <c r="I5163">
        <f>IF(H5163="UNPAID", AsOfDate-D5163, 0)</f>
        <v/>
      </c>
      <c r="J5163">
        <f>IF(F5163&lt;&gt;"", TEXT(F5163, "yyyy-mm"), "")</f>
        <v/>
      </c>
    </row>
    <row r="5164">
      <c r="A5164" t="inlineStr">
        <is>
          <t>RP0005163</t>
        </is>
      </c>
      <c r="B5164" t="inlineStr">
        <is>
          <t>LN200733</t>
        </is>
      </c>
      <c r="C5164" t="n">
        <v>6</v>
      </c>
      <c r="D5164" s="8" t="n">
        <v>46406</v>
      </c>
      <c r="E5164" s="9" t="n">
        <v>5198.64</v>
      </c>
      <c r="F5164" s="8" t="n"/>
      <c r="G5164" s="9" t="n">
        <v>0</v>
      </c>
      <c r="H5164" t="inlineStr">
        <is>
          <t>NOT_DUE</t>
        </is>
      </c>
      <c r="I5164">
        <f>IF(H5164="UNPAID", AsOfDate-D5164, 0)</f>
        <v/>
      </c>
      <c r="J5164">
        <f>IF(F5164&lt;&gt;"", TEXT(F5164, "yyyy-mm"), "")</f>
        <v/>
      </c>
    </row>
    <row r="5165">
      <c r="A5165" t="inlineStr">
        <is>
          <t>RP0005164</t>
        </is>
      </c>
      <c r="B5165" t="inlineStr">
        <is>
          <t>LN200733</t>
        </is>
      </c>
      <c r="C5165" t="n">
        <v>7</v>
      </c>
      <c r="D5165" s="8" t="n">
        <v>46437</v>
      </c>
      <c r="E5165" s="9" t="n">
        <v>5198.64</v>
      </c>
      <c r="F5165" s="8" t="n"/>
      <c r="G5165" s="9" t="n">
        <v>0</v>
      </c>
      <c r="H5165" t="inlineStr">
        <is>
          <t>NOT_DUE</t>
        </is>
      </c>
      <c r="I5165">
        <f>IF(H5165="UNPAID", AsOfDate-D5165, 0)</f>
        <v/>
      </c>
      <c r="J5165">
        <f>IF(F5165&lt;&gt;"", TEXT(F5165, "yyyy-mm"), "")</f>
        <v/>
      </c>
    </row>
    <row r="5166">
      <c r="A5166" t="inlineStr">
        <is>
          <t>RP0005165</t>
        </is>
      </c>
      <c r="B5166" t="inlineStr">
        <is>
          <t>LN200733</t>
        </is>
      </c>
      <c r="C5166" t="n">
        <v>8</v>
      </c>
      <c r="D5166" s="8" t="n">
        <v>46465</v>
      </c>
      <c r="E5166" s="9" t="n">
        <v>5198.64</v>
      </c>
      <c r="F5166" s="8" t="n"/>
      <c r="G5166" s="9" t="n">
        <v>0</v>
      </c>
      <c r="H5166" t="inlineStr">
        <is>
          <t>NOT_DUE</t>
        </is>
      </c>
      <c r="I5166">
        <f>IF(H5166="UNPAID", AsOfDate-D5166, 0)</f>
        <v/>
      </c>
      <c r="J5166">
        <f>IF(F5166&lt;&gt;"", TEXT(F5166, "yyyy-mm"), "")</f>
        <v/>
      </c>
    </row>
    <row r="5167">
      <c r="A5167" t="inlineStr">
        <is>
          <t>RP0005166</t>
        </is>
      </c>
      <c r="B5167" t="inlineStr">
        <is>
          <t>LN200733</t>
        </is>
      </c>
      <c r="C5167" t="n">
        <v>9</v>
      </c>
      <c r="D5167" s="8" t="n">
        <v>46496</v>
      </c>
      <c r="E5167" s="9" t="n">
        <v>5198.64</v>
      </c>
      <c r="F5167" s="8" t="n"/>
      <c r="G5167" s="9" t="n">
        <v>0</v>
      </c>
      <c r="H5167" t="inlineStr">
        <is>
          <t>NOT_DUE</t>
        </is>
      </c>
      <c r="I5167">
        <f>IF(H5167="UNPAID", AsOfDate-D5167, 0)</f>
        <v/>
      </c>
      <c r="J5167">
        <f>IF(F5167&lt;&gt;"", TEXT(F5167, "yyyy-mm"), "")</f>
        <v/>
      </c>
    </row>
    <row r="5168">
      <c r="A5168" t="inlineStr">
        <is>
          <t>RP0005167</t>
        </is>
      </c>
      <c r="B5168" t="inlineStr">
        <is>
          <t>LN200733</t>
        </is>
      </c>
      <c r="C5168" t="n">
        <v>10</v>
      </c>
      <c r="D5168" s="8" t="n">
        <v>46526</v>
      </c>
      <c r="E5168" s="9" t="n">
        <v>5198.64</v>
      </c>
      <c r="F5168" s="8" t="n"/>
      <c r="G5168" s="9" t="n">
        <v>0</v>
      </c>
      <c r="H5168" t="inlineStr">
        <is>
          <t>NOT_DUE</t>
        </is>
      </c>
      <c r="I5168">
        <f>IF(H5168="UNPAID", AsOfDate-D5168, 0)</f>
        <v/>
      </c>
      <c r="J5168">
        <f>IF(F5168&lt;&gt;"", TEXT(F5168, "yyyy-mm"), "")</f>
        <v/>
      </c>
    </row>
    <row r="5169">
      <c r="A5169" t="inlineStr">
        <is>
          <t>RP0005168</t>
        </is>
      </c>
      <c r="B5169" t="inlineStr">
        <is>
          <t>LN200733</t>
        </is>
      </c>
      <c r="C5169" t="n">
        <v>11</v>
      </c>
      <c r="D5169" s="8" t="n">
        <v>46557</v>
      </c>
      <c r="E5169" s="9" t="n">
        <v>5198.64</v>
      </c>
      <c r="F5169" s="8" t="n"/>
      <c r="G5169" s="9" t="n">
        <v>0</v>
      </c>
      <c r="H5169" t="inlineStr">
        <is>
          <t>NOT_DUE</t>
        </is>
      </c>
      <c r="I5169">
        <f>IF(H5169="UNPAID", AsOfDate-D5169, 0)</f>
        <v/>
      </c>
      <c r="J5169">
        <f>IF(F5169&lt;&gt;"", TEXT(F5169, "yyyy-mm"), "")</f>
        <v/>
      </c>
    </row>
    <row r="5170">
      <c r="A5170" t="inlineStr">
        <is>
          <t>RP0005169</t>
        </is>
      </c>
      <c r="B5170" t="inlineStr">
        <is>
          <t>LN200733</t>
        </is>
      </c>
      <c r="C5170" t="n">
        <v>12</v>
      </c>
      <c r="D5170" s="8" t="n">
        <v>46587</v>
      </c>
      <c r="E5170" s="9" t="n">
        <v>5198.64</v>
      </c>
      <c r="F5170" s="8" t="n"/>
      <c r="G5170" s="9" t="n">
        <v>0</v>
      </c>
      <c r="H5170" t="inlineStr">
        <is>
          <t>NOT_DUE</t>
        </is>
      </c>
      <c r="I5170">
        <f>IF(H5170="UNPAID", AsOfDate-D5170, 0)</f>
        <v/>
      </c>
      <c r="J5170">
        <f>IF(F5170&lt;&gt;"", TEXT(F5170, "yyyy-mm"), "")</f>
        <v/>
      </c>
    </row>
    <row r="5171">
      <c r="A5171" t="inlineStr">
        <is>
          <t>RP0005170</t>
        </is>
      </c>
      <c r="B5171" t="inlineStr">
        <is>
          <t>LN200733</t>
        </is>
      </c>
      <c r="C5171" t="n">
        <v>13</v>
      </c>
      <c r="D5171" s="8" t="n">
        <v>46618</v>
      </c>
      <c r="E5171" s="9" t="n">
        <v>5198.64</v>
      </c>
      <c r="F5171" s="8" t="n"/>
      <c r="G5171" s="9" t="n">
        <v>0</v>
      </c>
      <c r="H5171" t="inlineStr">
        <is>
          <t>NOT_DUE</t>
        </is>
      </c>
      <c r="I5171">
        <f>IF(H5171="UNPAID", AsOfDate-D5171, 0)</f>
        <v/>
      </c>
      <c r="J5171">
        <f>IF(F5171&lt;&gt;"", TEXT(F5171, "yyyy-mm"), "")</f>
        <v/>
      </c>
    </row>
    <row r="5172">
      <c r="A5172" t="inlineStr">
        <is>
          <t>RP0005171</t>
        </is>
      </c>
      <c r="B5172" t="inlineStr">
        <is>
          <t>LN200733</t>
        </is>
      </c>
      <c r="C5172" t="n">
        <v>14</v>
      </c>
      <c r="D5172" s="8" t="n">
        <v>46649</v>
      </c>
      <c r="E5172" s="9" t="n">
        <v>5198.64</v>
      </c>
      <c r="F5172" s="8" t="n"/>
      <c r="G5172" s="9" t="n">
        <v>0</v>
      </c>
      <c r="H5172" t="inlineStr">
        <is>
          <t>NOT_DUE</t>
        </is>
      </c>
      <c r="I5172">
        <f>IF(H5172="UNPAID", AsOfDate-D5172, 0)</f>
        <v/>
      </c>
      <c r="J5172">
        <f>IF(F5172&lt;&gt;"", TEXT(F5172, "yyyy-mm"), "")</f>
        <v/>
      </c>
    </row>
    <row r="5173">
      <c r="A5173" t="inlineStr">
        <is>
          <t>RP0005172</t>
        </is>
      </c>
      <c r="B5173" t="inlineStr">
        <is>
          <t>LN200733</t>
        </is>
      </c>
      <c r="C5173" t="n">
        <v>15</v>
      </c>
      <c r="D5173" s="8" t="n">
        <v>46679</v>
      </c>
      <c r="E5173" s="9" t="n">
        <v>5198.64</v>
      </c>
      <c r="F5173" s="8" t="n"/>
      <c r="G5173" s="9" t="n">
        <v>0</v>
      </c>
      <c r="H5173" t="inlineStr">
        <is>
          <t>NOT_DUE</t>
        </is>
      </c>
      <c r="I5173">
        <f>IF(H5173="UNPAID", AsOfDate-D5173, 0)</f>
        <v/>
      </c>
      <c r="J5173">
        <f>IF(F5173&lt;&gt;"", TEXT(F5173, "yyyy-mm"), "")</f>
        <v/>
      </c>
    </row>
    <row r="5174">
      <c r="A5174" t="inlineStr">
        <is>
          <t>RP0005173</t>
        </is>
      </c>
      <c r="B5174" t="inlineStr">
        <is>
          <t>LN200733</t>
        </is>
      </c>
      <c r="C5174" t="n">
        <v>16</v>
      </c>
      <c r="D5174" s="8" t="n">
        <v>46710</v>
      </c>
      <c r="E5174" s="9" t="n">
        <v>5198.64</v>
      </c>
      <c r="F5174" s="8" t="n"/>
      <c r="G5174" s="9" t="n">
        <v>0</v>
      </c>
      <c r="H5174" t="inlineStr">
        <is>
          <t>NOT_DUE</t>
        </is>
      </c>
      <c r="I5174">
        <f>IF(H5174="UNPAID", AsOfDate-D5174, 0)</f>
        <v/>
      </c>
      <c r="J5174">
        <f>IF(F5174&lt;&gt;"", TEXT(F5174, "yyyy-mm"), "")</f>
        <v/>
      </c>
    </row>
    <row r="5175">
      <c r="A5175" t="inlineStr">
        <is>
          <t>RP0005174</t>
        </is>
      </c>
      <c r="B5175" t="inlineStr">
        <is>
          <t>LN200733</t>
        </is>
      </c>
      <c r="C5175" t="n">
        <v>17</v>
      </c>
      <c r="D5175" s="8" t="n">
        <v>46740</v>
      </c>
      <c r="E5175" s="9" t="n">
        <v>5198.64</v>
      </c>
      <c r="F5175" s="8" t="n"/>
      <c r="G5175" s="9" t="n">
        <v>0</v>
      </c>
      <c r="H5175" t="inlineStr">
        <is>
          <t>NOT_DUE</t>
        </is>
      </c>
      <c r="I5175">
        <f>IF(H5175="UNPAID", AsOfDate-D5175, 0)</f>
        <v/>
      </c>
      <c r="J5175">
        <f>IF(F5175&lt;&gt;"", TEXT(F5175, "yyyy-mm"), "")</f>
        <v/>
      </c>
    </row>
    <row r="5176">
      <c r="A5176" t="inlineStr">
        <is>
          <t>RP0005175</t>
        </is>
      </c>
      <c r="B5176" t="inlineStr">
        <is>
          <t>LN200733</t>
        </is>
      </c>
      <c r="C5176" t="n">
        <v>18</v>
      </c>
      <c r="D5176" s="8" t="n">
        <v>46771</v>
      </c>
      <c r="E5176" s="9" t="n">
        <v>5198.64</v>
      </c>
      <c r="F5176" s="8" t="n"/>
      <c r="G5176" s="9" t="n">
        <v>0</v>
      </c>
      <c r="H5176" t="inlineStr">
        <is>
          <t>NOT_DUE</t>
        </is>
      </c>
      <c r="I5176">
        <f>IF(H5176="UNPAID", AsOfDate-D5176, 0)</f>
        <v/>
      </c>
      <c r="J5176">
        <f>IF(F5176&lt;&gt;"", TEXT(F5176, "yyyy-mm"), "")</f>
        <v/>
      </c>
    </row>
    <row r="5177">
      <c r="A5177" t="inlineStr">
        <is>
          <t>RP0005176</t>
        </is>
      </c>
      <c r="B5177" t="inlineStr">
        <is>
          <t>LN200734</t>
        </is>
      </c>
      <c r="C5177" t="n">
        <v>1</v>
      </c>
      <c r="D5177" s="8" t="n">
        <v>45740</v>
      </c>
      <c r="E5177" s="9" t="n">
        <v>15457.67</v>
      </c>
      <c r="F5177" s="8" t="n">
        <v>45737</v>
      </c>
      <c r="G5177" s="9" t="n">
        <v>15457.67</v>
      </c>
      <c r="H5177" t="inlineStr">
        <is>
          <t>PAID_ON_TIME</t>
        </is>
      </c>
      <c r="I5177">
        <f>IF(H5177="UNPAID", AsOfDate-D5177, 0)</f>
        <v/>
      </c>
      <c r="J5177">
        <f>IF(F5177&lt;&gt;"", TEXT(F5177, "yyyy-mm"), "")</f>
        <v/>
      </c>
    </row>
    <row r="5178">
      <c r="A5178" t="inlineStr">
        <is>
          <t>RP0005177</t>
        </is>
      </c>
      <c r="B5178" t="inlineStr">
        <is>
          <t>LN200734</t>
        </is>
      </c>
      <c r="C5178" t="n">
        <v>2</v>
      </c>
      <c r="D5178" s="8" t="n">
        <v>45771</v>
      </c>
      <c r="E5178" s="9" t="n">
        <v>15457.67</v>
      </c>
      <c r="F5178" s="8" t="n">
        <v>45775</v>
      </c>
      <c r="G5178" s="9" t="n">
        <v>15457.67</v>
      </c>
      <c r="H5178" t="inlineStr">
        <is>
          <t>PAID_ON_TIME</t>
        </is>
      </c>
      <c r="I5178">
        <f>IF(H5178="UNPAID", AsOfDate-D5178, 0)</f>
        <v/>
      </c>
      <c r="J5178">
        <f>IF(F5178&lt;&gt;"", TEXT(F5178, "yyyy-mm"), "")</f>
        <v/>
      </c>
    </row>
    <row r="5179">
      <c r="A5179" t="inlineStr">
        <is>
          <t>RP0005178</t>
        </is>
      </c>
      <c r="B5179" t="inlineStr">
        <is>
          <t>LN200734</t>
        </is>
      </c>
      <c r="C5179" t="n">
        <v>3</v>
      </c>
      <c r="D5179" s="8" t="n">
        <v>45801</v>
      </c>
      <c r="E5179" s="9" t="n">
        <v>15457.67</v>
      </c>
      <c r="F5179" s="8" t="n">
        <v>45800</v>
      </c>
      <c r="G5179" s="9" t="n">
        <v>15457.67</v>
      </c>
      <c r="H5179" t="inlineStr">
        <is>
          <t>PAID_ON_TIME</t>
        </is>
      </c>
      <c r="I5179">
        <f>IF(H5179="UNPAID", AsOfDate-D5179, 0)</f>
        <v/>
      </c>
      <c r="J5179">
        <f>IF(F5179&lt;&gt;"", TEXT(F5179, "yyyy-mm"), "")</f>
        <v/>
      </c>
    </row>
    <row r="5180">
      <c r="A5180" t="inlineStr">
        <is>
          <t>RP0005179</t>
        </is>
      </c>
      <c r="B5180" t="inlineStr">
        <is>
          <t>LN200734</t>
        </is>
      </c>
      <c r="C5180" t="n">
        <v>4</v>
      </c>
      <c r="D5180" s="8" t="n">
        <v>45832</v>
      </c>
      <c r="E5180" s="9" t="n">
        <v>15457.67</v>
      </c>
      <c r="F5180" s="8" t="n">
        <v>45836</v>
      </c>
      <c r="G5180" s="9" t="n">
        <v>15457.67</v>
      </c>
      <c r="H5180" t="inlineStr">
        <is>
          <t>PAID_ON_TIME</t>
        </is>
      </c>
      <c r="I5180">
        <f>IF(H5180="UNPAID", AsOfDate-D5180, 0)</f>
        <v/>
      </c>
      <c r="J5180">
        <f>IF(F5180&lt;&gt;"", TEXT(F5180, "yyyy-mm"), "")</f>
        <v/>
      </c>
    </row>
    <row r="5181">
      <c r="A5181" t="inlineStr">
        <is>
          <t>RP0005180</t>
        </is>
      </c>
      <c r="B5181" t="inlineStr">
        <is>
          <t>LN200734</t>
        </is>
      </c>
      <c r="C5181" t="n">
        <v>5</v>
      </c>
      <c r="D5181" s="8" t="n">
        <v>45862</v>
      </c>
      <c r="E5181" s="9" t="n">
        <v>15457.67</v>
      </c>
      <c r="F5181" s="8" t="n">
        <v>45865</v>
      </c>
      <c r="G5181" s="9" t="n">
        <v>15457.67</v>
      </c>
      <c r="H5181" t="inlineStr">
        <is>
          <t>PAID_ON_TIME</t>
        </is>
      </c>
      <c r="I5181">
        <f>IF(H5181="UNPAID", AsOfDate-D5181, 0)</f>
        <v/>
      </c>
      <c r="J5181">
        <f>IF(F5181&lt;&gt;"", TEXT(F5181, "yyyy-mm"), "")</f>
        <v/>
      </c>
    </row>
    <row r="5182">
      <c r="A5182" t="inlineStr">
        <is>
          <t>RP0005181</t>
        </is>
      </c>
      <c r="B5182" t="inlineStr">
        <is>
          <t>LN200734</t>
        </is>
      </c>
      <c r="C5182" t="n">
        <v>6</v>
      </c>
      <c r="D5182" s="8" t="n">
        <v>45893</v>
      </c>
      <c r="E5182" s="9" t="n">
        <v>15457.67</v>
      </c>
      <c r="F5182" s="8" t="n">
        <v>45896</v>
      </c>
      <c r="G5182" s="9" t="n">
        <v>15457.67</v>
      </c>
      <c r="H5182" t="inlineStr">
        <is>
          <t>PAID_ON_TIME</t>
        </is>
      </c>
      <c r="I5182">
        <f>IF(H5182="UNPAID", AsOfDate-D5182, 0)</f>
        <v/>
      </c>
      <c r="J5182">
        <f>IF(F5182&lt;&gt;"", TEXT(F5182, "yyyy-mm"), "")</f>
        <v/>
      </c>
    </row>
    <row r="5183">
      <c r="A5183" t="inlineStr">
        <is>
          <t>RP0005182</t>
        </is>
      </c>
      <c r="B5183" t="inlineStr">
        <is>
          <t>LN200734</t>
        </is>
      </c>
      <c r="C5183" t="n">
        <v>7</v>
      </c>
      <c r="D5183" s="8" t="n">
        <v>45924</v>
      </c>
      <c r="E5183" s="9" t="n">
        <v>15457.67</v>
      </c>
      <c r="F5183" s="8" t="n">
        <v>45926</v>
      </c>
      <c r="G5183" s="9" t="n">
        <v>15457.67</v>
      </c>
      <c r="H5183" t="inlineStr">
        <is>
          <t>PAID_ON_TIME</t>
        </is>
      </c>
      <c r="I5183">
        <f>IF(H5183="UNPAID", AsOfDate-D5183, 0)</f>
        <v/>
      </c>
      <c r="J5183">
        <f>IF(F5183&lt;&gt;"", TEXT(F5183, "yyyy-mm"), "")</f>
        <v/>
      </c>
    </row>
    <row r="5184">
      <c r="A5184" t="inlineStr">
        <is>
          <t>RP0005183</t>
        </is>
      </c>
      <c r="B5184" t="inlineStr">
        <is>
          <t>LN200734</t>
        </is>
      </c>
      <c r="C5184" t="n">
        <v>8</v>
      </c>
      <c r="D5184" s="8" t="n">
        <v>45954</v>
      </c>
      <c r="E5184" s="9" t="n">
        <v>15457.67</v>
      </c>
      <c r="F5184" s="8" t="n">
        <v>45953</v>
      </c>
      <c r="G5184" s="9" t="n">
        <v>15457.67</v>
      </c>
      <c r="H5184" t="inlineStr">
        <is>
          <t>PAID_ON_TIME</t>
        </is>
      </c>
      <c r="I5184">
        <f>IF(H5184="UNPAID", AsOfDate-D5184, 0)</f>
        <v/>
      </c>
      <c r="J5184">
        <f>IF(F5184&lt;&gt;"", TEXT(F5184, "yyyy-mm"), "")</f>
        <v/>
      </c>
    </row>
    <row r="5185">
      <c r="A5185" t="inlineStr">
        <is>
          <t>RP0005184</t>
        </is>
      </c>
      <c r="B5185" t="inlineStr">
        <is>
          <t>LN200734</t>
        </is>
      </c>
      <c r="C5185" t="n">
        <v>9</v>
      </c>
      <c r="D5185" s="8" t="n">
        <v>45985</v>
      </c>
      <c r="E5185" s="9" t="n">
        <v>15457.67</v>
      </c>
      <c r="F5185" s="8" t="n">
        <v>46063</v>
      </c>
      <c r="G5185" s="9" t="n">
        <v>15457.67</v>
      </c>
      <c r="H5185" t="inlineStr">
        <is>
          <t>PAID_LATE</t>
        </is>
      </c>
      <c r="I5185">
        <f>IF(H5185="UNPAID", AsOfDate-D5185, 0)</f>
        <v/>
      </c>
      <c r="J5185">
        <f>IF(F5185&lt;&gt;"", TEXT(F5185, "yyyy-mm"), "")</f>
        <v/>
      </c>
    </row>
    <row r="5186">
      <c r="A5186" t="inlineStr">
        <is>
          <t>RP0005185</t>
        </is>
      </c>
      <c r="B5186" t="inlineStr">
        <is>
          <t>LN200734</t>
        </is>
      </c>
      <c r="C5186" t="n">
        <v>10</v>
      </c>
      <c r="D5186" s="8" t="n">
        <v>46015</v>
      </c>
      <c r="E5186" s="9" t="n">
        <v>15457.67</v>
      </c>
      <c r="F5186" s="8" t="n">
        <v>46015</v>
      </c>
      <c r="G5186" s="9" t="n">
        <v>15457.67</v>
      </c>
      <c r="H5186" t="inlineStr">
        <is>
          <t>PAID_ON_TIME</t>
        </is>
      </c>
      <c r="I5186">
        <f>IF(H5186="UNPAID", AsOfDate-D5186, 0)</f>
        <v/>
      </c>
      <c r="J5186">
        <f>IF(F5186&lt;&gt;"", TEXT(F5186, "yyyy-mm"), "")</f>
        <v/>
      </c>
    </row>
    <row r="5187">
      <c r="A5187" t="inlineStr">
        <is>
          <t>RP0005186</t>
        </is>
      </c>
      <c r="B5187" t="inlineStr">
        <is>
          <t>LN200734</t>
        </is>
      </c>
      <c r="C5187" t="n">
        <v>11</v>
      </c>
      <c r="D5187" s="8" t="n">
        <v>46046</v>
      </c>
      <c r="E5187" s="9" t="n">
        <v>15457.67</v>
      </c>
      <c r="F5187" s="8" t="n">
        <v>46045</v>
      </c>
      <c r="G5187" s="9" t="n">
        <v>15457.67</v>
      </c>
      <c r="H5187" t="inlineStr">
        <is>
          <t>PAID_ON_TIME</t>
        </is>
      </c>
      <c r="I5187">
        <f>IF(H5187="UNPAID", AsOfDate-D5187, 0)</f>
        <v/>
      </c>
      <c r="J5187">
        <f>IF(F5187&lt;&gt;"", TEXT(F5187, "yyyy-mm"), "")</f>
        <v/>
      </c>
    </row>
    <row r="5188">
      <c r="A5188" t="inlineStr">
        <is>
          <t>RP0005187</t>
        </is>
      </c>
      <c r="B5188" t="inlineStr">
        <is>
          <t>LN200734</t>
        </is>
      </c>
      <c r="C5188" t="n">
        <v>12</v>
      </c>
      <c r="D5188" s="8" t="n">
        <v>46077</v>
      </c>
      <c r="E5188" s="9" t="n">
        <v>15457.67</v>
      </c>
      <c r="F5188" s="8" t="n">
        <v>46075</v>
      </c>
      <c r="G5188" s="9" t="n">
        <v>15457.67</v>
      </c>
      <c r="H5188" t="inlineStr">
        <is>
          <t>PAID_ON_TIME</t>
        </is>
      </c>
      <c r="I5188">
        <f>IF(H5188="UNPAID", AsOfDate-D5188, 0)</f>
        <v/>
      </c>
      <c r="J5188">
        <f>IF(F5188&lt;&gt;"", TEXT(F5188, "yyyy-mm"), "")</f>
        <v/>
      </c>
    </row>
    <row r="5189">
      <c r="A5189" t="inlineStr">
        <is>
          <t>RP0005188</t>
        </is>
      </c>
      <c r="B5189" t="inlineStr">
        <is>
          <t>LN200735</t>
        </is>
      </c>
      <c r="C5189" t="n">
        <v>1</v>
      </c>
      <c r="D5189" s="8" t="n">
        <v>46178</v>
      </c>
      <c r="E5189" s="9" t="n">
        <v>13659.17</v>
      </c>
      <c r="F5189" s="8" t="n">
        <v>46176</v>
      </c>
      <c r="G5189" s="9" t="n">
        <v>13659.17</v>
      </c>
      <c r="H5189" t="inlineStr">
        <is>
          <t>PAID_ON_TIME</t>
        </is>
      </c>
      <c r="I5189">
        <f>IF(H5189="UNPAID", AsOfDate-D5189, 0)</f>
        <v/>
      </c>
      <c r="J5189">
        <f>IF(F5189&lt;&gt;"", TEXT(F5189, "yyyy-mm"), "")</f>
        <v/>
      </c>
    </row>
    <row r="5190">
      <c r="A5190" t="inlineStr">
        <is>
          <t>RP0005189</t>
        </is>
      </c>
      <c r="B5190" t="inlineStr">
        <is>
          <t>LN200735</t>
        </is>
      </c>
      <c r="C5190" t="n">
        <v>2</v>
      </c>
      <c r="D5190" s="8" t="n">
        <v>46208</v>
      </c>
      <c r="E5190" s="9" t="n">
        <v>13659.17</v>
      </c>
      <c r="F5190" s="8" t="n">
        <v>46206</v>
      </c>
      <c r="G5190" s="9" t="n">
        <v>13659.17</v>
      </c>
      <c r="H5190" t="inlineStr">
        <is>
          <t>PAID_ON_TIME</t>
        </is>
      </c>
      <c r="I5190">
        <f>IF(H5190="UNPAID", AsOfDate-D5190, 0)</f>
        <v/>
      </c>
      <c r="J5190">
        <f>IF(F5190&lt;&gt;"", TEXT(F5190, "yyyy-mm"), "")</f>
        <v/>
      </c>
    </row>
    <row r="5191">
      <c r="A5191" t="inlineStr">
        <is>
          <t>RP0005190</t>
        </is>
      </c>
      <c r="B5191" t="inlineStr">
        <is>
          <t>LN200735</t>
        </is>
      </c>
      <c r="C5191" t="n">
        <v>3</v>
      </c>
      <c r="D5191" s="8" t="n">
        <v>46239</v>
      </c>
      <c r="E5191" s="9" t="n">
        <v>13659.17</v>
      </c>
      <c r="F5191" s="8" t="n">
        <v>46247</v>
      </c>
      <c r="G5191" s="9" t="n">
        <v>13659.17</v>
      </c>
      <c r="H5191" t="inlineStr">
        <is>
          <t>PAID_LATE</t>
        </is>
      </c>
      <c r="I5191">
        <f>IF(H5191="UNPAID", AsOfDate-D5191, 0)</f>
        <v/>
      </c>
      <c r="J5191">
        <f>IF(F5191&lt;&gt;"", TEXT(F5191, "yyyy-mm"), "")</f>
        <v/>
      </c>
    </row>
    <row r="5192">
      <c r="A5192" t="inlineStr">
        <is>
          <t>RP0005191</t>
        </is>
      </c>
      <c r="B5192" t="inlineStr">
        <is>
          <t>LN200735</t>
        </is>
      </c>
      <c r="C5192" t="n">
        <v>4</v>
      </c>
      <c r="D5192" s="8" t="n">
        <v>46270</v>
      </c>
      <c r="E5192" s="9" t="n">
        <v>13659.17</v>
      </c>
      <c r="F5192" s="8" t="n"/>
      <c r="G5192" s="9" t="n">
        <v>0</v>
      </c>
      <c r="H5192" t="inlineStr">
        <is>
          <t>NOT_DUE</t>
        </is>
      </c>
      <c r="I5192">
        <f>IF(H5192="UNPAID", AsOfDate-D5192, 0)</f>
        <v/>
      </c>
      <c r="J5192">
        <f>IF(F5192&lt;&gt;"", TEXT(F5192, "yyyy-mm"), "")</f>
        <v/>
      </c>
    </row>
    <row r="5193">
      <c r="A5193" t="inlineStr">
        <is>
          <t>RP0005192</t>
        </is>
      </c>
      <c r="B5193" t="inlineStr">
        <is>
          <t>LN200735</t>
        </is>
      </c>
      <c r="C5193" t="n">
        <v>5</v>
      </c>
      <c r="D5193" s="8" t="n">
        <v>46300</v>
      </c>
      <c r="E5193" s="9" t="n">
        <v>13659.17</v>
      </c>
      <c r="F5193" s="8" t="n"/>
      <c r="G5193" s="9" t="n">
        <v>0</v>
      </c>
      <c r="H5193" t="inlineStr">
        <is>
          <t>NOT_DUE</t>
        </is>
      </c>
      <c r="I5193">
        <f>IF(H5193="UNPAID", AsOfDate-D5193, 0)</f>
        <v/>
      </c>
      <c r="J5193">
        <f>IF(F5193&lt;&gt;"", TEXT(F5193, "yyyy-mm"), "")</f>
        <v/>
      </c>
    </row>
    <row r="5194">
      <c r="A5194" t="inlineStr">
        <is>
          <t>RP0005193</t>
        </is>
      </c>
      <c r="B5194" t="inlineStr">
        <is>
          <t>LN200735</t>
        </is>
      </c>
      <c r="C5194" t="n">
        <v>6</v>
      </c>
      <c r="D5194" s="8" t="n">
        <v>46331</v>
      </c>
      <c r="E5194" s="9" t="n">
        <v>13659.17</v>
      </c>
      <c r="F5194" s="8" t="n"/>
      <c r="G5194" s="9" t="n">
        <v>0</v>
      </c>
      <c r="H5194" t="inlineStr">
        <is>
          <t>NOT_DUE</t>
        </is>
      </c>
      <c r="I5194">
        <f>IF(H5194="UNPAID", AsOfDate-D5194, 0)</f>
        <v/>
      </c>
      <c r="J5194">
        <f>IF(F5194&lt;&gt;"", TEXT(F5194, "yyyy-mm"), "")</f>
        <v/>
      </c>
    </row>
    <row r="5195">
      <c r="A5195" t="inlineStr">
        <is>
          <t>RP0005194</t>
        </is>
      </c>
      <c r="B5195" t="inlineStr">
        <is>
          <t>LN200736</t>
        </is>
      </c>
      <c r="C5195" t="n">
        <v>1</v>
      </c>
      <c r="D5195" s="8" t="n">
        <v>46240</v>
      </c>
      <c r="E5195" s="9" t="n">
        <v>34808.33</v>
      </c>
      <c r="F5195" s="8" t="n"/>
      <c r="G5195" s="9" t="n">
        <v>0</v>
      </c>
      <c r="H5195" t="inlineStr">
        <is>
          <t>UNPAID</t>
        </is>
      </c>
      <c r="I5195">
        <f>IF(H5195="UNPAID", AsOfDate-D5195, 0)</f>
        <v/>
      </c>
      <c r="J5195">
        <f>IF(F5195&lt;&gt;"", TEXT(F5195, "yyyy-mm"), "")</f>
        <v/>
      </c>
    </row>
    <row r="5196">
      <c r="A5196" t="inlineStr">
        <is>
          <t>RP0005195</t>
        </is>
      </c>
      <c r="B5196" t="inlineStr">
        <is>
          <t>LN200736</t>
        </is>
      </c>
      <c r="C5196" t="n">
        <v>2</v>
      </c>
      <c r="D5196" s="8" t="n">
        <v>46271</v>
      </c>
      <c r="E5196" s="9" t="n">
        <v>34808.33</v>
      </c>
      <c r="F5196" s="8" t="n"/>
      <c r="G5196" s="9" t="n">
        <v>0</v>
      </c>
      <c r="H5196" t="inlineStr">
        <is>
          <t>NOT_DUE</t>
        </is>
      </c>
      <c r="I5196">
        <f>IF(H5196="UNPAID", AsOfDate-D5196, 0)</f>
        <v/>
      </c>
      <c r="J5196">
        <f>IF(F5196&lt;&gt;"", TEXT(F5196, "yyyy-mm"), "")</f>
        <v/>
      </c>
    </row>
    <row r="5197">
      <c r="A5197" t="inlineStr">
        <is>
          <t>RP0005196</t>
        </is>
      </c>
      <c r="B5197" t="inlineStr">
        <is>
          <t>LN200736</t>
        </is>
      </c>
      <c r="C5197" t="n">
        <v>3</v>
      </c>
      <c r="D5197" s="8" t="n">
        <v>46301</v>
      </c>
      <c r="E5197" s="9" t="n">
        <v>34808.33</v>
      </c>
      <c r="F5197" s="8" t="n"/>
      <c r="G5197" s="9" t="n">
        <v>0</v>
      </c>
      <c r="H5197" t="inlineStr">
        <is>
          <t>NOT_DUE</t>
        </is>
      </c>
      <c r="I5197">
        <f>IF(H5197="UNPAID", AsOfDate-D5197, 0)</f>
        <v/>
      </c>
      <c r="J5197">
        <f>IF(F5197&lt;&gt;"", TEXT(F5197, "yyyy-mm"), "")</f>
        <v/>
      </c>
    </row>
    <row r="5198">
      <c r="A5198" t="inlineStr">
        <is>
          <t>RP0005197</t>
        </is>
      </c>
      <c r="B5198" t="inlineStr">
        <is>
          <t>LN200738</t>
        </is>
      </c>
      <c r="C5198" t="n">
        <v>1</v>
      </c>
      <c r="D5198" s="8" t="n">
        <v>46246</v>
      </c>
      <c r="E5198" s="9" t="n">
        <v>79445.83</v>
      </c>
      <c r="F5198" s="8" t="n">
        <v>46250</v>
      </c>
      <c r="G5198" s="9" t="n">
        <v>79445.83</v>
      </c>
      <c r="H5198" t="inlineStr">
        <is>
          <t>PAID_ON_TIME</t>
        </is>
      </c>
      <c r="I5198">
        <f>IF(H5198="UNPAID", AsOfDate-D5198, 0)</f>
        <v/>
      </c>
      <c r="J5198">
        <f>IF(F5198&lt;&gt;"", TEXT(F5198, "yyyy-mm"), "")</f>
        <v/>
      </c>
    </row>
    <row r="5199">
      <c r="A5199" t="inlineStr">
        <is>
          <t>RP0005198</t>
        </is>
      </c>
      <c r="B5199" t="inlineStr">
        <is>
          <t>LN200738</t>
        </is>
      </c>
      <c r="C5199" t="n">
        <v>2</v>
      </c>
      <c r="D5199" s="8" t="n">
        <v>46277</v>
      </c>
      <c r="E5199" s="9" t="n">
        <v>79445.83</v>
      </c>
      <c r="F5199" s="8" t="n"/>
      <c r="G5199" s="9" t="n">
        <v>0</v>
      </c>
      <c r="H5199" t="inlineStr">
        <is>
          <t>NOT_DUE</t>
        </is>
      </c>
      <c r="I5199">
        <f>IF(H5199="UNPAID", AsOfDate-D5199, 0)</f>
        <v/>
      </c>
      <c r="J5199">
        <f>IF(F5199&lt;&gt;"", TEXT(F5199, "yyyy-mm"), "")</f>
        <v/>
      </c>
    </row>
    <row r="5200">
      <c r="A5200" t="inlineStr">
        <is>
          <t>RP0005199</t>
        </is>
      </c>
      <c r="B5200" t="inlineStr">
        <is>
          <t>LN200738</t>
        </is>
      </c>
      <c r="C5200" t="n">
        <v>3</v>
      </c>
      <c r="D5200" s="8" t="n">
        <v>46307</v>
      </c>
      <c r="E5200" s="9" t="n">
        <v>79445.83</v>
      </c>
      <c r="F5200" s="8" t="n"/>
      <c r="G5200" s="9" t="n">
        <v>0</v>
      </c>
      <c r="H5200" t="inlineStr">
        <is>
          <t>NOT_DUE</t>
        </is>
      </c>
      <c r="I5200">
        <f>IF(H5200="UNPAID", AsOfDate-D5200, 0)</f>
        <v/>
      </c>
      <c r="J5200">
        <f>IF(F5200&lt;&gt;"", TEXT(F5200, "yyyy-mm"), "")</f>
        <v/>
      </c>
    </row>
    <row r="5201">
      <c r="A5201" t="inlineStr">
        <is>
          <t>RP0005200</t>
        </is>
      </c>
      <c r="B5201" t="inlineStr">
        <is>
          <t>LN200739</t>
        </is>
      </c>
      <c r="C5201" t="n">
        <v>1</v>
      </c>
      <c r="D5201" s="8" t="n">
        <v>46007</v>
      </c>
      <c r="E5201" s="9" t="n">
        <v>58856</v>
      </c>
      <c r="F5201" s="8" t="n">
        <v>46059</v>
      </c>
      <c r="G5201" s="9" t="n">
        <v>58856</v>
      </c>
      <c r="H5201" t="inlineStr">
        <is>
          <t>PAID_LATE</t>
        </is>
      </c>
      <c r="I5201">
        <f>IF(H5201="UNPAID", AsOfDate-D5201, 0)</f>
        <v/>
      </c>
      <c r="J5201">
        <f>IF(F5201&lt;&gt;"", TEXT(F5201, "yyyy-mm"), "")</f>
        <v/>
      </c>
    </row>
    <row r="5202">
      <c r="A5202" t="inlineStr">
        <is>
          <t>RP0005201</t>
        </is>
      </c>
      <c r="B5202" t="inlineStr">
        <is>
          <t>LN200739</t>
        </is>
      </c>
      <c r="C5202" t="n">
        <v>2</v>
      </c>
      <c r="D5202" s="8" t="n">
        <v>46038</v>
      </c>
      <c r="E5202" s="9" t="n">
        <v>58856</v>
      </c>
      <c r="F5202" s="8" t="n">
        <v>46041</v>
      </c>
      <c r="G5202" s="9" t="n">
        <v>58856</v>
      </c>
      <c r="H5202" t="inlineStr">
        <is>
          <t>PAID_LATE</t>
        </is>
      </c>
      <c r="I5202">
        <f>IF(H5202="UNPAID", AsOfDate-D5202, 0)</f>
        <v/>
      </c>
      <c r="J5202">
        <f>IF(F5202&lt;&gt;"", TEXT(F5202, "yyyy-mm"), "")</f>
        <v/>
      </c>
    </row>
    <row r="5203">
      <c r="A5203" t="inlineStr">
        <is>
          <t>RP0005202</t>
        </is>
      </c>
      <c r="B5203" t="inlineStr">
        <is>
          <t>LN200739</t>
        </is>
      </c>
      <c r="C5203" t="n">
        <v>3</v>
      </c>
      <c r="D5203" s="8" t="n">
        <v>46069</v>
      </c>
      <c r="E5203" s="9" t="n">
        <v>58856</v>
      </c>
      <c r="F5203" s="8" t="n">
        <v>46067</v>
      </c>
      <c r="G5203" s="9" t="n">
        <v>58856</v>
      </c>
      <c r="H5203" t="inlineStr">
        <is>
          <t>PAID_ON_TIME</t>
        </is>
      </c>
      <c r="I5203">
        <f>IF(H5203="UNPAID", AsOfDate-D5203, 0)</f>
        <v/>
      </c>
      <c r="J5203">
        <f>IF(F5203&lt;&gt;"", TEXT(F5203, "yyyy-mm"), "")</f>
        <v/>
      </c>
    </row>
    <row r="5204">
      <c r="A5204" t="inlineStr">
        <is>
          <t>RP0005203</t>
        </is>
      </c>
      <c r="B5204" t="inlineStr">
        <is>
          <t>LN200740</t>
        </is>
      </c>
      <c r="C5204" t="n">
        <v>1</v>
      </c>
      <c r="D5204" s="8" t="n">
        <v>45897</v>
      </c>
      <c r="E5204" s="9" t="n">
        <v>49374.61</v>
      </c>
      <c r="F5204" s="8" t="n">
        <v>45897</v>
      </c>
      <c r="G5204" s="9" t="n">
        <v>49374.61</v>
      </c>
      <c r="H5204" t="inlineStr">
        <is>
          <t>PAID_ON_TIME</t>
        </is>
      </c>
      <c r="I5204">
        <f>IF(H5204="UNPAID", AsOfDate-D5204, 0)</f>
        <v/>
      </c>
      <c r="J5204">
        <f>IF(F5204&lt;&gt;"", TEXT(F5204, "yyyy-mm"), "")</f>
        <v/>
      </c>
    </row>
    <row r="5205">
      <c r="A5205" t="inlineStr">
        <is>
          <t>RP0005204</t>
        </is>
      </c>
      <c r="B5205" t="inlineStr">
        <is>
          <t>LN200740</t>
        </is>
      </c>
      <c r="C5205" t="n">
        <v>2</v>
      </c>
      <c r="D5205" s="8" t="n">
        <v>45928</v>
      </c>
      <c r="E5205" s="9" t="n">
        <v>49374.61</v>
      </c>
      <c r="F5205" s="8" t="n">
        <v>45932</v>
      </c>
      <c r="G5205" s="9" t="n">
        <v>49374.61</v>
      </c>
      <c r="H5205" t="inlineStr">
        <is>
          <t>PAID_ON_TIME</t>
        </is>
      </c>
      <c r="I5205">
        <f>IF(H5205="UNPAID", AsOfDate-D5205, 0)</f>
        <v/>
      </c>
      <c r="J5205">
        <f>IF(F5205&lt;&gt;"", TEXT(F5205, "yyyy-mm"), "")</f>
        <v/>
      </c>
    </row>
    <row r="5206">
      <c r="A5206" t="inlineStr">
        <is>
          <t>RP0005205</t>
        </is>
      </c>
      <c r="B5206" t="inlineStr">
        <is>
          <t>LN200740</t>
        </is>
      </c>
      <c r="C5206" t="n">
        <v>3</v>
      </c>
      <c r="D5206" s="8" t="n">
        <v>45958</v>
      </c>
      <c r="E5206" s="9" t="n">
        <v>49374.61</v>
      </c>
      <c r="F5206" s="8" t="n">
        <v>45961</v>
      </c>
      <c r="G5206" s="9" t="n">
        <v>49374.61</v>
      </c>
      <c r="H5206" t="inlineStr">
        <is>
          <t>PAID_ON_TIME</t>
        </is>
      </c>
      <c r="I5206">
        <f>IF(H5206="UNPAID", AsOfDate-D5206, 0)</f>
        <v/>
      </c>
      <c r="J5206">
        <f>IF(F5206&lt;&gt;"", TEXT(F5206, "yyyy-mm"), "")</f>
        <v/>
      </c>
    </row>
    <row r="5207">
      <c r="A5207" t="inlineStr">
        <is>
          <t>RP0005206</t>
        </is>
      </c>
      <c r="B5207" t="inlineStr">
        <is>
          <t>LN200740</t>
        </is>
      </c>
      <c r="C5207" t="n">
        <v>4</v>
      </c>
      <c r="D5207" s="8" t="n">
        <v>45989</v>
      </c>
      <c r="E5207" s="9" t="n">
        <v>49374.61</v>
      </c>
      <c r="F5207" s="8" t="n">
        <v>45991</v>
      </c>
      <c r="G5207" s="9" t="n">
        <v>49374.61</v>
      </c>
      <c r="H5207" t="inlineStr">
        <is>
          <t>PAID_ON_TIME</t>
        </is>
      </c>
      <c r="I5207">
        <f>IF(H5207="UNPAID", AsOfDate-D5207, 0)</f>
        <v/>
      </c>
      <c r="J5207">
        <f>IF(F5207&lt;&gt;"", TEXT(F5207, "yyyy-mm"), "")</f>
        <v/>
      </c>
    </row>
    <row r="5208">
      <c r="A5208" t="inlineStr">
        <is>
          <t>RP0005207</t>
        </is>
      </c>
      <c r="B5208" t="inlineStr">
        <is>
          <t>LN200740</t>
        </is>
      </c>
      <c r="C5208" t="n">
        <v>5</v>
      </c>
      <c r="D5208" s="8" t="n">
        <v>46019</v>
      </c>
      <c r="E5208" s="9" t="n">
        <v>49374.61</v>
      </c>
      <c r="F5208" s="8" t="n">
        <v>46023</v>
      </c>
      <c r="G5208" s="9" t="n">
        <v>49374.61</v>
      </c>
      <c r="H5208" t="inlineStr">
        <is>
          <t>PAID_ON_TIME</t>
        </is>
      </c>
      <c r="I5208">
        <f>IF(H5208="UNPAID", AsOfDate-D5208, 0)</f>
        <v/>
      </c>
      <c r="J5208">
        <f>IF(F5208&lt;&gt;"", TEXT(F5208, "yyyy-mm"), "")</f>
        <v/>
      </c>
    </row>
    <row r="5209">
      <c r="A5209" t="inlineStr">
        <is>
          <t>RP0005208</t>
        </is>
      </c>
      <c r="B5209" t="inlineStr">
        <is>
          <t>LN200740</t>
        </is>
      </c>
      <c r="C5209" t="n">
        <v>6</v>
      </c>
      <c r="D5209" s="8" t="n">
        <v>46050</v>
      </c>
      <c r="E5209" s="9" t="n">
        <v>49374.61</v>
      </c>
      <c r="F5209" s="8" t="n">
        <v>46053</v>
      </c>
      <c r="G5209" s="9" t="n">
        <v>49374.61</v>
      </c>
      <c r="H5209" t="inlineStr">
        <is>
          <t>PAID_ON_TIME</t>
        </is>
      </c>
      <c r="I5209">
        <f>IF(H5209="UNPAID", AsOfDate-D5209, 0)</f>
        <v/>
      </c>
      <c r="J5209">
        <f>IF(F5209&lt;&gt;"", TEXT(F5209, "yyyy-mm"), "")</f>
        <v/>
      </c>
    </row>
    <row r="5210">
      <c r="A5210" t="inlineStr">
        <is>
          <t>RP0005209</t>
        </is>
      </c>
      <c r="B5210" t="inlineStr">
        <is>
          <t>LN200740</t>
        </is>
      </c>
      <c r="C5210" t="n">
        <v>7</v>
      </c>
      <c r="D5210" s="8" t="n">
        <v>46081</v>
      </c>
      <c r="E5210" s="9" t="n">
        <v>49374.61</v>
      </c>
      <c r="F5210" s="8" t="n">
        <v>46083</v>
      </c>
      <c r="G5210" s="9" t="n">
        <v>49374.61</v>
      </c>
      <c r="H5210" t="inlineStr">
        <is>
          <t>PAID_ON_TIME</t>
        </is>
      </c>
      <c r="I5210">
        <f>IF(H5210="UNPAID", AsOfDate-D5210, 0)</f>
        <v/>
      </c>
      <c r="J5210">
        <f>IF(F5210&lt;&gt;"", TEXT(F5210, "yyyy-mm"), "")</f>
        <v/>
      </c>
    </row>
    <row r="5211">
      <c r="A5211" t="inlineStr">
        <is>
          <t>RP0005210</t>
        </is>
      </c>
      <c r="B5211" t="inlineStr">
        <is>
          <t>LN200740</t>
        </is>
      </c>
      <c r="C5211" t="n">
        <v>8</v>
      </c>
      <c r="D5211" s="8" t="n">
        <v>46109</v>
      </c>
      <c r="E5211" s="9" t="n">
        <v>49374.61</v>
      </c>
      <c r="F5211" s="8" t="n">
        <v>46113</v>
      </c>
      <c r="G5211" s="9" t="n">
        <v>49374.61</v>
      </c>
      <c r="H5211" t="inlineStr">
        <is>
          <t>PAID_ON_TIME</t>
        </is>
      </c>
      <c r="I5211">
        <f>IF(H5211="UNPAID", AsOfDate-D5211, 0)</f>
        <v/>
      </c>
      <c r="J5211">
        <f>IF(F5211&lt;&gt;"", TEXT(F5211, "yyyy-mm"), "")</f>
        <v/>
      </c>
    </row>
    <row r="5212">
      <c r="A5212" t="inlineStr">
        <is>
          <t>RP0005211</t>
        </is>
      </c>
      <c r="B5212" t="inlineStr">
        <is>
          <t>LN200740</t>
        </is>
      </c>
      <c r="C5212" t="n">
        <v>9</v>
      </c>
      <c r="D5212" s="8" t="n">
        <v>46140</v>
      </c>
      <c r="E5212" s="9" t="n">
        <v>49374.61</v>
      </c>
      <c r="F5212" s="8" t="n">
        <v>46141</v>
      </c>
      <c r="G5212" s="9" t="n">
        <v>49374.61</v>
      </c>
      <c r="H5212" t="inlineStr">
        <is>
          <t>PAID_ON_TIME</t>
        </is>
      </c>
      <c r="I5212">
        <f>IF(H5212="UNPAID", AsOfDate-D5212, 0)</f>
        <v/>
      </c>
      <c r="J5212">
        <f>IF(F5212&lt;&gt;"", TEXT(F5212, "yyyy-mm"), "")</f>
        <v/>
      </c>
    </row>
    <row r="5213">
      <c r="A5213" t="inlineStr">
        <is>
          <t>RP0005212</t>
        </is>
      </c>
      <c r="B5213" t="inlineStr">
        <is>
          <t>LN200741</t>
        </is>
      </c>
      <c r="C5213" t="n">
        <v>1</v>
      </c>
      <c r="D5213" s="8" t="n">
        <v>45978</v>
      </c>
      <c r="E5213" s="9" t="n">
        <v>1675.33</v>
      </c>
      <c r="F5213" s="8" t="n">
        <v>45978</v>
      </c>
      <c r="G5213" s="9" t="n">
        <v>1675.33</v>
      </c>
      <c r="H5213" t="inlineStr">
        <is>
          <t>PAID_ON_TIME</t>
        </is>
      </c>
      <c r="I5213">
        <f>IF(H5213="UNPAID", AsOfDate-D5213, 0)</f>
        <v/>
      </c>
      <c r="J5213">
        <f>IF(F5213&lt;&gt;"", TEXT(F5213, "yyyy-mm"), "")</f>
        <v/>
      </c>
    </row>
    <row r="5214">
      <c r="A5214" t="inlineStr">
        <is>
          <t>RP0005213</t>
        </is>
      </c>
      <c r="B5214" t="inlineStr">
        <is>
          <t>LN200741</t>
        </is>
      </c>
      <c r="C5214" t="n">
        <v>2</v>
      </c>
      <c r="D5214" s="8" t="n">
        <v>46008</v>
      </c>
      <c r="E5214" s="9" t="n">
        <v>1675.33</v>
      </c>
      <c r="F5214" s="8" t="n">
        <v>46007</v>
      </c>
      <c r="G5214" s="9" t="n">
        <v>1675.33</v>
      </c>
      <c r="H5214" t="inlineStr">
        <is>
          <t>PAID_ON_TIME</t>
        </is>
      </c>
      <c r="I5214">
        <f>IF(H5214="UNPAID", AsOfDate-D5214, 0)</f>
        <v/>
      </c>
      <c r="J5214">
        <f>IF(F5214&lt;&gt;"", TEXT(F5214, "yyyy-mm"), "")</f>
        <v/>
      </c>
    </row>
    <row r="5215">
      <c r="A5215" t="inlineStr">
        <is>
          <t>RP0005214</t>
        </is>
      </c>
      <c r="B5215" t="inlineStr">
        <is>
          <t>LN200741</t>
        </is>
      </c>
      <c r="C5215" t="n">
        <v>3</v>
      </c>
      <c r="D5215" s="8" t="n">
        <v>46039</v>
      </c>
      <c r="E5215" s="9" t="n">
        <v>1675.33</v>
      </c>
      <c r="F5215" s="8" t="n">
        <v>46036</v>
      </c>
      <c r="G5215" s="9" t="n">
        <v>1675.33</v>
      </c>
      <c r="H5215" t="inlineStr">
        <is>
          <t>PAID_ON_TIME</t>
        </is>
      </c>
      <c r="I5215">
        <f>IF(H5215="UNPAID", AsOfDate-D5215, 0)</f>
        <v/>
      </c>
      <c r="J5215">
        <f>IF(F5215&lt;&gt;"", TEXT(F5215, "yyyy-mm"), "")</f>
        <v/>
      </c>
    </row>
    <row r="5216">
      <c r="A5216" t="inlineStr">
        <is>
          <t>RP0005215</t>
        </is>
      </c>
      <c r="B5216" t="inlineStr">
        <is>
          <t>LN200741</t>
        </is>
      </c>
      <c r="C5216" t="n">
        <v>4</v>
      </c>
      <c r="D5216" s="8" t="n">
        <v>46070</v>
      </c>
      <c r="E5216" s="9" t="n">
        <v>1675.33</v>
      </c>
      <c r="F5216" s="8" t="n">
        <v>46069</v>
      </c>
      <c r="G5216" s="9" t="n">
        <v>1675.33</v>
      </c>
      <c r="H5216" t="inlineStr">
        <is>
          <t>PAID_ON_TIME</t>
        </is>
      </c>
      <c r="I5216">
        <f>IF(H5216="UNPAID", AsOfDate-D5216, 0)</f>
        <v/>
      </c>
      <c r="J5216">
        <f>IF(F5216&lt;&gt;"", TEXT(F5216, "yyyy-mm"), "")</f>
        <v/>
      </c>
    </row>
    <row r="5217">
      <c r="A5217" t="inlineStr">
        <is>
          <t>RP0005216</t>
        </is>
      </c>
      <c r="B5217" t="inlineStr">
        <is>
          <t>LN200741</t>
        </is>
      </c>
      <c r="C5217" t="n">
        <v>5</v>
      </c>
      <c r="D5217" s="8" t="n">
        <v>46098</v>
      </c>
      <c r="E5217" s="9" t="n">
        <v>1675.33</v>
      </c>
      <c r="F5217" s="8" t="n">
        <v>46101</v>
      </c>
      <c r="G5217" s="9" t="n">
        <v>1675.33</v>
      </c>
      <c r="H5217" t="inlineStr">
        <is>
          <t>PAID_ON_TIME</t>
        </is>
      </c>
      <c r="I5217">
        <f>IF(H5217="UNPAID", AsOfDate-D5217, 0)</f>
        <v/>
      </c>
      <c r="J5217">
        <f>IF(F5217&lt;&gt;"", TEXT(F5217, "yyyy-mm"), "")</f>
        <v/>
      </c>
    </row>
    <row r="5218">
      <c r="A5218" t="inlineStr">
        <is>
          <t>RP0005217</t>
        </is>
      </c>
      <c r="B5218" t="inlineStr">
        <is>
          <t>LN200741</t>
        </is>
      </c>
      <c r="C5218" t="n">
        <v>6</v>
      </c>
      <c r="D5218" s="8" t="n">
        <v>46129</v>
      </c>
      <c r="E5218" s="9" t="n">
        <v>1675.33</v>
      </c>
      <c r="F5218" s="8" t="n">
        <v>46127</v>
      </c>
      <c r="G5218" s="9" t="n">
        <v>1675.33</v>
      </c>
      <c r="H5218" t="inlineStr">
        <is>
          <t>PAID_ON_TIME</t>
        </is>
      </c>
      <c r="I5218">
        <f>IF(H5218="UNPAID", AsOfDate-D5218, 0)</f>
        <v/>
      </c>
      <c r="J5218">
        <f>IF(F5218&lt;&gt;"", TEXT(F5218, "yyyy-mm"), "")</f>
        <v/>
      </c>
    </row>
    <row r="5219">
      <c r="A5219" t="inlineStr">
        <is>
          <t>RP0005218</t>
        </is>
      </c>
      <c r="B5219" t="inlineStr">
        <is>
          <t>LN200741</t>
        </is>
      </c>
      <c r="C5219" t="n">
        <v>7</v>
      </c>
      <c r="D5219" s="8" t="n">
        <v>46159</v>
      </c>
      <c r="E5219" s="9" t="n">
        <v>1675.33</v>
      </c>
      <c r="F5219" s="8" t="n">
        <v>46156</v>
      </c>
      <c r="G5219" s="9" t="n">
        <v>1675.33</v>
      </c>
      <c r="H5219" t="inlineStr">
        <is>
          <t>PAID_ON_TIME</t>
        </is>
      </c>
      <c r="I5219">
        <f>IF(H5219="UNPAID", AsOfDate-D5219, 0)</f>
        <v/>
      </c>
      <c r="J5219">
        <f>IF(F5219&lt;&gt;"", TEXT(F5219, "yyyy-mm"), "")</f>
        <v/>
      </c>
    </row>
    <row r="5220">
      <c r="A5220" t="inlineStr">
        <is>
          <t>RP0005219</t>
        </is>
      </c>
      <c r="B5220" t="inlineStr">
        <is>
          <t>LN200741</t>
        </is>
      </c>
      <c r="C5220" t="n">
        <v>8</v>
      </c>
      <c r="D5220" s="8" t="n">
        <v>46190</v>
      </c>
      <c r="E5220" s="9" t="n">
        <v>1675.33</v>
      </c>
      <c r="F5220" s="8" t="n">
        <v>46187</v>
      </c>
      <c r="G5220" s="9" t="n">
        <v>1675.33</v>
      </c>
      <c r="H5220" t="inlineStr">
        <is>
          <t>PAID_ON_TIME</t>
        </is>
      </c>
      <c r="I5220">
        <f>IF(H5220="UNPAID", AsOfDate-D5220, 0)</f>
        <v/>
      </c>
      <c r="J5220">
        <f>IF(F5220&lt;&gt;"", TEXT(F5220, "yyyy-mm"), "")</f>
        <v/>
      </c>
    </row>
    <row r="5221">
      <c r="A5221" t="inlineStr">
        <is>
          <t>RP0005220</t>
        </is>
      </c>
      <c r="B5221" t="inlineStr">
        <is>
          <t>LN200741</t>
        </is>
      </c>
      <c r="C5221" t="n">
        <v>9</v>
      </c>
      <c r="D5221" s="8" t="n">
        <v>46220</v>
      </c>
      <c r="E5221" s="9" t="n">
        <v>1675.33</v>
      </c>
      <c r="F5221" s="8" t="n">
        <v>46219</v>
      </c>
      <c r="G5221" s="9" t="n">
        <v>1675.33</v>
      </c>
      <c r="H5221" t="inlineStr">
        <is>
          <t>PAID_ON_TIME</t>
        </is>
      </c>
      <c r="I5221">
        <f>IF(H5221="UNPAID", AsOfDate-D5221, 0)</f>
        <v/>
      </c>
      <c r="J5221">
        <f>IF(F5221&lt;&gt;"", TEXT(F5221, "yyyy-mm"), "")</f>
        <v/>
      </c>
    </row>
    <row r="5222">
      <c r="A5222" t="inlineStr">
        <is>
          <t>RP0005221</t>
        </is>
      </c>
      <c r="B5222" t="inlineStr">
        <is>
          <t>LN200741</t>
        </is>
      </c>
      <c r="C5222" t="n">
        <v>10</v>
      </c>
      <c r="D5222" s="8" t="n">
        <v>46251</v>
      </c>
      <c r="E5222" s="9" t="n">
        <v>1675.33</v>
      </c>
      <c r="F5222" s="8" t="n">
        <v>46250</v>
      </c>
      <c r="G5222" s="9" t="n">
        <v>1675.33</v>
      </c>
      <c r="H5222" t="inlineStr">
        <is>
          <t>PAID_ON_TIME</t>
        </is>
      </c>
      <c r="I5222">
        <f>IF(H5222="UNPAID", AsOfDate-D5222, 0)</f>
        <v/>
      </c>
      <c r="J5222">
        <f>IF(F5222&lt;&gt;"", TEXT(F5222, "yyyy-mm"), "")</f>
        <v/>
      </c>
    </row>
    <row r="5223">
      <c r="A5223" t="inlineStr">
        <is>
          <t>RP0005222</t>
        </is>
      </c>
      <c r="B5223" t="inlineStr">
        <is>
          <t>LN200741</t>
        </is>
      </c>
      <c r="C5223" t="n">
        <v>11</v>
      </c>
      <c r="D5223" s="8" t="n">
        <v>46282</v>
      </c>
      <c r="E5223" s="9" t="n">
        <v>1675.33</v>
      </c>
      <c r="F5223" s="8" t="n"/>
      <c r="G5223" s="9" t="n">
        <v>0</v>
      </c>
      <c r="H5223" t="inlineStr">
        <is>
          <t>NOT_DUE</t>
        </is>
      </c>
      <c r="I5223">
        <f>IF(H5223="UNPAID", AsOfDate-D5223, 0)</f>
        <v/>
      </c>
      <c r="J5223">
        <f>IF(F5223&lt;&gt;"", TEXT(F5223, "yyyy-mm"), "")</f>
        <v/>
      </c>
    </row>
    <row r="5224">
      <c r="A5224" t="inlineStr">
        <is>
          <t>RP0005223</t>
        </is>
      </c>
      <c r="B5224" t="inlineStr">
        <is>
          <t>LN200741</t>
        </is>
      </c>
      <c r="C5224" t="n">
        <v>12</v>
      </c>
      <c r="D5224" s="8" t="n">
        <v>46312</v>
      </c>
      <c r="E5224" s="9" t="n">
        <v>1675.33</v>
      </c>
      <c r="F5224" s="8" t="n"/>
      <c r="G5224" s="9" t="n">
        <v>0</v>
      </c>
      <c r="H5224" t="inlineStr">
        <is>
          <t>NOT_DUE</t>
        </is>
      </c>
      <c r="I5224">
        <f>IF(H5224="UNPAID", AsOfDate-D5224, 0)</f>
        <v/>
      </c>
      <c r="J5224">
        <f>IF(F5224&lt;&gt;"", TEXT(F5224, "yyyy-mm"), "")</f>
        <v/>
      </c>
    </row>
    <row r="5225">
      <c r="A5225" t="inlineStr">
        <is>
          <t>RP0005224</t>
        </is>
      </c>
      <c r="B5225" t="inlineStr">
        <is>
          <t>LN200741</t>
        </is>
      </c>
      <c r="C5225" t="n">
        <v>13</v>
      </c>
      <c r="D5225" s="8" t="n">
        <v>46343</v>
      </c>
      <c r="E5225" s="9" t="n">
        <v>1675.33</v>
      </c>
      <c r="F5225" s="8" t="n"/>
      <c r="G5225" s="9" t="n">
        <v>0</v>
      </c>
      <c r="H5225" t="inlineStr">
        <is>
          <t>NOT_DUE</t>
        </is>
      </c>
      <c r="I5225">
        <f>IF(H5225="UNPAID", AsOfDate-D5225, 0)</f>
        <v/>
      </c>
      <c r="J5225">
        <f>IF(F5225&lt;&gt;"", TEXT(F5225, "yyyy-mm"), "")</f>
        <v/>
      </c>
    </row>
    <row r="5226">
      <c r="A5226" t="inlineStr">
        <is>
          <t>RP0005225</t>
        </is>
      </c>
      <c r="B5226" t="inlineStr">
        <is>
          <t>LN200741</t>
        </is>
      </c>
      <c r="C5226" t="n">
        <v>14</v>
      </c>
      <c r="D5226" s="8" t="n">
        <v>46373</v>
      </c>
      <c r="E5226" s="9" t="n">
        <v>1675.33</v>
      </c>
      <c r="F5226" s="8" t="n"/>
      <c r="G5226" s="9" t="n">
        <v>0</v>
      </c>
      <c r="H5226" t="inlineStr">
        <is>
          <t>NOT_DUE</t>
        </is>
      </c>
      <c r="I5226">
        <f>IF(H5226="UNPAID", AsOfDate-D5226, 0)</f>
        <v/>
      </c>
      <c r="J5226">
        <f>IF(F5226&lt;&gt;"", TEXT(F5226, "yyyy-mm"), "")</f>
        <v/>
      </c>
    </row>
    <row r="5227">
      <c r="A5227" t="inlineStr">
        <is>
          <t>RP0005226</t>
        </is>
      </c>
      <c r="B5227" t="inlineStr">
        <is>
          <t>LN200741</t>
        </is>
      </c>
      <c r="C5227" t="n">
        <v>15</v>
      </c>
      <c r="D5227" s="8" t="n">
        <v>46404</v>
      </c>
      <c r="E5227" s="9" t="n">
        <v>1675.33</v>
      </c>
      <c r="F5227" s="8" t="n"/>
      <c r="G5227" s="9" t="n">
        <v>0</v>
      </c>
      <c r="H5227" t="inlineStr">
        <is>
          <t>NOT_DUE</t>
        </is>
      </c>
      <c r="I5227">
        <f>IF(H5227="UNPAID", AsOfDate-D5227, 0)</f>
        <v/>
      </c>
      <c r="J5227">
        <f>IF(F5227&lt;&gt;"", TEXT(F5227, "yyyy-mm"), "")</f>
        <v/>
      </c>
    </row>
    <row r="5228">
      <c r="A5228" t="inlineStr">
        <is>
          <t>RP0005227</t>
        </is>
      </c>
      <c r="B5228" t="inlineStr">
        <is>
          <t>LN200741</t>
        </is>
      </c>
      <c r="C5228" t="n">
        <v>16</v>
      </c>
      <c r="D5228" s="8" t="n">
        <v>46435</v>
      </c>
      <c r="E5228" s="9" t="n">
        <v>1675.33</v>
      </c>
      <c r="F5228" s="8" t="n"/>
      <c r="G5228" s="9" t="n">
        <v>0</v>
      </c>
      <c r="H5228" t="inlineStr">
        <is>
          <t>NOT_DUE</t>
        </is>
      </c>
      <c r="I5228">
        <f>IF(H5228="UNPAID", AsOfDate-D5228, 0)</f>
        <v/>
      </c>
      <c r="J5228">
        <f>IF(F5228&lt;&gt;"", TEXT(F5228, "yyyy-mm"), "")</f>
        <v/>
      </c>
    </row>
    <row r="5229">
      <c r="A5229" t="inlineStr">
        <is>
          <t>RP0005228</t>
        </is>
      </c>
      <c r="B5229" t="inlineStr">
        <is>
          <t>LN200741</t>
        </is>
      </c>
      <c r="C5229" t="n">
        <v>17</v>
      </c>
      <c r="D5229" s="8" t="n">
        <v>46463</v>
      </c>
      <c r="E5229" s="9" t="n">
        <v>1675.33</v>
      </c>
      <c r="F5229" s="8" t="n"/>
      <c r="G5229" s="9" t="n">
        <v>0</v>
      </c>
      <c r="H5229" t="inlineStr">
        <is>
          <t>NOT_DUE</t>
        </is>
      </c>
      <c r="I5229">
        <f>IF(H5229="UNPAID", AsOfDate-D5229, 0)</f>
        <v/>
      </c>
      <c r="J5229">
        <f>IF(F5229&lt;&gt;"", TEXT(F5229, "yyyy-mm"), "")</f>
        <v/>
      </c>
    </row>
    <row r="5230">
      <c r="A5230" t="inlineStr">
        <is>
          <t>RP0005229</t>
        </is>
      </c>
      <c r="B5230" t="inlineStr">
        <is>
          <t>LN200741</t>
        </is>
      </c>
      <c r="C5230" t="n">
        <v>18</v>
      </c>
      <c r="D5230" s="8" t="n">
        <v>46494</v>
      </c>
      <c r="E5230" s="9" t="n">
        <v>1675.33</v>
      </c>
      <c r="F5230" s="8" t="n"/>
      <c r="G5230" s="9" t="n">
        <v>0</v>
      </c>
      <c r="H5230" t="inlineStr">
        <is>
          <t>NOT_DUE</t>
        </is>
      </c>
      <c r="I5230">
        <f>IF(H5230="UNPAID", AsOfDate-D5230, 0)</f>
        <v/>
      </c>
      <c r="J5230">
        <f>IF(F5230&lt;&gt;"", TEXT(F5230, "yyyy-mm"), "")</f>
        <v/>
      </c>
    </row>
    <row r="5231">
      <c r="A5231" t="inlineStr">
        <is>
          <t>RP0005230</t>
        </is>
      </c>
      <c r="B5231" t="inlineStr">
        <is>
          <t>LN200742</t>
        </is>
      </c>
      <c r="C5231" t="n">
        <v>1</v>
      </c>
      <c r="D5231" s="8" t="n">
        <v>45689</v>
      </c>
      <c r="E5231" s="9" t="n">
        <v>48988.33</v>
      </c>
      <c r="F5231" s="8" t="n">
        <v>45711</v>
      </c>
      <c r="G5231" s="9" t="n">
        <v>48988.33</v>
      </c>
      <c r="H5231" t="inlineStr">
        <is>
          <t>PAID_LATE</t>
        </is>
      </c>
      <c r="I5231">
        <f>IF(H5231="UNPAID", AsOfDate-D5231, 0)</f>
        <v/>
      </c>
      <c r="J5231">
        <f>IF(F5231&lt;&gt;"", TEXT(F5231, "yyyy-mm"), "")</f>
        <v/>
      </c>
    </row>
    <row r="5232">
      <c r="A5232" t="inlineStr">
        <is>
          <t>RP0005231</t>
        </is>
      </c>
      <c r="B5232" t="inlineStr">
        <is>
          <t>LN200742</t>
        </is>
      </c>
      <c r="C5232" t="n">
        <v>2</v>
      </c>
      <c r="D5232" s="8" t="n">
        <v>45717</v>
      </c>
      <c r="E5232" s="9" t="n">
        <v>48988.33</v>
      </c>
      <c r="F5232" s="8" t="n">
        <v>45714</v>
      </c>
      <c r="G5232" s="9" t="n">
        <v>48988.33</v>
      </c>
      <c r="H5232" t="inlineStr">
        <is>
          <t>PAID_ON_TIME</t>
        </is>
      </c>
      <c r="I5232">
        <f>IF(H5232="UNPAID", AsOfDate-D5232, 0)</f>
        <v/>
      </c>
      <c r="J5232">
        <f>IF(F5232&lt;&gt;"", TEXT(F5232, "yyyy-mm"), "")</f>
        <v/>
      </c>
    </row>
    <row r="5233">
      <c r="A5233" t="inlineStr">
        <is>
          <t>RP0005232</t>
        </is>
      </c>
      <c r="B5233" t="inlineStr">
        <is>
          <t>LN200742</t>
        </is>
      </c>
      <c r="C5233" t="n">
        <v>3</v>
      </c>
      <c r="D5233" s="8" t="n">
        <v>45748</v>
      </c>
      <c r="E5233" s="9" t="n">
        <v>48988.33</v>
      </c>
      <c r="F5233" s="8" t="n"/>
      <c r="G5233" s="9" t="n">
        <v>0</v>
      </c>
      <c r="H5233" t="inlineStr">
        <is>
          <t>UNPAID</t>
        </is>
      </c>
      <c r="I5233">
        <f>IF(H5233="UNPAID", AsOfDate-D5233, 0)</f>
        <v/>
      </c>
      <c r="J5233">
        <f>IF(F5233&lt;&gt;"", TEXT(F5233, "yyyy-mm"), "")</f>
        <v/>
      </c>
    </row>
    <row r="5234">
      <c r="A5234" t="inlineStr">
        <is>
          <t>RP0005233</t>
        </is>
      </c>
      <c r="B5234" t="inlineStr">
        <is>
          <t>LN200743</t>
        </is>
      </c>
      <c r="C5234" t="n">
        <v>1</v>
      </c>
      <c r="D5234" s="8" t="n">
        <v>45833</v>
      </c>
      <c r="E5234" s="9" t="n">
        <v>5713.17</v>
      </c>
      <c r="F5234" s="8" t="n">
        <v>45835</v>
      </c>
      <c r="G5234" s="9" t="n">
        <v>5713.17</v>
      </c>
      <c r="H5234" t="inlineStr">
        <is>
          <t>PAID_ON_TIME</t>
        </is>
      </c>
      <c r="I5234">
        <f>IF(H5234="UNPAID", AsOfDate-D5234, 0)</f>
        <v/>
      </c>
      <c r="J5234">
        <f>IF(F5234&lt;&gt;"", TEXT(F5234, "yyyy-mm"), "")</f>
        <v/>
      </c>
    </row>
    <row r="5235">
      <c r="A5235" t="inlineStr">
        <is>
          <t>RP0005234</t>
        </is>
      </c>
      <c r="B5235" t="inlineStr">
        <is>
          <t>LN200743</t>
        </is>
      </c>
      <c r="C5235" t="n">
        <v>2</v>
      </c>
      <c r="D5235" s="8" t="n">
        <v>45863</v>
      </c>
      <c r="E5235" s="9" t="n">
        <v>5713.17</v>
      </c>
      <c r="F5235" s="8" t="n">
        <v>45863</v>
      </c>
      <c r="G5235" s="9" t="n">
        <v>5713.17</v>
      </c>
      <c r="H5235" t="inlineStr">
        <is>
          <t>PAID_ON_TIME</t>
        </is>
      </c>
      <c r="I5235">
        <f>IF(H5235="UNPAID", AsOfDate-D5235, 0)</f>
        <v/>
      </c>
      <c r="J5235">
        <f>IF(F5235&lt;&gt;"", TEXT(F5235, "yyyy-mm"), "")</f>
        <v/>
      </c>
    </row>
    <row r="5236">
      <c r="A5236" t="inlineStr">
        <is>
          <t>RP0005235</t>
        </is>
      </c>
      <c r="B5236" t="inlineStr">
        <is>
          <t>LN200743</t>
        </is>
      </c>
      <c r="C5236" t="n">
        <v>3</v>
      </c>
      <c r="D5236" s="8" t="n">
        <v>45894</v>
      </c>
      <c r="E5236" s="9" t="n">
        <v>5713.17</v>
      </c>
      <c r="F5236" s="8" t="n">
        <v>45897</v>
      </c>
      <c r="G5236" s="9" t="n">
        <v>5713.17</v>
      </c>
      <c r="H5236" t="inlineStr">
        <is>
          <t>PAID_ON_TIME</t>
        </is>
      </c>
      <c r="I5236">
        <f>IF(H5236="UNPAID", AsOfDate-D5236, 0)</f>
        <v/>
      </c>
      <c r="J5236">
        <f>IF(F5236&lt;&gt;"", TEXT(F5236, "yyyy-mm"), "")</f>
        <v/>
      </c>
    </row>
    <row r="5237">
      <c r="A5237" t="inlineStr">
        <is>
          <t>RP0005236</t>
        </is>
      </c>
      <c r="B5237" t="inlineStr">
        <is>
          <t>LN200743</t>
        </is>
      </c>
      <c r="C5237" t="n">
        <v>4</v>
      </c>
      <c r="D5237" s="8" t="n">
        <v>45925</v>
      </c>
      <c r="E5237" s="9" t="n">
        <v>5713.17</v>
      </c>
      <c r="F5237" s="8" t="n">
        <v>45924</v>
      </c>
      <c r="G5237" s="9" t="n">
        <v>5713.17</v>
      </c>
      <c r="H5237" t="inlineStr">
        <is>
          <t>PAID_ON_TIME</t>
        </is>
      </c>
      <c r="I5237">
        <f>IF(H5237="UNPAID", AsOfDate-D5237, 0)</f>
        <v/>
      </c>
      <c r="J5237">
        <f>IF(F5237&lt;&gt;"", TEXT(F5237, "yyyy-mm"), "")</f>
        <v/>
      </c>
    </row>
    <row r="5238">
      <c r="A5238" t="inlineStr">
        <is>
          <t>RP0005237</t>
        </is>
      </c>
      <c r="B5238" t="inlineStr">
        <is>
          <t>LN200743</t>
        </is>
      </c>
      <c r="C5238" t="n">
        <v>5</v>
      </c>
      <c r="D5238" s="8" t="n">
        <v>45955</v>
      </c>
      <c r="E5238" s="9" t="n">
        <v>5713.17</v>
      </c>
      <c r="F5238" s="8" t="n">
        <v>45977</v>
      </c>
      <c r="G5238" s="9" t="n">
        <v>5713.17</v>
      </c>
      <c r="H5238" t="inlineStr">
        <is>
          <t>PAID_LATE</t>
        </is>
      </c>
      <c r="I5238">
        <f>IF(H5238="UNPAID", AsOfDate-D5238, 0)</f>
        <v/>
      </c>
      <c r="J5238">
        <f>IF(F5238&lt;&gt;"", TEXT(F5238, "yyyy-mm"), "")</f>
        <v/>
      </c>
    </row>
    <row r="5239">
      <c r="A5239" t="inlineStr">
        <is>
          <t>RP0005238</t>
        </is>
      </c>
      <c r="B5239" t="inlineStr">
        <is>
          <t>LN200743</t>
        </is>
      </c>
      <c r="C5239" t="n">
        <v>6</v>
      </c>
      <c r="D5239" s="8" t="n">
        <v>45986</v>
      </c>
      <c r="E5239" s="9" t="n">
        <v>5713.17</v>
      </c>
      <c r="F5239" s="8" t="n">
        <v>45988</v>
      </c>
      <c r="G5239" s="9" t="n">
        <v>5713.17</v>
      </c>
      <c r="H5239" t="inlineStr">
        <is>
          <t>PAID_ON_TIME</t>
        </is>
      </c>
      <c r="I5239">
        <f>IF(H5239="UNPAID", AsOfDate-D5239, 0)</f>
        <v/>
      </c>
      <c r="J5239">
        <f>IF(F5239&lt;&gt;"", TEXT(F5239, "yyyy-mm"), "")</f>
        <v/>
      </c>
    </row>
    <row r="5240">
      <c r="A5240" t="inlineStr">
        <is>
          <t>RP0005239</t>
        </is>
      </c>
      <c r="B5240" t="inlineStr">
        <is>
          <t>LN200743</t>
        </is>
      </c>
      <c r="C5240" t="n">
        <v>7</v>
      </c>
      <c r="D5240" s="8" t="n">
        <v>46016</v>
      </c>
      <c r="E5240" s="9" t="n">
        <v>5713.17</v>
      </c>
      <c r="F5240" s="8" t="n">
        <v>46015</v>
      </c>
      <c r="G5240" s="9" t="n">
        <v>5713.17</v>
      </c>
      <c r="H5240" t="inlineStr">
        <is>
          <t>PAID_ON_TIME</t>
        </is>
      </c>
      <c r="I5240">
        <f>IF(H5240="UNPAID", AsOfDate-D5240, 0)</f>
        <v/>
      </c>
      <c r="J5240">
        <f>IF(F5240&lt;&gt;"", TEXT(F5240, "yyyy-mm"), "")</f>
        <v/>
      </c>
    </row>
    <row r="5241">
      <c r="A5241" t="inlineStr">
        <is>
          <t>RP0005240</t>
        </is>
      </c>
      <c r="B5241" t="inlineStr">
        <is>
          <t>LN200743</t>
        </is>
      </c>
      <c r="C5241" t="n">
        <v>8</v>
      </c>
      <c r="D5241" s="8" t="n">
        <v>46047</v>
      </c>
      <c r="E5241" s="9" t="n">
        <v>5713.17</v>
      </c>
      <c r="F5241" s="8" t="n">
        <v>46045</v>
      </c>
      <c r="G5241" s="9" t="n">
        <v>5713.17</v>
      </c>
      <c r="H5241" t="inlineStr">
        <is>
          <t>PAID_ON_TIME</t>
        </is>
      </c>
      <c r="I5241">
        <f>IF(H5241="UNPAID", AsOfDate-D5241, 0)</f>
        <v/>
      </c>
      <c r="J5241">
        <f>IF(F5241&lt;&gt;"", TEXT(F5241, "yyyy-mm"), "")</f>
        <v/>
      </c>
    </row>
    <row r="5242">
      <c r="A5242" t="inlineStr">
        <is>
          <t>RP0005241</t>
        </is>
      </c>
      <c r="B5242" t="inlineStr">
        <is>
          <t>LN200743</t>
        </is>
      </c>
      <c r="C5242" t="n">
        <v>9</v>
      </c>
      <c r="D5242" s="8" t="n">
        <v>46078</v>
      </c>
      <c r="E5242" s="9" t="n">
        <v>5713.17</v>
      </c>
      <c r="F5242" s="8" t="n">
        <v>46077</v>
      </c>
      <c r="G5242" s="9" t="n">
        <v>5713.17</v>
      </c>
      <c r="H5242" t="inlineStr">
        <is>
          <t>PAID_ON_TIME</t>
        </is>
      </c>
      <c r="I5242">
        <f>IF(H5242="UNPAID", AsOfDate-D5242, 0)</f>
        <v/>
      </c>
      <c r="J5242">
        <f>IF(F5242&lt;&gt;"", TEXT(F5242, "yyyy-mm"), "")</f>
        <v/>
      </c>
    </row>
    <row r="5243">
      <c r="A5243" t="inlineStr">
        <is>
          <t>RP0005242</t>
        </is>
      </c>
      <c r="B5243" t="inlineStr">
        <is>
          <t>LN200743</t>
        </is>
      </c>
      <c r="C5243" t="n">
        <v>10</v>
      </c>
      <c r="D5243" s="8" t="n">
        <v>46106</v>
      </c>
      <c r="E5243" s="9" t="n">
        <v>5713.17</v>
      </c>
      <c r="F5243" s="8" t="n">
        <v>46111</v>
      </c>
      <c r="G5243" s="9" t="n">
        <v>5713.17</v>
      </c>
      <c r="H5243" t="inlineStr">
        <is>
          <t>PAID_LATE</t>
        </is>
      </c>
      <c r="I5243">
        <f>IF(H5243="UNPAID", AsOfDate-D5243, 0)</f>
        <v/>
      </c>
      <c r="J5243">
        <f>IF(F5243&lt;&gt;"", TEXT(F5243, "yyyy-mm"), "")</f>
        <v/>
      </c>
    </row>
    <row r="5244">
      <c r="A5244" t="inlineStr">
        <is>
          <t>RP0005243</t>
        </is>
      </c>
      <c r="B5244" t="inlineStr">
        <is>
          <t>LN200743</t>
        </is>
      </c>
      <c r="C5244" t="n">
        <v>11</v>
      </c>
      <c r="D5244" s="8" t="n">
        <v>46137</v>
      </c>
      <c r="E5244" s="9" t="n">
        <v>5713.17</v>
      </c>
      <c r="F5244" s="8" t="n">
        <v>46135</v>
      </c>
      <c r="G5244" s="9" t="n">
        <v>5713.17</v>
      </c>
      <c r="H5244" t="inlineStr">
        <is>
          <t>PAID_ON_TIME</t>
        </is>
      </c>
      <c r="I5244">
        <f>IF(H5244="UNPAID", AsOfDate-D5244, 0)</f>
        <v/>
      </c>
      <c r="J5244">
        <f>IF(F5244&lt;&gt;"", TEXT(F5244, "yyyy-mm"), "")</f>
        <v/>
      </c>
    </row>
    <row r="5245">
      <c r="A5245" t="inlineStr">
        <is>
          <t>RP0005244</t>
        </is>
      </c>
      <c r="B5245" t="inlineStr">
        <is>
          <t>LN200743</t>
        </is>
      </c>
      <c r="C5245" t="n">
        <v>12</v>
      </c>
      <c r="D5245" s="8" t="n">
        <v>46167</v>
      </c>
      <c r="E5245" s="9" t="n">
        <v>5713.17</v>
      </c>
      <c r="F5245" s="8" t="n">
        <v>46166</v>
      </c>
      <c r="G5245" s="9" t="n">
        <v>5713.17</v>
      </c>
      <c r="H5245" t="inlineStr">
        <is>
          <t>PAID_ON_TIME</t>
        </is>
      </c>
      <c r="I5245">
        <f>IF(H5245="UNPAID", AsOfDate-D5245, 0)</f>
        <v/>
      </c>
      <c r="J5245">
        <f>IF(F5245&lt;&gt;"", TEXT(F5245, "yyyy-mm"), "")</f>
        <v/>
      </c>
    </row>
    <row r="5246">
      <c r="A5246" t="inlineStr">
        <is>
          <t>RP0005245</t>
        </is>
      </c>
      <c r="B5246" t="inlineStr">
        <is>
          <t>LN200744</t>
        </is>
      </c>
      <c r="C5246" t="n">
        <v>1</v>
      </c>
      <c r="D5246" s="8" t="n">
        <v>45826</v>
      </c>
      <c r="E5246" s="9" t="n">
        <v>47362.5</v>
      </c>
      <c r="F5246" s="8" t="n">
        <v>45829</v>
      </c>
      <c r="G5246" s="9" t="n">
        <v>47362.5</v>
      </c>
      <c r="H5246" t="inlineStr">
        <is>
          <t>PAID_ON_TIME</t>
        </is>
      </c>
      <c r="I5246">
        <f>IF(H5246="UNPAID", AsOfDate-D5246, 0)</f>
        <v/>
      </c>
      <c r="J5246">
        <f>IF(F5246&lt;&gt;"", TEXT(F5246, "yyyy-mm"), "")</f>
        <v/>
      </c>
    </row>
    <row r="5247">
      <c r="A5247" t="inlineStr">
        <is>
          <t>RP0005246</t>
        </is>
      </c>
      <c r="B5247" t="inlineStr">
        <is>
          <t>LN200744</t>
        </is>
      </c>
      <c r="C5247" t="n">
        <v>2</v>
      </c>
      <c r="D5247" s="8" t="n">
        <v>45856</v>
      </c>
      <c r="E5247" s="9" t="n">
        <v>47362.5</v>
      </c>
      <c r="F5247" s="8" t="n">
        <v>45858</v>
      </c>
      <c r="G5247" s="9" t="n">
        <v>47362.5</v>
      </c>
      <c r="H5247" t="inlineStr">
        <is>
          <t>PAID_ON_TIME</t>
        </is>
      </c>
      <c r="I5247">
        <f>IF(H5247="UNPAID", AsOfDate-D5247, 0)</f>
        <v/>
      </c>
      <c r="J5247">
        <f>IF(F5247&lt;&gt;"", TEXT(F5247, "yyyy-mm"), "")</f>
        <v/>
      </c>
    </row>
    <row r="5248">
      <c r="A5248" t="inlineStr">
        <is>
          <t>RP0005247</t>
        </is>
      </c>
      <c r="B5248" t="inlineStr">
        <is>
          <t>LN200744</t>
        </is>
      </c>
      <c r="C5248" t="n">
        <v>3</v>
      </c>
      <c r="D5248" s="8" t="n">
        <v>45887</v>
      </c>
      <c r="E5248" s="9" t="n">
        <v>47362.5</v>
      </c>
      <c r="F5248" s="8" t="n">
        <v>45985</v>
      </c>
      <c r="G5248" s="9" t="n">
        <v>47362.5</v>
      </c>
      <c r="H5248" t="inlineStr">
        <is>
          <t>PAID_LATE</t>
        </is>
      </c>
      <c r="I5248">
        <f>IF(H5248="UNPAID", AsOfDate-D5248, 0)</f>
        <v/>
      </c>
      <c r="J5248">
        <f>IF(F5248&lt;&gt;"", TEXT(F5248, "yyyy-mm"), "")</f>
        <v/>
      </c>
    </row>
    <row r="5249">
      <c r="A5249" t="inlineStr">
        <is>
          <t>RP0005248</t>
        </is>
      </c>
      <c r="B5249" t="inlineStr">
        <is>
          <t>LN200745</t>
        </is>
      </c>
      <c r="C5249" t="n">
        <v>1</v>
      </c>
      <c r="D5249" s="8" t="n">
        <v>46136</v>
      </c>
      <c r="E5249" s="9" t="n">
        <v>4456</v>
      </c>
      <c r="F5249" s="8" t="n">
        <v>46134</v>
      </c>
      <c r="G5249" s="9" t="n">
        <v>4456</v>
      </c>
      <c r="H5249" t="inlineStr">
        <is>
          <t>PAID_ON_TIME</t>
        </is>
      </c>
      <c r="I5249">
        <f>IF(H5249="UNPAID", AsOfDate-D5249, 0)</f>
        <v/>
      </c>
      <c r="J5249">
        <f>IF(F5249&lt;&gt;"", TEXT(F5249, "yyyy-mm"), "")</f>
        <v/>
      </c>
    </row>
    <row r="5250">
      <c r="A5250" t="inlineStr">
        <is>
          <t>RP0005249</t>
        </is>
      </c>
      <c r="B5250" t="inlineStr">
        <is>
          <t>LN200745</t>
        </is>
      </c>
      <c r="C5250" t="n">
        <v>2</v>
      </c>
      <c r="D5250" s="8" t="n">
        <v>46166</v>
      </c>
      <c r="E5250" s="9" t="n">
        <v>4456</v>
      </c>
      <c r="F5250" s="8" t="n">
        <v>46235</v>
      </c>
      <c r="G5250" s="9" t="n">
        <v>4456</v>
      </c>
      <c r="H5250" t="inlineStr">
        <is>
          <t>PAID_LATE</t>
        </is>
      </c>
      <c r="I5250">
        <f>IF(H5250="UNPAID", AsOfDate-D5250, 0)</f>
        <v/>
      </c>
      <c r="J5250">
        <f>IF(F5250&lt;&gt;"", TEXT(F5250, "yyyy-mm"), "")</f>
        <v/>
      </c>
    </row>
    <row r="5251">
      <c r="A5251" t="inlineStr">
        <is>
          <t>RP0005250</t>
        </is>
      </c>
      <c r="B5251" t="inlineStr">
        <is>
          <t>LN200745</t>
        </is>
      </c>
      <c r="C5251" t="n">
        <v>3</v>
      </c>
      <c r="D5251" s="8" t="n">
        <v>46197</v>
      </c>
      <c r="E5251" s="9" t="n">
        <v>4456</v>
      </c>
      <c r="F5251" s="8" t="n">
        <v>46194</v>
      </c>
      <c r="G5251" s="9" t="n">
        <v>4456</v>
      </c>
      <c r="H5251" t="inlineStr">
        <is>
          <t>PAID_ON_TIME</t>
        </is>
      </c>
      <c r="I5251">
        <f>IF(H5251="UNPAID", AsOfDate-D5251, 0)</f>
        <v/>
      </c>
      <c r="J5251">
        <f>IF(F5251&lt;&gt;"", TEXT(F5251, "yyyy-mm"), "")</f>
        <v/>
      </c>
    </row>
    <row r="5252">
      <c r="A5252" t="inlineStr">
        <is>
          <t>RP0005251</t>
        </is>
      </c>
      <c r="B5252" t="inlineStr">
        <is>
          <t>LN200745</t>
        </is>
      </c>
      <c r="C5252" t="n">
        <v>4</v>
      </c>
      <c r="D5252" s="8" t="n">
        <v>46227</v>
      </c>
      <c r="E5252" s="9" t="n">
        <v>4456</v>
      </c>
      <c r="F5252" s="8" t="n">
        <v>46229</v>
      </c>
      <c r="G5252" s="9" t="n">
        <v>4456</v>
      </c>
      <c r="H5252" t="inlineStr">
        <is>
          <t>PAID_ON_TIME</t>
        </is>
      </c>
      <c r="I5252">
        <f>IF(H5252="UNPAID", AsOfDate-D5252, 0)</f>
        <v/>
      </c>
      <c r="J5252">
        <f>IF(F5252&lt;&gt;"", TEXT(F5252, "yyyy-mm"), "")</f>
        <v/>
      </c>
    </row>
    <row r="5253">
      <c r="A5253" t="inlineStr">
        <is>
          <t>RP0005252</t>
        </is>
      </c>
      <c r="B5253" t="inlineStr">
        <is>
          <t>LN200745</t>
        </is>
      </c>
      <c r="C5253" t="n">
        <v>5</v>
      </c>
      <c r="D5253" s="8" t="n">
        <v>46258</v>
      </c>
      <c r="E5253" s="9" t="n">
        <v>4456</v>
      </c>
      <c r="F5253" s="8" t="n">
        <v>46261</v>
      </c>
      <c r="G5253" s="9" t="n">
        <v>4456</v>
      </c>
      <c r="H5253" t="inlineStr">
        <is>
          <t>PAID_ON_TIME</t>
        </is>
      </c>
      <c r="I5253">
        <f>IF(H5253="UNPAID", AsOfDate-D5253, 0)</f>
        <v/>
      </c>
      <c r="J5253">
        <f>IF(F5253&lt;&gt;"", TEXT(F5253, "yyyy-mm"), "")</f>
        <v/>
      </c>
    </row>
    <row r="5254">
      <c r="A5254" t="inlineStr">
        <is>
          <t>RP0005253</t>
        </is>
      </c>
      <c r="B5254" t="inlineStr">
        <is>
          <t>LN200745</t>
        </is>
      </c>
      <c r="C5254" t="n">
        <v>6</v>
      </c>
      <c r="D5254" s="8" t="n">
        <v>46289</v>
      </c>
      <c r="E5254" s="9" t="n">
        <v>4456</v>
      </c>
      <c r="F5254" s="8" t="n"/>
      <c r="G5254" s="9" t="n">
        <v>0</v>
      </c>
      <c r="H5254" t="inlineStr">
        <is>
          <t>NOT_DUE</t>
        </is>
      </c>
      <c r="I5254">
        <f>IF(H5254="UNPAID", AsOfDate-D5254, 0)</f>
        <v/>
      </c>
      <c r="J5254">
        <f>IF(F5254&lt;&gt;"", TEXT(F5254, "yyyy-mm"), "")</f>
        <v/>
      </c>
    </row>
    <row r="5255">
      <c r="A5255" t="inlineStr">
        <is>
          <t>RP0005254</t>
        </is>
      </c>
      <c r="B5255" t="inlineStr">
        <is>
          <t>LN200747</t>
        </is>
      </c>
      <c r="C5255" t="n">
        <v>1</v>
      </c>
      <c r="D5255" s="8" t="n">
        <v>46244</v>
      </c>
      <c r="E5255" s="9" t="n">
        <v>1553.78</v>
      </c>
      <c r="F5255" s="8" t="n">
        <v>46243</v>
      </c>
      <c r="G5255" s="9" t="n">
        <v>1553.78</v>
      </c>
      <c r="H5255" t="inlineStr">
        <is>
          <t>PAID_ON_TIME</t>
        </is>
      </c>
      <c r="I5255">
        <f>IF(H5255="UNPAID", AsOfDate-D5255, 0)</f>
        <v/>
      </c>
      <c r="J5255">
        <f>IF(F5255&lt;&gt;"", TEXT(F5255, "yyyy-mm"), "")</f>
        <v/>
      </c>
    </row>
    <row r="5256">
      <c r="A5256" t="inlineStr">
        <is>
          <t>RP0005255</t>
        </is>
      </c>
      <c r="B5256" t="inlineStr">
        <is>
          <t>LN200747</t>
        </is>
      </c>
      <c r="C5256" t="n">
        <v>2</v>
      </c>
      <c r="D5256" s="8" t="n">
        <v>46275</v>
      </c>
      <c r="E5256" s="9" t="n">
        <v>1553.78</v>
      </c>
      <c r="F5256" s="8" t="n"/>
      <c r="G5256" s="9" t="n">
        <v>0</v>
      </c>
      <c r="H5256" t="inlineStr">
        <is>
          <t>NOT_DUE</t>
        </is>
      </c>
      <c r="I5256">
        <f>IF(H5256="UNPAID", AsOfDate-D5256, 0)</f>
        <v/>
      </c>
      <c r="J5256">
        <f>IF(F5256&lt;&gt;"", TEXT(F5256, "yyyy-mm"), "")</f>
        <v/>
      </c>
    </row>
    <row r="5257">
      <c r="A5257" t="inlineStr">
        <is>
          <t>RP0005256</t>
        </is>
      </c>
      <c r="B5257" t="inlineStr">
        <is>
          <t>LN200747</t>
        </is>
      </c>
      <c r="C5257" t="n">
        <v>3</v>
      </c>
      <c r="D5257" s="8" t="n">
        <v>46305</v>
      </c>
      <c r="E5257" s="9" t="n">
        <v>1553.78</v>
      </c>
      <c r="F5257" s="8" t="n"/>
      <c r="G5257" s="9" t="n">
        <v>0</v>
      </c>
      <c r="H5257" t="inlineStr">
        <is>
          <t>NOT_DUE</t>
        </is>
      </c>
      <c r="I5257">
        <f>IF(H5257="UNPAID", AsOfDate-D5257, 0)</f>
        <v/>
      </c>
      <c r="J5257">
        <f>IF(F5257&lt;&gt;"", TEXT(F5257, "yyyy-mm"), "")</f>
        <v/>
      </c>
    </row>
    <row r="5258">
      <c r="A5258" t="inlineStr">
        <is>
          <t>RP0005257</t>
        </is>
      </c>
      <c r="B5258" t="inlineStr">
        <is>
          <t>LN200747</t>
        </is>
      </c>
      <c r="C5258" t="n">
        <v>4</v>
      </c>
      <c r="D5258" s="8" t="n">
        <v>46336</v>
      </c>
      <c r="E5258" s="9" t="n">
        <v>1553.78</v>
      </c>
      <c r="F5258" s="8" t="n"/>
      <c r="G5258" s="9" t="n">
        <v>0</v>
      </c>
      <c r="H5258" t="inlineStr">
        <is>
          <t>NOT_DUE</t>
        </is>
      </c>
      <c r="I5258">
        <f>IF(H5258="UNPAID", AsOfDate-D5258, 0)</f>
        <v/>
      </c>
      <c r="J5258">
        <f>IF(F5258&lt;&gt;"", TEXT(F5258, "yyyy-mm"), "")</f>
        <v/>
      </c>
    </row>
    <row r="5259">
      <c r="A5259" t="inlineStr">
        <is>
          <t>RP0005258</t>
        </is>
      </c>
      <c r="B5259" t="inlineStr">
        <is>
          <t>LN200747</t>
        </is>
      </c>
      <c r="C5259" t="n">
        <v>5</v>
      </c>
      <c r="D5259" s="8" t="n">
        <v>46366</v>
      </c>
      <c r="E5259" s="9" t="n">
        <v>1553.78</v>
      </c>
      <c r="F5259" s="8" t="n"/>
      <c r="G5259" s="9" t="n">
        <v>0</v>
      </c>
      <c r="H5259" t="inlineStr">
        <is>
          <t>NOT_DUE</t>
        </is>
      </c>
      <c r="I5259">
        <f>IF(H5259="UNPAID", AsOfDate-D5259, 0)</f>
        <v/>
      </c>
      <c r="J5259">
        <f>IF(F5259&lt;&gt;"", TEXT(F5259, "yyyy-mm"), "")</f>
        <v/>
      </c>
    </row>
    <row r="5260">
      <c r="A5260" t="inlineStr">
        <is>
          <t>RP0005259</t>
        </is>
      </c>
      <c r="B5260" t="inlineStr">
        <is>
          <t>LN200747</t>
        </is>
      </c>
      <c r="C5260" t="n">
        <v>6</v>
      </c>
      <c r="D5260" s="8" t="n">
        <v>46397</v>
      </c>
      <c r="E5260" s="9" t="n">
        <v>1553.78</v>
      </c>
      <c r="F5260" s="8" t="n"/>
      <c r="G5260" s="9" t="n">
        <v>0</v>
      </c>
      <c r="H5260" t="inlineStr">
        <is>
          <t>NOT_DUE</t>
        </is>
      </c>
      <c r="I5260">
        <f>IF(H5260="UNPAID", AsOfDate-D5260, 0)</f>
        <v/>
      </c>
      <c r="J5260">
        <f>IF(F5260&lt;&gt;"", TEXT(F5260, "yyyy-mm"), "")</f>
        <v/>
      </c>
    </row>
    <row r="5261">
      <c r="A5261" t="inlineStr">
        <is>
          <t>RP0005260</t>
        </is>
      </c>
      <c r="B5261" t="inlineStr">
        <is>
          <t>LN200747</t>
        </is>
      </c>
      <c r="C5261" t="n">
        <v>7</v>
      </c>
      <c r="D5261" s="8" t="n">
        <v>46428</v>
      </c>
      <c r="E5261" s="9" t="n">
        <v>1553.78</v>
      </c>
      <c r="F5261" s="8" t="n"/>
      <c r="G5261" s="9" t="n">
        <v>0</v>
      </c>
      <c r="H5261" t="inlineStr">
        <is>
          <t>NOT_DUE</t>
        </is>
      </c>
      <c r="I5261">
        <f>IF(H5261="UNPAID", AsOfDate-D5261, 0)</f>
        <v/>
      </c>
      <c r="J5261">
        <f>IF(F5261&lt;&gt;"", TEXT(F5261, "yyyy-mm"), "")</f>
        <v/>
      </c>
    </row>
    <row r="5262">
      <c r="A5262" t="inlineStr">
        <is>
          <t>RP0005261</t>
        </is>
      </c>
      <c r="B5262" t="inlineStr">
        <is>
          <t>LN200747</t>
        </is>
      </c>
      <c r="C5262" t="n">
        <v>8</v>
      </c>
      <c r="D5262" s="8" t="n">
        <v>46456</v>
      </c>
      <c r="E5262" s="9" t="n">
        <v>1553.78</v>
      </c>
      <c r="F5262" s="8" t="n"/>
      <c r="G5262" s="9" t="n">
        <v>0</v>
      </c>
      <c r="H5262" t="inlineStr">
        <is>
          <t>NOT_DUE</t>
        </is>
      </c>
      <c r="I5262">
        <f>IF(H5262="UNPAID", AsOfDate-D5262, 0)</f>
        <v/>
      </c>
      <c r="J5262">
        <f>IF(F5262&lt;&gt;"", TEXT(F5262, "yyyy-mm"), "")</f>
        <v/>
      </c>
    </row>
    <row r="5263">
      <c r="A5263" t="inlineStr">
        <is>
          <t>RP0005262</t>
        </is>
      </c>
      <c r="B5263" t="inlineStr">
        <is>
          <t>LN200747</t>
        </is>
      </c>
      <c r="C5263" t="n">
        <v>9</v>
      </c>
      <c r="D5263" s="8" t="n">
        <v>46487</v>
      </c>
      <c r="E5263" s="9" t="n">
        <v>1553.78</v>
      </c>
      <c r="F5263" s="8" t="n"/>
      <c r="G5263" s="9" t="n">
        <v>0</v>
      </c>
      <c r="H5263" t="inlineStr">
        <is>
          <t>NOT_DUE</t>
        </is>
      </c>
      <c r="I5263">
        <f>IF(H5263="UNPAID", AsOfDate-D5263, 0)</f>
        <v/>
      </c>
      <c r="J5263">
        <f>IF(F5263&lt;&gt;"", TEXT(F5263, "yyyy-mm"), "")</f>
        <v/>
      </c>
    </row>
    <row r="5264">
      <c r="A5264" t="inlineStr">
        <is>
          <t>RP0005263</t>
        </is>
      </c>
      <c r="B5264" t="inlineStr">
        <is>
          <t>LN200747</t>
        </is>
      </c>
      <c r="C5264" t="n">
        <v>10</v>
      </c>
      <c r="D5264" s="8" t="n">
        <v>46517</v>
      </c>
      <c r="E5264" s="9" t="n">
        <v>1553.78</v>
      </c>
      <c r="F5264" s="8" t="n"/>
      <c r="G5264" s="9" t="n">
        <v>0</v>
      </c>
      <c r="H5264" t="inlineStr">
        <is>
          <t>NOT_DUE</t>
        </is>
      </c>
      <c r="I5264">
        <f>IF(H5264="UNPAID", AsOfDate-D5264, 0)</f>
        <v/>
      </c>
      <c r="J5264">
        <f>IF(F5264&lt;&gt;"", TEXT(F5264, "yyyy-mm"), "")</f>
        <v/>
      </c>
    </row>
    <row r="5265">
      <c r="A5265" t="inlineStr">
        <is>
          <t>RP0005264</t>
        </is>
      </c>
      <c r="B5265" t="inlineStr">
        <is>
          <t>LN200747</t>
        </is>
      </c>
      <c r="C5265" t="n">
        <v>11</v>
      </c>
      <c r="D5265" s="8" t="n">
        <v>46548</v>
      </c>
      <c r="E5265" s="9" t="n">
        <v>1553.78</v>
      </c>
      <c r="F5265" s="8" t="n"/>
      <c r="G5265" s="9" t="n">
        <v>0</v>
      </c>
      <c r="H5265" t="inlineStr">
        <is>
          <t>NOT_DUE</t>
        </is>
      </c>
      <c r="I5265">
        <f>IF(H5265="UNPAID", AsOfDate-D5265, 0)</f>
        <v/>
      </c>
      <c r="J5265">
        <f>IF(F5265&lt;&gt;"", TEXT(F5265, "yyyy-mm"), "")</f>
        <v/>
      </c>
    </row>
    <row r="5266">
      <c r="A5266" t="inlineStr">
        <is>
          <t>RP0005265</t>
        </is>
      </c>
      <c r="B5266" t="inlineStr">
        <is>
          <t>LN200747</t>
        </is>
      </c>
      <c r="C5266" t="n">
        <v>12</v>
      </c>
      <c r="D5266" s="8" t="n">
        <v>46578</v>
      </c>
      <c r="E5266" s="9" t="n">
        <v>1553.78</v>
      </c>
      <c r="F5266" s="8" t="n"/>
      <c r="G5266" s="9" t="n">
        <v>0</v>
      </c>
      <c r="H5266" t="inlineStr">
        <is>
          <t>NOT_DUE</t>
        </is>
      </c>
      <c r="I5266">
        <f>IF(H5266="UNPAID", AsOfDate-D5266, 0)</f>
        <v/>
      </c>
      <c r="J5266">
        <f>IF(F5266&lt;&gt;"", TEXT(F5266, "yyyy-mm"), "")</f>
        <v/>
      </c>
    </row>
    <row r="5267">
      <c r="A5267" t="inlineStr">
        <is>
          <t>RP0005266</t>
        </is>
      </c>
      <c r="B5267" t="inlineStr">
        <is>
          <t>LN200747</t>
        </is>
      </c>
      <c r="C5267" t="n">
        <v>13</v>
      </c>
      <c r="D5267" s="8" t="n">
        <v>46609</v>
      </c>
      <c r="E5267" s="9" t="n">
        <v>1553.78</v>
      </c>
      <c r="F5267" s="8" t="n"/>
      <c r="G5267" s="9" t="n">
        <v>0</v>
      </c>
      <c r="H5267" t="inlineStr">
        <is>
          <t>NOT_DUE</t>
        </is>
      </c>
      <c r="I5267">
        <f>IF(H5267="UNPAID", AsOfDate-D5267, 0)</f>
        <v/>
      </c>
      <c r="J5267">
        <f>IF(F5267&lt;&gt;"", TEXT(F5267, "yyyy-mm"), "")</f>
        <v/>
      </c>
    </row>
    <row r="5268">
      <c r="A5268" t="inlineStr">
        <is>
          <t>RP0005267</t>
        </is>
      </c>
      <c r="B5268" t="inlineStr">
        <is>
          <t>LN200747</t>
        </is>
      </c>
      <c r="C5268" t="n">
        <v>14</v>
      </c>
      <c r="D5268" s="8" t="n">
        <v>46640</v>
      </c>
      <c r="E5268" s="9" t="n">
        <v>1553.78</v>
      </c>
      <c r="F5268" s="8" t="n"/>
      <c r="G5268" s="9" t="n">
        <v>0</v>
      </c>
      <c r="H5268" t="inlineStr">
        <is>
          <t>NOT_DUE</t>
        </is>
      </c>
      <c r="I5268">
        <f>IF(H5268="UNPAID", AsOfDate-D5268, 0)</f>
        <v/>
      </c>
      <c r="J5268">
        <f>IF(F5268&lt;&gt;"", TEXT(F5268, "yyyy-mm"), "")</f>
        <v/>
      </c>
    </row>
    <row r="5269">
      <c r="A5269" t="inlineStr">
        <is>
          <t>RP0005268</t>
        </is>
      </c>
      <c r="B5269" t="inlineStr">
        <is>
          <t>LN200747</t>
        </is>
      </c>
      <c r="C5269" t="n">
        <v>15</v>
      </c>
      <c r="D5269" s="8" t="n">
        <v>46670</v>
      </c>
      <c r="E5269" s="9" t="n">
        <v>1553.78</v>
      </c>
      <c r="F5269" s="8" t="n"/>
      <c r="G5269" s="9" t="n">
        <v>0</v>
      </c>
      <c r="H5269" t="inlineStr">
        <is>
          <t>NOT_DUE</t>
        </is>
      </c>
      <c r="I5269">
        <f>IF(H5269="UNPAID", AsOfDate-D5269, 0)</f>
        <v/>
      </c>
      <c r="J5269">
        <f>IF(F5269&lt;&gt;"", TEXT(F5269, "yyyy-mm"), "")</f>
        <v/>
      </c>
    </row>
    <row r="5270">
      <c r="A5270" t="inlineStr">
        <is>
          <t>RP0005269</t>
        </is>
      </c>
      <c r="B5270" t="inlineStr">
        <is>
          <t>LN200747</t>
        </is>
      </c>
      <c r="C5270" t="n">
        <v>16</v>
      </c>
      <c r="D5270" s="8" t="n">
        <v>46701</v>
      </c>
      <c r="E5270" s="9" t="n">
        <v>1553.78</v>
      </c>
      <c r="F5270" s="8" t="n"/>
      <c r="G5270" s="9" t="n">
        <v>0</v>
      </c>
      <c r="H5270" t="inlineStr">
        <is>
          <t>NOT_DUE</t>
        </is>
      </c>
      <c r="I5270">
        <f>IF(H5270="UNPAID", AsOfDate-D5270, 0)</f>
        <v/>
      </c>
      <c r="J5270">
        <f>IF(F5270&lt;&gt;"", TEXT(F5270, "yyyy-mm"), "")</f>
        <v/>
      </c>
    </row>
    <row r="5271">
      <c r="A5271" t="inlineStr">
        <is>
          <t>RP0005270</t>
        </is>
      </c>
      <c r="B5271" t="inlineStr">
        <is>
          <t>LN200747</t>
        </is>
      </c>
      <c r="C5271" t="n">
        <v>17</v>
      </c>
      <c r="D5271" s="8" t="n">
        <v>46731</v>
      </c>
      <c r="E5271" s="9" t="n">
        <v>1553.78</v>
      </c>
      <c r="F5271" s="8" t="n"/>
      <c r="G5271" s="9" t="n">
        <v>0</v>
      </c>
      <c r="H5271" t="inlineStr">
        <is>
          <t>NOT_DUE</t>
        </is>
      </c>
      <c r="I5271">
        <f>IF(H5271="UNPAID", AsOfDate-D5271, 0)</f>
        <v/>
      </c>
      <c r="J5271">
        <f>IF(F5271&lt;&gt;"", TEXT(F5271, "yyyy-mm"), "")</f>
        <v/>
      </c>
    </row>
    <row r="5272">
      <c r="A5272" t="inlineStr">
        <is>
          <t>RP0005271</t>
        </is>
      </c>
      <c r="B5272" t="inlineStr">
        <is>
          <t>LN200747</t>
        </is>
      </c>
      <c r="C5272" t="n">
        <v>18</v>
      </c>
      <c r="D5272" s="8" t="n">
        <v>46762</v>
      </c>
      <c r="E5272" s="9" t="n">
        <v>1553.78</v>
      </c>
      <c r="F5272" s="8" t="n"/>
      <c r="G5272" s="9" t="n">
        <v>0</v>
      </c>
      <c r="H5272" t="inlineStr">
        <is>
          <t>NOT_DUE</t>
        </is>
      </c>
      <c r="I5272">
        <f>IF(H5272="UNPAID", AsOfDate-D5272, 0)</f>
        <v/>
      </c>
      <c r="J5272">
        <f>IF(F5272&lt;&gt;"", TEXT(F5272, "yyyy-mm"), "")</f>
        <v/>
      </c>
    </row>
    <row r="5273">
      <c r="A5273" t="inlineStr">
        <is>
          <t>RP0005272</t>
        </is>
      </c>
      <c r="B5273" t="inlineStr">
        <is>
          <t>LN200748</t>
        </is>
      </c>
      <c r="C5273" t="n">
        <v>1</v>
      </c>
      <c r="D5273" s="8" t="n">
        <v>46048</v>
      </c>
      <c r="E5273" s="9" t="n">
        <v>25716.17</v>
      </c>
      <c r="F5273" s="8" t="n">
        <v>46046</v>
      </c>
      <c r="G5273" s="9" t="n">
        <v>25716.17</v>
      </c>
      <c r="H5273" t="inlineStr">
        <is>
          <t>PAID_ON_TIME</t>
        </is>
      </c>
      <c r="I5273">
        <f>IF(H5273="UNPAID", AsOfDate-D5273, 0)</f>
        <v/>
      </c>
      <c r="J5273">
        <f>IF(F5273&lt;&gt;"", TEXT(F5273, "yyyy-mm"), "")</f>
        <v/>
      </c>
    </row>
    <row r="5274">
      <c r="A5274" t="inlineStr">
        <is>
          <t>RP0005273</t>
        </is>
      </c>
      <c r="B5274" t="inlineStr">
        <is>
          <t>LN200748</t>
        </is>
      </c>
      <c r="C5274" t="n">
        <v>2</v>
      </c>
      <c r="D5274" s="8" t="n">
        <v>46079</v>
      </c>
      <c r="E5274" s="9" t="n">
        <v>25716.17</v>
      </c>
      <c r="F5274" s="8" t="n">
        <v>46081</v>
      </c>
      <c r="G5274" s="9" t="n">
        <v>25716.17</v>
      </c>
      <c r="H5274" t="inlineStr">
        <is>
          <t>PAID_ON_TIME</t>
        </is>
      </c>
      <c r="I5274">
        <f>IF(H5274="UNPAID", AsOfDate-D5274, 0)</f>
        <v/>
      </c>
      <c r="J5274">
        <f>IF(F5274&lt;&gt;"", TEXT(F5274, "yyyy-mm"), "")</f>
        <v/>
      </c>
    </row>
    <row r="5275">
      <c r="A5275" t="inlineStr">
        <is>
          <t>RP0005274</t>
        </is>
      </c>
      <c r="B5275" t="inlineStr">
        <is>
          <t>LN200748</t>
        </is>
      </c>
      <c r="C5275" t="n">
        <v>3</v>
      </c>
      <c r="D5275" s="8" t="n">
        <v>46107</v>
      </c>
      <c r="E5275" s="9" t="n">
        <v>25716.17</v>
      </c>
      <c r="F5275" s="8" t="n">
        <v>46107</v>
      </c>
      <c r="G5275" s="9" t="n">
        <v>25716.17</v>
      </c>
      <c r="H5275" t="inlineStr">
        <is>
          <t>PAID_ON_TIME</t>
        </is>
      </c>
      <c r="I5275">
        <f>IF(H5275="UNPAID", AsOfDate-D5275, 0)</f>
        <v/>
      </c>
      <c r="J5275">
        <f>IF(F5275&lt;&gt;"", TEXT(F5275, "yyyy-mm"), "")</f>
        <v/>
      </c>
    </row>
    <row r="5276">
      <c r="A5276" t="inlineStr">
        <is>
          <t>RP0005275</t>
        </is>
      </c>
      <c r="B5276" t="inlineStr">
        <is>
          <t>LN200748</t>
        </is>
      </c>
      <c r="C5276" t="n">
        <v>4</v>
      </c>
      <c r="D5276" s="8" t="n">
        <v>46138</v>
      </c>
      <c r="E5276" s="9" t="n">
        <v>25716.17</v>
      </c>
      <c r="F5276" s="8" t="n">
        <v>46253</v>
      </c>
      <c r="G5276" s="9" t="n">
        <v>25716.17</v>
      </c>
      <c r="H5276" t="inlineStr">
        <is>
          <t>PAID_LATE</t>
        </is>
      </c>
      <c r="I5276">
        <f>IF(H5276="UNPAID", AsOfDate-D5276, 0)</f>
        <v/>
      </c>
      <c r="J5276">
        <f>IF(F5276&lt;&gt;"", TEXT(F5276, "yyyy-mm"), "")</f>
        <v/>
      </c>
    </row>
    <row r="5277">
      <c r="A5277" t="inlineStr">
        <is>
          <t>RP0005276</t>
        </is>
      </c>
      <c r="B5277" t="inlineStr">
        <is>
          <t>LN200748</t>
        </is>
      </c>
      <c r="C5277" t="n">
        <v>5</v>
      </c>
      <c r="D5277" s="8" t="n">
        <v>46168</v>
      </c>
      <c r="E5277" s="9" t="n">
        <v>25716.17</v>
      </c>
      <c r="F5277" s="8" t="n">
        <v>46172</v>
      </c>
      <c r="G5277" s="9" t="n">
        <v>25716.17</v>
      </c>
      <c r="H5277" t="inlineStr">
        <is>
          <t>PAID_ON_TIME</t>
        </is>
      </c>
      <c r="I5277">
        <f>IF(H5277="UNPAID", AsOfDate-D5277, 0)</f>
        <v/>
      </c>
      <c r="J5277">
        <f>IF(F5277&lt;&gt;"", TEXT(F5277, "yyyy-mm"), "")</f>
        <v/>
      </c>
    </row>
    <row r="5278">
      <c r="A5278" t="inlineStr">
        <is>
          <t>RP0005277</t>
        </is>
      </c>
      <c r="B5278" t="inlineStr">
        <is>
          <t>LN200748</t>
        </is>
      </c>
      <c r="C5278" t="n">
        <v>6</v>
      </c>
      <c r="D5278" s="8" t="n">
        <v>46199</v>
      </c>
      <c r="E5278" s="9" t="n">
        <v>25716.17</v>
      </c>
      <c r="F5278" s="8" t="n">
        <v>46197</v>
      </c>
      <c r="G5278" s="9" t="n">
        <v>25716.17</v>
      </c>
      <c r="H5278" t="inlineStr">
        <is>
          <t>PAID_ON_TIME</t>
        </is>
      </c>
      <c r="I5278">
        <f>IF(H5278="UNPAID", AsOfDate-D5278, 0)</f>
        <v/>
      </c>
      <c r="J5278">
        <f>IF(F5278&lt;&gt;"", TEXT(F5278, "yyyy-mm"), "")</f>
        <v/>
      </c>
    </row>
    <row r="5279">
      <c r="A5279" t="inlineStr">
        <is>
          <t>RP0005278</t>
        </is>
      </c>
      <c r="B5279" t="inlineStr">
        <is>
          <t>LN200749</t>
        </is>
      </c>
      <c r="C5279" t="n">
        <v>1</v>
      </c>
      <c r="D5279" s="8" t="n">
        <v>46025</v>
      </c>
      <c r="E5279" s="9" t="n">
        <v>8088.75</v>
      </c>
      <c r="F5279" s="8" t="n">
        <v>46028</v>
      </c>
      <c r="G5279" s="9" t="n">
        <v>8088.75</v>
      </c>
      <c r="H5279" t="inlineStr">
        <is>
          <t>PAID_ON_TIME</t>
        </is>
      </c>
      <c r="I5279">
        <f>IF(H5279="UNPAID", AsOfDate-D5279, 0)</f>
        <v/>
      </c>
      <c r="J5279">
        <f>IF(F5279&lt;&gt;"", TEXT(F5279, "yyyy-mm"), "")</f>
        <v/>
      </c>
    </row>
    <row r="5280">
      <c r="A5280" t="inlineStr">
        <is>
          <t>RP0005279</t>
        </is>
      </c>
      <c r="B5280" t="inlineStr">
        <is>
          <t>LN200749</t>
        </is>
      </c>
      <c r="C5280" t="n">
        <v>2</v>
      </c>
      <c r="D5280" s="8" t="n">
        <v>46056</v>
      </c>
      <c r="E5280" s="9" t="n">
        <v>8088.75</v>
      </c>
      <c r="F5280" s="8" t="n"/>
      <c r="G5280" s="9" t="n">
        <v>0</v>
      </c>
      <c r="H5280" t="inlineStr">
        <is>
          <t>UNPAID</t>
        </is>
      </c>
      <c r="I5280">
        <f>IF(H5280="UNPAID", AsOfDate-D5280, 0)</f>
        <v/>
      </c>
      <c r="J5280">
        <f>IF(F5280&lt;&gt;"", TEXT(F5280, "yyyy-mm"), "")</f>
        <v/>
      </c>
    </row>
    <row r="5281">
      <c r="A5281" t="inlineStr">
        <is>
          <t>RP0005280</t>
        </is>
      </c>
      <c r="B5281" t="inlineStr">
        <is>
          <t>LN200749</t>
        </is>
      </c>
      <c r="C5281" t="n">
        <v>3</v>
      </c>
      <c r="D5281" s="8" t="n">
        <v>46084</v>
      </c>
      <c r="E5281" s="9" t="n">
        <v>8088.75</v>
      </c>
      <c r="F5281" s="8" t="n">
        <v>46086</v>
      </c>
      <c r="G5281" s="9" t="n">
        <v>8088.75</v>
      </c>
      <c r="H5281" t="inlineStr">
        <is>
          <t>PAID_ON_TIME</t>
        </is>
      </c>
      <c r="I5281">
        <f>IF(H5281="UNPAID", AsOfDate-D5281, 0)</f>
        <v/>
      </c>
      <c r="J5281">
        <f>IF(F5281&lt;&gt;"", TEXT(F5281, "yyyy-mm"), "")</f>
        <v/>
      </c>
    </row>
    <row r="5282">
      <c r="A5282" t="inlineStr">
        <is>
          <t>RP0005281</t>
        </is>
      </c>
      <c r="B5282" t="inlineStr">
        <is>
          <t>LN200749</t>
        </is>
      </c>
      <c r="C5282" t="n">
        <v>4</v>
      </c>
      <c r="D5282" s="8" t="n">
        <v>46115</v>
      </c>
      <c r="E5282" s="9" t="n">
        <v>8088.75</v>
      </c>
      <c r="F5282" s="8" t="n">
        <v>46117</v>
      </c>
      <c r="G5282" s="9" t="n">
        <v>8088.75</v>
      </c>
      <c r="H5282" t="inlineStr">
        <is>
          <t>PAID_ON_TIME</t>
        </is>
      </c>
      <c r="I5282">
        <f>IF(H5282="UNPAID", AsOfDate-D5282, 0)</f>
        <v/>
      </c>
      <c r="J5282">
        <f>IF(F5282&lt;&gt;"", TEXT(F5282, "yyyy-mm"), "")</f>
        <v/>
      </c>
    </row>
    <row r="5283">
      <c r="A5283" t="inlineStr">
        <is>
          <t>RP0005282</t>
        </is>
      </c>
      <c r="B5283" t="inlineStr">
        <is>
          <t>LN200749</t>
        </is>
      </c>
      <c r="C5283" t="n">
        <v>5</v>
      </c>
      <c r="D5283" s="8" t="n">
        <v>46145</v>
      </c>
      <c r="E5283" s="9" t="n">
        <v>8088.75</v>
      </c>
      <c r="F5283" s="8" t="n">
        <v>46173</v>
      </c>
      <c r="G5283" s="9" t="n">
        <v>8088.75</v>
      </c>
      <c r="H5283" t="inlineStr">
        <is>
          <t>PAID_LATE</t>
        </is>
      </c>
      <c r="I5283">
        <f>IF(H5283="UNPAID", AsOfDate-D5283, 0)</f>
        <v/>
      </c>
      <c r="J5283">
        <f>IF(F5283&lt;&gt;"", TEXT(F5283, "yyyy-mm"), "")</f>
        <v/>
      </c>
    </row>
    <row r="5284">
      <c r="A5284" t="inlineStr">
        <is>
          <t>RP0005283</t>
        </is>
      </c>
      <c r="B5284" t="inlineStr">
        <is>
          <t>LN200749</t>
        </is>
      </c>
      <c r="C5284" t="n">
        <v>6</v>
      </c>
      <c r="D5284" s="8" t="n">
        <v>46176</v>
      </c>
      <c r="E5284" s="9" t="n">
        <v>8088.75</v>
      </c>
      <c r="F5284" s="8" t="n">
        <v>46180</v>
      </c>
      <c r="G5284" s="9" t="n">
        <v>8088.75</v>
      </c>
      <c r="H5284" t="inlineStr">
        <is>
          <t>PAID_ON_TIME</t>
        </is>
      </c>
      <c r="I5284">
        <f>IF(H5284="UNPAID", AsOfDate-D5284, 0)</f>
        <v/>
      </c>
      <c r="J5284">
        <f>IF(F5284&lt;&gt;"", TEXT(F5284, "yyyy-mm"), "")</f>
        <v/>
      </c>
    </row>
    <row r="5285">
      <c r="A5285" t="inlineStr">
        <is>
          <t>RP0005284</t>
        </is>
      </c>
      <c r="B5285" t="inlineStr">
        <is>
          <t>LN200750</t>
        </is>
      </c>
      <c r="C5285" t="n">
        <v>1</v>
      </c>
      <c r="D5285" s="8" t="n">
        <v>45892</v>
      </c>
      <c r="E5285" s="9" t="n">
        <v>38068.25</v>
      </c>
      <c r="F5285" s="8" t="n">
        <v>45893</v>
      </c>
      <c r="G5285" s="9" t="n">
        <v>38068.25</v>
      </c>
      <c r="H5285" t="inlineStr">
        <is>
          <t>PAID_ON_TIME</t>
        </is>
      </c>
      <c r="I5285">
        <f>IF(H5285="UNPAID", AsOfDate-D5285, 0)</f>
        <v/>
      </c>
      <c r="J5285">
        <f>IF(F5285&lt;&gt;"", TEXT(F5285, "yyyy-mm"), "")</f>
        <v/>
      </c>
    </row>
    <row r="5286">
      <c r="A5286" t="inlineStr">
        <is>
          <t>RP0005285</t>
        </is>
      </c>
      <c r="B5286" t="inlineStr">
        <is>
          <t>LN200750</t>
        </is>
      </c>
      <c r="C5286" t="n">
        <v>2</v>
      </c>
      <c r="D5286" s="8" t="n">
        <v>45923</v>
      </c>
      <c r="E5286" s="9" t="n">
        <v>38068.25</v>
      </c>
      <c r="F5286" s="8" t="n">
        <v>45921</v>
      </c>
      <c r="G5286" s="9" t="n">
        <v>38068.25</v>
      </c>
      <c r="H5286" t="inlineStr">
        <is>
          <t>PAID_ON_TIME</t>
        </is>
      </c>
      <c r="I5286">
        <f>IF(H5286="UNPAID", AsOfDate-D5286, 0)</f>
        <v/>
      </c>
      <c r="J5286">
        <f>IF(F5286&lt;&gt;"", TEXT(F5286, "yyyy-mm"), "")</f>
        <v/>
      </c>
    </row>
    <row r="5287">
      <c r="A5287" t="inlineStr">
        <is>
          <t>RP0005286</t>
        </is>
      </c>
      <c r="B5287" t="inlineStr">
        <is>
          <t>LN200750</t>
        </is>
      </c>
      <c r="C5287" t="n">
        <v>3</v>
      </c>
      <c r="D5287" s="8" t="n">
        <v>45953</v>
      </c>
      <c r="E5287" s="9" t="n">
        <v>38068.25</v>
      </c>
      <c r="F5287" s="8" t="n">
        <v>45955</v>
      </c>
      <c r="G5287" s="9" t="n">
        <v>38068.25</v>
      </c>
      <c r="H5287" t="inlineStr">
        <is>
          <t>PAID_ON_TIME</t>
        </is>
      </c>
      <c r="I5287">
        <f>IF(H5287="UNPAID", AsOfDate-D5287, 0)</f>
        <v/>
      </c>
      <c r="J5287">
        <f>IF(F5287&lt;&gt;"", TEXT(F5287, "yyyy-mm"), "")</f>
        <v/>
      </c>
    </row>
    <row r="5288">
      <c r="A5288" t="inlineStr">
        <is>
          <t>RP0005287</t>
        </is>
      </c>
      <c r="B5288" t="inlineStr">
        <is>
          <t>LN200751</t>
        </is>
      </c>
      <c r="C5288" t="n">
        <v>1</v>
      </c>
      <c r="D5288" s="8" t="n">
        <v>45777</v>
      </c>
      <c r="E5288" s="9" t="n">
        <v>27176.5</v>
      </c>
      <c r="F5288" s="8" t="n">
        <v>45779</v>
      </c>
      <c r="G5288" s="9" t="n">
        <v>27176.5</v>
      </c>
      <c r="H5288" t="inlineStr">
        <is>
          <t>PAID_ON_TIME</t>
        </is>
      </c>
      <c r="I5288">
        <f>IF(H5288="UNPAID", AsOfDate-D5288, 0)</f>
        <v/>
      </c>
      <c r="J5288">
        <f>IF(F5288&lt;&gt;"", TEXT(F5288, "yyyy-mm"), "")</f>
        <v/>
      </c>
    </row>
    <row r="5289">
      <c r="A5289" t="inlineStr">
        <is>
          <t>RP0005288</t>
        </is>
      </c>
      <c r="B5289" t="inlineStr">
        <is>
          <t>LN200751</t>
        </is>
      </c>
      <c r="C5289" t="n">
        <v>2</v>
      </c>
      <c r="D5289" s="8" t="n">
        <v>45808</v>
      </c>
      <c r="E5289" s="9" t="n">
        <v>27176.5</v>
      </c>
      <c r="F5289" s="8" t="n">
        <v>45807</v>
      </c>
      <c r="G5289" s="9" t="n">
        <v>27176.5</v>
      </c>
      <c r="H5289" t="inlineStr">
        <is>
          <t>PAID_ON_TIME</t>
        </is>
      </c>
      <c r="I5289">
        <f>IF(H5289="UNPAID", AsOfDate-D5289, 0)</f>
        <v/>
      </c>
      <c r="J5289">
        <f>IF(F5289&lt;&gt;"", TEXT(F5289, "yyyy-mm"), "")</f>
        <v/>
      </c>
    </row>
    <row r="5290">
      <c r="A5290" t="inlineStr">
        <is>
          <t>RP0005289</t>
        </is>
      </c>
      <c r="B5290" t="inlineStr">
        <is>
          <t>LN200751</t>
        </is>
      </c>
      <c r="C5290" t="n">
        <v>3</v>
      </c>
      <c r="D5290" s="8" t="n">
        <v>45838</v>
      </c>
      <c r="E5290" s="9" t="n">
        <v>27176.5</v>
      </c>
      <c r="F5290" s="8" t="n">
        <v>45841</v>
      </c>
      <c r="G5290" s="9" t="n">
        <v>27176.5</v>
      </c>
      <c r="H5290" t="inlineStr">
        <is>
          <t>PAID_ON_TIME</t>
        </is>
      </c>
      <c r="I5290">
        <f>IF(H5290="UNPAID", AsOfDate-D5290, 0)</f>
        <v/>
      </c>
      <c r="J5290">
        <f>IF(F5290&lt;&gt;"", TEXT(F5290, "yyyy-mm"), "")</f>
        <v/>
      </c>
    </row>
    <row r="5291">
      <c r="A5291" t="inlineStr">
        <is>
          <t>RP0005290</t>
        </is>
      </c>
      <c r="B5291" t="inlineStr">
        <is>
          <t>LN200752</t>
        </is>
      </c>
      <c r="C5291" t="n">
        <v>1</v>
      </c>
      <c r="D5291" s="8" t="n">
        <v>45922</v>
      </c>
      <c r="E5291" s="9" t="n">
        <v>3269.67</v>
      </c>
      <c r="F5291" s="8" t="n">
        <v>45922</v>
      </c>
      <c r="G5291" s="9" t="n">
        <v>3269.67</v>
      </c>
      <c r="H5291" t="inlineStr">
        <is>
          <t>PAID_ON_TIME</t>
        </is>
      </c>
      <c r="I5291">
        <f>IF(H5291="UNPAID", AsOfDate-D5291, 0)</f>
        <v/>
      </c>
      <c r="J5291">
        <f>IF(F5291&lt;&gt;"", TEXT(F5291, "yyyy-mm"), "")</f>
        <v/>
      </c>
    </row>
    <row r="5292">
      <c r="A5292" t="inlineStr">
        <is>
          <t>RP0005291</t>
        </is>
      </c>
      <c r="B5292" t="inlineStr">
        <is>
          <t>LN200752</t>
        </is>
      </c>
      <c r="C5292" t="n">
        <v>2</v>
      </c>
      <c r="D5292" s="8" t="n">
        <v>45952</v>
      </c>
      <c r="E5292" s="9" t="n">
        <v>3269.67</v>
      </c>
      <c r="F5292" s="8" t="n">
        <v>45952</v>
      </c>
      <c r="G5292" s="9" t="n">
        <v>3269.67</v>
      </c>
      <c r="H5292" t="inlineStr">
        <is>
          <t>PAID_ON_TIME</t>
        </is>
      </c>
      <c r="I5292">
        <f>IF(H5292="UNPAID", AsOfDate-D5292, 0)</f>
        <v/>
      </c>
      <c r="J5292">
        <f>IF(F5292&lt;&gt;"", TEXT(F5292, "yyyy-mm"), "")</f>
        <v/>
      </c>
    </row>
    <row r="5293">
      <c r="A5293" t="inlineStr">
        <is>
          <t>RP0005292</t>
        </is>
      </c>
      <c r="B5293" t="inlineStr">
        <is>
          <t>LN200752</t>
        </is>
      </c>
      <c r="C5293" t="n">
        <v>3</v>
      </c>
      <c r="D5293" s="8" t="n">
        <v>45983</v>
      </c>
      <c r="E5293" s="9" t="n">
        <v>3269.67</v>
      </c>
      <c r="F5293" s="8" t="n">
        <v>46016</v>
      </c>
      <c r="G5293" s="9" t="n">
        <v>3269.67</v>
      </c>
      <c r="H5293" t="inlineStr">
        <is>
          <t>PAID_LATE</t>
        </is>
      </c>
      <c r="I5293">
        <f>IF(H5293="UNPAID", AsOfDate-D5293, 0)</f>
        <v/>
      </c>
      <c r="J5293">
        <f>IF(F5293&lt;&gt;"", TEXT(F5293, "yyyy-mm"), "")</f>
        <v/>
      </c>
    </row>
    <row r="5294">
      <c r="A5294" t="inlineStr">
        <is>
          <t>RP0005293</t>
        </is>
      </c>
      <c r="B5294" t="inlineStr">
        <is>
          <t>LN200752</t>
        </is>
      </c>
      <c r="C5294" t="n">
        <v>4</v>
      </c>
      <c r="D5294" s="8" t="n">
        <v>46013</v>
      </c>
      <c r="E5294" s="9" t="n">
        <v>3269.67</v>
      </c>
      <c r="F5294" s="8" t="n">
        <v>46010</v>
      </c>
      <c r="G5294" s="9" t="n">
        <v>3269.67</v>
      </c>
      <c r="H5294" t="inlineStr">
        <is>
          <t>PAID_ON_TIME</t>
        </is>
      </c>
      <c r="I5294">
        <f>IF(H5294="UNPAID", AsOfDate-D5294, 0)</f>
        <v/>
      </c>
      <c r="J5294">
        <f>IF(F5294&lt;&gt;"", TEXT(F5294, "yyyy-mm"), "")</f>
        <v/>
      </c>
    </row>
    <row r="5295">
      <c r="A5295" t="inlineStr">
        <is>
          <t>RP0005294</t>
        </is>
      </c>
      <c r="B5295" t="inlineStr">
        <is>
          <t>LN200752</t>
        </is>
      </c>
      <c r="C5295" t="n">
        <v>5</v>
      </c>
      <c r="D5295" s="8" t="n">
        <v>46044</v>
      </c>
      <c r="E5295" s="9" t="n">
        <v>3269.67</v>
      </c>
      <c r="F5295" s="8" t="n">
        <v>46110</v>
      </c>
      <c r="G5295" s="9" t="n">
        <v>3269.67</v>
      </c>
      <c r="H5295" t="inlineStr">
        <is>
          <t>PAID_LATE</t>
        </is>
      </c>
      <c r="I5295">
        <f>IF(H5295="UNPAID", AsOfDate-D5295, 0)</f>
        <v/>
      </c>
      <c r="J5295">
        <f>IF(F5295&lt;&gt;"", TEXT(F5295, "yyyy-mm"), "")</f>
        <v/>
      </c>
    </row>
    <row r="5296">
      <c r="A5296" t="inlineStr">
        <is>
          <t>RP0005295</t>
        </is>
      </c>
      <c r="B5296" t="inlineStr">
        <is>
          <t>LN200752</t>
        </is>
      </c>
      <c r="C5296" t="n">
        <v>6</v>
      </c>
      <c r="D5296" s="8" t="n">
        <v>46075</v>
      </c>
      <c r="E5296" s="9" t="n">
        <v>3269.67</v>
      </c>
      <c r="F5296" s="8" t="n">
        <v>46077</v>
      </c>
      <c r="G5296" s="9" t="n">
        <v>3269.67</v>
      </c>
      <c r="H5296" t="inlineStr">
        <is>
          <t>PAID_ON_TIME</t>
        </is>
      </c>
      <c r="I5296">
        <f>IF(H5296="UNPAID", AsOfDate-D5296, 0)</f>
        <v/>
      </c>
      <c r="J5296">
        <f>IF(F5296&lt;&gt;"", TEXT(F5296, "yyyy-mm"), "")</f>
        <v/>
      </c>
    </row>
    <row r="5297">
      <c r="A5297" t="inlineStr">
        <is>
          <t>RP0005296</t>
        </is>
      </c>
      <c r="B5297" t="inlineStr">
        <is>
          <t>LN200752</t>
        </is>
      </c>
      <c r="C5297" t="n">
        <v>7</v>
      </c>
      <c r="D5297" s="8" t="n">
        <v>46103</v>
      </c>
      <c r="E5297" s="9" t="n">
        <v>3269.67</v>
      </c>
      <c r="F5297" s="8" t="n">
        <v>46106</v>
      </c>
      <c r="G5297" s="9" t="n">
        <v>3269.67</v>
      </c>
      <c r="H5297" t="inlineStr">
        <is>
          <t>PAID_ON_TIME</t>
        </is>
      </c>
      <c r="I5297">
        <f>IF(H5297="UNPAID", AsOfDate-D5297, 0)</f>
        <v/>
      </c>
      <c r="J5297">
        <f>IF(F5297&lt;&gt;"", TEXT(F5297, "yyyy-mm"), "")</f>
        <v/>
      </c>
    </row>
    <row r="5298">
      <c r="A5298" t="inlineStr">
        <is>
          <t>RP0005297</t>
        </is>
      </c>
      <c r="B5298" t="inlineStr">
        <is>
          <t>LN200752</t>
        </is>
      </c>
      <c r="C5298" t="n">
        <v>8</v>
      </c>
      <c r="D5298" s="8" t="n">
        <v>46134</v>
      </c>
      <c r="E5298" s="9" t="n">
        <v>3269.67</v>
      </c>
      <c r="F5298" s="8" t="n">
        <v>46132</v>
      </c>
      <c r="G5298" s="9" t="n">
        <v>3269.67</v>
      </c>
      <c r="H5298" t="inlineStr">
        <is>
          <t>PAID_ON_TIME</t>
        </is>
      </c>
      <c r="I5298">
        <f>IF(H5298="UNPAID", AsOfDate-D5298, 0)</f>
        <v/>
      </c>
      <c r="J5298">
        <f>IF(F5298&lt;&gt;"", TEXT(F5298, "yyyy-mm"), "")</f>
        <v/>
      </c>
    </row>
    <row r="5299">
      <c r="A5299" t="inlineStr">
        <is>
          <t>RP0005298</t>
        </is>
      </c>
      <c r="B5299" t="inlineStr">
        <is>
          <t>LN200752</t>
        </is>
      </c>
      <c r="C5299" t="n">
        <v>9</v>
      </c>
      <c r="D5299" s="8" t="n">
        <v>46164</v>
      </c>
      <c r="E5299" s="9" t="n">
        <v>3269.67</v>
      </c>
      <c r="F5299" s="8" t="n">
        <v>46161</v>
      </c>
      <c r="G5299" s="9" t="n">
        <v>3269.67</v>
      </c>
      <c r="H5299" t="inlineStr">
        <is>
          <t>PAID_ON_TIME</t>
        </is>
      </c>
      <c r="I5299">
        <f>IF(H5299="UNPAID", AsOfDate-D5299, 0)</f>
        <v/>
      </c>
      <c r="J5299">
        <f>IF(F5299&lt;&gt;"", TEXT(F5299, "yyyy-mm"), "")</f>
        <v/>
      </c>
    </row>
    <row r="5300">
      <c r="A5300" t="inlineStr">
        <is>
          <t>RP0005299</t>
        </is>
      </c>
      <c r="B5300" t="inlineStr">
        <is>
          <t>LN200752</t>
        </is>
      </c>
      <c r="C5300" t="n">
        <v>10</v>
      </c>
      <c r="D5300" s="8" t="n">
        <v>46195</v>
      </c>
      <c r="E5300" s="9" t="n">
        <v>3269.67</v>
      </c>
      <c r="F5300" s="8" t="n">
        <v>46195</v>
      </c>
      <c r="G5300" s="9" t="n">
        <v>3269.67</v>
      </c>
      <c r="H5300" t="inlineStr">
        <is>
          <t>PAID_ON_TIME</t>
        </is>
      </c>
      <c r="I5300">
        <f>IF(H5300="UNPAID", AsOfDate-D5300, 0)</f>
        <v/>
      </c>
      <c r="J5300">
        <f>IF(F5300&lt;&gt;"", TEXT(F5300, "yyyy-mm"), "")</f>
        <v/>
      </c>
    </row>
    <row r="5301">
      <c r="A5301" t="inlineStr">
        <is>
          <t>RP0005300</t>
        </is>
      </c>
      <c r="B5301" t="inlineStr">
        <is>
          <t>LN200752</t>
        </is>
      </c>
      <c r="C5301" t="n">
        <v>11</v>
      </c>
      <c r="D5301" s="8" t="n">
        <v>46225</v>
      </c>
      <c r="E5301" s="9" t="n">
        <v>3269.67</v>
      </c>
      <c r="F5301" s="8" t="n">
        <v>46229</v>
      </c>
      <c r="G5301" s="9" t="n">
        <v>3269.67</v>
      </c>
      <c r="H5301" t="inlineStr">
        <is>
          <t>PAID_ON_TIME</t>
        </is>
      </c>
      <c r="I5301">
        <f>IF(H5301="UNPAID", AsOfDate-D5301, 0)</f>
        <v/>
      </c>
      <c r="J5301">
        <f>IF(F5301&lt;&gt;"", TEXT(F5301, "yyyy-mm"), "")</f>
        <v/>
      </c>
    </row>
    <row r="5302">
      <c r="A5302" t="inlineStr">
        <is>
          <t>RP0005301</t>
        </is>
      </c>
      <c r="B5302" t="inlineStr">
        <is>
          <t>LN200752</t>
        </is>
      </c>
      <c r="C5302" t="n">
        <v>12</v>
      </c>
      <c r="D5302" s="8" t="n">
        <v>46256</v>
      </c>
      <c r="E5302" s="9" t="n">
        <v>3269.67</v>
      </c>
      <c r="F5302" s="8" t="n"/>
      <c r="G5302" s="9" t="n">
        <v>0</v>
      </c>
      <c r="H5302" t="inlineStr">
        <is>
          <t>UNPAID</t>
        </is>
      </c>
      <c r="I5302">
        <f>IF(H5302="UNPAID", AsOfDate-D5302, 0)</f>
        <v/>
      </c>
      <c r="J5302">
        <f>IF(F5302&lt;&gt;"", TEXT(F5302, "yyyy-mm"), "")</f>
        <v/>
      </c>
    </row>
    <row r="5303">
      <c r="A5303" t="inlineStr">
        <is>
          <t>RP0005302</t>
        </is>
      </c>
      <c r="B5303" t="inlineStr">
        <is>
          <t>LN200753</t>
        </is>
      </c>
      <c r="C5303" t="n">
        <v>1</v>
      </c>
      <c r="D5303" s="8" t="n">
        <v>45908</v>
      </c>
      <c r="E5303" s="9" t="n">
        <v>55155.17</v>
      </c>
      <c r="F5303" s="8" t="n">
        <v>45906</v>
      </c>
      <c r="G5303" s="9" t="n">
        <v>55155.17</v>
      </c>
      <c r="H5303" t="inlineStr">
        <is>
          <t>PAID_ON_TIME</t>
        </is>
      </c>
      <c r="I5303">
        <f>IF(H5303="UNPAID", AsOfDate-D5303, 0)</f>
        <v/>
      </c>
      <c r="J5303">
        <f>IF(F5303&lt;&gt;"", TEXT(F5303, "yyyy-mm"), "")</f>
        <v/>
      </c>
    </row>
    <row r="5304">
      <c r="A5304" t="inlineStr">
        <is>
          <t>RP0005303</t>
        </is>
      </c>
      <c r="B5304" t="inlineStr">
        <is>
          <t>LN200753</t>
        </is>
      </c>
      <c r="C5304" t="n">
        <v>2</v>
      </c>
      <c r="D5304" s="8" t="n">
        <v>45938</v>
      </c>
      <c r="E5304" s="9" t="n">
        <v>55155.17</v>
      </c>
      <c r="F5304" s="8" t="n">
        <v>45938</v>
      </c>
      <c r="G5304" s="9" t="n">
        <v>55155.17</v>
      </c>
      <c r="H5304" t="inlineStr">
        <is>
          <t>PAID_ON_TIME</t>
        </is>
      </c>
      <c r="I5304">
        <f>IF(H5304="UNPAID", AsOfDate-D5304, 0)</f>
        <v/>
      </c>
      <c r="J5304">
        <f>IF(F5304&lt;&gt;"", TEXT(F5304, "yyyy-mm"), "")</f>
        <v/>
      </c>
    </row>
    <row r="5305">
      <c r="A5305" t="inlineStr">
        <is>
          <t>RP0005304</t>
        </is>
      </c>
      <c r="B5305" t="inlineStr">
        <is>
          <t>LN200753</t>
        </is>
      </c>
      <c r="C5305" t="n">
        <v>3</v>
      </c>
      <c r="D5305" s="8" t="n">
        <v>45969</v>
      </c>
      <c r="E5305" s="9" t="n">
        <v>55155.17</v>
      </c>
      <c r="F5305" s="8" t="n">
        <v>45972</v>
      </c>
      <c r="G5305" s="9" t="n">
        <v>55155.17</v>
      </c>
      <c r="H5305" t="inlineStr">
        <is>
          <t>PAID_ON_TIME</t>
        </is>
      </c>
      <c r="I5305">
        <f>IF(H5305="UNPAID", AsOfDate-D5305, 0)</f>
        <v/>
      </c>
      <c r="J5305">
        <f>IF(F5305&lt;&gt;"", TEXT(F5305, "yyyy-mm"), "")</f>
        <v/>
      </c>
    </row>
    <row r="5306">
      <c r="A5306" t="inlineStr">
        <is>
          <t>RP0005305</t>
        </is>
      </c>
      <c r="B5306" t="inlineStr">
        <is>
          <t>LN200754</t>
        </is>
      </c>
      <c r="C5306" t="n">
        <v>1</v>
      </c>
      <c r="D5306" s="8" t="n">
        <v>46011</v>
      </c>
      <c r="E5306" s="9" t="n">
        <v>47441.33</v>
      </c>
      <c r="F5306" s="8" t="n">
        <v>46013</v>
      </c>
      <c r="G5306" s="9" t="n">
        <v>47441.33</v>
      </c>
      <c r="H5306" t="inlineStr">
        <is>
          <t>PAID_ON_TIME</t>
        </is>
      </c>
      <c r="I5306">
        <f>IF(H5306="UNPAID", AsOfDate-D5306, 0)</f>
        <v/>
      </c>
      <c r="J5306">
        <f>IF(F5306&lt;&gt;"", TEXT(F5306, "yyyy-mm"), "")</f>
        <v/>
      </c>
    </row>
    <row r="5307">
      <c r="A5307" t="inlineStr">
        <is>
          <t>RP0005306</t>
        </is>
      </c>
      <c r="B5307" t="inlineStr">
        <is>
          <t>LN200754</t>
        </is>
      </c>
      <c r="C5307" t="n">
        <v>2</v>
      </c>
      <c r="D5307" s="8" t="n">
        <v>46042</v>
      </c>
      <c r="E5307" s="9" t="n">
        <v>47441.33</v>
      </c>
      <c r="F5307" s="8" t="n">
        <v>46044</v>
      </c>
      <c r="G5307" s="9" t="n">
        <v>47441.33</v>
      </c>
      <c r="H5307" t="inlineStr">
        <is>
          <t>PAID_ON_TIME</t>
        </is>
      </c>
      <c r="I5307">
        <f>IF(H5307="UNPAID", AsOfDate-D5307, 0)</f>
        <v/>
      </c>
      <c r="J5307">
        <f>IF(F5307&lt;&gt;"", TEXT(F5307, "yyyy-mm"), "")</f>
        <v/>
      </c>
    </row>
    <row r="5308">
      <c r="A5308" t="inlineStr">
        <is>
          <t>RP0005307</t>
        </is>
      </c>
      <c r="B5308" t="inlineStr">
        <is>
          <t>LN200754</t>
        </is>
      </c>
      <c r="C5308" t="n">
        <v>3</v>
      </c>
      <c r="D5308" s="8" t="n">
        <v>46073</v>
      </c>
      <c r="E5308" s="9" t="n">
        <v>47441.33</v>
      </c>
      <c r="F5308" s="8" t="n">
        <v>46071</v>
      </c>
      <c r="G5308" s="9" t="n">
        <v>47441.33</v>
      </c>
      <c r="H5308" t="inlineStr">
        <is>
          <t>PAID_ON_TIME</t>
        </is>
      </c>
      <c r="I5308">
        <f>IF(H5308="UNPAID", AsOfDate-D5308, 0)</f>
        <v/>
      </c>
      <c r="J5308">
        <f>IF(F5308&lt;&gt;"", TEXT(F5308, "yyyy-mm"), "")</f>
        <v/>
      </c>
    </row>
    <row r="5309">
      <c r="A5309" t="inlineStr">
        <is>
          <t>RP0005308</t>
        </is>
      </c>
      <c r="B5309" t="inlineStr">
        <is>
          <t>LN200755</t>
        </is>
      </c>
      <c r="C5309" t="n">
        <v>1</v>
      </c>
      <c r="D5309" s="8" t="n">
        <v>45691</v>
      </c>
      <c r="E5309" s="9" t="n">
        <v>13752.47</v>
      </c>
      <c r="F5309" s="8" t="n">
        <v>45770</v>
      </c>
      <c r="G5309" s="9" t="n">
        <v>13752.47</v>
      </c>
      <c r="H5309" t="inlineStr">
        <is>
          <t>PAID_LATE</t>
        </is>
      </c>
      <c r="I5309">
        <f>IF(H5309="UNPAID", AsOfDate-D5309, 0)</f>
        <v/>
      </c>
      <c r="J5309">
        <f>IF(F5309&lt;&gt;"", TEXT(F5309, "yyyy-mm"), "")</f>
        <v/>
      </c>
    </row>
    <row r="5310">
      <c r="A5310" t="inlineStr">
        <is>
          <t>RP0005309</t>
        </is>
      </c>
      <c r="B5310" t="inlineStr">
        <is>
          <t>LN200755</t>
        </is>
      </c>
      <c r="C5310" t="n">
        <v>2</v>
      </c>
      <c r="D5310" s="8" t="n">
        <v>45719</v>
      </c>
      <c r="E5310" s="9" t="n">
        <v>13752.47</v>
      </c>
      <c r="F5310" s="8" t="n">
        <v>45722</v>
      </c>
      <c r="G5310" s="9" t="n">
        <v>13752.47</v>
      </c>
      <c r="H5310" t="inlineStr">
        <is>
          <t>PAID_ON_TIME</t>
        </is>
      </c>
      <c r="I5310">
        <f>IF(H5310="UNPAID", AsOfDate-D5310, 0)</f>
        <v/>
      </c>
      <c r="J5310">
        <f>IF(F5310&lt;&gt;"", TEXT(F5310, "yyyy-mm"), "")</f>
        <v/>
      </c>
    </row>
    <row r="5311">
      <c r="A5311" t="inlineStr">
        <is>
          <t>RP0005310</t>
        </is>
      </c>
      <c r="B5311" t="inlineStr">
        <is>
          <t>LN200755</t>
        </is>
      </c>
      <c r="C5311" t="n">
        <v>3</v>
      </c>
      <c r="D5311" s="8" t="n">
        <v>45750</v>
      </c>
      <c r="E5311" s="9" t="n">
        <v>13752.47</v>
      </c>
      <c r="F5311" s="8" t="n">
        <v>45754</v>
      </c>
      <c r="G5311" s="9" t="n">
        <v>13752.47</v>
      </c>
      <c r="H5311" t="inlineStr">
        <is>
          <t>PAID_ON_TIME</t>
        </is>
      </c>
      <c r="I5311">
        <f>IF(H5311="UNPAID", AsOfDate-D5311, 0)</f>
        <v/>
      </c>
      <c r="J5311">
        <f>IF(F5311&lt;&gt;"", TEXT(F5311, "yyyy-mm"), "")</f>
        <v/>
      </c>
    </row>
    <row r="5312">
      <c r="A5312" t="inlineStr">
        <is>
          <t>RP0005311</t>
        </is>
      </c>
      <c r="B5312" t="inlineStr">
        <is>
          <t>LN200755</t>
        </is>
      </c>
      <c r="C5312" t="n">
        <v>4</v>
      </c>
      <c r="D5312" s="8" t="n">
        <v>45780</v>
      </c>
      <c r="E5312" s="9" t="n">
        <v>13752.47</v>
      </c>
      <c r="F5312" s="8" t="n"/>
      <c r="G5312" s="9" t="n">
        <v>0</v>
      </c>
      <c r="H5312" t="inlineStr">
        <is>
          <t>UNPAID</t>
        </is>
      </c>
      <c r="I5312">
        <f>IF(H5312="UNPAID", AsOfDate-D5312, 0)</f>
        <v/>
      </c>
      <c r="J5312">
        <f>IF(F5312&lt;&gt;"", TEXT(F5312, "yyyy-mm"), "")</f>
        <v/>
      </c>
    </row>
    <row r="5313">
      <c r="A5313" t="inlineStr">
        <is>
          <t>RP0005312</t>
        </is>
      </c>
      <c r="B5313" t="inlineStr">
        <is>
          <t>LN200755</t>
        </is>
      </c>
      <c r="C5313" t="n">
        <v>5</v>
      </c>
      <c r="D5313" s="8" t="n">
        <v>45811</v>
      </c>
      <c r="E5313" s="9" t="n">
        <v>13752.47</v>
      </c>
      <c r="F5313" s="8" t="n">
        <v>45809</v>
      </c>
      <c r="G5313" s="9" t="n">
        <v>13752.47</v>
      </c>
      <c r="H5313" t="inlineStr">
        <is>
          <t>PAID_ON_TIME</t>
        </is>
      </c>
      <c r="I5313">
        <f>IF(H5313="UNPAID", AsOfDate-D5313, 0)</f>
        <v/>
      </c>
      <c r="J5313">
        <f>IF(F5313&lt;&gt;"", TEXT(F5313, "yyyy-mm"), "")</f>
        <v/>
      </c>
    </row>
    <row r="5314">
      <c r="A5314" t="inlineStr">
        <is>
          <t>RP0005313</t>
        </is>
      </c>
      <c r="B5314" t="inlineStr">
        <is>
          <t>LN200755</t>
        </is>
      </c>
      <c r="C5314" t="n">
        <v>6</v>
      </c>
      <c r="D5314" s="8" t="n">
        <v>45841</v>
      </c>
      <c r="E5314" s="9" t="n">
        <v>13752.47</v>
      </c>
      <c r="F5314" s="8" t="n">
        <v>45843</v>
      </c>
      <c r="G5314" s="9" t="n">
        <v>13752.47</v>
      </c>
      <c r="H5314" t="inlineStr">
        <is>
          <t>PAID_ON_TIME</t>
        </is>
      </c>
      <c r="I5314">
        <f>IF(H5314="UNPAID", AsOfDate-D5314, 0)</f>
        <v/>
      </c>
      <c r="J5314">
        <f>IF(F5314&lt;&gt;"", TEXT(F5314, "yyyy-mm"), "")</f>
        <v/>
      </c>
    </row>
    <row r="5315">
      <c r="A5315" t="inlineStr">
        <is>
          <t>RP0005314</t>
        </is>
      </c>
      <c r="B5315" t="inlineStr">
        <is>
          <t>LN200755</t>
        </is>
      </c>
      <c r="C5315" t="n">
        <v>7</v>
      </c>
      <c r="D5315" s="8" t="n">
        <v>45872</v>
      </c>
      <c r="E5315" s="9" t="n">
        <v>13752.47</v>
      </c>
      <c r="F5315" s="8" t="n">
        <v>45956</v>
      </c>
      <c r="G5315" s="9" t="n">
        <v>13752.47</v>
      </c>
      <c r="H5315" t="inlineStr">
        <is>
          <t>PAID_LATE</t>
        </is>
      </c>
      <c r="I5315">
        <f>IF(H5315="UNPAID", AsOfDate-D5315, 0)</f>
        <v/>
      </c>
      <c r="J5315">
        <f>IF(F5315&lt;&gt;"", TEXT(F5315, "yyyy-mm"), "")</f>
        <v/>
      </c>
    </row>
    <row r="5316">
      <c r="A5316" t="inlineStr">
        <is>
          <t>RP0005315</t>
        </is>
      </c>
      <c r="B5316" t="inlineStr">
        <is>
          <t>LN200755</t>
        </is>
      </c>
      <c r="C5316" t="n">
        <v>8</v>
      </c>
      <c r="D5316" s="8" t="n">
        <v>45903</v>
      </c>
      <c r="E5316" s="9" t="n">
        <v>13752.47</v>
      </c>
      <c r="F5316" s="8" t="n"/>
      <c r="G5316" s="9" t="n">
        <v>0</v>
      </c>
      <c r="H5316" t="inlineStr">
        <is>
          <t>UNPAID</t>
        </is>
      </c>
      <c r="I5316">
        <f>IF(H5316="UNPAID", AsOfDate-D5316, 0)</f>
        <v/>
      </c>
      <c r="J5316">
        <f>IF(F5316&lt;&gt;"", TEXT(F5316, "yyyy-mm"), "")</f>
        <v/>
      </c>
    </row>
    <row r="5317">
      <c r="A5317" t="inlineStr">
        <is>
          <t>RP0005316</t>
        </is>
      </c>
      <c r="B5317" t="inlineStr">
        <is>
          <t>LN200755</t>
        </is>
      </c>
      <c r="C5317" t="n">
        <v>9</v>
      </c>
      <c r="D5317" s="8" t="n">
        <v>45933</v>
      </c>
      <c r="E5317" s="9" t="n">
        <v>13752.47</v>
      </c>
      <c r="F5317" s="8" t="n">
        <v>45936</v>
      </c>
      <c r="G5317" s="9" t="n">
        <v>13752.47</v>
      </c>
      <c r="H5317" t="inlineStr">
        <is>
          <t>PAID_ON_TIME</t>
        </is>
      </c>
      <c r="I5317">
        <f>IF(H5317="UNPAID", AsOfDate-D5317, 0)</f>
        <v/>
      </c>
      <c r="J5317">
        <f>IF(F5317&lt;&gt;"", TEXT(F5317, "yyyy-mm"), "")</f>
        <v/>
      </c>
    </row>
    <row r="5318">
      <c r="A5318" t="inlineStr">
        <is>
          <t>RP0005317</t>
        </is>
      </c>
      <c r="B5318" t="inlineStr">
        <is>
          <t>LN200756</t>
        </is>
      </c>
      <c r="C5318" t="n">
        <v>1</v>
      </c>
      <c r="D5318" s="8" t="n">
        <v>45834</v>
      </c>
      <c r="E5318" s="9" t="n">
        <v>11185</v>
      </c>
      <c r="F5318" s="8" t="n">
        <v>45834</v>
      </c>
      <c r="G5318" s="9" t="n">
        <v>11185</v>
      </c>
      <c r="H5318" t="inlineStr">
        <is>
          <t>PAID_ON_TIME</t>
        </is>
      </c>
      <c r="I5318">
        <f>IF(H5318="UNPAID", AsOfDate-D5318, 0)</f>
        <v/>
      </c>
      <c r="J5318">
        <f>IF(F5318&lt;&gt;"", TEXT(F5318, "yyyy-mm"), "")</f>
        <v/>
      </c>
    </row>
    <row r="5319">
      <c r="A5319" t="inlineStr">
        <is>
          <t>RP0005318</t>
        </is>
      </c>
      <c r="B5319" t="inlineStr">
        <is>
          <t>LN200756</t>
        </is>
      </c>
      <c r="C5319" t="n">
        <v>2</v>
      </c>
      <c r="D5319" s="8" t="n">
        <v>45864</v>
      </c>
      <c r="E5319" s="9" t="n">
        <v>11185</v>
      </c>
      <c r="F5319" s="8" t="n">
        <v>45868</v>
      </c>
      <c r="G5319" s="9" t="n">
        <v>11185</v>
      </c>
      <c r="H5319" t="inlineStr">
        <is>
          <t>PAID_ON_TIME</t>
        </is>
      </c>
      <c r="I5319">
        <f>IF(H5319="UNPAID", AsOfDate-D5319, 0)</f>
        <v/>
      </c>
      <c r="J5319">
        <f>IF(F5319&lt;&gt;"", TEXT(F5319, "yyyy-mm"), "")</f>
        <v/>
      </c>
    </row>
    <row r="5320">
      <c r="A5320" t="inlineStr">
        <is>
          <t>RP0005319</t>
        </is>
      </c>
      <c r="B5320" t="inlineStr">
        <is>
          <t>LN200756</t>
        </is>
      </c>
      <c r="C5320" t="n">
        <v>3</v>
      </c>
      <c r="D5320" s="8" t="n">
        <v>45895</v>
      </c>
      <c r="E5320" s="9" t="n">
        <v>11185</v>
      </c>
      <c r="F5320" s="8" t="n">
        <v>45894</v>
      </c>
      <c r="G5320" s="9" t="n">
        <v>11185</v>
      </c>
      <c r="H5320" t="inlineStr">
        <is>
          <t>PAID_ON_TIME</t>
        </is>
      </c>
      <c r="I5320">
        <f>IF(H5320="UNPAID", AsOfDate-D5320, 0)</f>
        <v/>
      </c>
      <c r="J5320">
        <f>IF(F5320&lt;&gt;"", TEXT(F5320, "yyyy-mm"), "")</f>
        <v/>
      </c>
    </row>
    <row r="5321">
      <c r="A5321" t="inlineStr">
        <is>
          <t>RP0005320</t>
        </is>
      </c>
      <c r="B5321" t="inlineStr">
        <is>
          <t>LN200756</t>
        </is>
      </c>
      <c r="C5321" t="n">
        <v>4</v>
      </c>
      <c r="D5321" s="8" t="n">
        <v>45926</v>
      </c>
      <c r="E5321" s="9" t="n">
        <v>11185</v>
      </c>
      <c r="F5321" s="8" t="n">
        <v>45923</v>
      </c>
      <c r="G5321" s="9" t="n">
        <v>11185</v>
      </c>
      <c r="H5321" t="inlineStr">
        <is>
          <t>PAID_ON_TIME</t>
        </is>
      </c>
      <c r="I5321">
        <f>IF(H5321="UNPAID", AsOfDate-D5321, 0)</f>
        <v/>
      </c>
      <c r="J5321">
        <f>IF(F5321&lt;&gt;"", TEXT(F5321, "yyyy-mm"), "")</f>
        <v/>
      </c>
    </row>
    <row r="5322">
      <c r="A5322" t="inlineStr">
        <is>
          <t>RP0005321</t>
        </is>
      </c>
      <c r="B5322" t="inlineStr">
        <is>
          <t>LN200756</t>
        </is>
      </c>
      <c r="C5322" t="n">
        <v>5</v>
      </c>
      <c r="D5322" s="8" t="n">
        <v>45956</v>
      </c>
      <c r="E5322" s="9" t="n">
        <v>11185</v>
      </c>
      <c r="F5322" s="8" t="n">
        <v>45954</v>
      </c>
      <c r="G5322" s="9" t="n">
        <v>11185</v>
      </c>
      <c r="H5322" t="inlineStr">
        <is>
          <t>PAID_ON_TIME</t>
        </is>
      </c>
      <c r="I5322">
        <f>IF(H5322="UNPAID", AsOfDate-D5322, 0)</f>
        <v/>
      </c>
      <c r="J5322">
        <f>IF(F5322&lt;&gt;"", TEXT(F5322, "yyyy-mm"), "")</f>
        <v/>
      </c>
    </row>
    <row r="5323">
      <c r="A5323" t="inlineStr">
        <is>
          <t>RP0005322</t>
        </is>
      </c>
      <c r="B5323" t="inlineStr">
        <is>
          <t>LN200756</t>
        </is>
      </c>
      <c r="C5323" t="n">
        <v>6</v>
      </c>
      <c r="D5323" s="8" t="n">
        <v>45987</v>
      </c>
      <c r="E5323" s="9" t="n">
        <v>11185</v>
      </c>
      <c r="F5323" s="8" t="n">
        <v>45990</v>
      </c>
      <c r="G5323" s="9" t="n">
        <v>11185</v>
      </c>
      <c r="H5323" t="inlineStr">
        <is>
          <t>PAID_ON_TIME</t>
        </is>
      </c>
      <c r="I5323">
        <f>IF(H5323="UNPAID", AsOfDate-D5323, 0)</f>
        <v/>
      </c>
      <c r="J5323">
        <f>IF(F5323&lt;&gt;"", TEXT(F5323, "yyyy-mm"), "")</f>
        <v/>
      </c>
    </row>
    <row r="5324">
      <c r="A5324" t="inlineStr">
        <is>
          <t>RP0005323</t>
        </is>
      </c>
      <c r="B5324" t="inlineStr">
        <is>
          <t>LN200757</t>
        </is>
      </c>
      <c r="C5324" t="n">
        <v>1</v>
      </c>
      <c r="D5324" s="8" t="n">
        <v>45730</v>
      </c>
      <c r="E5324" s="9" t="n">
        <v>53989.83</v>
      </c>
      <c r="F5324" s="8" t="n">
        <v>45732</v>
      </c>
      <c r="G5324" s="9" t="n">
        <v>53989.83</v>
      </c>
      <c r="H5324" t="inlineStr">
        <is>
          <t>PAID_LATE</t>
        </is>
      </c>
      <c r="I5324">
        <f>IF(H5324="UNPAID", AsOfDate-D5324, 0)</f>
        <v/>
      </c>
      <c r="J5324">
        <f>IF(F5324&lt;&gt;"", TEXT(F5324, "yyyy-mm"), "")</f>
        <v/>
      </c>
    </row>
    <row r="5325">
      <c r="A5325" t="inlineStr">
        <is>
          <t>RP0005324</t>
        </is>
      </c>
      <c r="B5325" t="inlineStr">
        <is>
          <t>LN200757</t>
        </is>
      </c>
      <c r="C5325" t="n">
        <v>2</v>
      </c>
      <c r="D5325" s="8" t="n">
        <v>45761</v>
      </c>
      <c r="E5325" s="9" t="n">
        <v>53989.83</v>
      </c>
      <c r="F5325" s="8" t="n">
        <v>45763</v>
      </c>
      <c r="G5325" s="9" t="n">
        <v>53989.83</v>
      </c>
      <c r="H5325" t="inlineStr">
        <is>
          <t>PAID_ON_TIME</t>
        </is>
      </c>
      <c r="I5325">
        <f>IF(H5325="UNPAID", AsOfDate-D5325, 0)</f>
        <v/>
      </c>
      <c r="J5325">
        <f>IF(F5325&lt;&gt;"", TEXT(F5325, "yyyy-mm"), "")</f>
        <v/>
      </c>
    </row>
    <row r="5326">
      <c r="A5326" t="inlineStr">
        <is>
          <t>RP0005325</t>
        </is>
      </c>
      <c r="B5326" t="inlineStr">
        <is>
          <t>LN200757</t>
        </is>
      </c>
      <c r="C5326" t="n">
        <v>3</v>
      </c>
      <c r="D5326" s="8" t="n">
        <v>45791</v>
      </c>
      <c r="E5326" s="9" t="n">
        <v>53989.83</v>
      </c>
      <c r="F5326" s="8" t="n">
        <v>45791</v>
      </c>
      <c r="G5326" s="9" t="n">
        <v>53989.83</v>
      </c>
      <c r="H5326" t="inlineStr">
        <is>
          <t>PAID_ON_TIME</t>
        </is>
      </c>
      <c r="I5326">
        <f>IF(H5326="UNPAID", AsOfDate-D5326, 0)</f>
        <v/>
      </c>
      <c r="J5326">
        <f>IF(F5326&lt;&gt;"", TEXT(F5326, "yyyy-mm"), "")</f>
        <v/>
      </c>
    </row>
    <row r="5327">
      <c r="A5327" t="inlineStr">
        <is>
          <t>RP0005326</t>
        </is>
      </c>
      <c r="B5327" t="inlineStr">
        <is>
          <t>LN200758</t>
        </is>
      </c>
      <c r="C5327" t="n">
        <v>1</v>
      </c>
      <c r="D5327" s="8" t="n">
        <v>46025</v>
      </c>
      <c r="E5327" s="9" t="n">
        <v>202608</v>
      </c>
      <c r="F5327" s="8" t="n">
        <v>46024</v>
      </c>
      <c r="G5327" s="9" t="n">
        <v>202608</v>
      </c>
      <c r="H5327" t="inlineStr">
        <is>
          <t>PAID_ON_TIME</t>
        </is>
      </c>
      <c r="I5327">
        <f>IF(H5327="UNPAID", AsOfDate-D5327, 0)</f>
        <v/>
      </c>
      <c r="J5327">
        <f>IF(F5327&lt;&gt;"", TEXT(F5327, "yyyy-mm"), "")</f>
        <v/>
      </c>
    </row>
    <row r="5328">
      <c r="A5328" t="inlineStr">
        <is>
          <t>RP0005327</t>
        </is>
      </c>
      <c r="B5328" t="inlineStr">
        <is>
          <t>LN200758</t>
        </is>
      </c>
      <c r="C5328" t="n">
        <v>2</v>
      </c>
      <c r="D5328" s="8" t="n">
        <v>46056</v>
      </c>
      <c r="E5328" s="9" t="n">
        <v>202608</v>
      </c>
      <c r="F5328" s="8" t="n"/>
      <c r="G5328" s="9" t="n">
        <v>0</v>
      </c>
      <c r="H5328" t="inlineStr">
        <is>
          <t>UNPAID</t>
        </is>
      </c>
      <c r="I5328">
        <f>IF(H5328="UNPAID", AsOfDate-D5328, 0)</f>
        <v/>
      </c>
      <c r="J5328">
        <f>IF(F5328&lt;&gt;"", TEXT(F5328, "yyyy-mm"), "")</f>
        <v/>
      </c>
    </row>
    <row r="5329">
      <c r="A5329" t="inlineStr">
        <is>
          <t>RP0005328</t>
        </is>
      </c>
      <c r="B5329" t="inlineStr">
        <is>
          <t>LN200758</t>
        </is>
      </c>
      <c r="C5329" t="n">
        <v>3</v>
      </c>
      <c r="D5329" s="8" t="n">
        <v>46084</v>
      </c>
      <c r="E5329" s="9" t="n">
        <v>202608</v>
      </c>
      <c r="F5329" s="8" t="n">
        <v>46081</v>
      </c>
      <c r="G5329" s="9" t="n">
        <v>202608</v>
      </c>
      <c r="H5329" t="inlineStr">
        <is>
          <t>PAID_ON_TIME</t>
        </is>
      </c>
      <c r="I5329">
        <f>IF(H5329="UNPAID", AsOfDate-D5329, 0)</f>
        <v/>
      </c>
      <c r="J5329">
        <f>IF(F5329&lt;&gt;"", TEXT(F5329, "yyyy-mm"), "")</f>
        <v/>
      </c>
    </row>
    <row r="5330">
      <c r="A5330" t="inlineStr">
        <is>
          <t>RP0005329</t>
        </is>
      </c>
      <c r="B5330" t="inlineStr">
        <is>
          <t>LN200759</t>
        </is>
      </c>
      <c r="C5330" t="n">
        <v>1</v>
      </c>
      <c r="D5330" s="8" t="n">
        <v>46231</v>
      </c>
      <c r="E5330" s="9" t="n">
        <v>256760</v>
      </c>
      <c r="F5330" s="8" t="n">
        <v>46230</v>
      </c>
      <c r="G5330" s="9" t="n">
        <v>256760</v>
      </c>
      <c r="H5330" t="inlineStr">
        <is>
          <t>PAID_ON_TIME</t>
        </is>
      </c>
      <c r="I5330">
        <f>IF(H5330="UNPAID", AsOfDate-D5330, 0)</f>
        <v/>
      </c>
      <c r="J5330">
        <f>IF(F5330&lt;&gt;"", TEXT(F5330, "yyyy-mm"), "")</f>
        <v/>
      </c>
    </row>
    <row r="5331">
      <c r="A5331" t="inlineStr">
        <is>
          <t>RP0005330</t>
        </is>
      </c>
      <c r="B5331" t="inlineStr">
        <is>
          <t>LN200759</t>
        </is>
      </c>
      <c r="C5331" t="n">
        <v>2</v>
      </c>
      <c r="D5331" s="8" t="n">
        <v>46262</v>
      </c>
      <c r="E5331" s="9" t="n">
        <v>256760</v>
      </c>
      <c r="F5331" s="8" t="n">
        <v>46259</v>
      </c>
      <c r="G5331" s="9" t="n">
        <v>256760</v>
      </c>
      <c r="H5331" t="inlineStr">
        <is>
          <t>PAID_ON_TIME</t>
        </is>
      </c>
      <c r="I5331">
        <f>IF(H5331="UNPAID", AsOfDate-D5331, 0)</f>
        <v/>
      </c>
      <c r="J5331">
        <f>IF(F5331&lt;&gt;"", TEXT(F5331, "yyyy-mm"), "")</f>
        <v/>
      </c>
    </row>
    <row r="5332">
      <c r="A5332" t="inlineStr">
        <is>
          <t>RP0005331</t>
        </is>
      </c>
      <c r="B5332" t="inlineStr">
        <is>
          <t>LN200759</t>
        </is>
      </c>
      <c r="C5332" t="n">
        <v>3</v>
      </c>
      <c r="D5332" s="8" t="n">
        <v>46293</v>
      </c>
      <c r="E5332" s="9" t="n">
        <v>256760</v>
      </c>
      <c r="F5332" s="8" t="n"/>
      <c r="G5332" s="9" t="n">
        <v>0</v>
      </c>
      <c r="H5332" t="inlineStr">
        <is>
          <t>NOT_DUE</t>
        </is>
      </c>
      <c r="I5332">
        <f>IF(H5332="UNPAID", AsOfDate-D5332, 0)</f>
        <v/>
      </c>
      <c r="J5332">
        <f>IF(F5332&lt;&gt;"", TEXT(F5332, "yyyy-mm"), "")</f>
        <v/>
      </c>
    </row>
    <row r="5333">
      <c r="A5333" t="inlineStr">
        <is>
          <t>RP0005332</t>
        </is>
      </c>
      <c r="B5333" t="inlineStr">
        <is>
          <t>LN200761</t>
        </is>
      </c>
      <c r="C5333" t="n">
        <v>1</v>
      </c>
      <c r="D5333" s="8" t="n">
        <v>45982</v>
      </c>
      <c r="E5333" s="9" t="n">
        <v>15854.67</v>
      </c>
      <c r="F5333" s="8" t="n">
        <v>45986</v>
      </c>
      <c r="G5333" s="9" t="n">
        <v>15854.67</v>
      </c>
      <c r="H5333" t="inlineStr">
        <is>
          <t>PAID_ON_TIME</t>
        </is>
      </c>
      <c r="I5333">
        <f>IF(H5333="UNPAID", AsOfDate-D5333, 0)</f>
        <v/>
      </c>
      <c r="J5333">
        <f>IF(F5333&lt;&gt;"", TEXT(F5333, "yyyy-mm"), "")</f>
        <v/>
      </c>
    </row>
    <row r="5334">
      <c r="A5334" t="inlineStr">
        <is>
          <t>RP0005333</t>
        </is>
      </c>
      <c r="B5334" t="inlineStr">
        <is>
          <t>LN200761</t>
        </is>
      </c>
      <c r="C5334" t="n">
        <v>2</v>
      </c>
      <c r="D5334" s="8" t="n">
        <v>46012</v>
      </c>
      <c r="E5334" s="9" t="n">
        <v>15854.67</v>
      </c>
      <c r="F5334" s="8" t="n">
        <v>46016</v>
      </c>
      <c r="G5334" s="9" t="n">
        <v>15854.67</v>
      </c>
      <c r="H5334" t="inlineStr">
        <is>
          <t>PAID_ON_TIME</t>
        </is>
      </c>
      <c r="I5334">
        <f>IF(H5334="UNPAID", AsOfDate-D5334, 0)</f>
        <v/>
      </c>
      <c r="J5334">
        <f>IF(F5334&lt;&gt;"", TEXT(F5334, "yyyy-mm"), "")</f>
        <v/>
      </c>
    </row>
    <row r="5335">
      <c r="A5335" t="inlineStr">
        <is>
          <t>RP0005334</t>
        </is>
      </c>
      <c r="B5335" t="inlineStr">
        <is>
          <t>LN200761</t>
        </is>
      </c>
      <c r="C5335" t="n">
        <v>3</v>
      </c>
      <c r="D5335" s="8" t="n">
        <v>46043</v>
      </c>
      <c r="E5335" s="9" t="n">
        <v>15854.67</v>
      </c>
      <c r="F5335" s="8" t="n">
        <v>46043</v>
      </c>
      <c r="G5335" s="9" t="n">
        <v>15854.67</v>
      </c>
      <c r="H5335" t="inlineStr">
        <is>
          <t>PAID_ON_TIME</t>
        </is>
      </c>
      <c r="I5335">
        <f>IF(H5335="UNPAID", AsOfDate-D5335, 0)</f>
        <v/>
      </c>
      <c r="J5335">
        <f>IF(F5335&lt;&gt;"", TEXT(F5335, "yyyy-mm"), "")</f>
        <v/>
      </c>
    </row>
    <row r="5336">
      <c r="A5336" t="inlineStr">
        <is>
          <t>RP0005335</t>
        </is>
      </c>
      <c r="B5336" t="inlineStr">
        <is>
          <t>LN200761</t>
        </is>
      </c>
      <c r="C5336" t="n">
        <v>4</v>
      </c>
      <c r="D5336" s="8" t="n">
        <v>46074</v>
      </c>
      <c r="E5336" s="9" t="n">
        <v>15854.67</v>
      </c>
      <c r="F5336" s="8" t="n">
        <v>46075</v>
      </c>
      <c r="G5336" s="9" t="n">
        <v>15854.67</v>
      </c>
      <c r="H5336" t="inlineStr">
        <is>
          <t>PAID_ON_TIME</t>
        </is>
      </c>
      <c r="I5336">
        <f>IF(H5336="UNPAID", AsOfDate-D5336, 0)</f>
        <v/>
      </c>
      <c r="J5336">
        <f>IF(F5336&lt;&gt;"", TEXT(F5336, "yyyy-mm"), "")</f>
        <v/>
      </c>
    </row>
    <row r="5337">
      <c r="A5337" t="inlineStr">
        <is>
          <t>RP0005336</t>
        </is>
      </c>
      <c r="B5337" t="inlineStr">
        <is>
          <t>LN200761</t>
        </is>
      </c>
      <c r="C5337" t="n">
        <v>5</v>
      </c>
      <c r="D5337" s="8" t="n">
        <v>46102</v>
      </c>
      <c r="E5337" s="9" t="n">
        <v>15854.67</v>
      </c>
      <c r="F5337" s="8" t="n">
        <v>46103</v>
      </c>
      <c r="G5337" s="9" t="n">
        <v>15854.67</v>
      </c>
      <c r="H5337" t="inlineStr">
        <is>
          <t>PAID_ON_TIME</t>
        </is>
      </c>
      <c r="I5337">
        <f>IF(H5337="UNPAID", AsOfDate-D5337, 0)</f>
        <v/>
      </c>
      <c r="J5337">
        <f>IF(F5337&lt;&gt;"", TEXT(F5337, "yyyy-mm"), "")</f>
        <v/>
      </c>
    </row>
    <row r="5338">
      <c r="A5338" t="inlineStr">
        <is>
          <t>RP0005337</t>
        </is>
      </c>
      <c r="B5338" t="inlineStr">
        <is>
          <t>LN200761</t>
        </is>
      </c>
      <c r="C5338" t="n">
        <v>6</v>
      </c>
      <c r="D5338" s="8" t="n">
        <v>46133</v>
      </c>
      <c r="E5338" s="9" t="n">
        <v>15854.67</v>
      </c>
      <c r="F5338" s="8" t="n">
        <v>46137</v>
      </c>
      <c r="G5338" s="9" t="n">
        <v>15854.67</v>
      </c>
      <c r="H5338" t="inlineStr">
        <is>
          <t>PAID_ON_TIME</t>
        </is>
      </c>
      <c r="I5338">
        <f>IF(H5338="UNPAID", AsOfDate-D5338, 0)</f>
        <v/>
      </c>
      <c r="J5338">
        <f>IF(F5338&lt;&gt;"", TEXT(F5338, "yyyy-mm"), "")</f>
        <v/>
      </c>
    </row>
    <row r="5339">
      <c r="A5339" t="inlineStr">
        <is>
          <t>RP0005338</t>
        </is>
      </c>
      <c r="B5339" t="inlineStr">
        <is>
          <t>LN200762</t>
        </is>
      </c>
      <c r="C5339" t="n">
        <v>1</v>
      </c>
      <c r="D5339" s="8" t="n">
        <v>46148</v>
      </c>
      <c r="E5339" s="9" t="n">
        <v>16228.33</v>
      </c>
      <c r="F5339" s="8" t="n">
        <v>46147</v>
      </c>
      <c r="G5339" s="9" t="n">
        <v>16228.33</v>
      </c>
      <c r="H5339" t="inlineStr">
        <is>
          <t>PAID_ON_TIME</t>
        </is>
      </c>
      <c r="I5339">
        <f>IF(H5339="UNPAID", AsOfDate-D5339, 0)</f>
        <v/>
      </c>
      <c r="J5339">
        <f>IF(F5339&lt;&gt;"", TEXT(F5339, "yyyy-mm"), "")</f>
        <v/>
      </c>
    </row>
    <row r="5340">
      <c r="A5340" t="inlineStr">
        <is>
          <t>RP0005339</t>
        </is>
      </c>
      <c r="B5340" t="inlineStr">
        <is>
          <t>LN200762</t>
        </is>
      </c>
      <c r="C5340" t="n">
        <v>2</v>
      </c>
      <c r="D5340" s="8" t="n">
        <v>46179</v>
      </c>
      <c r="E5340" s="9" t="n">
        <v>16228.33</v>
      </c>
      <c r="F5340" s="8" t="n">
        <v>46181</v>
      </c>
      <c r="G5340" s="9" t="n">
        <v>16228.33</v>
      </c>
      <c r="H5340" t="inlineStr">
        <is>
          <t>PAID_ON_TIME</t>
        </is>
      </c>
      <c r="I5340">
        <f>IF(H5340="UNPAID", AsOfDate-D5340, 0)</f>
        <v/>
      </c>
      <c r="J5340">
        <f>IF(F5340&lt;&gt;"", TEXT(F5340, "yyyy-mm"), "")</f>
        <v/>
      </c>
    </row>
    <row r="5341">
      <c r="A5341" t="inlineStr">
        <is>
          <t>RP0005340</t>
        </is>
      </c>
      <c r="B5341" t="inlineStr">
        <is>
          <t>LN200762</t>
        </is>
      </c>
      <c r="C5341" t="n">
        <v>3</v>
      </c>
      <c r="D5341" s="8" t="n">
        <v>46209</v>
      </c>
      <c r="E5341" s="9" t="n">
        <v>16228.33</v>
      </c>
      <c r="F5341" s="8" t="n">
        <v>46213</v>
      </c>
      <c r="G5341" s="9" t="n">
        <v>16228.33</v>
      </c>
      <c r="H5341" t="inlineStr">
        <is>
          <t>PAID_ON_TIME</t>
        </is>
      </c>
      <c r="I5341">
        <f>IF(H5341="UNPAID", AsOfDate-D5341, 0)</f>
        <v/>
      </c>
      <c r="J5341">
        <f>IF(F5341&lt;&gt;"", TEXT(F5341, "yyyy-mm"), "")</f>
        <v/>
      </c>
    </row>
    <row r="5342">
      <c r="A5342" t="inlineStr">
        <is>
          <t>RP0005341</t>
        </is>
      </c>
      <c r="B5342" t="inlineStr">
        <is>
          <t>LN200762</t>
        </is>
      </c>
      <c r="C5342" t="n">
        <v>4</v>
      </c>
      <c r="D5342" s="8" t="n">
        <v>46240</v>
      </c>
      <c r="E5342" s="9" t="n">
        <v>16228.33</v>
      </c>
      <c r="F5342" s="8" t="n"/>
      <c r="G5342" s="9" t="n">
        <v>0</v>
      </c>
      <c r="H5342" t="inlineStr">
        <is>
          <t>UNPAID</t>
        </is>
      </c>
      <c r="I5342">
        <f>IF(H5342="UNPAID", AsOfDate-D5342, 0)</f>
        <v/>
      </c>
      <c r="J5342">
        <f>IF(F5342&lt;&gt;"", TEXT(F5342, "yyyy-mm"), "")</f>
        <v/>
      </c>
    </row>
    <row r="5343">
      <c r="A5343" t="inlineStr">
        <is>
          <t>RP0005342</t>
        </is>
      </c>
      <c r="B5343" t="inlineStr">
        <is>
          <t>LN200762</t>
        </is>
      </c>
      <c r="C5343" t="n">
        <v>5</v>
      </c>
      <c r="D5343" s="8" t="n">
        <v>46271</v>
      </c>
      <c r="E5343" s="9" t="n">
        <v>16228.33</v>
      </c>
      <c r="F5343" s="8" t="n"/>
      <c r="G5343" s="9" t="n">
        <v>0</v>
      </c>
      <c r="H5343" t="inlineStr">
        <is>
          <t>NOT_DUE</t>
        </is>
      </c>
      <c r="I5343">
        <f>IF(H5343="UNPAID", AsOfDate-D5343, 0)</f>
        <v/>
      </c>
      <c r="J5343">
        <f>IF(F5343&lt;&gt;"", TEXT(F5343, "yyyy-mm"), "")</f>
        <v/>
      </c>
    </row>
    <row r="5344">
      <c r="A5344" t="inlineStr">
        <is>
          <t>RP0005343</t>
        </is>
      </c>
      <c r="B5344" t="inlineStr">
        <is>
          <t>LN200762</t>
        </is>
      </c>
      <c r="C5344" t="n">
        <v>6</v>
      </c>
      <c r="D5344" s="8" t="n">
        <v>46301</v>
      </c>
      <c r="E5344" s="9" t="n">
        <v>16228.33</v>
      </c>
      <c r="F5344" s="8" t="n"/>
      <c r="G5344" s="9" t="n">
        <v>0</v>
      </c>
      <c r="H5344" t="inlineStr">
        <is>
          <t>NOT_DUE</t>
        </is>
      </c>
      <c r="I5344">
        <f>IF(H5344="UNPAID", AsOfDate-D5344, 0)</f>
        <v/>
      </c>
      <c r="J5344">
        <f>IF(F5344&lt;&gt;"", TEXT(F5344, "yyyy-mm"), "")</f>
        <v/>
      </c>
    </row>
    <row r="5345">
      <c r="A5345" t="inlineStr">
        <is>
          <t>RP0005344</t>
        </is>
      </c>
      <c r="B5345" t="inlineStr">
        <is>
          <t>LN200763</t>
        </is>
      </c>
      <c r="C5345" t="n">
        <v>1</v>
      </c>
      <c r="D5345" s="8" t="n">
        <v>45904</v>
      </c>
      <c r="E5345" s="9" t="n">
        <v>20087.33</v>
      </c>
      <c r="F5345" s="8" t="n">
        <v>45903</v>
      </c>
      <c r="G5345" s="9" t="n">
        <v>20087.33</v>
      </c>
      <c r="H5345" t="inlineStr">
        <is>
          <t>PAID_ON_TIME</t>
        </is>
      </c>
      <c r="I5345">
        <f>IF(H5345="UNPAID", AsOfDate-D5345, 0)</f>
        <v/>
      </c>
      <c r="J5345">
        <f>IF(F5345&lt;&gt;"", TEXT(F5345, "yyyy-mm"), "")</f>
        <v/>
      </c>
    </row>
    <row r="5346">
      <c r="A5346" t="inlineStr">
        <is>
          <t>RP0005345</t>
        </is>
      </c>
      <c r="B5346" t="inlineStr">
        <is>
          <t>LN200763</t>
        </is>
      </c>
      <c r="C5346" t="n">
        <v>2</v>
      </c>
      <c r="D5346" s="8" t="n">
        <v>45934</v>
      </c>
      <c r="E5346" s="9" t="n">
        <v>20087.33</v>
      </c>
      <c r="F5346" s="8" t="n"/>
      <c r="G5346" s="9" t="n">
        <v>0</v>
      </c>
      <c r="H5346" t="inlineStr">
        <is>
          <t>UNPAID</t>
        </is>
      </c>
      <c r="I5346">
        <f>IF(H5346="UNPAID", AsOfDate-D5346, 0)</f>
        <v/>
      </c>
      <c r="J5346">
        <f>IF(F5346&lt;&gt;"", TEXT(F5346, "yyyy-mm"), "")</f>
        <v/>
      </c>
    </row>
    <row r="5347">
      <c r="A5347" t="inlineStr">
        <is>
          <t>RP0005346</t>
        </is>
      </c>
      <c r="B5347" t="inlineStr">
        <is>
          <t>LN200763</t>
        </is>
      </c>
      <c r="C5347" t="n">
        <v>3</v>
      </c>
      <c r="D5347" s="8" t="n">
        <v>45965</v>
      </c>
      <c r="E5347" s="9" t="n">
        <v>20087.33</v>
      </c>
      <c r="F5347" s="8" t="n">
        <v>45966</v>
      </c>
      <c r="G5347" s="9" t="n">
        <v>20087.33</v>
      </c>
      <c r="H5347" t="inlineStr">
        <is>
          <t>PAID_ON_TIME</t>
        </is>
      </c>
      <c r="I5347">
        <f>IF(H5347="UNPAID", AsOfDate-D5347, 0)</f>
        <v/>
      </c>
      <c r="J5347">
        <f>IF(F5347&lt;&gt;"", TEXT(F5347, "yyyy-mm"), "")</f>
        <v/>
      </c>
    </row>
    <row r="5348">
      <c r="A5348" t="inlineStr">
        <is>
          <t>RP0005347</t>
        </is>
      </c>
      <c r="B5348" t="inlineStr">
        <is>
          <t>LN200764</t>
        </is>
      </c>
      <c r="C5348" t="n">
        <v>1</v>
      </c>
      <c r="D5348" s="8" t="n">
        <v>46053</v>
      </c>
      <c r="E5348" s="9" t="n">
        <v>32351.5</v>
      </c>
      <c r="F5348" s="8" t="n">
        <v>46056</v>
      </c>
      <c r="G5348" s="9" t="n">
        <v>32351.5</v>
      </c>
      <c r="H5348" t="inlineStr">
        <is>
          <t>PAID_ON_TIME</t>
        </is>
      </c>
      <c r="I5348">
        <f>IF(H5348="UNPAID", AsOfDate-D5348, 0)</f>
        <v/>
      </c>
      <c r="J5348">
        <f>IF(F5348&lt;&gt;"", TEXT(F5348, "yyyy-mm"), "")</f>
        <v/>
      </c>
    </row>
    <row r="5349">
      <c r="A5349" t="inlineStr">
        <is>
          <t>RP0005348</t>
        </is>
      </c>
      <c r="B5349" t="inlineStr">
        <is>
          <t>LN200764</t>
        </is>
      </c>
      <c r="C5349" t="n">
        <v>2</v>
      </c>
      <c r="D5349" s="8" t="n">
        <v>46081</v>
      </c>
      <c r="E5349" s="9" t="n">
        <v>32351.5</v>
      </c>
      <c r="F5349" s="8" t="n">
        <v>46080</v>
      </c>
      <c r="G5349" s="9" t="n">
        <v>32351.5</v>
      </c>
      <c r="H5349" t="inlineStr">
        <is>
          <t>PAID_ON_TIME</t>
        </is>
      </c>
      <c r="I5349">
        <f>IF(H5349="UNPAID", AsOfDate-D5349, 0)</f>
        <v/>
      </c>
      <c r="J5349">
        <f>IF(F5349&lt;&gt;"", TEXT(F5349, "yyyy-mm"), "")</f>
        <v/>
      </c>
    </row>
    <row r="5350">
      <c r="A5350" t="inlineStr">
        <is>
          <t>RP0005349</t>
        </is>
      </c>
      <c r="B5350" t="inlineStr">
        <is>
          <t>LN200764</t>
        </is>
      </c>
      <c r="C5350" t="n">
        <v>3</v>
      </c>
      <c r="D5350" s="8" t="n">
        <v>46112</v>
      </c>
      <c r="E5350" s="9" t="n">
        <v>32351.5</v>
      </c>
      <c r="F5350" s="8" t="n">
        <v>46116</v>
      </c>
      <c r="G5350" s="9" t="n">
        <v>32351.5</v>
      </c>
      <c r="H5350" t="inlineStr">
        <is>
          <t>PAID_ON_TIME</t>
        </is>
      </c>
      <c r="I5350">
        <f>IF(H5350="UNPAID", AsOfDate-D5350, 0)</f>
        <v/>
      </c>
      <c r="J5350">
        <f>IF(F5350&lt;&gt;"", TEXT(F5350, "yyyy-mm"), "")</f>
        <v/>
      </c>
    </row>
    <row r="5351">
      <c r="A5351" t="inlineStr">
        <is>
          <t>RP0005350</t>
        </is>
      </c>
      <c r="B5351" t="inlineStr">
        <is>
          <t>LN200764</t>
        </is>
      </c>
      <c r="C5351" t="n">
        <v>4</v>
      </c>
      <c r="D5351" s="8" t="n">
        <v>46142</v>
      </c>
      <c r="E5351" s="9" t="n">
        <v>32351.5</v>
      </c>
      <c r="F5351" s="8" t="n">
        <v>46145</v>
      </c>
      <c r="G5351" s="9" t="n">
        <v>32351.5</v>
      </c>
      <c r="H5351" t="inlineStr">
        <is>
          <t>PAID_ON_TIME</t>
        </is>
      </c>
      <c r="I5351">
        <f>IF(H5351="UNPAID", AsOfDate-D5351, 0)</f>
        <v/>
      </c>
      <c r="J5351">
        <f>IF(F5351&lt;&gt;"", TEXT(F5351, "yyyy-mm"), "")</f>
        <v/>
      </c>
    </row>
    <row r="5352">
      <c r="A5352" t="inlineStr">
        <is>
          <t>RP0005351</t>
        </is>
      </c>
      <c r="B5352" t="inlineStr">
        <is>
          <t>LN200764</t>
        </is>
      </c>
      <c r="C5352" t="n">
        <v>5</v>
      </c>
      <c r="D5352" s="8" t="n">
        <v>46173</v>
      </c>
      <c r="E5352" s="9" t="n">
        <v>32351.5</v>
      </c>
      <c r="F5352" s="8" t="n">
        <v>46171</v>
      </c>
      <c r="G5352" s="9" t="n">
        <v>32351.5</v>
      </c>
      <c r="H5352" t="inlineStr">
        <is>
          <t>PAID_ON_TIME</t>
        </is>
      </c>
      <c r="I5352">
        <f>IF(H5352="UNPAID", AsOfDate-D5352, 0)</f>
        <v/>
      </c>
      <c r="J5352">
        <f>IF(F5352&lt;&gt;"", TEXT(F5352, "yyyy-mm"), "")</f>
        <v/>
      </c>
    </row>
    <row r="5353">
      <c r="A5353" t="inlineStr">
        <is>
          <t>RP0005352</t>
        </is>
      </c>
      <c r="B5353" t="inlineStr">
        <is>
          <t>LN200764</t>
        </is>
      </c>
      <c r="C5353" t="n">
        <v>6</v>
      </c>
      <c r="D5353" s="8" t="n">
        <v>46203</v>
      </c>
      <c r="E5353" s="9" t="n">
        <v>32351.5</v>
      </c>
      <c r="F5353" s="8" t="n">
        <v>46207</v>
      </c>
      <c r="G5353" s="9" t="n">
        <v>32351.5</v>
      </c>
      <c r="H5353" t="inlineStr">
        <is>
          <t>PAID_ON_TIME</t>
        </is>
      </c>
      <c r="I5353">
        <f>IF(H5353="UNPAID", AsOfDate-D5353, 0)</f>
        <v/>
      </c>
      <c r="J5353">
        <f>IF(F5353&lt;&gt;"", TEXT(F5353, "yyyy-mm"), "")</f>
        <v/>
      </c>
    </row>
    <row r="5354">
      <c r="A5354" t="inlineStr">
        <is>
          <t>RP0005353</t>
        </is>
      </c>
      <c r="B5354" t="inlineStr">
        <is>
          <t>LN200765</t>
        </is>
      </c>
      <c r="C5354" t="n">
        <v>1</v>
      </c>
      <c r="D5354" s="8" t="n">
        <v>45890</v>
      </c>
      <c r="E5354" s="9" t="n">
        <v>7921.78</v>
      </c>
      <c r="F5354" s="8" t="n">
        <v>45935</v>
      </c>
      <c r="G5354" s="9" t="n">
        <v>7921.78</v>
      </c>
      <c r="H5354" t="inlineStr">
        <is>
          <t>PAID_LATE</t>
        </is>
      </c>
      <c r="I5354">
        <f>IF(H5354="UNPAID", AsOfDate-D5354, 0)</f>
        <v/>
      </c>
      <c r="J5354">
        <f>IF(F5354&lt;&gt;"", TEXT(F5354, "yyyy-mm"), "")</f>
        <v/>
      </c>
    </row>
    <row r="5355">
      <c r="A5355" t="inlineStr">
        <is>
          <t>RP0005354</t>
        </is>
      </c>
      <c r="B5355" t="inlineStr">
        <is>
          <t>LN200765</t>
        </is>
      </c>
      <c r="C5355" t="n">
        <v>2</v>
      </c>
      <c r="D5355" s="8" t="n">
        <v>45921</v>
      </c>
      <c r="E5355" s="9" t="n">
        <v>7921.78</v>
      </c>
      <c r="F5355" s="8" t="n">
        <v>46035</v>
      </c>
      <c r="G5355" s="9" t="n">
        <v>7921.78</v>
      </c>
      <c r="H5355" t="inlineStr">
        <is>
          <t>PAID_LATE</t>
        </is>
      </c>
      <c r="I5355">
        <f>IF(H5355="UNPAID", AsOfDate-D5355, 0)</f>
        <v/>
      </c>
      <c r="J5355">
        <f>IF(F5355&lt;&gt;"", TEXT(F5355, "yyyy-mm"), "")</f>
        <v/>
      </c>
    </row>
    <row r="5356">
      <c r="A5356" t="inlineStr">
        <is>
          <t>RP0005355</t>
        </is>
      </c>
      <c r="B5356" t="inlineStr">
        <is>
          <t>LN200765</t>
        </is>
      </c>
      <c r="C5356" t="n">
        <v>3</v>
      </c>
      <c r="D5356" s="8" t="n">
        <v>45951</v>
      </c>
      <c r="E5356" s="9" t="n">
        <v>7921.78</v>
      </c>
      <c r="F5356" s="8" t="n">
        <v>45950</v>
      </c>
      <c r="G5356" s="9" t="n">
        <v>7921.78</v>
      </c>
      <c r="H5356" t="inlineStr">
        <is>
          <t>PAID_ON_TIME</t>
        </is>
      </c>
      <c r="I5356">
        <f>IF(H5356="UNPAID", AsOfDate-D5356, 0)</f>
        <v/>
      </c>
      <c r="J5356">
        <f>IF(F5356&lt;&gt;"", TEXT(F5356, "yyyy-mm"), "")</f>
        <v/>
      </c>
    </row>
    <row r="5357">
      <c r="A5357" t="inlineStr">
        <is>
          <t>RP0005356</t>
        </is>
      </c>
      <c r="B5357" t="inlineStr">
        <is>
          <t>LN200765</t>
        </is>
      </c>
      <c r="C5357" t="n">
        <v>4</v>
      </c>
      <c r="D5357" s="8" t="n">
        <v>45982</v>
      </c>
      <c r="E5357" s="9" t="n">
        <v>7921.78</v>
      </c>
      <c r="F5357" s="8" t="n">
        <v>45986</v>
      </c>
      <c r="G5357" s="9" t="n">
        <v>7921.78</v>
      </c>
      <c r="H5357" t="inlineStr">
        <is>
          <t>PAID_ON_TIME</t>
        </is>
      </c>
      <c r="I5357">
        <f>IF(H5357="UNPAID", AsOfDate-D5357, 0)</f>
        <v/>
      </c>
      <c r="J5357">
        <f>IF(F5357&lt;&gt;"", TEXT(F5357, "yyyy-mm"), "")</f>
        <v/>
      </c>
    </row>
    <row r="5358">
      <c r="A5358" t="inlineStr">
        <is>
          <t>RP0005357</t>
        </is>
      </c>
      <c r="B5358" t="inlineStr">
        <is>
          <t>LN200765</t>
        </is>
      </c>
      <c r="C5358" t="n">
        <v>5</v>
      </c>
      <c r="D5358" s="8" t="n">
        <v>46012</v>
      </c>
      <c r="E5358" s="9" t="n">
        <v>7921.78</v>
      </c>
      <c r="F5358" s="8" t="n"/>
      <c r="G5358" s="9" t="n">
        <v>0</v>
      </c>
      <c r="H5358" t="inlineStr">
        <is>
          <t>UNPAID</t>
        </is>
      </c>
      <c r="I5358">
        <f>IF(H5358="UNPAID", AsOfDate-D5358, 0)</f>
        <v/>
      </c>
      <c r="J5358">
        <f>IF(F5358&lt;&gt;"", TEXT(F5358, "yyyy-mm"), "")</f>
        <v/>
      </c>
    </row>
    <row r="5359">
      <c r="A5359" t="inlineStr">
        <is>
          <t>RP0005358</t>
        </is>
      </c>
      <c r="B5359" t="inlineStr">
        <is>
          <t>LN200765</t>
        </is>
      </c>
      <c r="C5359" t="n">
        <v>6</v>
      </c>
      <c r="D5359" s="8" t="n">
        <v>46043</v>
      </c>
      <c r="E5359" s="9" t="n">
        <v>7921.78</v>
      </c>
      <c r="F5359" s="8" t="n">
        <v>46046</v>
      </c>
      <c r="G5359" s="9" t="n">
        <v>7921.78</v>
      </c>
      <c r="H5359" t="inlineStr">
        <is>
          <t>PAID_ON_TIME</t>
        </is>
      </c>
      <c r="I5359">
        <f>IF(H5359="UNPAID", AsOfDate-D5359, 0)</f>
        <v/>
      </c>
      <c r="J5359">
        <f>IF(F5359&lt;&gt;"", TEXT(F5359, "yyyy-mm"), "")</f>
        <v/>
      </c>
    </row>
    <row r="5360">
      <c r="A5360" t="inlineStr">
        <is>
          <t>RP0005359</t>
        </is>
      </c>
      <c r="B5360" t="inlineStr">
        <is>
          <t>LN200765</t>
        </is>
      </c>
      <c r="C5360" t="n">
        <v>7</v>
      </c>
      <c r="D5360" s="8" t="n">
        <v>46074</v>
      </c>
      <c r="E5360" s="9" t="n">
        <v>7921.78</v>
      </c>
      <c r="F5360" s="8" t="n">
        <v>46074</v>
      </c>
      <c r="G5360" s="9" t="n">
        <v>7921.78</v>
      </c>
      <c r="H5360" t="inlineStr">
        <is>
          <t>PAID_ON_TIME</t>
        </is>
      </c>
      <c r="I5360">
        <f>IF(H5360="UNPAID", AsOfDate-D5360, 0)</f>
        <v/>
      </c>
      <c r="J5360">
        <f>IF(F5360&lt;&gt;"", TEXT(F5360, "yyyy-mm"), "")</f>
        <v/>
      </c>
    </row>
    <row r="5361">
      <c r="A5361" t="inlineStr">
        <is>
          <t>RP0005360</t>
        </is>
      </c>
      <c r="B5361" t="inlineStr">
        <is>
          <t>LN200765</t>
        </is>
      </c>
      <c r="C5361" t="n">
        <v>8</v>
      </c>
      <c r="D5361" s="8" t="n">
        <v>46102</v>
      </c>
      <c r="E5361" s="9" t="n">
        <v>7921.78</v>
      </c>
      <c r="F5361" s="8" t="n">
        <v>46105</v>
      </c>
      <c r="G5361" s="9" t="n">
        <v>7921.78</v>
      </c>
      <c r="H5361" t="inlineStr">
        <is>
          <t>PAID_ON_TIME</t>
        </is>
      </c>
      <c r="I5361">
        <f>IF(H5361="UNPAID", AsOfDate-D5361, 0)</f>
        <v/>
      </c>
      <c r="J5361">
        <f>IF(F5361&lt;&gt;"", TEXT(F5361, "yyyy-mm"), "")</f>
        <v/>
      </c>
    </row>
    <row r="5362">
      <c r="A5362" t="inlineStr">
        <is>
          <t>RP0005361</t>
        </is>
      </c>
      <c r="B5362" t="inlineStr">
        <is>
          <t>LN200765</t>
        </is>
      </c>
      <c r="C5362" t="n">
        <v>9</v>
      </c>
      <c r="D5362" s="8" t="n">
        <v>46133</v>
      </c>
      <c r="E5362" s="9" t="n">
        <v>7921.78</v>
      </c>
      <c r="F5362" s="8" t="n">
        <v>46130</v>
      </c>
      <c r="G5362" s="9" t="n">
        <v>7921.78</v>
      </c>
      <c r="H5362" t="inlineStr">
        <is>
          <t>PAID_ON_TIME</t>
        </is>
      </c>
      <c r="I5362">
        <f>IF(H5362="UNPAID", AsOfDate-D5362, 0)</f>
        <v/>
      </c>
      <c r="J5362">
        <f>IF(F5362&lt;&gt;"", TEXT(F5362, "yyyy-mm"), "")</f>
        <v/>
      </c>
    </row>
    <row r="5363">
      <c r="A5363" t="inlineStr">
        <is>
          <t>RP0005362</t>
        </is>
      </c>
      <c r="B5363" t="inlineStr">
        <is>
          <t>LN200766</t>
        </is>
      </c>
      <c r="C5363" t="n">
        <v>1</v>
      </c>
      <c r="D5363" s="8" t="n">
        <v>46230</v>
      </c>
      <c r="E5363" s="9" t="n">
        <v>1739.11</v>
      </c>
      <c r="F5363" s="8" t="n">
        <v>46227</v>
      </c>
      <c r="G5363" s="9" t="n">
        <v>1739.11</v>
      </c>
      <c r="H5363" t="inlineStr">
        <is>
          <t>PAID_ON_TIME</t>
        </is>
      </c>
      <c r="I5363">
        <f>IF(H5363="UNPAID", AsOfDate-D5363, 0)</f>
        <v/>
      </c>
      <c r="J5363">
        <f>IF(F5363&lt;&gt;"", TEXT(F5363, "yyyy-mm"), "")</f>
        <v/>
      </c>
    </row>
    <row r="5364">
      <c r="A5364" t="inlineStr">
        <is>
          <t>RP0005363</t>
        </is>
      </c>
      <c r="B5364" t="inlineStr">
        <is>
          <t>LN200766</t>
        </is>
      </c>
      <c r="C5364" t="n">
        <v>2</v>
      </c>
      <c r="D5364" s="8" t="n">
        <v>46261</v>
      </c>
      <c r="E5364" s="9" t="n">
        <v>1739.11</v>
      </c>
      <c r="F5364" s="8" t="n">
        <v>46259</v>
      </c>
      <c r="G5364" s="9" t="n">
        <v>1739.11</v>
      </c>
      <c r="H5364" t="inlineStr">
        <is>
          <t>PAID_ON_TIME</t>
        </is>
      </c>
      <c r="I5364">
        <f>IF(H5364="UNPAID", AsOfDate-D5364, 0)</f>
        <v/>
      </c>
      <c r="J5364">
        <f>IF(F5364&lt;&gt;"", TEXT(F5364, "yyyy-mm"), "")</f>
        <v/>
      </c>
    </row>
    <row r="5365">
      <c r="A5365" t="inlineStr">
        <is>
          <t>RP0005364</t>
        </is>
      </c>
      <c r="B5365" t="inlineStr">
        <is>
          <t>LN200766</t>
        </is>
      </c>
      <c r="C5365" t="n">
        <v>3</v>
      </c>
      <c r="D5365" s="8" t="n">
        <v>46292</v>
      </c>
      <c r="E5365" s="9" t="n">
        <v>1739.11</v>
      </c>
      <c r="F5365" s="8" t="n"/>
      <c r="G5365" s="9" t="n">
        <v>0</v>
      </c>
      <c r="H5365" t="inlineStr">
        <is>
          <t>NOT_DUE</t>
        </is>
      </c>
      <c r="I5365">
        <f>IF(H5365="UNPAID", AsOfDate-D5365, 0)</f>
        <v/>
      </c>
      <c r="J5365">
        <f>IF(F5365&lt;&gt;"", TEXT(F5365, "yyyy-mm"), "")</f>
        <v/>
      </c>
    </row>
    <row r="5366">
      <c r="A5366" t="inlineStr">
        <is>
          <t>RP0005365</t>
        </is>
      </c>
      <c r="B5366" t="inlineStr">
        <is>
          <t>LN200766</t>
        </is>
      </c>
      <c r="C5366" t="n">
        <v>4</v>
      </c>
      <c r="D5366" s="8" t="n">
        <v>46322</v>
      </c>
      <c r="E5366" s="9" t="n">
        <v>1739.11</v>
      </c>
      <c r="F5366" s="8" t="n"/>
      <c r="G5366" s="9" t="n">
        <v>0</v>
      </c>
      <c r="H5366" t="inlineStr">
        <is>
          <t>NOT_DUE</t>
        </is>
      </c>
      <c r="I5366">
        <f>IF(H5366="UNPAID", AsOfDate-D5366, 0)</f>
        <v/>
      </c>
      <c r="J5366">
        <f>IF(F5366&lt;&gt;"", TEXT(F5366, "yyyy-mm"), "")</f>
        <v/>
      </c>
    </row>
    <row r="5367">
      <c r="A5367" t="inlineStr">
        <is>
          <t>RP0005366</t>
        </is>
      </c>
      <c r="B5367" t="inlineStr">
        <is>
          <t>LN200766</t>
        </is>
      </c>
      <c r="C5367" t="n">
        <v>5</v>
      </c>
      <c r="D5367" s="8" t="n">
        <v>46353</v>
      </c>
      <c r="E5367" s="9" t="n">
        <v>1739.11</v>
      </c>
      <c r="F5367" s="8" t="n"/>
      <c r="G5367" s="9" t="n">
        <v>0</v>
      </c>
      <c r="H5367" t="inlineStr">
        <is>
          <t>NOT_DUE</t>
        </is>
      </c>
      <c r="I5367">
        <f>IF(H5367="UNPAID", AsOfDate-D5367, 0)</f>
        <v/>
      </c>
      <c r="J5367">
        <f>IF(F5367&lt;&gt;"", TEXT(F5367, "yyyy-mm"), "")</f>
        <v/>
      </c>
    </row>
    <row r="5368">
      <c r="A5368" t="inlineStr">
        <is>
          <t>RP0005367</t>
        </is>
      </c>
      <c r="B5368" t="inlineStr">
        <is>
          <t>LN200766</t>
        </is>
      </c>
      <c r="C5368" t="n">
        <v>6</v>
      </c>
      <c r="D5368" s="8" t="n">
        <v>46383</v>
      </c>
      <c r="E5368" s="9" t="n">
        <v>1739.11</v>
      </c>
      <c r="F5368" s="8" t="n"/>
      <c r="G5368" s="9" t="n">
        <v>0</v>
      </c>
      <c r="H5368" t="inlineStr">
        <is>
          <t>NOT_DUE</t>
        </is>
      </c>
      <c r="I5368">
        <f>IF(H5368="UNPAID", AsOfDate-D5368, 0)</f>
        <v/>
      </c>
      <c r="J5368">
        <f>IF(F5368&lt;&gt;"", TEXT(F5368, "yyyy-mm"), "")</f>
        <v/>
      </c>
    </row>
    <row r="5369">
      <c r="A5369" t="inlineStr">
        <is>
          <t>RP0005368</t>
        </is>
      </c>
      <c r="B5369" t="inlineStr">
        <is>
          <t>LN200766</t>
        </is>
      </c>
      <c r="C5369" t="n">
        <v>7</v>
      </c>
      <c r="D5369" s="8" t="n">
        <v>46414</v>
      </c>
      <c r="E5369" s="9" t="n">
        <v>1739.11</v>
      </c>
      <c r="F5369" s="8" t="n"/>
      <c r="G5369" s="9" t="n">
        <v>0</v>
      </c>
      <c r="H5369" t="inlineStr">
        <is>
          <t>NOT_DUE</t>
        </is>
      </c>
      <c r="I5369">
        <f>IF(H5369="UNPAID", AsOfDate-D5369, 0)</f>
        <v/>
      </c>
      <c r="J5369">
        <f>IF(F5369&lt;&gt;"", TEXT(F5369, "yyyy-mm"), "")</f>
        <v/>
      </c>
    </row>
    <row r="5370">
      <c r="A5370" t="inlineStr">
        <is>
          <t>RP0005369</t>
        </is>
      </c>
      <c r="B5370" t="inlineStr">
        <is>
          <t>LN200766</t>
        </is>
      </c>
      <c r="C5370" t="n">
        <v>8</v>
      </c>
      <c r="D5370" s="8" t="n">
        <v>46445</v>
      </c>
      <c r="E5370" s="9" t="n">
        <v>1739.11</v>
      </c>
      <c r="F5370" s="8" t="n"/>
      <c r="G5370" s="9" t="n">
        <v>0</v>
      </c>
      <c r="H5370" t="inlineStr">
        <is>
          <t>NOT_DUE</t>
        </is>
      </c>
      <c r="I5370">
        <f>IF(H5370="UNPAID", AsOfDate-D5370, 0)</f>
        <v/>
      </c>
      <c r="J5370">
        <f>IF(F5370&lt;&gt;"", TEXT(F5370, "yyyy-mm"), "")</f>
        <v/>
      </c>
    </row>
    <row r="5371">
      <c r="A5371" t="inlineStr">
        <is>
          <t>RP0005370</t>
        </is>
      </c>
      <c r="B5371" t="inlineStr">
        <is>
          <t>LN200766</t>
        </is>
      </c>
      <c r="C5371" t="n">
        <v>9</v>
      </c>
      <c r="D5371" s="8" t="n">
        <v>46473</v>
      </c>
      <c r="E5371" s="9" t="n">
        <v>1739.11</v>
      </c>
      <c r="F5371" s="8" t="n"/>
      <c r="G5371" s="9" t="n">
        <v>0</v>
      </c>
      <c r="H5371" t="inlineStr">
        <is>
          <t>NOT_DUE</t>
        </is>
      </c>
      <c r="I5371">
        <f>IF(H5371="UNPAID", AsOfDate-D5371, 0)</f>
        <v/>
      </c>
      <c r="J5371">
        <f>IF(F5371&lt;&gt;"", TEXT(F5371, "yyyy-mm"), "")</f>
        <v/>
      </c>
    </row>
    <row r="5372">
      <c r="A5372" t="inlineStr">
        <is>
          <t>RP0005371</t>
        </is>
      </c>
      <c r="B5372" t="inlineStr">
        <is>
          <t>LN200766</t>
        </is>
      </c>
      <c r="C5372" t="n">
        <v>10</v>
      </c>
      <c r="D5372" s="8" t="n">
        <v>46504</v>
      </c>
      <c r="E5372" s="9" t="n">
        <v>1739.11</v>
      </c>
      <c r="F5372" s="8" t="n"/>
      <c r="G5372" s="9" t="n">
        <v>0</v>
      </c>
      <c r="H5372" t="inlineStr">
        <is>
          <t>NOT_DUE</t>
        </is>
      </c>
      <c r="I5372">
        <f>IF(H5372="UNPAID", AsOfDate-D5372, 0)</f>
        <v/>
      </c>
      <c r="J5372">
        <f>IF(F5372&lt;&gt;"", TEXT(F5372, "yyyy-mm"), "")</f>
        <v/>
      </c>
    </row>
    <row r="5373">
      <c r="A5373" t="inlineStr">
        <is>
          <t>RP0005372</t>
        </is>
      </c>
      <c r="B5373" t="inlineStr">
        <is>
          <t>LN200766</t>
        </is>
      </c>
      <c r="C5373" t="n">
        <v>11</v>
      </c>
      <c r="D5373" s="8" t="n">
        <v>46534</v>
      </c>
      <c r="E5373" s="9" t="n">
        <v>1739.11</v>
      </c>
      <c r="F5373" s="8" t="n"/>
      <c r="G5373" s="9" t="n">
        <v>0</v>
      </c>
      <c r="H5373" t="inlineStr">
        <is>
          <t>NOT_DUE</t>
        </is>
      </c>
      <c r="I5373">
        <f>IF(H5373="UNPAID", AsOfDate-D5373, 0)</f>
        <v/>
      </c>
      <c r="J5373">
        <f>IF(F5373&lt;&gt;"", TEXT(F5373, "yyyy-mm"), "")</f>
        <v/>
      </c>
    </row>
    <row r="5374">
      <c r="A5374" t="inlineStr">
        <is>
          <t>RP0005373</t>
        </is>
      </c>
      <c r="B5374" t="inlineStr">
        <is>
          <t>LN200766</t>
        </is>
      </c>
      <c r="C5374" t="n">
        <v>12</v>
      </c>
      <c r="D5374" s="8" t="n">
        <v>46565</v>
      </c>
      <c r="E5374" s="9" t="n">
        <v>1739.11</v>
      </c>
      <c r="F5374" s="8" t="n"/>
      <c r="G5374" s="9" t="n">
        <v>0</v>
      </c>
      <c r="H5374" t="inlineStr">
        <is>
          <t>NOT_DUE</t>
        </is>
      </c>
      <c r="I5374">
        <f>IF(H5374="UNPAID", AsOfDate-D5374, 0)</f>
        <v/>
      </c>
      <c r="J5374">
        <f>IF(F5374&lt;&gt;"", TEXT(F5374, "yyyy-mm"), "")</f>
        <v/>
      </c>
    </row>
    <row r="5375">
      <c r="A5375" t="inlineStr">
        <is>
          <t>RP0005374</t>
        </is>
      </c>
      <c r="B5375" t="inlineStr">
        <is>
          <t>LN200766</t>
        </is>
      </c>
      <c r="C5375" t="n">
        <v>13</v>
      </c>
      <c r="D5375" s="8" t="n">
        <v>46595</v>
      </c>
      <c r="E5375" s="9" t="n">
        <v>1739.11</v>
      </c>
      <c r="F5375" s="8" t="n"/>
      <c r="G5375" s="9" t="n">
        <v>0</v>
      </c>
      <c r="H5375" t="inlineStr">
        <is>
          <t>NOT_DUE</t>
        </is>
      </c>
      <c r="I5375">
        <f>IF(H5375="UNPAID", AsOfDate-D5375, 0)</f>
        <v/>
      </c>
      <c r="J5375">
        <f>IF(F5375&lt;&gt;"", TEXT(F5375, "yyyy-mm"), "")</f>
        <v/>
      </c>
    </row>
    <row r="5376">
      <c r="A5376" t="inlineStr">
        <is>
          <t>RP0005375</t>
        </is>
      </c>
      <c r="B5376" t="inlineStr">
        <is>
          <t>LN200766</t>
        </is>
      </c>
      <c r="C5376" t="n">
        <v>14</v>
      </c>
      <c r="D5376" s="8" t="n">
        <v>46626</v>
      </c>
      <c r="E5376" s="9" t="n">
        <v>1739.11</v>
      </c>
      <c r="F5376" s="8" t="n"/>
      <c r="G5376" s="9" t="n">
        <v>0</v>
      </c>
      <c r="H5376" t="inlineStr">
        <is>
          <t>NOT_DUE</t>
        </is>
      </c>
      <c r="I5376">
        <f>IF(H5376="UNPAID", AsOfDate-D5376, 0)</f>
        <v/>
      </c>
      <c r="J5376">
        <f>IF(F5376&lt;&gt;"", TEXT(F5376, "yyyy-mm"), "")</f>
        <v/>
      </c>
    </row>
    <row r="5377">
      <c r="A5377" t="inlineStr">
        <is>
          <t>RP0005376</t>
        </is>
      </c>
      <c r="B5377" t="inlineStr">
        <is>
          <t>LN200766</t>
        </is>
      </c>
      <c r="C5377" t="n">
        <v>15</v>
      </c>
      <c r="D5377" s="8" t="n">
        <v>46657</v>
      </c>
      <c r="E5377" s="9" t="n">
        <v>1739.11</v>
      </c>
      <c r="F5377" s="8" t="n"/>
      <c r="G5377" s="9" t="n">
        <v>0</v>
      </c>
      <c r="H5377" t="inlineStr">
        <is>
          <t>NOT_DUE</t>
        </is>
      </c>
      <c r="I5377">
        <f>IF(H5377="UNPAID", AsOfDate-D5377, 0)</f>
        <v/>
      </c>
      <c r="J5377">
        <f>IF(F5377&lt;&gt;"", TEXT(F5377, "yyyy-mm"), "")</f>
        <v/>
      </c>
    </row>
    <row r="5378">
      <c r="A5378" t="inlineStr">
        <is>
          <t>RP0005377</t>
        </is>
      </c>
      <c r="B5378" t="inlineStr">
        <is>
          <t>LN200766</t>
        </is>
      </c>
      <c r="C5378" t="n">
        <v>16</v>
      </c>
      <c r="D5378" s="8" t="n">
        <v>46687</v>
      </c>
      <c r="E5378" s="9" t="n">
        <v>1739.11</v>
      </c>
      <c r="F5378" s="8" t="n"/>
      <c r="G5378" s="9" t="n">
        <v>0</v>
      </c>
      <c r="H5378" t="inlineStr">
        <is>
          <t>NOT_DUE</t>
        </is>
      </c>
      <c r="I5378">
        <f>IF(H5378="UNPAID", AsOfDate-D5378, 0)</f>
        <v/>
      </c>
      <c r="J5378">
        <f>IF(F5378&lt;&gt;"", TEXT(F5378, "yyyy-mm"), "")</f>
        <v/>
      </c>
    </row>
    <row r="5379">
      <c r="A5379" t="inlineStr">
        <is>
          <t>RP0005378</t>
        </is>
      </c>
      <c r="B5379" t="inlineStr">
        <is>
          <t>LN200766</t>
        </is>
      </c>
      <c r="C5379" t="n">
        <v>17</v>
      </c>
      <c r="D5379" s="8" t="n">
        <v>46718</v>
      </c>
      <c r="E5379" s="9" t="n">
        <v>1739.11</v>
      </c>
      <c r="F5379" s="8" t="n"/>
      <c r="G5379" s="9" t="n">
        <v>0</v>
      </c>
      <c r="H5379" t="inlineStr">
        <is>
          <t>NOT_DUE</t>
        </is>
      </c>
      <c r="I5379">
        <f>IF(H5379="UNPAID", AsOfDate-D5379, 0)</f>
        <v/>
      </c>
      <c r="J5379">
        <f>IF(F5379&lt;&gt;"", TEXT(F5379, "yyyy-mm"), "")</f>
        <v/>
      </c>
    </row>
    <row r="5380">
      <c r="A5380" t="inlineStr">
        <is>
          <t>RP0005379</t>
        </is>
      </c>
      <c r="B5380" t="inlineStr">
        <is>
          <t>LN200766</t>
        </is>
      </c>
      <c r="C5380" t="n">
        <v>18</v>
      </c>
      <c r="D5380" s="8" t="n">
        <v>46748</v>
      </c>
      <c r="E5380" s="9" t="n">
        <v>1739.11</v>
      </c>
      <c r="F5380" s="8" t="n"/>
      <c r="G5380" s="9" t="n">
        <v>0</v>
      </c>
      <c r="H5380" t="inlineStr">
        <is>
          <t>NOT_DUE</t>
        </is>
      </c>
      <c r="I5380">
        <f>IF(H5380="UNPAID", AsOfDate-D5380, 0)</f>
        <v/>
      </c>
      <c r="J5380">
        <f>IF(F5380&lt;&gt;"", TEXT(F5380, "yyyy-mm"), "")</f>
        <v/>
      </c>
    </row>
    <row r="5381">
      <c r="A5381" t="inlineStr">
        <is>
          <t>RP0005380</t>
        </is>
      </c>
      <c r="B5381" t="inlineStr">
        <is>
          <t>LN200767</t>
        </is>
      </c>
      <c r="C5381" t="n">
        <v>1</v>
      </c>
      <c r="D5381" s="8" t="n">
        <v>46172</v>
      </c>
      <c r="E5381" s="9" t="n">
        <v>50574.28</v>
      </c>
      <c r="F5381" s="8" t="n">
        <v>46169</v>
      </c>
      <c r="G5381" s="9" t="n">
        <v>50574.28</v>
      </c>
      <c r="H5381" t="inlineStr">
        <is>
          <t>PAID_ON_TIME</t>
        </is>
      </c>
      <c r="I5381">
        <f>IF(H5381="UNPAID", AsOfDate-D5381, 0)</f>
        <v/>
      </c>
      <c r="J5381">
        <f>IF(F5381&lt;&gt;"", TEXT(F5381, "yyyy-mm"), "")</f>
        <v/>
      </c>
    </row>
    <row r="5382">
      <c r="A5382" t="inlineStr">
        <is>
          <t>RP0005381</t>
        </is>
      </c>
      <c r="B5382" t="inlineStr">
        <is>
          <t>LN200767</t>
        </is>
      </c>
      <c r="C5382" t="n">
        <v>2</v>
      </c>
      <c r="D5382" s="8" t="n">
        <v>46203</v>
      </c>
      <c r="E5382" s="9" t="n">
        <v>50574.28</v>
      </c>
      <c r="F5382" s="8" t="n">
        <v>46202</v>
      </c>
      <c r="G5382" s="9" t="n">
        <v>50574.28</v>
      </c>
      <c r="H5382" t="inlineStr">
        <is>
          <t>PAID_ON_TIME</t>
        </is>
      </c>
      <c r="I5382">
        <f>IF(H5382="UNPAID", AsOfDate-D5382, 0)</f>
        <v/>
      </c>
      <c r="J5382">
        <f>IF(F5382&lt;&gt;"", TEXT(F5382, "yyyy-mm"), "")</f>
        <v/>
      </c>
    </row>
    <row r="5383">
      <c r="A5383" t="inlineStr">
        <is>
          <t>RP0005382</t>
        </is>
      </c>
      <c r="B5383" t="inlineStr">
        <is>
          <t>LN200767</t>
        </is>
      </c>
      <c r="C5383" t="n">
        <v>3</v>
      </c>
      <c r="D5383" s="8" t="n">
        <v>46233</v>
      </c>
      <c r="E5383" s="9" t="n">
        <v>50574.28</v>
      </c>
      <c r="F5383" s="8" t="n">
        <v>46235</v>
      </c>
      <c r="G5383" s="9" t="n">
        <v>50574.28</v>
      </c>
      <c r="H5383" t="inlineStr">
        <is>
          <t>PAID_ON_TIME</t>
        </is>
      </c>
      <c r="I5383">
        <f>IF(H5383="UNPAID", AsOfDate-D5383, 0)</f>
        <v/>
      </c>
      <c r="J5383">
        <f>IF(F5383&lt;&gt;"", TEXT(F5383, "yyyy-mm"), "")</f>
        <v/>
      </c>
    </row>
    <row r="5384">
      <c r="A5384" t="inlineStr">
        <is>
          <t>RP0005383</t>
        </is>
      </c>
      <c r="B5384" t="inlineStr">
        <is>
          <t>LN200767</t>
        </is>
      </c>
      <c r="C5384" t="n">
        <v>4</v>
      </c>
      <c r="D5384" s="8" t="n">
        <v>46264</v>
      </c>
      <c r="E5384" s="9" t="n">
        <v>50574.28</v>
      </c>
      <c r="F5384" s="8" t="n">
        <v>46268</v>
      </c>
      <c r="G5384" s="9" t="n">
        <v>50574.28</v>
      </c>
      <c r="H5384" t="inlineStr">
        <is>
          <t>PAID_ON_TIME</t>
        </is>
      </c>
      <c r="I5384">
        <f>IF(H5384="UNPAID", AsOfDate-D5384, 0)</f>
        <v/>
      </c>
      <c r="J5384">
        <f>IF(F5384&lt;&gt;"", TEXT(F5384, "yyyy-mm"), "")</f>
        <v/>
      </c>
    </row>
    <row r="5385">
      <c r="A5385" t="inlineStr">
        <is>
          <t>RP0005384</t>
        </is>
      </c>
      <c r="B5385" t="inlineStr">
        <is>
          <t>LN200767</t>
        </is>
      </c>
      <c r="C5385" t="n">
        <v>5</v>
      </c>
      <c r="D5385" s="8" t="n">
        <v>46295</v>
      </c>
      <c r="E5385" s="9" t="n">
        <v>50574.28</v>
      </c>
      <c r="F5385" s="8" t="n"/>
      <c r="G5385" s="9" t="n">
        <v>0</v>
      </c>
      <c r="H5385" t="inlineStr">
        <is>
          <t>NOT_DUE</t>
        </is>
      </c>
      <c r="I5385">
        <f>IF(H5385="UNPAID", AsOfDate-D5385, 0)</f>
        <v/>
      </c>
      <c r="J5385">
        <f>IF(F5385&lt;&gt;"", TEXT(F5385, "yyyy-mm"), "")</f>
        <v/>
      </c>
    </row>
    <row r="5386">
      <c r="A5386" t="inlineStr">
        <is>
          <t>RP0005385</t>
        </is>
      </c>
      <c r="B5386" t="inlineStr">
        <is>
          <t>LN200767</t>
        </is>
      </c>
      <c r="C5386" t="n">
        <v>6</v>
      </c>
      <c r="D5386" s="8" t="n">
        <v>46325</v>
      </c>
      <c r="E5386" s="9" t="n">
        <v>50574.28</v>
      </c>
      <c r="F5386" s="8" t="n"/>
      <c r="G5386" s="9" t="n">
        <v>0</v>
      </c>
      <c r="H5386" t="inlineStr">
        <is>
          <t>NOT_DUE</t>
        </is>
      </c>
      <c r="I5386">
        <f>IF(H5386="UNPAID", AsOfDate-D5386, 0)</f>
        <v/>
      </c>
      <c r="J5386">
        <f>IF(F5386&lt;&gt;"", TEXT(F5386, "yyyy-mm"), "")</f>
        <v/>
      </c>
    </row>
    <row r="5387">
      <c r="A5387" t="inlineStr">
        <is>
          <t>RP0005386</t>
        </is>
      </c>
      <c r="B5387" t="inlineStr">
        <is>
          <t>LN200767</t>
        </is>
      </c>
      <c r="C5387" t="n">
        <v>7</v>
      </c>
      <c r="D5387" s="8" t="n">
        <v>46356</v>
      </c>
      <c r="E5387" s="9" t="n">
        <v>50574.28</v>
      </c>
      <c r="F5387" s="8" t="n"/>
      <c r="G5387" s="9" t="n">
        <v>0</v>
      </c>
      <c r="H5387" t="inlineStr">
        <is>
          <t>NOT_DUE</t>
        </is>
      </c>
      <c r="I5387">
        <f>IF(H5387="UNPAID", AsOfDate-D5387, 0)</f>
        <v/>
      </c>
      <c r="J5387">
        <f>IF(F5387&lt;&gt;"", TEXT(F5387, "yyyy-mm"), "")</f>
        <v/>
      </c>
    </row>
    <row r="5388">
      <c r="A5388" t="inlineStr">
        <is>
          <t>RP0005387</t>
        </is>
      </c>
      <c r="B5388" t="inlineStr">
        <is>
          <t>LN200767</t>
        </is>
      </c>
      <c r="C5388" t="n">
        <v>8</v>
      </c>
      <c r="D5388" s="8" t="n">
        <v>46386</v>
      </c>
      <c r="E5388" s="9" t="n">
        <v>50574.28</v>
      </c>
      <c r="F5388" s="8" t="n"/>
      <c r="G5388" s="9" t="n">
        <v>0</v>
      </c>
      <c r="H5388" t="inlineStr">
        <is>
          <t>NOT_DUE</t>
        </is>
      </c>
      <c r="I5388">
        <f>IF(H5388="UNPAID", AsOfDate-D5388, 0)</f>
        <v/>
      </c>
      <c r="J5388">
        <f>IF(F5388&lt;&gt;"", TEXT(F5388, "yyyy-mm"), "")</f>
        <v/>
      </c>
    </row>
    <row r="5389">
      <c r="A5389" t="inlineStr">
        <is>
          <t>RP0005388</t>
        </is>
      </c>
      <c r="B5389" t="inlineStr">
        <is>
          <t>LN200767</t>
        </is>
      </c>
      <c r="C5389" t="n">
        <v>9</v>
      </c>
      <c r="D5389" s="8" t="n">
        <v>46417</v>
      </c>
      <c r="E5389" s="9" t="n">
        <v>50574.28</v>
      </c>
      <c r="F5389" s="8" t="n"/>
      <c r="G5389" s="9" t="n">
        <v>0</v>
      </c>
      <c r="H5389" t="inlineStr">
        <is>
          <t>NOT_DUE</t>
        </is>
      </c>
      <c r="I5389">
        <f>IF(H5389="UNPAID", AsOfDate-D5389, 0)</f>
        <v/>
      </c>
      <c r="J5389">
        <f>IF(F5389&lt;&gt;"", TEXT(F5389, "yyyy-mm"), "")</f>
        <v/>
      </c>
    </row>
    <row r="5390">
      <c r="A5390" t="inlineStr">
        <is>
          <t>RP0005389</t>
        </is>
      </c>
      <c r="B5390" t="inlineStr">
        <is>
          <t>LN200768</t>
        </is>
      </c>
      <c r="C5390" t="n">
        <v>1</v>
      </c>
      <c r="D5390" s="8" t="n">
        <v>45997</v>
      </c>
      <c r="E5390" s="9" t="n">
        <v>6701.56</v>
      </c>
      <c r="F5390" s="8" t="n">
        <v>45995</v>
      </c>
      <c r="G5390" s="9" t="n">
        <v>6701.56</v>
      </c>
      <c r="H5390" t="inlineStr">
        <is>
          <t>PAID_ON_TIME</t>
        </is>
      </c>
      <c r="I5390">
        <f>IF(H5390="UNPAID", AsOfDate-D5390, 0)</f>
        <v/>
      </c>
      <c r="J5390">
        <f>IF(F5390&lt;&gt;"", TEXT(F5390, "yyyy-mm"), "")</f>
        <v/>
      </c>
    </row>
    <row r="5391">
      <c r="A5391" t="inlineStr">
        <is>
          <t>RP0005390</t>
        </is>
      </c>
      <c r="B5391" t="inlineStr">
        <is>
          <t>LN200768</t>
        </is>
      </c>
      <c r="C5391" t="n">
        <v>2</v>
      </c>
      <c r="D5391" s="8" t="n">
        <v>46028</v>
      </c>
      <c r="E5391" s="9" t="n">
        <v>6701.56</v>
      </c>
      <c r="F5391" s="8" t="n">
        <v>46026</v>
      </c>
      <c r="G5391" s="9" t="n">
        <v>6701.56</v>
      </c>
      <c r="H5391" t="inlineStr">
        <is>
          <t>PAID_ON_TIME</t>
        </is>
      </c>
      <c r="I5391">
        <f>IF(H5391="UNPAID", AsOfDate-D5391, 0)</f>
        <v/>
      </c>
      <c r="J5391">
        <f>IF(F5391&lt;&gt;"", TEXT(F5391, "yyyy-mm"), "")</f>
        <v/>
      </c>
    </row>
    <row r="5392">
      <c r="A5392" t="inlineStr">
        <is>
          <t>RP0005391</t>
        </is>
      </c>
      <c r="B5392" t="inlineStr">
        <is>
          <t>LN200768</t>
        </is>
      </c>
      <c r="C5392" t="n">
        <v>3</v>
      </c>
      <c r="D5392" s="8" t="n">
        <v>46059</v>
      </c>
      <c r="E5392" s="9" t="n">
        <v>6701.56</v>
      </c>
      <c r="F5392" s="8" t="n">
        <v>46061</v>
      </c>
      <c r="G5392" s="9" t="n">
        <v>6701.56</v>
      </c>
      <c r="H5392" t="inlineStr">
        <is>
          <t>PAID_ON_TIME</t>
        </is>
      </c>
      <c r="I5392">
        <f>IF(H5392="UNPAID", AsOfDate-D5392, 0)</f>
        <v/>
      </c>
      <c r="J5392">
        <f>IF(F5392&lt;&gt;"", TEXT(F5392, "yyyy-mm"), "")</f>
        <v/>
      </c>
    </row>
    <row r="5393">
      <c r="A5393" t="inlineStr">
        <is>
          <t>RP0005392</t>
        </is>
      </c>
      <c r="B5393" t="inlineStr">
        <is>
          <t>LN200768</t>
        </is>
      </c>
      <c r="C5393" t="n">
        <v>4</v>
      </c>
      <c r="D5393" s="8" t="n">
        <v>46087</v>
      </c>
      <c r="E5393" s="9" t="n">
        <v>6701.56</v>
      </c>
      <c r="F5393" s="8" t="n">
        <v>46089</v>
      </c>
      <c r="G5393" s="9" t="n">
        <v>6701.56</v>
      </c>
      <c r="H5393" t="inlineStr">
        <is>
          <t>PAID_ON_TIME</t>
        </is>
      </c>
      <c r="I5393">
        <f>IF(H5393="UNPAID", AsOfDate-D5393, 0)</f>
        <v/>
      </c>
      <c r="J5393">
        <f>IF(F5393&lt;&gt;"", TEXT(F5393, "yyyy-mm"), "")</f>
        <v/>
      </c>
    </row>
    <row r="5394">
      <c r="A5394" t="inlineStr">
        <is>
          <t>RP0005393</t>
        </is>
      </c>
      <c r="B5394" t="inlineStr">
        <is>
          <t>LN200768</t>
        </is>
      </c>
      <c r="C5394" t="n">
        <v>5</v>
      </c>
      <c r="D5394" s="8" t="n">
        <v>46118</v>
      </c>
      <c r="E5394" s="9" t="n">
        <v>6701.56</v>
      </c>
      <c r="F5394" s="8" t="n">
        <v>46121</v>
      </c>
      <c r="G5394" s="9" t="n">
        <v>6701.56</v>
      </c>
      <c r="H5394" t="inlineStr">
        <is>
          <t>PAID_ON_TIME</t>
        </is>
      </c>
      <c r="I5394">
        <f>IF(H5394="UNPAID", AsOfDate-D5394, 0)</f>
        <v/>
      </c>
      <c r="J5394">
        <f>IF(F5394&lt;&gt;"", TEXT(F5394, "yyyy-mm"), "")</f>
        <v/>
      </c>
    </row>
    <row r="5395">
      <c r="A5395" t="inlineStr">
        <is>
          <t>RP0005394</t>
        </is>
      </c>
      <c r="B5395" t="inlineStr">
        <is>
          <t>LN200768</t>
        </is>
      </c>
      <c r="C5395" t="n">
        <v>6</v>
      </c>
      <c r="D5395" s="8" t="n">
        <v>46148</v>
      </c>
      <c r="E5395" s="9" t="n">
        <v>6701.56</v>
      </c>
      <c r="F5395" s="8" t="n">
        <v>46145</v>
      </c>
      <c r="G5395" s="9" t="n">
        <v>6701.56</v>
      </c>
      <c r="H5395" t="inlineStr">
        <is>
          <t>PAID_ON_TIME</t>
        </is>
      </c>
      <c r="I5395">
        <f>IF(H5395="UNPAID", AsOfDate-D5395, 0)</f>
        <v/>
      </c>
      <c r="J5395">
        <f>IF(F5395&lt;&gt;"", TEXT(F5395, "yyyy-mm"), "")</f>
        <v/>
      </c>
    </row>
    <row r="5396">
      <c r="A5396" t="inlineStr">
        <is>
          <t>RP0005395</t>
        </is>
      </c>
      <c r="B5396" t="inlineStr">
        <is>
          <t>LN200768</t>
        </is>
      </c>
      <c r="C5396" t="n">
        <v>7</v>
      </c>
      <c r="D5396" s="8" t="n">
        <v>46179</v>
      </c>
      <c r="E5396" s="9" t="n">
        <v>6701.56</v>
      </c>
      <c r="F5396" s="8" t="n">
        <v>46177</v>
      </c>
      <c r="G5396" s="9" t="n">
        <v>6701.56</v>
      </c>
      <c r="H5396" t="inlineStr">
        <is>
          <t>PAID_ON_TIME</t>
        </is>
      </c>
      <c r="I5396">
        <f>IF(H5396="UNPAID", AsOfDate-D5396, 0)</f>
        <v/>
      </c>
      <c r="J5396">
        <f>IF(F5396&lt;&gt;"", TEXT(F5396, "yyyy-mm"), "")</f>
        <v/>
      </c>
    </row>
    <row r="5397">
      <c r="A5397" t="inlineStr">
        <is>
          <t>RP0005396</t>
        </is>
      </c>
      <c r="B5397" t="inlineStr">
        <is>
          <t>LN200768</t>
        </is>
      </c>
      <c r="C5397" t="n">
        <v>8</v>
      </c>
      <c r="D5397" s="8" t="n">
        <v>46209</v>
      </c>
      <c r="E5397" s="9" t="n">
        <v>6701.56</v>
      </c>
      <c r="F5397" s="8" t="n">
        <v>46206</v>
      </c>
      <c r="G5397" s="9" t="n">
        <v>6701.56</v>
      </c>
      <c r="H5397" t="inlineStr">
        <is>
          <t>PAID_ON_TIME</t>
        </is>
      </c>
      <c r="I5397">
        <f>IF(H5397="UNPAID", AsOfDate-D5397, 0)</f>
        <v/>
      </c>
      <c r="J5397">
        <f>IF(F5397&lt;&gt;"", TEXT(F5397, "yyyy-mm"), "")</f>
        <v/>
      </c>
    </row>
    <row r="5398">
      <c r="A5398" t="inlineStr">
        <is>
          <t>RP0005397</t>
        </is>
      </c>
      <c r="B5398" t="inlineStr">
        <is>
          <t>LN200768</t>
        </is>
      </c>
      <c r="C5398" t="n">
        <v>9</v>
      </c>
      <c r="D5398" s="8" t="n">
        <v>46240</v>
      </c>
      <c r="E5398" s="9" t="n">
        <v>6701.56</v>
      </c>
      <c r="F5398" s="8" t="n"/>
      <c r="G5398" s="9" t="n">
        <v>0</v>
      </c>
      <c r="H5398" t="inlineStr">
        <is>
          <t>UNPAID</t>
        </is>
      </c>
      <c r="I5398">
        <f>IF(H5398="UNPAID", AsOfDate-D5398, 0)</f>
        <v/>
      </c>
      <c r="J5398">
        <f>IF(F5398&lt;&gt;"", TEXT(F5398, "yyyy-mm"), "")</f>
        <v/>
      </c>
    </row>
    <row r="5399">
      <c r="A5399" t="inlineStr">
        <is>
          <t>RP0005398</t>
        </is>
      </c>
      <c r="B5399" t="inlineStr">
        <is>
          <t>LN200769</t>
        </is>
      </c>
      <c r="C5399" t="n">
        <v>1</v>
      </c>
      <c r="D5399" s="8" t="n">
        <v>46180</v>
      </c>
      <c r="E5399" s="9" t="n">
        <v>5160.31</v>
      </c>
      <c r="F5399" s="8" t="n">
        <v>46184</v>
      </c>
      <c r="G5399" s="9" t="n">
        <v>5160.31</v>
      </c>
      <c r="H5399" t="inlineStr">
        <is>
          <t>PAID_ON_TIME</t>
        </is>
      </c>
      <c r="I5399">
        <f>IF(H5399="UNPAID", AsOfDate-D5399, 0)</f>
        <v/>
      </c>
      <c r="J5399">
        <f>IF(F5399&lt;&gt;"", TEXT(F5399, "yyyy-mm"), "")</f>
        <v/>
      </c>
    </row>
    <row r="5400">
      <c r="A5400" t="inlineStr">
        <is>
          <t>RP0005399</t>
        </is>
      </c>
      <c r="B5400" t="inlineStr">
        <is>
          <t>LN200769</t>
        </is>
      </c>
      <c r="C5400" t="n">
        <v>2</v>
      </c>
      <c r="D5400" s="8" t="n">
        <v>46210</v>
      </c>
      <c r="E5400" s="9" t="n">
        <v>5160.31</v>
      </c>
      <c r="F5400" s="8" t="n">
        <v>46210</v>
      </c>
      <c r="G5400" s="9" t="n">
        <v>5160.31</v>
      </c>
      <c r="H5400" t="inlineStr">
        <is>
          <t>PAID_ON_TIME</t>
        </is>
      </c>
      <c r="I5400">
        <f>IF(H5400="UNPAID", AsOfDate-D5400, 0)</f>
        <v/>
      </c>
      <c r="J5400">
        <f>IF(F5400&lt;&gt;"", TEXT(F5400, "yyyy-mm"), "")</f>
        <v/>
      </c>
    </row>
    <row r="5401">
      <c r="A5401" t="inlineStr">
        <is>
          <t>RP0005400</t>
        </is>
      </c>
      <c r="B5401" t="inlineStr">
        <is>
          <t>LN200769</t>
        </is>
      </c>
      <c r="C5401" t="n">
        <v>3</v>
      </c>
      <c r="D5401" s="8" t="n">
        <v>46241</v>
      </c>
      <c r="E5401" s="9" t="n">
        <v>5160.31</v>
      </c>
      <c r="F5401" s="8" t="n">
        <v>46238</v>
      </c>
      <c r="G5401" s="9" t="n">
        <v>5160.31</v>
      </c>
      <c r="H5401" t="inlineStr">
        <is>
          <t>PAID_ON_TIME</t>
        </is>
      </c>
      <c r="I5401">
        <f>IF(H5401="UNPAID", AsOfDate-D5401, 0)</f>
        <v/>
      </c>
      <c r="J5401">
        <f>IF(F5401&lt;&gt;"", TEXT(F5401, "yyyy-mm"), "")</f>
        <v/>
      </c>
    </row>
    <row r="5402">
      <c r="A5402" t="inlineStr">
        <is>
          <t>RP0005401</t>
        </is>
      </c>
      <c r="B5402" t="inlineStr">
        <is>
          <t>LN200769</t>
        </is>
      </c>
      <c r="C5402" t="n">
        <v>4</v>
      </c>
      <c r="D5402" s="8" t="n">
        <v>46272</v>
      </c>
      <c r="E5402" s="9" t="n">
        <v>5160.31</v>
      </c>
      <c r="F5402" s="8" t="n"/>
      <c r="G5402" s="9" t="n">
        <v>0</v>
      </c>
      <c r="H5402" t="inlineStr">
        <is>
          <t>NOT_DUE</t>
        </is>
      </c>
      <c r="I5402">
        <f>IF(H5402="UNPAID", AsOfDate-D5402, 0)</f>
        <v/>
      </c>
      <c r="J5402">
        <f>IF(F5402&lt;&gt;"", TEXT(F5402, "yyyy-mm"), "")</f>
        <v/>
      </c>
    </row>
    <row r="5403">
      <c r="A5403" t="inlineStr">
        <is>
          <t>RP0005402</t>
        </is>
      </c>
      <c r="B5403" t="inlineStr">
        <is>
          <t>LN200769</t>
        </is>
      </c>
      <c r="C5403" t="n">
        <v>5</v>
      </c>
      <c r="D5403" s="8" t="n">
        <v>46302</v>
      </c>
      <c r="E5403" s="9" t="n">
        <v>5160.31</v>
      </c>
      <c r="F5403" s="8" t="n"/>
      <c r="G5403" s="9" t="n">
        <v>0</v>
      </c>
      <c r="H5403" t="inlineStr">
        <is>
          <t>NOT_DUE</t>
        </is>
      </c>
      <c r="I5403">
        <f>IF(H5403="UNPAID", AsOfDate-D5403, 0)</f>
        <v/>
      </c>
      <c r="J5403">
        <f>IF(F5403&lt;&gt;"", TEXT(F5403, "yyyy-mm"), "")</f>
        <v/>
      </c>
    </row>
    <row r="5404">
      <c r="A5404" t="inlineStr">
        <is>
          <t>RP0005403</t>
        </is>
      </c>
      <c r="B5404" t="inlineStr">
        <is>
          <t>LN200769</t>
        </is>
      </c>
      <c r="C5404" t="n">
        <v>6</v>
      </c>
      <c r="D5404" s="8" t="n">
        <v>46333</v>
      </c>
      <c r="E5404" s="9" t="n">
        <v>5160.31</v>
      </c>
      <c r="F5404" s="8" t="n"/>
      <c r="G5404" s="9" t="n">
        <v>0</v>
      </c>
      <c r="H5404" t="inlineStr">
        <is>
          <t>NOT_DUE</t>
        </is>
      </c>
      <c r="I5404">
        <f>IF(H5404="UNPAID", AsOfDate-D5404, 0)</f>
        <v/>
      </c>
      <c r="J5404">
        <f>IF(F5404&lt;&gt;"", TEXT(F5404, "yyyy-mm"), "")</f>
        <v/>
      </c>
    </row>
    <row r="5405">
      <c r="A5405" t="inlineStr">
        <is>
          <t>RP0005404</t>
        </is>
      </c>
      <c r="B5405" t="inlineStr">
        <is>
          <t>LN200769</t>
        </is>
      </c>
      <c r="C5405" t="n">
        <v>7</v>
      </c>
      <c r="D5405" s="8" t="n">
        <v>46363</v>
      </c>
      <c r="E5405" s="9" t="n">
        <v>5160.31</v>
      </c>
      <c r="F5405" s="8" t="n"/>
      <c r="G5405" s="9" t="n">
        <v>0</v>
      </c>
      <c r="H5405" t="inlineStr">
        <is>
          <t>NOT_DUE</t>
        </is>
      </c>
      <c r="I5405">
        <f>IF(H5405="UNPAID", AsOfDate-D5405, 0)</f>
        <v/>
      </c>
      <c r="J5405">
        <f>IF(F5405&lt;&gt;"", TEXT(F5405, "yyyy-mm"), "")</f>
        <v/>
      </c>
    </row>
    <row r="5406">
      <c r="A5406" t="inlineStr">
        <is>
          <t>RP0005405</t>
        </is>
      </c>
      <c r="B5406" t="inlineStr">
        <is>
          <t>LN200769</t>
        </is>
      </c>
      <c r="C5406" t="n">
        <v>8</v>
      </c>
      <c r="D5406" s="8" t="n">
        <v>46394</v>
      </c>
      <c r="E5406" s="9" t="n">
        <v>5160.31</v>
      </c>
      <c r="F5406" s="8" t="n"/>
      <c r="G5406" s="9" t="n">
        <v>0</v>
      </c>
      <c r="H5406" t="inlineStr">
        <is>
          <t>NOT_DUE</t>
        </is>
      </c>
      <c r="I5406">
        <f>IF(H5406="UNPAID", AsOfDate-D5406, 0)</f>
        <v/>
      </c>
      <c r="J5406">
        <f>IF(F5406&lt;&gt;"", TEXT(F5406, "yyyy-mm"), "")</f>
        <v/>
      </c>
    </row>
    <row r="5407">
      <c r="A5407" t="inlineStr">
        <is>
          <t>RP0005406</t>
        </is>
      </c>
      <c r="B5407" t="inlineStr">
        <is>
          <t>LN200769</t>
        </is>
      </c>
      <c r="C5407" t="n">
        <v>9</v>
      </c>
      <c r="D5407" s="8" t="n">
        <v>46425</v>
      </c>
      <c r="E5407" s="9" t="n">
        <v>5160.31</v>
      </c>
      <c r="F5407" s="8" t="n"/>
      <c r="G5407" s="9" t="n">
        <v>0</v>
      </c>
      <c r="H5407" t="inlineStr">
        <is>
          <t>NOT_DUE</t>
        </is>
      </c>
      <c r="I5407">
        <f>IF(H5407="UNPAID", AsOfDate-D5407, 0)</f>
        <v/>
      </c>
      <c r="J5407">
        <f>IF(F5407&lt;&gt;"", TEXT(F5407, "yyyy-mm"), "")</f>
        <v/>
      </c>
    </row>
    <row r="5408">
      <c r="A5408" t="inlineStr">
        <is>
          <t>RP0005407</t>
        </is>
      </c>
      <c r="B5408" t="inlineStr">
        <is>
          <t>LN200771</t>
        </is>
      </c>
      <c r="C5408" t="n">
        <v>1</v>
      </c>
      <c r="D5408" s="8" t="n">
        <v>45709</v>
      </c>
      <c r="E5408" s="9" t="n">
        <v>20502.5</v>
      </c>
      <c r="F5408" s="8" t="n">
        <v>45708</v>
      </c>
      <c r="G5408" s="9" t="n">
        <v>20502.5</v>
      </c>
      <c r="H5408" t="inlineStr">
        <is>
          <t>PAID_ON_TIME</t>
        </is>
      </c>
      <c r="I5408">
        <f>IF(H5408="UNPAID", AsOfDate-D5408, 0)</f>
        <v/>
      </c>
      <c r="J5408">
        <f>IF(F5408&lt;&gt;"", TEXT(F5408, "yyyy-mm"), "")</f>
        <v/>
      </c>
    </row>
    <row r="5409">
      <c r="A5409" t="inlineStr">
        <is>
          <t>RP0005408</t>
        </is>
      </c>
      <c r="B5409" t="inlineStr">
        <is>
          <t>LN200771</t>
        </is>
      </c>
      <c r="C5409" t="n">
        <v>2</v>
      </c>
      <c r="D5409" s="8" t="n">
        <v>45737</v>
      </c>
      <c r="E5409" s="9" t="n">
        <v>20502.5</v>
      </c>
      <c r="F5409" s="8" t="n">
        <v>45735</v>
      </c>
      <c r="G5409" s="9" t="n">
        <v>20502.5</v>
      </c>
      <c r="H5409" t="inlineStr">
        <is>
          <t>PAID_ON_TIME</t>
        </is>
      </c>
      <c r="I5409">
        <f>IF(H5409="UNPAID", AsOfDate-D5409, 0)</f>
        <v/>
      </c>
      <c r="J5409">
        <f>IF(F5409&lt;&gt;"", TEXT(F5409, "yyyy-mm"), "")</f>
        <v/>
      </c>
    </row>
    <row r="5410">
      <c r="A5410" t="inlineStr">
        <is>
          <t>RP0005409</t>
        </is>
      </c>
      <c r="B5410" t="inlineStr">
        <is>
          <t>LN200771</t>
        </is>
      </c>
      <c r="C5410" t="n">
        <v>3</v>
      </c>
      <c r="D5410" s="8" t="n">
        <v>45768</v>
      </c>
      <c r="E5410" s="9" t="n">
        <v>20502.5</v>
      </c>
      <c r="F5410" s="8" t="n">
        <v>45882</v>
      </c>
      <c r="G5410" s="9" t="n">
        <v>20502.5</v>
      </c>
      <c r="H5410" t="inlineStr">
        <is>
          <t>PAID_LATE</t>
        </is>
      </c>
      <c r="I5410">
        <f>IF(H5410="UNPAID", AsOfDate-D5410, 0)</f>
        <v/>
      </c>
      <c r="J5410">
        <f>IF(F5410&lt;&gt;"", TEXT(F5410, "yyyy-mm"), "")</f>
        <v/>
      </c>
    </row>
    <row r="5411">
      <c r="A5411" t="inlineStr">
        <is>
          <t>RP0005410</t>
        </is>
      </c>
      <c r="B5411" t="inlineStr">
        <is>
          <t>LN200772</t>
        </is>
      </c>
      <c r="C5411" t="n">
        <v>1</v>
      </c>
      <c r="D5411" s="8" t="n">
        <v>45921</v>
      </c>
      <c r="E5411" s="9" t="n">
        <v>11557.83</v>
      </c>
      <c r="F5411" s="8" t="n">
        <v>45919</v>
      </c>
      <c r="G5411" s="9" t="n">
        <v>11557.83</v>
      </c>
      <c r="H5411" t="inlineStr">
        <is>
          <t>PAID_ON_TIME</t>
        </is>
      </c>
      <c r="I5411">
        <f>IF(H5411="UNPAID", AsOfDate-D5411, 0)</f>
        <v/>
      </c>
      <c r="J5411">
        <f>IF(F5411&lt;&gt;"", TEXT(F5411, "yyyy-mm"), "")</f>
        <v/>
      </c>
    </row>
    <row r="5412">
      <c r="A5412" t="inlineStr">
        <is>
          <t>RP0005411</t>
        </is>
      </c>
      <c r="B5412" t="inlineStr">
        <is>
          <t>LN200772</t>
        </is>
      </c>
      <c r="C5412" t="n">
        <v>2</v>
      </c>
      <c r="D5412" s="8" t="n">
        <v>45951</v>
      </c>
      <c r="E5412" s="9" t="n">
        <v>11557.83</v>
      </c>
      <c r="F5412" s="8" t="n">
        <v>45953</v>
      </c>
      <c r="G5412" s="9" t="n">
        <v>11557.83</v>
      </c>
      <c r="H5412" t="inlineStr">
        <is>
          <t>PAID_ON_TIME</t>
        </is>
      </c>
      <c r="I5412">
        <f>IF(H5412="UNPAID", AsOfDate-D5412, 0)</f>
        <v/>
      </c>
      <c r="J5412">
        <f>IF(F5412&lt;&gt;"", TEXT(F5412, "yyyy-mm"), "")</f>
        <v/>
      </c>
    </row>
    <row r="5413">
      <c r="A5413" t="inlineStr">
        <is>
          <t>RP0005412</t>
        </is>
      </c>
      <c r="B5413" t="inlineStr">
        <is>
          <t>LN200772</t>
        </is>
      </c>
      <c r="C5413" t="n">
        <v>3</v>
      </c>
      <c r="D5413" s="8" t="n">
        <v>45982</v>
      </c>
      <c r="E5413" s="9" t="n">
        <v>11557.83</v>
      </c>
      <c r="F5413" s="8" t="n">
        <v>45980</v>
      </c>
      <c r="G5413" s="9" t="n">
        <v>11557.83</v>
      </c>
      <c r="H5413" t="inlineStr">
        <is>
          <t>PAID_ON_TIME</t>
        </is>
      </c>
      <c r="I5413">
        <f>IF(H5413="UNPAID", AsOfDate-D5413, 0)</f>
        <v/>
      </c>
      <c r="J5413">
        <f>IF(F5413&lt;&gt;"", TEXT(F5413, "yyyy-mm"), "")</f>
        <v/>
      </c>
    </row>
    <row r="5414">
      <c r="A5414" t="inlineStr">
        <is>
          <t>RP0005413</t>
        </is>
      </c>
      <c r="B5414" t="inlineStr">
        <is>
          <t>LN200772</t>
        </is>
      </c>
      <c r="C5414" t="n">
        <v>4</v>
      </c>
      <c r="D5414" s="8" t="n">
        <v>46012</v>
      </c>
      <c r="E5414" s="9" t="n">
        <v>11557.83</v>
      </c>
      <c r="F5414" s="8" t="n">
        <v>46012</v>
      </c>
      <c r="G5414" s="9" t="n">
        <v>11557.83</v>
      </c>
      <c r="H5414" t="inlineStr">
        <is>
          <t>PAID_ON_TIME</t>
        </is>
      </c>
      <c r="I5414">
        <f>IF(H5414="UNPAID", AsOfDate-D5414, 0)</f>
        <v/>
      </c>
      <c r="J5414">
        <f>IF(F5414&lt;&gt;"", TEXT(F5414, "yyyy-mm"), "")</f>
        <v/>
      </c>
    </row>
    <row r="5415">
      <c r="A5415" t="inlineStr">
        <is>
          <t>RP0005414</t>
        </is>
      </c>
      <c r="B5415" t="inlineStr">
        <is>
          <t>LN200772</t>
        </is>
      </c>
      <c r="C5415" t="n">
        <v>5</v>
      </c>
      <c r="D5415" s="8" t="n">
        <v>46043</v>
      </c>
      <c r="E5415" s="9" t="n">
        <v>11557.83</v>
      </c>
      <c r="F5415" s="8" t="n">
        <v>46046</v>
      </c>
      <c r="G5415" s="9" t="n">
        <v>11557.83</v>
      </c>
      <c r="H5415" t="inlineStr">
        <is>
          <t>PAID_ON_TIME</t>
        </is>
      </c>
      <c r="I5415">
        <f>IF(H5415="UNPAID", AsOfDate-D5415, 0)</f>
        <v/>
      </c>
      <c r="J5415">
        <f>IF(F5415&lt;&gt;"", TEXT(F5415, "yyyy-mm"), "")</f>
        <v/>
      </c>
    </row>
    <row r="5416">
      <c r="A5416" t="inlineStr">
        <is>
          <t>RP0005415</t>
        </is>
      </c>
      <c r="B5416" t="inlineStr">
        <is>
          <t>LN200772</t>
        </is>
      </c>
      <c r="C5416" t="n">
        <v>6</v>
      </c>
      <c r="D5416" s="8" t="n">
        <v>46074</v>
      </c>
      <c r="E5416" s="9" t="n">
        <v>11557.83</v>
      </c>
      <c r="F5416" s="8" t="n">
        <v>46072</v>
      </c>
      <c r="G5416" s="9" t="n">
        <v>11557.83</v>
      </c>
      <c r="H5416" t="inlineStr">
        <is>
          <t>PAID_ON_TIME</t>
        </is>
      </c>
      <c r="I5416">
        <f>IF(H5416="UNPAID", AsOfDate-D5416, 0)</f>
        <v/>
      </c>
      <c r="J5416">
        <f>IF(F5416&lt;&gt;"", TEXT(F5416, "yyyy-mm"), "")</f>
        <v/>
      </c>
    </row>
    <row r="5417">
      <c r="A5417" t="inlineStr">
        <is>
          <t>RP0005416</t>
        </is>
      </c>
      <c r="B5417" t="inlineStr">
        <is>
          <t>LN200773</t>
        </is>
      </c>
      <c r="C5417" t="n">
        <v>1</v>
      </c>
      <c r="D5417" s="8" t="n">
        <v>46260</v>
      </c>
      <c r="E5417" s="9" t="n">
        <v>9133.110000000001</v>
      </c>
      <c r="F5417" s="8" t="n"/>
      <c r="G5417" s="9" t="n">
        <v>0</v>
      </c>
      <c r="H5417" t="inlineStr">
        <is>
          <t>UNPAID</t>
        </is>
      </c>
      <c r="I5417">
        <f>IF(H5417="UNPAID", AsOfDate-D5417, 0)</f>
        <v/>
      </c>
      <c r="J5417">
        <f>IF(F5417&lt;&gt;"", TEXT(F5417, "yyyy-mm"), "")</f>
        <v/>
      </c>
    </row>
    <row r="5418">
      <c r="A5418" t="inlineStr">
        <is>
          <t>RP0005417</t>
        </is>
      </c>
      <c r="B5418" t="inlineStr">
        <is>
          <t>LN200773</t>
        </is>
      </c>
      <c r="C5418" t="n">
        <v>2</v>
      </c>
      <c r="D5418" s="8" t="n">
        <v>46291</v>
      </c>
      <c r="E5418" s="9" t="n">
        <v>9133.110000000001</v>
      </c>
      <c r="F5418" s="8" t="n"/>
      <c r="G5418" s="9" t="n">
        <v>0</v>
      </c>
      <c r="H5418" t="inlineStr">
        <is>
          <t>NOT_DUE</t>
        </is>
      </c>
      <c r="I5418">
        <f>IF(H5418="UNPAID", AsOfDate-D5418, 0)</f>
        <v/>
      </c>
      <c r="J5418">
        <f>IF(F5418&lt;&gt;"", TEXT(F5418, "yyyy-mm"), "")</f>
        <v/>
      </c>
    </row>
    <row r="5419">
      <c r="A5419" t="inlineStr">
        <is>
          <t>RP0005418</t>
        </is>
      </c>
      <c r="B5419" t="inlineStr">
        <is>
          <t>LN200773</t>
        </is>
      </c>
      <c r="C5419" t="n">
        <v>3</v>
      </c>
      <c r="D5419" s="8" t="n">
        <v>46321</v>
      </c>
      <c r="E5419" s="9" t="n">
        <v>9133.110000000001</v>
      </c>
      <c r="F5419" s="8" t="n"/>
      <c r="G5419" s="9" t="n">
        <v>0</v>
      </c>
      <c r="H5419" t="inlineStr">
        <is>
          <t>NOT_DUE</t>
        </is>
      </c>
      <c r="I5419">
        <f>IF(H5419="UNPAID", AsOfDate-D5419, 0)</f>
        <v/>
      </c>
      <c r="J5419">
        <f>IF(F5419&lt;&gt;"", TEXT(F5419, "yyyy-mm"), "")</f>
        <v/>
      </c>
    </row>
    <row r="5420">
      <c r="A5420" t="inlineStr">
        <is>
          <t>RP0005419</t>
        </is>
      </c>
      <c r="B5420" t="inlineStr">
        <is>
          <t>LN200773</t>
        </is>
      </c>
      <c r="C5420" t="n">
        <v>4</v>
      </c>
      <c r="D5420" s="8" t="n">
        <v>46352</v>
      </c>
      <c r="E5420" s="9" t="n">
        <v>9133.110000000001</v>
      </c>
      <c r="F5420" s="8" t="n"/>
      <c r="G5420" s="9" t="n">
        <v>0</v>
      </c>
      <c r="H5420" t="inlineStr">
        <is>
          <t>NOT_DUE</t>
        </is>
      </c>
      <c r="I5420">
        <f>IF(H5420="UNPAID", AsOfDate-D5420, 0)</f>
        <v/>
      </c>
      <c r="J5420">
        <f>IF(F5420&lt;&gt;"", TEXT(F5420, "yyyy-mm"), "")</f>
        <v/>
      </c>
    </row>
    <row r="5421">
      <c r="A5421" t="inlineStr">
        <is>
          <t>RP0005420</t>
        </is>
      </c>
      <c r="B5421" t="inlineStr">
        <is>
          <t>LN200773</t>
        </is>
      </c>
      <c r="C5421" t="n">
        <v>5</v>
      </c>
      <c r="D5421" s="8" t="n">
        <v>46382</v>
      </c>
      <c r="E5421" s="9" t="n">
        <v>9133.110000000001</v>
      </c>
      <c r="F5421" s="8" t="n"/>
      <c r="G5421" s="9" t="n">
        <v>0</v>
      </c>
      <c r="H5421" t="inlineStr">
        <is>
          <t>NOT_DUE</t>
        </is>
      </c>
      <c r="I5421">
        <f>IF(H5421="UNPAID", AsOfDate-D5421, 0)</f>
        <v/>
      </c>
      <c r="J5421">
        <f>IF(F5421&lt;&gt;"", TEXT(F5421, "yyyy-mm"), "")</f>
        <v/>
      </c>
    </row>
    <row r="5422">
      <c r="A5422" t="inlineStr">
        <is>
          <t>RP0005421</t>
        </is>
      </c>
      <c r="B5422" t="inlineStr">
        <is>
          <t>LN200773</t>
        </is>
      </c>
      <c r="C5422" t="n">
        <v>6</v>
      </c>
      <c r="D5422" s="8" t="n">
        <v>46413</v>
      </c>
      <c r="E5422" s="9" t="n">
        <v>9133.110000000001</v>
      </c>
      <c r="F5422" s="8" t="n"/>
      <c r="G5422" s="9" t="n">
        <v>0</v>
      </c>
      <c r="H5422" t="inlineStr">
        <is>
          <t>NOT_DUE</t>
        </is>
      </c>
      <c r="I5422">
        <f>IF(H5422="UNPAID", AsOfDate-D5422, 0)</f>
        <v/>
      </c>
      <c r="J5422">
        <f>IF(F5422&lt;&gt;"", TEXT(F5422, "yyyy-mm"), "")</f>
        <v/>
      </c>
    </row>
    <row r="5423">
      <c r="A5423" t="inlineStr">
        <is>
          <t>RP0005422</t>
        </is>
      </c>
      <c r="B5423" t="inlineStr">
        <is>
          <t>LN200773</t>
        </is>
      </c>
      <c r="C5423" t="n">
        <v>7</v>
      </c>
      <c r="D5423" s="8" t="n">
        <v>46444</v>
      </c>
      <c r="E5423" s="9" t="n">
        <v>9133.110000000001</v>
      </c>
      <c r="F5423" s="8" t="n"/>
      <c r="G5423" s="9" t="n">
        <v>0</v>
      </c>
      <c r="H5423" t="inlineStr">
        <is>
          <t>NOT_DUE</t>
        </is>
      </c>
      <c r="I5423">
        <f>IF(H5423="UNPAID", AsOfDate-D5423, 0)</f>
        <v/>
      </c>
      <c r="J5423">
        <f>IF(F5423&lt;&gt;"", TEXT(F5423, "yyyy-mm"), "")</f>
        <v/>
      </c>
    </row>
    <row r="5424">
      <c r="A5424" t="inlineStr">
        <is>
          <t>RP0005423</t>
        </is>
      </c>
      <c r="B5424" t="inlineStr">
        <is>
          <t>LN200773</t>
        </is>
      </c>
      <c r="C5424" t="n">
        <v>8</v>
      </c>
      <c r="D5424" s="8" t="n">
        <v>46472</v>
      </c>
      <c r="E5424" s="9" t="n">
        <v>9133.110000000001</v>
      </c>
      <c r="F5424" s="8" t="n"/>
      <c r="G5424" s="9" t="n">
        <v>0</v>
      </c>
      <c r="H5424" t="inlineStr">
        <is>
          <t>NOT_DUE</t>
        </is>
      </c>
      <c r="I5424">
        <f>IF(H5424="UNPAID", AsOfDate-D5424, 0)</f>
        <v/>
      </c>
      <c r="J5424">
        <f>IF(F5424&lt;&gt;"", TEXT(F5424, "yyyy-mm"), "")</f>
        <v/>
      </c>
    </row>
    <row r="5425">
      <c r="A5425" t="inlineStr">
        <is>
          <t>RP0005424</t>
        </is>
      </c>
      <c r="B5425" t="inlineStr">
        <is>
          <t>LN200773</t>
        </is>
      </c>
      <c r="C5425" t="n">
        <v>9</v>
      </c>
      <c r="D5425" s="8" t="n">
        <v>46503</v>
      </c>
      <c r="E5425" s="9" t="n">
        <v>9133.110000000001</v>
      </c>
      <c r="F5425" s="8" t="n"/>
      <c r="G5425" s="9" t="n">
        <v>0</v>
      </c>
      <c r="H5425" t="inlineStr">
        <is>
          <t>NOT_DUE</t>
        </is>
      </c>
      <c r="I5425">
        <f>IF(H5425="UNPAID", AsOfDate-D5425, 0)</f>
        <v/>
      </c>
      <c r="J5425">
        <f>IF(F5425&lt;&gt;"", TEXT(F5425, "yyyy-mm"), "")</f>
        <v/>
      </c>
    </row>
    <row r="5426">
      <c r="A5426" t="inlineStr">
        <is>
          <t>RP0005425</t>
        </is>
      </c>
      <c r="B5426" t="inlineStr">
        <is>
          <t>LN200774</t>
        </is>
      </c>
      <c r="C5426" t="n">
        <v>1</v>
      </c>
      <c r="D5426" s="8" t="n">
        <v>45860</v>
      </c>
      <c r="E5426" s="9" t="n">
        <v>7397.33</v>
      </c>
      <c r="F5426" s="8" t="n">
        <v>45864</v>
      </c>
      <c r="G5426" s="9" t="n">
        <v>7397.33</v>
      </c>
      <c r="H5426" t="inlineStr">
        <is>
          <t>PAID_ON_TIME</t>
        </is>
      </c>
      <c r="I5426">
        <f>IF(H5426="UNPAID", AsOfDate-D5426, 0)</f>
        <v/>
      </c>
      <c r="J5426">
        <f>IF(F5426&lt;&gt;"", TEXT(F5426, "yyyy-mm"), "")</f>
        <v/>
      </c>
    </row>
    <row r="5427">
      <c r="A5427" t="inlineStr">
        <is>
          <t>RP0005426</t>
        </is>
      </c>
      <c r="B5427" t="inlineStr">
        <is>
          <t>LN200774</t>
        </is>
      </c>
      <c r="C5427" t="n">
        <v>2</v>
      </c>
      <c r="D5427" s="8" t="n">
        <v>45891</v>
      </c>
      <c r="E5427" s="9" t="n">
        <v>7397.33</v>
      </c>
      <c r="F5427" s="8" t="n">
        <v>45890</v>
      </c>
      <c r="G5427" s="9" t="n">
        <v>7397.33</v>
      </c>
      <c r="H5427" t="inlineStr">
        <is>
          <t>PAID_ON_TIME</t>
        </is>
      </c>
      <c r="I5427">
        <f>IF(H5427="UNPAID", AsOfDate-D5427, 0)</f>
        <v/>
      </c>
      <c r="J5427">
        <f>IF(F5427&lt;&gt;"", TEXT(F5427, "yyyy-mm"), "")</f>
        <v/>
      </c>
    </row>
    <row r="5428">
      <c r="A5428" t="inlineStr">
        <is>
          <t>RP0005427</t>
        </is>
      </c>
      <c r="B5428" t="inlineStr">
        <is>
          <t>LN200774</t>
        </is>
      </c>
      <c r="C5428" t="n">
        <v>3</v>
      </c>
      <c r="D5428" s="8" t="n">
        <v>45922</v>
      </c>
      <c r="E5428" s="9" t="n">
        <v>7397.33</v>
      </c>
      <c r="F5428" s="8" t="n">
        <v>45920</v>
      </c>
      <c r="G5428" s="9" t="n">
        <v>7397.33</v>
      </c>
      <c r="H5428" t="inlineStr">
        <is>
          <t>PAID_ON_TIME</t>
        </is>
      </c>
      <c r="I5428">
        <f>IF(H5428="UNPAID", AsOfDate-D5428, 0)</f>
        <v/>
      </c>
      <c r="J5428">
        <f>IF(F5428&lt;&gt;"", TEXT(F5428, "yyyy-mm"), "")</f>
        <v/>
      </c>
    </row>
    <row r="5429">
      <c r="A5429" t="inlineStr">
        <is>
          <t>RP0005428</t>
        </is>
      </c>
      <c r="B5429" t="inlineStr">
        <is>
          <t>LN200774</t>
        </is>
      </c>
      <c r="C5429" t="n">
        <v>4</v>
      </c>
      <c r="D5429" s="8" t="n">
        <v>45952</v>
      </c>
      <c r="E5429" s="9" t="n">
        <v>7397.33</v>
      </c>
      <c r="F5429" s="8" t="n">
        <v>45952</v>
      </c>
      <c r="G5429" s="9" t="n">
        <v>7397.33</v>
      </c>
      <c r="H5429" t="inlineStr">
        <is>
          <t>PAID_ON_TIME</t>
        </is>
      </c>
      <c r="I5429">
        <f>IF(H5429="UNPAID", AsOfDate-D5429, 0)</f>
        <v/>
      </c>
      <c r="J5429">
        <f>IF(F5429&lt;&gt;"", TEXT(F5429, "yyyy-mm"), "")</f>
        <v/>
      </c>
    </row>
    <row r="5430">
      <c r="A5430" t="inlineStr">
        <is>
          <t>RP0005429</t>
        </is>
      </c>
      <c r="B5430" t="inlineStr">
        <is>
          <t>LN200774</t>
        </is>
      </c>
      <c r="C5430" t="n">
        <v>5</v>
      </c>
      <c r="D5430" s="8" t="n">
        <v>45983</v>
      </c>
      <c r="E5430" s="9" t="n">
        <v>7397.33</v>
      </c>
      <c r="F5430" s="8" t="n">
        <v>45980</v>
      </c>
      <c r="G5430" s="9" t="n">
        <v>7397.33</v>
      </c>
      <c r="H5430" t="inlineStr">
        <is>
          <t>PAID_ON_TIME</t>
        </is>
      </c>
      <c r="I5430">
        <f>IF(H5430="UNPAID", AsOfDate-D5430, 0)</f>
        <v/>
      </c>
      <c r="J5430">
        <f>IF(F5430&lt;&gt;"", TEXT(F5430, "yyyy-mm"), "")</f>
        <v/>
      </c>
    </row>
    <row r="5431">
      <c r="A5431" t="inlineStr">
        <is>
          <t>RP0005430</t>
        </is>
      </c>
      <c r="B5431" t="inlineStr">
        <is>
          <t>LN200774</t>
        </is>
      </c>
      <c r="C5431" t="n">
        <v>6</v>
      </c>
      <c r="D5431" s="8" t="n">
        <v>46013</v>
      </c>
      <c r="E5431" s="9" t="n">
        <v>7397.33</v>
      </c>
      <c r="F5431" s="8" t="n">
        <v>46097</v>
      </c>
      <c r="G5431" s="9" t="n">
        <v>7397.33</v>
      </c>
      <c r="H5431" t="inlineStr">
        <is>
          <t>PAID_LATE</t>
        </is>
      </c>
      <c r="I5431">
        <f>IF(H5431="UNPAID", AsOfDate-D5431, 0)</f>
        <v/>
      </c>
      <c r="J5431">
        <f>IF(F5431&lt;&gt;"", TEXT(F5431, "yyyy-mm"), "")</f>
        <v/>
      </c>
    </row>
    <row r="5432">
      <c r="A5432" t="inlineStr">
        <is>
          <t>RP0005431</t>
        </is>
      </c>
      <c r="B5432" t="inlineStr">
        <is>
          <t>LN200774</t>
        </is>
      </c>
      <c r="C5432" t="n">
        <v>7</v>
      </c>
      <c r="D5432" s="8" t="n">
        <v>46044</v>
      </c>
      <c r="E5432" s="9" t="n">
        <v>7397.33</v>
      </c>
      <c r="F5432" s="8" t="n">
        <v>46046</v>
      </c>
      <c r="G5432" s="9" t="n">
        <v>7397.33</v>
      </c>
      <c r="H5432" t="inlineStr">
        <is>
          <t>PAID_ON_TIME</t>
        </is>
      </c>
      <c r="I5432">
        <f>IF(H5432="UNPAID", AsOfDate-D5432, 0)</f>
        <v/>
      </c>
      <c r="J5432">
        <f>IF(F5432&lt;&gt;"", TEXT(F5432, "yyyy-mm"), "")</f>
        <v/>
      </c>
    </row>
    <row r="5433">
      <c r="A5433" t="inlineStr">
        <is>
          <t>RP0005432</t>
        </is>
      </c>
      <c r="B5433" t="inlineStr">
        <is>
          <t>LN200774</t>
        </is>
      </c>
      <c r="C5433" t="n">
        <v>8</v>
      </c>
      <c r="D5433" s="8" t="n">
        <v>46075</v>
      </c>
      <c r="E5433" s="9" t="n">
        <v>7397.33</v>
      </c>
      <c r="F5433" s="8" t="n">
        <v>46074</v>
      </c>
      <c r="G5433" s="9" t="n">
        <v>7397.33</v>
      </c>
      <c r="H5433" t="inlineStr">
        <is>
          <t>PAID_ON_TIME</t>
        </is>
      </c>
      <c r="I5433">
        <f>IF(H5433="UNPAID", AsOfDate-D5433, 0)</f>
        <v/>
      </c>
      <c r="J5433">
        <f>IF(F5433&lt;&gt;"", TEXT(F5433, "yyyy-mm"), "")</f>
        <v/>
      </c>
    </row>
    <row r="5434">
      <c r="A5434" t="inlineStr">
        <is>
          <t>RP0005433</t>
        </is>
      </c>
      <c r="B5434" t="inlineStr">
        <is>
          <t>LN200774</t>
        </is>
      </c>
      <c r="C5434" t="n">
        <v>9</v>
      </c>
      <c r="D5434" s="8" t="n">
        <v>46103</v>
      </c>
      <c r="E5434" s="9" t="n">
        <v>7397.33</v>
      </c>
      <c r="F5434" s="8" t="n">
        <v>46104</v>
      </c>
      <c r="G5434" s="9" t="n">
        <v>7397.33</v>
      </c>
      <c r="H5434" t="inlineStr">
        <is>
          <t>PAID_ON_TIME</t>
        </is>
      </c>
      <c r="I5434">
        <f>IF(H5434="UNPAID", AsOfDate-D5434, 0)</f>
        <v/>
      </c>
      <c r="J5434">
        <f>IF(F5434&lt;&gt;"", TEXT(F5434, "yyyy-mm"), "")</f>
        <v/>
      </c>
    </row>
    <row r="5435">
      <c r="A5435" t="inlineStr">
        <is>
          <t>RP0005434</t>
        </is>
      </c>
      <c r="B5435" t="inlineStr">
        <is>
          <t>LN200774</t>
        </is>
      </c>
      <c r="C5435" t="n">
        <v>10</v>
      </c>
      <c r="D5435" s="8" t="n">
        <v>46134</v>
      </c>
      <c r="E5435" s="9" t="n">
        <v>7397.33</v>
      </c>
      <c r="F5435" s="8" t="n">
        <v>46131</v>
      </c>
      <c r="G5435" s="9" t="n">
        <v>7397.33</v>
      </c>
      <c r="H5435" t="inlineStr">
        <is>
          <t>PAID_ON_TIME</t>
        </is>
      </c>
      <c r="I5435">
        <f>IF(H5435="UNPAID", AsOfDate-D5435, 0)</f>
        <v/>
      </c>
      <c r="J5435">
        <f>IF(F5435&lt;&gt;"", TEXT(F5435, "yyyy-mm"), "")</f>
        <v/>
      </c>
    </row>
    <row r="5436">
      <c r="A5436" t="inlineStr">
        <is>
          <t>RP0005435</t>
        </is>
      </c>
      <c r="B5436" t="inlineStr">
        <is>
          <t>LN200774</t>
        </is>
      </c>
      <c r="C5436" t="n">
        <v>11</v>
      </c>
      <c r="D5436" s="8" t="n">
        <v>46164</v>
      </c>
      <c r="E5436" s="9" t="n">
        <v>7397.33</v>
      </c>
      <c r="F5436" s="8" t="n">
        <v>46164</v>
      </c>
      <c r="G5436" s="9" t="n">
        <v>7397.33</v>
      </c>
      <c r="H5436" t="inlineStr">
        <is>
          <t>PAID_ON_TIME</t>
        </is>
      </c>
      <c r="I5436">
        <f>IF(H5436="UNPAID", AsOfDate-D5436, 0)</f>
        <v/>
      </c>
      <c r="J5436">
        <f>IF(F5436&lt;&gt;"", TEXT(F5436, "yyyy-mm"), "")</f>
        <v/>
      </c>
    </row>
    <row r="5437">
      <c r="A5437" t="inlineStr">
        <is>
          <t>RP0005436</t>
        </is>
      </c>
      <c r="B5437" t="inlineStr">
        <is>
          <t>LN200774</t>
        </is>
      </c>
      <c r="C5437" t="n">
        <v>12</v>
      </c>
      <c r="D5437" s="8" t="n">
        <v>46195</v>
      </c>
      <c r="E5437" s="9" t="n">
        <v>7397.33</v>
      </c>
      <c r="F5437" s="8" t="n">
        <v>46192</v>
      </c>
      <c r="G5437" s="9" t="n">
        <v>7397.33</v>
      </c>
      <c r="H5437" t="inlineStr">
        <is>
          <t>PAID_ON_TIME</t>
        </is>
      </c>
      <c r="I5437">
        <f>IF(H5437="UNPAID", AsOfDate-D5437, 0)</f>
        <v/>
      </c>
      <c r="J5437">
        <f>IF(F5437&lt;&gt;"", TEXT(F5437, "yyyy-mm"), "")</f>
        <v/>
      </c>
    </row>
    <row r="5438">
      <c r="A5438" t="inlineStr">
        <is>
          <t>RP0005437</t>
        </is>
      </c>
      <c r="B5438" t="inlineStr">
        <is>
          <t>LN200775</t>
        </is>
      </c>
      <c r="C5438" t="n">
        <v>1</v>
      </c>
      <c r="D5438" s="8" t="n">
        <v>45833</v>
      </c>
      <c r="E5438" s="9" t="n">
        <v>14900.78</v>
      </c>
      <c r="F5438" s="8" t="n">
        <v>45834</v>
      </c>
      <c r="G5438" s="9" t="n">
        <v>14900.78</v>
      </c>
      <c r="H5438" t="inlineStr">
        <is>
          <t>PAID_ON_TIME</t>
        </is>
      </c>
      <c r="I5438">
        <f>IF(H5438="UNPAID", AsOfDate-D5438, 0)</f>
        <v/>
      </c>
      <c r="J5438">
        <f>IF(F5438&lt;&gt;"", TEXT(F5438, "yyyy-mm"), "")</f>
        <v/>
      </c>
    </row>
    <row r="5439">
      <c r="A5439" t="inlineStr">
        <is>
          <t>RP0005438</t>
        </is>
      </c>
      <c r="B5439" t="inlineStr">
        <is>
          <t>LN200775</t>
        </is>
      </c>
      <c r="C5439" t="n">
        <v>2</v>
      </c>
      <c r="D5439" s="8" t="n">
        <v>45863</v>
      </c>
      <c r="E5439" s="9" t="n">
        <v>14900.78</v>
      </c>
      <c r="F5439" s="8" t="n">
        <v>45867</v>
      </c>
      <c r="G5439" s="9" t="n">
        <v>14900.78</v>
      </c>
      <c r="H5439" t="inlineStr">
        <is>
          <t>PAID_ON_TIME</t>
        </is>
      </c>
      <c r="I5439">
        <f>IF(H5439="UNPAID", AsOfDate-D5439, 0)</f>
        <v/>
      </c>
      <c r="J5439">
        <f>IF(F5439&lt;&gt;"", TEXT(F5439, "yyyy-mm"), "")</f>
        <v/>
      </c>
    </row>
    <row r="5440">
      <c r="A5440" t="inlineStr">
        <is>
          <t>RP0005439</t>
        </is>
      </c>
      <c r="B5440" t="inlineStr">
        <is>
          <t>LN200775</t>
        </is>
      </c>
      <c r="C5440" t="n">
        <v>3</v>
      </c>
      <c r="D5440" s="8" t="n">
        <v>45894</v>
      </c>
      <c r="E5440" s="9" t="n">
        <v>14900.78</v>
      </c>
      <c r="F5440" s="8" t="n">
        <v>45896</v>
      </c>
      <c r="G5440" s="9" t="n">
        <v>14900.78</v>
      </c>
      <c r="H5440" t="inlineStr">
        <is>
          <t>PAID_ON_TIME</t>
        </is>
      </c>
      <c r="I5440">
        <f>IF(H5440="UNPAID", AsOfDate-D5440, 0)</f>
        <v/>
      </c>
      <c r="J5440">
        <f>IF(F5440&lt;&gt;"", TEXT(F5440, "yyyy-mm"), "")</f>
        <v/>
      </c>
    </row>
    <row r="5441">
      <c r="A5441" t="inlineStr">
        <is>
          <t>RP0005440</t>
        </is>
      </c>
      <c r="B5441" t="inlineStr">
        <is>
          <t>LN200775</t>
        </is>
      </c>
      <c r="C5441" t="n">
        <v>4</v>
      </c>
      <c r="D5441" s="8" t="n">
        <v>45925</v>
      </c>
      <c r="E5441" s="9" t="n">
        <v>14900.78</v>
      </c>
      <c r="F5441" s="8" t="n">
        <v>45955</v>
      </c>
      <c r="G5441" s="9" t="n">
        <v>14900.78</v>
      </c>
      <c r="H5441" t="inlineStr">
        <is>
          <t>PAID_LATE</t>
        </is>
      </c>
      <c r="I5441">
        <f>IF(H5441="UNPAID", AsOfDate-D5441, 0)</f>
        <v/>
      </c>
      <c r="J5441">
        <f>IF(F5441&lt;&gt;"", TEXT(F5441, "yyyy-mm"), "")</f>
        <v/>
      </c>
    </row>
    <row r="5442">
      <c r="A5442" t="inlineStr">
        <is>
          <t>RP0005441</t>
        </is>
      </c>
      <c r="B5442" t="inlineStr">
        <is>
          <t>LN200775</t>
        </is>
      </c>
      <c r="C5442" t="n">
        <v>5</v>
      </c>
      <c r="D5442" s="8" t="n">
        <v>45955</v>
      </c>
      <c r="E5442" s="9" t="n">
        <v>14900.78</v>
      </c>
      <c r="F5442" s="8" t="n">
        <v>45957</v>
      </c>
      <c r="G5442" s="9" t="n">
        <v>14900.78</v>
      </c>
      <c r="H5442" t="inlineStr">
        <is>
          <t>PAID_ON_TIME</t>
        </is>
      </c>
      <c r="I5442">
        <f>IF(H5442="UNPAID", AsOfDate-D5442, 0)</f>
        <v/>
      </c>
      <c r="J5442">
        <f>IF(F5442&lt;&gt;"", TEXT(F5442, "yyyy-mm"), "")</f>
        <v/>
      </c>
    </row>
    <row r="5443">
      <c r="A5443" t="inlineStr">
        <is>
          <t>RP0005442</t>
        </is>
      </c>
      <c r="B5443" t="inlineStr">
        <is>
          <t>LN200775</t>
        </is>
      </c>
      <c r="C5443" t="n">
        <v>6</v>
      </c>
      <c r="D5443" s="8" t="n">
        <v>45986</v>
      </c>
      <c r="E5443" s="9" t="n">
        <v>14900.78</v>
      </c>
      <c r="F5443" s="8" t="n">
        <v>46066</v>
      </c>
      <c r="G5443" s="9" t="n">
        <v>14900.78</v>
      </c>
      <c r="H5443" t="inlineStr">
        <is>
          <t>PAID_LATE</t>
        </is>
      </c>
      <c r="I5443">
        <f>IF(H5443="UNPAID", AsOfDate-D5443, 0)</f>
        <v/>
      </c>
      <c r="J5443">
        <f>IF(F5443&lt;&gt;"", TEXT(F5443, "yyyy-mm"), "")</f>
        <v/>
      </c>
    </row>
    <row r="5444">
      <c r="A5444" t="inlineStr">
        <is>
          <t>RP0005443</t>
        </is>
      </c>
      <c r="B5444" t="inlineStr">
        <is>
          <t>LN200775</t>
        </is>
      </c>
      <c r="C5444" t="n">
        <v>7</v>
      </c>
      <c r="D5444" s="8" t="n">
        <v>46016</v>
      </c>
      <c r="E5444" s="9" t="n">
        <v>14900.78</v>
      </c>
      <c r="F5444" s="8" t="n">
        <v>46017</v>
      </c>
      <c r="G5444" s="9" t="n">
        <v>14900.78</v>
      </c>
      <c r="H5444" t="inlineStr">
        <is>
          <t>PAID_ON_TIME</t>
        </is>
      </c>
      <c r="I5444">
        <f>IF(H5444="UNPAID", AsOfDate-D5444, 0)</f>
        <v/>
      </c>
      <c r="J5444">
        <f>IF(F5444&lt;&gt;"", TEXT(F5444, "yyyy-mm"), "")</f>
        <v/>
      </c>
    </row>
    <row r="5445">
      <c r="A5445" t="inlineStr">
        <is>
          <t>RP0005444</t>
        </is>
      </c>
      <c r="B5445" t="inlineStr">
        <is>
          <t>LN200775</t>
        </is>
      </c>
      <c r="C5445" t="n">
        <v>8</v>
      </c>
      <c r="D5445" s="8" t="n">
        <v>46047</v>
      </c>
      <c r="E5445" s="9" t="n">
        <v>14900.78</v>
      </c>
      <c r="F5445" s="8" t="n">
        <v>46062</v>
      </c>
      <c r="G5445" s="9" t="n">
        <v>14900.78</v>
      </c>
      <c r="H5445" t="inlineStr">
        <is>
          <t>PAID_LATE</t>
        </is>
      </c>
      <c r="I5445">
        <f>IF(H5445="UNPAID", AsOfDate-D5445, 0)</f>
        <v/>
      </c>
      <c r="J5445">
        <f>IF(F5445&lt;&gt;"", TEXT(F5445, "yyyy-mm"), "")</f>
        <v/>
      </c>
    </row>
    <row r="5446">
      <c r="A5446" t="inlineStr">
        <is>
          <t>RP0005445</t>
        </is>
      </c>
      <c r="B5446" t="inlineStr">
        <is>
          <t>LN200775</t>
        </is>
      </c>
      <c r="C5446" t="n">
        <v>9</v>
      </c>
      <c r="D5446" s="8" t="n">
        <v>46078</v>
      </c>
      <c r="E5446" s="9" t="n">
        <v>14900.78</v>
      </c>
      <c r="F5446" s="8" t="n">
        <v>46082</v>
      </c>
      <c r="G5446" s="9" t="n">
        <v>14900.78</v>
      </c>
      <c r="H5446" t="inlineStr">
        <is>
          <t>PAID_ON_TIME</t>
        </is>
      </c>
      <c r="I5446">
        <f>IF(H5446="UNPAID", AsOfDate-D5446, 0)</f>
        <v/>
      </c>
      <c r="J5446">
        <f>IF(F5446&lt;&gt;"", TEXT(F5446, "yyyy-mm"), "")</f>
        <v/>
      </c>
    </row>
    <row r="5447">
      <c r="A5447" t="inlineStr">
        <is>
          <t>RP0005446</t>
        </is>
      </c>
      <c r="B5447" t="inlineStr">
        <is>
          <t>LN200776</t>
        </is>
      </c>
      <c r="C5447" t="n">
        <v>1</v>
      </c>
      <c r="D5447" s="8" t="n">
        <v>46043</v>
      </c>
      <c r="E5447" s="9" t="n">
        <v>16526.33</v>
      </c>
      <c r="F5447" s="8" t="n">
        <v>46047</v>
      </c>
      <c r="G5447" s="9" t="n">
        <v>16526.33</v>
      </c>
      <c r="H5447" t="inlineStr">
        <is>
          <t>PAID_ON_TIME</t>
        </is>
      </c>
      <c r="I5447">
        <f>IF(H5447="UNPAID", AsOfDate-D5447, 0)</f>
        <v/>
      </c>
      <c r="J5447">
        <f>IF(F5447&lt;&gt;"", TEXT(F5447, "yyyy-mm"), "")</f>
        <v/>
      </c>
    </row>
    <row r="5448">
      <c r="A5448" t="inlineStr">
        <is>
          <t>RP0005447</t>
        </is>
      </c>
      <c r="B5448" t="inlineStr">
        <is>
          <t>LN200776</t>
        </is>
      </c>
      <c r="C5448" t="n">
        <v>2</v>
      </c>
      <c r="D5448" s="8" t="n">
        <v>46074</v>
      </c>
      <c r="E5448" s="9" t="n">
        <v>16526.33</v>
      </c>
      <c r="F5448" s="8" t="n">
        <v>46078</v>
      </c>
      <c r="G5448" s="9" t="n">
        <v>16526.33</v>
      </c>
      <c r="H5448" t="inlineStr">
        <is>
          <t>PAID_ON_TIME</t>
        </is>
      </c>
      <c r="I5448">
        <f>IF(H5448="UNPAID", AsOfDate-D5448, 0)</f>
        <v/>
      </c>
      <c r="J5448">
        <f>IF(F5448&lt;&gt;"", TEXT(F5448, "yyyy-mm"), "")</f>
        <v/>
      </c>
    </row>
    <row r="5449">
      <c r="A5449" t="inlineStr">
        <is>
          <t>RP0005448</t>
        </is>
      </c>
      <c r="B5449" t="inlineStr">
        <is>
          <t>LN200776</t>
        </is>
      </c>
      <c r="C5449" t="n">
        <v>3</v>
      </c>
      <c r="D5449" s="8" t="n">
        <v>46102</v>
      </c>
      <c r="E5449" s="9" t="n">
        <v>16526.33</v>
      </c>
      <c r="F5449" s="8" t="n">
        <v>46104</v>
      </c>
      <c r="G5449" s="9" t="n">
        <v>16526.33</v>
      </c>
      <c r="H5449" t="inlineStr">
        <is>
          <t>PAID_ON_TIME</t>
        </is>
      </c>
      <c r="I5449">
        <f>IF(H5449="UNPAID", AsOfDate-D5449, 0)</f>
        <v/>
      </c>
      <c r="J5449">
        <f>IF(F5449&lt;&gt;"", TEXT(F5449, "yyyy-mm"), "")</f>
        <v/>
      </c>
    </row>
    <row r="5450">
      <c r="A5450" t="inlineStr">
        <is>
          <t>RP0005449</t>
        </is>
      </c>
      <c r="B5450" t="inlineStr">
        <is>
          <t>LN200776</t>
        </is>
      </c>
      <c r="C5450" t="n">
        <v>4</v>
      </c>
      <c r="D5450" s="8" t="n">
        <v>46133</v>
      </c>
      <c r="E5450" s="9" t="n">
        <v>16526.33</v>
      </c>
      <c r="F5450" s="8" t="n">
        <v>46132</v>
      </c>
      <c r="G5450" s="9" t="n">
        <v>16526.33</v>
      </c>
      <c r="H5450" t="inlineStr">
        <is>
          <t>PAID_ON_TIME</t>
        </is>
      </c>
      <c r="I5450">
        <f>IF(H5450="UNPAID", AsOfDate-D5450, 0)</f>
        <v/>
      </c>
      <c r="J5450">
        <f>IF(F5450&lt;&gt;"", TEXT(F5450, "yyyy-mm"), "")</f>
        <v/>
      </c>
    </row>
    <row r="5451">
      <c r="A5451" t="inlineStr">
        <is>
          <t>RP0005450</t>
        </is>
      </c>
      <c r="B5451" t="inlineStr">
        <is>
          <t>LN200776</t>
        </is>
      </c>
      <c r="C5451" t="n">
        <v>5</v>
      </c>
      <c r="D5451" s="8" t="n">
        <v>46163</v>
      </c>
      <c r="E5451" s="9" t="n">
        <v>16526.33</v>
      </c>
      <c r="F5451" s="8" t="n">
        <v>46160</v>
      </c>
      <c r="G5451" s="9" t="n">
        <v>16526.33</v>
      </c>
      <c r="H5451" t="inlineStr">
        <is>
          <t>PAID_ON_TIME</t>
        </is>
      </c>
      <c r="I5451">
        <f>IF(H5451="UNPAID", AsOfDate-D5451, 0)</f>
        <v/>
      </c>
      <c r="J5451">
        <f>IF(F5451&lt;&gt;"", TEXT(F5451, "yyyy-mm"), "")</f>
        <v/>
      </c>
    </row>
    <row r="5452">
      <c r="A5452" t="inlineStr">
        <is>
          <t>RP0005451</t>
        </is>
      </c>
      <c r="B5452" t="inlineStr">
        <is>
          <t>LN200776</t>
        </is>
      </c>
      <c r="C5452" t="n">
        <v>6</v>
      </c>
      <c r="D5452" s="8" t="n">
        <v>46194</v>
      </c>
      <c r="E5452" s="9" t="n">
        <v>16526.33</v>
      </c>
      <c r="F5452" s="8" t="n">
        <v>46194</v>
      </c>
      <c r="G5452" s="9" t="n">
        <v>16526.33</v>
      </c>
      <c r="H5452" t="inlineStr">
        <is>
          <t>PAID_ON_TIME</t>
        </is>
      </c>
      <c r="I5452">
        <f>IF(H5452="UNPAID", AsOfDate-D5452, 0)</f>
        <v/>
      </c>
      <c r="J5452">
        <f>IF(F5452&lt;&gt;"", TEXT(F5452, "yyyy-mm"), "")</f>
        <v/>
      </c>
    </row>
    <row r="5453">
      <c r="A5453" t="inlineStr">
        <is>
          <t>RP0005452</t>
        </is>
      </c>
      <c r="B5453" t="inlineStr">
        <is>
          <t>LN200776</t>
        </is>
      </c>
      <c r="C5453" t="n">
        <v>7</v>
      </c>
      <c r="D5453" s="8" t="n">
        <v>46224</v>
      </c>
      <c r="E5453" s="9" t="n">
        <v>16526.33</v>
      </c>
      <c r="F5453" s="8" t="n"/>
      <c r="G5453" s="9" t="n">
        <v>0</v>
      </c>
      <c r="H5453" t="inlineStr">
        <is>
          <t>UNPAID</t>
        </is>
      </c>
      <c r="I5453">
        <f>IF(H5453="UNPAID", AsOfDate-D5453, 0)</f>
        <v/>
      </c>
      <c r="J5453">
        <f>IF(F5453&lt;&gt;"", TEXT(F5453, "yyyy-mm"), "")</f>
        <v/>
      </c>
    </row>
    <row r="5454">
      <c r="A5454" t="inlineStr">
        <is>
          <t>RP0005453</t>
        </is>
      </c>
      <c r="B5454" t="inlineStr">
        <is>
          <t>LN200776</t>
        </is>
      </c>
      <c r="C5454" t="n">
        <v>8</v>
      </c>
      <c r="D5454" s="8" t="n">
        <v>46255</v>
      </c>
      <c r="E5454" s="9" t="n">
        <v>16526.33</v>
      </c>
      <c r="F5454" s="8" t="n"/>
      <c r="G5454" s="9" t="n">
        <v>0</v>
      </c>
      <c r="H5454" t="inlineStr">
        <is>
          <t>UNPAID</t>
        </is>
      </c>
      <c r="I5454">
        <f>IF(H5454="UNPAID", AsOfDate-D5454, 0)</f>
        <v/>
      </c>
      <c r="J5454">
        <f>IF(F5454&lt;&gt;"", TEXT(F5454, "yyyy-mm"), "")</f>
        <v/>
      </c>
    </row>
    <row r="5455">
      <c r="A5455" t="inlineStr">
        <is>
          <t>RP0005454</t>
        </is>
      </c>
      <c r="B5455" t="inlineStr">
        <is>
          <t>LN200776</t>
        </is>
      </c>
      <c r="C5455" t="n">
        <v>9</v>
      </c>
      <c r="D5455" s="8" t="n">
        <v>46286</v>
      </c>
      <c r="E5455" s="9" t="n">
        <v>16526.33</v>
      </c>
      <c r="F5455" s="8" t="n"/>
      <c r="G5455" s="9" t="n">
        <v>0</v>
      </c>
      <c r="H5455" t="inlineStr">
        <is>
          <t>NOT_DUE</t>
        </is>
      </c>
      <c r="I5455">
        <f>IF(H5455="UNPAID", AsOfDate-D5455, 0)</f>
        <v/>
      </c>
      <c r="J5455">
        <f>IF(F5455&lt;&gt;"", TEXT(F5455, "yyyy-mm"), "")</f>
        <v/>
      </c>
    </row>
    <row r="5456">
      <c r="A5456" t="inlineStr">
        <is>
          <t>RP0005455</t>
        </is>
      </c>
      <c r="B5456" t="inlineStr">
        <is>
          <t>LN200777</t>
        </is>
      </c>
      <c r="C5456" t="n">
        <v>1</v>
      </c>
      <c r="D5456" s="8" t="n">
        <v>46167</v>
      </c>
      <c r="E5456" s="9" t="n">
        <v>10140.33</v>
      </c>
      <c r="F5456" s="8" t="n">
        <v>46170</v>
      </c>
      <c r="G5456" s="9" t="n">
        <v>10140.33</v>
      </c>
      <c r="H5456" t="inlineStr">
        <is>
          <t>PAID_ON_TIME</t>
        </is>
      </c>
      <c r="I5456">
        <f>IF(H5456="UNPAID", AsOfDate-D5456, 0)</f>
        <v/>
      </c>
      <c r="J5456">
        <f>IF(F5456&lt;&gt;"", TEXT(F5456, "yyyy-mm"), "")</f>
        <v/>
      </c>
    </row>
    <row r="5457">
      <c r="A5457" t="inlineStr">
        <is>
          <t>RP0005456</t>
        </is>
      </c>
      <c r="B5457" t="inlineStr">
        <is>
          <t>LN200777</t>
        </is>
      </c>
      <c r="C5457" t="n">
        <v>2</v>
      </c>
      <c r="D5457" s="8" t="n">
        <v>46198</v>
      </c>
      <c r="E5457" s="9" t="n">
        <v>10140.33</v>
      </c>
      <c r="F5457" s="8" t="n">
        <v>46197</v>
      </c>
      <c r="G5457" s="9" t="n">
        <v>10140.33</v>
      </c>
      <c r="H5457" t="inlineStr">
        <is>
          <t>PAID_ON_TIME</t>
        </is>
      </c>
      <c r="I5457">
        <f>IF(H5457="UNPAID", AsOfDate-D5457, 0)</f>
        <v/>
      </c>
      <c r="J5457">
        <f>IF(F5457&lt;&gt;"", TEXT(F5457, "yyyy-mm"), "")</f>
        <v/>
      </c>
    </row>
    <row r="5458">
      <c r="A5458" t="inlineStr">
        <is>
          <t>RP0005457</t>
        </is>
      </c>
      <c r="B5458" t="inlineStr">
        <is>
          <t>LN200777</t>
        </is>
      </c>
      <c r="C5458" t="n">
        <v>3</v>
      </c>
      <c r="D5458" s="8" t="n">
        <v>46228</v>
      </c>
      <c r="E5458" s="9" t="n">
        <v>10140.33</v>
      </c>
      <c r="F5458" s="8" t="n">
        <v>46225</v>
      </c>
      <c r="G5458" s="9" t="n">
        <v>10140.33</v>
      </c>
      <c r="H5458" t="inlineStr">
        <is>
          <t>PAID_ON_TIME</t>
        </is>
      </c>
      <c r="I5458">
        <f>IF(H5458="UNPAID", AsOfDate-D5458, 0)</f>
        <v/>
      </c>
      <c r="J5458">
        <f>IF(F5458&lt;&gt;"", TEXT(F5458, "yyyy-mm"), "")</f>
        <v/>
      </c>
    </row>
    <row r="5459">
      <c r="A5459" t="inlineStr">
        <is>
          <t>RP0005458</t>
        </is>
      </c>
      <c r="B5459" t="inlineStr">
        <is>
          <t>LN200778</t>
        </is>
      </c>
      <c r="C5459" t="n">
        <v>1</v>
      </c>
      <c r="D5459" s="8" t="n">
        <v>46191</v>
      </c>
      <c r="E5459" s="9" t="n">
        <v>18713.42</v>
      </c>
      <c r="F5459" s="8" t="n">
        <v>46194</v>
      </c>
      <c r="G5459" s="9" t="n">
        <v>18713.42</v>
      </c>
      <c r="H5459" t="inlineStr">
        <is>
          <t>PAID_ON_TIME</t>
        </is>
      </c>
      <c r="I5459">
        <f>IF(H5459="UNPAID", AsOfDate-D5459, 0)</f>
        <v/>
      </c>
      <c r="J5459">
        <f>IF(F5459&lt;&gt;"", TEXT(F5459, "yyyy-mm"), "")</f>
        <v/>
      </c>
    </row>
    <row r="5460">
      <c r="A5460" t="inlineStr">
        <is>
          <t>RP0005459</t>
        </is>
      </c>
      <c r="B5460" t="inlineStr">
        <is>
          <t>LN200778</t>
        </is>
      </c>
      <c r="C5460" t="n">
        <v>2</v>
      </c>
      <c r="D5460" s="8" t="n">
        <v>46221</v>
      </c>
      <c r="E5460" s="9" t="n">
        <v>18713.42</v>
      </c>
      <c r="F5460" s="8" t="n">
        <v>46223</v>
      </c>
      <c r="G5460" s="9" t="n">
        <v>18713.42</v>
      </c>
      <c r="H5460" t="inlineStr">
        <is>
          <t>PAID_ON_TIME</t>
        </is>
      </c>
      <c r="I5460">
        <f>IF(H5460="UNPAID", AsOfDate-D5460, 0)</f>
        <v/>
      </c>
      <c r="J5460">
        <f>IF(F5460&lt;&gt;"", TEXT(F5460, "yyyy-mm"), "")</f>
        <v/>
      </c>
    </row>
    <row r="5461">
      <c r="A5461" t="inlineStr">
        <is>
          <t>RP0005460</t>
        </is>
      </c>
      <c r="B5461" t="inlineStr">
        <is>
          <t>LN200778</t>
        </is>
      </c>
      <c r="C5461" t="n">
        <v>3</v>
      </c>
      <c r="D5461" s="8" t="n">
        <v>46252</v>
      </c>
      <c r="E5461" s="9" t="n">
        <v>18713.42</v>
      </c>
      <c r="F5461" s="8" t="n">
        <v>46249</v>
      </c>
      <c r="G5461" s="9" t="n">
        <v>18713.42</v>
      </c>
      <c r="H5461" t="inlineStr">
        <is>
          <t>PAID_ON_TIME</t>
        </is>
      </c>
      <c r="I5461">
        <f>IF(H5461="UNPAID", AsOfDate-D5461, 0)</f>
        <v/>
      </c>
      <c r="J5461">
        <f>IF(F5461&lt;&gt;"", TEXT(F5461, "yyyy-mm"), "")</f>
        <v/>
      </c>
    </row>
    <row r="5462">
      <c r="A5462" t="inlineStr">
        <is>
          <t>RP0005461</t>
        </is>
      </c>
      <c r="B5462" t="inlineStr">
        <is>
          <t>LN200779</t>
        </is>
      </c>
      <c r="C5462" t="n">
        <v>1</v>
      </c>
      <c r="D5462" s="8" t="n">
        <v>46134</v>
      </c>
      <c r="E5462" s="9" t="n">
        <v>34068.5</v>
      </c>
      <c r="F5462" s="8" t="n">
        <v>46186</v>
      </c>
      <c r="G5462" s="9" t="n">
        <v>34068.5</v>
      </c>
      <c r="H5462" t="inlineStr">
        <is>
          <t>PAID_LATE</t>
        </is>
      </c>
      <c r="I5462">
        <f>IF(H5462="UNPAID", AsOfDate-D5462, 0)</f>
        <v/>
      </c>
      <c r="J5462">
        <f>IF(F5462&lt;&gt;"", TEXT(F5462, "yyyy-mm"), "")</f>
        <v/>
      </c>
    </row>
    <row r="5463">
      <c r="A5463" t="inlineStr">
        <is>
          <t>RP0005462</t>
        </is>
      </c>
      <c r="B5463" t="inlineStr">
        <is>
          <t>LN200779</t>
        </is>
      </c>
      <c r="C5463" t="n">
        <v>2</v>
      </c>
      <c r="D5463" s="8" t="n">
        <v>46164</v>
      </c>
      <c r="E5463" s="9" t="n">
        <v>34068.5</v>
      </c>
      <c r="F5463" s="8" t="n">
        <v>46168</v>
      </c>
      <c r="G5463" s="9" t="n">
        <v>34068.5</v>
      </c>
      <c r="H5463" t="inlineStr">
        <is>
          <t>PAID_ON_TIME</t>
        </is>
      </c>
      <c r="I5463">
        <f>IF(H5463="UNPAID", AsOfDate-D5463, 0)</f>
        <v/>
      </c>
      <c r="J5463">
        <f>IF(F5463&lt;&gt;"", TEXT(F5463, "yyyy-mm"), "")</f>
        <v/>
      </c>
    </row>
    <row r="5464">
      <c r="A5464" t="inlineStr">
        <is>
          <t>RP0005463</t>
        </is>
      </c>
      <c r="B5464" t="inlineStr">
        <is>
          <t>LN200779</t>
        </is>
      </c>
      <c r="C5464" t="n">
        <v>3</v>
      </c>
      <c r="D5464" s="8" t="n">
        <v>46195</v>
      </c>
      <c r="E5464" s="9" t="n">
        <v>34068.5</v>
      </c>
      <c r="F5464" s="8" t="n">
        <v>46194</v>
      </c>
      <c r="G5464" s="9" t="n">
        <v>34068.5</v>
      </c>
      <c r="H5464" t="inlineStr">
        <is>
          <t>PAID_ON_TIME</t>
        </is>
      </c>
      <c r="I5464">
        <f>IF(H5464="UNPAID", AsOfDate-D5464, 0)</f>
        <v/>
      </c>
      <c r="J5464">
        <f>IF(F5464&lt;&gt;"", TEXT(F5464, "yyyy-mm"), "")</f>
        <v/>
      </c>
    </row>
    <row r="5465">
      <c r="A5465" t="inlineStr">
        <is>
          <t>RP0005464</t>
        </is>
      </c>
      <c r="B5465" t="inlineStr">
        <is>
          <t>LN200779</t>
        </is>
      </c>
      <c r="C5465" t="n">
        <v>4</v>
      </c>
      <c r="D5465" s="8" t="n">
        <v>46225</v>
      </c>
      <c r="E5465" s="9" t="n">
        <v>34068.5</v>
      </c>
      <c r="F5465" s="8" t="n">
        <v>46223</v>
      </c>
      <c r="G5465" s="9" t="n">
        <v>34068.5</v>
      </c>
      <c r="H5465" t="inlineStr">
        <is>
          <t>PAID_ON_TIME</t>
        </is>
      </c>
      <c r="I5465">
        <f>IF(H5465="UNPAID", AsOfDate-D5465, 0)</f>
        <v/>
      </c>
      <c r="J5465">
        <f>IF(F5465&lt;&gt;"", TEXT(F5465, "yyyy-mm"), "")</f>
        <v/>
      </c>
    </row>
    <row r="5466">
      <c r="A5466" t="inlineStr">
        <is>
          <t>RP0005465</t>
        </is>
      </c>
      <c r="B5466" t="inlineStr">
        <is>
          <t>LN200779</t>
        </is>
      </c>
      <c r="C5466" t="n">
        <v>5</v>
      </c>
      <c r="D5466" s="8" t="n">
        <v>46256</v>
      </c>
      <c r="E5466" s="9" t="n">
        <v>34068.5</v>
      </c>
      <c r="F5466" s="8" t="n">
        <v>46254</v>
      </c>
      <c r="G5466" s="9" t="n">
        <v>34068.5</v>
      </c>
      <c r="H5466" t="inlineStr">
        <is>
          <t>PAID_ON_TIME</t>
        </is>
      </c>
      <c r="I5466">
        <f>IF(H5466="UNPAID", AsOfDate-D5466, 0)</f>
        <v/>
      </c>
      <c r="J5466">
        <f>IF(F5466&lt;&gt;"", TEXT(F5466, "yyyy-mm"), "")</f>
        <v/>
      </c>
    </row>
    <row r="5467">
      <c r="A5467" t="inlineStr">
        <is>
          <t>RP0005466</t>
        </is>
      </c>
      <c r="B5467" t="inlineStr">
        <is>
          <t>LN200779</t>
        </is>
      </c>
      <c r="C5467" t="n">
        <v>6</v>
      </c>
      <c r="D5467" s="8" t="n">
        <v>46287</v>
      </c>
      <c r="E5467" s="9" t="n">
        <v>34068.5</v>
      </c>
      <c r="F5467" s="8" t="n"/>
      <c r="G5467" s="9" t="n">
        <v>0</v>
      </c>
      <c r="H5467" t="inlineStr">
        <is>
          <t>NOT_DUE</t>
        </is>
      </c>
      <c r="I5467">
        <f>IF(H5467="UNPAID", AsOfDate-D5467, 0)</f>
        <v/>
      </c>
      <c r="J5467">
        <f>IF(F5467&lt;&gt;"", TEXT(F5467, "yyyy-mm"), "")</f>
        <v/>
      </c>
    </row>
    <row r="5468">
      <c r="A5468" t="inlineStr">
        <is>
          <t>RP0005467</t>
        </is>
      </c>
      <c r="B5468" t="inlineStr">
        <is>
          <t>LN200781</t>
        </is>
      </c>
      <c r="C5468" t="n">
        <v>1</v>
      </c>
      <c r="D5468" s="8" t="n">
        <v>45940</v>
      </c>
      <c r="E5468" s="9" t="n">
        <v>2148.67</v>
      </c>
      <c r="F5468" s="8" t="n">
        <v>45943</v>
      </c>
      <c r="G5468" s="9" t="n">
        <v>2148.67</v>
      </c>
      <c r="H5468" t="inlineStr">
        <is>
          <t>PAID_ON_TIME</t>
        </is>
      </c>
      <c r="I5468">
        <f>IF(H5468="UNPAID", AsOfDate-D5468, 0)</f>
        <v/>
      </c>
      <c r="J5468">
        <f>IF(F5468&lt;&gt;"", TEXT(F5468, "yyyy-mm"), "")</f>
        <v/>
      </c>
    </row>
    <row r="5469">
      <c r="A5469" t="inlineStr">
        <is>
          <t>RP0005468</t>
        </is>
      </c>
      <c r="B5469" t="inlineStr">
        <is>
          <t>LN200781</t>
        </is>
      </c>
      <c r="C5469" t="n">
        <v>2</v>
      </c>
      <c r="D5469" s="8" t="n">
        <v>45971</v>
      </c>
      <c r="E5469" s="9" t="n">
        <v>2148.67</v>
      </c>
      <c r="F5469" s="8" t="n">
        <v>45968</v>
      </c>
      <c r="G5469" s="9" t="n">
        <v>2148.67</v>
      </c>
      <c r="H5469" t="inlineStr">
        <is>
          <t>PAID_ON_TIME</t>
        </is>
      </c>
      <c r="I5469">
        <f>IF(H5469="UNPAID", AsOfDate-D5469, 0)</f>
        <v/>
      </c>
      <c r="J5469">
        <f>IF(F5469&lt;&gt;"", TEXT(F5469, "yyyy-mm"), "")</f>
        <v/>
      </c>
    </row>
    <row r="5470">
      <c r="A5470" t="inlineStr">
        <is>
          <t>RP0005469</t>
        </is>
      </c>
      <c r="B5470" t="inlineStr">
        <is>
          <t>LN200781</t>
        </is>
      </c>
      <c r="C5470" t="n">
        <v>3</v>
      </c>
      <c r="D5470" s="8" t="n">
        <v>46001</v>
      </c>
      <c r="E5470" s="9" t="n">
        <v>2148.67</v>
      </c>
      <c r="F5470" s="8" t="n">
        <v>46002</v>
      </c>
      <c r="G5470" s="9" t="n">
        <v>2148.67</v>
      </c>
      <c r="H5470" t="inlineStr">
        <is>
          <t>PAID_ON_TIME</t>
        </is>
      </c>
      <c r="I5470">
        <f>IF(H5470="UNPAID", AsOfDate-D5470, 0)</f>
        <v/>
      </c>
      <c r="J5470">
        <f>IF(F5470&lt;&gt;"", TEXT(F5470, "yyyy-mm"), "")</f>
        <v/>
      </c>
    </row>
    <row r="5471">
      <c r="A5471" t="inlineStr">
        <is>
          <t>RP0005470</t>
        </is>
      </c>
      <c r="B5471" t="inlineStr">
        <is>
          <t>LN200781</t>
        </is>
      </c>
      <c r="C5471" t="n">
        <v>4</v>
      </c>
      <c r="D5471" s="8" t="n">
        <v>46032</v>
      </c>
      <c r="E5471" s="9" t="n">
        <v>2148.67</v>
      </c>
      <c r="F5471" s="8" t="n">
        <v>46031</v>
      </c>
      <c r="G5471" s="9" t="n">
        <v>2148.67</v>
      </c>
      <c r="H5471" t="inlineStr">
        <is>
          <t>PAID_ON_TIME</t>
        </is>
      </c>
      <c r="I5471">
        <f>IF(H5471="UNPAID", AsOfDate-D5471, 0)</f>
        <v/>
      </c>
      <c r="J5471">
        <f>IF(F5471&lt;&gt;"", TEXT(F5471, "yyyy-mm"), "")</f>
        <v/>
      </c>
    </row>
    <row r="5472">
      <c r="A5472" t="inlineStr">
        <is>
          <t>RP0005471</t>
        </is>
      </c>
      <c r="B5472" t="inlineStr">
        <is>
          <t>LN200781</t>
        </is>
      </c>
      <c r="C5472" t="n">
        <v>5</v>
      </c>
      <c r="D5472" s="8" t="n">
        <v>46063</v>
      </c>
      <c r="E5472" s="9" t="n">
        <v>2148.67</v>
      </c>
      <c r="F5472" s="8" t="n">
        <v>46145</v>
      </c>
      <c r="G5472" s="9" t="n">
        <v>2148.67</v>
      </c>
      <c r="H5472" t="inlineStr">
        <is>
          <t>PAID_LATE</t>
        </is>
      </c>
      <c r="I5472">
        <f>IF(H5472="UNPAID", AsOfDate-D5472, 0)</f>
        <v/>
      </c>
      <c r="J5472">
        <f>IF(F5472&lt;&gt;"", TEXT(F5472, "yyyy-mm"), "")</f>
        <v/>
      </c>
    </row>
    <row r="5473">
      <c r="A5473" t="inlineStr">
        <is>
          <t>RP0005472</t>
        </is>
      </c>
      <c r="B5473" t="inlineStr">
        <is>
          <t>LN200781</t>
        </is>
      </c>
      <c r="C5473" t="n">
        <v>6</v>
      </c>
      <c r="D5473" s="8" t="n">
        <v>46091</v>
      </c>
      <c r="E5473" s="9" t="n">
        <v>2148.67</v>
      </c>
      <c r="F5473" s="8" t="n">
        <v>46089</v>
      </c>
      <c r="G5473" s="9" t="n">
        <v>2148.67</v>
      </c>
      <c r="H5473" t="inlineStr">
        <is>
          <t>PAID_ON_TIME</t>
        </is>
      </c>
      <c r="I5473">
        <f>IF(H5473="UNPAID", AsOfDate-D5473, 0)</f>
        <v/>
      </c>
      <c r="J5473">
        <f>IF(F5473&lt;&gt;"", TEXT(F5473, "yyyy-mm"), "")</f>
        <v/>
      </c>
    </row>
    <row r="5474">
      <c r="A5474" t="inlineStr">
        <is>
          <t>RP0005473</t>
        </is>
      </c>
      <c r="B5474" t="inlineStr">
        <is>
          <t>LN200781</t>
        </is>
      </c>
      <c r="C5474" t="n">
        <v>7</v>
      </c>
      <c r="D5474" s="8" t="n">
        <v>46122</v>
      </c>
      <c r="E5474" s="9" t="n">
        <v>2148.67</v>
      </c>
      <c r="F5474" s="8" t="n">
        <v>46121</v>
      </c>
      <c r="G5474" s="9" t="n">
        <v>2148.67</v>
      </c>
      <c r="H5474" t="inlineStr">
        <is>
          <t>PAID_ON_TIME</t>
        </is>
      </c>
      <c r="I5474">
        <f>IF(H5474="UNPAID", AsOfDate-D5474, 0)</f>
        <v/>
      </c>
      <c r="J5474">
        <f>IF(F5474&lt;&gt;"", TEXT(F5474, "yyyy-mm"), "")</f>
        <v/>
      </c>
    </row>
    <row r="5475">
      <c r="A5475" t="inlineStr">
        <is>
          <t>RP0005474</t>
        </is>
      </c>
      <c r="B5475" t="inlineStr">
        <is>
          <t>LN200781</t>
        </is>
      </c>
      <c r="C5475" t="n">
        <v>8</v>
      </c>
      <c r="D5475" s="8" t="n">
        <v>46152</v>
      </c>
      <c r="E5475" s="9" t="n">
        <v>2148.67</v>
      </c>
      <c r="F5475" s="8" t="n">
        <v>46155</v>
      </c>
      <c r="G5475" s="9" t="n">
        <v>2148.67</v>
      </c>
      <c r="H5475" t="inlineStr">
        <is>
          <t>PAID_ON_TIME</t>
        </is>
      </c>
      <c r="I5475">
        <f>IF(H5475="UNPAID", AsOfDate-D5475, 0)</f>
        <v/>
      </c>
      <c r="J5475">
        <f>IF(F5475&lt;&gt;"", TEXT(F5475, "yyyy-mm"), "")</f>
        <v/>
      </c>
    </row>
    <row r="5476">
      <c r="A5476" t="inlineStr">
        <is>
          <t>RP0005475</t>
        </is>
      </c>
      <c r="B5476" t="inlineStr">
        <is>
          <t>LN200781</t>
        </is>
      </c>
      <c r="C5476" t="n">
        <v>9</v>
      </c>
      <c r="D5476" s="8" t="n">
        <v>46183</v>
      </c>
      <c r="E5476" s="9" t="n">
        <v>2148.67</v>
      </c>
      <c r="F5476" s="8" t="n">
        <v>46180</v>
      </c>
      <c r="G5476" s="9" t="n">
        <v>2148.67</v>
      </c>
      <c r="H5476" t="inlineStr">
        <is>
          <t>PAID_ON_TIME</t>
        </is>
      </c>
      <c r="I5476">
        <f>IF(H5476="UNPAID", AsOfDate-D5476, 0)</f>
        <v/>
      </c>
      <c r="J5476">
        <f>IF(F5476&lt;&gt;"", TEXT(F5476, "yyyy-mm"), "")</f>
        <v/>
      </c>
    </row>
    <row r="5477">
      <c r="A5477" t="inlineStr">
        <is>
          <t>RP0005476</t>
        </is>
      </c>
      <c r="B5477" t="inlineStr">
        <is>
          <t>LN200781</t>
        </is>
      </c>
      <c r="C5477" t="n">
        <v>10</v>
      </c>
      <c r="D5477" s="8" t="n">
        <v>46213</v>
      </c>
      <c r="E5477" s="9" t="n">
        <v>2148.67</v>
      </c>
      <c r="F5477" s="8" t="n">
        <v>46211</v>
      </c>
      <c r="G5477" s="9" t="n">
        <v>2148.67</v>
      </c>
      <c r="H5477" t="inlineStr">
        <is>
          <t>PAID_ON_TIME</t>
        </is>
      </c>
      <c r="I5477">
        <f>IF(H5477="UNPAID", AsOfDate-D5477, 0)</f>
        <v/>
      </c>
      <c r="J5477">
        <f>IF(F5477&lt;&gt;"", TEXT(F5477, "yyyy-mm"), "")</f>
        <v/>
      </c>
    </row>
    <row r="5478">
      <c r="A5478" t="inlineStr">
        <is>
          <t>RP0005477</t>
        </is>
      </c>
      <c r="B5478" t="inlineStr">
        <is>
          <t>LN200781</t>
        </is>
      </c>
      <c r="C5478" t="n">
        <v>11</v>
      </c>
      <c r="D5478" s="8" t="n">
        <v>46244</v>
      </c>
      <c r="E5478" s="9" t="n">
        <v>2148.67</v>
      </c>
      <c r="F5478" s="8" t="n">
        <v>46244</v>
      </c>
      <c r="G5478" s="9" t="n">
        <v>2148.67</v>
      </c>
      <c r="H5478" t="inlineStr">
        <is>
          <t>PAID_ON_TIME</t>
        </is>
      </c>
      <c r="I5478">
        <f>IF(H5478="UNPAID", AsOfDate-D5478, 0)</f>
        <v/>
      </c>
      <c r="J5478">
        <f>IF(F5478&lt;&gt;"", TEXT(F5478, "yyyy-mm"), "")</f>
        <v/>
      </c>
    </row>
    <row r="5479">
      <c r="A5479" t="inlineStr">
        <is>
          <t>RP0005478</t>
        </is>
      </c>
      <c r="B5479" t="inlineStr">
        <is>
          <t>LN200781</t>
        </is>
      </c>
      <c r="C5479" t="n">
        <v>12</v>
      </c>
      <c r="D5479" s="8" t="n">
        <v>46275</v>
      </c>
      <c r="E5479" s="9" t="n">
        <v>2148.67</v>
      </c>
      <c r="F5479" s="8" t="n"/>
      <c r="G5479" s="9" t="n">
        <v>0</v>
      </c>
      <c r="H5479" t="inlineStr">
        <is>
          <t>NOT_DUE</t>
        </is>
      </c>
      <c r="I5479">
        <f>IF(H5479="UNPAID", AsOfDate-D5479, 0)</f>
        <v/>
      </c>
      <c r="J5479">
        <f>IF(F5479&lt;&gt;"", TEXT(F5479, "yyyy-mm"), "")</f>
        <v/>
      </c>
    </row>
    <row r="5480">
      <c r="A5480" t="inlineStr">
        <is>
          <t>RP0005479</t>
        </is>
      </c>
      <c r="B5480" t="inlineStr">
        <is>
          <t>LN200782</t>
        </is>
      </c>
      <c r="C5480" t="n">
        <v>1</v>
      </c>
      <c r="D5480" s="8" t="n">
        <v>45855</v>
      </c>
      <c r="E5480" s="9" t="n">
        <v>8262</v>
      </c>
      <c r="F5480" s="8" t="n">
        <v>45874</v>
      </c>
      <c r="G5480" s="9" t="n">
        <v>8262</v>
      </c>
      <c r="H5480" t="inlineStr">
        <is>
          <t>PAID_LATE</t>
        </is>
      </c>
      <c r="I5480">
        <f>IF(H5480="UNPAID", AsOfDate-D5480, 0)</f>
        <v/>
      </c>
      <c r="J5480">
        <f>IF(F5480&lt;&gt;"", TEXT(F5480, "yyyy-mm"), "")</f>
        <v/>
      </c>
    </row>
    <row r="5481">
      <c r="A5481" t="inlineStr">
        <is>
          <t>RP0005480</t>
        </is>
      </c>
      <c r="B5481" t="inlineStr">
        <is>
          <t>LN200782</t>
        </is>
      </c>
      <c r="C5481" t="n">
        <v>2</v>
      </c>
      <c r="D5481" s="8" t="n">
        <v>45886</v>
      </c>
      <c r="E5481" s="9" t="n">
        <v>8262</v>
      </c>
      <c r="F5481" s="8" t="n">
        <v>45887</v>
      </c>
      <c r="G5481" s="9" t="n">
        <v>8262</v>
      </c>
      <c r="H5481" t="inlineStr">
        <is>
          <t>PAID_ON_TIME</t>
        </is>
      </c>
      <c r="I5481">
        <f>IF(H5481="UNPAID", AsOfDate-D5481, 0)</f>
        <v/>
      </c>
      <c r="J5481">
        <f>IF(F5481&lt;&gt;"", TEXT(F5481, "yyyy-mm"), "")</f>
        <v/>
      </c>
    </row>
    <row r="5482">
      <c r="A5482" t="inlineStr">
        <is>
          <t>RP0005481</t>
        </is>
      </c>
      <c r="B5482" t="inlineStr">
        <is>
          <t>LN200782</t>
        </is>
      </c>
      <c r="C5482" t="n">
        <v>3</v>
      </c>
      <c r="D5482" s="8" t="n">
        <v>45917</v>
      </c>
      <c r="E5482" s="9" t="n">
        <v>8262</v>
      </c>
      <c r="F5482" s="8" t="n">
        <v>45915</v>
      </c>
      <c r="G5482" s="9" t="n">
        <v>8262</v>
      </c>
      <c r="H5482" t="inlineStr">
        <is>
          <t>PAID_ON_TIME</t>
        </is>
      </c>
      <c r="I5482">
        <f>IF(H5482="UNPAID", AsOfDate-D5482, 0)</f>
        <v/>
      </c>
      <c r="J5482">
        <f>IF(F5482&lt;&gt;"", TEXT(F5482, "yyyy-mm"), "")</f>
        <v/>
      </c>
    </row>
    <row r="5483">
      <c r="A5483" t="inlineStr">
        <is>
          <t>RP0005482</t>
        </is>
      </c>
      <c r="B5483" t="inlineStr">
        <is>
          <t>LN200783</t>
        </is>
      </c>
      <c r="C5483" t="n">
        <v>1</v>
      </c>
      <c r="D5483" s="8" t="n">
        <v>45822</v>
      </c>
      <c r="E5483" s="9" t="n">
        <v>7008.28</v>
      </c>
      <c r="F5483" s="8" t="n">
        <v>45869</v>
      </c>
      <c r="G5483" s="9" t="n">
        <v>7008.28</v>
      </c>
      <c r="H5483" t="inlineStr">
        <is>
          <t>PAID_LATE</t>
        </is>
      </c>
      <c r="I5483">
        <f>IF(H5483="UNPAID", AsOfDate-D5483, 0)</f>
        <v/>
      </c>
      <c r="J5483">
        <f>IF(F5483&lt;&gt;"", TEXT(F5483, "yyyy-mm"), "")</f>
        <v/>
      </c>
    </row>
    <row r="5484">
      <c r="A5484" t="inlineStr">
        <is>
          <t>RP0005483</t>
        </is>
      </c>
      <c r="B5484" t="inlineStr">
        <is>
          <t>LN200783</t>
        </is>
      </c>
      <c r="C5484" t="n">
        <v>2</v>
      </c>
      <c r="D5484" s="8" t="n">
        <v>45852</v>
      </c>
      <c r="E5484" s="9" t="n">
        <v>7008.28</v>
      </c>
      <c r="F5484" s="8" t="n">
        <v>45849</v>
      </c>
      <c r="G5484" s="9" t="n">
        <v>7008.28</v>
      </c>
      <c r="H5484" t="inlineStr">
        <is>
          <t>PAID_ON_TIME</t>
        </is>
      </c>
      <c r="I5484">
        <f>IF(H5484="UNPAID", AsOfDate-D5484, 0)</f>
        <v/>
      </c>
      <c r="J5484">
        <f>IF(F5484&lt;&gt;"", TEXT(F5484, "yyyy-mm"), "")</f>
        <v/>
      </c>
    </row>
    <row r="5485">
      <c r="A5485" t="inlineStr">
        <is>
          <t>RP0005484</t>
        </is>
      </c>
      <c r="B5485" t="inlineStr">
        <is>
          <t>LN200783</t>
        </is>
      </c>
      <c r="C5485" t="n">
        <v>3</v>
      </c>
      <c r="D5485" s="8" t="n">
        <v>45883</v>
      </c>
      <c r="E5485" s="9" t="n">
        <v>7008.28</v>
      </c>
      <c r="F5485" s="8" t="n">
        <v>45886</v>
      </c>
      <c r="G5485" s="9" t="n">
        <v>7008.28</v>
      </c>
      <c r="H5485" t="inlineStr">
        <is>
          <t>PAID_ON_TIME</t>
        </is>
      </c>
      <c r="I5485">
        <f>IF(H5485="UNPAID", AsOfDate-D5485, 0)</f>
        <v/>
      </c>
      <c r="J5485">
        <f>IF(F5485&lt;&gt;"", TEXT(F5485, "yyyy-mm"), "")</f>
        <v/>
      </c>
    </row>
    <row r="5486">
      <c r="A5486" t="inlineStr">
        <is>
          <t>RP0005485</t>
        </is>
      </c>
      <c r="B5486" t="inlineStr">
        <is>
          <t>LN200783</t>
        </is>
      </c>
      <c r="C5486" t="n">
        <v>4</v>
      </c>
      <c r="D5486" s="8" t="n">
        <v>45914</v>
      </c>
      <c r="E5486" s="9" t="n">
        <v>7008.28</v>
      </c>
      <c r="F5486" s="8" t="n"/>
      <c r="G5486" s="9" t="n">
        <v>0</v>
      </c>
      <c r="H5486" t="inlineStr">
        <is>
          <t>UNPAID</t>
        </is>
      </c>
      <c r="I5486">
        <f>IF(H5486="UNPAID", AsOfDate-D5486, 0)</f>
        <v/>
      </c>
      <c r="J5486">
        <f>IF(F5486&lt;&gt;"", TEXT(F5486, "yyyy-mm"), "")</f>
        <v/>
      </c>
    </row>
    <row r="5487">
      <c r="A5487" t="inlineStr">
        <is>
          <t>RP0005486</t>
        </is>
      </c>
      <c r="B5487" t="inlineStr">
        <is>
          <t>LN200783</t>
        </is>
      </c>
      <c r="C5487" t="n">
        <v>5</v>
      </c>
      <c r="D5487" s="8" t="n">
        <v>45944</v>
      </c>
      <c r="E5487" s="9" t="n">
        <v>7008.28</v>
      </c>
      <c r="F5487" s="8" t="n">
        <v>45944</v>
      </c>
      <c r="G5487" s="9" t="n">
        <v>7008.28</v>
      </c>
      <c r="H5487" t="inlineStr">
        <is>
          <t>PAID_ON_TIME</t>
        </is>
      </c>
      <c r="I5487">
        <f>IF(H5487="UNPAID", AsOfDate-D5487, 0)</f>
        <v/>
      </c>
      <c r="J5487">
        <f>IF(F5487&lt;&gt;"", TEXT(F5487, "yyyy-mm"), "")</f>
        <v/>
      </c>
    </row>
    <row r="5488">
      <c r="A5488" t="inlineStr">
        <is>
          <t>RP0005487</t>
        </is>
      </c>
      <c r="B5488" t="inlineStr">
        <is>
          <t>LN200783</t>
        </is>
      </c>
      <c r="C5488" t="n">
        <v>6</v>
      </c>
      <c r="D5488" s="8" t="n">
        <v>45975</v>
      </c>
      <c r="E5488" s="9" t="n">
        <v>7008.28</v>
      </c>
      <c r="F5488" s="8" t="n">
        <v>45974</v>
      </c>
      <c r="G5488" s="9" t="n">
        <v>7008.28</v>
      </c>
      <c r="H5488" t="inlineStr">
        <is>
          <t>PAID_ON_TIME</t>
        </is>
      </c>
      <c r="I5488">
        <f>IF(H5488="UNPAID", AsOfDate-D5488, 0)</f>
        <v/>
      </c>
      <c r="J5488">
        <f>IF(F5488&lt;&gt;"", TEXT(F5488, "yyyy-mm"), "")</f>
        <v/>
      </c>
    </row>
    <row r="5489">
      <c r="A5489" t="inlineStr">
        <is>
          <t>RP0005488</t>
        </is>
      </c>
      <c r="B5489" t="inlineStr">
        <is>
          <t>LN200783</t>
        </is>
      </c>
      <c r="C5489" t="n">
        <v>7</v>
      </c>
      <c r="D5489" s="8" t="n">
        <v>46005</v>
      </c>
      <c r="E5489" s="9" t="n">
        <v>7008.28</v>
      </c>
      <c r="F5489" s="8" t="n">
        <v>46002</v>
      </c>
      <c r="G5489" s="9" t="n">
        <v>7008.28</v>
      </c>
      <c r="H5489" t="inlineStr">
        <is>
          <t>PAID_ON_TIME</t>
        </is>
      </c>
      <c r="I5489">
        <f>IF(H5489="UNPAID", AsOfDate-D5489, 0)</f>
        <v/>
      </c>
      <c r="J5489">
        <f>IF(F5489&lt;&gt;"", TEXT(F5489, "yyyy-mm"), "")</f>
        <v/>
      </c>
    </row>
    <row r="5490">
      <c r="A5490" t="inlineStr">
        <is>
          <t>RP0005489</t>
        </is>
      </c>
      <c r="B5490" t="inlineStr">
        <is>
          <t>LN200783</t>
        </is>
      </c>
      <c r="C5490" t="n">
        <v>8</v>
      </c>
      <c r="D5490" s="8" t="n">
        <v>46036</v>
      </c>
      <c r="E5490" s="9" t="n">
        <v>7008.28</v>
      </c>
      <c r="F5490" s="8" t="n">
        <v>46039</v>
      </c>
      <c r="G5490" s="9" t="n">
        <v>7008.28</v>
      </c>
      <c r="H5490" t="inlineStr">
        <is>
          <t>PAID_ON_TIME</t>
        </is>
      </c>
      <c r="I5490">
        <f>IF(H5490="UNPAID", AsOfDate-D5490, 0)</f>
        <v/>
      </c>
      <c r="J5490">
        <f>IF(F5490&lt;&gt;"", TEXT(F5490, "yyyy-mm"), "")</f>
        <v/>
      </c>
    </row>
    <row r="5491">
      <c r="A5491" t="inlineStr">
        <is>
          <t>RP0005490</t>
        </is>
      </c>
      <c r="B5491" t="inlineStr">
        <is>
          <t>LN200783</t>
        </is>
      </c>
      <c r="C5491" t="n">
        <v>9</v>
      </c>
      <c r="D5491" s="8" t="n">
        <v>46067</v>
      </c>
      <c r="E5491" s="9" t="n">
        <v>7008.28</v>
      </c>
      <c r="F5491" s="8" t="n">
        <v>46064</v>
      </c>
      <c r="G5491" s="9" t="n">
        <v>7008.28</v>
      </c>
      <c r="H5491" t="inlineStr">
        <is>
          <t>PAID_ON_TIME</t>
        </is>
      </c>
      <c r="I5491">
        <f>IF(H5491="UNPAID", AsOfDate-D5491, 0)</f>
        <v/>
      </c>
      <c r="J5491">
        <f>IF(F5491&lt;&gt;"", TEXT(F5491, "yyyy-mm"), "")</f>
        <v/>
      </c>
    </row>
    <row r="5492">
      <c r="A5492" t="inlineStr">
        <is>
          <t>RP0005491</t>
        </is>
      </c>
      <c r="B5492" t="inlineStr">
        <is>
          <t>LN200783</t>
        </is>
      </c>
      <c r="C5492" t="n">
        <v>10</v>
      </c>
      <c r="D5492" s="8" t="n">
        <v>46095</v>
      </c>
      <c r="E5492" s="9" t="n">
        <v>7008.28</v>
      </c>
      <c r="F5492" s="8" t="n">
        <v>46099</v>
      </c>
      <c r="G5492" s="9" t="n">
        <v>7008.28</v>
      </c>
      <c r="H5492" t="inlineStr">
        <is>
          <t>PAID_ON_TIME</t>
        </is>
      </c>
      <c r="I5492">
        <f>IF(H5492="UNPAID", AsOfDate-D5492, 0)</f>
        <v/>
      </c>
      <c r="J5492">
        <f>IF(F5492&lt;&gt;"", TEXT(F5492, "yyyy-mm"), "")</f>
        <v/>
      </c>
    </row>
    <row r="5493">
      <c r="A5493" t="inlineStr">
        <is>
          <t>RP0005492</t>
        </is>
      </c>
      <c r="B5493" t="inlineStr">
        <is>
          <t>LN200783</t>
        </is>
      </c>
      <c r="C5493" t="n">
        <v>11</v>
      </c>
      <c r="D5493" s="8" t="n">
        <v>46126</v>
      </c>
      <c r="E5493" s="9" t="n">
        <v>7008.28</v>
      </c>
      <c r="F5493" s="8" t="n">
        <v>46129</v>
      </c>
      <c r="G5493" s="9" t="n">
        <v>7008.28</v>
      </c>
      <c r="H5493" t="inlineStr">
        <is>
          <t>PAID_ON_TIME</t>
        </is>
      </c>
      <c r="I5493">
        <f>IF(H5493="UNPAID", AsOfDate-D5493, 0)</f>
        <v/>
      </c>
      <c r="J5493">
        <f>IF(F5493&lt;&gt;"", TEXT(F5493, "yyyy-mm"), "")</f>
        <v/>
      </c>
    </row>
    <row r="5494">
      <c r="A5494" t="inlineStr">
        <is>
          <t>RP0005493</t>
        </is>
      </c>
      <c r="B5494" t="inlineStr">
        <is>
          <t>LN200783</t>
        </is>
      </c>
      <c r="C5494" t="n">
        <v>12</v>
      </c>
      <c r="D5494" s="8" t="n">
        <v>46156</v>
      </c>
      <c r="E5494" s="9" t="n">
        <v>7008.28</v>
      </c>
      <c r="F5494" s="8" t="n">
        <v>46157</v>
      </c>
      <c r="G5494" s="9" t="n">
        <v>7008.28</v>
      </c>
      <c r="H5494" t="inlineStr">
        <is>
          <t>PAID_ON_TIME</t>
        </is>
      </c>
      <c r="I5494">
        <f>IF(H5494="UNPAID", AsOfDate-D5494, 0)</f>
        <v/>
      </c>
      <c r="J5494">
        <f>IF(F5494&lt;&gt;"", TEXT(F5494, "yyyy-mm"), "")</f>
        <v/>
      </c>
    </row>
    <row r="5495">
      <c r="A5495" t="inlineStr">
        <is>
          <t>RP0005494</t>
        </is>
      </c>
      <c r="B5495" t="inlineStr">
        <is>
          <t>LN200783</t>
        </is>
      </c>
      <c r="C5495" t="n">
        <v>13</v>
      </c>
      <c r="D5495" s="8" t="n">
        <v>46187</v>
      </c>
      <c r="E5495" s="9" t="n">
        <v>7008.28</v>
      </c>
      <c r="F5495" s="8" t="n">
        <v>46189</v>
      </c>
      <c r="G5495" s="9" t="n">
        <v>7008.28</v>
      </c>
      <c r="H5495" t="inlineStr">
        <is>
          <t>PAID_ON_TIME</t>
        </is>
      </c>
      <c r="I5495">
        <f>IF(H5495="UNPAID", AsOfDate-D5495, 0)</f>
        <v/>
      </c>
      <c r="J5495">
        <f>IF(F5495&lt;&gt;"", TEXT(F5495, "yyyy-mm"), "")</f>
        <v/>
      </c>
    </row>
    <row r="5496">
      <c r="A5496" t="inlineStr">
        <is>
          <t>RP0005495</t>
        </is>
      </c>
      <c r="B5496" t="inlineStr">
        <is>
          <t>LN200783</t>
        </is>
      </c>
      <c r="C5496" t="n">
        <v>14</v>
      </c>
      <c r="D5496" s="8" t="n">
        <v>46217</v>
      </c>
      <c r="E5496" s="9" t="n">
        <v>7008.28</v>
      </c>
      <c r="F5496" s="8" t="n">
        <v>46235</v>
      </c>
      <c r="G5496" s="9" t="n">
        <v>7008.28</v>
      </c>
      <c r="H5496" t="inlineStr">
        <is>
          <t>PAID_LATE</t>
        </is>
      </c>
      <c r="I5496">
        <f>IF(H5496="UNPAID", AsOfDate-D5496, 0)</f>
        <v/>
      </c>
      <c r="J5496">
        <f>IF(F5496&lt;&gt;"", TEXT(F5496, "yyyy-mm"), "")</f>
        <v/>
      </c>
    </row>
    <row r="5497">
      <c r="A5497" t="inlineStr">
        <is>
          <t>RP0005496</t>
        </is>
      </c>
      <c r="B5497" t="inlineStr">
        <is>
          <t>LN200783</t>
        </is>
      </c>
      <c r="C5497" t="n">
        <v>15</v>
      </c>
      <c r="D5497" s="8" t="n">
        <v>46248</v>
      </c>
      <c r="E5497" s="9" t="n">
        <v>7008.28</v>
      </c>
      <c r="F5497" s="8" t="n">
        <v>46246</v>
      </c>
      <c r="G5497" s="9" t="n">
        <v>7008.28</v>
      </c>
      <c r="H5497" t="inlineStr">
        <is>
          <t>PAID_ON_TIME</t>
        </is>
      </c>
      <c r="I5497">
        <f>IF(H5497="UNPAID", AsOfDate-D5497, 0)</f>
        <v/>
      </c>
      <c r="J5497">
        <f>IF(F5497&lt;&gt;"", TEXT(F5497, "yyyy-mm"), "")</f>
        <v/>
      </c>
    </row>
    <row r="5498">
      <c r="A5498" t="inlineStr">
        <is>
          <t>RP0005497</t>
        </is>
      </c>
      <c r="B5498" t="inlineStr">
        <is>
          <t>LN200783</t>
        </is>
      </c>
      <c r="C5498" t="n">
        <v>16</v>
      </c>
      <c r="D5498" s="8" t="n">
        <v>46279</v>
      </c>
      <c r="E5498" s="9" t="n">
        <v>7008.28</v>
      </c>
      <c r="F5498" s="8" t="n"/>
      <c r="G5498" s="9" t="n">
        <v>0</v>
      </c>
      <c r="H5498" t="inlineStr">
        <is>
          <t>NOT_DUE</t>
        </is>
      </c>
      <c r="I5498">
        <f>IF(H5498="UNPAID", AsOfDate-D5498, 0)</f>
        <v/>
      </c>
      <c r="J5498">
        <f>IF(F5498&lt;&gt;"", TEXT(F5498, "yyyy-mm"), "")</f>
        <v/>
      </c>
    </row>
    <row r="5499">
      <c r="A5499" t="inlineStr">
        <is>
          <t>RP0005498</t>
        </is>
      </c>
      <c r="B5499" t="inlineStr">
        <is>
          <t>LN200783</t>
        </is>
      </c>
      <c r="C5499" t="n">
        <v>17</v>
      </c>
      <c r="D5499" s="8" t="n">
        <v>46309</v>
      </c>
      <c r="E5499" s="9" t="n">
        <v>7008.28</v>
      </c>
      <c r="F5499" s="8" t="n"/>
      <c r="G5499" s="9" t="n">
        <v>0</v>
      </c>
      <c r="H5499" t="inlineStr">
        <is>
          <t>NOT_DUE</t>
        </is>
      </c>
      <c r="I5499">
        <f>IF(H5499="UNPAID", AsOfDate-D5499, 0)</f>
        <v/>
      </c>
      <c r="J5499">
        <f>IF(F5499&lt;&gt;"", TEXT(F5499, "yyyy-mm"), "")</f>
        <v/>
      </c>
    </row>
    <row r="5500">
      <c r="A5500" t="inlineStr">
        <is>
          <t>RP0005499</t>
        </is>
      </c>
      <c r="B5500" t="inlineStr">
        <is>
          <t>LN200783</t>
        </is>
      </c>
      <c r="C5500" t="n">
        <v>18</v>
      </c>
      <c r="D5500" s="8" t="n">
        <v>46340</v>
      </c>
      <c r="E5500" s="9" t="n">
        <v>7008.28</v>
      </c>
      <c r="F5500" s="8" t="n"/>
      <c r="G5500" s="9" t="n">
        <v>0</v>
      </c>
      <c r="H5500" t="inlineStr">
        <is>
          <t>NOT_DUE</t>
        </is>
      </c>
      <c r="I5500">
        <f>IF(H5500="UNPAID", AsOfDate-D5500, 0)</f>
        <v/>
      </c>
      <c r="J5500">
        <f>IF(F5500&lt;&gt;"", TEXT(F5500, "yyyy-mm"), "")</f>
        <v/>
      </c>
    </row>
    <row r="5501">
      <c r="A5501" t="inlineStr">
        <is>
          <t>RP0005500</t>
        </is>
      </c>
      <c r="B5501" t="inlineStr">
        <is>
          <t>LN200784</t>
        </is>
      </c>
      <c r="C5501" t="n">
        <v>1</v>
      </c>
      <c r="D5501" s="8" t="n">
        <v>45972</v>
      </c>
      <c r="E5501" s="9" t="n">
        <v>11431.56</v>
      </c>
      <c r="F5501" s="8" t="n">
        <v>46045</v>
      </c>
      <c r="G5501" s="9" t="n">
        <v>11431.56</v>
      </c>
      <c r="H5501" t="inlineStr">
        <is>
          <t>PAID_LATE</t>
        </is>
      </c>
      <c r="I5501">
        <f>IF(H5501="UNPAID", AsOfDate-D5501, 0)</f>
        <v/>
      </c>
      <c r="J5501">
        <f>IF(F5501&lt;&gt;"", TEXT(F5501, "yyyy-mm"), "")</f>
        <v/>
      </c>
    </row>
    <row r="5502">
      <c r="A5502" t="inlineStr">
        <is>
          <t>RP0005501</t>
        </is>
      </c>
      <c r="B5502" t="inlineStr">
        <is>
          <t>LN200784</t>
        </is>
      </c>
      <c r="C5502" t="n">
        <v>2</v>
      </c>
      <c r="D5502" s="8" t="n">
        <v>46002</v>
      </c>
      <c r="E5502" s="9" t="n">
        <v>11431.56</v>
      </c>
      <c r="F5502" s="8" t="n">
        <v>46005</v>
      </c>
      <c r="G5502" s="9" t="n">
        <v>11431.56</v>
      </c>
      <c r="H5502" t="inlineStr">
        <is>
          <t>PAID_ON_TIME</t>
        </is>
      </c>
      <c r="I5502">
        <f>IF(H5502="UNPAID", AsOfDate-D5502, 0)</f>
        <v/>
      </c>
      <c r="J5502">
        <f>IF(F5502&lt;&gt;"", TEXT(F5502, "yyyy-mm"), "")</f>
        <v/>
      </c>
    </row>
    <row r="5503">
      <c r="A5503" t="inlineStr">
        <is>
          <t>RP0005502</t>
        </is>
      </c>
      <c r="B5503" t="inlineStr">
        <is>
          <t>LN200784</t>
        </is>
      </c>
      <c r="C5503" t="n">
        <v>3</v>
      </c>
      <c r="D5503" s="8" t="n">
        <v>46033</v>
      </c>
      <c r="E5503" s="9" t="n">
        <v>11431.56</v>
      </c>
      <c r="F5503" s="8" t="n">
        <v>46030</v>
      </c>
      <c r="G5503" s="9" t="n">
        <v>11431.56</v>
      </c>
      <c r="H5503" t="inlineStr">
        <is>
          <t>PAID_ON_TIME</t>
        </is>
      </c>
      <c r="I5503">
        <f>IF(H5503="UNPAID", AsOfDate-D5503, 0)</f>
        <v/>
      </c>
      <c r="J5503">
        <f>IF(F5503&lt;&gt;"", TEXT(F5503, "yyyy-mm"), "")</f>
        <v/>
      </c>
    </row>
    <row r="5504">
      <c r="A5504" t="inlineStr">
        <is>
          <t>RP0005503</t>
        </is>
      </c>
      <c r="B5504" t="inlineStr">
        <is>
          <t>LN200784</t>
        </is>
      </c>
      <c r="C5504" t="n">
        <v>4</v>
      </c>
      <c r="D5504" s="8" t="n">
        <v>46064</v>
      </c>
      <c r="E5504" s="9" t="n">
        <v>11431.56</v>
      </c>
      <c r="F5504" s="8" t="n">
        <v>46064</v>
      </c>
      <c r="G5504" s="9" t="n">
        <v>11431.56</v>
      </c>
      <c r="H5504" t="inlineStr">
        <is>
          <t>PAID_ON_TIME</t>
        </is>
      </c>
      <c r="I5504">
        <f>IF(H5504="UNPAID", AsOfDate-D5504, 0)</f>
        <v/>
      </c>
      <c r="J5504">
        <f>IF(F5504&lt;&gt;"", TEXT(F5504, "yyyy-mm"), "")</f>
        <v/>
      </c>
    </row>
    <row r="5505">
      <c r="A5505" t="inlineStr">
        <is>
          <t>RP0005504</t>
        </is>
      </c>
      <c r="B5505" t="inlineStr">
        <is>
          <t>LN200784</t>
        </is>
      </c>
      <c r="C5505" t="n">
        <v>5</v>
      </c>
      <c r="D5505" s="8" t="n">
        <v>46092</v>
      </c>
      <c r="E5505" s="9" t="n">
        <v>11431.56</v>
      </c>
      <c r="F5505" s="8" t="n"/>
      <c r="G5505" s="9" t="n">
        <v>0</v>
      </c>
      <c r="H5505" t="inlineStr">
        <is>
          <t>UNPAID</t>
        </is>
      </c>
      <c r="I5505">
        <f>IF(H5505="UNPAID", AsOfDate-D5505, 0)</f>
        <v/>
      </c>
      <c r="J5505">
        <f>IF(F5505&lt;&gt;"", TEXT(F5505, "yyyy-mm"), "")</f>
        <v/>
      </c>
    </row>
    <row r="5506">
      <c r="A5506" t="inlineStr">
        <is>
          <t>RP0005505</t>
        </is>
      </c>
      <c r="B5506" t="inlineStr">
        <is>
          <t>LN200784</t>
        </is>
      </c>
      <c r="C5506" t="n">
        <v>6</v>
      </c>
      <c r="D5506" s="8" t="n">
        <v>46123</v>
      </c>
      <c r="E5506" s="9" t="n">
        <v>11431.56</v>
      </c>
      <c r="F5506" s="8" t="n"/>
      <c r="G5506" s="9" t="n">
        <v>0</v>
      </c>
      <c r="H5506" t="inlineStr">
        <is>
          <t>UNPAID</t>
        </is>
      </c>
      <c r="I5506">
        <f>IF(H5506="UNPAID", AsOfDate-D5506, 0)</f>
        <v/>
      </c>
      <c r="J5506">
        <f>IF(F5506&lt;&gt;"", TEXT(F5506, "yyyy-mm"), "")</f>
        <v/>
      </c>
    </row>
    <row r="5507">
      <c r="A5507" t="inlineStr">
        <is>
          <t>RP0005506</t>
        </is>
      </c>
      <c r="B5507" t="inlineStr">
        <is>
          <t>LN200784</t>
        </is>
      </c>
      <c r="C5507" t="n">
        <v>7</v>
      </c>
      <c r="D5507" s="8" t="n">
        <v>46153</v>
      </c>
      <c r="E5507" s="9" t="n">
        <v>11431.56</v>
      </c>
      <c r="F5507" s="8" t="n">
        <v>46154</v>
      </c>
      <c r="G5507" s="9" t="n">
        <v>11431.56</v>
      </c>
      <c r="H5507" t="inlineStr">
        <is>
          <t>PAID_ON_TIME</t>
        </is>
      </c>
      <c r="I5507">
        <f>IF(H5507="UNPAID", AsOfDate-D5507, 0)</f>
        <v/>
      </c>
      <c r="J5507">
        <f>IF(F5507&lt;&gt;"", TEXT(F5507, "yyyy-mm"), "")</f>
        <v/>
      </c>
    </row>
    <row r="5508">
      <c r="A5508" t="inlineStr">
        <is>
          <t>RP0005507</t>
        </is>
      </c>
      <c r="B5508" t="inlineStr">
        <is>
          <t>LN200784</t>
        </is>
      </c>
      <c r="C5508" t="n">
        <v>8</v>
      </c>
      <c r="D5508" s="8" t="n">
        <v>46184</v>
      </c>
      <c r="E5508" s="9" t="n">
        <v>11431.56</v>
      </c>
      <c r="F5508" s="8" t="n">
        <v>46181</v>
      </c>
      <c r="G5508" s="9" t="n">
        <v>11431.56</v>
      </c>
      <c r="H5508" t="inlineStr">
        <is>
          <t>PAID_ON_TIME</t>
        </is>
      </c>
      <c r="I5508">
        <f>IF(H5508="UNPAID", AsOfDate-D5508, 0)</f>
        <v/>
      </c>
      <c r="J5508">
        <f>IF(F5508&lt;&gt;"", TEXT(F5508, "yyyy-mm"), "")</f>
        <v/>
      </c>
    </row>
    <row r="5509">
      <c r="A5509" t="inlineStr">
        <is>
          <t>RP0005508</t>
        </is>
      </c>
      <c r="B5509" t="inlineStr">
        <is>
          <t>LN200784</t>
        </is>
      </c>
      <c r="C5509" t="n">
        <v>9</v>
      </c>
      <c r="D5509" s="8" t="n">
        <v>46214</v>
      </c>
      <c r="E5509" s="9" t="n">
        <v>11431.56</v>
      </c>
      <c r="F5509" s="8" t="n">
        <v>46211</v>
      </c>
      <c r="G5509" s="9" t="n">
        <v>11431.56</v>
      </c>
      <c r="H5509" t="inlineStr">
        <is>
          <t>PAID_ON_TIME</t>
        </is>
      </c>
      <c r="I5509">
        <f>IF(H5509="UNPAID", AsOfDate-D5509, 0)</f>
        <v/>
      </c>
      <c r="J5509">
        <f>IF(F5509&lt;&gt;"", TEXT(F5509, "yyyy-mm"), "")</f>
        <v/>
      </c>
    </row>
    <row r="5510">
      <c r="A5510" t="inlineStr">
        <is>
          <t>RP0005509</t>
        </is>
      </c>
      <c r="B5510" t="inlineStr">
        <is>
          <t>LN200785</t>
        </is>
      </c>
      <c r="C5510" t="n">
        <v>1</v>
      </c>
      <c r="D5510" s="8" t="n">
        <v>46241</v>
      </c>
      <c r="E5510" s="9" t="n">
        <v>4737.5</v>
      </c>
      <c r="F5510" s="8" t="n"/>
      <c r="G5510" s="9" t="n">
        <v>0</v>
      </c>
      <c r="H5510" t="inlineStr">
        <is>
          <t>UNPAID</t>
        </is>
      </c>
      <c r="I5510">
        <f>IF(H5510="UNPAID", AsOfDate-D5510, 0)</f>
        <v/>
      </c>
      <c r="J5510">
        <f>IF(F5510&lt;&gt;"", TEXT(F5510, "yyyy-mm"), "")</f>
        <v/>
      </c>
    </row>
    <row r="5511">
      <c r="A5511" t="inlineStr">
        <is>
          <t>RP0005510</t>
        </is>
      </c>
      <c r="B5511" t="inlineStr">
        <is>
          <t>LN200785</t>
        </is>
      </c>
      <c r="C5511" t="n">
        <v>2</v>
      </c>
      <c r="D5511" s="8" t="n">
        <v>46272</v>
      </c>
      <c r="E5511" s="9" t="n">
        <v>4737.5</v>
      </c>
      <c r="F5511" s="8" t="n"/>
      <c r="G5511" s="9" t="n">
        <v>0</v>
      </c>
      <c r="H5511" t="inlineStr">
        <is>
          <t>NOT_DUE</t>
        </is>
      </c>
      <c r="I5511">
        <f>IF(H5511="UNPAID", AsOfDate-D5511, 0)</f>
        <v/>
      </c>
      <c r="J5511">
        <f>IF(F5511&lt;&gt;"", TEXT(F5511, "yyyy-mm"), "")</f>
        <v/>
      </c>
    </row>
    <row r="5512">
      <c r="A5512" t="inlineStr">
        <is>
          <t>RP0005511</t>
        </is>
      </c>
      <c r="B5512" t="inlineStr">
        <is>
          <t>LN200785</t>
        </is>
      </c>
      <c r="C5512" t="n">
        <v>3</v>
      </c>
      <c r="D5512" s="8" t="n">
        <v>46302</v>
      </c>
      <c r="E5512" s="9" t="n">
        <v>4737.5</v>
      </c>
      <c r="F5512" s="8" t="n"/>
      <c r="G5512" s="9" t="n">
        <v>0</v>
      </c>
      <c r="H5512" t="inlineStr">
        <is>
          <t>NOT_DUE</t>
        </is>
      </c>
      <c r="I5512">
        <f>IF(H5512="UNPAID", AsOfDate-D5512, 0)</f>
        <v/>
      </c>
      <c r="J5512">
        <f>IF(F5512&lt;&gt;"", TEXT(F5512, "yyyy-mm"), "")</f>
        <v/>
      </c>
    </row>
    <row r="5513">
      <c r="A5513" t="inlineStr">
        <is>
          <t>RP0005512</t>
        </is>
      </c>
      <c r="B5513" t="inlineStr">
        <is>
          <t>LN200785</t>
        </is>
      </c>
      <c r="C5513" t="n">
        <v>4</v>
      </c>
      <c r="D5513" s="8" t="n">
        <v>46333</v>
      </c>
      <c r="E5513" s="9" t="n">
        <v>4737.5</v>
      </c>
      <c r="F5513" s="8" t="n"/>
      <c r="G5513" s="9" t="n">
        <v>0</v>
      </c>
      <c r="H5513" t="inlineStr">
        <is>
          <t>NOT_DUE</t>
        </is>
      </c>
      <c r="I5513">
        <f>IF(H5513="UNPAID", AsOfDate-D5513, 0)</f>
        <v/>
      </c>
      <c r="J5513">
        <f>IF(F5513&lt;&gt;"", TEXT(F5513, "yyyy-mm"), "")</f>
        <v/>
      </c>
    </row>
    <row r="5514">
      <c r="A5514" t="inlineStr">
        <is>
          <t>RP0005513</t>
        </is>
      </c>
      <c r="B5514" t="inlineStr">
        <is>
          <t>LN200785</t>
        </is>
      </c>
      <c r="C5514" t="n">
        <v>5</v>
      </c>
      <c r="D5514" s="8" t="n">
        <v>46363</v>
      </c>
      <c r="E5514" s="9" t="n">
        <v>4737.5</v>
      </c>
      <c r="F5514" s="8" t="n"/>
      <c r="G5514" s="9" t="n">
        <v>0</v>
      </c>
      <c r="H5514" t="inlineStr">
        <is>
          <t>NOT_DUE</t>
        </is>
      </c>
      <c r="I5514">
        <f>IF(H5514="UNPAID", AsOfDate-D5514, 0)</f>
        <v/>
      </c>
      <c r="J5514">
        <f>IF(F5514&lt;&gt;"", TEXT(F5514, "yyyy-mm"), "")</f>
        <v/>
      </c>
    </row>
    <row r="5515">
      <c r="A5515" t="inlineStr">
        <is>
          <t>RP0005514</t>
        </is>
      </c>
      <c r="B5515" t="inlineStr">
        <is>
          <t>LN200785</t>
        </is>
      </c>
      <c r="C5515" t="n">
        <v>6</v>
      </c>
      <c r="D5515" s="8" t="n">
        <v>46394</v>
      </c>
      <c r="E5515" s="9" t="n">
        <v>4737.5</v>
      </c>
      <c r="F5515" s="8" t="n"/>
      <c r="G5515" s="9" t="n">
        <v>0</v>
      </c>
      <c r="H5515" t="inlineStr">
        <is>
          <t>NOT_DUE</t>
        </is>
      </c>
      <c r="I5515">
        <f>IF(H5515="UNPAID", AsOfDate-D5515, 0)</f>
        <v/>
      </c>
      <c r="J5515">
        <f>IF(F5515&lt;&gt;"", TEXT(F5515, "yyyy-mm"), "")</f>
        <v/>
      </c>
    </row>
    <row r="5516">
      <c r="A5516" t="inlineStr">
        <is>
          <t>RP0005515</t>
        </is>
      </c>
      <c r="B5516" t="inlineStr">
        <is>
          <t>LN200785</t>
        </is>
      </c>
      <c r="C5516" t="n">
        <v>7</v>
      </c>
      <c r="D5516" s="8" t="n">
        <v>46425</v>
      </c>
      <c r="E5516" s="9" t="n">
        <v>4737.5</v>
      </c>
      <c r="F5516" s="8" t="n"/>
      <c r="G5516" s="9" t="n">
        <v>0</v>
      </c>
      <c r="H5516" t="inlineStr">
        <is>
          <t>NOT_DUE</t>
        </is>
      </c>
      <c r="I5516">
        <f>IF(H5516="UNPAID", AsOfDate-D5516, 0)</f>
        <v/>
      </c>
      <c r="J5516">
        <f>IF(F5516&lt;&gt;"", TEXT(F5516, "yyyy-mm"), "")</f>
        <v/>
      </c>
    </row>
    <row r="5517">
      <c r="A5517" t="inlineStr">
        <is>
          <t>RP0005516</t>
        </is>
      </c>
      <c r="B5517" t="inlineStr">
        <is>
          <t>LN200785</t>
        </is>
      </c>
      <c r="C5517" t="n">
        <v>8</v>
      </c>
      <c r="D5517" s="8" t="n">
        <v>46453</v>
      </c>
      <c r="E5517" s="9" t="n">
        <v>4737.5</v>
      </c>
      <c r="F5517" s="8" t="n"/>
      <c r="G5517" s="9" t="n">
        <v>0</v>
      </c>
      <c r="H5517" t="inlineStr">
        <is>
          <t>NOT_DUE</t>
        </is>
      </c>
      <c r="I5517">
        <f>IF(H5517="UNPAID", AsOfDate-D5517, 0)</f>
        <v/>
      </c>
      <c r="J5517">
        <f>IF(F5517&lt;&gt;"", TEXT(F5517, "yyyy-mm"), "")</f>
        <v/>
      </c>
    </row>
    <row r="5518">
      <c r="A5518" t="inlineStr">
        <is>
          <t>RP0005517</t>
        </is>
      </c>
      <c r="B5518" t="inlineStr">
        <is>
          <t>LN200785</t>
        </is>
      </c>
      <c r="C5518" t="n">
        <v>9</v>
      </c>
      <c r="D5518" s="8" t="n">
        <v>46484</v>
      </c>
      <c r="E5518" s="9" t="n">
        <v>4737.5</v>
      </c>
      <c r="F5518" s="8" t="n"/>
      <c r="G5518" s="9" t="n">
        <v>0</v>
      </c>
      <c r="H5518" t="inlineStr">
        <is>
          <t>NOT_DUE</t>
        </is>
      </c>
      <c r="I5518">
        <f>IF(H5518="UNPAID", AsOfDate-D5518, 0)</f>
        <v/>
      </c>
      <c r="J5518">
        <f>IF(F5518&lt;&gt;"", TEXT(F5518, "yyyy-mm"), "")</f>
        <v/>
      </c>
    </row>
    <row r="5519">
      <c r="A5519" t="inlineStr">
        <is>
          <t>RP0005518</t>
        </is>
      </c>
      <c r="B5519" t="inlineStr">
        <is>
          <t>LN200785</t>
        </is>
      </c>
      <c r="C5519" t="n">
        <v>10</v>
      </c>
      <c r="D5519" s="8" t="n">
        <v>46514</v>
      </c>
      <c r="E5519" s="9" t="n">
        <v>4737.5</v>
      </c>
      <c r="F5519" s="8" t="n"/>
      <c r="G5519" s="9" t="n">
        <v>0</v>
      </c>
      <c r="H5519" t="inlineStr">
        <is>
          <t>NOT_DUE</t>
        </is>
      </c>
      <c r="I5519">
        <f>IF(H5519="UNPAID", AsOfDate-D5519, 0)</f>
        <v/>
      </c>
      <c r="J5519">
        <f>IF(F5519&lt;&gt;"", TEXT(F5519, "yyyy-mm"), "")</f>
        <v/>
      </c>
    </row>
    <row r="5520">
      <c r="A5520" t="inlineStr">
        <is>
          <t>RP0005519</t>
        </is>
      </c>
      <c r="B5520" t="inlineStr">
        <is>
          <t>LN200785</t>
        </is>
      </c>
      <c r="C5520" t="n">
        <v>11</v>
      </c>
      <c r="D5520" s="8" t="n">
        <v>46545</v>
      </c>
      <c r="E5520" s="9" t="n">
        <v>4737.5</v>
      </c>
      <c r="F5520" s="8" t="n"/>
      <c r="G5520" s="9" t="n">
        <v>0</v>
      </c>
      <c r="H5520" t="inlineStr">
        <is>
          <t>NOT_DUE</t>
        </is>
      </c>
      <c r="I5520">
        <f>IF(H5520="UNPAID", AsOfDate-D5520, 0)</f>
        <v/>
      </c>
      <c r="J5520">
        <f>IF(F5520&lt;&gt;"", TEXT(F5520, "yyyy-mm"), "")</f>
        <v/>
      </c>
    </row>
    <row r="5521">
      <c r="A5521" t="inlineStr">
        <is>
          <t>RP0005520</t>
        </is>
      </c>
      <c r="B5521" t="inlineStr">
        <is>
          <t>LN200785</t>
        </is>
      </c>
      <c r="C5521" t="n">
        <v>12</v>
      </c>
      <c r="D5521" s="8" t="n">
        <v>46575</v>
      </c>
      <c r="E5521" s="9" t="n">
        <v>4737.5</v>
      </c>
      <c r="F5521" s="8" t="n"/>
      <c r="G5521" s="9" t="n">
        <v>0</v>
      </c>
      <c r="H5521" t="inlineStr">
        <is>
          <t>NOT_DUE</t>
        </is>
      </c>
      <c r="I5521">
        <f>IF(H5521="UNPAID", AsOfDate-D5521, 0)</f>
        <v/>
      </c>
      <c r="J5521">
        <f>IF(F5521&lt;&gt;"", TEXT(F5521, "yyyy-mm"), "")</f>
        <v/>
      </c>
    </row>
    <row r="5522">
      <c r="A5522" t="inlineStr">
        <is>
          <t>RP0005521</t>
        </is>
      </c>
      <c r="B5522" t="inlineStr">
        <is>
          <t>LN200786</t>
        </is>
      </c>
      <c r="C5522" t="n">
        <v>1</v>
      </c>
      <c r="D5522" s="8" t="n">
        <v>46131</v>
      </c>
      <c r="E5522" s="9" t="n">
        <v>7256.67</v>
      </c>
      <c r="F5522" s="8" t="n">
        <v>46132</v>
      </c>
      <c r="G5522" s="9" t="n">
        <v>7256.67</v>
      </c>
      <c r="H5522" t="inlineStr">
        <is>
          <t>PAID_ON_TIME</t>
        </is>
      </c>
      <c r="I5522">
        <f>IF(H5522="UNPAID", AsOfDate-D5522, 0)</f>
        <v/>
      </c>
      <c r="J5522">
        <f>IF(F5522&lt;&gt;"", TEXT(F5522, "yyyy-mm"), "")</f>
        <v/>
      </c>
    </row>
    <row r="5523">
      <c r="A5523" t="inlineStr">
        <is>
          <t>RP0005522</t>
        </is>
      </c>
      <c r="B5523" t="inlineStr">
        <is>
          <t>LN200786</t>
        </is>
      </c>
      <c r="C5523" t="n">
        <v>2</v>
      </c>
      <c r="D5523" s="8" t="n">
        <v>46161</v>
      </c>
      <c r="E5523" s="9" t="n">
        <v>7256.67</v>
      </c>
      <c r="F5523" s="8" t="n">
        <v>46165</v>
      </c>
      <c r="G5523" s="9" t="n">
        <v>7256.67</v>
      </c>
      <c r="H5523" t="inlineStr">
        <is>
          <t>PAID_ON_TIME</t>
        </is>
      </c>
      <c r="I5523">
        <f>IF(H5523="UNPAID", AsOfDate-D5523, 0)</f>
        <v/>
      </c>
      <c r="J5523">
        <f>IF(F5523&lt;&gt;"", TEXT(F5523, "yyyy-mm"), "")</f>
        <v/>
      </c>
    </row>
    <row r="5524">
      <c r="A5524" t="inlineStr">
        <is>
          <t>RP0005523</t>
        </is>
      </c>
      <c r="B5524" t="inlineStr">
        <is>
          <t>LN200786</t>
        </is>
      </c>
      <c r="C5524" t="n">
        <v>3</v>
      </c>
      <c r="D5524" s="8" t="n">
        <v>46192</v>
      </c>
      <c r="E5524" s="9" t="n">
        <v>7256.67</v>
      </c>
      <c r="F5524" s="8" t="n">
        <v>46192</v>
      </c>
      <c r="G5524" s="9" t="n">
        <v>7256.67</v>
      </c>
      <c r="H5524" t="inlineStr">
        <is>
          <t>PAID_ON_TIME</t>
        </is>
      </c>
      <c r="I5524">
        <f>IF(H5524="UNPAID", AsOfDate-D5524, 0)</f>
        <v/>
      </c>
      <c r="J5524">
        <f>IF(F5524&lt;&gt;"", TEXT(F5524, "yyyy-mm"), "")</f>
        <v/>
      </c>
    </row>
    <row r="5525">
      <c r="A5525" t="inlineStr">
        <is>
          <t>RP0005524</t>
        </is>
      </c>
      <c r="B5525" t="inlineStr">
        <is>
          <t>LN200786</t>
        </is>
      </c>
      <c r="C5525" t="n">
        <v>4</v>
      </c>
      <c r="D5525" s="8" t="n">
        <v>46222</v>
      </c>
      <c r="E5525" s="9" t="n">
        <v>7256.67</v>
      </c>
      <c r="F5525" s="8" t="n">
        <v>46224</v>
      </c>
      <c r="G5525" s="9" t="n">
        <v>7256.67</v>
      </c>
      <c r="H5525" t="inlineStr">
        <is>
          <t>PAID_ON_TIME</t>
        </is>
      </c>
      <c r="I5525">
        <f>IF(H5525="UNPAID", AsOfDate-D5525, 0)</f>
        <v/>
      </c>
      <c r="J5525">
        <f>IF(F5525&lt;&gt;"", TEXT(F5525, "yyyy-mm"), "")</f>
        <v/>
      </c>
    </row>
    <row r="5526">
      <c r="A5526" t="inlineStr">
        <is>
          <t>RP0005525</t>
        </is>
      </c>
      <c r="B5526" t="inlineStr">
        <is>
          <t>LN200786</t>
        </is>
      </c>
      <c r="C5526" t="n">
        <v>5</v>
      </c>
      <c r="D5526" s="8" t="n">
        <v>46253</v>
      </c>
      <c r="E5526" s="9" t="n">
        <v>7256.67</v>
      </c>
      <c r="F5526" s="8" t="n">
        <v>46253</v>
      </c>
      <c r="G5526" s="9" t="n">
        <v>7256.67</v>
      </c>
      <c r="H5526" t="inlineStr">
        <is>
          <t>PAID_ON_TIME</t>
        </is>
      </c>
      <c r="I5526">
        <f>IF(H5526="UNPAID", AsOfDate-D5526, 0)</f>
        <v/>
      </c>
      <c r="J5526">
        <f>IF(F5526&lt;&gt;"", TEXT(F5526, "yyyy-mm"), "")</f>
        <v/>
      </c>
    </row>
    <row r="5527">
      <c r="A5527" t="inlineStr">
        <is>
          <t>RP0005526</t>
        </is>
      </c>
      <c r="B5527" t="inlineStr">
        <is>
          <t>LN200786</t>
        </is>
      </c>
      <c r="C5527" t="n">
        <v>6</v>
      </c>
      <c r="D5527" s="8" t="n">
        <v>46284</v>
      </c>
      <c r="E5527" s="9" t="n">
        <v>7256.67</v>
      </c>
      <c r="F5527" s="8" t="n"/>
      <c r="G5527" s="9" t="n">
        <v>0</v>
      </c>
      <c r="H5527" t="inlineStr">
        <is>
          <t>NOT_DUE</t>
        </is>
      </c>
      <c r="I5527">
        <f>IF(H5527="UNPAID", AsOfDate-D5527, 0)</f>
        <v/>
      </c>
      <c r="J5527">
        <f>IF(F5527&lt;&gt;"", TEXT(F5527, "yyyy-mm"), "")</f>
        <v/>
      </c>
    </row>
    <row r="5528">
      <c r="A5528" t="inlineStr">
        <is>
          <t>RP0005527</t>
        </is>
      </c>
      <c r="B5528" t="inlineStr">
        <is>
          <t>LN200787</t>
        </is>
      </c>
      <c r="C5528" t="n">
        <v>1</v>
      </c>
      <c r="D5528" s="8" t="n">
        <v>46244</v>
      </c>
      <c r="E5528" s="9" t="n">
        <v>4721.17</v>
      </c>
      <c r="F5528" s="8" t="n"/>
      <c r="G5528" s="9" t="n">
        <v>0</v>
      </c>
      <c r="H5528" t="inlineStr">
        <is>
          <t>UNPAID</t>
        </is>
      </c>
      <c r="I5528">
        <f>IF(H5528="UNPAID", AsOfDate-D5528, 0)</f>
        <v/>
      </c>
      <c r="J5528">
        <f>IF(F5528&lt;&gt;"", TEXT(F5528, "yyyy-mm"), "")</f>
        <v/>
      </c>
    </row>
    <row r="5529">
      <c r="A5529" t="inlineStr">
        <is>
          <t>RP0005528</t>
        </is>
      </c>
      <c r="B5529" t="inlineStr">
        <is>
          <t>LN200787</t>
        </is>
      </c>
      <c r="C5529" t="n">
        <v>2</v>
      </c>
      <c r="D5529" s="8" t="n">
        <v>46275</v>
      </c>
      <c r="E5529" s="9" t="n">
        <v>4721.17</v>
      </c>
      <c r="F5529" s="8" t="n"/>
      <c r="G5529" s="9" t="n">
        <v>0</v>
      </c>
      <c r="H5529" t="inlineStr">
        <is>
          <t>NOT_DUE</t>
        </is>
      </c>
      <c r="I5529">
        <f>IF(H5529="UNPAID", AsOfDate-D5529, 0)</f>
        <v/>
      </c>
      <c r="J5529">
        <f>IF(F5529&lt;&gt;"", TEXT(F5529, "yyyy-mm"), "")</f>
        <v/>
      </c>
    </row>
    <row r="5530">
      <c r="A5530" t="inlineStr">
        <is>
          <t>RP0005529</t>
        </is>
      </c>
      <c r="B5530" t="inlineStr">
        <is>
          <t>LN200787</t>
        </is>
      </c>
      <c r="C5530" t="n">
        <v>3</v>
      </c>
      <c r="D5530" s="8" t="n">
        <v>46305</v>
      </c>
      <c r="E5530" s="9" t="n">
        <v>4721.17</v>
      </c>
      <c r="F5530" s="8" t="n"/>
      <c r="G5530" s="9" t="n">
        <v>0</v>
      </c>
      <c r="H5530" t="inlineStr">
        <is>
          <t>NOT_DUE</t>
        </is>
      </c>
      <c r="I5530">
        <f>IF(H5530="UNPAID", AsOfDate-D5530, 0)</f>
        <v/>
      </c>
      <c r="J5530">
        <f>IF(F5530&lt;&gt;"", TEXT(F5530, "yyyy-mm"), "")</f>
        <v/>
      </c>
    </row>
    <row r="5531">
      <c r="A5531" t="inlineStr">
        <is>
          <t>RP0005530</t>
        </is>
      </c>
      <c r="B5531" t="inlineStr">
        <is>
          <t>LN200787</t>
        </is>
      </c>
      <c r="C5531" t="n">
        <v>4</v>
      </c>
      <c r="D5531" s="8" t="n">
        <v>46336</v>
      </c>
      <c r="E5531" s="9" t="n">
        <v>4721.17</v>
      </c>
      <c r="F5531" s="8" t="n"/>
      <c r="G5531" s="9" t="n">
        <v>0</v>
      </c>
      <c r="H5531" t="inlineStr">
        <is>
          <t>NOT_DUE</t>
        </is>
      </c>
      <c r="I5531">
        <f>IF(H5531="UNPAID", AsOfDate-D5531, 0)</f>
        <v/>
      </c>
      <c r="J5531">
        <f>IF(F5531&lt;&gt;"", TEXT(F5531, "yyyy-mm"), "")</f>
        <v/>
      </c>
    </row>
    <row r="5532">
      <c r="A5532" t="inlineStr">
        <is>
          <t>RP0005531</t>
        </is>
      </c>
      <c r="B5532" t="inlineStr">
        <is>
          <t>LN200787</t>
        </is>
      </c>
      <c r="C5532" t="n">
        <v>5</v>
      </c>
      <c r="D5532" s="8" t="n">
        <v>46366</v>
      </c>
      <c r="E5532" s="9" t="n">
        <v>4721.17</v>
      </c>
      <c r="F5532" s="8" t="n"/>
      <c r="G5532" s="9" t="n">
        <v>0</v>
      </c>
      <c r="H5532" t="inlineStr">
        <is>
          <t>NOT_DUE</t>
        </is>
      </c>
      <c r="I5532">
        <f>IF(H5532="UNPAID", AsOfDate-D5532, 0)</f>
        <v/>
      </c>
      <c r="J5532">
        <f>IF(F5532&lt;&gt;"", TEXT(F5532, "yyyy-mm"), "")</f>
        <v/>
      </c>
    </row>
    <row r="5533">
      <c r="A5533" t="inlineStr">
        <is>
          <t>RP0005532</t>
        </is>
      </c>
      <c r="B5533" t="inlineStr">
        <is>
          <t>LN200787</t>
        </is>
      </c>
      <c r="C5533" t="n">
        <v>6</v>
      </c>
      <c r="D5533" s="8" t="n">
        <v>46397</v>
      </c>
      <c r="E5533" s="9" t="n">
        <v>4721.17</v>
      </c>
      <c r="F5533" s="8" t="n"/>
      <c r="G5533" s="9" t="n">
        <v>0</v>
      </c>
      <c r="H5533" t="inlineStr">
        <is>
          <t>NOT_DUE</t>
        </is>
      </c>
      <c r="I5533">
        <f>IF(H5533="UNPAID", AsOfDate-D5533, 0)</f>
        <v/>
      </c>
      <c r="J5533">
        <f>IF(F5533&lt;&gt;"", TEXT(F5533, "yyyy-mm"), "")</f>
        <v/>
      </c>
    </row>
    <row r="5534">
      <c r="A5534" t="inlineStr">
        <is>
          <t>RP0005533</t>
        </is>
      </c>
      <c r="B5534" t="inlineStr">
        <is>
          <t>LN200788</t>
        </is>
      </c>
      <c r="C5534" t="n">
        <v>1</v>
      </c>
      <c r="D5534" s="8" t="n">
        <v>46144</v>
      </c>
      <c r="E5534" s="9" t="n">
        <v>6199.86</v>
      </c>
      <c r="F5534" s="8" t="n">
        <v>46147</v>
      </c>
      <c r="G5534" s="9" t="n">
        <v>6199.86</v>
      </c>
      <c r="H5534" t="inlineStr">
        <is>
          <t>PAID_ON_TIME</t>
        </is>
      </c>
      <c r="I5534">
        <f>IF(H5534="UNPAID", AsOfDate-D5534, 0)</f>
        <v/>
      </c>
      <c r="J5534">
        <f>IF(F5534&lt;&gt;"", TEXT(F5534, "yyyy-mm"), "")</f>
        <v/>
      </c>
    </row>
    <row r="5535">
      <c r="A5535" t="inlineStr">
        <is>
          <t>RP0005534</t>
        </is>
      </c>
      <c r="B5535" t="inlineStr">
        <is>
          <t>LN200788</t>
        </is>
      </c>
      <c r="C5535" t="n">
        <v>2</v>
      </c>
      <c r="D5535" s="8" t="n">
        <v>46175</v>
      </c>
      <c r="E5535" s="9" t="n">
        <v>6199.86</v>
      </c>
      <c r="F5535" s="8" t="n">
        <v>46174</v>
      </c>
      <c r="G5535" s="9" t="n">
        <v>6199.86</v>
      </c>
      <c r="H5535" t="inlineStr">
        <is>
          <t>PAID_ON_TIME</t>
        </is>
      </c>
      <c r="I5535">
        <f>IF(H5535="UNPAID", AsOfDate-D5535, 0)</f>
        <v/>
      </c>
      <c r="J5535">
        <f>IF(F5535&lt;&gt;"", TEXT(F5535, "yyyy-mm"), "")</f>
        <v/>
      </c>
    </row>
    <row r="5536">
      <c r="A5536" t="inlineStr">
        <is>
          <t>RP0005535</t>
        </is>
      </c>
      <c r="B5536" t="inlineStr">
        <is>
          <t>LN200788</t>
        </is>
      </c>
      <c r="C5536" t="n">
        <v>3</v>
      </c>
      <c r="D5536" s="8" t="n">
        <v>46205</v>
      </c>
      <c r="E5536" s="9" t="n">
        <v>6199.86</v>
      </c>
      <c r="F5536" s="8" t="n">
        <v>46206</v>
      </c>
      <c r="G5536" s="9" t="n">
        <v>6199.86</v>
      </c>
      <c r="H5536" t="inlineStr">
        <is>
          <t>PAID_ON_TIME</t>
        </is>
      </c>
      <c r="I5536">
        <f>IF(H5536="UNPAID", AsOfDate-D5536, 0)</f>
        <v/>
      </c>
      <c r="J5536">
        <f>IF(F5536&lt;&gt;"", TEXT(F5536, "yyyy-mm"), "")</f>
        <v/>
      </c>
    </row>
    <row r="5537">
      <c r="A5537" t="inlineStr">
        <is>
          <t>RP0005536</t>
        </is>
      </c>
      <c r="B5537" t="inlineStr">
        <is>
          <t>LN200788</t>
        </is>
      </c>
      <c r="C5537" t="n">
        <v>4</v>
      </c>
      <c r="D5537" s="8" t="n">
        <v>46236</v>
      </c>
      <c r="E5537" s="9" t="n">
        <v>6199.86</v>
      </c>
      <c r="F5537" s="8" t="n">
        <v>46240</v>
      </c>
      <c r="G5537" s="9" t="n">
        <v>6199.86</v>
      </c>
      <c r="H5537" t="inlineStr">
        <is>
          <t>PAID_ON_TIME</t>
        </is>
      </c>
      <c r="I5537">
        <f>IF(H5537="UNPAID", AsOfDate-D5537, 0)</f>
        <v/>
      </c>
      <c r="J5537">
        <f>IF(F5537&lt;&gt;"", TEXT(F5537, "yyyy-mm"), "")</f>
        <v/>
      </c>
    </row>
    <row r="5538">
      <c r="A5538" t="inlineStr">
        <is>
          <t>RP0005537</t>
        </is>
      </c>
      <c r="B5538" t="inlineStr">
        <is>
          <t>LN200788</t>
        </is>
      </c>
      <c r="C5538" t="n">
        <v>5</v>
      </c>
      <c r="D5538" s="8" t="n">
        <v>46267</v>
      </c>
      <c r="E5538" s="9" t="n">
        <v>6199.86</v>
      </c>
      <c r="F5538" s="8" t="n"/>
      <c r="G5538" s="9" t="n">
        <v>0</v>
      </c>
      <c r="H5538" t="inlineStr">
        <is>
          <t>NOT_DUE</t>
        </is>
      </c>
      <c r="I5538">
        <f>IF(H5538="UNPAID", AsOfDate-D5538, 0)</f>
        <v/>
      </c>
      <c r="J5538">
        <f>IF(F5538&lt;&gt;"", TEXT(F5538, "yyyy-mm"), "")</f>
        <v/>
      </c>
    </row>
    <row r="5539">
      <c r="A5539" t="inlineStr">
        <is>
          <t>RP0005538</t>
        </is>
      </c>
      <c r="B5539" t="inlineStr">
        <is>
          <t>LN200788</t>
        </is>
      </c>
      <c r="C5539" t="n">
        <v>6</v>
      </c>
      <c r="D5539" s="8" t="n">
        <v>46297</v>
      </c>
      <c r="E5539" s="9" t="n">
        <v>6199.86</v>
      </c>
      <c r="F5539" s="8" t="n"/>
      <c r="G5539" s="9" t="n">
        <v>0</v>
      </c>
      <c r="H5539" t="inlineStr">
        <is>
          <t>NOT_DUE</t>
        </is>
      </c>
      <c r="I5539">
        <f>IF(H5539="UNPAID", AsOfDate-D5539, 0)</f>
        <v/>
      </c>
      <c r="J5539">
        <f>IF(F5539&lt;&gt;"", TEXT(F5539, "yyyy-mm"), "")</f>
        <v/>
      </c>
    </row>
    <row r="5540">
      <c r="A5540" t="inlineStr">
        <is>
          <t>RP0005539</t>
        </is>
      </c>
      <c r="B5540" t="inlineStr">
        <is>
          <t>LN200788</t>
        </is>
      </c>
      <c r="C5540" t="n">
        <v>7</v>
      </c>
      <c r="D5540" s="8" t="n">
        <v>46328</v>
      </c>
      <c r="E5540" s="9" t="n">
        <v>6199.86</v>
      </c>
      <c r="F5540" s="8" t="n"/>
      <c r="G5540" s="9" t="n">
        <v>0</v>
      </c>
      <c r="H5540" t="inlineStr">
        <is>
          <t>NOT_DUE</t>
        </is>
      </c>
      <c r="I5540">
        <f>IF(H5540="UNPAID", AsOfDate-D5540, 0)</f>
        <v/>
      </c>
      <c r="J5540">
        <f>IF(F5540&lt;&gt;"", TEXT(F5540, "yyyy-mm"), "")</f>
        <v/>
      </c>
    </row>
    <row r="5541">
      <c r="A5541" t="inlineStr">
        <is>
          <t>RP0005540</t>
        </is>
      </c>
      <c r="B5541" t="inlineStr">
        <is>
          <t>LN200788</t>
        </is>
      </c>
      <c r="C5541" t="n">
        <v>8</v>
      </c>
      <c r="D5541" s="8" t="n">
        <v>46358</v>
      </c>
      <c r="E5541" s="9" t="n">
        <v>6199.86</v>
      </c>
      <c r="F5541" s="8" t="n"/>
      <c r="G5541" s="9" t="n">
        <v>0</v>
      </c>
      <c r="H5541" t="inlineStr">
        <is>
          <t>NOT_DUE</t>
        </is>
      </c>
      <c r="I5541">
        <f>IF(H5541="UNPAID", AsOfDate-D5541, 0)</f>
        <v/>
      </c>
      <c r="J5541">
        <f>IF(F5541&lt;&gt;"", TEXT(F5541, "yyyy-mm"), "")</f>
        <v/>
      </c>
    </row>
    <row r="5542">
      <c r="A5542" t="inlineStr">
        <is>
          <t>RP0005541</t>
        </is>
      </c>
      <c r="B5542" t="inlineStr">
        <is>
          <t>LN200788</t>
        </is>
      </c>
      <c r="C5542" t="n">
        <v>9</v>
      </c>
      <c r="D5542" s="8" t="n">
        <v>46389</v>
      </c>
      <c r="E5542" s="9" t="n">
        <v>6199.86</v>
      </c>
      <c r="F5542" s="8" t="n"/>
      <c r="G5542" s="9" t="n">
        <v>0</v>
      </c>
      <c r="H5542" t="inlineStr">
        <is>
          <t>NOT_DUE</t>
        </is>
      </c>
      <c r="I5542">
        <f>IF(H5542="UNPAID", AsOfDate-D5542, 0)</f>
        <v/>
      </c>
      <c r="J5542">
        <f>IF(F5542&lt;&gt;"", TEXT(F5542, "yyyy-mm"), "")</f>
        <v/>
      </c>
    </row>
    <row r="5543">
      <c r="A5543" t="inlineStr">
        <is>
          <t>RP0005542</t>
        </is>
      </c>
      <c r="B5543" t="inlineStr">
        <is>
          <t>LN200789</t>
        </is>
      </c>
      <c r="C5543" t="n">
        <v>1</v>
      </c>
      <c r="D5543" s="8" t="n">
        <v>46259</v>
      </c>
      <c r="E5543" s="9" t="n">
        <v>3245</v>
      </c>
      <c r="F5543" s="8" t="n">
        <v>46263</v>
      </c>
      <c r="G5543" s="9" t="n">
        <v>3245</v>
      </c>
      <c r="H5543" t="inlineStr">
        <is>
          <t>PAID_ON_TIME</t>
        </is>
      </c>
      <c r="I5543">
        <f>IF(H5543="UNPAID", AsOfDate-D5543, 0)</f>
        <v/>
      </c>
      <c r="J5543">
        <f>IF(F5543&lt;&gt;"", TEXT(F5543, "yyyy-mm"), "")</f>
        <v/>
      </c>
    </row>
    <row r="5544">
      <c r="A5544" t="inlineStr">
        <is>
          <t>RP0005543</t>
        </is>
      </c>
      <c r="B5544" t="inlineStr">
        <is>
          <t>LN200789</t>
        </is>
      </c>
      <c r="C5544" t="n">
        <v>2</v>
      </c>
      <c r="D5544" s="8" t="n">
        <v>46290</v>
      </c>
      <c r="E5544" s="9" t="n">
        <v>3245</v>
      </c>
      <c r="F5544" s="8" t="n"/>
      <c r="G5544" s="9" t="n">
        <v>0</v>
      </c>
      <c r="H5544" t="inlineStr">
        <is>
          <t>NOT_DUE</t>
        </is>
      </c>
      <c r="I5544">
        <f>IF(H5544="UNPAID", AsOfDate-D5544, 0)</f>
        <v/>
      </c>
      <c r="J5544">
        <f>IF(F5544&lt;&gt;"", TEXT(F5544, "yyyy-mm"), "")</f>
        <v/>
      </c>
    </row>
    <row r="5545">
      <c r="A5545" t="inlineStr">
        <is>
          <t>RP0005544</t>
        </is>
      </c>
      <c r="B5545" t="inlineStr">
        <is>
          <t>LN200789</t>
        </is>
      </c>
      <c r="C5545" t="n">
        <v>3</v>
      </c>
      <c r="D5545" s="8" t="n">
        <v>46320</v>
      </c>
      <c r="E5545" s="9" t="n">
        <v>3245</v>
      </c>
      <c r="F5545" s="8" t="n"/>
      <c r="G5545" s="9" t="n">
        <v>0</v>
      </c>
      <c r="H5545" t="inlineStr">
        <is>
          <t>NOT_DUE</t>
        </is>
      </c>
      <c r="I5545">
        <f>IF(H5545="UNPAID", AsOfDate-D5545, 0)</f>
        <v/>
      </c>
      <c r="J5545">
        <f>IF(F5545&lt;&gt;"", TEXT(F5545, "yyyy-mm"), "")</f>
        <v/>
      </c>
    </row>
    <row r="5546">
      <c r="A5546" t="inlineStr">
        <is>
          <t>RP0005545</t>
        </is>
      </c>
      <c r="B5546" t="inlineStr">
        <is>
          <t>LN200789</t>
        </is>
      </c>
      <c r="C5546" t="n">
        <v>4</v>
      </c>
      <c r="D5546" s="8" t="n">
        <v>46351</v>
      </c>
      <c r="E5546" s="9" t="n">
        <v>3245</v>
      </c>
      <c r="F5546" s="8" t="n"/>
      <c r="G5546" s="9" t="n">
        <v>0</v>
      </c>
      <c r="H5546" t="inlineStr">
        <is>
          <t>NOT_DUE</t>
        </is>
      </c>
      <c r="I5546">
        <f>IF(H5546="UNPAID", AsOfDate-D5546, 0)</f>
        <v/>
      </c>
      <c r="J5546">
        <f>IF(F5546&lt;&gt;"", TEXT(F5546, "yyyy-mm"), "")</f>
        <v/>
      </c>
    </row>
    <row r="5547">
      <c r="A5547" t="inlineStr">
        <is>
          <t>RP0005546</t>
        </is>
      </c>
      <c r="B5547" t="inlineStr">
        <is>
          <t>LN200789</t>
        </is>
      </c>
      <c r="C5547" t="n">
        <v>5</v>
      </c>
      <c r="D5547" s="8" t="n">
        <v>46381</v>
      </c>
      <c r="E5547" s="9" t="n">
        <v>3245</v>
      </c>
      <c r="F5547" s="8" t="n"/>
      <c r="G5547" s="9" t="n">
        <v>0</v>
      </c>
      <c r="H5547" t="inlineStr">
        <is>
          <t>NOT_DUE</t>
        </is>
      </c>
      <c r="I5547">
        <f>IF(H5547="UNPAID", AsOfDate-D5547, 0)</f>
        <v/>
      </c>
      <c r="J5547">
        <f>IF(F5547&lt;&gt;"", TEXT(F5547, "yyyy-mm"), "")</f>
        <v/>
      </c>
    </row>
    <row r="5548">
      <c r="A5548" t="inlineStr">
        <is>
          <t>RP0005547</t>
        </is>
      </c>
      <c r="B5548" t="inlineStr">
        <is>
          <t>LN200789</t>
        </is>
      </c>
      <c r="C5548" t="n">
        <v>6</v>
      </c>
      <c r="D5548" s="8" t="n">
        <v>46412</v>
      </c>
      <c r="E5548" s="9" t="n">
        <v>3245</v>
      </c>
      <c r="F5548" s="8" t="n"/>
      <c r="G5548" s="9" t="n">
        <v>0</v>
      </c>
      <c r="H5548" t="inlineStr">
        <is>
          <t>NOT_DUE</t>
        </is>
      </c>
      <c r="I5548">
        <f>IF(H5548="UNPAID", AsOfDate-D5548, 0)</f>
        <v/>
      </c>
      <c r="J5548">
        <f>IF(F5548&lt;&gt;"", TEXT(F5548, "yyyy-mm"), "")</f>
        <v/>
      </c>
    </row>
    <row r="5549">
      <c r="A5549" t="inlineStr">
        <is>
          <t>RP0005548</t>
        </is>
      </c>
      <c r="B5549" t="inlineStr">
        <is>
          <t>LN200789</t>
        </is>
      </c>
      <c r="C5549" t="n">
        <v>7</v>
      </c>
      <c r="D5549" s="8" t="n">
        <v>46443</v>
      </c>
      <c r="E5549" s="9" t="n">
        <v>3245</v>
      </c>
      <c r="F5549" s="8" t="n"/>
      <c r="G5549" s="9" t="n">
        <v>0</v>
      </c>
      <c r="H5549" t="inlineStr">
        <is>
          <t>NOT_DUE</t>
        </is>
      </c>
      <c r="I5549">
        <f>IF(H5549="UNPAID", AsOfDate-D5549, 0)</f>
        <v/>
      </c>
      <c r="J5549">
        <f>IF(F5549&lt;&gt;"", TEXT(F5549, "yyyy-mm"), "")</f>
        <v/>
      </c>
    </row>
    <row r="5550">
      <c r="A5550" t="inlineStr">
        <is>
          <t>RP0005549</t>
        </is>
      </c>
      <c r="B5550" t="inlineStr">
        <is>
          <t>LN200789</t>
        </is>
      </c>
      <c r="C5550" t="n">
        <v>8</v>
      </c>
      <c r="D5550" s="8" t="n">
        <v>46471</v>
      </c>
      <c r="E5550" s="9" t="n">
        <v>3245</v>
      </c>
      <c r="F5550" s="8" t="n"/>
      <c r="G5550" s="9" t="n">
        <v>0</v>
      </c>
      <c r="H5550" t="inlineStr">
        <is>
          <t>NOT_DUE</t>
        </is>
      </c>
      <c r="I5550">
        <f>IF(H5550="UNPAID", AsOfDate-D5550, 0)</f>
        <v/>
      </c>
      <c r="J5550">
        <f>IF(F5550&lt;&gt;"", TEXT(F5550, "yyyy-mm"), "")</f>
        <v/>
      </c>
    </row>
    <row r="5551">
      <c r="A5551" t="inlineStr">
        <is>
          <t>RP0005550</t>
        </is>
      </c>
      <c r="B5551" t="inlineStr">
        <is>
          <t>LN200789</t>
        </is>
      </c>
      <c r="C5551" t="n">
        <v>9</v>
      </c>
      <c r="D5551" s="8" t="n">
        <v>46502</v>
      </c>
      <c r="E5551" s="9" t="n">
        <v>3245</v>
      </c>
      <c r="F5551" s="8" t="n"/>
      <c r="G5551" s="9" t="n">
        <v>0</v>
      </c>
      <c r="H5551" t="inlineStr">
        <is>
          <t>NOT_DUE</t>
        </is>
      </c>
      <c r="I5551">
        <f>IF(H5551="UNPAID", AsOfDate-D5551, 0)</f>
        <v/>
      </c>
      <c r="J5551">
        <f>IF(F5551&lt;&gt;"", TEXT(F5551, "yyyy-mm"), "")</f>
        <v/>
      </c>
    </row>
    <row r="5552">
      <c r="A5552" t="inlineStr">
        <is>
          <t>RP0005551</t>
        </is>
      </c>
      <c r="B5552" t="inlineStr">
        <is>
          <t>LN200789</t>
        </is>
      </c>
      <c r="C5552" t="n">
        <v>10</v>
      </c>
      <c r="D5552" s="8" t="n">
        <v>46532</v>
      </c>
      <c r="E5552" s="9" t="n">
        <v>3245</v>
      </c>
      <c r="F5552" s="8" t="n"/>
      <c r="G5552" s="9" t="n">
        <v>0</v>
      </c>
      <c r="H5552" t="inlineStr">
        <is>
          <t>NOT_DUE</t>
        </is>
      </c>
      <c r="I5552">
        <f>IF(H5552="UNPAID", AsOfDate-D5552, 0)</f>
        <v/>
      </c>
      <c r="J5552">
        <f>IF(F5552&lt;&gt;"", TEXT(F5552, "yyyy-mm"), "")</f>
        <v/>
      </c>
    </row>
    <row r="5553">
      <c r="A5553" t="inlineStr">
        <is>
          <t>RP0005552</t>
        </is>
      </c>
      <c r="B5553" t="inlineStr">
        <is>
          <t>LN200789</t>
        </is>
      </c>
      <c r="C5553" t="n">
        <v>11</v>
      </c>
      <c r="D5553" s="8" t="n">
        <v>46563</v>
      </c>
      <c r="E5553" s="9" t="n">
        <v>3245</v>
      </c>
      <c r="F5553" s="8" t="n"/>
      <c r="G5553" s="9" t="n">
        <v>0</v>
      </c>
      <c r="H5553" t="inlineStr">
        <is>
          <t>NOT_DUE</t>
        </is>
      </c>
      <c r="I5553">
        <f>IF(H5553="UNPAID", AsOfDate-D5553, 0)</f>
        <v/>
      </c>
      <c r="J5553">
        <f>IF(F5553&lt;&gt;"", TEXT(F5553, "yyyy-mm"), "")</f>
        <v/>
      </c>
    </row>
    <row r="5554">
      <c r="A5554" t="inlineStr">
        <is>
          <t>RP0005553</t>
        </is>
      </c>
      <c r="B5554" t="inlineStr">
        <is>
          <t>LN200789</t>
        </is>
      </c>
      <c r="C5554" t="n">
        <v>12</v>
      </c>
      <c r="D5554" s="8" t="n">
        <v>46593</v>
      </c>
      <c r="E5554" s="9" t="n">
        <v>3245</v>
      </c>
      <c r="F5554" s="8" t="n"/>
      <c r="G5554" s="9" t="n">
        <v>0</v>
      </c>
      <c r="H5554" t="inlineStr">
        <is>
          <t>NOT_DUE</t>
        </is>
      </c>
      <c r="I5554">
        <f>IF(H5554="UNPAID", AsOfDate-D5554, 0)</f>
        <v/>
      </c>
      <c r="J5554">
        <f>IF(F5554&lt;&gt;"", TEXT(F5554, "yyyy-mm"), "")</f>
        <v/>
      </c>
    </row>
    <row r="5555">
      <c r="A5555" t="inlineStr">
        <is>
          <t>RP0005554</t>
        </is>
      </c>
      <c r="B5555" t="inlineStr">
        <is>
          <t>LN200790</t>
        </is>
      </c>
      <c r="C5555" t="n">
        <v>1</v>
      </c>
      <c r="D5555" s="8" t="n">
        <v>46246</v>
      </c>
      <c r="E5555" s="9" t="n">
        <v>5908.44</v>
      </c>
      <c r="F5555" s="8" t="n">
        <v>46243</v>
      </c>
      <c r="G5555" s="9" t="n">
        <v>5908.44</v>
      </c>
      <c r="H5555" t="inlineStr">
        <is>
          <t>PAID_ON_TIME</t>
        </is>
      </c>
      <c r="I5555">
        <f>IF(H5555="UNPAID", AsOfDate-D5555, 0)</f>
        <v/>
      </c>
      <c r="J5555">
        <f>IF(F5555&lt;&gt;"", TEXT(F5555, "yyyy-mm"), "")</f>
        <v/>
      </c>
    </row>
    <row r="5556">
      <c r="A5556" t="inlineStr">
        <is>
          <t>RP0005555</t>
        </is>
      </c>
      <c r="B5556" t="inlineStr">
        <is>
          <t>LN200790</t>
        </is>
      </c>
      <c r="C5556" t="n">
        <v>2</v>
      </c>
      <c r="D5556" s="8" t="n">
        <v>46277</v>
      </c>
      <c r="E5556" s="9" t="n">
        <v>5908.44</v>
      </c>
      <c r="F5556" s="8" t="n"/>
      <c r="G5556" s="9" t="n">
        <v>0</v>
      </c>
      <c r="H5556" t="inlineStr">
        <is>
          <t>NOT_DUE</t>
        </is>
      </c>
      <c r="I5556">
        <f>IF(H5556="UNPAID", AsOfDate-D5556, 0)</f>
        <v/>
      </c>
      <c r="J5556">
        <f>IF(F5556&lt;&gt;"", TEXT(F5556, "yyyy-mm"), "")</f>
        <v/>
      </c>
    </row>
    <row r="5557">
      <c r="A5557" t="inlineStr">
        <is>
          <t>RP0005556</t>
        </is>
      </c>
      <c r="B5557" t="inlineStr">
        <is>
          <t>LN200790</t>
        </is>
      </c>
      <c r="C5557" t="n">
        <v>3</v>
      </c>
      <c r="D5557" s="8" t="n">
        <v>46307</v>
      </c>
      <c r="E5557" s="9" t="n">
        <v>5908.44</v>
      </c>
      <c r="F5557" s="8" t="n"/>
      <c r="G5557" s="9" t="n">
        <v>0</v>
      </c>
      <c r="H5557" t="inlineStr">
        <is>
          <t>NOT_DUE</t>
        </is>
      </c>
      <c r="I5557">
        <f>IF(H5557="UNPAID", AsOfDate-D5557, 0)</f>
        <v/>
      </c>
      <c r="J5557">
        <f>IF(F5557&lt;&gt;"", TEXT(F5557, "yyyy-mm"), "")</f>
        <v/>
      </c>
    </row>
    <row r="5558">
      <c r="A5558" t="inlineStr">
        <is>
          <t>RP0005557</t>
        </is>
      </c>
      <c r="B5558" t="inlineStr">
        <is>
          <t>LN200790</t>
        </is>
      </c>
      <c r="C5558" t="n">
        <v>4</v>
      </c>
      <c r="D5558" s="8" t="n">
        <v>46338</v>
      </c>
      <c r="E5558" s="9" t="n">
        <v>5908.44</v>
      </c>
      <c r="F5558" s="8" t="n"/>
      <c r="G5558" s="9" t="n">
        <v>0</v>
      </c>
      <c r="H5558" t="inlineStr">
        <is>
          <t>NOT_DUE</t>
        </is>
      </c>
      <c r="I5558">
        <f>IF(H5558="UNPAID", AsOfDate-D5558, 0)</f>
        <v/>
      </c>
      <c r="J5558">
        <f>IF(F5558&lt;&gt;"", TEXT(F5558, "yyyy-mm"), "")</f>
        <v/>
      </c>
    </row>
    <row r="5559">
      <c r="A5559" t="inlineStr">
        <is>
          <t>RP0005558</t>
        </is>
      </c>
      <c r="B5559" t="inlineStr">
        <is>
          <t>LN200790</t>
        </is>
      </c>
      <c r="C5559" t="n">
        <v>5</v>
      </c>
      <c r="D5559" s="8" t="n">
        <v>46368</v>
      </c>
      <c r="E5559" s="9" t="n">
        <v>5908.44</v>
      </c>
      <c r="F5559" s="8" t="n"/>
      <c r="G5559" s="9" t="n">
        <v>0</v>
      </c>
      <c r="H5559" t="inlineStr">
        <is>
          <t>NOT_DUE</t>
        </is>
      </c>
      <c r="I5559">
        <f>IF(H5559="UNPAID", AsOfDate-D5559, 0)</f>
        <v/>
      </c>
      <c r="J5559">
        <f>IF(F5559&lt;&gt;"", TEXT(F5559, "yyyy-mm"), "")</f>
        <v/>
      </c>
    </row>
    <row r="5560">
      <c r="A5560" t="inlineStr">
        <is>
          <t>RP0005559</t>
        </is>
      </c>
      <c r="B5560" t="inlineStr">
        <is>
          <t>LN200790</t>
        </is>
      </c>
      <c r="C5560" t="n">
        <v>6</v>
      </c>
      <c r="D5560" s="8" t="n">
        <v>46399</v>
      </c>
      <c r="E5560" s="9" t="n">
        <v>5908.44</v>
      </c>
      <c r="F5560" s="8" t="n"/>
      <c r="G5560" s="9" t="n">
        <v>0</v>
      </c>
      <c r="H5560" t="inlineStr">
        <is>
          <t>NOT_DUE</t>
        </is>
      </c>
      <c r="I5560">
        <f>IF(H5560="UNPAID", AsOfDate-D5560, 0)</f>
        <v/>
      </c>
      <c r="J5560">
        <f>IF(F5560&lt;&gt;"", TEXT(F5560, "yyyy-mm"), "")</f>
        <v/>
      </c>
    </row>
    <row r="5561">
      <c r="A5561" t="inlineStr">
        <is>
          <t>RP0005560</t>
        </is>
      </c>
      <c r="B5561" t="inlineStr">
        <is>
          <t>LN200790</t>
        </is>
      </c>
      <c r="C5561" t="n">
        <v>7</v>
      </c>
      <c r="D5561" s="8" t="n">
        <v>46430</v>
      </c>
      <c r="E5561" s="9" t="n">
        <v>5908.44</v>
      </c>
      <c r="F5561" s="8" t="n"/>
      <c r="G5561" s="9" t="n">
        <v>0</v>
      </c>
      <c r="H5561" t="inlineStr">
        <is>
          <t>NOT_DUE</t>
        </is>
      </c>
      <c r="I5561">
        <f>IF(H5561="UNPAID", AsOfDate-D5561, 0)</f>
        <v/>
      </c>
      <c r="J5561">
        <f>IF(F5561&lt;&gt;"", TEXT(F5561, "yyyy-mm"), "")</f>
        <v/>
      </c>
    </row>
    <row r="5562">
      <c r="A5562" t="inlineStr">
        <is>
          <t>RP0005561</t>
        </is>
      </c>
      <c r="B5562" t="inlineStr">
        <is>
          <t>LN200790</t>
        </is>
      </c>
      <c r="C5562" t="n">
        <v>8</v>
      </c>
      <c r="D5562" s="8" t="n">
        <v>46458</v>
      </c>
      <c r="E5562" s="9" t="n">
        <v>5908.44</v>
      </c>
      <c r="F5562" s="8" t="n"/>
      <c r="G5562" s="9" t="n">
        <v>0</v>
      </c>
      <c r="H5562" t="inlineStr">
        <is>
          <t>NOT_DUE</t>
        </is>
      </c>
      <c r="I5562">
        <f>IF(H5562="UNPAID", AsOfDate-D5562, 0)</f>
        <v/>
      </c>
      <c r="J5562">
        <f>IF(F5562&lt;&gt;"", TEXT(F5562, "yyyy-mm"), "")</f>
        <v/>
      </c>
    </row>
    <row r="5563">
      <c r="A5563" t="inlineStr">
        <is>
          <t>RP0005562</t>
        </is>
      </c>
      <c r="B5563" t="inlineStr">
        <is>
          <t>LN200790</t>
        </is>
      </c>
      <c r="C5563" t="n">
        <v>9</v>
      </c>
      <c r="D5563" s="8" t="n">
        <v>46489</v>
      </c>
      <c r="E5563" s="9" t="n">
        <v>5908.44</v>
      </c>
      <c r="F5563" s="8" t="n"/>
      <c r="G5563" s="9" t="n">
        <v>0</v>
      </c>
      <c r="H5563" t="inlineStr">
        <is>
          <t>NOT_DUE</t>
        </is>
      </c>
      <c r="I5563">
        <f>IF(H5563="UNPAID", AsOfDate-D5563, 0)</f>
        <v/>
      </c>
      <c r="J5563">
        <f>IF(F5563&lt;&gt;"", TEXT(F5563, "yyyy-mm"), "")</f>
        <v/>
      </c>
    </row>
    <row r="5564">
      <c r="A5564" t="inlineStr">
        <is>
          <t>RP0005563</t>
        </is>
      </c>
      <c r="B5564" t="inlineStr">
        <is>
          <t>LN200792</t>
        </is>
      </c>
      <c r="C5564" t="n">
        <v>1</v>
      </c>
      <c r="D5564" s="8" t="n">
        <v>46071</v>
      </c>
      <c r="E5564" s="9" t="n">
        <v>33343.75</v>
      </c>
      <c r="F5564" s="8" t="n">
        <v>46074</v>
      </c>
      <c r="G5564" s="9" t="n">
        <v>33343.75</v>
      </c>
      <c r="H5564" t="inlineStr">
        <is>
          <t>PAID_ON_TIME</t>
        </is>
      </c>
      <c r="I5564">
        <f>IF(H5564="UNPAID", AsOfDate-D5564, 0)</f>
        <v/>
      </c>
      <c r="J5564">
        <f>IF(F5564&lt;&gt;"", TEXT(F5564, "yyyy-mm"), "")</f>
        <v/>
      </c>
    </row>
    <row r="5565">
      <c r="A5565" t="inlineStr">
        <is>
          <t>RP0005564</t>
        </is>
      </c>
      <c r="B5565" t="inlineStr">
        <is>
          <t>LN200792</t>
        </is>
      </c>
      <c r="C5565" t="n">
        <v>2</v>
      </c>
      <c r="D5565" s="8" t="n">
        <v>46099</v>
      </c>
      <c r="E5565" s="9" t="n">
        <v>33343.75</v>
      </c>
      <c r="F5565" s="8" t="n">
        <v>46099</v>
      </c>
      <c r="G5565" s="9" t="n">
        <v>33343.75</v>
      </c>
      <c r="H5565" t="inlineStr">
        <is>
          <t>PAID_ON_TIME</t>
        </is>
      </c>
      <c r="I5565">
        <f>IF(H5565="UNPAID", AsOfDate-D5565, 0)</f>
        <v/>
      </c>
      <c r="J5565">
        <f>IF(F5565&lt;&gt;"", TEXT(F5565, "yyyy-mm"), "")</f>
        <v/>
      </c>
    </row>
    <row r="5566">
      <c r="A5566" t="inlineStr">
        <is>
          <t>RP0005565</t>
        </is>
      </c>
      <c r="B5566" t="inlineStr">
        <is>
          <t>LN200792</t>
        </is>
      </c>
      <c r="C5566" t="n">
        <v>3</v>
      </c>
      <c r="D5566" s="8" t="n">
        <v>46130</v>
      </c>
      <c r="E5566" s="9" t="n">
        <v>33343.75</v>
      </c>
      <c r="F5566" s="8" t="n">
        <v>46127</v>
      </c>
      <c r="G5566" s="9" t="n">
        <v>33343.75</v>
      </c>
      <c r="H5566" t="inlineStr">
        <is>
          <t>PAID_ON_TIME</t>
        </is>
      </c>
      <c r="I5566">
        <f>IF(H5566="UNPAID", AsOfDate-D5566, 0)</f>
        <v/>
      </c>
      <c r="J5566">
        <f>IF(F5566&lt;&gt;"", TEXT(F5566, "yyyy-mm"), "")</f>
        <v/>
      </c>
    </row>
    <row r="5567">
      <c r="A5567" t="inlineStr">
        <is>
          <t>RP0005566</t>
        </is>
      </c>
      <c r="B5567" t="inlineStr">
        <is>
          <t>LN200793</t>
        </is>
      </c>
      <c r="C5567" t="n">
        <v>1</v>
      </c>
      <c r="D5567" s="8" t="n">
        <v>46265</v>
      </c>
      <c r="E5567" s="9" t="n">
        <v>120230.5</v>
      </c>
      <c r="F5567" s="8" t="n">
        <v>46263</v>
      </c>
      <c r="G5567" s="9" t="n">
        <v>120230.5</v>
      </c>
      <c r="H5567" t="inlineStr">
        <is>
          <t>PAID_ON_TIME</t>
        </is>
      </c>
      <c r="I5567">
        <f>IF(H5567="UNPAID", AsOfDate-D5567, 0)</f>
        <v/>
      </c>
      <c r="J5567">
        <f>IF(F5567&lt;&gt;"", TEXT(F5567, "yyyy-mm"), "")</f>
        <v/>
      </c>
    </row>
    <row r="5568">
      <c r="A5568" t="inlineStr">
        <is>
          <t>RP0005567</t>
        </is>
      </c>
      <c r="B5568" t="inlineStr">
        <is>
          <t>LN200793</t>
        </is>
      </c>
      <c r="C5568" t="n">
        <v>2</v>
      </c>
      <c r="D5568" s="8" t="n">
        <v>46295</v>
      </c>
      <c r="E5568" s="9" t="n">
        <v>120230.5</v>
      </c>
      <c r="F5568" s="8" t="n"/>
      <c r="G5568" s="9" t="n">
        <v>0</v>
      </c>
      <c r="H5568" t="inlineStr">
        <is>
          <t>NOT_DUE</t>
        </is>
      </c>
      <c r="I5568">
        <f>IF(H5568="UNPAID", AsOfDate-D5568, 0)</f>
        <v/>
      </c>
      <c r="J5568">
        <f>IF(F5568&lt;&gt;"", TEXT(F5568, "yyyy-mm"), "")</f>
        <v/>
      </c>
    </row>
    <row r="5569">
      <c r="A5569" t="inlineStr">
        <is>
          <t>RP0005568</t>
        </is>
      </c>
      <c r="B5569" t="inlineStr">
        <is>
          <t>LN200793</t>
        </is>
      </c>
      <c r="C5569" t="n">
        <v>3</v>
      </c>
      <c r="D5569" s="8" t="n">
        <v>46326</v>
      </c>
      <c r="E5569" s="9" t="n">
        <v>120230.5</v>
      </c>
      <c r="F5569" s="8" t="n"/>
      <c r="G5569" s="9" t="n">
        <v>0</v>
      </c>
      <c r="H5569" t="inlineStr">
        <is>
          <t>NOT_DUE</t>
        </is>
      </c>
      <c r="I5569">
        <f>IF(H5569="UNPAID", AsOfDate-D5569, 0)</f>
        <v/>
      </c>
      <c r="J5569">
        <f>IF(F5569&lt;&gt;"", TEXT(F5569, "yyyy-mm"), "")</f>
        <v/>
      </c>
    </row>
    <row r="5570">
      <c r="A5570" t="inlineStr">
        <is>
          <t>RP0005569</t>
        </is>
      </c>
      <c r="B5570" t="inlineStr">
        <is>
          <t>LN200794</t>
        </is>
      </c>
      <c r="C5570" t="n">
        <v>1</v>
      </c>
      <c r="D5570" s="8" t="n">
        <v>46143</v>
      </c>
      <c r="E5570" s="9" t="n">
        <v>20625.42</v>
      </c>
      <c r="F5570" s="8" t="n">
        <v>46144</v>
      </c>
      <c r="G5570" s="9" t="n">
        <v>20625.42</v>
      </c>
      <c r="H5570" t="inlineStr">
        <is>
          <t>PAID_ON_TIME</t>
        </is>
      </c>
      <c r="I5570">
        <f>IF(H5570="UNPAID", AsOfDate-D5570, 0)</f>
        <v/>
      </c>
      <c r="J5570">
        <f>IF(F5570&lt;&gt;"", TEXT(F5570, "yyyy-mm"), "")</f>
        <v/>
      </c>
    </row>
    <row r="5571">
      <c r="A5571" t="inlineStr">
        <is>
          <t>RP0005570</t>
        </is>
      </c>
      <c r="B5571" t="inlineStr">
        <is>
          <t>LN200794</t>
        </is>
      </c>
      <c r="C5571" t="n">
        <v>2</v>
      </c>
      <c r="D5571" s="8" t="n">
        <v>46174</v>
      </c>
      <c r="E5571" s="9" t="n">
        <v>20625.42</v>
      </c>
      <c r="F5571" s="8" t="n">
        <v>46175</v>
      </c>
      <c r="G5571" s="9" t="n">
        <v>20625.42</v>
      </c>
      <c r="H5571" t="inlineStr">
        <is>
          <t>PAID_ON_TIME</t>
        </is>
      </c>
      <c r="I5571">
        <f>IF(H5571="UNPAID", AsOfDate-D5571, 0)</f>
        <v/>
      </c>
      <c r="J5571">
        <f>IF(F5571&lt;&gt;"", TEXT(F5571, "yyyy-mm"), "")</f>
        <v/>
      </c>
    </row>
    <row r="5572">
      <c r="A5572" t="inlineStr">
        <is>
          <t>RP0005571</t>
        </is>
      </c>
      <c r="B5572" t="inlineStr">
        <is>
          <t>LN200794</t>
        </is>
      </c>
      <c r="C5572" t="n">
        <v>3</v>
      </c>
      <c r="D5572" s="8" t="n">
        <v>46204</v>
      </c>
      <c r="E5572" s="9" t="n">
        <v>20625.42</v>
      </c>
      <c r="F5572" s="8" t="n">
        <v>46208</v>
      </c>
      <c r="G5572" s="9" t="n">
        <v>20625.42</v>
      </c>
      <c r="H5572" t="inlineStr">
        <is>
          <t>PAID_ON_TIME</t>
        </is>
      </c>
      <c r="I5572">
        <f>IF(H5572="UNPAID", AsOfDate-D5572, 0)</f>
        <v/>
      </c>
      <c r="J5572">
        <f>IF(F5572&lt;&gt;"", TEXT(F5572, "yyyy-mm"), "")</f>
        <v/>
      </c>
    </row>
    <row r="5573">
      <c r="A5573" t="inlineStr">
        <is>
          <t>RP0005572</t>
        </is>
      </c>
      <c r="B5573" t="inlineStr">
        <is>
          <t>LN200795</t>
        </is>
      </c>
      <c r="C5573" t="n">
        <v>1</v>
      </c>
      <c r="D5573" s="8" t="n">
        <v>46206</v>
      </c>
      <c r="E5573" s="9" t="n">
        <v>21333</v>
      </c>
      <c r="F5573" s="8" t="n"/>
      <c r="G5573" s="9" t="n">
        <v>0</v>
      </c>
      <c r="H5573" t="inlineStr">
        <is>
          <t>UNPAID</t>
        </is>
      </c>
      <c r="I5573">
        <f>IF(H5573="UNPAID", AsOfDate-D5573, 0)</f>
        <v/>
      </c>
      <c r="J5573">
        <f>IF(F5573&lt;&gt;"", TEXT(F5573, "yyyy-mm"), "")</f>
        <v/>
      </c>
    </row>
    <row r="5574">
      <c r="A5574" t="inlineStr">
        <is>
          <t>RP0005573</t>
        </is>
      </c>
      <c r="B5574" t="inlineStr">
        <is>
          <t>LN200795</t>
        </is>
      </c>
      <c r="C5574" t="n">
        <v>2</v>
      </c>
      <c r="D5574" s="8" t="n">
        <v>46237</v>
      </c>
      <c r="E5574" s="9" t="n">
        <v>21333</v>
      </c>
      <c r="F5574" s="8" t="n">
        <v>46234</v>
      </c>
      <c r="G5574" s="9" t="n">
        <v>21333</v>
      </c>
      <c r="H5574" t="inlineStr">
        <is>
          <t>PAID_ON_TIME</t>
        </is>
      </c>
      <c r="I5574">
        <f>IF(H5574="UNPAID", AsOfDate-D5574, 0)</f>
        <v/>
      </c>
      <c r="J5574">
        <f>IF(F5574&lt;&gt;"", TEXT(F5574, "yyyy-mm"), "")</f>
        <v/>
      </c>
    </row>
    <row r="5575">
      <c r="A5575" t="inlineStr">
        <is>
          <t>RP0005574</t>
        </is>
      </c>
      <c r="B5575" t="inlineStr">
        <is>
          <t>LN200795</t>
        </is>
      </c>
      <c r="C5575" t="n">
        <v>3</v>
      </c>
      <c r="D5575" s="8" t="n">
        <v>46268</v>
      </c>
      <c r="E5575" s="9" t="n">
        <v>21333</v>
      </c>
      <c r="F5575" s="8" t="n"/>
      <c r="G5575" s="9" t="n">
        <v>0</v>
      </c>
      <c r="H5575" t="inlineStr">
        <is>
          <t>NOT_DUE</t>
        </is>
      </c>
      <c r="I5575">
        <f>IF(H5575="UNPAID", AsOfDate-D5575, 0)</f>
        <v/>
      </c>
      <c r="J5575">
        <f>IF(F5575&lt;&gt;"", TEXT(F5575, "yyyy-mm"), "")</f>
        <v/>
      </c>
    </row>
    <row r="5576">
      <c r="A5576" t="inlineStr">
        <is>
          <t>RP0005575</t>
        </is>
      </c>
      <c r="B5576" t="inlineStr">
        <is>
          <t>LN200795</t>
        </is>
      </c>
      <c r="C5576" t="n">
        <v>4</v>
      </c>
      <c r="D5576" s="8" t="n">
        <v>46298</v>
      </c>
      <c r="E5576" s="9" t="n">
        <v>21333</v>
      </c>
      <c r="F5576" s="8" t="n"/>
      <c r="G5576" s="9" t="n">
        <v>0</v>
      </c>
      <c r="H5576" t="inlineStr">
        <is>
          <t>NOT_DUE</t>
        </is>
      </c>
      <c r="I5576">
        <f>IF(H5576="UNPAID", AsOfDate-D5576, 0)</f>
        <v/>
      </c>
      <c r="J5576">
        <f>IF(F5576&lt;&gt;"", TEXT(F5576, "yyyy-mm"), "")</f>
        <v/>
      </c>
    </row>
    <row r="5577">
      <c r="A5577" t="inlineStr">
        <is>
          <t>RP0005576</t>
        </is>
      </c>
      <c r="B5577" t="inlineStr">
        <is>
          <t>LN200795</t>
        </is>
      </c>
      <c r="C5577" t="n">
        <v>5</v>
      </c>
      <c r="D5577" s="8" t="n">
        <v>46329</v>
      </c>
      <c r="E5577" s="9" t="n">
        <v>21333</v>
      </c>
      <c r="F5577" s="8" t="n"/>
      <c r="G5577" s="9" t="n">
        <v>0</v>
      </c>
      <c r="H5577" t="inlineStr">
        <is>
          <t>NOT_DUE</t>
        </is>
      </c>
      <c r="I5577">
        <f>IF(H5577="UNPAID", AsOfDate-D5577, 0)</f>
        <v/>
      </c>
      <c r="J5577">
        <f>IF(F5577&lt;&gt;"", TEXT(F5577, "yyyy-mm"), "")</f>
        <v/>
      </c>
    </row>
    <row r="5578">
      <c r="A5578" t="inlineStr">
        <is>
          <t>RP0005577</t>
        </is>
      </c>
      <c r="B5578" t="inlineStr">
        <is>
          <t>LN200795</t>
        </is>
      </c>
      <c r="C5578" t="n">
        <v>6</v>
      </c>
      <c r="D5578" s="8" t="n">
        <v>46359</v>
      </c>
      <c r="E5578" s="9" t="n">
        <v>21333</v>
      </c>
      <c r="F5578" s="8" t="n"/>
      <c r="G5578" s="9" t="n">
        <v>0</v>
      </c>
      <c r="H5578" t="inlineStr">
        <is>
          <t>NOT_DUE</t>
        </is>
      </c>
      <c r="I5578">
        <f>IF(H5578="UNPAID", AsOfDate-D5578, 0)</f>
        <v/>
      </c>
      <c r="J5578">
        <f>IF(F5578&lt;&gt;"", TEXT(F5578, "yyyy-mm"), "")</f>
        <v/>
      </c>
    </row>
    <row r="5579">
      <c r="A5579" t="inlineStr">
        <is>
          <t>RP0005578</t>
        </is>
      </c>
      <c r="B5579" t="inlineStr">
        <is>
          <t>LN200796</t>
        </is>
      </c>
      <c r="C5579" t="n">
        <v>1</v>
      </c>
      <c r="D5579" s="8" t="n">
        <v>46261</v>
      </c>
      <c r="E5579" s="9" t="n">
        <v>48753.33</v>
      </c>
      <c r="F5579" s="8" t="n">
        <v>46265</v>
      </c>
      <c r="G5579" s="9" t="n">
        <v>48753.33</v>
      </c>
      <c r="H5579" t="inlineStr">
        <is>
          <t>PAID_ON_TIME</t>
        </is>
      </c>
      <c r="I5579">
        <f>IF(H5579="UNPAID", AsOfDate-D5579, 0)</f>
        <v/>
      </c>
      <c r="J5579">
        <f>IF(F5579&lt;&gt;"", TEXT(F5579, "yyyy-mm"), "")</f>
        <v/>
      </c>
    </row>
    <row r="5580">
      <c r="A5580" t="inlineStr">
        <is>
          <t>RP0005579</t>
        </is>
      </c>
      <c r="B5580" t="inlineStr">
        <is>
          <t>LN200796</t>
        </is>
      </c>
      <c r="C5580" t="n">
        <v>2</v>
      </c>
      <c r="D5580" s="8" t="n">
        <v>46292</v>
      </c>
      <c r="E5580" s="9" t="n">
        <v>48753.33</v>
      </c>
      <c r="F5580" s="8" t="n"/>
      <c r="G5580" s="9" t="n">
        <v>0</v>
      </c>
      <c r="H5580" t="inlineStr">
        <is>
          <t>NOT_DUE</t>
        </is>
      </c>
      <c r="I5580">
        <f>IF(H5580="UNPAID", AsOfDate-D5580, 0)</f>
        <v/>
      </c>
      <c r="J5580">
        <f>IF(F5580&lt;&gt;"", TEXT(F5580, "yyyy-mm"), "")</f>
        <v/>
      </c>
    </row>
    <row r="5581">
      <c r="A5581" t="inlineStr">
        <is>
          <t>RP0005580</t>
        </is>
      </c>
      <c r="B5581" t="inlineStr">
        <is>
          <t>LN200796</t>
        </is>
      </c>
      <c r="C5581" t="n">
        <v>3</v>
      </c>
      <c r="D5581" s="8" t="n">
        <v>46322</v>
      </c>
      <c r="E5581" s="9" t="n">
        <v>48753.33</v>
      </c>
      <c r="F5581" s="8" t="n"/>
      <c r="G5581" s="9" t="n">
        <v>0</v>
      </c>
      <c r="H5581" t="inlineStr">
        <is>
          <t>NOT_DUE</t>
        </is>
      </c>
      <c r="I5581">
        <f>IF(H5581="UNPAID", AsOfDate-D5581, 0)</f>
        <v/>
      </c>
      <c r="J5581">
        <f>IF(F5581&lt;&gt;"", TEXT(F5581, "yyyy-mm"), "")</f>
        <v/>
      </c>
    </row>
    <row r="5582">
      <c r="A5582" t="inlineStr">
        <is>
          <t>RP0005581</t>
        </is>
      </c>
      <c r="B5582" t="inlineStr">
        <is>
          <t>LN200797</t>
        </is>
      </c>
      <c r="C5582" t="n">
        <v>1</v>
      </c>
      <c r="D5582" s="8" t="n">
        <v>45848</v>
      </c>
      <c r="E5582" s="9" t="n">
        <v>7006.67</v>
      </c>
      <c r="F5582" s="8" t="n">
        <v>45850</v>
      </c>
      <c r="G5582" s="9" t="n">
        <v>7006.67</v>
      </c>
      <c r="H5582" t="inlineStr">
        <is>
          <t>PAID_ON_TIME</t>
        </is>
      </c>
      <c r="I5582">
        <f>IF(H5582="UNPAID", AsOfDate-D5582, 0)</f>
        <v/>
      </c>
      <c r="J5582">
        <f>IF(F5582&lt;&gt;"", TEXT(F5582, "yyyy-mm"), "")</f>
        <v/>
      </c>
    </row>
    <row r="5583">
      <c r="A5583" t="inlineStr">
        <is>
          <t>RP0005582</t>
        </is>
      </c>
      <c r="B5583" t="inlineStr">
        <is>
          <t>LN200797</t>
        </is>
      </c>
      <c r="C5583" t="n">
        <v>2</v>
      </c>
      <c r="D5583" s="8" t="n">
        <v>45879</v>
      </c>
      <c r="E5583" s="9" t="n">
        <v>7006.67</v>
      </c>
      <c r="F5583" s="8" t="n">
        <v>45880</v>
      </c>
      <c r="G5583" s="9" t="n">
        <v>7006.67</v>
      </c>
      <c r="H5583" t="inlineStr">
        <is>
          <t>PAID_ON_TIME</t>
        </is>
      </c>
      <c r="I5583">
        <f>IF(H5583="UNPAID", AsOfDate-D5583, 0)</f>
        <v/>
      </c>
      <c r="J5583">
        <f>IF(F5583&lt;&gt;"", TEXT(F5583, "yyyy-mm"), "")</f>
        <v/>
      </c>
    </row>
    <row r="5584">
      <c r="A5584" t="inlineStr">
        <is>
          <t>RP0005583</t>
        </is>
      </c>
      <c r="B5584" t="inlineStr">
        <is>
          <t>LN200797</t>
        </is>
      </c>
      <c r="C5584" t="n">
        <v>3</v>
      </c>
      <c r="D5584" s="8" t="n">
        <v>45910</v>
      </c>
      <c r="E5584" s="9" t="n">
        <v>7006.67</v>
      </c>
      <c r="F5584" s="8" t="n">
        <v>45941</v>
      </c>
      <c r="G5584" s="9" t="n">
        <v>7006.67</v>
      </c>
      <c r="H5584" t="inlineStr">
        <is>
          <t>PAID_LATE</t>
        </is>
      </c>
      <c r="I5584">
        <f>IF(H5584="UNPAID", AsOfDate-D5584, 0)</f>
        <v/>
      </c>
      <c r="J5584">
        <f>IF(F5584&lt;&gt;"", TEXT(F5584, "yyyy-mm"), "")</f>
        <v/>
      </c>
    </row>
    <row r="5585">
      <c r="A5585" t="inlineStr">
        <is>
          <t>RP0005584</t>
        </is>
      </c>
      <c r="B5585" t="inlineStr">
        <is>
          <t>LN200798</t>
        </is>
      </c>
      <c r="C5585" t="n">
        <v>1</v>
      </c>
      <c r="D5585" s="8" t="n">
        <v>46178</v>
      </c>
      <c r="E5585" s="9" t="n">
        <v>3337.39</v>
      </c>
      <c r="F5585" s="8" t="n">
        <v>46244</v>
      </c>
      <c r="G5585" s="9" t="n">
        <v>3337.39</v>
      </c>
      <c r="H5585" t="inlineStr">
        <is>
          <t>PAID_LATE</t>
        </is>
      </c>
      <c r="I5585">
        <f>IF(H5585="UNPAID", AsOfDate-D5585, 0)</f>
        <v/>
      </c>
      <c r="J5585">
        <f>IF(F5585&lt;&gt;"", TEXT(F5585, "yyyy-mm"), "")</f>
        <v/>
      </c>
    </row>
    <row r="5586">
      <c r="A5586" t="inlineStr">
        <is>
          <t>RP0005585</t>
        </is>
      </c>
      <c r="B5586" t="inlineStr">
        <is>
          <t>LN200798</t>
        </is>
      </c>
      <c r="C5586" t="n">
        <v>2</v>
      </c>
      <c r="D5586" s="8" t="n">
        <v>46208</v>
      </c>
      <c r="E5586" s="9" t="n">
        <v>3337.39</v>
      </c>
      <c r="F5586" s="8" t="n">
        <v>46210</v>
      </c>
      <c r="G5586" s="9" t="n">
        <v>3337.39</v>
      </c>
      <c r="H5586" t="inlineStr">
        <is>
          <t>PAID_ON_TIME</t>
        </is>
      </c>
      <c r="I5586">
        <f>IF(H5586="UNPAID", AsOfDate-D5586, 0)</f>
        <v/>
      </c>
      <c r="J5586">
        <f>IF(F5586&lt;&gt;"", TEXT(F5586, "yyyy-mm"), "")</f>
        <v/>
      </c>
    </row>
    <row r="5587">
      <c r="A5587" t="inlineStr">
        <is>
          <t>RP0005586</t>
        </is>
      </c>
      <c r="B5587" t="inlineStr">
        <is>
          <t>LN200798</t>
        </is>
      </c>
      <c r="C5587" t="n">
        <v>3</v>
      </c>
      <c r="D5587" s="8" t="n">
        <v>46239</v>
      </c>
      <c r="E5587" s="9" t="n">
        <v>3337.39</v>
      </c>
      <c r="F5587" s="8" t="n"/>
      <c r="G5587" s="9" t="n">
        <v>0</v>
      </c>
      <c r="H5587" t="inlineStr">
        <is>
          <t>UNPAID</t>
        </is>
      </c>
      <c r="I5587">
        <f>IF(H5587="UNPAID", AsOfDate-D5587, 0)</f>
        <v/>
      </c>
      <c r="J5587">
        <f>IF(F5587&lt;&gt;"", TEXT(F5587, "yyyy-mm"), "")</f>
        <v/>
      </c>
    </row>
    <row r="5588">
      <c r="A5588" t="inlineStr">
        <is>
          <t>RP0005587</t>
        </is>
      </c>
      <c r="B5588" t="inlineStr">
        <is>
          <t>LN200798</t>
        </is>
      </c>
      <c r="C5588" t="n">
        <v>4</v>
      </c>
      <c r="D5588" s="8" t="n">
        <v>46270</v>
      </c>
      <c r="E5588" s="9" t="n">
        <v>3337.39</v>
      </c>
      <c r="F5588" s="8" t="n"/>
      <c r="G5588" s="9" t="n">
        <v>0</v>
      </c>
      <c r="H5588" t="inlineStr">
        <is>
          <t>NOT_DUE</t>
        </is>
      </c>
      <c r="I5588">
        <f>IF(H5588="UNPAID", AsOfDate-D5588, 0)</f>
        <v/>
      </c>
      <c r="J5588">
        <f>IF(F5588&lt;&gt;"", TEXT(F5588, "yyyy-mm"), "")</f>
        <v/>
      </c>
    </row>
    <row r="5589">
      <c r="A5589" t="inlineStr">
        <is>
          <t>RP0005588</t>
        </is>
      </c>
      <c r="B5589" t="inlineStr">
        <is>
          <t>LN200798</t>
        </is>
      </c>
      <c r="C5589" t="n">
        <v>5</v>
      </c>
      <c r="D5589" s="8" t="n">
        <v>46300</v>
      </c>
      <c r="E5589" s="9" t="n">
        <v>3337.39</v>
      </c>
      <c r="F5589" s="8" t="n"/>
      <c r="G5589" s="9" t="n">
        <v>0</v>
      </c>
      <c r="H5589" t="inlineStr">
        <is>
          <t>NOT_DUE</t>
        </is>
      </c>
      <c r="I5589">
        <f>IF(H5589="UNPAID", AsOfDate-D5589, 0)</f>
        <v/>
      </c>
      <c r="J5589">
        <f>IF(F5589&lt;&gt;"", TEXT(F5589, "yyyy-mm"), "")</f>
        <v/>
      </c>
    </row>
    <row r="5590">
      <c r="A5590" t="inlineStr">
        <is>
          <t>RP0005589</t>
        </is>
      </c>
      <c r="B5590" t="inlineStr">
        <is>
          <t>LN200798</t>
        </is>
      </c>
      <c r="C5590" t="n">
        <v>6</v>
      </c>
      <c r="D5590" s="8" t="n">
        <v>46331</v>
      </c>
      <c r="E5590" s="9" t="n">
        <v>3337.39</v>
      </c>
      <c r="F5590" s="8" t="n"/>
      <c r="G5590" s="9" t="n">
        <v>0</v>
      </c>
      <c r="H5590" t="inlineStr">
        <is>
          <t>NOT_DUE</t>
        </is>
      </c>
      <c r="I5590">
        <f>IF(H5590="UNPAID", AsOfDate-D5590, 0)</f>
        <v/>
      </c>
      <c r="J5590">
        <f>IF(F5590&lt;&gt;"", TEXT(F5590, "yyyy-mm"), "")</f>
        <v/>
      </c>
    </row>
    <row r="5591">
      <c r="A5591" t="inlineStr">
        <is>
          <t>RP0005590</t>
        </is>
      </c>
      <c r="B5591" t="inlineStr">
        <is>
          <t>LN200798</t>
        </is>
      </c>
      <c r="C5591" t="n">
        <v>7</v>
      </c>
      <c r="D5591" s="8" t="n">
        <v>46361</v>
      </c>
      <c r="E5591" s="9" t="n">
        <v>3337.39</v>
      </c>
      <c r="F5591" s="8" t="n"/>
      <c r="G5591" s="9" t="n">
        <v>0</v>
      </c>
      <c r="H5591" t="inlineStr">
        <is>
          <t>NOT_DUE</t>
        </is>
      </c>
      <c r="I5591">
        <f>IF(H5591="UNPAID", AsOfDate-D5591, 0)</f>
        <v/>
      </c>
      <c r="J5591">
        <f>IF(F5591&lt;&gt;"", TEXT(F5591, "yyyy-mm"), "")</f>
        <v/>
      </c>
    </row>
    <row r="5592">
      <c r="A5592" t="inlineStr">
        <is>
          <t>RP0005591</t>
        </is>
      </c>
      <c r="B5592" t="inlineStr">
        <is>
          <t>LN200798</t>
        </is>
      </c>
      <c r="C5592" t="n">
        <v>8</v>
      </c>
      <c r="D5592" s="8" t="n">
        <v>46392</v>
      </c>
      <c r="E5592" s="9" t="n">
        <v>3337.39</v>
      </c>
      <c r="F5592" s="8" t="n"/>
      <c r="G5592" s="9" t="n">
        <v>0</v>
      </c>
      <c r="H5592" t="inlineStr">
        <is>
          <t>NOT_DUE</t>
        </is>
      </c>
      <c r="I5592">
        <f>IF(H5592="UNPAID", AsOfDate-D5592, 0)</f>
        <v/>
      </c>
      <c r="J5592">
        <f>IF(F5592&lt;&gt;"", TEXT(F5592, "yyyy-mm"), "")</f>
        <v/>
      </c>
    </row>
    <row r="5593">
      <c r="A5593" t="inlineStr">
        <is>
          <t>RP0005592</t>
        </is>
      </c>
      <c r="B5593" t="inlineStr">
        <is>
          <t>LN200798</t>
        </is>
      </c>
      <c r="C5593" t="n">
        <v>9</v>
      </c>
      <c r="D5593" s="8" t="n">
        <v>46423</v>
      </c>
      <c r="E5593" s="9" t="n">
        <v>3337.39</v>
      </c>
      <c r="F5593" s="8" t="n"/>
      <c r="G5593" s="9" t="n">
        <v>0</v>
      </c>
      <c r="H5593" t="inlineStr">
        <is>
          <t>NOT_DUE</t>
        </is>
      </c>
      <c r="I5593">
        <f>IF(H5593="UNPAID", AsOfDate-D5593, 0)</f>
        <v/>
      </c>
      <c r="J5593">
        <f>IF(F5593&lt;&gt;"", TEXT(F5593, "yyyy-mm"), "")</f>
        <v/>
      </c>
    </row>
    <row r="5594">
      <c r="A5594" t="inlineStr">
        <is>
          <t>RP0005593</t>
        </is>
      </c>
      <c r="B5594" t="inlineStr">
        <is>
          <t>LN200799</t>
        </is>
      </c>
      <c r="C5594" t="n">
        <v>1</v>
      </c>
      <c r="D5594" s="8" t="n">
        <v>46115</v>
      </c>
      <c r="E5594" s="9" t="n">
        <v>48780</v>
      </c>
      <c r="F5594" s="8" t="n">
        <v>46118</v>
      </c>
      <c r="G5594" s="9" t="n">
        <v>48780</v>
      </c>
      <c r="H5594" t="inlineStr">
        <is>
          <t>PAID_ON_TIME</t>
        </is>
      </c>
      <c r="I5594">
        <f>IF(H5594="UNPAID", AsOfDate-D5594, 0)</f>
        <v/>
      </c>
      <c r="J5594">
        <f>IF(F5594&lt;&gt;"", TEXT(F5594, "yyyy-mm"), "")</f>
        <v/>
      </c>
    </row>
    <row r="5595">
      <c r="A5595" t="inlineStr">
        <is>
          <t>RP0005594</t>
        </is>
      </c>
      <c r="B5595" t="inlineStr">
        <is>
          <t>LN200799</t>
        </is>
      </c>
      <c r="C5595" t="n">
        <v>2</v>
      </c>
      <c r="D5595" s="8" t="n">
        <v>46145</v>
      </c>
      <c r="E5595" s="9" t="n">
        <v>48780</v>
      </c>
      <c r="F5595" s="8" t="n">
        <v>46148</v>
      </c>
      <c r="G5595" s="9" t="n">
        <v>48780</v>
      </c>
      <c r="H5595" t="inlineStr">
        <is>
          <t>PAID_ON_TIME</t>
        </is>
      </c>
      <c r="I5595">
        <f>IF(H5595="UNPAID", AsOfDate-D5595, 0)</f>
        <v/>
      </c>
      <c r="J5595">
        <f>IF(F5595&lt;&gt;"", TEXT(F5595, "yyyy-mm"), "")</f>
        <v/>
      </c>
    </row>
    <row r="5596">
      <c r="A5596" t="inlineStr">
        <is>
          <t>RP0005595</t>
        </is>
      </c>
      <c r="B5596" t="inlineStr">
        <is>
          <t>LN200799</t>
        </is>
      </c>
      <c r="C5596" t="n">
        <v>3</v>
      </c>
      <c r="D5596" s="8" t="n">
        <v>46176</v>
      </c>
      <c r="E5596" s="9" t="n">
        <v>48780</v>
      </c>
      <c r="F5596" s="8" t="n">
        <v>46177</v>
      </c>
      <c r="G5596" s="9" t="n">
        <v>48780</v>
      </c>
      <c r="H5596" t="inlineStr">
        <is>
          <t>PAID_ON_TIME</t>
        </is>
      </c>
      <c r="I5596">
        <f>IF(H5596="UNPAID", AsOfDate-D5596, 0)</f>
        <v/>
      </c>
      <c r="J5596">
        <f>IF(F5596&lt;&gt;"", TEXT(F5596, "yyyy-mm"), "")</f>
        <v/>
      </c>
    </row>
    <row r="5597">
      <c r="A5597" t="inlineStr">
        <is>
          <t>RP0005596</t>
        </is>
      </c>
      <c r="B5597" t="inlineStr">
        <is>
          <t>LN200799</t>
        </is>
      </c>
      <c r="C5597" t="n">
        <v>4</v>
      </c>
      <c r="D5597" s="8" t="n">
        <v>46206</v>
      </c>
      <c r="E5597" s="9" t="n">
        <v>48780</v>
      </c>
      <c r="F5597" s="8" t="n">
        <v>46209</v>
      </c>
      <c r="G5597" s="9" t="n">
        <v>48780</v>
      </c>
      <c r="H5597" t="inlineStr">
        <is>
          <t>PAID_ON_TIME</t>
        </is>
      </c>
      <c r="I5597">
        <f>IF(H5597="UNPAID", AsOfDate-D5597, 0)</f>
        <v/>
      </c>
      <c r="J5597">
        <f>IF(F5597&lt;&gt;"", TEXT(F5597, "yyyy-mm"), "")</f>
        <v/>
      </c>
    </row>
    <row r="5598">
      <c r="A5598" t="inlineStr">
        <is>
          <t>RP0005597</t>
        </is>
      </c>
      <c r="B5598" t="inlineStr">
        <is>
          <t>LN200799</t>
        </is>
      </c>
      <c r="C5598" t="n">
        <v>5</v>
      </c>
      <c r="D5598" s="8" t="n">
        <v>46237</v>
      </c>
      <c r="E5598" s="9" t="n">
        <v>48780</v>
      </c>
      <c r="F5598" s="8" t="n">
        <v>46238</v>
      </c>
      <c r="G5598" s="9" t="n">
        <v>48780</v>
      </c>
      <c r="H5598" t="inlineStr">
        <is>
          <t>PAID_ON_TIME</t>
        </is>
      </c>
      <c r="I5598">
        <f>IF(H5598="UNPAID", AsOfDate-D5598, 0)</f>
        <v/>
      </c>
      <c r="J5598">
        <f>IF(F5598&lt;&gt;"", TEXT(F5598, "yyyy-mm"), "")</f>
        <v/>
      </c>
    </row>
    <row r="5599">
      <c r="A5599" t="inlineStr">
        <is>
          <t>RP0005598</t>
        </is>
      </c>
      <c r="B5599" t="inlineStr">
        <is>
          <t>LN200799</t>
        </is>
      </c>
      <c r="C5599" t="n">
        <v>6</v>
      </c>
      <c r="D5599" s="8" t="n">
        <v>46268</v>
      </c>
      <c r="E5599" s="9" t="n">
        <v>48780</v>
      </c>
      <c r="F5599" s="8" t="n"/>
      <c r="G5599" s="9" t="n">
        <v>0</v>
      </c>
      <c r="H5599" t="inlineStr">
        <is>
          <t>NOT_DUE</t>
        </is>
      </c>
      <c r="I5599">
        <f>IF(H5599="UNPAID", AsOfDate-D5599, 0)</f>
        <v/>
      </c>
      <c r="J5599">
        <f>IF(F5599&lt;&gt;"", TEXT(F5599, "yyyy-mm"), "")</f>
        <v/>
      </c>
    </row>
    <row r="5600">
      <c r="A5600" t="inlineStr">
        <is>
          <t>RP0005599</t>
        </is>
      </c>
      <c r="B5600" t="inlineStr">
        <is>
          <t>LN200800</t>
        </is>
      </c>
      <c r="C5600" t="n">
        <v>1</v>
      </c>
      <c r="D5600" s="8" t="n">
        <v>45847</v>
      </c>
      <c r="E5600" s="9" t="n">
        <v>12504</v>
      </c>
      <c r="F5600" s="8" t="n">
        <v>45848</v>
      </c>
      <c r="G5600" s="9" t="n">
        <v>12504</v>
      </c>
      <c r="H5600" t="inlineStr">
        <is>
          <t>PAID_ON_TIME</t>
        </is>
      </c>
      <c r="I5600">
        <f>IF(H5600="UNPAID", AsOfDate-D5600, 0)</f>
        <v/>
      </c>
      <c r="J5600">
        <f>IF(F5600&lt;&gt;"", TEXT(F5600, "yyyy-mm"), "")</f>
        <v/>
      </c>
    </row>
    <row r="5601">
      <c r="A5601" t="inlineStr">
        <is>
          <t>RP0005600</t>
        </is>
      </c>
      <c r="B5601" t="inlineStr">
        <is>
          <t>LN200800</t>
        </is>
      </c>
      <c r="C5601" t="n">
        <v>2</v>
      </c>
      <c r="D5601" s="8" t="n">
        <v>45878</v>
      </c>
      <c r="E5601" s="9" t="n">
        <v>12504</v>
      </c>
      <c r="F5601" s="8" t="n">
        <v>45879</v>
      </c>
      <c r="G5601" s="9" t="n">
        <v>12504</v>
      </c>
      <c r="H5601" t="inlineStr">
        <is>
          <t>PAID_ON_TIME</t>
        </is>
      </c>
      <c r="I5601">
        <f>IF(H5601="UNPAID", AsOfDate-D5601, 0)</f>
        <v/>
      </c>
      <c r="J5601">
        <f>IF(F5601&lt;&gt;"", TEXT(F5601, "yyyy-mm"), "")</f>
        <v/>
      </c>
    </row>
    <row r="5602">
      <c r="A5602" t="inlineStr">
        <is>
          <t>RP0005601</t>
        </is>
      </c>
      <c r="B5602" t="inlineStr">
        <is>
          <t>LN200800</t>
        </is>
      </c>
      <c r="C5602" t="n">
        <v>3</v>
      </c>
      <c r="D5602" s="8" t="n">
        <v>45909</v>
      </c>
      <c r="E5602" s="9" t="n">
        <v>12504</v>
      </c>
      <c r="F5602" s="8" t="n">
        <v>45913</v>
      </c>
      <c r="G5602" s="9" t="n">
        <v>12504</v>
      </c>
      <c r="H5602" t="inlineStr">
        <is>
          <t>PAID_ON_TIME</t>
        </is>
      </c>
      <c r="I5602">
        <f>IF(H5602="UNPAID", AsOfDate-D5602, 0)</f>
        <v/>
      </c>
      <c r="J5602">
        <f>IF(F5602&lt;&gt;"", TEXT(F5602, "yyyy-mm"), "")</f>
        <v/>
      </c>
    </row>
    <row r="5603">
      <c r="A5603" t="inlineStr">
        <is>
          <t>RP0005602</t>
        </is>
      </c>
      <c r="B5603" t="inlineStr">
        <is>
          <t>LN200801</t>
        </is>
      </c>
      <c r="C5603" t="n">
        <v>1</v>
      </c>
      <c r="D5603" s="8" t="n">
        <v>45861</v>
      </c>
      <c r="E5603" s="9" t="n">
        <v>29941.17</v>
      </c>
      <c r="F5603" s="8" t="n">
        <v>45860</v>
      </c>
      <c r="G5603" s="9" t="n">
        <v>29941.17</v>
      </c>
      <c r="H5603" t="inlineStr">
        <is>
          <t>PAID_ON_TIME</t>
        </is>
      </c>
      <c r="I5603">
        <f>IF(H5603="UNPAID", AsOfDate-D5603, 0)</f>
        <v/>
      </c>
      <c r="J5603">
        <f>IF(F5603&lt;&gt;"", TEXT(F5603, "yyyy-mm"), "")</f>
        <v/>
      </c>
    </row>
    <row r="5604">
      <c r="A5604" t="inlineStr">
        <is>
          <t>RP0005603</t>
        </is>
      </c>
      <c r="B5604" t="inlineStr">
        <is>
          <t>LN200801</t>
        </is>
      </c>
      <c r="C5604" t="n">
        <v>2</v>
      </c>
      <c r="D5604" s="8" t="n">
        <v>45892</v>
      </c>
      <c r="E5604" s="9" t="n">
        <v>29941.17</v>
      </c>
      <c r="F5604" s="8" t="n">
        <v>45896</v>
      </c>
      <c r="G5604" s="9" t="n">
        <v>29941.17</v>
      </c>
      <c r="H5604" t="inlineStr">
        <is>
          <t>PAID_ON_TIME</t>
        </is>
      </c>
      <c r="I5604">
        <f>IF(H5604="UNPAID", AsOfDate-D5604, 0)</f>
        <v/>
      </c>
      <c r="J5604">
        <f>IF(F5604&lt;&gt;"", TEXT(F5604, "yyyy-mm"), "")</f>
        <v/>
      </c>
    </row>
    <row r="5605">
      <c r="A5605" t="inlineStr">
        <is>
          <t>RP0005604</t>
        </is>
      </c>
      <c r="B5605" t="inlineStr">
        <is>
          <t>LN200801</t>
        </is>
      </c>
      <c r="C5605" t="n">
        <v>3</v>
      </c>
      <c r="D5605" s="8" t="n">
        <v>45923</v>
      </c>
      <c r="E5605" s="9" t="n">
        <v>29941.17</v>
      </c>
      <c r="F5605" s="8" t="n">
        <v>45927</v>
      </c>
      <c r="G5605" s="9" t="n">
        <v>29941.17</v>
      </c>
      <c r="H5605" t="inlineStr">
        <is>
          <t>PAID_ON_TIME</t>
        </is>
      </c>
      <c r="I5605">
        <f>IF(H5605="UNPAID", AsOfDate-D5605, 0)</f>
        <v/>
      </c>
      <c r="J5605">
        <f>IF(F5605&lt;&gt;"", TEXT(F5605, "yyyy-mm"), "")</f>
        <v/>
      </c>
    </row>
    <row r="5606">
      <c r="A5606" t="inlineStr">
        <is>
          <t>RP0005605</t>
        </is>
      </c>
      <c r="B5606" t="inlineStr">
        <is>
          <t>LN200801</t>
        </is>
      </c>
      <c r="C5606" t="n">
        <v>4</v>
      </c>
      <c r="D5606" s="8" t="n">
        <v>45953</v>
      </c>
      <c r="E5606" s="9" t="n">
        <v>29941.17</v>
      </c>
      <c r="F5606" s="8" t="n">
        <v>45952</v>
      </c>
      <c r="G5606" s="9" t="n">
        <v>29941.17</v>
      </c>
      <c r="H5606" t="inlineStr">
        <is>
          <t>PAID_ON_TIME</t>
        </is>
      </c>
      <c r="I5606">
        <f>IF(H5606="UNPAID", AsOfDate-D5606, 0)</f>
        <v/>
      </c>
      <c r="J5606">
        <f>IF(F5606&lt;&gt;"", TEXT(F5606, "yyyy-mm"), "")</f>
        <v/>
      </c>
    </row>
    <row r="5607">
      <c r="A5607" t="inlineStr">
        <is>
          <t>RP0005606</t>
        </is>
      </c>
      <c r="B5607" t="inlineStr">
        <is>
          <t>LN200801</t>
        </is>
      </c>
      <c r="C5607" t="n">
        <v>5</v>
      </c>
      <c r="D5607" s="8" t="n">
        <v>45984</v>
      </c>
      <c r="E5607" s="9" t="n">
        <v>29941.17</v>
      </c>
      <c r="F5607" s="8" t="n">
        <v>45985</v>
      </c>
      <c r="G5607" s="9" t="n">
        <v>29941.17</v>
      </c>
      <c r="H5607" t="inlineStr">
        <is>
          <t>PAID_ON_TIME</t>
        </is>
      </c>
      <c r="I5607">
        <f>IF(H5607="UNPAID", AsOfDate-D5607, 0)</f>
        <v/>
      </c>
      <c r="J5607">
        <f>IF(F5607&lt;&gt;"", TEXT(F5607, "yyyy-mm"), "")</f>
        <v/>
      </c>
    </row>
    <row r="5608">
      <c r="A5608" t="inlineStr">
        <is>
          <t>RP0005607</t>
        </is>
      </c>
      <c r="B5608" t="inlineStr">
        <is>
          <t>LN200801</t>
        </is>
      </c>
      <c r="C5608" t="n">
        <v>6</v>
      </c>
      <c r="D5608" s="8" t="n">
        <v>46014</v>
      </c>
      <c r="E5608" s="9" t="n">
        <v>29941.17</v>
      </c>
      <c r="F5608" s="8" t="n">
        <v>46017</v>
      </c>
      <c r="G5608" s="9" t="n">
        <v>29941.17</v>
      </c>
      <c r="H5608" t="inlineStr">
        <is>
          <t>PAID_ON_TIME</t>
        </is>
      </c>
      <c r="I5608">
        <f>IF(H5608="UNPAID", AsOfDate-D5608, 0)</f>
        <v/>
      </c>
      <c r="J5608">
        <f>IF(F5608&lt;&gt;"", TEXT(F5608, "yyyy-mm"), "")</f>
        <v/>
      </c>
    </row>
    <row r="5609">
      <c r="A5609" t="inlineStr">
        <is>
          <t>RP0005608</t>
        </is>
      </c>
      <c r="B5609" t="inlineStr">
        <is>
          <t>LN200802</t>
        </is>
      </c>
      <c r="C5609" t="n">
        <v>1</v>
      </c>
      <c r="D5609" s="8" t="n">
        <v>45913</v>
      </c>
      <c r="E5609" s="9" t="n">
        <v>12232.56</v>
      </c>
      <c r="F5609" s="8" t="n">
        <v>45914</v>
      </c>
      <c r="G5609" s="9" t="n">
        <v>12232.56</v>
      </c>
      <c r="H5609" t="inlineStr">
        <is>
          <t>PAID_ON_TIME</t>
        </is>
      </c>
      <c r="I5609">
        <f>IF(H5609="UNPAID", AsOfDate-D5609, 0)</f>
        <v/>
      </c>
      <c r="J5609">
        <f>IF(F5609&lt;&gt;"", TEXT(F5609, "yyyy-mm"), "")</f>
        <v/>
      </c>
    </row>
    <row r="5610">
      <c r="A5610" t="inlineStr">
        <is>
          <t>RP0005609</t>
        </is>
      </c>
      <c r="B5610" t="inlineStr">
        <is>
          <t>LN200802</t>
        </is>
      </c>
      <c r="C5610" t="n">
        <v>2</v>
      </c>
      <c r="D5610" s="8" t="n">
        <v>45943</v>
      </c>
      <c r="E5610" s="9" t="n">
        <v>12232.56</v>
      </c>
      <c r="F5610" s="8" t="n">
        <v>45946</v>
      </c>
      <c r="G5610" s="9" t="n">
        <v>12232.56</v>
      </c>
      <c r="H5610" t="inlineStr">
        <is>
          <t>PAID_ON_TIME</t>
        </is>
      </c>
      <c r="I5610">
        <f>IF(H5610="UNPAID", AsOfDate-D5610, 0)</f>
        <v/>
      </c>
      <c r="J5610">
        <f>IF(F5610&lt;&gt;"", TEXT(F5610, "yyyy-mm"), "")</f>
        <v/>
      </c>
    </row>
    <row r="5611">
      <c r="A5611" t="inlineStr">
        <is>
          <t>RP0005610</t>
        </is>
      </c>
      <c r="B5611" t="inlineStr">
        <is>
          <t>LN200802</t>
        </is>
      </c>
      <c r="C5611" t="n">
        <v>3</v>
      </c>
      <c r="D5611" s="8" t="n">
        <v>45974</v>
      </c>
      <c r="E5611" s="9" t="n">
        <v>12232.56</v>
      </c>
      <c r="F5611" s="8" t="n">
        <v>46093</v>
      </c>
      <c r="G5611" s="9" t="n">
        <v>12232.56</v>
      </c>
      <c r="H5611" t="inlineStr">
        <is>
          <t>PAID_LATE</t>
        </is>
      </c>
      <c r="I5611">
        <f>IF(H5611="UNPAID", AsOfDate-D5611, 0)</f>
        <v/>
      </c>
      <c r="J5611">
        <f>IF(F5611&lt;&gt;"", TEXT(F5611, "yyyy-mm"), "")</f>
        <v/>
      </c>
    </row>
    <row r="5612">
      <c r="A5612" t="inlineStr">
        <is>
          <t>RP0005611</t>
        </is>
      </c>
      <c r="B5612" t="inlineStr">
        <is>
          <t>LN200802</t>
        </is>
      </c>
      <c r="C5612" t="n">
        <v>4</v>
      </c>
      <c r="D5612" s="8" t="n">
        <v>46004</v>
      </c>
      <c r="E5612" s="9" t="n">
        <v>12232.56</v>
      </c>
      <c r="F5612" s="8" t="n"/>
      <c r="G5612" s="9" t="n">
        <v>0</v>
      </c>
      <c r="H5612" t="inlineStr">
        <is>
          <t>UNPAID</t>
        </is>
      </c>
      <c r="I5612">
        <f>IF(H5612="UNPAID", AsOfDate-D5612, 0)</f>
        <v/>
      </c>
      <c r="J5612">
        <f>IF(F5612&lt;&gt;"", TEXT(F5612, "yyyy-mm"), "")</f>
        <v/>
      </c>
    </row>
    <row r="5613">
      <c r="A5613" t="inlineStr">
        <is>
          <t>RP0005612</t>
        </is>
      </c>
      <c r="B5613" t="inlineStr">
        <is>
          <t>LN200802</t>
        </is>
      </c>
      <c r="C5613" t="n">
        <v>5</v>
      </c>
      <c r="D5613" s="8" t="n">
        <v>46035</v>
      </c>
      <c r="E5613" s="9" t="n">
        <v>12232.56</v>
      </c>
      <c r="F5613" s="8" t="n">
        <v>46035</v>
      </c>
      <c r="G5613" s="9" t="n">
        <v>12232.56</v>
      </c>
      <c r="H5613" t="inlineStr">
        <is>
          <t>PAID_ON_TIME</t>
        </is>
      </c>
      <c r="I5613">
        <f>IF(H5613="UNPAID", AsOfDate-D5613, 0)</f>
        <v/>
      </c>
      <c r="J5613">
        <f>IF(F5613&lt;&gt;"", TEXT(F5613, "yyyy-mm"), "")</f>
        <v/>
      </c>
    </row>
    <row r="5614">
      <c r="A5614" t="inlineStr">
        <is>
          <t>RP0005613</t>
        </is>
      </c>
      <c r="B5614" t="inlineStr">
        <is>
          <t>LN200802</t>
        </is>
      </c>
      <c r="C5614" t="n">
        <v>6</v>
      </c>
      <c r="D5614" s="8" t="n">
        <v>46066</v>
      </c>
      <c r="E5614" s="9" t="n">
        <v>12232.56</v>
      </c>
      <c r="F5614" s="8" t="n">
        <v>46154</v>
      </c>
      <c r="G5614" s="9" t="n">
        <v>12232.56</v>
      </c>
      <c r="H5614" t="inlineStr">
        <is>
          <t>PAID_LATE</t>
        </is>
      </c>
      <c r="I5614">
        <f>IF(H5614="UNPAID", AsOfDate-D5614, 0)</f>
        <v/>
      </c>
      <c r="J5614">
        <f>IF(F5614&lt;&gt;"", TEXT(F5614, "yyyy-mm"), "")</f>
        <v/>
      </c>
    </row>
    <row r="5615">
      <c r="A5615" t="inlineStr">
        <is>
          <t>RP0005614</t>
        </is>
      </c>
      <c r="B5615" t="inlineStr">
        <is>
          <t>LN200802</t>
        </is>
      </c>
      <c r="C5615" t="n">
        <v>7</v>
      </c>
      <c r="D5615" s="8" t="n">
        <v>46094</v>
      </c>
      <c r="E5615" s="9" t="n">
        <v>12232.56</v>
      </c>
      <c r="F5615" s="8" t="n">
        <v>46097</v>
      </c>
      <c r="G5615" s="9" t="n">
        <v>12232.56</v>
      </c>
      <c r="H5615" t="inlineStr">
        <is>
          <t>PAID_ON_TIME</t>
        </is>
      </c>
      <c r="I5615">
        <f>IF(H5615="UNPAID", AsOfDate-D5615, 0)</f>
        <v/>
      </c>
      <c r="J5615">
        <f>IF(F5615&lt;&gt;"", TEXT(F5615, "yyyy-mm"), "")</f>
        <v/>
      </c>
    </row>
    <row r="5616">
      <c r="A5616" t="inlineStr">
        <is>
          <t>RP0005615</t>
        </is>
      </c>
      <c r="B5616" t="inlineStr">
        <is>
          <t>LN200802</t>
        </is>
      </c>
      <c r="C5616" t="n">
        <v>8</v>
      </c>
      <c r="D5616" s="8" t="n">
        <v>46125</v>
      </c>
      <c r="E5616" s="9" t="n">
        <v>12232.56</v>
      </c>
      <c r="F5616" s="8" t="n">
        <v>46126</v>
      </c>
      <c r="G5616" s="9" t="n">
        <v>12232.56</v>
      </c>
      <c r="H5616" t="inlineStr">
        <is>
          <t>PAID_ON_TIME</t>
        </is>
      </c>
      <c r="I5616">
        <f>IF(H5616="UNPAID", AsOfDate-D5616, 0)</f>
        <v/>
      </c>
      <c r="J5616">
        <f>IF(F5616&lt;&gt;"", TEXT(F5616, "yyyy-mm"), "")</f>
        <v/>
      </c>
    </row>
    <row r="5617">
      <c r="A5617" t="inlineStr">
        <is>
          <t>RP0005616</t>
        </is>
      </c>
      <c r="B5617" t="inlineStr">
        <is>
          <t>LN200802</t>
        </is>
      </c>
      <c r="C5617" t="n">
        <v>9</v>
      </c>
      <c r="D5617" s="8" t="n">
        <v>46155</v>
      </c>
      <c r="E5617" s="9" t="n">
        <v>12232.56</v>
      </c>
      <c r="F5617" s="8" t="n">
        <v>46154</v>
      </c>
      <c r="G5617" s="9" t="n">
        <v>12232.56</v>
      </c>
      <c r="H5617" t="inlineStr">
        <is>
          <t>PAID_ON_TIME</t>
        </is>
      </c>
      <c r="I5617">
        <f>IF(H5617="UNPAID", AsOfDate-D5617, 0)</f>
        <v/>
      </c>
      <c r="J5617">
        <f>IF(F5617&lt;&gt;"", TEXT(F5617, "yyyy-mm"), "")</f>
        <v/>
      </c>
    </row>
    <row r="5618">
      <c r="A5618" t="inlineStr">
        <is>
          <t>RP0005617</t>
        </is>
      </c>
      <c r="B5618" t="inlineStr">
        <is>
          <t>LN200802</t>
        </is>
      </c>
      <c r="C5618" t="n">
        <v>10</v>
      </c>
      <c r="D5618" s="8" t="n">
        <v>46186</v>
      </c>
      <c r="E5618" s="9" t="n">
        <v>12232.56</v>
      </c>
      <c r="F5618" s="8" t="n">
        <v>46184</v>
      </c>
      <c r="G5618" s="9" t="n">
        <v>12232.56</v>
      </c>
      <c r="H5618" t="inlineStr">
        <is>
          <t>PAID_ON_TIME</t>
        </is>
      </c>
      <c r="I5618">
        <f>IF(H5618="UNPAID", AsOfDate-D5618, 0)</f>
        <v/>
      </c>
      <c r="J5618">
        <f>IF(F5618&lt;&gt;"", TEXT(F5618, "yyyy-mm"), "")</f>
        <v/>
      </c>
    </row>
    <row r="5619">
      <c r="A5619" t="inlineStr">
        <is>
          <t>RP0005618</t>
        </is>
      </c>
      <c r="B5619" t="inlineStr">
        <is>
          <t>LN200802</t>
        </is>
      </c>
      <c r="C5619" t="n">
        <v>11</v>
      </c>
      <c r="D5619" s="8" t="n">
        <v>46216</v>
      </c>
      <c r="E5619" s="9" t="n">
        <v>12232.56</v>
      </c>
      <c r="F5619" s="8" t="n">
        <v>46215</v>
      </c>
      <c r="G5619" s="9" t="n">
        <v>12232.56</v>
      </c>
      <c r="H5619" t="inlineStr">
        <is>
          <t>PAID_ON_TIME</t>
        </is>
      </c>
      <c r="I5619">
        <f>IF(H5619="UNPAID", AsOfDate-D5619, 0)</f>
        <v/>
      </c>
      <c r="J5619">
        <f>IF(F5619&lt;&gt;"", TEXT(F5619, "yyyy-mm"), "")</f>
        <v/>
      </c>
    </row>
    <row r="5620">
      <c r="A5620" t="inlineStr">
        <is>
          <t>RP0005619</t>
        </is>
      </c>
      <c r="B5620" t="inlineStr">
        <is>
          <t>LN200802</t>
        </is>
      </c>
      <c r="C5620" t="n">
        <v>12</v>
      </c>
      <c r="D5620" s="8" t="n">
        <v>46247</v>
      </c>
      <c r="E5620" s="9" t="n">
        <v>12232.56</v>
      </c>
      <c r="F5620" s="8" t="n">
        <v>46248</v>
      </c>
      <c r="G5620" s="9" t="n">
        <v>12232.56</v>
      </c>
      <c r="H5620" t="inlineStr">
        <is>
          <t>PAID_ON_TIME</t>
        </is>
      </c>
      <c r="I5620">
        <f>IF(H5620="UNPAID", AsOfDate-D5620, 0)</f>
        <v/>
      </c>
      <c r="J5620">
        <f>IF(F5620&lt;&gt;"", TEXT(F5620, "yyyy-mm"), "")</f>
        <v/>
      </c>
    </row>
    <row r="5621">
      <c r="A5621" t="inlineStr">
        <is>
          <t>RP0005620</t>
        </is>
      </c>
      <c r="B5621" t="inlineStr">
        <is>
          <t>LN200802</t>
        </is>
      </c>
      <c r="C5621" t="n">
        <v>13</v>
      </c>
      <c r="D5621" s="8" t="n">
        <v>46278</v>
      </c>
      <c r="E5621" s="9" t="n">
        <v>12232.56</v>
      </c>
      <c r="F5621" s="8" t="n"/>
      <c r="G5621" s="9" t="n">
        <v>0</v>
      </c>
      <c r="H5621" t="inlineStr">
        <is>
          <t>NOT_DUE</t>
        </is>
      </c>
      <c r="I5621">
        <f>IF(H5621="UNPAID", AsOfDate-D5621, 0)</f>
        <v/>
      </c>
      <c r="J5621">
        <f>IF(F5621&lt;&gt;"", TEXT(F5621, "yyyy-mm"), "")</f>
        <v/>
      </c>
    </row>
    <row r="5622">
      <c r="A5622" t="inlineStr">
        <is>
          <t>RP0005621</t>
        </is>
      </c>
      <c r="B5622" t="inlineStr">
        <is>
          <t>LN200802</t>
        </is>
      </c>
      <c r="C5622" t="n">
        <v>14</v>
      </c>
      <c r="D5622" s="8" t="n">
        <v>46308</v>
      </c>
      <c r="E5622" s="9" t="n">
        <v>12232.56</v>
      </c>
      <c r="F5622" s="8" t="n"/>
      <c r="G5622" s="9" t="n">
        <v>0</v>
      </c>
      <c r="H5622" t="inlineStr">
        <is>
          <t>NOT_DUE</t>
        </is>
      </c>
      <c r="I5622">
        <f>IF(H5622="UNPAID", AsOfDate-D5622, 0)</f>
        <v/>
      </c>
      <c r="J5622">
        <f>IF(F5622&lt;&gt;"", TEXT(F5622, "yyyy-mm"), "")</f>
        <v/>
      </c>
    </row>
    <row r="5623">
      <c r="A5623" t="inlineStr">
        <is>
          <t>RP0005622</t>
        </is>
      </c>
      <c r="B5623" t="inlineStr">
        <is>
          <t>LN200802</t>
        </is>
      </c>
      <c r="C5623" t="n">
        <v>15</v>
      </c>
      <c r="D5623" s="8" t="n">
        <v>46339</v>
      </c>
      <c r="E5623" s="9" t="n">
        <v>12232.56</v>
      </c>
      <c r="F5623" s="8" t="n"/>
      <c r="G5623" s="9" t="n">
        <v>0</v>
      </c>
      <c r="H5623" t="inlineStr">
        <is>
          <t>NOT_DUE</t>
        </is>
      </c>
      <c r="I5623">
        <f>IF(H5623="UNPAID", AsOfDate-D5623, 0)</f>
        <v/>
      </c>
      <c r="J5623">
        <f>IF(F5623&lt;&gt;"", TEXT(F5623, "yyyy-mm"), "")</f>
        <v/>
      </c>
    </row>
    <row r="5624">
      <c r="A5624" t="inlineStr">
        <is>
          <t>RP0005623</t>
        </is>
      </c>
      <c r="B5624" t="inlineStr">
        <is>
          <t>LN200802</t>
        </is>
      </c>
      <c r="C5624" t="n">
        <v>16</v>
      </c>
      <c r="D5624" s="8" t="n">
        <v>46369</v>
      </c>
      <c r="E5624" s="9" t="n">
        <v>12232.56</v>
      </c>
      <c r="F5624" s="8" t="n"/>
      <c r="G5624" s="9" t="n">
        <v>0</v>
      </c>
      <c r="H5624" t="inlineStr">
        <is>
          <t>NOT_DUE</t>
        </is>
      </c>
      <c r="I5624">
        <f>IF(H5624="UNPAID", AsOfDate-D5624, 0)</f>
        <v/>
      </c>
      <c r="J5624">
        <f>IF(F5624&lt;&gt;"", TEXT(F5624, "yyyy-mm"), "")</f>
        <v/>
      </c>
    </row>
    <row r="5625">
      <c r="A5625" t="inlineStr">
        <is>
          <t>RP0005624</t>
        </is>
      </c>
      <c r="B5625" t="inlineStr">
        <is>
          <t>LN200802</t>
        </is>
      </c>
      <c r="C5625" t="n">
        <v>17</v>
      </c>
      <c r="D5625" s="8" t="n">
        <v>46400</v>
      </c>
      <c r="E5625" s="9" t="n">
        <v>12232.56</v>
      </c>
      <c r="F5625" s="8" t="n"/>
      <c r="G5625" s="9" t="n">
        <v>0</v>
      </c>
      <c r="H5625" t="inlineStr">
        <is>
          <t>NOT_DUE</t>
        </is>
      </c>
      <c r="I5625">
        <f>IF(H5625="UNPAID", AsOfDate-D5625, 0)</f>
        <v/>
      </c>
      <c r="J5625">
        <f>IF(F5625&lt;&gt;"", TEXT(F5625, "yyyy-mm"), "")</f>
        <v/>
      </c>
    </row>
    <row r="5626">
      <c r="A5626" t="inlineStr">
        <is>
          <t>RP0005625</t>
        </is>
      </c>
      <c r="B5626" t="inlineStr">
        <is>
          <t>LN200802</t>
        </is>
      </c>
      <c r="C5626" t="n">
        <v>18</v>
      </c>
      <c r="D5626" s="8" t="n">
        <v>46431</v>
      </c>
      <c r="E5626" s="9" t="n">
        <v>12232.56</v>
      </c>
      <c r="F5626" s="8" t="n"/>
      <c r="G5626" s="9" t="n">
        <v>0</v>
      </c>
      <c r="H5626" t="inlineStr">
        <is>
          <t>NOT_DUE</t>
        </is>
      </c>
      <c r="I5626">
        <f>IF(H5626="UNPAID", AsOfDate-D5626, 0)</f>
        <v/>
      </c>
      <c r="J5626">
        <f>IF(F5626&lt;&gt;"", TEXT(F5626, "yyyy-mm"), "")</f>
        <v/>
      </c>
    </row>
    <row r="5627">
      <c r="A5627" t="inlineStr">
        <is>
          <t>RP0005626</t>
        </is>
      </c>
      <c r="B5627" t="inlineStr">
        <is>
          <t>LN200803</t>
        </is>
      </c>
      <c r="C5627" t="n">
        <v>1</v>
      </c>
      <c r="D5627" s="8" t="n">
        <v>46113</v>
      </c>
      <c r="E5627" s="9" t="n">
        <v>32930</v>
      </c>
      <c r="F5627" s="8" t="n">
        <v>46117</v>
      </c>
      <c r="G5627" s="9" t="n">
        <v>32930</v>
      </c>
      <c r="H5627" t="inlineStr">
        <is>
          <t>PAID_ON_TIME</t>
        </is>
      </c>
      <c r="I5627">
        <f>IF(H5627="UNPAID", AsOfDate-D5627, 0)</f>
        <v/>
      </c>
      <c r="J5627">
        <f>IF(F5627&lt;&gt;"", TEXT(F5627, "yyyy-mm"), "")</f>
        <v/>
      </c>
    </row>
    <row r="5628">
      <c r="A5628" t="inlineStr">
        <is>
          <t>RP0005627</t>
        </is>
      </c>
      <c r="B5628" t="inlineStr">
        <is>
          <t>LN200803</t>
        </is>
      </c>
      <c r="C5628" t="n">
        <v>2</v>
      </c>
      <c r="D5628" s="8" t="n">
        <v>46143</v>
      </c>
      <c r="E5628" s="9" t="n">
        <v>32930</v>
      </c>
      <c r="F5628" s="8" t="n">
        <v>46146</v>
      </c>
      <c r="G5628" s="9" t="n">
        <v>32930</v>
      </c>
      <c r="H5628" t="inlineStr">
        <is>
          <t>PAID_ON_TIME</t>
        </is>
      </c>
      <c r="I5628">
        <f>IF(H5628="UNPAID", AsOfDate-D5628, 0)</f>
        <v/>
      </c>
      <c r="J5628">
        <f>IF(F5628&lt;&gt;"", TEXT(F5628, "yyyy-mm"), "")</f>
        <v/>
      </c>
    </row>
    <row r="5629">
      <c r="A5629" t="inlineStr">
        <is>
          <t>RP0005628</t>
        </is>
      </c>
      <c r="B5629" t="inlineStr">
        <is>
          <t>LN200803</t>
        </is>
      </c>
      <c r="C5629" t="n">
        <v>3</v>
      </c>
      <c r="D5629" s="8" t="n">
        <v>46174</v>
      </c>
      <c r="E5629" s="9" t="n">
        <v>32930</v>
      </c>
      <c r="F5629" s="8" t="n">
        <v>46234</v>
      </c>
      <c r="G5629" s="9" t="n">
        <v>32930</v>
      </c>
      <c r="H5629" t="inlineStr">
        <is>
          <t>PAID_LATE</t>
        </is>
      </c>
      <c r="I5629">
        <f>IF(H5629="UNPAID", AsOfDate-D5629, 0)</f>
        <v/>
      </c>
      <c r="J5629">
        <f>IF(F5629&lt;&gt;"", TEXT(F5629, "yyyy-mm"), "")</f>
        <v/>
      </c>
    </row>
    <row r="5630">
      <c r="A5630" t="inlineStr">
        <is>
          <t>RP0005629</t>
        </is>
      </c>
      <c r="B5630" t="inlineStr">
        <is>
          <t>LN200803</t>
        </is>
      </c>
      <c r="C5630" t="n">
        <v>4</v>
      </c>
      <c r="D5630" s="8" t="n">
        <v>46204</v>
      </c>
      <c r="E5630" s="9" t="n">
        <v>32930</v>
      </c>
      <c r="F5630" s="8" t="n">
        <v>46206</v>
      </c>
      <c r="G5630" s="9" t="n">
        <v>32930</v>
      </c>
      <c r="H5630" t="inlineStr">
        <is>
          <t>PAID_ON_TIME</t>
        </is>
      </c>
      <c r="I5630">
        <f>IF(H5630="UNPAID", AsOfDate-D5630, 0)</f>
        <v/>
      </c>
      <c r="J5630">
        <f>IF(F5630&lt;&gt;"", TEXT(F5630, "yyyy-mm"), "")</f>
        <v/>
      </c>
    </row>
    <row r="5631">
      <c r="A5631" t="inlineStr">
        <is>
          <t>RP0005630</t>
        </is>
      </c>
      <c r="B5631" t="inlineStr">
        <is>
          <t>LN200803</t>
        </is>
      </c>
      <c r="C5631" t="n">
        <v>5</v>
      </c>
      <c r="D5631" s="8" t="n">
        <v>46235</v>
      </c>
      <c r="E5631" s="9" t="n">
        <v>32930</v>
      </c>
      <c r="F5631" s="8" t="n">
        <v>46236</v>
      </c>
      <c r="G5631" s="9" t="n">
        <v>32930</v>
      </c>
      <c r="H5631" t="inlineStr">
        <is>
          <t>PAID_ON_TIME</t>
        </is>
      </c>
      <c r="I5631">
        <f>IF(H5631="UNPAID", AsOfDate-D5631, 0)</f>
        <v/>
      </c>
      <c r="J5631">
        <f>IF(F5631&lt;&gt;"", TEXT(F5631, "yyyy-mm"), "")</f>
        <v/>
      </c>
    </row>
    <row r="5632">
      <c r="A5632" t="inlineStr">
        <is>
          <t>RP0005631</t>
        </is>
      </c>
      <c r="B5632" t="inlineStr">
        <is>
          <t>LN200803</t>
        </is>
      </c>
      <c r="C5632" t="n">
        <v>6</v>
      </c>
      <c r="D5632" s="8" t="n">
        <v>46266</v>
      </c>
      <c r="E5632" s="9" t="n">
        <v>32930</v>
      </c>
      <c r="F5632" s="8" t="n">
        <v>46266</v>
      </c>
      <c r="G5632" s="9" t="n">
        <v>32930</v>
      </c>
      <c r="H5632" t="inlineStr">
        <is>
          <t>PAID_ON_TIME</t>
        </is>
      </c>
      <c r="I5632">
        <f>IF(H5632="UNPAID", AsOfDate-D5632, 0)</f>
        <v/>
      </c>
      <c r="J5632">
        <f>IF(F5632&lt;&gt;"", TEXT(F5632, "yyyy-mm"), "")</f>
        <v/>
      </c>
    </row>
    <row r="5633">
      <c r="A5633" t="inlineStr">
        <is>
          <t>RP0005632</t>
        </is>
      </c>
      <c r="B5633" t="inlineStr">
        <is>
          <t>LN200804</t>
        </is>
      </c>
      <c r="C5633" t="n">
        <v>1</v>
      </c>
      <c r="D5633" s="8" t="n">
        <v>45701</v>
      </c>
      <c r="E5633" s="9" t="n">
        <v>36635</v>
      </c>
      <c r="F5633" s="8" t="n">
        <v>45698</v>
      </c>
      <c r="G5633" s="9" t="n">
        <v>36635</v>
      </c>
      <c r="H5633" t="inlineStr">
        <is>
          <t>PAID_ON_TIME</t>
        </is>
      </c>
      <c r="I5633">
        <f>IF(H5633="UNPAID", AsOfDate-D5633, 0)</f>
        <v/>
      </c>
      <c r="J5633">
        <f>IF(F5633&lt;&gt;"", TEXT(F5633, "yyyy-mm"), "")</f>
        <v/>
      </c>
    </row>
    <row r="5634">
      <c r="A5634" t="inlineStr">
        <is>
          <t>RP0005633</t>
        </is>
      </c>
      <c r="B5634" t="inlineStr">
        <is>
          <t>LN200804</t>
        </is>
      </c>
      <c r="C5634" t="n">
        <v>2</v>
      </c>
      <c r="D5634" s="8" t="n">
        <v>45729</v>
      </c>
      <c r="E5634" s="9" t="n">
        <v>36635</v>
      </c>
      <c r="F5634" s="8" t="n">
        <v>45726</v>
      </c>
      <c r="G5634" s="9" t="n">
        <v>36635</v>
      </c>
      <c r="H5634" t="inlineStr">
        <is>
          <t>PAID_ON_TIME</t>
        </is>
      </c>
      <c r="I5634">
        <f>IF(H5634="UNPAID", AsOfDate-D5634, 0)</f>
        <v/>
      </c>
      <c r="J5634">
        <f>IF(F5634&lt;&gt;"", TEXT(F5634, "yyyy-mm"), "")</f>
        <v/>
      </c>
    </row>
    <row r="5635">
      <c r="A5635" t="inlineStr">
        <is>
          <t>RP0005634</t>
        </is>
      </c>
      <c r="B5635" t="inlineStr">
        <is>
          <t>LN200804</t>
        </is>
      </c>
      <c r="C5635" t="n">
        <v>3</v>
      </c>
      <c r="D5635" s="8" t="n">
        <v>45760</v>
      </c>
      <c r="E5635" s="9" t="n">
        <v>36635</v>
      </c>
      <c r="F5635" s="8" t="n">
        <v>45757</v>
      </c>
      <c r="G5635" s="9" t="n">
        <v>36635</v>
      </c>
      <c r="H5635" t="inlineStr">
        <is>
          <t>PAID_ON_TIME</t>
        </is>
      </c>
      <c r="I5635">
        <f>IF(H5635="UNPAID", AsOfDate-D5635, 0)</f>
        <v/>
      </c>
      <c r="J5635">
        <f>IF(F5635&lt;&gt;"", TEXT(F5635, "yyyy-mm"), "")</f>
        <v/>
      </c>
    </row>
    <row r="5636">
      <c r="A5636" t="inlineStr">
        <is>
          <t>RP0005635</t>
        </is>
      </c>
      <c r="B5636" t="inlineStr">
        <is>
          <t>LN200804</t>
        </is>
      </c>
      <c r="C5636" t="n">
        <v>4</v>
      </c>
      <c r="D5636" s="8" t="n">
        <v>45790</v>
      </c>
      <c r="E5636" s="9" t="n">
        <v>36635</v>
      </c>
      <c r="F5636" s="8" t="n">
        <v>45868</v>
      </c>
      <c r="G5636" s="9" t="n">
        <v>36635</v>
      </c>
      <c r="H5636" t="inlineStr">
        <is>
          <t>PAID_LATE</t>
        </is>
      </c>
      <c r="I5636">
        <f>IF(H5636="UNPAID", AsOfDate-D5636, 0)</f>
        <v/>
      </c>
      <c r="J5636">
        <f>IF(F5636&lt;&gt;"", TEXT(F5636, "yyyy-mm"), "")</f>
        <v/>
      </c>
    </row>
    <row r="5637">
      <c r="A5637" t="inlineStr">
        <is>
          <t>RP0005636</t>
        </is>
      </c>
      <c r="B5637" t="inlineStr">
        <is>
          <t>LN200804</t>
        </is>
      </c>
      <c r="C5637" t="n">
        <v>5</v>
      </c>
      <c r="D5637" s="8" t="n">
        <v>45821</v>
      </c>
      <c r="E5637" s="9" t="n">
        <v>36635</v>
      </c>
      <c r="F5637" s="8" t="n">
        <v>45874</v>
      </c>
      <c r="G5637" s="9" t="n">
        <v>36635</v>
      </c>
      <c r="H5637" t="inlineStr">
        <is>
          <t>PAID_LATE</t>
        </is>
      </c>
      <c r="I5637">
        <f>IF(H5637="UNPAID", AsOfDate-D5637, 0)</f>
        <v/>
      </c>
      <c r="J5637">
        <f>IF(F5637&lt;&gt;"", TEXT(F5637, "yyyy-mm"), "")</f>
        <v/>
      </c>
    </row>
    <row r="5638">
      <c r="A5638" t="inlineStr">
        <is>
          <t>RP0005637</t>
        </is>
      </c>
      <c r="B5638" t="inlineStr">
        <is>
          <t>LN200804</t>
        </is>
      </c>
      <c r="C5638" t="n">
        <v>6</v>
      </c>
      <c r="D5638" s="8" t="n">
        <v>45851</v>
      </c>
      <c r="E5638" s="9" t="n">
        <v>36635</v>
      </c>
      <c r="F5638" s="8" t="n">
        <v>45853</v>
      </c>
      <c r="G5638" s="9" t="n">
        <v>36635</v>
      </c>
      <c r="H5638" t="inlineStr">
        <is>
          <t>PAID_ON_TIME</t>
        </is>
      </c>
      <c r="I5638">
        <f>IF(H5638="UNPAID", AsOfDate-D5638, 0)</f>
        <v/>
      </c>
      <c r="J5638">
        <f>IF(F5638&lt;&gt;"", TEXT(F5638, "yyyy-mm"), "")</f>
        <v/>
      </c>
    </row>
    <row r="5639">
      <c r="A5639" t="inlineStr">
        <is>
          <t>RP0005638</t>
        </is>
      </c>
      <c r="B5639" t="inlineStr">
        <is>
          <t>LN200805</t>
        </is>
      </c>
      <c r="C5639" t="n">
        <v>1</v>
      </c>
      <c r="D5639" s="8" t="n">
        <v>46100</v>
      </c>
      <c r="E5639" s="9" t="n">
        <v>14517.28</v>
      </c>
      <c r="F5639" s="8" t="n">
        <v>46156</v>
      </c>
      <c r="G5639" s="9" t="n">
        <v>14517.28</v>
      </c>
      <c r="H5639" t="inlineStr">
        <is>
          <t>PAID_LATE</t>
        </is>
      </c>
      <c r="I5639">
        <f>IF(H5639="UNPAID", AsOfDate-D5639, 0)</f>
        <v/>
      </c>
      <c r="J5639">
        <f>IF(F5639&lt;&gt;"", TEXT(F5639, "yyyy-mm"), "")</f>
        <v/>
      </c>
    </row>
    <row r="5640">
      <c r="A5640" t="inlineStr">
        <is>
          <t>RP0005639</t>
        </is>
      </c>
      <c r="B5640" t="inlineStr">
        <is>
          <t>LN200805</t>
        </is>
      </c>
      <c r="C5640" t="n">
        <v>2</v>
      </c>
      <c r="D5640" s="8" t="n">
        <v>46131</v>
      </c>
      <c r="E5640" s="9" t="n">
        <v>14517.28</v>
      </c>
      <c r="F5640" s="8" t="n">
        <v>46128</v>
      </c>
      <c r="G5640" s="9" t="n">
        <v>14517.28</v>
      </c>
      <c r="H5640" t="inlineStr">
        <is>
          <t>PAID_ON_TIME</t>
        </is>
      </c>
      <c r="I5640">
        <f>IF(H5640="UNPAID", AsOfDate-D5640, 0)</f>
        <v/>
      </c>
      <c r="J5640">
        <f>IF(F5640&lt;&gt;"", TEXT(F5640, "yyyy-mm"), "")</f>
        <v/>
      </c>
    </row>
    <row r="5641">
      <c r="A5641" t="inlineStr">
        <is>
          <t>RP0005640</t>
        </is>
      </c>
      <c r="B5641" t="inlineStr">
        <is>
          <t>LN200805</t>
        </is>
      </c>
      <c r="C5641" t="n">
        <v>3</v>
      </c>
      <c r="D5641" s="8" t="n">
        <v>46161</v>
      </c>
      <c r="E5641" s="9" t="n">
        <v>14517.28</v>
      </c>
      <c r="F5641" s="8" t="n">
        <v>46162</v>
      </c>
      <c r="G5641" s="9" t="n">
        <v>14517.28</v>
      </c>
      <c r="H5641" t="inlineStr">
        <is>
          <t>PAID_ON_TIME</t>
        </is>
      </c>
      <c r="I5641">
        <f>IF(H5641="UNPAID", AsOfDate-D5641, 0)</f>
        <v/>
      </c>
      <c r="J5641">
        <f>IF(F5641&lt;&gt;"", TEXT(F5641, "yyyy-mm"), "")</f>
        <v/>
      </c>
    </row>
    <row r="5642">
      <c r="A5642" t="inlineStr">
        <is>
          <t>RP0005641</t>
        </is>
      </c>
      <c r="B5642" t="inlineStr">
        <is>
          <t>LN200805</t>
        </is>
      </c>
      <c r="C5642" t="n">
        <v>4</v>
      </c>
      <c r="D5642" s="8" t="n">
        <v>46192</v>
      </c>
      <c r="E5642" s="9" t="n">
        <v>14517.28</v>
      </c>
      <c r="F5642" s="8" t="n">
        <v>46250</v>
      </c>
      <c r="G5642" s="9" t="n">
        <v>14517.28</v>
      </c>
      <c r="H5642" t="inlineStr">
        <is>
          <t>PAID_LATE</t>
        </is>
      </c>
      <c r="I5642">
        <f>IF(H5642="UNPAID", AsOfDate-D5642, 0)</f>
        <v/>
      </c>
      <c r="J5642">
        <f>IF(F5642&lt;&gt;"", TEXT(F5642, "yyyy-mm"), "")</f>
        <v/>
      </c>
    </row>
    <row r="5643">
      <c r="A5643" t="inlineStr">
        <is>
          <t>RP0005642</t>
        </is>
      </c>
      <c r="B5643" t="inlineStr">
        <is>
          <t>LN200805</t>
        </is>
      </c>
      <c r="C5643" t="n">
        <v>5</v>
      </c>
      <c r="D5643" s="8" t="n">
        <v>46222</v>
      </c>
      <c r="E5643" s="9" t="n">
        <v>14517.28</v>
      </c>
      <c r="F5643" s="8" t="n">
        <v>46265</v>
      </c>
      <c r="G5643" s="9" t="n">
        <v>14517.28</v>
      </c>
      <c r="H5643" t="inlineStr">
        <is>
          <t>PAID_LATE</t>
        </is>
      </c>
      <c r="I5643">
        <f>IF(H5643="UNPAID", AsOfDate-D5643, 0)</f>
        <v/>
      </c>
      <c r="J5643">
        <f>IF(F5643&lt;&gt;"", TEXT(F5643, "yyyy-mm"), "")</f>
        <v/>
      </c>
    </row>
    <row r="5644">
      <c r="A5644" t="inlineStr">
        <is>
          <t>RP0005643</t>
        </is>
      </c>
      <c r="B5644" t="inlineStr">
        <is>
          <t>LN200805</t>
        </is>
      </c>
      <c r="C5644" t="n">
        <v>6</v>
      </c>
      <c r="D5644" s="8" t="n">
        <v>46253</v>
      </c>
      <c r="E5644" s="9" t="n">
        <v>14517.28</v>
      </c>
      <c r="F5644" s="8" t="n">
        <v>46255</v>
      </c>
      <c r="G5644" s="9" t="n">
        <v>14517.28</v>
      </c>
      <c r="H5644" t="inlineStr">
        <is>
          <t>PAID_ON_TIME</t>
        </is>
      </c>
      <c r="I5644">
        <f>IF(H5644="UNPAID", AsOfDate-D5644, 0)</f>
        <v/>
      </c>
      <c r="J5644">
        <f>IF(F5644&lt;&gt;"", TEXT(F5644, "yyyy-mm"), "")</f>
        <v/>
      </c>
    </row>
    <row r="5645">
      <c r="A5645" t="inlineStr">
        <is>
          <t>RP0005644</t>
        </is>
      </c>
      <c r="B5645" t="inlineStr">
        <is>
          <t>LN200805</t>
        </is>
      </c>
      <c r="C5645" t="n">
        <v>7</v>
      </c>
      <c r="D5645" s="8" t="n">
        <v>46284</v>
      </c>
      <c r="E5645" s="9" t="n">
        <v>14517.28</v>
      </c>
      <c r="F5645" s="8" t="n"/>
      <c r="G5645" s="9" t="n">
        <v>0</v>
      </c>
      <c r="H5645" t="inlineStr">
        <is>
          <t>NOT_DUE</t>
        </is>
      </c>
      <c r="I5645">
        <f>IF(H5645="UNPAID", AsOfDate-D5645, 0)</f>
        <v/>
      </c>
      <c r="J5645">
        <f>IF(F5645&lt;&gt;"", TEXT(F5645, "yyyy-mm"), "")</f>
        <v/>
      </c>
    </row>
    <row r="5646">
      <c r="A5646" t="inlineStr">
        <is>
          <t>RP0005645</t>
        </is>
      </c>
      <c r="B5646" t="inlineStr">
        <is>
          <t>LN200805</t>
        </is>
      </c>
      <c r="C5646" t="n">
        <v>8</v>
      </c>
      <c r="D5646" s="8" t="n">
        <v>46314</v>
      </c>
      <c r="E5646" s="9" t="n">
        <v>14517.28</v>
      </c>
      <c r="F5646" s="8" t="n"/>
      <c r="G5646" s="9" t="n">
        <v>0</v>
      </c>
      <c r="H5646" t="inlineStr">
        <is>
          <t>NOT_DUE</t>
        </is>
      </c>
      <c r="I5646">
        <f>IF(H5646="UNPAID", AsOfDate-D5646, 0)</f>
        <v/>
      </c>
      <c r="J5646">
        <f>IF(F5646&lt;&gt;"", TEXT(F5646, "yyyy-mm"), "")</f>
        <v/>
      </c>
    </row>
    <row r="5647">
      <c r="A5647" t="inlineStr">
        <is>
          <t>RP0005646</t>
        </is>
      </c>
      <c r="B5647" t="inlineStr">
        <is>
          <t>LN200805</t>
        </is>
      </c>
      <c r="C5647" t="n">
        <v>9</v>
      </c>
      <c r="D5647" s="8" t="n">
        <v>46345</v>
      </c>
      <c r="E5647" s="9" t="n">
        <v>14517.28</v>
      </c>
      <c r="F5647" s="8" t="n"/>
      <c r="G5647" s="9" t="n">
        <v>0</v>
      </c>
      <c r="H5647" t="inlineStr">
        <is>
          <t>NOT_DUE</t>
        </is>
      </c>
      <c r="I5647">
        <f>IF(H5647="UNPAID", AsOfDate-D5647, 0)</f>
        <v/>
      </c>
      <c r="J5647">
        <f>IF(F5647&lt;&gt;"", TEXT(F5647, "yyyy-mm"), "")</f>
        <v/>
      </c>
    </row>
    <row r="5648">
      <c r="A5648" t="inlineStr">
        <is>
          <t>RP0005647</t>
        </is>
      </c>
      <c r="B5648" t="inlineStr">
        <is>
          <t>LN200806</t>
        </is>
      </c>
      <c r="C5648" t="n">
        <v>1</v>
      </c>
      <c r="D5648" s="8" t="n">
        <v>45763</v>
      </c>
      <c r="E5648" s="9" t="n">
        <v>1849.31</v>
      </c>
      <c r="F5648" s="8" t="n">
        <v>45863</v>
      </c>
      <c r="G5648" s="9" t="n">
        <v>1849.31</v>
      </c>
      <c r="H5648" t="inlineStr">
        <is>
          <t>PAID_LATE</t>
        </is>
      </c>
      <c r="I5648">
        <f>IF(H5648="UNPAID", AsOfDate-D5648, 0)</f>
        <v/>
      </c>
      <c r="J5648">
        <f>IF(F5648&lt;&gt;"", TEXT(F5648, "yyyy-mm"), "")</f>
        <v/>
      </c>
    </row>
    <row r="5649">
      <c r="A5649" t="inlineStr">
        <is>
          <t>RP0005648</t>
        </is>
      </c>
      <c r="B5649" t="inlineStr">
        <is>
          <t>LN200806</t>
        </is>
      </c>
      <c r="C5649" t="n">
        <v>2</v>
      </c>
      <c r="D5649" s="8" t="n">
        <v>45793</v>
      </c>
      <c r="E5649" s="9" t="n">
        <v>1849.31</v>
      </c>
      <c r="F5649" s="8" t="n">
        <v>45831</v>
      </c>
      <c r="G5649" s="9" t="n">
        <v>1849.31</v>
      </c>
      <c r="H5649" t="inlineStr">
        <is>
          <t>PAID_LATE</t>
        </is>
      </c>
      <c r="I5649">
        <f>IF(H5649="UNPAID", AsOfDate-D5649, 0)</f>
        <v/>
      </c>
      <c r="J5649">
        <f>IF(F5649&lt;&gt;"", TEXT(F5649, "yyyy-mm"), "")</f>
        <v/>
      </c>
    </row>
    <row r="5650">
      <c r="A5650" t="inlineStr">
        <is>
          <t>RP0005649</t>
        </is>
      </c>
      <c r="B5650" t="inlineStr">
        <is>
          <t>LN200806</t>
        </is>
      </c>
      <c r="C5650" t="n">
        <v>3</v>
      </c>
      <c r="D5650" s="8" t="n">
        <v>45824</v>
      </c>
      <c r="E5650" s="9" t="n">
        <v>1849.31</v>
      </c>
      <c r="F5650" s="8" t="n">
        <v>45824</v>
      </c>
      <c r="G5650" s="9" t="n">
        <v>1849.31</v>
      </c>
      <c r="H5650" t="inlineStr">
        <is>
          <t>PAID_ON_TIME</t>
        </is>
      </c>
      <c r="I5650">
        <f>IF(H5650="UNPAID", AsOfDate-D5650, 0)</f>
        <v/>
      </c>
      <c r="J5650">
        <f>IF(F5650&lt;&gt;"", TEXT(F5650, "yyyy-mm"), "")</f>
        <v/>
      </c>
    </row>
    <row r="5651">
      <c r="A5651" t="inlineStr">
        <is>
          <t>RP0005650</t>
        </is>
      </c>
      <c r="B5651" t="inlineStr">
        <is>
          <t>LN200806</t>
        </is>
      </c>
      <c r="C5651" t="n">
        <v>4</v>
      </c>
      <c r="D5651" s="8" t="n">
        <v>45854</v>
      </c>
      <c r="E5651" s="9" t="n">
        <v>1849.31</v>
      </c>
      <c r="F5651" s="8" t="n">
        <v>45856</v>
      </c>
      <c r="G5651" s="9" t="n">
        <v>1849.31</v>
      </c>
      <c r="H5651" t="inlineStr">
        <is>
          <t>PAID_LATE</t>
        </is>
      </c>
      <c r="I5651">
        <f>IF(H5651="UNPAID", AsOfDate-D5651, 0)</f>
        <v/>
      </c>
      <c r="J5651">
        <f>IF(F5651&lt;&gt;"", TEXT(F5651, "yyyy-mm"), "")</f>
        <v/>
      </c>
    </row>
    <row r="5652">
      <c r="A5652" t="inlineStr">
        <is>
          <t>RP0005651</t>
        </is>
      </c>
      <c r="B5652" t="inlineStr">
        <is>
          <t>LN200806</t>
        </is>
      </c>
      <c r="C5652" t="n">
        <v>5</v>
      </c>
      <c r="D5652" s="8" t="n">
        <v>45885</v>
      </c>
      <c r="E5652" s="9" t="n">
        <v>1849.31</v>
      </c>
      <c r="F5652" s="8" t="n">
        <v>45884</v>
      </c>
      <c r="G5652" s="9" t="n">
        <v>1849.31</v>
      </c>
      <c r="H5652" t="inlineStr">
        <is>
          <t>PAID_ON_TIME</t>
        </is>
      </c>
      <c r="I5652">
        <f>IF(H5652="UNPAID", AsOfDate-D5652, 0)</f>
        <v/>
      </c>
      <c r="J5652">
        <f>IF(F5652&lt;&gt;"", TEXT(F5652, "yyyy-mm"), "")</f>
        <v/>
      </c>
    </row>
    <row r="5653">
      <c r="A5653" t="inlineStr">
        <is>
          <t>RP0005652</t>
        </is>
      </c>
      <c r="B5653" t="inlineStr">
        <is>
          <t>LN200806</t>
        </is>
      </c>
      <c r="C5653" t="n">
        <v>6</v>
      </c>
      <c r="D5653" s="8" t="n">
        <v>45916</v>
      </c>
      <c r="E5653" s="9" t="n">
        <v>1849.31</v>
      </c>
      <c r="F5653" s="8" t="n">
        <v>45933</v>
      </c>
      <c r="G5653" s="9" t="n">
        <v>1849.31</v>
      </c>
      <c r="H5653" t="inlineStr">
        <is>
          <t>PAID_LATE</t>
        </is>
      </c>
      <c r="I5653">
        <f>IF(H5653="UNPAID", AsOfDate-D5653, 0)</f>
        <v/>
      </c>
      <c r="J5653">
        <f>IF(F5653&lt;&gt;"", TEXT(F5653, "yyyy-mm"), "")</f>
        <v/>
      </c>
    </row>
    <row r="5654">
      <c r="A5654" t="inlineStr">
        <is>
          <t>RP0005653</t>
        </is>
      </c>
      <c r="B5654" t="inlineStr">
        <is>
          <t>LN200806</t>
        </is>
      </c>
      <c r="C5654" t="n">
        <v>7</v>
      </c>
      <c r="D5654" s="8" t="n">
        <v>45946</v>
      </c>
      <c r="E5654" s="9" t="n">
        <v>1849.31</v>
      </c>
      <c r="F5654" s="8" t="n">
        <v>46016</v>
      </c>
      <c r="G5654" s="9" t="n">
        <v>1849.31</v>
      </c>
      <c r="H5654" t="inlineStr">
        <is>
          <t>PAID_LATE</t>
        </is>
      </c>
      <c r="I5654">
        <f>IF(H5654="UNPAID", AsOfDate-D5654, 0)</f>
        <v/>
      </c>
      <c r="J5654">
        <f>IF(F5654&lt;&gt;"", TEXT(F5654, "yyyy-mm"), "")</f>
        <v/>
      </c>
    </row>
    <row r="5655">
      <c r="A5655" t="inlineStr">
        <is>
          <t>RP0005654</t>
        </is>
      </c>
      <c r="B5655" t="inlineStr">
        <is>
          <t>LN200806</t>
        </is>
      </c>
      <c r="C5655" t="n">
        <v>8</v>
      </c>
      <c r="D5655" s="8" t="n">
        <v>45977</v>
      </c>
      <c r="E5655" s="9" t="n">
        <v>1849.31</v>
      </c>
      <c r="F5655" s="8" t="n">
        <v>45979</v>
      </c>
      <c r="G5655" s="9" t="n">
        <v>1849.31</v>
      </c>
      <c r="H5655" t="inlineStr">
        <is>
          <t>PAID_ON_TIME</t>
        </is>
      </c>
      <c r="I5655">
        <f>IF(H5655="UNPAID", AsOfDate-D5655, 0)</f>
        <v/>
      </c>
      <c r="J5655">
        <f>IF(F5655&lt;&gt;"", TEXT(F5655, "yyyy-mm"), "")</f>
        <v/>
      </c>
    </row>
    <row r="5656">
      <c r="A5656" t="inlineStr">
        <is>
          <t>RP0005655</t>
        </is>
      </c>
      <c r="B5656" t="inlineStr">
        <is>
          <t>LN200806</t>
        </is>
      </c>
      <c r="C5656" t="n">
        <v>9</v>
      </c>
      <c r="D5656" s="8" t="n">
        <v>46007</v>
      </c>
      <c r="E5656" s="9" t="n">
        <v>1849.31</v>
      </c>
      <c r="F5656" s="8" t="n">
        <v>46010</v>
      </c>
      <c r="G5656" s="9" t="n">
        <v>1849.31</v>
      </c>
      <c r="H5656" t="inlineStr">
        <is>
          <t>PAID_ON_TIME</t>
        </is>
      </c>
      <c r="I5656">
        <f>IF(H5656="UNPAID", AsOfDate-D5656, 0)</f>
        <v/>
      </c>
      <c r="J5656">
        <f>IF(F5656&lt;&gt;"", TEXT(F5656, "yyyy-mm"), "")</f>
        <v/>
      </c>
    </row>
    <row r="5657">
      <c r="A5657" t="inlineStr">
        <is>
          <t>RP0005656</t>
        </is>
      </c>
      <c r="B5657" t="inlineStr">
        <is>
          <t>LN200806</t>
        </is>
      </c>
      <c r="C5657" t="n">
        <v>10</v>
      </c>
      <c r="D5657" s="8" t="n">
        <v>46038</v>
      </c>
      <c r="E5657" s="9" t="n">
        <v>1849.31</v>
      </c>
      <c r="F5657" s="8" t="n">
        <v>46040</v>
      </c>
      <c r="G5657" s="9" t="n">
        <v>1849.31</v>
      </c>
      <c r="H5657" t="inlineStr">
        <is>
          <t>PAID_ON_TIME</t>
        </is>
      </c>
      <c r="I5657">
        <f>IF(H5657="UNPAID", AsOfDate-D5657, 0)</f>
        <v/>
      </c>
      <c r="J5657">
        <f>IF(F5657&lt;&gt;"", TEXT(F5657, "yyyy-mm"), "")</f>
        <v/>
      </c>
    </row>
    <row r="5658">
      <c r="A5658" t="inlineStr">
        <is>
          <t>RP0005657</t>
        </is>
      </c>
      <c r="B5658" t="inlineStr">
        <is>
          <t>LN200806</t>
        </is>
      </c>
      <c r="C5658" t="n">
        <v>11</v>
      </c>
      <c r="D5658" s="8" t="n">
        <v>46069</v>
      </c>
      <c r="E5658" s="9" t="n">
        <v>1849.31</v>
      </c>
      <c r="F5658" s="8" t="n">
        <v>46152</v>
      </c>
      <c r="G5658" s="9" t="n">
        <v>1849.31</v>
      </c>
      <c r="H5658" t="inlineStr">
        <is>
          <t>PAID_LATE</t>
        </is>
      </c>
      <c r="I5658">
        <f>IF(H5658="UNPAID", AsOfDate-D5658, 0)</f>
        <v/>
      </c>
      <c r="J5658">
        <f>IF(F5658&lt;&gt;"", TEXT(F5658, "yyyy-mm"), "")</f>
        <v/>
      </c>
    </row>
    <row r="5659">
      <c r="A5659" t="inlineStr">
        <is>
          <t>RP0005658</t>
        </is>
      </c>
      <c r="B5659" t="inlineStr">
        <is>
          <t>LN200806</t>
        </is>
      </c>
      <c r="C5659" t="n">
        <v>12</v>
      </c>
      <c r="D5659" s="8" t="n">
        <v>46097</v>
      </c>
      <c r="E5659" s="9" t="n">
        <v>1849.31</v>
      </c>
      <c r="F5659" s="8" t="n">
        <v>46100</v>
      </c>
      <c r="G5659" s="9" t="n">
        <v>1849.31</v>
      </c>
      <c r="H5659" t="inlineStr">
        <is>
          <t>PAID_ON_TIME</t>
        </is>
      </c>
      <c r="I5659">
        <f>IF(H5659="UNPAID", AsOfDate-D5659, 0)</f>
        <v/>
      </c>
      <c r="J5659">
        <f>IF(F5659&lt;&gt;"", TEXT(F5659, "yyyy-mm"), "")</f>
        <v/>
      </c>
    </row>
    <row r="5660">
      <c r="A5660" t="inlineStr">
        <is>
          <t>RP0005659</t>
        </is>
      </c>
      <c r="B5660" t="inlineStr">
        <is>
          <t>LN200806</t>
        </is>
      </c>
      <c r="C5660" t="n">
        <v>13</v>
      </c>
      <c r="D5660" s="8" t="n">
        <v>46128</v>
      </c>
      <c r="E5660" s="9" t="n">
        <v>1849.31</v>
      </c>
      <c r="F5660" s="8" t="n">
        <v>46130</v>
      </c>
      <c r="G5660" s="9" t="n">
        <v>1849.31</v>
      </c>
      <c r="H5660" t="inlineStr">
        <is>
          <t>PAID_ON_TIME</t>
        </is>
      </c>
      <c r="I5660">
        <f>IF(H5660="UNPAID", AsOfDate-D5660, 0)</f>
        <v/>
      </c>
      <c r="J5660">
        <f>IF(F5660&lt;&gt;"", TEXT(F5660, "yyyy-mm"), "")</f>
        <v/>
      </c>
    </row>
    <row r="5661">
      <c r="A5661" t="inlineStr">
        <is>
          <t>RP0005660</t>
        </is>
      </c>
      <c r="B5661" t="inlineStr">
        <is>
          <t>LN200806</t>
        </is>
      </c>
      <c r="C5661" t="n">
        <v>14</v>
      </c>
      <c r="D5661" s="8" t="n">
        <v>46158</v>
      </c>
      <c r="E5661" s="9" t="n">
        <v>1849.31</v>
      </c>
      <c r="F5661" s="8" t="n">
        <v>46155</v>
      </c>
      <c r="G5661" s="9" t="n">
        <v>1849.31</v>
      </c>
      <c r="H5661" t="inlineStr">
        <is>
          <t>PAID_ON_TIME</t>
        </is>
      </c>
      <c r="I5661">
        <f>IF(H5661="UNPAID", AsOfDate-D5661, 0)</f>
        <v/>
      </c>
      <c r="J5661">
        <f>IF(F5661&lt;&gt;"", TEXT(F5661, "yyyy-mm"), "")</f>
        <v/>
      </c>
    </row>
    <row r="5662">
      <c r="A5662" t="inlineStr">
        <is>
          <t>RP0005661</t>
        </is>
      </c>
      <c r="B5662" t="inlineStr">
        <is>
          <t>LN200806</t>
        </is>
      </c>
      <c r="C5662" t="n">
        <v>15</v>
      </c>
      <c r="D5662" s="8" t="n">
        <v>46189</v>
      </c>
      <c r="E5662" s="9" t="n">
        <v>1849.31</v>
      </c>
      <c r="F5662" s="8" t="n">
        <v>46190</v>
      </c>
      <c r="G5662" s="9" t="n">
        <v>1849.31</v>
      </c>
      <c r="H5662" t="inlineStr">
        <is>
          <t>PAID_ON_TIME</t>
        </is>
      </c>
      <c r="I5662">
        <f>IF(H5662="UNPAID", AsOfDate-D5662, 0)</f>
        <v/>
      </c>
      <c r="J5662">
        <f>IF(F5662&lt;&gt;"", TEXT(F5662, "yyyy-mm"), "")</f>
        <v/>
      </c>
    </row>
    <row r="5663">
      <c r="A5663" t="inlineStr">
        <is>
          <t>RP0005662</t>
        </is>
      </c>
      <c r="B5663" t="inlineStr">
        <is>
          <t>LN200806</t>
        </is>
      </c>
      <c r="C5663" t="n">
        <v>16</v>
      </c>
      <c r="D5663" s="8" t="n">
        <v>46219</v>
      </c>
      <c r="E5663" s="9" t="n">
        <v>1849.31</v>
      </c>
      <c r="F5663" s="8" t="n"/>
      <c r="G5663" s="9" t="n">
        <v>0</v>
      </c>
      <c r="H5663" t="inlineStr">
        <is>
          <t>UNPAID</t>
        </is>
      </c>
      <c r="I5663">
        <f>IF(H5663="UNPAID", AsOfDate-D5663, 0)</f>
        <v/>
      </c>
      <c r="J5663">
        <f>IF(F5663&lt;&gt;"", TEXT(F5663, "yyyy-mm"), "")</f>
        <v/>
      </c>
    </row>
    <row r="5664">
      <c r="A5664" t="inlineStr">
        <is>
          <t>RP0005663</t>
        </is>
      </c>
      <c r="B5664" t="inlineStr">
        <is>
          <t>LN200806</t>
        </is>
      </c>
      <c r="C5664" t="n">
        <v>17</v>
      </c>
      <c r="D5664" s="8" t="n">
        <v>46250</v>
      </c>
      <c r="E5664" s="9" t="n">
        <v>1849.31</v>
      </c>
      <c r="F5664" s="8" t="n">
        <v>46254</v>
      </c>
      <c r="G5664" s="9" t="n">
        <v>1849.31</v>
      </c>
      <c r="H5664" t="inlineStr">
        <is>
          <t>PAID_ON_TIME</t>
        </is>
      </c>
      <c r="I5664">
        <f>IF(H5664="UNPAID", AsOfDate-D5664, 0)</f>
        <v/>
      </c>
      <c r="J5664">
        <f>IF(F5664&lt;&gt;"", TEXT(F5664, "yyyy-mm"), "")</f>
        <v/>
      </c>
    </row>
    <row r="5665">
      <c r="A5665" t="inlineStr">
        <is>
          <t>RP0005664</t>
        </is>
      </c>
      <c r="B5665" t="inlineStr">
        <is>
          <t>LN200806</t>
        </is>
      </c>
      <c r="C5665" t="n">
        <v>18</v>
      </c>
      <c r="D5665" s="8" t="n">
        <v>46281</v>
      </c>
      <c r="E5665" s="9" t="n">
        <v>1849.31</v>
      </c>
      <c r="F5665" s="8" t="n"/>
      <c r="G5665" s="9" t="n">
        <v>0</v>
      </c>
      <c r="H5665" t="inlineStr">
        <is>
          <t>NOT_DUE</t>
        </is>
      </c>
      <c r="I5665">
        <f>IF(H5665="UNPAID", AsOfDate-D5665, 0)</f>
        <v/>
      </c>
      <c r="J5665">
        <f>IF(F5665&lt;&gt;"", TEXT(F5665, "yyyy-mm"), "")</f>
        <v/>
      </c>
    </row>
    <row r="5666">
      <c r="A5666" t="inlineStr">
        <is>
          <t>RP0005665</t>
        </is>
      </c>
      <c r="B5666" t="inlineStr">
        <is>
          <t>LN200807</t>
        </is>
      </c>
      <c r="C5666" t="n">
        <v>1</v>
      </c>
      <c r="D5666" s="8" t="n">
        <v>46252</v>
      </c>
      <c r="E5666" s="9" t="n">
        <v>10567.5</v>
      </c>
      <c r="F5666" s="8" t="n">
        <v>46254</v>
      </c>
      <c r="G5666" s="9" t="n">
        <v>10567.5</v>
      </c>
      <c r="H5666" t="inlineStr">
        <is>
          <t>PAID_ON_TIME</t>
        </is>
      </c>
      <c r="I5666">
        <f>IF(H5666="UNPAID", AsOfDate-D5666, 0)</f>
        <v/>
      </c>
      <c r="J5666">
        <f>IF(F5666&lt;&gt;"", TEXT(F5666, "yyyy-mm"), "")</f>
        <v/>
      </c>
    </row>
    <row r="5667">
      <c r="A5667" t="inlineStr">
        <is>
          <t>RP0005666</t>
        </is>
      </c>
      <c r="B5667" t="inlineStr">
        <is>
          <t>LN200807</t>
        </is>
      </c>
      <c r="C5667" t="n">
        <v>2</v>
      </c>
      <c r="D5667" s="8" t="n">
        <v>46283</v>
      </c>
      <c r="E5667" s="9" t="n">
        <v>10567.5</v>
      </c>
      <c r="F5667" s="8" t="n"/>
      <c r="G5667" s="9" t="n">
        <v>0</v>
      </c>
      <c r="H5667" t="inlineStr">
        <is>
          <t>NOT_DUE</t>
        </is>
      </c>
      <c r="I5667">
        <f>IF(H5667="UNPAID", AsOfDate-D5667, 0)</f>
        <v/>
      </c>
      <c r="J5667">
        <f>IF(F5667&lt;&gt;"", TEXT(F5667, "yyyy-mm"), "")</f>
        <v/>
      </c>
    </row>
    <row r="5668">
      <c r="A5668" t="inlineStr">
        <is>
          <t>RP0005667</t>
        </is>
      </c>
      <c r="B5668" t="inlineStr">
        <is>
          <t>LN200807</t>
        </is>
      </c>
      <c r="C5668" t="n">
        <v>3</v>
      </c>
      <c r="D5668" s="8" t="n">
        <v>46313</v>
      </c>
      <c r="E5668" s="9" t="n">
        <v>10567.5</v>
      </c>
      <c r="F5668" s="8" t="n"/>
      <c r="G5668" s="9" t="n">
        <v>0</v>
      </c>
      <c r="H5668" t="inlineStr">
        <is>
          <t>NOT_DUE</t>
        </is>
      </c>
      <c r="I5668">
        <f>IF(H5668="UNPAID", AsOfDate-D5668, 0)</f>
        <v/>
      </c>
      <c r="J5668">
        <f>IF(F5668&lt;&gt;"", TEXT(F5668, "yyyy-mm"), "")</f>
        <v/>
      </c>
    </row>
    <row r="5669">
      <c r="A5669" t="inlineStr">
        <is>
          <t>RP0005668</t>
        </is>
      </c>
      <c r="B5669" t="inlineStr">
        <is>
          <t>LN200808</t>
        </is>
      </c>
      <c r="C5669" t="n">
        <v>1</v>
      </c>
      <c r="D5669" s="8" t="n">
        <v>45977</v>
      </c>
      <c r="E5669" s="9" t="n">
        <v>4320.17</v>
      </c>
      <c r="F5669" s="8" t="n">
        <v>45974</v>
      </c>
      <c r="G5669" s="9" t="n">
        <v>4320.17</v>
      </c>
      <c r="H5669" t="inlineStr">
        <is>
          <t>PAID_ON_TIME</t>
        </is>
      </c>
      <c r="I5669">
        <f>IF(H5669="UNPAID", AsOfDate-D5669, 0)</f>
        <v/>
      </c>
      <c r="J5669">
        <f>IF(F5669&lt;&gt;"", TEXT(F5669, "yyyy-mm"), "")</f>
        <v/>
      </c>
    </row>
    <row r="5670">
      <c r="A5670" t="inlineStr">
        <is>
          <t>RP0005669</t>
        </is>
      </c>
      <c r="B5670" t="inlineStr">
        <is>
          <t>LN200808</t>
        </is>
      </c>
      <c r="C5670" t="n">
        <v>2</v>
      </c>
      <c r="D5670" s="8" t="n">
        <v>46007</v>
      </c>
      <c r="E5670" s="9" t="n">
        <v>4320.17</v>
      </c>
      <c r="F5670" s="8" t="n">
        <v>46005</v>
      </c>
      <c r="G5670" s="9" t="n">
        <v>4320.17</v>
      </c>
      <c r="H5670" t="inlineStr">
        <is>
          <t>PAID_ON_TIME</t>
        </is>
      </c>
      <c r="I5670">
        <f>IF(H5670="UNPAID", AsOfDate-D5670, 0)</f>
        <v/>
      </c>
      <c r="J5670">
        <f>IF(F5670&lt;&gt;"", TEXT(F5670, "yyyy-mm"), "")</f>
        <v/>
      </c>
    </row>
    <row r="5671">
      <c r="A5671" t="inlineStr">
        <is>
          <t>RP0005670</t>
        </is>
      </c>
      <c r="B5671" t="inlineStr">
        <is>
          <t>LN200808</t>
        </is>
      </c>
      <c r="C5671" t="n">
        <v>3</v>
      </c>
      <c r="D5671" s="8" t="n">
        <v>46038</v>
      </c>
      <c r="E5671" s="9" t="n">
        <v>4320.17</v>
      </c>
      <c r="F5671" s="8" t="n">
        <v>46040</v>
      </c>
      <c r="G5671" s="9" t="n">
        <v>4320.17</v>
      </c>
      <c r="H5671" t="inlineStr">
        <is>
          <t>PAID_ON_TIME</t>
        </is>
      </c>
      <c r="I5671">
        <f>IF(H5671="UNPAID", AsOfDate-D5671, 0)</f>
        <v/>
      </c>
      <c r="J5671">
        <f>IF(F5671&lt;&gt;"", TEXT(F5671, "yyyy-mm"), "")</f>
        <v/>
      </c>
    </row>
    <row r="5672">
      <c r="A5672" t="inlineStr">
        <is>
          <t>RP0005671</t>
        </is>
      </c>
      <c r="B5672" t="inlineStr">
        <is>
          <t>LN200808</t>
        </is>
      </c>
      <c r="C5672" t="n">
        <v>4</v>
      </c>
      <c r="D5672" s="8" t="n">
        <v>46069</v>
      </c>
      <c r="E5672" s="9" t="n">
        <v>4320.17</v>
      </c>
      <c r="F5672" s="8" t="n">
        <v>46067</v>
      </c>
      <c r="G5672" s="9" t="n">
        <v>4320.17</v>
      </c>
      <c r="H5672" t="inlineStr">
        <is>
          <t>PAID_ON_TIME</t>
        </is>
      </c>
      <c r="I5672">
        <f>IF(H5672="UNPAID", AsOfDate-D5672, 0)</f>
        <v/>
      </c>
      <c r="J5672">
        <f>IF(F5672&lt;&gt;"", TEXT(F5672, "yyyy-mm"), "")</f>
        <v/>
      </c>
    </row>
    <row r="5673">
      <c r="A5673" t="inlineStr">
        <is>
          <t>RP0005672</t>
        </is>
      </c>
      <c r="B5673" t="inlineStr">
        <is>
          <t>LN200808</t>
        </is>
      </c>
      <c r="C5673" t="n">
        <v>5</v>
      </c>
      <c r="D5673" s="8" t="n">
        <v>46097</v>
      </c>
      <c r="E5673" s="9" t="n">
        <v>4320.17</v>
      </c>
      <c r="F5673" s="8" t="n">
        <v>46101</v>
      </c>
      <c r="G5673" s="9" t="n">
        <v>4320.17</v>
      </c>
      <c r="H5673" t="inlineStr">
        <is>
          <t>PAID_ON_TIME</t>
        </is>
      </c>
      <c r="I5673">
        <f>IF(H5673="UNPAID", AsOfDate-D5673, 0)</f>
        <v/>
      </c>
      <c r="J5673">
        <f>IF(F5673&lt;&gt;"", TEXT(F5673, "yyyy-mm"), "")</f>
        <v/>
      </c>
    </row>
    <row r="5674">
      <c r="A5674" t="inlineStr">
        <is>
          <t>RP0005673</t>
        </is>
      </c>
      <c r="B5674" t="inlineStr">
        <is>
          <t>LN200808</t>
        </is>
      </c>
      <c r="C5674" t="n">
        <v>6</v>
      </c>
      <c r="D5674" s="8" t="n">
        <v>46128</v>
      </c>
      <c r="E5674" s="9" t="n">
        <v>4320.17</v>
      </c>
      <c r="F5674" s="8" t="n">
        <v>46132</v>
      </c>
      <c r="G5674" s="9" t="n">
        <v>4320.17</v>
      </c>
      <c r="H5674" t="inlineStr">
        <is>
          <t>PAID_ON_TIME</t>
        </is>
      </c>
      <c r="I5674">
        <f>IF(H5674="UNPAID", AsOfDate-D5674, 0)</f>
        <v/>
      </c>
      <c r="J5674">
        <f>IF(F5674&lt;&gt;"", TEXT(F5674, "yyyy-mm"), "")</f>
        <v/>
      </c>
    </row>
    <row r="5675">
      <c r="A5675" t="inlineStr">
        <is>
          <t>RP0005674</t>
        </is>
      </c>
      <c r="B5675" t="inlineStr">
        <is>
          <t>LN200808</t>
        </is>
      </c>
      <c r="C5675" t="n">
        <v>7</v>
      </c>
      <c r="D5675" s="8" t="n">
        <v>46158</v>
      </c>
      <c r="E5675" s="9" t="n">
        <v>4320.17</v>
      </c>
      <c r="F5675" s="8" t="n">
        <v>46162</v>
      </c>
      <c r="G5675" s="9" t="n">
        <v>4320.17</v>
      </c>
      <c r="H5675" t="inlineStr">
        <is>
          <t>PAID_ON_TIME</t>
        </is>
      </c>
      <c r="I5675">
        <f>IF(H5675="UNPAID", AsOfDate-D5675, 0)</f>
        <v/>
      </c>
      <c r="J5675">
        <f>IF(F5675&lt;&gt;"", TEXT(F5675, "yyyy-mm"), "")</f>
        <v/>
      </c>
    </row>
    <row r="5676">
      <c r="A5676" t="inlineStr">
        <is>
          <t>RP0005675</t>
        </is>
      </c>
      <c r="B5676" t="inlineStr">
        <is>
          <t>LN200808</t>
        </is>
      </c>
      <c r="C5676" t="n">
        <v>8</v>
      </c>
      <c r="D5676" s="8" t="n">
        <v>46189</v>
      </c>
      <c r="E5676" s="9" t="n">
        <v>4320.17</v>
      </c>
      <c r="F5676" s="8" t="n">
        <v>46186</v>
      </c>
      <c r="G5676" s="9" t="n">
        <v>4320.17</v>
      </c>
      <c r="H5676" t="inlineStr">
        <is>
          <t>PAID_ON_TIME</t>
        </is>
      </c>
      <c r="I5676">
        <f>IF(H5676="UNPAID", AsOfDate-D5676, 0)</f>
        <v/>
      </c>
      <c r="J5676">
        <f>IF(F5676&lt;&gt;"", TEXT(F5676, "yyyy-mm"), "")</f>
        <v/>
      </c>
    </row>
    <row r="5677">
      <c r="A5677" t="inlineStr">
        <is>
          <t>RP0005676</t>
        </is>
      </c>
      <c r="B5677" t="inlineStr">
        <is>
          <t>LN200808</t>
        </is>
      </c>
      <c r="C5677" t="n">
        <v>9</v>
      </c>
      <c r="D5677" s="8" t="n">
        <v>46219</v>
      </c>
      <c r="E5677" s="9" t="n">
        <v>4320.17</v>
      </c>
      <c r="F5677" s="8" t="n">
        <v>46218</v>
      </c>
      <c r="G5677" s="9" t="n">
        <v>4320.17</v>
      </c>
      <c r="H5677" t="inlineStr">
        <is>
          <t>PAID_ON_TIME</t>
        </is>
      </c>
      <c r="I5677">
        <f>IF(H5677="UNPAID", AsOfDate-D5677, 0)</f>
        <v/>
      </c>
      <c r="J5677">
        <f>IF(F5677&lt;&gt;"", TEXT(F5677, "yyyy-mm"), "")</f>
        <v/>
      </c>
    </row>
    <row r="5678">
      <c r="A5678" t="inlineStr">
        <is>
          <t>RP0005677</t>
        </is>
      </c>
      <c r="B5678" t="inlineStr">
        <is>
          <t>LN200808</t>
        </is>
      </c>
      <c r="C5678" t="n">
        <v>10</v>
      </c>
      <c r="D5678" s="8" t="n">
        <v>46250</v>
      </c>
      <c r="E5678" s="9" t="n">
        <v>4320.17</v>
      </c>
      <c r="F5678" s="8" t="n">
        <v>46253</v>
      </c>
      <c r="G5678" s="9" t="n">
        <v>4320.17</v>
      </c>
      <c r="H5678" t="inlineStr">
        <is>
          <t>PAID_ON_TIME</t>
        </is>
      </c>
      <c r="I5678">
        <f>IF(H5678="UNPAID", AsOfDate-D5678, 0)</f>
        <v/>
      </c>
      <c r="J5678">
        <f>IF(F5678&lt;&gt;"", TEXT(F5678, "yyyy-mm"), "")</f>
        <v/>
      </c>
    </row>
    <row r="5679">
      <c r="A5679" t="inlineStr">
        <is>
          <t>RP0005678</t>
        </is>
      </c>
      <c r="B5679" t="inlineStr">
        <is>
          <t>LN200808</t>
        </is>
      </c>
      <c r="C5679" t="n">
        <v>11</v>
      </c>
      <c r="D5679" s="8" t="n">
        <v>46281</v>
      </c>
      <c r="E5679" s="9" t="n">
        <v>4320.17</v>
      </c>
      <c r="F5679" s="8" t="n"/>
      <c r="G5679" s="9" t="n">
        <v>0</v>
      </c>
      <c r="H5679" t="inlineStr">
        <is>
          <t>NOT_DUE</t>
        </is>
      </c>
      <c r="I5679">
        <f>IF(H5679="UNPAID", AsOfDate-D5679, 0)</f>
        <v/>
      </c>
      <c r="J5679">
        <f>IF(F5679&lt;&gt;"", TEXT(F5679, "yyyy-mm"), "")</f>
        <v/>
      </c>
    </row>
    <row r="5680">
      <c r="A5680" t="inlineStr">
        <is>
          <t>RP0005679</t>
        </is>
      </c>
      <c r="B5680" t="inlineStr">
        <is>
          <t>LN200808</t>
        </is>
      </c>
      <c r="C5680" t="n">
        <v>12</v>
      </c>
      <c r="D5680" s="8" t="n">
        <v>46311</v>
      </c>
      <c r="E5680" s="9" t="n">
        <v>4320.17</v>
      </c>
      <c r="F5680" s="8" t="n"/>
      <c r="G5680" s="9" t="n">
        <v>0</v>
      </c>
      <c r="H5680" t="inlineStr">
        <is>
          <t>NOT_DUE</t>
        </is>
      </c>
      <c r="I5680">
        <f>IF(H5680="UNPAID", AsOfDate-D5680, 0)</f>
        <v/>
      </c>
      <c r="J5680">
        <f>IF(F5680&lt;&gt;"", TEXT(F5680, "yyyy-mm"), "")</f>
        <v/>
      </c>
    </row>
    <row r="5681">
      <c r="A5681" t="inlineStr">
        <is>
          <t>RP0005680</t>
        </is>
      </c>
      <c r="B5681" t="inlineStr">
        <is>
          <t>LN200809</t>
        </is>
      </c>
      <c r="C5681" t="n">
        <v>1</v>
      </c>
      <c r="D5681" s="8" t="n">
        <v>46073</v>
      </c>
      <c r="E5681" s="9" t="n">
        <v>5276.61</v>
      </c>
      <c r="F5681" s="8" t="n">
        <v>46070</v>
      </c>
      <c r="G5681" s="9" t="n">
        <v>5276.61</v>
      </c>
      <c r="H5681" t="inlineStr">
        <is>
          <t>PAID_ON_TIME</t>
        </is>
      </c>
      <c r="I5681">
        <f>IF(H5681="UNPAID", AsOfDate-D5681, 0)</f>
        <v/>
      </c>
      <c r="J5681">
        <f>IF(F5681&lt;&gt;"", TEXT(F5681, "yyyy-mm"), "")</f>
        <v/>
      </c>
    </row>
    <row r="5682">
      <c r="A5682" t="inlineStr">
        <is>
          <t>RP0005681</t>
        </is>
      </c>
      <c r="B5682" t="inlineStr">
        <is>
          <t>LN200809</t>
        </is>
      </c>
      <c r="C5682" t="n">
        <v>2</v>
      </c>
      <c r="D5682" s="8" t="n">
        <v>46101</v>
      </c>
      <c r="E5682" s="9" t="n">
        <v>5276.61</v>
      </c>
      <c r="F5682" s="8" t="n">
        <v>46101</v>
      </c>
      <c r="G5682" s="9" t="n">
        <v>5276.61</v>
      </c>
      <c r="H5682" t="inlineStr">
        <is>
          <t>PAID_ON_TIME</t>
        </is>
      </c>
      <c r="I5682">
        <f>IF(H5682="UNPAID", AsOfDate-D5682, 0)</f>
        <v/>
      </c>
      <c r="J5682">
        <f>IF(F5682&lt;&gt;"", TEXT(F5682, "yyyy-mm"), "")</f>
        <v/>
      </c>
    </row>
    <row r="5683">
      <c r="A5683" t="inlineStr">
        <is>
          <t>RP0005682</t>
        </is>
      </c>
      <c r="B5683" t="inlineStr">
        <is>
          <t>LN200809</t>
        </is>
      </c>
      <c r="C5683" t="n">
        <v>3</v>
      </c>
      <c r="D5683" s="8" t="n">
        <v>46132</v>
      </c>
      <c r="E5683" s="9" t="n">
        <v>5276.61</v>
      </c>
      <c r="F5683" s="8" t="n">
        <v>46131</v>
      </c>
      <c r="G5683" s="9" t="n">
        <v>5276.61</v>
      </c>
      <c r="H5683" t="inlineStr">
        <is>
          <t>PAID_ON_TIME</t>
        </is>
      </c>
      <c r="I5683">
        <f>IF(H5683="UNPAID", AsOfDate-D5683, 0)</f>
        <v/>
      </c>
      <c r="J5683">
        <f>IF(F5683&lt;&gt;"", TEXT(F5683, "yyyy-mm"), "")</f>
        <v/>
      </c>
    </row>
    <row r="5684">
      <c r="A5684" t="inlineStr">
        <is>
          <t>RP0005683</t>
        </is>
      </c>
      <c r="B5684" t="inlineStr">
        <is>
          <t>LN200809</t>
        </is>
      </c>
      <c r="C5684" t="n">
        <v>4</v>
      </c>
      <c r="D5684" s="8" t="n">
        <v>46162</v>
      </c>
      <c r="E5684" s="9" t="n">
        <v>5276.61</v>
      </c>
      <c r="F5684" s="8" t="n">
        <v>46165</v>
      </c>
      <c r="G5684" s="9" t="n">
        <v>5276.61</v>
      </c>
      <c r="H5684" t="inlineStr">
        <is>
          <t>PAID_ON_TIME</t>
        </is>
      </c>
      <c r="I5684">
        <f>IF(H5684="UNPAID", AsOfDate-D5684, 0)</f>
        <v/>
      </c>
      <c r="J5684">
        <f>IF(F5684&lt;&gt;"", TEXT(F5684, "yyyy-mm"), "")</f>
        <v/>
      </c>
    </row>
    <row r="5685">
      <c r="A5685" t="inlineStr">
        <is>
          <t>RP0005684</t>
        </is>
      </c>
      <c r="B5685" t="inlineStr">
        <is>
          <t>LN200809</t>
        </is>
      </c>
      <c r="C5685" t="n">
        <v>5</v>
      </c>
      <c r="D5685" s="8" t="n">
        <v>46193</v>
      </c>
      <c r="E5685" s="9" t="n">
        <v>5276.61</v>
      </c>
      <c r="F5685" s="8" t="n">
        <v>46195</v>
      </c>
      <c r="G5685" s="9" t="n">
        <v>5276.61</v>
      </c>
      <c r="H5685" t="inlineStr">
        <is>
          <t>PAID_ON_TIME</t>
        </is>
      </c>
      <c r="I5685">
        <f>IF(H5685="UNPAID", AsOfDate-D5685, 0)</f>
        <v/>
      </c>
      <c r="J5685">
        <f>IF(F5685&lt;&gt;"", TEXT(F5685, "yyyy-mm"), "")</f>
        <v/>
      </c>
    </row>
    <row r="5686">
      <c r="A5686" t="inlineStr">
        <is>
          <t>RP0005685</t>
        </is>
      </c>
      <c r="B5686" t="inlineStr">
        <is>
          <t>LN200809</t>
        </is>
      </c>
      <c r="C5686" t="n">
        <v>6</v>
      </c>
      <c r="D5686" s="8" t="n">
        <v>46223</v>
      </c>
      <c r="E5686" s="9" t="n">
        <v>5276.61</v>
      </c>
      <c r="F5686" s="8" t="n">
        <v>46222</v>
      </c>
      <c r="G5686" s="9" t="n">
        <v>5276.61</v>
      </c>
      <c r="H5686" t="inlineStr">
        <is>
          <t>PAID_ON_TIME</t>
        </is>
      </c>
      <c r="I5686">
        <f>IF(H5686="UNPAID", AsOfDate-D5686, 0)</f>
        <v/>
      </c>
      <c r="J5686">
        <f>IF(F5686&lt;&gt;"", TEXT(F5686, "yyyy-mm"), "")</f>
        <v/>
      </c>
    </row>
    <row r="5687">
      <c r="A5687" t="inlineStr">
        <is>
          <t>RP0005686</t>
        </is>
      </c>
      <c r="B5687" t="inlineStr">
        <is>
          <t>LN200809</t>
        </is>
      </c>
      <c r="C5687" t="n">
        <v>7</v>
      </c>
      <c r="D5687" s="8" t="n">
        <v>46254</v>
      </c>
      <c r="E5687" s="9" t="n">
        <v>5276.61</v>
      </c>
      <c r="F5687" s="8" t="n">
        <v>46251</v>
      </c>
      <c r="G5687" s="9" t="n">
        <v>5276.61</v>
      </c>
      <c r="H5687" t="inlineStr">
        <is>
          <t>PAID_ON_TIME</t>
        </is>
      </c>
      <c r="I5687">
        <f>IF(H5687="UNPAID", AsOfDate-D5687, 0)</f>
        <v/>
      </c>
      <c r="J5687">
        <f>IF(F5687&lt;&gt;"", TEXT(F5687, "yyyy-mm"), "")</f>
        <v/>
      </c>
    </row>
    <row r="5688">
      <c r="A5688" t="inlineStr">
        <is>
          <t>RP0005687</t>
        </is>
      </c>
      <c r="B5688" t="inlineStr">
        <is>
          <t>LN200809</t>
        </is>
      </c>
      <c r="C5688" t="n">
        <v>8</v>
      </c>
      <c r="D5688" s="8" t="n">
        <v>46285</v>
      </c>
      <c r="E5688" s="9" t="n">
        <v>5276.61</v>
      </c>
      <c r="F5688" s="8" t="n"/>
      <c r="G5688" s="9" t="n">
        <v>0</v>
      </c>
      <c r="H5688" t="inlineStr">
        <is>
          <t>NOT_DUE</t>
        </is>
      </c>
      <c r="I5688">
        <f>IF(H5688="UNPAID", AsOfDate-D5688, 0)</f>
        <v/>
      </c>
      <c r="J5688">
        <f>IF(F5688&lt;&gt;"", TEXT(F5688, "yyyy-mm"), "")</f>
        <v/>
      </c>
    </row>
    <row r="5689">
      <c r="A5689" t="inlineStr">
        <is>
          <t>RP0005688</t>
        </is>
      </c>
      <c r="B5689" t="inlineStr">
        <is>
          <t>LN200809</t>
        </is>
      </c>
      <c r="C5689" t="n">
        <v>9</v>
      </c>
      <c r="D5689" s="8" t="n">
        <v>46315</v>
      </c>
      <c r="E5689" s="9" t="n">
        <v>5276.61</v>
      </c>
      <c r="F5689" s="8" t="n"/>
      <c r="G5689" s="9" t="n">
        <v>0</v>
      </c>
      <c r="H5689" t="inlineStr">
        <is>
          <t>NOT_DUE</t>
        </is>
      </c>
      <c r="I5689">
        <f>IF(H5689="UNPAID", AsOfDate-D5689, 0)</f>
        <v/>
      </c>
      <c r="J5689">
        <f>IF(F5689&lt;&gt;"", TEXT(F5689, "yyyy-mm"), "")</f>
        <v/>
      </c>
    </row>
    <row r="5690">
      <c r="A5690" t="inlineStr">
        <is>
          <t>RP0005689</t>
        </is>
      </c>
      <c r="B5690" t="inlineStr">
        <is>
          <t>LN200809</t>
        </is>
      </c>
      <c r="C5690" t="n">
        <v>10</v>
      </c>
      <c r="D5690" s="8" t="n">
        <v>46346</v>
      </c>
      <c r="E5690" s="9" t="n">
        <v>5276.61</v>
      </c>
      <c r="F5690" s="8" t="n"/>
      <c r="G5690" s="9" t="n">
        <v>0</v>
      </c>
      <c r="H5690" t="inlineStr">
        <is>
          <t>NOT_DUE</t>
        </is>
      </c>
      <c r="I5690">
        <f>IF(H5690="UNPAID", AsOfDate-D5690, 0)</f>
        <v/>
      </c>
      <c r="J5690">
        <f>IF(F5690&lt;&gt;"", TEXT(F5690, "yyyy-mm"), "")</f>
        <v/>
      </c>
    </row>
    <row r="5691">
      <c r="A5691" t="inlineStr">
        <is>
          <t>RP0005690</t>
        </is>
      </c>
      <c r="B5691" t="inlineStr">
        <is>
          <t>LN200809</t>
        </is>
      </c>
      <c r="C5691" t="n">
        <v>11</v>
      </c>
      <c r="D5691" s="8" t="n">
        <v>46376</v>
      </c>
      <c r="E5691" s="9" t="n">
        <v>5276.61</v>
      </c>
      <c r="F5691" s="8" t="n"/>
      <c r="G5691" s="9" t="n">
        <v>0</v>
      </c>
      <c r="H5691" t="inlineStr">
        <is>
          <t>NOT_DUE</t>
        </is>
      </c>
      <c r="I5691">
        <f>IF(H5691="UNPAID", AsOfDate-D5691, 0)</f>
        <v/>
      </c>
      <c r="J5691">
        <f>IF(F5691&lt;&gt;"", TEXT(F5691, "yyyy-mm"), "")</f>
        <v/>
      </c>
    </row>
    <row r="5692">
      <c r="A5692" t="inlineStr">
        <is>
          <t>RP0005691</t>
        </is>
      </c>
      <c r="B5692" t="inlineStr">
        <is>
          <t>LN200809</t>
        </is>
      </c>
      <c r="C5692" t="n">
        <v>12</v>
      </c>
      <c r="D5692" s="8" t="n">
        <v>46407</v>
      </c>
      <c r="E5692" s="9" t="n">
        <v>5276.61</v>
      </c>
      <c r="F5692" s="8" t="n"/>
      <c r="G5692" s="9" t="n">
        <v>0</v>
      </c>
      <c r="H5692" t="inlineStr">
        <is>
          <t>NOT_DUE</t>
        </is>
      </c>
      <c r="I5692">
        <f>IF(H5692="UNPAID", AsOfDate-D5692, 0)</f>
        <v/>
      </c>
      <c r="J5692">
        <f>IF(F5692&lt;&gt;"", TEXT(F5692, "yyyy-mm"), "")</f>
        <v/>
      </c>
    </row>
    <row r="5693">
      <c r="A5693" t="inlineStr">
        <is>
          <t>RP0005692</t>
        </is>
      </c>
      <c r="B5693" t="inlineStr">
        <is>
          <t>LN200809</t>
        </is>
      </c>
      <c r="C5693" t="n">
        <v>13</v>
      </c>
      <c r="D5693" s="8" t="n">
        <v>46438</v>
      </c>
      <c r="E5693" s="9" t="n">
        <v>5276.61</v>
      </c>
      <c r="F5693" s="8" t="n"/>
      <c r="G5693" s="9" t="n">
        <v>0</v>
      </c>
      <c r="H5693" t="inlineStr">
        <is>
          <t>NOT_DUE</t>
        </is>
      </c>
      <c r="I5693">
        <f>IF(H5693="UNPAID", AsOfDate-D5693, 0)</f>
        <v/>
      </c>
      <c r="J5693">
        <f>IF(F5693&lt;&gt;"", TEXT(F5693, "yyyy-mm"), "")</f>
        <v/>
      </c>
    </row>
    <row r="5694">
      <c r="A5694" t="inlineStr">
        <is>
          <t>RP0005693</t>
        </is>
      </c>
      <c r="B5694" t="inlineStr">
        <is>
          <t>LN200809</t>
        </is>
      </c>
      <c r="C5694" t="n">
        <v>14</v>
      </c>
      <c r="D5694" s="8" t="n">
        <v>46466</v>
      </c>
      <c r="E5694" s="9" t="n">
        <v>5276.61</v>
      </c>
      <c r="F5694" s="8" t="n"/>
      <c r="G5694" s="9" t="n">
        <v>0</v>
      </c>
      <c r="H5694" t="inlineStr">
        <is>
          <t>NOT_DUE</t>
        </is>
      </c>
      <c r="I5694">
        <f>IF(H5694="UNPAID", AsOfDate-D5694, 0)</f>
        <v/>
      </c>
      <c r="J5694">
        <f>IF(F5694&lt;&gt;"", TEXT(F5694, "yyyy-mm"), "")</f>
        <v/>
      </c>
    </row>
    <row r="5695">
      <c r="A5695" t="inlineStr">
        <is>
          <t>RP0005694</t>
        </is>
      </c>
      <c r="B5695" t="inlineStr">
        <is>
          <t>LN200809</t>
        </is>
      </c>
      <c r="C5695" t="n">
        <v>15</v>
      </c>
      <c r="D5695" s="8" t="n">
        <v>46497</v>
      </c>
      <c r="E5695" s="9" t="n">
        <v>5276.61</v>
      </c>
      <c r="F5695" s="8" t="n"/>
      <c r="G5695" s="9" t="n">
        <v>0</v>
      </c>
      <c r="H5695" t="inlineStr">
        <is>
          <t>NOT_DUE</t>
        </is>
      </c>
      <c r="I5695">
        <f>IF(H5695="UNPAID", AsOfDate-D5695, 0)</f>
        <v/>
      </c>
      <c r="J5695">
        <f>IF(F5695&lt;&gt;"", TEXT(F5695, "yyyy-mm"), "")</f>
        <v/>
      </c>
    </row>
    <row r="5696">
      <c r="A5696" t="inlineStr">
        <is>
          <t>RP0005695</t>
        </is>
      </c>
      <c r="B5696" t="inlineStr">
        <is>
          <t>LN200809</t>
        </is>
      </c>
      <c r="C5696" t="n">
        <v>16</v>
      </c>
      <c r="D5696" s="8" t="n">
        <v>46527</v>
      </c>
      <c r="E5696" s="9" t="n">
        <v>5276.61</v>
      </c>
      <c r="F5696" s="8" t="n"/>
      <c r="G5696" s="9" t="n">
        <v>0</v>
      </c>
      <c r="H5696" t="inlineStr">
        <is>
          <t>NOT_DUE</t>
        </is>
      </c>
      <c r="I5696">
        <f>IF(H5696="UNPAID", AsOfDate-D5696, 0)</f>
        <v/>
      </c>
      <c r="J5696">
        <f>IF(F5696&lt;&gt;"", TEXT(F5696, "yyyy-mm"), "")</f>
        <v/>
      </c>
    </row>
    <row r="5697">
      <c r="A5697" t="inlineStr">
        <is>
          <t>RP0005696</t>
        </is>
      </c>
      <c r="B5697" t="inlineStr">
        <is>
          <t>LN200809</t>
        </is>
      </c>
      <c r="C5697" t="n">
        <v>17</v>
      </c>
      <c r="D5697" s="8" t="n">
        <v>46558</v>
      </c>
      <c r="E5697" s="9" t="n">
        <v>5276.61</v>
      </c>
      <c r="F5697" s="8" t="n"/>
      <c r="G5697" s="9" t="n">
        <v>0</v>
      </c>
      <c r="H5697" t="inlineStr">
        <is>
          <t>NOT_DUE</t>
        </is>
      </c>
      <c r="I5697">
        <f>IF(H5697="UNPAID", AsOfDate-D5697, 0)</f>
        <v/>
      </c>
      <c r="J5697">
        <f>IF(F5697&lt;&gt;"", TEXT(F5697, "yyyy-mm"), "")</f>
        <v/>
      </c>
    </row>
    <row r="5698">
      <c r="A5698" t="inlineStr">
        <is>
          <t>RP0005697</t>
        </is>
      </c>
      <c r="B5698" t="inlineStr">
        <is>
          <t>LN200809</t>
        </is>
      </c>
      <c r="C5698" t="n">
        <v>18</v>
      </c>
      <c r="D5698" s="8" t="n">
        <v>46588</v>
      </c>
      <c r="E5698" s="9" t="n">
        <v>5276.61</v>
      </c>
      <c r="F5698" s="8" t="n"/>
      <c r="G5698" s="9" t="n">
        <v>0</v>
      </c>
      <c r="H5698" t="inlineStr">
        <is>
          <t>NOT_DUE</t>
        </is>
      </c>
      <c r="I5698">
        <f>IF(H5698="UNPAID", AsOfDate-D5698, 0)</f>
        <v/>
      </c>
      <c r="J5698">
        <f>IF(F5698&lt;&gt;"", TEXT(F5698, "yyyy-mm"), "")</f>
        <v/>
      </c>
    </row>
    <row r="5699">
      <c r="A5699" t="inlineStr">
        <is>
          <t>RP0005698</t>
        </is>
      </c>
      <c r="B5699" t="inlineStr">
        <is>
          <t>LN200810</t>
        </is>
      </c>
      <c r="C5699" t="n">
        <v>1</v>
      </c>
      <c r="D5699" s="8" t="n">
        <v>46042</v>
      </c>
      <c r="E5699" s="9" t="n">
        <v>8265</v>
      </c>
      <c r="F5699" s="8" t="n">
        <v>46044</v>
      </c>
      <c r="G5699" s="9" t="n">
        <v>8265</v>
      </c>
      <c r="H5699" t="inlineStr">
        <is>
          <t>PAID_ON_TIME</t>
        </is>
      </c>
      <c r="I5699">
        <f>IF(H5699="UNPAID", AsOfDate-D5699, 0)</f>
        <v/>
      </c>
      <c r="J5699">
        <f>IF(F5699&lt;&gt;"", TEXT(F5699, "yyyy-mm"), "")</f>
        <v/>
      </c>
    </row>
    <row r="5700">
      <c r="A5700" t="inlineStr">
        <is>
          <t>RP0005699</t>
        </is>
      </c>
      <c r="B5700" t="inlineStr">
        <is>
          <t>LN200810</t>
        </is>
      </c>
      <c r="C5700" t="n">
        <v>2</v>
      </c>
      <c r="D5700" s="8" t="n">
        <v>46073</v>
      </c>
      <c r="E5700" s="9" t="n">
        <v>8265</v>
      </c>
      <c r="F5700" s="8" t="n">
        <v>46075</v>
      </c>
      <c r="G5700" s="9" t="n">
        <v>8265</v>
      </c>
      <c r="H5700" t="inlineStr">
        <is>
          <t>PAID_ON_TIME</t>
        </is>
      </c>
      <c r="I5700">
        <f>IF(H5700="UNPAID", AsOfDate-D5700, 0)</f>
        <v/>
      </c>
      <c r="J5700">
        <f>IF(F5700&lt;&gt;"", TEXT(F5700, "yyyy-mm"), "")</f>
        <v/>
      </c>
    </row>
    <row r="5701">
      <c r="A5701" t="inlineStr">
        <is>
          <t>RP0005700</t>
        </is>
      </c>
      <c r="B5701" t="inlineStr">
        <is>
          <t>LN200810</t>
        </is>
      </c>
      <c r="C5701" t="n">
        <v>3</v>
      </c>
      <c r="D5701" s="8" t="n">
        <v>46101</v>
      </c>
      <c r="E5701" s="9" t="n">
        <v>8265</v>
      </c>
      <c r="F5701" s="8" t="n">
        <v>46102</v>
      </c>
      <c r="G5701" s="9" t="n">
        <v>8265</v>
      </c>
      <c r="H5701" t="inlineStr">
        <is>
          <t>PAID_ON_TIME</t>
        </is>
      </c>
      <c r="I5701">
        <f>IF(H5701="UNPAID", AsOfDate-D5701, 0)</f>
        <v/>
      </c>
      <c r="J5701">
        <f>IF(F5701&lt;&gt;"", TEXT(F5701, "yyyy-mm"), "")</f>
        <v/>
      </c>
    </row>
    <row r="5702">
      <c r="A5702" t="inlineStr">
        <is>
          <t>RP0005701</t>
        </is>
      </c>
      <c r="B5702" t="inlineStr">
        <is>
          <t>LN200810</t>
        </is>
      </c>
      <c r="C5702" t="n">
        <v>4</v>
      </c>
      <c r="D5702" s="8" t="n">
        <v>46132</v>
      </c>
      <c r="E5702" s="9" t="n">
        <v>8265</v>
      </c>
      <c r="F5702" s="8" t="n">
        <v>46178</v>
      </c>
      <c r="G5702" s="9" t="n">
        <v>8265</v>
      </c>
      <c r="H5702" t="inlineStr">
        <is>
          <t>PAID_LATE</t>
        </is>
      </c>
      <c r="I5702">
        <f>IF(H5702="UNPAID", AsOfDate-D5702, 0)</f>
        <v/>
      </c>
      <c r="J5702">
        <f>IF(F5702&lt;&gt;"", TEXT(F5702, "yyyy-mm"), "")</f>
        <v/>
      </c>
    </row>
    <row r="5703">
      <c r="A5703" t="inlineStr">
        <is>
          <t>RP0005702</t>
        </is>
      </c>
      <c r="B5703" t="inlineStr">
        <is>
          <t>LN200810</t>
        </is>
      </c>
      <c r="C5703" t="n">
        <v>5</v>
      </c>
      <c r="D5703" s="8" t="n">
        <v>46162</v>
      </c>
      <c r="E5703" s="9" t="n">
        <v>8265</v>
      </c>
      <c r="F5703" s="8" t="n">
        <v>46162</v>
      </c>
      <c r="G5703" s="9" t="n">
        <v>8265</v>
      </c>
      <c r="H5703" t="inlineStr">
        <is>
          <t>PAID_ON_TIME</t>
        </is>
      </c>
      <c r="I5703">
        <f>IF(H5703="UNPAID", AsOfDate-D5703, 0)</f>
        <v/>
      </c>
      <c r="J5703">
        <f>IF(F5703&lt;&gt;"", TEXT(F5703, "yyyy-mm"), "")</f>
        <v/>
      </c>
    </row>
    <row r="5704">
      <c r="A5704" t="inlineStr">
        <is>
          <t>RP0005703</t>
        </is>
      </c>
      <c r="B5704" t="inlineStr">
        <is>
          <t>LN200810</t>
        </is>
      </c>
      <c r="C5704" t="n">
        <v>6</v>
      </c>
      <c r="D5704" s="8" t="n">
        <v>46193</v>
      </c>
      <c r="E5704" s="9" t="n">
        <v>8265</v>
      </c>
      <c r="F5704" s="8" t="n">
        <v>46192</v>
      </c>
      <c r="G5704" s="9" t="n">
        <v>8265</v>
      </c>
      <c r="H5704" t="inlineStr">
        <is>
          <t>PAID_ON_TIME</t>
        </is>
      </c>
      <c r="I5704">
        <f>IF(H5704="UNPAID", AsOfDate-D5704, 0)</f>
        <v/>
      </c>
      <c r="J5704">
        <f>IF(F5704&lt;&gt;"", TEXT(F5704, "yyyy-mm"), "")</f>
        <v/>
      </c>
    </row>
    <row r="5705">
      <c r="A5705" t="inlineStr">
        <is>
          <t>RP0005704</t>
        </is>
      </c>
      <c r="B5705" t="inlineStr">
        <is>
          <t>LN200811</t>
        </is>
      </c>
      <c r="C5705" t="n">
        <v>1</v>
      </c>
      <c r="D5705" s="8" t="n">
        <v>46186</v>
      </c>
      <c r="E5705" s="9" t="n">
        <v>8072.06</v>
      </c>
      <c r="F5705" s="8" t="n">
        <v>46190</v>
      </c>
      <c r="G5705" s="9" t="n">
        <v>8072.06</v>
      </c>
      <c r="H5705" t="inlineStr">
        <is>
          <t>PAID_ON_TIME</t>
        </is>
      </c>
      <c r="I5705">
        <f>IF(H5705="UNPAID", AsOfDate-D5705, 0)</f>
        <v/>
      </c>
      <c r="J5705">
        <f>IF(F5705&lt;&gt;"", TEXT(F5705, "yyyy-mm"), "")</f>
        <v/>
      </c>
    </row>
    <row r="5706">
      <c r="A5706" t="inlineStr">
        <is>
          <t>RP0005705</t>
        </is>
      </c>
      <c r="B5706" t="inlineStr">
        <is>
          <t>LN200811</t>
        </is>
      </c>
      <c r="C5706" t="n">
        <v>2</v>
      </c>
      <c r="D5706" s="8" t="n">
        <v>46216</v>
      </c>
      <c r="E5706" s="9" t="n">
        <v>8072.06</v>
      </c>
      <c r="F5706" s="8" t="n">
        <v>46213</v>
      </c>
      <c r="G5706" s="9" t="n">
        <v>8072.06</v>
      </c>
      <c r="H5706" t="inlineStr">
        <is>
          <t>PAID_ON_TIME</t>
        </is>
      </c>
      <c r="I5706">
        <f>IF(H5706="UNPAID", AsOfDate-D5706, 0)</f>
        <v/>
      </c>
      <c r="J5706">
        <f>IF(F5706&lt;&gt;"", TEXT(F5706, "yyyy-mm"), "")</f>
        <v/>
      </c>
    </row>
    <row r="5707">
      <c r="A5707" t="inlineStr">
        <is>
          <t>RP0005706</t>
        </is>
      </c>
      <c r="B5707" t="inlineStr">
        <is>
          <t>LN200811</t>
        </is>
      </c>
      <c r="C5707" t="n">
        <v>3</v>
      </c>
      <c r="D5707" s="8" t="n">
        <v>46247</v>
      </c>
      <c r="E5707" s="9" t="n">
        <v>8072.06</v>
      </c>
      <c r="F5707" s="8" t="n">
        <v>46251</v>
      </c>
      <c r="G5707" s="9" t="n">
        <v>8072.06</v>
      </c>
      <c r="H5707" t="inlineStr">
        <is>
          <t>PAID_ON_TIME</t>
        </is>
      </c>
      <c r="I5707">
        <f>IF(H5707="UNPAID", AsOfDate-D5707, 0)</f>
        <v/>
      </c>
      <c r="J5707">
        <f>IF(F5707&lt;&gt;"", TEXT(F5707, "yyyy-mm"), "")</f>
        <v/>
      </c>
    </row>
    <row r="5708">
      <c r="A5708" t="inlineStr">
        <is>
          <t>RP0005707</t>
        </is>
      </c>
      <c r="B5708" t="inlineStr">
        <is>
          <t>LN200811</t>
        </is>
      </c>
      <c r="C5708" t="n">
        <v>4</v>
      </c>
      <c r="D5708" s="8" t="n">
        <v>46278</v>
      </c>
      <c r="E5708" s="9" t="n">
        <v>8072.06</v>
      </c>
      <c r="F5708" s="8" t="n"/>
      <c r="G5708" s="9" t="n">
        <v>0</v>
      </c>
      <c r="H5708" t="inlineStr">
        <is>
          <t>NOT_DUE</t>
        </is>
      </c>
      <c r="I5708">
        <f>IF(H5708="UNPAID", AsOfDate-D5708, 0)</f>
        <v/>
      </c>
      <c r="J5708">
        <f>IF(F5708&lt;&gt;"", TEXT(F5708, "yyyy-mm"), "")</f>
        <v/>
      </c>
    </row>
    <row r="5709">
      <c r="A5709" t="inlineStr">
        <is>
          <t>RP0005708</t>
        </is>
      </c>
      <c r="B5709" t="inlineStr">
        <is>
          <t>LN200811</t>
        </is>
      </c>
      <c r="C5709" t="n">
        <v>5</v>
      </c>
      <c r="D5709" s="8" t="n">
        <v>46308</v>
      </c>
      <c r="E5709" s="9" t="n">
        <v>8072.06</v>
      </c>
      <c r="F5709" s="8" t="n"/>
      <c r="G5709" s="9" t="n">
        <v>0</v>
      </c>
      <c r="H5709" t="inlineStr">
        <is>
          <t>NOT_DUE</t>
        </is>
      </c>
      <c r="I5709">
        <f>IF(H5709="UNPAID", AsOfDate-D5709, 0)</f>
        <v/>
      </c>
      <c r="J5709">
        <f>IF(F5709&lt;&gt;"", TEXT(F5709, "yyyy-mm"), "")</f>
        <v/>
      </c>
    </row>
    <row r="5710">
      <c r="A5710" t="inlineStr">
        <is>
          <t>RP0005709</t>
        </is>
      </c>
      <c r="B5710" t="inlineStr">
        <is>
          <t>LN200811</t>
        </is>
      </c>
      <c r="C5710" t="n">
        <v>6</v>
      </c>
      <c r="D5710" s="8" t="n">
        <v>46339</v>
      </c>
      <c r="E5710" s="9" t="n">
        <v>8072.06</v>
      </c>
      <c r="F5710" s="8" t="n"/>
      <c r="G5710" s="9" t="n">
        <v>0</v>
      </c>
      <c r="H5710" t="inlineStr">
        <is>
          <t>NOT_DUE</t>
        </is>
      </c>
      <c r="I5710">
        <f>IF(H5710="UNPAID", AsOfDate-D5710, 0)</f>
        <v/>
      </c>
      <c r="J5710">
        <f>IF(F5710&lt;&gt;"", TEXT(F5710, "yyyy-mm"), "")</f>
        <v/>
      </c>
    </row>
    <row r="5711">
      <c r="A5711" t="inlineStr">
        <is>
          <t>RP0005710</t>
        </is>
      </c>
      <c r="B5711" t="inlineStr">
        <is>
          <t>LN200811</t>
        </is>
      </c>
      <c r="C5711" t="n">
        <v>7</v>
      </c>
      <c r="D5711" s="8" t="n">
        <v>46369</v>
      </c>
      <c r="E5711" s="9" t="n">
        <v>8072.06</v>
      </c>
      <c r="F5711" s="8" t="n"/>
      <c r="G5711" s="9" t="n">
        <v>0</v>
      </c>
      <c r="H5711" t="inlineStr">
        <is>
          <t>NOT_DUE</t>
        </is>
      </c>
      <c r="I5711">
        <f>IF(H5711="UNPAID", AsOfDate-D5711, 0)</f>
        <v/>
      </c>
      <c r="J5711">
        <f>IF(F5711&lt;&gt;"", TEXT(F5711, "yyyy-mm"), "")</f>
        <v/>
      </c>
    </row>
    <row r="5712">
      <c r="A5712" t="inlineStr">
        <is>
          <t>RP0005711</t>
        </is>
      </c>
      <c r="B5712" t="inlineStr">
        <is>
          <t>LN200811</t>
        </is>
      </c>
      <c r="C5712" t="n">
        <v>8</v>
      </c>
      <c r="D5712" s="8" t="n">
        <v>46400</v>
      </c>
      <c r="E5712" s="9" t="n">
        <v>8072.06</v>
      </c>
      <c r="F5712" s="8" t="n"/>
      <c r="G5712" s="9" t="n">
        <v>0</v>
      </c>
      <c r="H5712" t="inlineStr">
        <is>
          <t>NOT_DUE</t>
        </is>
      </c>
      <c r="I5712">
        <f>IF(H5712="UNPAID", AsOfDate-D5712, 0)</f>
        <v/>
      </c>
      <c r="J5712">
        <f>IF(F5712&lt;&gt;"", TEXT(F5712, "yyyy-mm"), "")</f>
        <v/>
      </c>
    </row>
    <row r="5713">
      <c r="A5713" t="inlineStr">
        <is>
          <t>RP0005712</t>
        </is>
      </c>
      <c r="B5713" t="inlineStr">
        <is>
          <t>LN200811</t>
        </is>
      </c>
      <c r="C5713" t="n">
        <v>9</v>
      </c>
      <c r="D5713" s="8" t="n">
        <v>46431</v>
      </c>
      <c r="E5713" s="9" t="n">
        <v>8072.06</v>
      </c>
      <c r="F5713" s="8" t="n"/>
      <c r="G5713" s="9" t="n">
        <v>0</v>
      </c>
      <c r="H5713" t="inlineStr">
        <is>
          <t>NOT_DUE</t>
        </is>
      </c>
      <c r="I5713">
        <f>IF(H5713="UNPAID", AsOfDate-D5713, 0)</f>
        <v/>
      </c>
      <c r="J5713">
        <f>IF(F5713&lt;&gt;"", TEXT(F5713, "yyyy-mm"), "")</f>
        <v/>
      </c>
    </row>
    <row r="5714">
      <c r="A5714" t="inlineStr">
        <is>
          <t>RP0005713</t>
        </is>
      </c>
      <c r="B5714" t="inlineStr">
        <is>
          <t>LN200811</t>
        </is>
      </c>
      <c r="C5714" t="n">
        <v>10</v>
      </c>
      <c r="D5714" s="8" t="n">
        <v>46459</v>
      </c>
      <c r="E5714" s="9" t="n">
        <v>8072.06</v>
      </c>
      <c r="F5714" s="8" t="n"/>
      <c r="G5714" s="9" t="n">
        <v>0</v>
      </c>
      <c r="H5714" t="inlineStr">
        <is>
          <t>NOT_DUE</t>
        </is>
      </c>
      <c r="I5714">
        <f>IF(H5714="UNPAID", AsOfDate-D5714, 0)</f>
        <v/>
      </c>
      <c r="J5714">
        <f>IF(F5714&lt;&gt;"", TEXT(F5714, "yyyy-mm"), "")</f>
        <v/>
      </c>
    </row>
    <row r="5715">
      <c r="A5715" t="inlineStr">
        <is>
          <t>RP0005714</t>
        </is>
      </c>
      <c r="B5715" t="inlineStr">
        <is>
          <t>LN200811</t>
        </is>
      </c>
      <c r="C5715" t="n">
        <v>11</v>
      </c>
      <c r="D5715" s="8" t="n">
        <v>46490</v>
      </c>
      <c r="E5715" s="9" t="n">
        <v>8072.06</v>
      </c>
      <c r="F5715" s="8" t="n"/>
      <c r="G5715" s="9" t="n">
        <v>0</v>
      </c>
      <c r="H5715" t="inlineStr">
        <is>
          <t>NOT_DUE</t>
        </is>
      </c>
      <c r="I5715">
        <f>IF(H5715="UNPAID", AsOfDate-D5715, 0)</f>
        <v/>
      </c>
      <c r="J5715">
        <f>IF(F5715&lt;&gt;"", TEXT(F5715, "yyyy-mm"), "")</f>
        <v/>
      </c>
    </row>
    <row r="5716">
      <c r="A5716" t="inlineStr">
        <is>
          <t>RP0005715</t>
        </is>
      </c>
      <c r="B5716" t="inlineStr">
        <is>
          <t>LN200811</t>
        </is>
      </c>
      <c r="C5716" t="n">
        <v>12</v>
      </c>
      <c r="D5716" s="8" t="n">
        <v>46520</v>
      </c>
      <c r="E5716" s="9" t="n">
        <v>8072.06</v>
      </c>
      <c r="F5716" s="8" t="n"/>
      <c r="G5716" s="9" t="n">
        <v>0</v>
      </c>
      <c r="H5716" t="inlineStr">
        <is>
          <t>NOT_DUE</t>
        </is>
      </c>
      <c r="I5716">
        <f>IF(H5716="UNPAID", AsOfDate-D5716, 0)</f>
        <v/>
      </c>
      <c r="J5716">
        <f>IF(F5716&lt;&gt;"", TEXT(F5716, "yyyy-mm"), "")</f>
        <v/>
      </c>
    </row>
    <row r="5717">
      <c r="A5717" t="inlineStr">
        <is>
          <t>RP0005716</t>
        </is>
      </c>
      <c r="B5717" t="inlineStr">
        <is>
          <t>LN200811</t>
        </is>
      </c>
      <c r="C5717" t="n">
        <v>13</v>
      </c>
      <c r="D5717" s="8" t="n">
        <v>46551</v>
      </c>
      <c r="E5717" s="9" t="n">
        <v>8072.06</v>
      </c>
      <c r="F5717" s="8" t="n"/>
      <c r="G5717" s="9" t="n">
        <v>0</v>
      </c>
      <c r="H5717" t="inlineStr">
        <is>
          <t>NOT_DUE</t>
        </is>
      </c>
      <c r="I5717">
        <f>IF(H5717="UNPAID", AsOfDate-D5717, 0)</f>
        <v/>
      </c>
      <c r="J5717">
        <f>IF(F5717&lt;&gt;"", TEXT(F5717, "yyyy-mm"), "")</f>
        <v/>
      </c>
    </row>
    <row r="5718">
      <c r="A5718" t="inlineStr">
        <is>
          <t>RP0005717</t>
        </is>
      </c>
      <c r="B5718" t="inlineStr">
        <is>
          <t>LN200811</t>
        </is>
      </c>
      <c r="C5718" t="n">
        <v>14</v>
      </c>
      <c r="D5718" s="8" t="n">
        <v>46581</v>
      </c>
      <c r="E5718" s="9" t="n">
        <v>8072.06</v>
      </c>
      <c r="F5718" s="8" t="n"/>
      <c r="G5718" s="9" t="n">
        <v>0</v>
      </c>
      <c r="H5718" t="inlineStr">
        <is>
          <t>NOT_DUE</t>
        </is>
      </c>
      <c r="I5718">
        <f>IF(H5718="UNPAID", AsOfDate-D5718, 0)</f>
        <v/>
      </c>
      <c r="J5718">
        <f>IF(F5718&lt;&gt;"", TEXT(F5718, "yyyy-mm"), "")</f>
        <v/>
      </c>
    </row>
    <row r="5719">
      <c r="A5719" t="inlineStr">
        <is>
          <t>RP0005718</t>
        </is>
      </c>
      <c r="B5719" t="inlineStr">
        <is>
          <t>LN200811</t>
        </is>
      </c>
      <c r="C5719" t="n">
        <v>15</v>
      </c>
      <c r="D5719" s="8" t="n">
        <v>46612</v>
      </c>
      <c r="E5719" s="9" t="n">
        <v>8072.06</v>
      </c>
      <c r="F5719" s="8" t="n"/>
      <c r="G5719" s="9" t="n">
        <v>0</v>
      </c>
      <c r="H5719" t="inlineStr">
        <is>
          <t>NOT_DUE</t>
        </is>
      </c>
      <c r="I5719">
        <f>IF(H5719="UNPAID", AsOfDate-D5719, 0)</f>
        <v/>
      </c>
      <c r="J5719">
        <f>IF(F5719&lt;&gt;"", TEXT(F5719, "yyyy-mm"), "")</f>
        <v/>
      </c>
    </row>
    <row r="5720">
      <c r="A5720" t="inlineStr">
        <is>
          <t>RP0005719</t>
        </is>
      </c>
      <c r="B5720" t="inlineStr">
        <is>
          <t>LN200811</t>
        </is>
      </c>
      <c r="C5720" t="n">
        <v>16</v>
      </c>
      <c r="D5720" s="8" t="n">
        <v>46643</v>
      </c>
      <c r="E5720" s="9" t="n">
        <v>8072.06</v>
      </c>
      <c r="F5720" s="8" t="n"/>
      <c r="G5720" s="9" t="n">
        <v>0</v>
      </c>
      <c r="H5720" t="inlineStr">
        <is>
          <t>NOT_DUE</t>
        </is>
      </c>
      <c r="I5720">
        <f>IF(H5720="UNPAID", AsOfDate-D5720, 0)</f>
        <v/>
      </c>
      <c r="J5720">
        <f>IF(F5720&lt;&gt;"", TEXT(F5720, "yyyy-mm"), "")</f>
        <v/>
      </c>
    </row>
    <row r="5721">
      <c r="A5721" t="inlineStr">
        <is>
          <t>RP0005720</t>
        </is>
      </c>
      <c r="B5721" t="inlineStr">
        <is>
          <t>LN200811</t>
        </is>
      </c>
      <c r="C5721" t="n">
        <v>17</v>
      </c>
      <c r="D5721" s="8" t="n">
        <v>46673</v>
      </c>
      <c r="E5721" s="9" t="n">
        <v>8072.06</v>
      </c>
      <c r="F5721" s="8" t="n"/>
      <c r="G5721" s="9" t="n">
        <v>0</v>
      </c>
      <c r="H5721" t="inlineStr">
        <is>
          <t>NOT_DUE</t>
        </is>
      </c>
      <c r="I5721">
        <f>IF(H5721="UNPAID", AsOfDate-D5721, 0)</f>
        <v/>
      </c>
      <c r="J5721">
        <f>IF(F5721&lt;&gt;"", TEXT(F5721, "yyyy-mm"), "")</f>
        <v/>
      </c>
    </row>
    <row r="5722">
      <c r="A5722" t="inlineStr">
        <is>
          <t>RP0005721</t>
        </is>
      </c>
      <c r="B5722" t="inlineStr">
        <is>
          <t>LN200811</t>
        </is>
      </c>
      <c r="C5722" t="n">
        <v>18</v>
      </c>
      <c r="D5722" s="8" t="n">
        <v>46704</v>
      </c>
      <c r="E5722" s="9" t="n">
        <v>8072.06</v>
      </c>
      <c r="F5722" s="8" t="n"/>
      <c r="G5722" s="9" t="n">
        <v>0</v>
      </c>
      <c r="H5722" t="inlineStr">
        <is>
          <t>NOT_DUE</t>
        </is>
      </c>
      <c r="I5722">
        <f>IF(H5722="UNPAID", AsOfDate-D5722, 0)</f>
        <v/>
      </c>
      <c r="J5722">
        <f>IF(F5722&lt;&gt;"", TEXT(F5722, "yyyy-mm"), "")</f>
        <v/>
      </c>
    </row>
    <row r="5723">
      <c r="A5723" t="inlineStr">
        <is>
          <t>RP0005722</t>
        </is>
      </c>
      <c r="B5723" t="inlineStr">
        <is>
          <t>LN200812</t>
        </is>
      </c>
      <c r="C5723" t="n">
        <v>1</v>
      </c>
      <c r="D5723" s="8" t="n">
        <v>45919</v>
      </c>
      <c r="E5723" s="9" t="n">
        <v>13572.83</v>
      </c>
      <c r="F5723" s="8" t="n">
        <v>45920</v>
      </c>
      <c r="G5723" s="9" t="n">
        <v>13572.83</v>
      </c>
      <c r="H5723" t="inlineStr">
        <is>
          <t>PAID_ON_TIME</t>
        </is>
      </c>
      <c r="I5723">
        <f>IF(H5723="UNPAID", AsOfDate-D5723, 0)</f>
        <v/>
      </c>
      <c r="J5723">
        <f>IF(F5723&lt;&gt;"", TEXT(F5723, "yyyy-mm"), "")</f>
        <v/>
      </c>
    </row>
    <row r="5724">
      <c r="A5724" t="inlineStr">
        <is>
          <t>RP0005723</t>
        </is>
      </c>
      <c r="B5724" t="inlineStr">
        <is>
          <t>LN200812</t>
        </is>
      </c>
      <c r="C5724" t="n">
        <v>2</v>
      </c>
      <c r="D5724" s="8" t="n">
        <v>45949</v>
      </c>
      <c r="E5724" s="9" t="n">
        <v>13572.83</v>
      </c>
      <c r="F5724" s="8" t="n">
        <v>45953</v>
      </c>
      <c r="G5724" s="9" t="n">
        <v>13572.83</v>
      </c>
      <c r="H5724" t="inlineStr">
        <is>
          <t>PAID_ON_TIME</t>
        </is>
      </c>
      <c r="I5724">
        <f>IF(H5724="UNPAID", AsOfDate-D5724, 0)</f>
        <v/>
      </c>
      <c r="J5724">
        <f>IF(F5724&lt;&gt;"", TEXT(F5724, "yyyy-mm"), "")</f>
        <v/>
      </c>
    </row>
    <row r="5725">
      <c r="A5725" t="inlineStr">
        <is>
          <t>RP0005724</t>
        </is>
      </c>
      <c r="B5725" t="inlineStr">
        <is>
          <t>LN200812</t>
        </is>
      </c>
      <c r="C5725" t="n">
        <v>3</v>
      </c>
      <c r="D5725" s="8" t="n">
        <v>45980</v>
      </c>
      <c r="E5725" s="9" t="n">
        <v>13572.83</v>
      </c>
      <c r="F5725" s="8" t="n">
        <v>45984</v>
      </c>
      <c r="G5725" s="9" t="n">
        <v>13572.83</v>
      </c>
      <c r="H5725" t="inlineStr">
        <is>
          <t>PAID_ON_TIME</t>
        </is>
      </c>
      <c r="I5725">
        <f>IF(H5725="UNPAID", AsOfDate-D5725, 0)</f>
        <v/>
      </c>
      <c r="J5725">
        <f>IF(F5725&lt;&gt;"", TEXT(F5725, "yyyy-mm"), "")</f>
        <v/>
      </c>
    </row>
    <row r="5726">
      <c r="A5726" t="inlineStr">
        <is>
          <t>RP0005725</t>
        </is>
      </c>
      <c r="B5726" t="inlineStr">
        <is>
          <t>LN200812</t>
        </is>
      </c>
      <c r="C5726" t="n">
        <v>4</v>
      </c>
      <c r="D5726" s="8" t="n">
        <v>46010</v>
      </c>
      <c r="E5726" s="9" t="n">
        <v>13572.83</v>
      </c>
      <c r="F5726" s="8" t="n">
        <v>46011</v>
      </c>
      <c r="G5726" s="9" t="n">
        <v>13572.83</v>
      </c>
      <c r="H5726" t="inlineStr">
        <is>
          <t>PAID_ON_TIME</t>
        </is>
      </c>
      <c r="I5726">
        <f>IF(H5726="UNPAID", AsOfDate-D5726, 0)</f>
        <v/>
      </c>
      <c r="J5726">
        <f>IF(F5726&lt;&gt;"", TEXT(F5726, "yyyy-mm"), "")</f>
        <v/>
      </c>
    </row>
    <row r="5727">
      <c r="A5727" t="inlineStr">
        <is>
          <t>RP0005726</t>
        </is>
      </c>
      <c r="B5727" t="inlineStr">
        <is>
          <t>LN200812</t>
        </is>
      </c>
      <c r="C5727" t="n">
        <v>5</v>
      </c>
      <c r="D5727" s="8" t="n">
        <v>46041</v>
      </c>
      <c r="E5727" s="9" t="n">
        <v>13572.83</v>
      </c>
      <c r="F5727" s="8" t="n">
        <v>46042</v>
      </c>
      <c r="G5727" s="9" t="n">
        <v>13572.83</v>
      </c>
      <c r="H5727" t="inlineStr">
        <is>
          <t>PAID_ON_TIME</t>
        </is>
      </c>
      <c r="I5727">
        <f>IF(H5727="UNPAID", AsOfDate-D5727, 0)</f>
        <v/>
      </c>
      <c r="J5727">
        <f>IF(F5727&lt;&gt;"", TEXT(F5727, "yyyy-mm"), "")</f>
        <v/>
      </c>
    </row>
    <row r="5728">
      <c r="A5728" t="inlineStr">
        <is>
          <t>RP0005727</t>
        </is>
      </c>
      <c r="B5728" t="inlineStr">
        <is>
          <t>LN200812</t>
        </is>
      </c>
      <c r="C5728" t="n">
        <v>6</v>
      </c>
      <c r="D5728" s="8" t="n">
        <v>46072</v>
      </c>
      <c r="E5728" s="9" t="n">
        <v>13572.83</v>
      </c>
      <c r="F5728" s="8" t="n">
        <v>46074</v>
      </c>
      <c r="G5728" s="9" t="n">
        <v>13572.83</v>
      </c>
      <c r="H5728" t="inlineStr">
        <is>
          <t>PAID_ON_TIME</t>
        </is>
      </c>
      <c r="I5728">
        <f>IF(H5728="UNPAID", AsOfDate-D5728, 0)</f>
        <v/>
      </c>
      <c r="J5728">
        <f>IF(F5728&lt;&gt;"", TEXT(F5728, "yyyy-mm"), "")</f>
        <v/>
      </c>
    </row>
    <row r="5729">
      <c r="A5729" t="inlineStr">
        <is>
          <t>RP0005728</t>
        </is>
      </c>
      <c r="B5729" t="inlineStr">
        <is>
          <t>LN200812</t>
        </is>
      </c>
      <c r="C5729" t="n">
        <v>7</v>
      </c>
      <c r="D5729" s="8" t="n">
        <v>46100</v>
      </c>
      <c r="E5729" s="9" t="n">
        <v>13572.83</v>
      </c>
      <c r="F5729" s="8" t="n">
        <v>46099</v>
      </c>
      <c r="G5729" s="9" t="n">
        <v>13572.83</v>
      </c>
      <c r="H5729" t="inlineStr">
        <is>
          <t>PAID_ON_TIME</t>
        </is>
      </c>
      <c r="I5729">
        <f>IF(H5729="UNPAID", AsOfDate-D5729, 0)</f>
        <v/>
      </c>
      <c r="J5729">
        <f>IF(F5729&lt;&gt;"", TEXT(F5729, "yyyy-mm"), "")</f>
        <v/>
      </c>
    </row>
    <row r="5730">
      <c r="A5730" t="inlineStr">
        <is>
          <t>RP0005729</t>
        </is>
      </c>
      <c r="B5730" t="inlineStr">
        <is>
          <t>LN200812</t>
        </is>
      </c>
      <c r="C5730" t="n">
        <v>8</v>
      </c>
      <c r="D5730" s="8" t="n">
        <v>46131</v>
      </c>
      <c r="E5730" s="9" t="n">
        <v>13572.83</v>
      </c>
      <c r="F5730" s="8" t="n">
        <v>46133</v>
      </c>
      <c r="G5730" s="9" t="n">
        <v>13572.83</v>
      </c>
      <c r="H5730" t="inlineStr">
        <is>
          <t>PAID_ON_TIME</t>
        </is>
      </c>
      <c r="I5730">
        <f>IF(H5730="UNPAID", AsOfDate-D5730, 0)</f>
        <v/>
      </c>
      <c r="J5730">
        <f>IF(F5730&lt;&gt;"", TEXT(F5730, "yyyy-mm"), "")</f>
        <v/>
      </c>
    </row>
    <row r="5731">
      <c r="A5731" t="inlineStr">
        <is>
          <t>RP0005730</t>
        </is>
      </c>
      <c r="B5731" t="inlineStr">
        <is>
          <t>LN200812</t>
        </is>
      </c>
      <c r="C5731" t="n">
        <v>9</v>
      </c>
      <c r="D5731" s="8" t="n">
        <v>46161</v>
      </c>
      <c r="E5731" s="9" t="n">
        <v>13572.83</v>
      </c>
      <c r="F5731" s="8" t="n">
        <v>46159</v>
      </c>
      <c r="G5731" s="9" t="n">
        <v>13572.83</v>
      </c>
      <c r="H5731" t="inlineStr">
        <is>
          <t>PAID_ON_TIME</t>
        </is>
      </c>
      <c r="I5731">
        <f>IF(H5731="UNPAID", AsOfDate-D5731, 0)</f>
        <v/>
      </c>
      <c r="J5731">
        <f>IF(F5731&lt;&gt;"", TEXT(F5731, "yyyy-mm"), "")</f>
        <v/>
      </c>
    </row>
    <row r="5732">
      <c r="A5732" t="inlineStr">
        <is>
          <t>RP0005731</t>
        </is>
      </c>
      <c r="B5732" t="inlineStr">
        <is>
          <t>LN200812</t>
        </is>
      </c>
      <c r="C5732" t="n">
        <v>10</v>
      </c>
      <c r="D5732" s="8" t="n">
        <v>46192</v>
      </c>
      <c r="E5732" s="9" t="n">
        <v>13572.83</v>
      </c>
      <c r="F5732" s="8" t="n">
        <v>46189</v>
      </c>
      <c r="G5732" s="9" t="n">
        <v>13572.83</v>
      </c>
      <c r="H5732" t="inlineStr">
        <is>
          <t>PAID_ON_TIME</t>
        </is>
      </c>
      <c r="I5732">
        <f>IF(H5732="UNPAID", AsOfDate-D5732, 0)</f>
        <v/>
      </c>
      <c r="J5732">
        <f>IF(F5732&lt;&gt;"", TEXT(F5732, "yyyy-mm"), "")</f>
        <v/>
      </c>
    </row>
    <row r="5733">
      <c r="A5733" t="inlineStr">
        <is>
          <t>RP0005732</t>
        </is>
      </c>
      <c r="B5733" t="inlineStr">
        <is>
          <t>LN200812</t>
        </is>
      </c>
      <c r="C5733" t="n">
        <v>11</v>
      </c>
      <c r="D5733" s="8" t="n">
        <v>46222</v>
      </c>
      <c r="E5733" s="9" t="n">
        <v>13572.83</v>
      </c>
      <c r="F5733" s="8" t="n">
        <v>46223</v>
      </c>
      <c r="G5733" s="9" t="n">
        <v>13572.83</v>
      </c>
      <c r="H5733" t="inlineStr">
        <is>
          <t>PAID_ON_TIME</t>
        </is>
      </c>
      <c r="I5733">
        <f>IF(H5733="UNPAID", AsOfDate-D5733, 0)</f>
        <v/>
      </c>
      <c r="J5733">
        <f>IF(F5733&lt;&gt;"", TEXT(F5733, "yyyy-mm"), "")</f>
        <v/>
      </c>
    </row>
    <row r="5734">
      <c r="A5734" t="inlineStr">
        <is>
          <t>RP0005733</t>
        </is>
      </c>
      <c r="B5734" t="inlineStr">
        <is>
          <t>LN200812</t>
        </is>
      </c>
      <c r="C5734" t="n">
        <v>12</v>
      </c>
      <c r="D5734" s="8" t="n">
        <v>46253</v>
      </c>
      <c r="E5734" s="9" t="n">
        <v>13572.83</v>
      </c>
      <c r="F5734" s="8" t="n">
        <v>46257</v>
      </c>
      <c r="G5734" s="9" t="n">
        <v>13572.83</v>
      </c>
      <c r="H5734" t="inlineStr">
        <is>
          <t>PAID_ON_TIME</t>
        </is>
      </c>
      <c r="I5734">
        <f>IF(H5734="UNPAID", AsOfDate-D5734, 0)</f>
        <v/>
      </c>
      <c r="J5734">
        <f>IF(F5734&lt;&gt;"", TEXT(F5734, "yyyy-mm"), "")</f>
        <v/>
      </c>
    </row>
    <row r="5735">
      <c r="A5735" t="inlineStr">
        <is>
          <t>RP0005734</t>
        </is>
      </c>
      <c r="B5735" t="inlineStr">
        <is>
          <t>LN200813</t>
        </is>
      </c>
      <c r="C5735" t="n">
        <v>1</v>
      </c>
      <c r="D5735" s="8" t="n">
        <v>45990</v>
      </c>
      <c r="E5735" s="9" t="n">
        <v>50724</v>
      </c>
      <c r="F5735" s="8" t="n">
        <v>45989</v>
      </c>
      <c r="G5735" s="9" t="n">
        <v>50724</v>
      </c>
      <c r="H5735" t="inlineStr">
        <is>
          <t>PAID_ON_TIME</t>
        </is>
      </c>
      <c r="I5735">
        <f>IF(H5735="UNPAID", AsOfDate-D5735, 0)</f>
        <v/>
      </c>
      <c r="J5735">
        <f>IF(F5735&lt;&gt;"", TEXT(F5735, "yyyy-mm"), "")</f>
        <v/>
      </c>
    </row>
    <row r="5736">
      <c r="A5736" t="inlineStr">
        <is>
          <t>RP0005735</t>
        </is>
      </c>
      <c r="B5736" t="inlineStr">
        <is>
          <t>LN200813</t>
        </is>
      </c>
      <c r="C5736" t="n">
        <v>2</v>
      </c>
      <c r="D5736" s="8" t="n">
        <v>46020</v>
      </c>
      <c r="E5736" s="9" t="n">
        <v>50724</v>
      </c>
      <c r="F5736" s="8" t="n">
        <v>46020</v>
      </c>
      <c r="G5736" s="9" t="n">
        <v>50724</v>
      </c>
      <c r="H5736" t="inlineStr">
        <is>
          <t>PAID_ON_TIME</t>
        </is>
      </c>
      <c r="I5736">
        <f>IF(H5736="UNPAID", AsOfDate-D5736, 0)</f>
        <v/>
      </c>
      <c r="J5736">
        <f>IF(F5736&lt;&gt;"", TEXT(F5736, "yyyy-mm"), "")</f>
        <v/>
      </c>
    </row>
    <row r="5737">
      <c r="A5737" t="inlineStr">
        <is>
          <t>RP0005736</t>
        </is>
      </c>
      <c r="B5737" t="inlineStr">
        <is>
          <t>LN200813</t>
        </is>
      </c>
      <c r="C5737" t="n">
        <v>3</v>
      </c>
      <c r="D5737" s="8" t="n">
        <v>46051</v>
      </c>
      <c r="E5737" s="9" t="n">
        <v>50724</v>
      </c>
      <c r="F5737" s="8" t="n">
        <v>46051</v>
      </c>
      <c r="G5737" s="9" t="n">
        <v>50724</v>
      </c>
      <c r="H5737" t="inlineStr">
        <is>
          <t>PAID_ON_TIME</t>
        </is>
      </c>
      <c r="I5737">
        <f>IF(H5737="UNPAID", AsOfDate-D5737, 0)</f>
        <v/>
      </c>
      <c r="J5737">
        <f>IF(F5737&lt;&gt;"", TEXT(F5737, "yyyy-mm"), "")</f>
        <v/>
      </c>
    </row>
    <row r="5738">
      <c r="A5738" t="inlineStr">
        <is>
          <t>RP0005737</t>
        </is>
      </c>
      <c r="B5738" t="inlineStr">
        <is>
          <t>LN200814</t>
        </is>
      </c>
      <c r="C5738" t="n">
        <v>1</v>
      </c>
      <c r="D5738" s="8" t="n">
        <v>46088</v>
      </c>
      <c r="E5738" s="9" t="n">
        <v>81414.08</v>
      </c>
      <c r="F5738" s="8" t="n">
        <v>46092</v>
      </c>
      <c r="G5738" s="9" t="n">
        <v>81414.08</v>
      </c>
      <c r="H5738" t="inlineStr">
        <is>
          <t>PAID_ON_TIME</t>
        </is>
      </c>
      <c r="I5738">
        <f>IF(H5738="UNPAID", AsOfDate-D5738, 0)</f>
        <v/>
      </c>
      <c r="J5738">
        <f>IF(F5738&lt;&gt;"", TEXT(F5738, "yyyy-mm"), "")</f>
        <v/>
      </c>
    </row>
    <row r="5739">
      <c r="A5739" t="inlineStr">
        <is>
          <t>RP0005738</t>
        </is>
      </c>
      <c r="B5739" t="inlineStr">
        <is>
          <t>LN200814</t>
        </is>
      </c>
      <c r="C5739" t="n">
        <v>2</v>
      </c>
      <c r="D5739" s="8" t="n">
        <v>46119</v>
      </c>
      <c r="E5739" s="9" t="n">
        <v>81414.08</v>
      </c>
      <c r="F5739" s="8" t="n">
        <v>46121</v>
      </c>
      <c r="G5739" s="9" t="n">
        <v>81414.08</v>
      </c>
      <c r="H5739" t="inlineStr">
        <is>
          <t>PAID_ON_TIME</t>
        </is>
      </c>
      <c r="I5739">
        <f>IF(H5739="UNPAID", AsOfDate-D5739, 0)</f>
        <v/>
      </c>
      <c r="J5739">
        <f>IF(F5739&lt;&gt;"", TEXT(F5739, "yyyy-mm"), "")</f>
        <v/>
      </c>
    </row>
    <row r="5740">
      <c r="A5740" t="inlineStr">
        <is>
          <t>RP0005739</t>
        </is>
      </c>
      <c r="B5740" t="inlineStr">
        <is>
          <t>LN200814</t>
        </is>
      </c>
      <c r="C5740" t="n">
        <v>3</v>
      </c>
      <c r="D5740" s="8" t="n">
        <v>46149</v>
      </c>
      <c r="E5740" s="9" t="n">
        <v>81414.08</v>
      </c>
      <c r="F5740" s="8" t="n">
        <v>46177</v>
      </c>
      <c r="G5740" s="9" t="n">
        <v>81414.08</v>
      </c>
      <c r="H5740" t="inlineStr">
        <is>
          <t>PAID_LATE</t>
        </is>
      </c>
      <c r="I5740">
        <f>IF(H5740="UNPAID", AsOfDate-D5740, 0)</f>
        <v/>
      </c>
      <c r="J5740">
        <f>IF(F5740&lt;&gt;"", TEXT(F5740, "yyyy-mm"), "")</f>
        <v/>
      </c>
    </row>
    <row r="5741">
      <c r="A5741" t="inlineStr">
        <is>
          <t>RP0005740</t>
        </is>
      </c>
      <c r="B5741" t="inlineStr">
        <is>
          <t>LN200815</t>
        </is>
      </c>
      <c r="C5741" t="n">
        <v>1</v>
      </c>
      <c r="D5741" s="8" t="n">
        <v>46191</v>
      </c>
      <c r="E5741" s="9" t="n">
        <v>22627</v>
      </c>
      <c r="F5741" s="8" t="n">
        <v>46190</v>
      </c>
      <c r="G5741" s="9" t="n">
        <v>22627</v>
      </c>
      <c r="H5741" t="inlineStr">
        <is>
          <t>PAID_ON_TIME</t>
        </is>
      </c>
      <c r="I5741">
        <f>IF(H5741="UNPAID", AsOfDate-D5741, 0)</f>
        <v/>
      </c>
      <c r="J5741">
        <f>IF(F5741&lt;&gt;"", TEXT(F5741, "yyyy-mm"), "")</f>
        <v/>
      </c>
    </row>
    <row r="5742">
      <c r="A5742" t="inlineStr">
        <is>
          <t>RP0005741</t>
        </is>
      </c>
      <c r="B5742" t="inlineStr">
        <is>
          <t>LN200815</t>
        </is>
      </c>
      <c r="C5742" t="n">
        <v>2</v>
      </c>
      <c r="D5742" s="8" t="n">
        <v>46221</v>
      </c>
      <c r="E5742" s="9" t="n">
        <v>22627</v>
      </c>
      <c r="F5742" s="8" t="n">
        <v>46220</v>
      </c>
      <c r="G5742" s="9" t="n">
        <v>22627</v>
      </c>
      <c r="H5742" t="inlineStr">
        <is>
          <t>PAID_ON_TIME</t>
        </is>
      </c>
      <c r="I5742">
        <f>IF(H5742="UNPAID", AsOfDate-D5742, 0)</f>
        <v/>
      </c>
      <c r="J5742">
        <f>IF(F5742&lt;&gt;"", TEXT(F5742, "yyyy-mm"), "")</f>
        <v/>
      </c>
    </row>
    <row r="5743">
      <c r="A5743" t="inlineStr">
        <is>
          <t>RP0005742</t>
        </is>
      </c>
      <c r="B5743" t="inlineStr">
        <is>
          <t>LN200815</t>
        </is>
      </c>
      <c r="C5743" t="n">
        <v>3</v>
      </c>
      <c r="D5743" s="8" t="n">
        <v>46252</v>
      </c>
      <c r="E5743" s="9" t="n">
        <v>22627</v>
      </c>
      <c r="F5743" s="8" t="n">
        <v>46252</v>
      </c>
      <c r="G5743" s="9" t="n">
        <v>22627</v>
      </c>
      <c r="H5743" t="inlineStr">
        <is>
          <t>PAID_ON_TIME</t>
        </is>
      </c>
      <c r="I5743">
        <f>IF(H5743="UNPAID", AsOfDate-D5743, 0)</f>
        <v/>
      </c>
      <c r="J5743">
        <f>IF(F5743&lt;&gt;"", TEXT(F5743, "yyyy-mm"), "")</f>
        <v/>
      </c>
    </row>
    <row r="5744">
      <c r="A5744" t="inlineStr">
        <is>
          <t>RP0005743</t>
        </is>
      </c>
      <c r="B5744" t="inlineStr">
        <is>
          <t>LN200815</t>
        </is>
      </c>
      <c r="C5744" t="n">
        <v>4</v>
      </c>
      <c r="D5744" s="8" t="n">
        <v>46283</v>
      </c>
      <c r="E5744" s="9" t="n">
        <v>22627</v>
      </c>
      <c r="F5744" s="8" t="n"/>
      <c r="G5744" s="9" t="n">
        <v>0</v>
      </c>
      <c r="H5744" t="inlineStr">
        <is>
          <t>NOT_DUE</t>
        </is>
      </c>
      <c r="I5744">
        <f>IF(H5744="UNPAID", AsOfDate-D5744, 0)</f>
        <v/>
      </c>
      <c r="J5744">
        <f>IF(F5744&lt;&gt;"", TEXT(F5744, "yyyy-mm"), "")</f>
        <v/>
      </c>
    </row>
    <row r="5745">
      <c r="A5745" t="inlineStr">
        <is>
          <t>RP0005744</t>
        </is>
      </c>
      <c r="B5745" t="inlineStr">
        <is>
          <t>LN200815</t>
        </is>
      </c>
      <c r="C5745" t="n">
        <v>5</v>
      </c>
      <c r="D5745" s="8" t="n">
        <v>46313</v>
      </c>
      <c r="E5745" s="9" t="n">
        <v>22627</v>
      </c>
      <c r="F5745" s="8" t="n"/>
      <c r="G5745" s="9" t="n">
        <v>0</v>
      </c>
      <c r="H5745" t="inlineStr">
        <is>
          <t>NOT_DUE</t>
        </is>
      </c>
      <c r="I5745">
        <f>IF(H5745="UNPAID", AsOfDate-D5745, 0)</f>
        <v/>
      </c>
      <c r="J5745">
        <f>IF(F5745&lt;&gt;"", TEXT(F5745, "yyyy-mm"), "")</f>
        <v/>
      </c>
    </row>
    <row r="5746">
      <c r="A5746" t="inlineStr">
        <is>
          <t>RP0005745</t>
        </is>
      </c>
      <c r="B5746" t="inlineStr">
        <is>
          <t>LN200815</t>
        </is>
      </c>
      <c r="C5746" t="n">
        <v>6</v>
      </c>
      <c r="D5746" s="8" t="n">
        <v>46344</v>
      </c>
      <c r="E5746" s="9" t="n">
        <v>22627</v>
      </c>
      <c r="F5746" s="8" t="n"/>
      <c r="G5746" s="9" t="n">
        <v>0</v>
      </c>
      <c r="H5746" t="inlineStr">
        <is>
          <t>NOT_DUE</t>
        </is>
      </c>
      <c r="I5746">
        <f>IF(H5746="UNPAID", AsOfDate-D5746, 0)</f>
        <v/>
      </c>
      <c r="J5746">
        <f>IF(F5746&lt;&gt;"", TEXT(F5746, "yyyy-mm"), "")</f>
        <v/>
      </c>
    </row>
    <row r="5747">
      <c r="A5747" t="inlineStr">
        <is>
          <t>RP0005746</t>
        </is>
      </c>
      <c r="B5747" t="inlineStr">
        <is>
          <t>LN200815</t>
        </is>
      </c>
      <c r="C5747" t="n">
        <v>7</v>
      </c>
      <c r="D5747" s="8" t="n">
        <v>46374</v>
      </c>
      <c r="E5747" s="9" t="n">
        <v>22627</v>
      </c>
      <c r="F5747" s="8" t="n"/>
      <c r="G5747" s="9" t="n">
        <v>0</v>
      </c>
      <c r="H5747" t="inlineStr">
        <is>
          <t>NOT_DUE</t>
        </is>
      </c>
      <c r="I5747">
        <f>IF(H5747="UNPAID", AsOfDate-D5747, 0)</f>
        <v/>
      </c>
      <c r="J5747">
        <f>IF(F5747&lt;&gt;"", TEXT(F5747, "yyyy-mm"), "")</f>
        <v/>
      </c>
    </row>
    <row r="5748">
      <c r="A5748" t="inlineStr">
        <is>
          <t>RP0005747</t>
        </is>
      </c>
      <c r="B5748" t="inlineStr">
        <is>
          <t>LN200815</t>
        </is>
      </c>
      <c r="C5748" t="n">
        <v>8</v>
      </c>
      <c r="D5748" s="8" t="n">
        <v>46405</v>
      </c>
      <c r="E5748" s="9" t="n">
        <v>22627</v>
      </c>
      <c r="F5748" s="8" t="n"/>
      <c r="G5748" s="9" t="n">
        <v>0</v>
      </c>
      <c r="H5748" t="inlineStr">
        <is>
          <t>NOT_DUE</t>
        </is>
      </c>
      <c r="I5748">
        <f>IF(H5748="UNPAID", AsOfDate-D5748, 0)</f>
        <v/>
      </c>
      <c r="J5748">
        <f>IF(F5748&lt;&gt;"", TEXT(F5748, "yyyy-mm"), "")</f>
        <v/>
      </c>
    </row>
    <row r="5749">
      <c r="A5749" t="inlineStr">
        <is>
          <t>RP0005748</t>
        </is>
      </c>
      <c r="B5749" t="inlineStr">
        <is>
          <t>LN200815</t>
        </is>
      </c>
      <c r="C5749" t="n">
        <v>9</v>
      </c>
      <c r="D5749" s="8" t="n">
        <v>46436</v>
      </c>
      <c r="E5749" s="9" t="n">
        <v>22627</v>
      </c>
      <c r="F5749" s="8" t="n"/>
      <c r="G5749" s="9" t="n">
        <v>0</v>
      </c>
      <c r="H5749" t="inlineStr">
        <is>
          <t>NOT_DUE</t>
        </is>
      </c>
      <c r="I5749">
        <f>IF(H5749="UNPAID", AsOfDate-D5749, 0)</f>
        <v/>
      </c>
      <c r="J5749">
        <f>IF(F5749&lt;&gt;"", TEXT(F5749, "yyyy-mm"), "")</f>
        <v/>
      </c>
    </row>
    <row r="5750">
      <c r="A5750" t="inlineStr">
        <is>
          <t>RP0005749</t>
        </is>
      </c>
      <c r="B5750" t="inlineStr">
        <is>
          <t>LN200815</t>
        </is>
      </c>
      <c r="C5750" t="n">
        <v>10</v>
      </c>
      <c r="D5750" s="8" t="n">
        <v>46464</v>
      </c>
      <c r="E5750" s="9" t="n">
        <v>22627</v>
      </c>
      <c r="F5750" s="8" t="n"/>
      <c r="G5750" s="9" t="n">
        <v>0</v>
      </c>
      <c r="H5750" t="inlineStr">
        <is>
          <t>NOT_DUE</t>
        </is>
      </c>
      <c r="I5750">
        <f>IF(H5750="UNPAID", AsOfDate-D5750, 0)</f>
        <v/>
      </c>
      <c r="J5750">
        <f>IF(F5750&lt;&gt;"", TEXT(F5750, "yyyy-mm"), "")</f>
        <v/>
      </c>
    </row>
    <row r="5751">
      <c r="A5751" t="inlineStr">
        <is>
          <t>RP0005750</t>
        </is>
      </c>
      <c r="B5751" t="inlineStr">
        <is>
          <t>LN200815</t>
        </is>
      </c>
      <c r="C5751" t="n">
        <v>11</v>
      </c>
      <c r="D5751" s="8" t="n">
        <v>46495</v>
      </c>
      <c r="E5751" s="9" t="n">
        <v>22627</v>
      </c>
      <c r="F5751" s="8" t="n"/>
      <c r="G5751" s="9" t="n">
        <v>0</v>
      </c>
      <c r="H5751" t="inlineStr">
        <is>
          <t>NOT_DUE</t>
        </is>
      </c>
      <c r="I5751">
        <f>IF(H5751="UNPAID", AsOfDate-D5751, 0)</f>
        <v/>
      </c>
      <c r="J5751">
        <f>IF(F5751&lt;&gt;"", TEXT(F5751, "yyyy-mm"), "")</f>
        <v/>
      </c>
    </row>
    <row r="5752">
      <c r="A5752" t="inlineStr">
        <is>
          <t>RP0005751</t>
        </is>
      </c>
      <c r="B5752" t="inlineStr">
        <is>
          <t>LN200815</t>
        </is>
      </c>
      <c r="C5752" t="n">
        <v>12</v>
      </c>
      <c r="D5752" s="8" t="n">
        <v>46525</v>
      </c>
      <c r="E5752" s="9" t="n">
        <v>22627</v>
      </c>
      <c r="F5752" s="8" t="n"/>
      <c r="G5752" s="9" t="n">
        <v>0</v>
      </c>
      <c r="H5752" t="inlineStr">
        <is>
          <t>NOT_DUE</t>
        </is>
      </c>
      <c r="I5752">
        <f>IF(H5752="UNPAID", AsOfDate-D5752, 0)</f>
        <v/>
      </c>
      <c r="J5752">
        <f>IF(F5752&lt;&gt;"", TEXT(F5752, "yyyy-mm"), "")</f>
        <v/>
      </c>
    </row>
    <row r="5753">
      <c r="A5753" t="inlineStr">
        <is>
          <t>RP0005752</t>
        </is>
      </c>
      <c r="B5753" t="inlineStr">
        <is>
          <t>LN200816</t>
        </is>
      </c>
      <c r="C5753" t="n">
        <v>1</v>
      </c>
      <c r="D5753" s="8" t="n">
        <v>46239</v>
      </c>
      <c r="E5753" s="9" t="n">
        <v>9055.280000000001</v>
      </c>
      <c r="F5753" s="8" t="n"/>
      <c r="G5753" s="9" t="n">
        <v>0</v>
      </c>
      <c r="H5753" t="inlineStr">
        <is>
          <t>UNPAID</t>
        </is>
      </c>
      <c r="I5753">
        <f>IF(H5753="UNPAID", AsOfDate-D5753, 0)</f>
        <v/>
      </c>
      <c r="J5753">
        <f>IF(F5753&lt;&gt;"", TEXT(F5753, "yyyy-mm"), "")</f>
        <v/>
      </c>
    </row>
    <row r="5754">
      <c r="A5754" t="inlineStr">
        <is>
          <t>RP0005753</t>
        </is>
      </c>
      <c r="B5754" t="inlineStr">
        <is>
          <t>LN200816</t>
        </is>
      </c>
      <c r="C5754" t="n">
        <v>2</v>
      </c>
      <c r="D5754" s="8" t="n">
        <v>46270</v>
      </c>
      <c r="E5754" s="9" t="n">
        <v>9055.280000000001</v>
      </c>
      <c r="F5754" s="8" t="n"/>
      <c r="G5754" s="9" t="n">
        <v>0</v>
      </c>
      <c r="H5754" t="inlineStr">
        <is>
          <t>NOT_DUE</t>
        </is>
      </c>
      <c r="I5754">
        <f>IF(H5754="UNPAID", AsOfDate-D5754, 0)</f>
        <v/>
      </c>
      <c r="J5754">
        <f>IF(F5754&lt;&gt;"", TEXT(F5754, "yyyy-mm"), "")</f>
        <v/>
      </c>
    </row>
    <row r="5755">
      <c r="A5755" t="inlineStr">
        <is>
          <t>RP0005754</t>
        </is>
      </c>
      <c r="B5755" t="inlineStr">
        <is>
          <t>LN200816</t>
        </is>
      </c>
      <c r="C5755" t="n">
        <v>3</v>
      </c>
      <c r="D5755" s="8" t="n">
        <v>46300</v>
      </c>
      <c r="E5755" s="9" t="n">
        <v>9055.280000000001</v>
      </c>
      <c r="F5755" s="8" t="n"/>
      <c r="G5755" s="9" t="n">
        <v>0</v>
      </c>
      <c r="H5755" t="inlineStr">
        <is>
          <t>NOT_DUE</t>
        </is>
      </c>
      <c r="I5755">
        <f>IF(H5755="UNPAID", AsOfDate-D5755, 0)</f>
        <v/>
      </c>
      <c r="J5755">
        <f>IF(F5755&lt;&gt;"", TEXT(F5755, "yyyy-mm"), "")</f>
        <v/>
      </c>
    </row>
    <row r="5756">
      <c r="A5756" t="inlineStr">
        <is>
          <t>RP0005755</t>
        </is>
      </c>
      <c r="B5756" t="inlineStr">
        <is>
          <t>LN200816</t>
        </is>
      </c>
      <c r="C5756" t="n">
        <v>4</v>
      </c>
      <c r="D5756" s="8" t="n">
        <v>46331</v>
      </c>
      <c r="E5756" s="9" t="n">
        <v>9055.280000000001</v>
      </c>
      <c r="F5756" s="8" t="n"/>
      <c r="G5756" s="9" t="n">
        <v>0</v>
      </c>
      <c r="H5756" t="inlineStr">
        <is>
          <t>NOT_DUE</t>
        </is>
      </c>
      <c r="I5756">
        <f>IF(H5756="UNPAID", AsOfDate-D5756, 0)</f>
        <v/>
      </c>
      <c r="J5756">
        <f>IF(F5756&lt;&gt;"", TEXT(F5756, "yyyy-mm"), "")</f>
        <v/>
      </c>
    </row>
    <row r="5757">
      <c r="A5757" t="inlineStr">
        <is>
          <t>RP0005756</t>
        </is>
      </c>
      <c r="B5757" t="inlineStr">
        <is>
          <t>LN200816</t>
        </is>
      </c>
      <c r="C5757" t="n">
        <v>5</v>
      </c>
      <c r="D5757" s="8" t="n">
        <v>46361</v>
      </c>
      <c r="E5757" s="9" t="n">
        <v>9055.280000000001</v>
      </c>
      <c r="F5757" s="8" t="n"/>
      <c r="G5757" s="9" t="n">
        <v>0</v>
      </c>
      <c r="H5757" t="inlineStr">
        <is>
          <t>NOT_DUE</t>
        </is>
      </c>
      <c r="I5757">
        <f>IF(H5757="UNPAID", AsOfDate-D5757, 0)</f>
        <v/>
      </c>
      <c r="J5757">
        <f>IF(F5757&lt;&gt;"", TEXT(F5757, "yyyy-mm"), "")</f>
        <v/>
      </c>
    </row>
    <row r="5758">
      <c r="A5758" t="inlineStr">
        <is>
          <t>RP0005757</t>
        </is>
      </c>
      <c r="B5758" t="inlineStr">
        <is>
          <t>LN200816</t>
        </is>
      </c>
      <c r="C5758" t="n">
        <v>6</v>
      </c>
      <c r="D5758" s="8" t="n">
        <v>46392</v>
      </c>
      <c r="E5758" s="9" t="n">
        <v>9055.280000000001</v>
      </c>
      <c r="F5758" s="8" t="n"/>
      <c r="G5758" s="9" t="n">
        <v>0</v>
      </c>
      <c r="H5758" t="inlineStr">
        <is>
          <t>NOT_DUE</t>
        </is>
      </c>
      <c r="I5758">
        <f>IF(H5758="UNPAID", AsOfDate-D5758, 0)</f>
        <v/>
      </c>
      <c r="J5758">
        <f>IF(F5758&lt;&gt;"", TEXT(F5758, "yyyy-mm"), "")</f>
        <v/>
      </c>
    </row>
    <row r="5759">
      <c r="A5759" t="inlineStr">
        <is>
          <t>RP0005758</t>
        </is>
      </c>
      <c r="B5759" t="inlineStr">
        <is>
          <t>LN200816</t>
        </is>
      </c>
      <c r="C5759" t="n">
        <v>7</v>
      </c>
      <c r="D5759" s="8" t="n">
        <v>46423</v>
      </c>
      <c r="E5759" s="9" t="n">
        <v>9055.280000000001</v>
      </c>
      <c r="F5759" s="8" t="n"/>
      <c r="G5759" s="9" t="n">
        <v>0</v>
      </c>
      <c r="H5759" t="inlineStr">
        <is>
          <t>NOT_DUE</t>
        </is>
      </c>
      <c r="I5759">
        <f>IF(H5759="UNPAID", AsOfDate-D5759, 0)</f>
        <v/>
      </c>
      <c r="J5759">
        <f>IF(F5759&lt;&gt;"", TEXT(F5759, "yyyy-mm"), "")</f>
        <v/>
      </c>
    </row>
    <row r="5760">
      <c r="A5760" t="inlineStr">
        <is>
          <t>RP0005759</t>
        </is>
      </c>
      <c r="B5760" t="inlineStr">
        <is>
          <t>LN200816</t>
        </is>
      </c>
      <c r="C5760" t="n">
        <v>8</v>
      </c>
      <c r="D5760" s="8" t="n">
        <v>46451</v>
      </c>
      <c r="E5760" s="9" t="n">
        <v>9055.280000000001</v>
      </c>
      <c r="F5760" s="8" t="n"/>
      <c r="G5760" s="9" t="n">
        <v>0</v>
      </c>
      <c r="H5760" t="inlineStr">
        <is>
          <t>NOT_DUE</t>
        </is>
      </c>
      <c r="I5760">
        <f>IF(H5760="UNPAID", AsOfDate-D5760, 0)</f>
        <v/>
      </c>
      <c r="J5760">
        <f>IF(F5760&lt;&gt;"", TEXT(F5760, "yyyy-mm"), "")</f>
        <v/>
      </c>
    </row>
    <row r="5761">
      <c r="A5761" t="inlineStr">
        <is>
          <t>RP0005760</t>
        </is>
      </c>
      <c r="B5761" t="inlineStr">
        <is>
          <t>LN200816</t>
        </is>
      </c>
      <c r="C5761" t="n">
        <v>9</v>
      </c>
      <c r="D5761" s="8" t="n">
        <v>46482</v>
      </c>
      <c r="E5761" s="9" t="n">
        <v>9055.280000000001</v>
      </c>
      <c r="F5761" s="8" t="n"/>
      <c r="G5761" s="9" t="n">
        <v>0</v>
      </c>
      <c r="H5761" t="inlineStr">
        <is>
          <t>NOT_DUE</t>
        </is>
      </c>
      <c r="I5761">
        <f>IF(H5761="UNPAID", AsOfDate-D5761, 0)</f>
        <v/>
      </c>
      <c r="J5761">
        <f>IF(F5761&lt;&gt;"", TEXT(F5761, "yyyy-mm"), "")</f>
        <v/>
      </c>
    </row>
    <row r="5762">
      <c r="A5762" t="inlineStr">
        <is>
          <t>RP0005761</t>
        </is>
      </c>
      <c r="B5762" t="inlineStr">
        <is>
          <t>LN200818</t>
        </is>
      </c>
      <c r="C5762" t="n">
        <v>1</v>
      </c>
      <c r="D5762" s="8" t="n">
        <v>46186</v>
      </c>
      <c r="E5762" s="9" t="n">
        <v>3447.75</v>
      </c>
      <c r="F5762" s="8" t="n">
        <v>46190</v>
      </c>
      <c r="G5762" s="9" t="n">
        <v>3447.75</v>
      </c>
      <c r="H5762" t="inlineStr">
        <is>
          <t>PAID_ON_TIME</t>
        </is>
      </c>
      <c r="I5762">
        <f>IF(H5762="UNPAID", AsOfDate-D5762, 0)</f>
        <v/>
      </c>
      <c r="J5762">
        <f>IF(F5762&lt;&gt;"", TEXT(F5762, "yyyy-mm"), "")</f>
        <v/>
      </c>
    </row>
    <row r="5763">
      <c r="A5763" t="inlineStr">
        <is>
          <t>RP0005762</t>
        </is>
      </c>
      <c r="B5763" t="inlineStr">
        <is>
          <t>LN200818</t>
        </is>
      </c>
      <c r="C5763" t="n">
        <v>2</v>
      </c>
      <c r="D5763" s="8" t="n">
        <v>46216</v>
      </c>
      <c r="E5763" s="9" t="n">
        <v>3447.75</v>
      </c>
      <c r="F5763" s="8" t="n">
        <v>46217</v>
      </c>
      <c r="G5763" s="9" t="n">
        <v>3447.75</v>
      </c>
      <c r="H5763" t="inlineStr">
        <is>
          <t>PAID_ON_TIME</t>
        </is>
      </c>
      <c r="I5763">
        <f>IF(H5763="UNPAID", AsOfDate-D5763, 0)</f>
        <v/>
      </c>
      <c r="J5763">
        <f>IF(F5763&lt;&gt;"", TEXT(F5763, "yyyy-mm"), "")</f>
        <v/>
      </c>
    </row>
    <row r="5764">
      <c r="A5764" t="inlineStr">
        <is>
          <t>RP0005763</t>
        </is>
      </c>
      <c r="B5764" t="inlineStr">
        <is>
          <t>LN200818</t>
        </is>
      </c>
      <c r="C5764" t="n">
        <v>3</v>
      </c>
      <c r="D5764" s="8" t="n">
        <v>46247</v>
      </c>
      <c r="E5764" s="9" t="n">
        <v>3447.75</v>
      </c>
      <c r="F5764" s="8" t="n">
        <v>46245</v>
      </c>
      <c r="G5764" s="9" t="n">
        <v>3447.75</v>
      </c>
      <c r="H5764" t="inlineStr">
        <is>
          <t>PAID_ON_TIME</t>
        </is>
      </c>
      <c r="I5764">
        <f>IF(H5764="UNPAID", AsOfDate-D5764, 0)</f>
        <v/>
      </c>
      <c r="J5764">
        <f>IF(F5764&lt;&gt;"", TEXT(F5764, "yyyy-mm"), "")</f>
        <v/>
      </c>
    </row>
    <row r="5765">
      <c r="A5765" t="inlineStr">
        <is>
          <t>RP0005764</t>
        </is>
      </c>
      <c r="B5765" t="inlineStr">
        <is>
          <t>LN200818</t>
        </is>
      </c>
      <c r="C5765" t="n">
        <v>4</v>
      </c>
      <c r="D5765" s="8" t="n">
        <v>46278</v>
      </c>
      <c r="E5765" s="9" t="n">
        <v>3447.75</v>
      </c>
      <c r="F5765" s="8" t="n"/>
      <c r="G5765" s="9" t="n">
        <v>0</v>
      </c>
      <c r="H5765" t="inlineStr">
        <is>
          <t>NOT_DUE</t>
        </is>
      </c>
      <c r="I5765">
        <f>IF(H5765="UNPAID", AsOfDate-D5765, 0)</f>
        <v/>
      </c>
      <c r="J5765">
        <f>IF(F5765&lt;&gt;"", TEXT(F5765, "yyyy-mm"), "")</f>
        <v/>
      </c>
    </row>
    <row r="5766">
      <c r="A5766" t="inlineStr">
        <is>
          <t>RP0005765</t>
        </is>
      </c>
      <c r="B5766" t="inlineStr">
        <is>
          <t>LN200818</t>
        </is>
      </c>
      <c r="C5766" t="n">
        <v>5</v>
      </c>
      <c r="D5766" s="8" t="n">
        <v>46308</v>
      </c>
      <c r="E5766" s="9" t="n">
        <v>3447.75</v>
      </c>
      <c r="F5766" s="8" t="n"/>
      <c r="G5766" s="9" t="n">
        <v>0</v>
      </c>
      <c r="H5766" t="inlineStr">
        <is>
          <t>NOT_DUE</t>
        </is>
      </c>
      <c r="I5766">
        <f>IF(H5766="UNPAID", AsOfDate-D5766, 0)</f>
        <v/>
      </c>
      <c r="J5766">
        <f>IF(F5766&lt;&gt;"", TEXT(F5766, "yyyy-mm"), "")</f>
        <v/>
      </c>
    </row>
    <row r="5767">
      <c r="A5767" t="inlineStr">
        <is>
          <t>RP0005766</t>
        </is>
      </c>
      <c r="B5767" t="inlineStr">
        <is>
          <t>LN200818</t>
        </is>
      </c>
      <c r="C5767" t="n">
        <v>6</v>
      </c>
      <c r="D5767" s="8" t="n">
        <v>46339</v>
      </c>
      <c r="E5767" s="9" t="n">
        <v>3447.75</v>
      </c>
      <c r="F5767" s="8" t="n"/>
      <c r="G5767" s="9" t="n">
        <v>0</v>
      </c>
      <c r="H5767" t="inlineStr">
        <is>
          <t>NOT_DUE</t>
        </is>
      </c>
      <c r="I5767">
        <f>IF(H5767="UNPAID", AsOfDate-D5767, 0)</f>
        <v/>
      </c>
      <c r="J5767">
        <f>IF(F5767&lt;&gt;"", TEXT(F5767, "yyyy-mm"), "")</f>
        <v/>
      </c>
    </row>
    <row r="5768">
      <c r="A5768" t="inlineStr">
        <is>
          <t>RP0005767</t>
        </is>
      </c>
      <c r="B5768" t="inlineStr">
        <is>
          <t>LN200818</t>
        </is>
      </c>
      <c r="C5768" t="n">
        <v>7</v>
      </c>
      <c r="D5768" s="8" t="n">
        <v>46369</v>
      </c>
      <c r="E5768" s="9" t="n">
        <v>3447.75</v>
      </c>
      <c r="F5768" s="8" t="n"/>
      <c r="G5768" s="9" t="n">
        <v>0</v>
      </c>
      <c r="H5768" t="inlineStr">
        <is>
          <t>NOT_DUE</t>
        </is>
      </c>
      <c r="I5768">
        <f>IF(H5768="UNPAID", AsOfDate-D5768, 0)</f>
        <v/>
      </c>
      <c r="J5768">
        <f>IF(F5768&lt;&gt;"", TEXT(F5768, "yyyy-mm"), "")</f>
        <v/>
      </c>
    </row>
    <row r="5769">
      <c r="A5769" t="inlineStr">
        <is>
          <t>RP0005768</t>
        </is>
      </c>
      <c r="B5769" t="inlineStr">
        <is>
          <t>LN200818</t>
        </is>
      </c>
      <c r="C5769" t="n">
        <v>8</v>
      </c>
      <c r="D5769" s="8" t="n">
        <v>46400</v>
      </c>
      <c r="E5769" s="9" t="n">
        <v>3447.75</v>
      </c>
      <c r="F5769" s="8" t="n"/>
      <c r="G5769" s="9" t="n">
        <v>0</v>
      </c>
      <c r="H5769" t="inlineStr">
        <is>
          <t>NOT_DUE</t>
        </is>
      </c>
      <c r="I5769">
        <f>IF(H5769="UNPAID", AsOfDate-D5769, 0)</f>
        <v/>
      </c>
      <c r="J5769">
        <f>IF(F5769&lt;&gt;"", TEXT(F5769, "yyyy-mm"), "")</f>
        <v/>
      </c>
    </row>
    <row r="5770">
      <c r="A5770" t="inlineStr">
        <is>
          <t>RP0005769</t>
        </is>
      </c>
      <c r="B5770" t="inlineStr">
        <is>
          <t>LN200818</t>
        </is>
      </c>
      <c r="C5770" t="n">
        <v>9</v>
      </c>
      <c r="D5770" s="8" t="n">
        <v>46431</v>
      </c>
      <c r="E5770" s="9" t="n">
        <v>3447.75</v>
      </c>
      <c r="F5770" s="8" t="n"/>
      <c r="G5770" s="9" t="n">
        <v>0</v>
      </c>
      <c r="H5770" t="inlineStr">
        <is>
          <t>NOT_DUE</t>
        </is>
      </c>
      <c r="I5770">
        <f>IF(H5770="UNPAID", AsOfDate-D5770, 0)</f>
        <v/>
      </c>
      <c r="J5770">
        <f>IF(F5770&lt;&gt;"", TEXT(F5770, "yyyy-mm"), "")</f>
        <v/>
      </c>
    </row>
    <row r="5771">
      <c r="A5771" t="inlineStr">
        <is>
          <t>RP0005770</t>
        </is>
      </c>
      <c r="B5771" t="inlineStr">
        <is>
          <t>LN200819</t>
        </is>
      </c>
      <c r="C5771" t="n">
        <v>1</v>
      </c>
      <c r="D5771" s="8" t="n">
        <v>45938</v>
      </c>
      <c r="E5771" s="9" t="n">
        <v>30279.33</v>
      </c>
      <c r="F5771" s="8" t="n">
        <v>45943</v>
      </c>
      <c r="G5771" s="9" t="n">
        <v>30279.33</v>
      </c>
      <c r="H5771" t="inlineStr">
        <is>
          <t>PAID_LATE</t>
        </is>
      </c>
      <c r="I5771">
        <f>IF(H5771="UNPAID", AsOfDate-D5771, 0)</f>
        <v/>
      </c>
      <c r="J5771">
        <f>IF(F5771&lt;&gt;"", TEXT(F5771, "yyyy-mm"), "")</f>
        <v/>
      </c>
    </row>
    <row r="5772">
      <c r="A5772" t="inlineStr">
        <is>
          <t>RP0005771</t>
        </is>
      </c>
      <c r="B5772" t="inlineStr">
        <is>
          <t>LN200819</t>
        </is>
      </c>
      <c r="C5772" t="n">
        <v>2</v>
      </c>
      <c r="D5772" s="8" t="n">
        <v>45969</v>
      </c>
      <c r="E5772" s="9" t="n">
        <v>30279.33</v>
      </c>
      <c r="F5772" s="8" t="n">
        <v>45971</v>
      </c>
      <c r="G5772" s="9" t="n">
        <v>30279.33</v>
      </c>
      <c r="H5772" t="inlineStr">
        <is>
          <t>PAID_ON_TIME</t>
        </is>
      </c>
      <c r="I5772">
        <f>IF(H5772="UNPAID", AsOfDate-D5772, 0)</f>
        <v/>
      </c>
      <c r="J5772">
        <f>IF(F5772&lt;&gt;"", TEXT(F5772, "yyyy-mm"), "")</f>
        <v/>
      </c>
    </row>
    <row r="5773">
      <c r="A5773" t="inlineStr">
        <is>
          <t>RP0005772</t>
        </is>
      </c>
      <c r="B5773" t="inlineStr">
        <is>
          <t>LN200819</t>
        </is>
      </c>
      <c r="C5773" t="n">
        <v>3</v>
      </c>
      <c r="D5773" s="8" t="n">
        <v>45999</v>
      </c>
      <c r="E5773" s="9" t="n">
        <v>30279.33</v>
      </c>
      <c r="F5773" s="8" t="n">
        <v>46000</v>
      </c>
      <c r="G5773" s="9" t="n">
        <v>30279.33</v>
      </c>
      <c r="H5773" t="inlineStr">
        <is>
          <t>PAID_ON_TIME</t>
        </is>
      </c>
      <c r="I5773">
        <f>IF(H5773="UNPAID", AsOfDate-D5773, 0)</f>
        <v/>
      </c>
      <c r="J5773">
        <f>IF(F5773&lt;&gt;"", TEXT(F5773, "yyyy-mm"), "")</f>
        <v/>
      </c>
    </row>
    <row r="5774">
      <c r="A5774" t="inlineStr">
        <is>
          <t>RP0005773</t>
        </is>
      </c>
      <c r="B5774" t="inlineStr">
        <is>
          <t>LN200820</t>
        </is>
      </c>
      <c r="C5774" t="n">
        <v>1</v>
      </c>
      <c r="D5774" s="8" t="n">
        <v>46244</v>
      </c>
      <c r="E5774" s="9" t="n">
        <v>20764</v>
      </c>
      <c r="F5774" s="8" t="n">
        <v>46245</v>
      </c>
      <c r="G5774" s="9" t="n">
        <v>20764</v>
      </c>
      <c r="H5774" t="inlineStr">
        <is>
          <t>PAID_ON_TIME</t>
        </is>
      </c>
      <c r="I5774">
        <f>IF(H5774="UNPAID", AsOfDate-D5774, 0)</f>
        <v/>
      </c>
      <c r="J5774">
        <f>IF(F5774&lt;&gt;"", TEXT(F5774, "yyyy-mm"), "")</f>
        <v/>
      </c>
    </row>
    <row r="5775">
      <c r="A5775" t="inlineStr">
        <is>
          <t>RP0005774</t>
        </is>
      </c>
      <c r="B5775" t="inlineStr">
        <is>
          <t>LN200820</t>
        </is>
      </c>
      <c r="C5775" t="n">
        <v>2</v>
      </c>
      <c r="D5775" s="8" t="n">
        <v>46275</v>
      </c>
      <c r="E5775" s="9" t="n">
        <v>20764</v>
      </c>
      <c r="F5775" s="8" t="n"/>
      <c r="G5775" s="9" t="n">
        <v>0</v>
      </c>
      <c r="H5775" t="inlineStr">
        <is>
          <t>NOT_DUE</t>
        </is>
      </c>
      <c r="I5775">
        <f>IF(H5775="UNPAID", AsOfDate-D5775, 0)</f>
        <v/>
      </c>
      <c r="J5775">
        <f>IF(F5775&lt;&gt;"", TEXT(F5775, "yyyy-mm"), "")</f>
        <v/>
      </c>
    </row>
    <row r="5776">
      <c r="A5776" t="inlineStr">
        <is>
          <t>RP0005775</t>
        </is>
      </c>
      <c r="B5776" t="inlineStr">
        <is>
          <t>LN200820</t>
        </is>
      </c>
      <c r="C5776" t="n">
        <v>3</v>
      </c>
      <c r="D5776" s="8" t="n">
        <v>46305</v>
      </c>
      <c r="E5776" s="9" t="n">
        <v>20764</v>
      </c>
      <c r="F5776" s="8" t="n"/>
      <c r="G5776" s="9" t="n">
        <v>0</v>
      </c>
      <c r="H5776" t="inlineStr">
        <is>
          <t>NOT_DUE</t>
        </is>
      </c>
      <c r="I5776">
        <f>IF(H5776="UNPAID", AsOfDate-D5776, 0)</f>
        <v/>
      </c>
      <c r="J5776">
        <f>IF(F5776&lt;&gt;"", TEXT(F5776, "yyyy-mm"), "")</f>
        <v/>
      </c>
    </row>
    <row r="5777">
      <c r="A5777" t="inlineStr">
        <is>
          <t>RP0005776</t>
        </is>
      </c>
      <c r="B5777" t="inlineStr">
        <is>
          <t>LN200820</t>
        </is>
      </c>
      <c r="C5777" t="n">
        <v>4</v>
      </c>
      <c r="D5777" s="8" t="n">
        <v>46336</v>
      </c>
      <c r="E5777" s="9" t="n">
        <v>20764</v>
      </c>
      <c r="F5777" s="8" t="n"/>
      <c r="G5777" s="9" t="n">
        <v>0</v>
      </c>
      <c r="H5777" t="inlineStr">
        <is>
          <t>NOT_DUE</t>
        </is>
      </c>
      <c r="I5777">
        <f>IF(H5777="UNPAID", AsOfDate-D5777, 0)</f>
        <v/>
      </c>
      <c r="J5777">
        <f>IF(F5777&lt;&gt;"", TEXT(F5777, "yyyy-mm"), "")</f>
        <v/>
      </c>
    </row>
    <row r="5778">
      <c r="A5778" t="inlineStr">
        <is>
          <t>RP0005777</t>
        </is>
      </c>
      <c r="B5778" t="inlineStr">
        <is>
          <t>LN200820</t>
        </is>
      </c>
      <c r="C5778" t="n">
        <v>5</v>
      </c>
      <c r="D5778" s="8" t="n">
        <v>46366</v>
      </c>
      <c r="E5778" s="9" t="n">
        <v>20764</v>
      </c>
      <c r="F5778" s="8" t="n"/>
      <c r="G5778" s="9" t="n">
        <v>0</v>
      </c>
      <c r="H5778" t="inlineStr">
        <is>
          <t>NOT_DUE</t>
        </is>
      </c>
      <c r="I5778">
        <f>IF(H5778="UNPAID", AsOfDate-D5778, 0)</f>
        <v/>
      </c>
      <c r="J5778">
        <f>IF(F5778&lt;&gt;"", TEXT(F5778, "yyyy-mm"), "")</f>
        <v/>
      </c>
    </row>
    <row r="5779">
      <c r="A5779" t="inlineStr">
        <is>
          <t>RP0005778</t>
        </is>
      </c>
      <c r="B5779" t="inlineStr">
        <is>
          <t>LN200820</t>
        </is>
      </c>
      <c r="C5779" t="n">
        <v>6</v>
      </c>
      <c r="D5779" s="8" t="n">
        <v>46397</v>
      </c>
      <c r="E5779" s="9" t="n">
        <v>20764</v>
      </c>
      <c r="F5779" s="8" t="n"/>
      <c r="G5779" s="9" t="n">
        <v>0</v>
      </c>
      <c r="H5779" t="inlineStr">
        <is>
          <t>NOT_DUE</t>
        </is>
      </c>
      <c r="I5779">
        <f>IF(H5779="UNPAID", AsOfDate-D5779, 0)</f>
        <v/>
      </c>
      <c r="J5779">
        <f>IF(F5779&lt;&gt;"", TEXT(F5779, "yyyy-mm"), "")</f>
        <v/>
      </c>
    </row>
    <row r="5780">
      <c r="A5780" t="inlineStr">
        <is>
          <t>RP0005779</t>
        </is>
      </c>
      <c r="B5780" t="inlineStr">
        <is>
          <t>LN200821</t>
        </is>
      </c>
      <c r="C5780" t="n">
        <v>1</v>
      </c>
      <c r="D5780" s="8" t="n">
        <v>45700</v>
      </c>
      <c r="E5780" s="9" t="n">
        <v>13716.08</v>
      </c>
      <c r="F5780" s="8" t="n">
        <v>45793</v>
      </c>
      <c r="G5780" s="9" t="n">
        <v>13716.08</v>
      </c>
      <c r="H5780" t="inlineStr">
        <is>
          <t>PAID_LATE</t>
        </is>
      </c>
      <c r="I5780">
        <f>IF(H5780="UNPAID", AsOfDate-D5780, 0)</f>
        <v/>
      </c>
      <c r="J5780">
        <f>IF(F5780&lt;&gt;"", TEXT(F5780, "yyyy-mm"), "")</f>
        <v/>
      </c>
    </row>
    <row r="5781">
      <c r="A5781" t="inlineStr">
        <is>
          <t>RP0005780</t>
        </is>
      </c>
      <c r="B5781" t="inlineStr">
        <is>
          <t>LN200821</t>
        </is>
      </c>
      <c r="C5781" t="n">
        <v>2</v>
      </c>
      <c r="D5781" s="8" t="n">
        <v>45728</v>
      </c>
      <c r="E5781" s="9" t="n">
        <v>13716.08</v>
      </c>
      <c r="F5781" s="8" t="n"/>
      <c r="G5781" s="9" t="n">
        <v>0</v>
      </c>
      <c r="H5781" t="inlineStr">
        <is>
          <t>UNPAID</t>
        </is>
      </c>
      <c r="I5781">
        <f>IF(H5781="UNPAID", AsOfDate-D5781, 0)</f>
        <v/>
      </c>
      <c r="J5781">
        <f>IF(F5781&lt;&gt;"", TEXT(F5781, "yyyy-mm"), "")</f>
        <v/>
      </c>
    </row>
    <row r="5782">
      <c r="A5782" t="inlineStr">
        <is>
          <t>RP0005781</t>
        </is>
      </c>
      <c r="B5782" t="inlineStr">
        <is>
          <t>LN200821</t>
        </is>
      </c>
      <c r="C5782" t="n">
        <v>3</v>
      </c>
      <c r="D5782" s="8" t="n">
        <v>45759</v>
      </c>
      <c r="E5782" s="9" t="n">
        <v>13716.08</v>
      </c>
      <c r="F5782" s="8" t="n">
        <v>45763</v>
      </c>
      <c r="G5782" s="9" t="n">
        <v>13716.08</v>
      </c>
      <c r="H5782" t="inlineStr">
        <is>
          <t>PAID_ON_TIME</t>
        </is>
      </c>
      <c r="I5782">
        <f>IF(H5782="UNPAID", AsOfDate-D5782, 0)</f>
        <v/>
      </c>
      <c r="J5782">
        <f>IF(F5782&lt;&gt;"", TEXT(F5782, "yyyy-mm"), "")</f>
        <v/>
      </c>
    </row>
    <row r="5783">
      <c r="A5783" t="inlineStr">
        <is>
          <t>RP0005782</t>
        </is>
      </c>
      <c r="B5783" t="inlineStr">
        <is>
          <t>LN200821</t>
        </is>
      </c>
      <c r="C5783" t="n">
        <v>4</v>
      </c>
      <c r="D5783" s="8" t="n">
        <v>45789</v>
      </c>
      <c r="E5783" s="9" t="n">
        <v>13716.08</v>
      </c>
      <c r="F5783" s="8" t="n">
        <v>45875</v>
      </c>
      <c r="G5783" s="9" t="n">
        <v>13716.08</v>
      </c>
      <c r="H5783" t="inlineStr">
        <is>
          <t>PAID_LATE</t>
        </is>
      </c>
      <c r="I5783">
        <f>IF(H5783="UNPAID", AsOfDate-D5783, 0)</f>
        <v/>
      </c>
      <c r="J5783">
        <f>IF(F5783&lt;&gt;"", TEXT(F5783, "yyyy-mm"), "")</f>
        <v/>
      </c>
    </row>
    <row r="5784">
      <c r="A5784" t="inlineStr">
        <is>
          <t>RP0005783</t>
        </is>
      </c>
      <c r="B5784" t="inlineStr">
        <is>
          <t>LN200821</t>
        </is>
      </c>
      <c r="C5784" t="n">
        <v>5</v>
      </c>
      <c r="D5784" s="8" t="n">
        <v>45820</v>
      </c>
      <c r="E5784" s="9" t="n">
        <v>13716.08</v>
      </c>
      <c r="F5784" s="8" t="n">
        <v>45817</v>
      </c>
      <c r="G5784" s="9" t="n">
        <v>13716.08</v>
      </c>
      <c r="H5784" t="inlineStr">
        <is>
          <t>PAID_ON_TIME</t>
        </is>
      </c>
      <c r="I5784">
        <f>IF(H5784="UNPAID", AsOfDate-D5784, 0)</f>
        <v/>
      </c>
      <c r="J5784">
        <f>IF(F5784&lt;&gt;"", TEXT(F5784, "yyyy-mm"), "")</f>
        <v/>
      </c>
    </row>
    <row r="5785">
      <c r="A5785" t="inlineStr">
        <is>
          <t>RP0005784</t>
        </is>
      </c>
      <c r="B5785" t="inlineStr">
        <is>
          <t>LN200821</t>
        </is>
      </c>
      <c r="C5785" t="n">
        <v>6</v>
      </c>
      <c r="D5785" s="8" t="n">
        <v>45850</v>
      </c>
      <c r="E5785" s="9" t="n">
        <v>13716.08</v>
      </c>
      <c r="F5785" s="8" t="n">
        <v>45849</v>
      </c>
      <c r="G5785" s="9" t="n">
        <v>13716.08</v>
      </c>
      <c r="H5785" t="inlineStr">
        <is>
          <t>PAID_ON_TIME</t>
        </is>
      </c>
      <c r="I5785">
        <f>IF(H5785="UNPAID", AsOfDate-D5785, 0)</f>
        <v/>
      </c>
      <c r="J5785">
        <f>IF(F5785&lt;&gt;"", TEXT(F5785, "yyyy-mm"), "")</f>
        <v/>
      </c>
    </row>
    <row r="5786">
      <c r="A5786" t="inlineStr">
        <is>
          <t>RP0005785</t>
        </is>
      </c>
      <c r="B5786" t="inlineStr">
        <is>
          <t>LN200821</t>
        </is>
      </c>
      <c r="C5786" t="n">
        <v>7</v>
      </c>
      <c r="D5786" s="8" t="n">
        <v>45881</v>
      </c>
      <c r="E5786" s="9" t="n">
        <v>13716.08</v>
      </c>
      <c r="F5786" s="8" t="n">
        <v>45882</v>
      </c>
      <c r="G5786" s="9" t="n">
        <v>13716.08</v>
      </c>
      <c r="H5786" t="inlineStr">
        <is>
          <t>PAID_ON_TIME</t>
        </is>
      </c>
      <c r="I5786">
        <f>IF(H5786="UNPAID", AsOfDate-D5786, 0)</f>
        <v/>
      </c>
      <c r="J5786">
        <f>IF(F5786&lt;&gt;"", TEXT(F5786, "yyyy-mm"), "")</f>
        <v/>
      </c>
    </row>
    <row r="5787">
      <c r="A5787" t="inlineStr">
        <is>
          <t>RP0005786</t>
        </is>
      </c>
      <c r="B5787" t="inlineStr">
        <is>
          <t>LN200821</t>
        </is>
      </c>
      <c r="C5787" t="n">
        <v>8</v>
      </c>
      <c r="D5787" s="8" t="n">
        <v>45912</v>
      </c>
      <c r="E5787" s="9" t="n">
        <v>13716.08</v>
      </c>
      <c r="F5787" s="8" t="n"/>
      <c r="G5787" s="9" t="n">
        <v>0</v>
      </c>
      <c r="H5787" t="inlineStr">
        <is>
          <t>UNPAID</t>
        </is>
      </c>
      <c r="I5787">
        <f>IF(H5787="UNPAID", AsOfDate-D5787, 0)</f>
        <v/>
      </c>
      <c r="J5787">
        <f>IF(F5787&lt;&gt;"", TEXT(F5787, "yyyy-mm"), "")</f>
        <v/>
      </c>
    </row>
    <row r="5788">
      <c r="A5788" t="inlineStr">
        <is>
          <t>RP0005787</t>
        </is>
      </c>
      <c r="B5788" t="inlineStr">
        <is>
          <t>LN200821</t>
        </is>
      </c>
      <c r="C5788" t="n">
        <v>9</v>
      </c>
      <c r="D5788" s="8" t="n">
        <v>45942</v>
      </c>
      <c r="E5788" s="9" t="n">
        <v>13716.08</v>
      </c>
      <c r="F5788" s="8" t="n">
        <v>45940</v>
      </c>
      <c r="G5788" s="9" t="n">
        <v>13716.08</v>
      </c>
      <c r="H5788" t="inlineStr">
        <is>
          <t>PAID_ON_TIME</t>
        </is>
      </c>
      <c r="I5788">
        <f>IF(H5788="UNPAID", AsOfDate-D5788, 0)</f>
        <v/>
      </c>
      <c r="J5788">
        <f>IF(F5788&lt;&gt;"", TEXT(F5788, "yyyy-mm"), "")</f>
        <v/>
      </c>
    </row>
    <row r="5789">
      <c r="A5789" t="inlineStr">
        <is>
          <t>RP0005788</t>
        </is>
      </c>
      <c r="B5789" t="inlineStr">
        <is>
          <t>LN200821</t>
        </is>
      </c>
      <c r="C5789" t="n">
        <v>10</v>
      </c>
      <c r="D5789" s="8" t="n">
        <v>45973</v>
      </c>
      <c r="E5789" s="9" t="n">
        <v>13716.08</v>
      </c>
      <c r="F5789" s="8" t="n">
        <v>45975</v>
      </c>
      <c r="G5789" s="9" t="n">
        <v>13716.08</v>
      </c>
      <c r="H5789" t="inlineStr">
        <is>
          <t>PAID_ON_TIME</t>
        </is>
      </c>
      <c r="I5789">
        <f>IF(H5789="UNPAID", AsOfDate-D5789, 0)</f>
        <v/>
      </c>
      <c r="J5789">
        <f>IF(F5789&lt;&gt;"", TEXT(F5789, "yyyy-mm"), "")</f>
        <v/>
      </c>
    </row>
    <row r="5790">
      <c r="A5790" t="inlineStr">
        <is>
          <t>RP0005789</t>
        </is>
      </c>
      <c r="B5790" t="inlineStr">
        <is>
          <t>LN200821</t>
        </is>
      </c>
      <c r="C5790" t="n">
        <v>11</v>
      </c>
      <c r="D5790" s="8" t="n">
        <v>46003</v>
      </c>
      <c r="E5790" s="9" t="n">
        <v>13716.08</v>
      </c>
      <c r="F5790" s="8" t="n">
        <v>46007</v>
      </c>
      <c r="G5790" s="9" t="n">
        <v>13716.08</v>
      </c>
      <c r="H5790" t="inlineStr">
        <is>
          <t>PAID_ON_TIME</t>
        </is>
      </c>
      <c r="I5790">
        <f>IF(H5790="UNPAID", AsOfDate-D5790, 0)</f>
        <v/>
      </c>
      <c r="J5790">
        <f>IF(F5790&lt;&gt;"", TEXT(F5790, "yyyy-mm"), "")</f>
        <v/>
      </c>
    </row>
    <row r="5791">
      <c r="A5791" t="inlineStr">
        <is>
          <t>RP0005790</t>
        </is>
      </c>
      <c r="B5791" t="inlineStr">
        <is>
          <t>LN200821</t>
        </is>
      </c>
      <c r="C5791" t="n">
        <v>12</v>
      </c>
      <c r="D5791" s="8" t="n">
        <v>46034</v>
      </c>
      <c r="E5791" s="9" t="n">
        <v>13716.08</v>
      </c>
      <c r="F5791" s="8" t="n">
        <v>46037</v>
      </c>
      <c r="G5791" s="9" t="n">
        <v>13716.08</v>
      </c>
      <c r="H5791" t="inlineStr">
        <is>
          <t>PAID_ON_TIME</t>
        </is>
      </c>
      <c r="I5791">
        <f>IF(H5791="UNPAID", AsOfDate-D5791, 0)</f>
        <v/>
      </c>
      <c r="J5791">
        <f>IF(F5791&lt;&gt;"", TEXT(F5791, "yyyy-mm"), "")</f>
        <v/>
      </c>
    </row>
    <row r="5792">
      <c r="A5792" t="inlineStr">
        <is>
          <t>RP0005791</t>
        </is>
      </c>
      <c r="B5792" t="inlineStr">
        <is>
          <t>LN200822</t>
        </is>
      </c>
      <c r="C5792" t="n">
        <v>1</v>
      </c>
      <c r="D5792" s="8" t="n">
        <v>45990</v>
      </c>
      <c r="E5792" s="9" t="n">
        <v>22464</v>
      </c>
      <c r="F5792" s="8" t="n">
        <v>45991</v>
      </c>
      <c r="G5792" s="9" t="n">
        <v>22464</v>
      </c>
      <c r="H5792" t="inlineStr">
        <is>
          <t>PAID_ON_TIME</t>
        </is>
      </c>
      <c r="I5792">
        <f>IF(H5792="UNPAID", AsOfDate-D5792, 0)</f>
        <v/>
      </c>
      <c r="J5792">
        <f>IF(F5792&lt;&gt;"", TEXT(F5792, "yyyy-mm"), "")</f>
        <v/>
      </c>
    </row>
    <row r="5793">
      <c r="A5793" t="inlineStr">
        <is>
          <t>RP0005792</t>
        </is>
      </c>
      <c r="B5793" t="inlineStr">
        <is>
          <t>LN200822</t>
        </is>
      </c>
      <c r="C5793" t="n">
        <v>2</v>
      </c>
      <c r="D5793" s="8" t="n">
        <v>46020</v>
      </c>
      <c r="E5793" s="9" t="n">
        <v>22464</v>
      </c>
      <c r="F5793" s="8" t="n">
        <v>46086</v>
      </c>
      <c r="G5793" s="9" t="n">
        <v>22464</v>
      </c>
      <c r="H5793" t="inlineStr">
        <is>
          <t>PAID_LATE</t>
        </is>
      </c>
      <c r="I5793">
        <f>IF(H5793="UNPAID", AsOfDate-D5793, 0)</f>
        <v/>
      </c>
      <c r="J5793">
        <f>IF(F5793&lt;&gt;"", TEXT(F5793, "yyyy-mm"), "")</f>
        <v/>
      </c>
    </row>
    <row r="5794">
      <c r="A5794" t="inlineStr">
        <is>
          <t>RP0005793</t>
        </is>
      </c>
      <c r="B5794" t="inlineStr">
        <is>
          <t>LN200822</t>
        </is>
      </c>
      <c r="C5794" t="n">
        <v>3</v>
      </c>
      <c r="D5794" s="8" t="n">
        <v>46051</v>
      </c>
      <c r="E5794" s="9" t="n">
        <v>22464</v>
      </c>
      <c r="F5794" s="8" t="n">
        <v>46055</v>
      </c>
      <c r="G5794" s="9" t="n">
        <v>22464</v>
      </c>
      <c r="H5794" t="inlineStr">
        <is>
          <t>PAID_ON_TIME</t>
        </is>
      </c>
      <c r="I5794">
        <f>IF(H5794="UNPAID", AsOfDate-D5794, 0)</f>
        <v/>
      </c>
      <c r="J5794">
        <f>IF(F5794&lt;&gt;"", TEXT(F5794, "yyyy-mm"), "")</f>
        <v/>
      </c>
    </row>
    <row r="5795">
      <c r="A5795" t="inlineStr">
        <is>
          <t>RP0005794</t>
        </is>
      </c>
      <c r="B5795" t="inlineStr">
        <is>
          <t>LN200823</t>
        </is>
      </c>
      <c r="C5795" t="n">
        <v>1</v>
      </c>
      <c r="D5795" s="8" t="n">
        <v>45866</v>
      </c>
      <c r="E5795" s="9" t="n">
        <v>66654</v>
      </c>
      <c r="F5795" s="8" t="n">
        <v>45869</v>
      </c>
      <c r="G5795" s="9" t="n">
        <v>66654</v>
      </c>
      <c r="H5795" t="inlineStr">
        <is>
          <t>PAID_ON_TIME</t>
        </is>
      </c>
      <c r="I5795">
        <f>IF(H5795="UNPAID", AsOfDate-D5795, 0)</f>
        <v/>
      </c>
      <c r="J5795">
        <f>IF(F5795&lt;&gt;"", TEXT(F5795, "yyyy-mm"), "")</f>
        <v/>
      </c>
    </row>
    <row r="5796">
      <c r="A5796" t="inlineStr">
        <is>
          <t>RP0005795</t>
        </is>
      </c>
      <c r="B5796" t="inlineStr">
        <is>
          <t>LN200823</t>
        </is>
      </c>
      <c r="C5796" t="n">
        <v>2</v>
      </c>
      <c r="D5796" s="8" t="n">
        <v>45897</v>
      </c>
      <c r="E5796" s="9" t="n">
        <v>66654</v>
      </c>
      <c r="F5796" s="8" t="n">
        <v>45901</v>
      </c>
      <c r="G5796" s="9" t="n">
        <v>66654</v>
      </c>
      <c r="H5796" t="inlineStr">
        <is>
          <t>PAID_LATE</t>
        </is>
      </c>
      <c r="I5796">
        <f>IF(H5796="UNPAID", AsOfDate-D5796, 0)</f>
        <v/>
      </c>
      <c r="J5796">
        <f>IF(F5796&lt;&gt;"", TEXT(F5796, "yyyy-mm"), "")</f>
        <v/>
      </c>
    </row>
    <row r="5797">
      <c r="A5797" t="inlineStr">
        <is>
          <t>RP0005796</t>
        </is>
      </c>
      <c r="B5797" t="inlineStr">
        <is>
          <t>LN200823</t>
        </is>
      </c>
      <c r="C5797" t="n">
        <v>3</v>
      </c>
      <c r="D5797" s="8" t="n">
        <v>45928</v>
      </c>
      <c r="E5797" s="9" t="n">
        <v>66654</v>
      </c>
      <c r="F5797" s="8" t="n">
        <v>45966</v>
      </c>
      <c r="G5797" s="9" t="n">
        <v>66654</v>
      </c>
      <c r="H5797" t="inlineStr">
        <is>
          <t>PAID_LATE</t>
        </is>
      </c>
      <c r="I5797">
        <f>IF(H5797="UNPAID", AsOfDate-D5797, 0)</f>
        <v/>
      </c>
      <c r="J5797">
        <f>IF(F5797&lt;&gt;"", TEXT(F5797, "yyyy-mm"), "")</f>
        <v/>
      </c>
    </row>
    <row r="5798">
      <c r="A5798" t="inlineStr">
        <is>
          <t>RP0005797</t>
        </is>
      </c>
      <c r="B5798" t="inlineStr">
        <is>
          <t>LN200824</t>
        </is>
      </c>
      <c r="C5798" t="n">
        <v>1</v>
      </c>
      <c r="D5798" s="8" t="n">
        <v>46021</v>
      </c>
      <c r="E5798" s="9" t="n">
        <v>57078</v>
      </c>
      <c r="F5798" s="8" t="n">
        <v>46109</v>
      </c>
      <c r="G5798" s="9" t="n">
        <v>57078</v>
      </c>
      <c r="H5798" t="inlineStr">
        <is>
          <t>PAID_LATE</t>
        </is>
      </c>
      <c r="I5798">
        <f>IF(H5798="UNPAID", AsOfDate-D5798, 0)</f>
        <v/>
      </c>
      <c r="J5798">
        <f>IF(F5798&lt;&gt;"", TEXT(F5798, "yyyy-mm"), "")</f>
        <v/>
      </c>
    </row>
    <row r="5799">
      <c r="A5799" t="inlineStr">
        <is>
          <t>RP0005798</t>
        </is>
      </c>
      <c r="B5799" t="inlineStr">
        <is>
          <t>LN200824</t>
        </is>
      </c>
      <c r="C5799" t="n">
        <v>2</v>
      </c>
      <c r="D5799" s="8" t="n">
        <v>46052</v>
      </c>
      <c r="E5799" s="9" t="n">
        <v>57078</v>
      </c>
      <c r="F5799" s="8" t="n"/>
      <c r="G5799" s="9" t="n">
        <v>0</v>
      </c>
      <c r="H5799" t="inlineStr">
        <is>
          <t>UNPAID</t>
        </is>
      </c>
      <c r="I5799">
        <f>IF(H5799="UNPAID", AsOfDate-D5799, 0)</f>
        <v/>
      </c>
      <c r="J5799">
        <f>IF(F5799&lt;&gt;"", TEXT(F5799, "yyyy-mm"), "")</f>
        <v/>
      </c>
    </row>
    <row r="5800">
      <c r="A5800" t="inlineStr">
        <is>
          <t>RP0005799</t>
        </is>
      </c>
      <c r="B5800" t="inlineStr">
        <is>
          <t>LN200824</t>
        </is>
      </c>
      <c r="C5800" t="n">
        <v>3</v>
      </c>
      <c r="D5800" s="8" t="n">
        <v>46081</v>
      </c>
      <c r="E5800" s="9" t="n">
        <v>57078</v>
      </c>
      <c r="F5800" s="8" t="n"/>
      <c r="G5800" s="9" t="n">
        <v>0</v>
      </c>
      <c r="H5800" t="inlineStr">
        <is>
          <t>UNPAID</t>
        </is>
      </c>
      <c r="I5800">
        <f>IF(H5800="UNPAID", AsOfDate-D5800, 0)</f>
        <v/>
      </c>
      <c r="J5800">
        <f>IF(F5800&lt;&gt;"", TEXT(F5800, "yyyy-mm"), "")</f>
        <v/>
      </c>
    </row>
    <row r="5801">
      <c r="A5801" t="inlineStr">
        <is>
          <t>RP0005800</t>
        </is>
      </c>
      <c r="B5801" t="inlineStr">
        <is>
          <t>LN200825</t>
        </is>
      </c>
      <c r="C5801" t="n">
        <v>1</v>
      </c>
      <c r="D5801" s="8" t="n">
        <v>46153</v>
      </c>
      <c r="E5801" s="9" t="n">
        <v>8371.559999999999</v>
      </c>
      <c r="F5801" s="8" t="n">
        <v>46151</v>
      </c>
      <c r="G5801" s="9" t="n">
        <v>8371.559999999999</v>
      </c>
      <c r="H5801" t="inlineStr">
        <is>
          <t>PAID_ON_TIME</t>
        </is>
      </c>
      <c r="I5801">
        <f>IF(H5801="UNPAID", AsOfDate-D5801, 0)</f>
        <v/>
      </c>
      <c r="J5801">
        <f>IF(F5801&lt;&gt;"", TEXT(F5801, "yyyy-mm"), "")</f>
        <v/>
      </c>
    </row>
    <row r="5802">
      <c r="A5802" t="inlineStr">
        <is>
          <t>RP0005801</t>
        </is>
      </c>
      <c r="B5802" t="inlineStr">
        <is>
          <t>LN200825</t>
        </is>
      </c>
      <c r="C5802" t="n">
        <v>2</v>
      </c>
      <c r="D5802" s="8" t="n">
        <v>46184</v>
      </c>
      <c r="E5802" s="9" t="n">
        <v>8371.559999999999</v>
      </c>
      <c r="F5802" s="8" t="n">
        <v>46185</v>
      </c>
      <c r="G5802" s="9" t="n">
        <v>8371.559999999999</v>
      </c>
      <c r="H5802" t="inlineStr">
        <is>
          <t>PAID_ON_TIME</t>
        </is>
      </c>
      <c r="I5802">
        <f>IF(H5802="UNPAID", AsOfDate-D5802, 0)</f>
        <v/>
      </c>
      <c r="J5802">
        <f>IF(F5802&lt;&gt;"", TEXT(F5802, "yyyy-mm"), "")</f>
        <v/>
      </c>
    </row>
    <row r="5803">
      <c r="A5803" t="inlineStr">
        <is>
          <t>RP0005802</t>
        </is>
      </c>
      <c r="B5803" t="inlineStr">
        <is>
          <t>LN200825</t>
        </is>
      </c>
      <c r="C5803" t="n">
        <v>3</v>
      </c>
      <c r="D5803" s="8" t="n">
        <v>46214</v>
      </c>
      <c r="E5803" s="9" t="n">
        <v>8371.559999999999</v>
      </c>
      <c r="F5803" s="8" t="n">
        <v>46218</v>
      </c>
      <c r="G5803" s="9" t="n">
        <v>8371.559999999999</v>
      </c>
      <c r="H5803" t="inlineStr">
        <is>
          <t>PAID_ON_TIME</t>
        </is>
      </c>
      <c r="I5803">
        <f>IF(H5803="UNPAID", AsOfDate-D5803, 0)</f>
        <v/>
      </c>
      <c r="J5803">
        <f>IF(F5803&lt;&gt;"", TEXT(F5803, "yyyy-mm"), "")</f>
        <v/>
      </c>
    </row>
    <row r="5804">
      <c r="A5804" t="inlineStr">
        <is>
          <t>RP0005803</t>
        </is>
      </c>
      <c r="B5804" t="inlineStr">
        <is>
          <t>LN200825</t>
        </is>
      </c>
      <c r="C5804" t="n">
        <v>4</v>
      </c>
      <c r="D5804" s="8" t="n">
        <v>46245</v>
      </c>
      <c r="E5804" s="9" t="n">
        <v>8371.559999999999</v>
      </c>
      <c r="F5804" s="8" t="n">
        <v>46248</v>
      </c>
      <c r="G5804" s="9" t="n">
        <v>8371.559999999999</v>
      </c>
      <c r="H5804" t="inlineStr">
        <is>
          <t>PAID_ON_TIME</t>
        </is>
      </c>
      <c r="I5804">
        <f>IF(H5804="UNPAID", AsOfDate-D5804, 0)</f>
        <v/>
      </c>
      <c r="J5804">
        <f>IF(F5804&lt;&gt;"", TEXT(F5804, "yyyy-mm"), "")</f>
        <v/>
      </c>
    </row>
    <row r="5805">
      <c r="A5805" t="inlineStr">
        <is>
          <t>RP0005804</t>
        </is>
      </c>
      <c r="B5805" t="inlineStr">
        <is>
          <t>LN200825</t>
        </is>
      </c>
      <c r="C5805" t="n">
        <v>5</v>
      </c>
      <c r="D5805" s="8" t="n">
        <v>46276</v>
      </c>
      <c r="E5805" s="9" t="n">
        <v>8371.559999999999</v>
      </c>
      <c r="F5805" s="8" t="n"/>
      <c r="G5805" s="9" t="n">
        <v>0</v>
      </c>
      <c r="H5805" t="inlineStr">
        <is>
          <t>NOT_DUE</t>
        </is>
      </c>
      <c r="I5805">
        <f>IF(H5805="UNPAID", AsOfDate-D5805, 0)</f>
        <v/>
      </c>
      <c r="J5805">
        <f>IF(F5805&lt;&gt;"", TEXT(F5805, "yyyy-mm"), "")</f>
        <v/>
      </c>
    </row>
    <row r="5806">
      <c r="A5806" t="inlineStr">
        <is>
          <t>RP0005805</t>
        </is>
      </c>
      <c r="B5806" t="inlineStr">
        <is>
          <t>LN200825</t>
        </is>
      </c>
      <c r="C5806" t="n">
        <v>6</v>
      </c>
      <c r="D5806" s="8" t="n">
        <v>46306</v>
      </c>
      <c r="E5806" s="9" t="n">
        <v>8371.559999999999</v>
      </c>
      <c r="F5806" s="8" t="n"/>
      <c r="G5806" s="9" t="n">
        <v>0</v>
      </c>
      <c r="H5806" t="inlineStr">
        <is>
          <t>NOT_DUE</t>
        </is>
      </c>
      <c r="I5806">
        <f>IF(H5806="UNPAID", AsOfDate-D5806, 0)</f>
        <v/>
      </c>
      <c r="J5806">
        <f>IF(F5806&lt;&gt;"", TEXT(F5806, "yyyy-mm"), "")</f>
        <v/>
      </c>
    </row>
    <row r="5807">
      <c r="A5807" t="inlineStr">
        <is>
          <t>RP0005806</t>
        </is>
      </c>
      <c r="B5807" t="inlineStr">
        <is>
          <t>LN200825</t>
        </is>
      </c>
      <c r="C5807" t="n">
        <v>7</v>
      </c>
      <c r="D5807" s="8" t="n">
        <v>46337</v>
      </c>
      <c r="E5807" s="9" t="n">
        <v>8371.559999999999</v>
      </c>
      <c r="F5807" s="8" t="n"/>
      <c r="G5807" s="9" t="n">
        <v>0</v>
      </c>
      <c r="H5807" t="inlineStr">
        <is>
          <t>NOT_DUE</t>
        </is>
      </c>
      <c r="I5807">
        <f>IF(H5807="UNPAID", AsOfDate-D5807, 0)</f>
        <v/>
      </c>
      <c r="J5807">
        <f>IF(F5807&lt;&gt;"", TEXT(F5807, "yyyy-mm"), "")</f>
        <v/>
      </c>
    </row>
    <row r="5808">
      <c r="A5808" t="inlineStr">
        <is>
          <t>RP0005807</t>
        </is>
      </c>
      <c r="B5808" t="inlineStr">
        <is>
          <t>LN200825</t>
        </is>
      </c>
      <c r="C5808" t="n">
        <v>8</v>
      </c>
      <c r="D5808" s="8" t="n">
        <v>46367</v>
      </c>
      <c r="E5808" s="9" t="n">
        <v>8371.559999999999</v>
      </c>
      <c r="F5808" s="8" t="n"/>
      <c r="G5808" s="9" t="n">
        <v>0</v>
      </c>
      <c r="H5808" t="inlineStr">
        <is>
          <t>NOT_DUE</t>
        </is>
      </c>
      <c r="I5808">
        <f>IF(H5808="UNPAID", AsOfDate-D5808, 0)</f>
        <v/>
      </c>
      <c r="J5808">
        <f>IF(F5808&lt;&gt;"", TEXT(F5808, "yyyy-mm"), "")</f>
        <v/>
      </c>
    </row>
    <row r="5809">
      <c r="A5809" t="inlineStr">
        <is>
          <t>RP0005808</t>
        </is>
      </c>
      <c r="B5809" t="inlineStr">
        <is>
          <t>LN200825</t>
        </is>
      </c>
      <c r="C5809" t="n">
        <v>9</v>
      </c>
      <c r="D5809" s="8" t="n">
        <v>46398</v>
      </c>
      <c r="E5809" s="9" t="n">
        <v>8371.559999999999</v>
      </c>
      <c r="F5809" s="8" t="n"/>
      <c r="G5809" s="9" t="n">
        <v>0</v>
      </c>
      <c r="H5809" t="inlineStr">
        <is>
          <t>NOT_DUE</t>
        </is>
      </c>
      <c r="I5809">
        <f>IF(H5809="UNPAID", AsOfDate-D5809, 0)</f>
        <v/>
      </c>
      <c r="J5809">
        <f>IF(F5809&lt;&gt;"", TEXT(F5809, "yyyy-mm"), "")</f>
        <v/>
      </c>
    </row>
    <row r="5810">
      <c r="A5810" t="inlineStr">
        <is>
          <t>RP0005809</t>
        </is>
      </c>
      <c r="B5810" t="inlineStr">
        <is>
          <t>LN200826</t>
        </is>
      </c>
      <c r="C5810" t="n">
        <v>1</v>
      </c>
      <c r="D5810" s="8" t="n">
        <v>46141</v>
      </c>
      <c r="E5810" s="9" t="n">
        <v>3560</v>
      </c>
      <c r="F5810" s="8" t="n">
        <v>46141</v>
      </c>
      <c r="G5810" s="9" t="n">
        <v>3560</v>
      </c>
      <c r="H5810" t="inlineStr">
        <is>
          <t>PAID_ON_TIME</t>
        </is>
      </c>
      <c r="I5810">
        <f>IF(H5810="UNPAID", AsOfDate-D5810, 0)</f>
        <v/>
      </c>
      <c r="J5810">
        <f>IF(F5810&lt;&gt;"", TEXT(F5810, "yyyy-mm"), "")</f>
        <v/>
      </c>
    </row>
    <row r="5811">
      <c r="A5811" t="inlineStr">
        <is>
          <t>RP0005810</t>
        </is>
      </c>
      <c r="B5811" t="inlineStr">
        <is>
          <t>LN200826</t>
        </is>
      </c>
      <c r="C5811" t="n">
        <v>2</v>
      </c>
      <c r="D5811" s="8" t="n">
        <v>46171</v>
      </c>
      <c r="E5811" s="9" t="n">
        <v>3560</v>
      </c>
      <c r="F5811" s="8" t="n">
        <v>46173</v>
      </c>
      <c r="G5811" s="9" t="n">
        <v>3560</v>
      </c>
      <c r="H5811" t="inlineStr">
        <is>
          <t>PAID_ON_TIME</t>
        </is>
      </c>
      <c r="I5811">
        <f>IF(H5811="UNPAID", AsOfDate-D5811, 0)</f>
        <v/>
      </c>
      <c r="J5811">
        <f>IF(F5811&lt;&gt;"", TEXT(F5811, "yyyy-mm"), "")</f>
        <v/>
      </c>
    </row>
    <row r="5812">
      <c r="A5812" t="inlineStr">
        <is>
          <t>RP0005811</t>
        </is>
      </c>
      <c r="B5812" t="inlineStr">
        <is>
          <t>LN200826</t>
        </is>
      </c>
      <c r="C5812" t="n">
        <v>3</v>
      </c>
      <c r="D5812" s="8" t="n">
        <v>46202</v>
      </c>
      <c r="E5812" s="9" t="n">
        <v>3560</v>
      </c>
      <c r="F5812" s="8" t="n">
        <v>46201</v>
      </c>
      <c r="G5812" s="9" t="n">
        <v>3560</v>
      </c>
      <c r="H5812" t="inlineStr">
        <is>
          <t>PAID_ON_TIME</t>
        </is>
      </c>
      <c r="I5812">
        <f>IF(H5812="UNPAID", AsOfDate-D5812, 0)</f>
        <v/>
      </c>
      <c r="J5812">
        <f>IF(F5812&lt;&gt;"", TEXT(F5812, "yyyy-mm"), "")</f>
        <v/>
      </c>
    </row>
    <row r="5813">
      <c r="A5813" t="inlineStr">
        <is>
          <t>RP0005812</t>
        </is>
      </c>
      <c r="B5813" t="inlineStr">
        <is>
          <t>LN200826</t>
        </is>
      </c>
      <c r="C5813" t="n">
        <v>4</v>
      </c>
      <c r="D5813" s="8" t="n">
        <v>46232</v>
      </c>
      <c r="E5813" s="9" t="n">
        <v>3560</v>
      </c>
      <c r="F5813" s="8" t="n"/>
      <c r="G5813" s="9" t="n">
        <v>0</v>
      </c>
      <c r="H5813" t="inlineStr">
        <is>
          <t>UNPAID</t>
        </is>
      </c>
      <c r="I5813">
        <f>IF(H5813="UNPAID", AsOfDate-D5813, 0)</f>
        <v/>
      </c>
      <c r="J5813">
        <f>IF(F5813&lt;&gt;"", TEXT(F5813, "yyyy-mm"), "")</f>
        <v/>
      </c>
    </row>
    <row r="5814">
      <c r="A5814" t="inlineStr">
        <is>
          <t>RP0005813</t>
        </is>
      </c>
      <c r="B5814" t="inlineStr">
        <is>
          <t>LN200826</t>
        </is>
      </c>
      <c r="C5814" t="n">
        <v>5</v>
      </c>
      <c r="D5814" s="8" t="n">
        <v>46263</v>
      </c>
      <c r="E5814" s="9" t="n">
        <v>3560</v>
      </c>
      <c r="F5814" s="8" t="n">
        <v>46261</v>
      </c>
      <c r="G5814" s="9" t="n">
        <v>3560</v>
      </c>
      <c r="H5814" t="inlineStr">
        <is>
          <t>PAID_ON_TIME</t>
        </is>
      </c>
      <c r="I5814">
        <f>IF(H5814="UNPAID", AsOfDate-D5814, 0)</f>
        <v/>
      </c>
      <c r="J5814">
        <f>IF(F5814&lt;&gt;"", TEXT(F5814, "yyyy-mm"), "")</f>
        <v/>
      </c>
    </row>
    <row r="5815">
      <c r="A5815" t="inlineStr">
        <is>
          <t>RP0005814</t>
        </is>
      </c>
      <c r="B5815" t="inlineStr">
        <is>
          <t>LN200826</t>
        </is>
      </c>
      <c r="C5815" t="n">
        <v>6</v>
      </c>
      <c r="D5815" s="8" t="n">
        <v>46294</v>
      </c>
      <c r="E5815" s="9" t="n">
        <v>3560</v>
      </c>
      <c r="F5815" s="8" t="n"/>
      <c r="G5815" s="9" t="n">
        <v>0</v>
      </c>
      <c r="H5815" t="inlineStr">
        <is>
          <t>NOT_DUE</t>
        </is>
      </c>
      <c r="I5815">
        <f>IF(H5815="UNPAID", AsOfDate-D5815, 0)</f>
        <v/>
      </c>
      <c r="J5815">
        <f>IF(F5815&lt;&gt;"", TEXT(F5815, "yyyy-mm"), "")</f>
        <v/>
      </c>
    </row>
    <row r="5816">
      <c r="A5816" t="inlineStr">
        <is>
          <t>RP0005815</t>
        </is>
      </c>
      <c r="B5816" t="inlineStr">
        <is>
          <t>LN200827</t>
        </is>
      </c>
      <c r="C5816" t="n">
        <v>1</v>
      </c>
      <c r="D5816" s="8" t="n">
        <v>45988</v>
      </c>
      <c r="E5816" s="9" t="n">
        <v>7011.67</v>
      </c>
      <c r="F5816" s="8" t="n"/>
      <c r="G5816" s="9" t="n">
        <v>0</v>
      </c>
      <c r="H5816" t="inlineStr">
        <is>
          <t>UNPAID</t>
        </is>
      </c>
      <c r="I5816">
        <f>IF(H5816="UNPAID", AsOfDate-D5816, 0)</f>
        <v/>
      </c>
      <c r="J5816">
        <f>IF(F5816&lt;&gt;"", TEXT(F5816, "yyyy-mm"), "")</f>
        <v/>
      </c>
    </row>
    <row r="5817">
      <c r="A5817" t="inlineStr">
        <is>
          <t>RP0005816</t>
        </is>
      </c>
      <c r="B5817" t="inlineStr">
        <is>
          <t>LN200827</t>
        </is>
      </c>
      <c r="C5817" t="n">
        <v>2</v>
      </c>
      <c r="D5817" s="8" t="n">
        <v>46018</v>
      </c>
      <c r="E5817" s="9" t="n">
        <v>7011.67</v>
      </c>
      <c r="F5817" s="8" t="n">
        <v>46119</v>
      </c>
      <c r="G5817" s="9" t="n">
        <v>7011.67</v>
      </c>
      <c r="H5817" t="inlineStr">
        <is>
          <t>PAID_LATE</t>
        </is>
      </c>
      <c r="I5817">
        <f>IF(H5817="UNPAID", AsOfDate-D5817, 0)</f>
        <v/>
      </c>
      <c r="J5817">
        <f>IF(F5817&lt;&gt;"", TEXT(F5817, "yyyy-mm"), "")</f>
        <v/>
      </c>
    </row>
    <row r="5818">
      <c r="A5818" t="inlineStr">
        <is>
          <t>RP0005817</t>
        </is>
      </c>
      <c r="B5818" t="inlineStr">
        <is>
          <t>LN200827</t>
        </is>
      </c>
      <c r="C5818" t="n">
        <v>3</v>
      </c>
      <c r="D5818" s="8" t="n">
        <v>46049</v>
      </c>
      <c r="E5818" s="9" t="n">
        <v>7011.67</v>
      </c>
      <c r="F5818" s="8" t="n">
        <v>46083</v>
      </c>
      <c r="G5818" s="9" t="n">
        <v>7011.67</v>
      </c>
      <c r="H5818" t="inlineStr">
        <is>
          <t>PAID_LATE</t>
        </is>
      </c>
      <c r="I5818">
        <f>IF(H5818="UNPAID", AsOfDate-D5818, 0)</f>
        <v/>
      </c>
      <c r="J5818">
        <f>IF(F5818&lt;&gt;"", TEXT(F5818, "yyyy-mm"), "")</f>
        <v/>
      </c>
    </row>
    <row r="5819">
      <c r="A5819" t="inlineStr">
        <is>
          <t>RP0005818</t>
        </is>
      </c>
      <c r="B5819" t="inlineStr">
        <is>
          <t>LN200828</t>
        </is>
      </c>
      <c r="C5819" t="n">
        <v>1</v>
      </c>
      <c r="D5819" s="8" t="n">
        <v>46084</v>
      </c>
      <c r="E5819" s="9" t="n">
        <v>4887.78</v>
      </c>
      <c r="F5819" s="8" t="n">
        <v>46083</v>
      </c>
      <c r="G5819" s="9" t="n">
        <v>4887.78</v>
      </c>
      <c r="H5819" t="inlineStr">
        <is>
          <t>PAID_ON_TIME</t>
        </is>
      </c>
      <c r="I5819">
        <f>IF(H5819="UNPAID", AsOfDate-D5819, 0)</f>
        <v/>
      </c>
      <c r="J5819">
        <f>IF(F5819&lt;&gt;"", TEXT(F5819, "yyyy-mm"), "")</f>
        <v/>
      </c>
    </row>
    <row r="5820">
      <c r="A5820" t="inlineStr">
        <is>
          <t>RP0005819</t>
        </is>
      </c>
      <c r="B5820" t="inlineStr">
        <is>
          <t>LN200828</t>
        </is>
      </c>
      <c r="C5820" t="n">
        <v>2</v>
      </c>
      <c r="D5820" s="8" t="n">
        <v>46115</v>
      </c>
      <c r="E5820" s="9" t="n">
        <v>4887.78</v>
      </c>
      <c r="F5820" s="8" t="n">
        <v>46119</v>
      </c>
      <c r="G5820" s="9" t="n">
        <v>4887.78</v>
      </c>
      <c r="H5820" t="inlineStr">
        <is>
          <t>PAID_ON_TIME</t>
        </is>
      </c>
      <c r="I5820">
        <f>IF(H5820="UNPAID", AsOfDate-D5820, 0)</f>
        <v/>
      </c>
      <c r="J5820">
        <f>IF(F5820&lt;&gt;"", TEXT(F5820, "yyyy-mm"), "")</f>
        <v/>
      </c>
    </row>
    <row r="5821">
      <c r="A5821" t="inlineStr">
        <is>
          <t>RP0005820</t>
        </is>
      </c>
      <c r="B5821" t="inlineStr">
        <is>
          <t>LN200828</t>
        </is>
      </c>
      <c r="C5821" t="n">
        <v>3</v>
      </c>
      <c r="D5821" s="8" t="n">
        <v>46145</v>
      </c>
      <c r="E5821" s="9" t="n">
        <v>4887.78</v>
      </c>
      <c r="F5821" s="8" t="n">
        <v>46145</v>
      </c>
      <c r="G5821" s="9" t="n">
        <v>4887.78</v>
      </c>
      <c r="H5821" t="inlineStr">
        <is>
          <t>PAID_ON_TIME</t>
        </is>
      </c>
      <c r="I5821">
        <f>IF(H5821="UNPAID", AsOfDate-D5821, 0)</f>
        <v/>
      </c>
      <c r="J5821">
        <f>IF(F5821&lt;&gt;"", TEXT(F5821, "yyyy-mm"), "")</f>
        <v/>
      </c>
    </row>
    <row r="5822">
      <c r="A5822" t="inlineStr">
        <is>
          <t>RP0005821</t>
        </is>
      </c>
      <c r="B5822" t="inlineStr">
        <is>
          <t>LN200828</t>
        </is>
      </c>
      <c r="C5822" t="n">
        <v>4</v>
      </c>
      <c r="D5822" s="8" t="n">
        <v>46176</v>
      </c>
      <c r="E5822" s="9" t="n">
        <v>4887.78</v>
      </c>
      <c r="F5822" s="8" t="n">
        <v>46179</v>
      </c>
      <c r="G5822" s="9" t="n">
        <v>4887.78</v>
      </c>
      <c r="H5822" t="inlineStr">
        <is>
          <t>PAID_ON_TIME</t>
        </is>
      </c>
      <c r="I5822">
        <f>IF(H5822="UNPAID", AsOfDate-D5822, 0)</f>
        <v/>
      </c>
      <c r="J5822">
        <f>IF(F5822&lt;&gt;"", TEXT(F5822, "yyyy-mm"), "")</f>
        <v/>
      </c>
    </row>
    <row r="5823">
      <c r="A5823" t="inlineStr">
        <is>
          <t>RP0005822</t>
        </is>
      </c>
      <c r="B5823" t="inlineStr">
        <is>
          <t>LN200828</t>
        </is>
      </c>
      <c r="C5823" t="n">
        <v>5</v>
      </c>
      <c r="D5823" s="8" t="n">
        <v>46206</v>
      </c>
      <c r="E5823" s="9" t="n">
        <v>4887.78</v>
      </c>
      <c r="F5823" s="8" t="n">
        <v>46208</v>
      </c>
      <c r="G5823" s="9" t="n">
        <v>4887.78</v>
      </c>
      <c r="H5823" t="inlineStr">
        <is>
          <t>PAID_ON_TIME</t>
        </is>
      </c>
      <c r="I5823">
        <f>IF(H5823="UNPAID", AsOfDate-D5823, 0)</f>
        <v/>
      </c>
      <c r="J5823">
        <f>IF(F5823&lt;&gt;"", TEXT(F5823, "yyyy-mm"), "")</f>
        <v/>
      </c>
    </row>
    <row r="5824">
      <c r="A5824" t="inlineStr">
        <is>
          <t>RP0005823</t>
        </is>
      </c>
      <c r="B5824" t="inlineStr">
        <is>
          <t>LN200828</t>
        </is>
      </c>
      <c r="C5824" t="n">
        <v>6</v>
      </c>
      <c r="D5824" s="8" t="n">
        <v>46237</v>
      </c>
      <c r="E5824" s="9" t="n">
        <v>4887.78</v>
      </c>
      <c r="F5824" s="8" t="n"/>
      <c r="G5824" s="9" t="n">
        <v>0</v>
      </c>
      <c r="H5824" t="inlineStr">
        <is>
          <t>UNPAID</t>
        </is>
      </c>
      <c r="I5824">
        <f>IF(H5824="UNPAID", AsOfDate-D5824, 0)</f>
        <v/>
      </c>
      <c r="J5824">
        <f>IF(F5824&lt;&gt;"", TEXT(F5824, "yyyy-mm"), "")</f>
        <v/>
      </c>
    </row>
    <row r="5825">
      <c r="A5825" t="inlineStr">
        <is>
          <t>RP0005824</t>
        </is>
      </c>
      <c r="B5825" t="inlineStr">
        <is>
          <t>LN200828</t>
        </is>
      </c>
      <c r="C5825" t="n">
        <v>7</v>
      </c>
      <c r="D5825" s="8" t="n">
        <v>46268</v>
      </c>
      <c r="E5825" s="9" t="n">
        <v>4887.78</v>
      </c>
      <c r="F5825" s="8" t="n"/>
      <c r="G5825" s="9" t="n">
        <v>0</v>
      </c>
      <c r="H5825" t="inlineStr">
        <is>
          <t>NOT_DUE</t>
        </is>
      </c>
      <c r="I5825">
        <f>IF(H5825="UNPAID", AsOfDate-D5825, 0)</f>
        <v/>
      </c>
      <c r="J5825">
        <f>IF(F5825&lt;&gt;"", TEXT(F5825, "yyyy-mm"), "")</f>
        <v/>
      </c>
    </row>
    <row r="5826">
      <c r="A5826" t="inlineStr">
        <is>
          <t>RP0005825</t>
        </is>
      </c>
      <c r="B5826" t="inlineStr">
        <is>
          <t>LN200828</t>
        </is>
      </c>
      <c r="C5826" t="n">
        <v>8</v>
      </c>
      <c r="D5826" s="8" t="n">
        <v>46298</v>
      </c>
      <c r="E5826" s="9" t="n">
        <v>4887.78</v>
      </c>
      <c r="F5826" s="8" t="n"/>
      <c r="G5826" s="9" t="n">
        <v>0</v>
      </c>
      <c r="H5826" t="inlineStr">
        <is>
          <t>NOT_DUE</t>
        </is>
      </c>
      <c r="I5826">
        <f>IF(H5826="UNPAID", AsOfDate-D5826, 0)</f>
        <v/>
      </c>
      <c r="J5826">
        <f>IF(F5826&lt;&gt;"", TEXT(F5826, "yyyy-mm"), "")</f>
        <v/>
      </c>
    </row>
    <row r="5827">
      <c r="A5827" t="inlineStr">
        <is>
          <t>RP0005826</t>
        </is>
      </c>
      <c r="B5827" t="inlineStr">
        <is>
          <t>LN200828</t>
        </is>
      </c>
      <c r="C5827" t="n">
        <v>9</v>
      </c>
      <c r="D5827" s="8" t="n">
        <v>46329</v>
      </c>
      <c r="E5827" s="9" t="n">
        <v>4887.78</v>
      </c>
      <c r="F5827" s="8" t="n"/>
      <c r="G5827" s="9" t="n">
        <v>0</v>
      </c>
      <c r="H5827" t="inlineStr">
        <is>
          <t>NOT_DUE</t>
        </is>
      </c>
      <c r="I5827">
        <f>IF(H5827="UNPAID", AsOfDate-D5827, 0)</f>
        <v/>
      </c>
      <c r="J5827">
        <f>IF(F5827&lt;&gt;"", TEXT(F5827, "yyyy-mm"), "")</f>
        <v/>
      </c>
    </row>
    <row r="5828">
      <c r="A5828" t="inlineStr">
        <is>
          <t>RP0005827</t>
        </is>
      </c>
      <c r="B5828" t="inlineStr">
        <is>
          <t>LN200829</t>
        </is>
      </c>
      <c r="C5828" t="n">
        <v>1</v>
      </c>
      <c r="D5828" s="8" t="n">
        <v>46241</v>
      </c>
      <c r="E5828" s="9" t="n">
        <v>16269.83</v>
      </c>
      <c r="F5828" s="8" t="n">
        <v>46240</v>
      </c>
      <c r="G5828" s="9" t="n">
        <v>16269.83</v>
      </c>
      <c r="H5828" t="inlineStr">
        <is>
          <t>PAID_ON_TIME</t>
        </is>
      </c>
      <c r="I5828">
        <f>IF(H5828="UNPAID", AsOfDate-D5828, 0)</f>
        <v/>
      </c>
      <c r="J5828">
        <f>IF(F5828&lt;&gt;"", TEXT(F5828, "yyyy-mm"), "")</f>
        <v/>
      </c>
    </row>
    <row r="5829">
      <c r="A5829" t="inlineStr">
        <is>
          <t>RP0005828</t>
        </is>
      </c>
      <c r="B5829" t="inlineStr">
        <is>
          <t>LN200829</t>
        </is>
      </c>
      <c r="C5829" t="n">
        <v>2</v>
      </c>
      <c r="D5829" s="8" t="n">
        <v>46272</v>
      </c>
      <c r="E5829" s="9" t="n">
        <v>16269.83</v>
      </c>
      <c r="F5829" s="8" t="n"/>
      <c r="G5829" s="9" t="n">
        <v>0</v>
      </c>
      <c r="H5829" t="inlineStr">
        <is>
          <t>NOT_DUE</t>
        </is>
      </c>
      <c r="I5829">
        <f>IF(H5829="UNPAID", AsOfDate-D5829, 0)</f>
        <v/>
      </c>
      <c r="J5829">
        <f>IF(F5829&lt;&gt;"", TEXT(F5829, "yyyy-mm"), "")</f>
        <v/>
      </c>
    </row>
    <row r="5830">
      <c r="A5830" t="inlineStr">
        <is>
          <t>RP0005829</t>
        </is>
      </c>
      <c r="B5830" t="inlineStr">
        <is>
          <t>LN200829</t>
        </is>
      </c>
      <c r="C5830" t="n">
        <v>3</v>
      </c>
      <c r="D5830" s="8" t="n">
        <v>46302</v>
      </c>
      <c r="E5830" s="9" t="n">
        <v>16269.83</v>
      </c>
      <c r="F5830" s="8" t="n"/>
      <c r="G5830" s="9" t="n">
        <v>0</v>
      </c>
      <c r="H5830" t="inlineStr">
        <is>
          <t>NOT_DUE</t>
        </is>
      </c>
      <c r="I5830">
        <f>IF(H5830="UNPAID", AsOfDate-D5830, 0)</f>
        <v/>
      </c>
      <c r="J5830">
        <f>IF(F5830&lt;&gt;"", TEXT(F5830, "yyyy-mm"), "")</f>
        <v/>
      </c>
    </row>
    <row r="5831">
      <c r="A5831" t="inlineStr">
        <is>
          <t>RP0005830</t>
        </is>
      </c>
      <c r="B5831" t="inlineStr">
        <is>
          <t>LN200830</t>
        </is>
      </c>
      <c r="C5831" t="n">
        <v>1</v>
      </c>
      <c r="D5831" s="8" t="n">
        <v>45974</v>
      </c>
      <c r="E5831" s="9" t="n">
        <v>55037</v>
      </c>
      <c r="F5831" s="8" t="n">
        <v>45976</v>
      </c>
      <c r="G5831" s="9" t="n">
        <v>55037</v>
      </c>
      <c r="H5831" t="inlineStr">
        <is>
          <t>PAID_ON_TIME</t>
        </is>
      </c>
      <c r="I5831">
        <f>IF(H5831="UNPAID", AsOfDate-D5831, 0)</f>
        <v/>
      </c>
      <c r="J5831">
        <f>IF(F5831&lt;&gt;"", TEXT(F5831, "yyyy-mm"), "")</f>
        <v/>
      </c>
    </row>
    <row r="5832">
      <c r="A5832" t="inlineStr">
        <is>
          <t>RP0005831</t>
        </is>
      </c>
      <c r="B5832" t="inlineStr">
        <is>
          <t>LN200830</t>
        </is>
      </c>
      <c r="C5832" t="n">
        <v>2</v>
      </c>
      <c r="D5832" s="8" t="n">
        <v>46004</v>
      </c>
      <c r="E5832" s="9" t="n">
        <v>55037</v>
      </c>
      <c r="F5832" s="8" t="n">
        <v>46005</v>
      </c>
      <c r="G5832" s="9" t="n">
        <v>55037</v>
      </c>
      <c r="H5832" t="inlineStr">
        <is>
          <t>PAID_ON_TIME</t>
        </is>
      </c>
      <c r="I5832">
        <f>IF(H5832="UNPAID", AsOfDate-D5832, 0)</f>
        <v/>
      </c>
      <c r="J5832">
        <f>IF(F5832&lt;&gt;"", TEXT(F5832, "yyyy-mm"), "")</f>
        <v/>
      </c>
    </row>
    <row r="5833">
      <c r="A5833" t="inlineStr">
        <is>
          <t>RP0005832</t>
        </is>
      </c>
      <c r="B5833" t="inlineStr">
        <is>
          <t>LN200830</t>
        </is>
      </c>
      <c r="C5833" t="n">
        <v>3</v>
      </c>
      <c r="D5833" s="8" t="n">
        <v>46035</v>
      </c>
      <c r="E5833" s="9" t="n">
        <v>55037</v>
      </c>
      <c r="F5833" s="8" t="n">
        <v>46037</v>
      </c>
      <c r="G5833" s="9" t="n">
        <v>55037</v>
      </c>
      <c r="H5833" t="inlineStr">
        <is>
          <t>PAID_ON_TIME</t>
        </is>
      </c>
      <c r="I5833">
        <f>IF(H5833="UNPAID", AsOfDate-D5833, 0)</f>
        <v/>
      </c>
      <c r="J5833">
        <f>IF(F5833&lt;&gt;"", TEXT(F5833, "yyyy-mm"), "")</f>
        <v/>
      </c>
    </row>
    <row r="5834">
      <c r="A5834" t="inlineStr">
        <is>
          <t>RP0005833</t>
        </is>
      </c>
      <c r="B5834" t="inlineStr">
        <is>
          <t>LN200830</t>
        </is>
      </c>
      <c r="C5834" t="n">
        <v>4</v>
      </c>
      <c r="D5834" s="8" t="n">
        <v>46066</v>
      </c>
      <c r="E5834" s="9" t="n">
        <v>55037</v>
      </c>
      <c r="F5834" s="8" t="n">
        <v>46069</v>
      </c>
      <c r="G5834" s="9" t="n">
        <v>55037</v>
      </c>
      <c r="H5834" t="inlineStr">
        <is>
          <t>PAID_ON_TIME</t>
        </is>
      </c>
      <c r="I5834">
        <f>IF(H5834="UNPAID", AsOfDate-D5834, 0)</f>
        <v/>
      </c>
      <c r="J5834">
        <f>IF(F5834&lt;&gt;"", TEXT(F5834, "yyyy-mm"), "")</f>
        <v/>
      </c>
    </row>
    <row r="5835">
      <c r="A5835" t="inlineStr">
        <is>
          <t>RP0005834</t>
        </is>
      </c>
      <c r="B5835" t="inlineStr">
        <is>
          <t>LN200830</t>
        </is>
      </c>
      <c r="C5835" t="n">
        <v>5</v>
      </c>
      <c r="D5835" s="8" t="n">
        <v>46094</v>
      </c>
      <c r="E5835" s="9" t="n">
        <v>55037</v>
      </c>
      <c r="F5835" s="8" t="n">
        <v>46095</v>
      </c>
      <c r="G5835" s="9" t="n">
        <v>55037</v>
      </c>
      <c r="H5835" t="inlineStr">
        <is>
          <t>PAID_ON_TIME</t>
        </is>
      </c>
      <c r="I5835">
        <f>IF(H5835="UNPAID", AsOfDate-D5835, 0)</f>
        <v/>
      </c>
      <c r="J5835">
        <f>IF(F5835&lt;&gt;"", TEXT(F5835, "yyyy-mm"), "")</f>
        <v/>
      </c>
    </row>
    <row r="5836">
      <c r="A5836" t="inlineStr">
        <is>
          <t>RP0005835</t>
        </is>
      </c>
      <c r="B5836" t="inlineStr">
        <is>
          <t>LN200830</t>
        </is>
      </c>
      <c r="C5836" t="n">
        <v>6</v>
      </c>
      <c r="D5836" s="8" t="n">
        <v>46125</v>
      </c>
      <c r="E5836" s="9" t="n">
        <v>55037</v>
      </c>
      <c r="F5836" s="8" t="n">
        <v>46127</v>
      </c>
      <c r="G5836" s="9" t="n">
        <v>55037</v>
      </c>
      <c r="H5836" t="inlineStr">
        <is>
          <t>PAID_ON_TIME</t>
        </is>
      </c>
      <c r="I5836">
        <f>IF(H5836="UNPAID", AsOfDate-D5836, 0)</f>
        <v/>
      </c>
      <c r="J5836">
        <f>IF(F5836&lt;&gt;"", TEXT(F5836, "yyyy-mm"), "")</f>
        <v/>
      </c>
    </row>
    <row r="5837">
      <c r="A5837" t="inlineStr">
        <is>
          <t>RP0005836</t>
        </is>
      </c>
      <c r="B5837" t="inlineStr">
        <is>
          <t>LN200830</t>
        </is>
      </c>
      <c r="C5837" t="n">
        <v>7</v>
      </c>
      <c r="D5837" s="8" t="n">
        <v>46155</v>
      </c>
      <c r="E5837" s="9" t="n">
        <v>55037</v>
      </c>
      <c r="F5837" s="8" t="n">
        <v>46154</v>
      </c>
      <c r="G5837" s="9" t="n">
        <v>55037</v>
      </c>
      <c r="H5837" t="inlineStr">
        <is>
          <t>PAID_ON_TIME</t>
        </is>
      </c>
      <c r="I5837">
        <f>IF(H5837="UNPAID", AsOfDate-D5837, 0)</f>
        <v/>
      </c>
      <c r="J5837">
        <f>IF(F5837&lt;&gt;"", TEXT(F5837, "yyyy-mm"), "")</f>
        <v/>
      </c>
    </row>
    <row r="5838">
      <c r="A5838" t="inlineStr">
        <is>
          <t>RP0005837</t>
        </is>
      </c>
      <c r="B5838" t="inlineStr">
        <is>
          <t>LN200830</t>
        </is>
      </c>
      <c r="C5838" t="n">
        <v>8</v>
      </c>
      <c r="D5838" s="8" t="n">
        <v>46186</v>
      </c>
      <c r="E5838" s="9" t="n">
        <v>55037</v>
      </c>
      <c r="F5838" s="8" t="n">
        <v>46186</v>
      </c>
      <c r="G5838" s="9" t="n">
        <v>55037</v>
      </c>
      <c r="H5838" t="inlineStr">
        <is>
          <t>PAID_ON_TIME</t>
        </is>
      </c>
      <c r="I5838">
        <f>IF(H5838="UNPAID", AsOfDate-D5838, 0)</f>
        <v/>
      </c>
      <c r="J5838">
        <f>IF(F5838&lt;&gt;"", TEXT(F5838, "yyyy-mm"), "")</f>
        <v/>
      </c>
    </row>
    <row r="5839">
      <c r="A5839" t="inlineStr">
        <is>
          <t>RP0005838</t>
        </is>
      </c>
      <c r="B5839" t="inlineStr">
        <is>
          <t>LN200830</t>
        </is>
      </c>
      <c r="C5839" t="n">
        <v>9</v>
      </c>
      <c r="D5839" s="8" t="n">
        <v>46216</v>
      </c>
      <c r="E5839" s="9" t="n">
        <v>55037</v>
      </c>
      <c r="F5839" s="8" t="n">
        <v>46217</v>
      </c>
      <c r="G5839" s="9" t="n">
        <v>55037</v>
      </c>
      <c r="H5839" t="inlineStr">
        <is>
          <t>PAID_ON_TIME</t>
        </is>
      </c>
      <c r="I5839">
        <f>IF(H5839="UNPAID", AsOfDate-D5839, 0)</f>
        <v/>
      </c>
      <c r="J5839">
        <f>IF(F5839&lt;&gt;"", TEXT(F5839, "yyyy-mm"), "")</f>
        <v/>
      </c>
    </row>
    <row r="5840">
      <c r="A5840" t="inlineStr">
        <is>
          <t>RP0005839</t>
        </is>
      </c>
      <c r="B5840" t="inlineStr">
        <is>
          <t>LN200830</t>
        </is>
      </c>
      <c r="C5840" t="n">
        <v>10</v>
      </c>
      <c r="D5840" s="8" t="n">
        <v>46247</v>
      </c>
      <c r="E5840" s="9" t="n">
        <v>55037</v>
      </c>
      <c r="F5840" s="8" t="n">
        <v>46247</v>
      </c>
      <c r="G5840" s="9" t="n">
        <v>55037</v>
      </c>
      <c r="H5840" t="inlineStr">
        <is>
          <t>PAID_ON_TIME</t>
        </is>
      </c>
      <c r="I5840">
        <f>IF(H5840="UNPAID", AsOfDate-D5840, 0)</f>
        <v/>
      </c>
      <c r="J5840">
        <f>IF(F5840&lt;&gt;"", TEXT(F5840, "yyyy-mm"), "")</f>
        <v/>
      </c>
    </row>
    <row r="5841">
      <c r="A5841" t="inlineStr">
        <is>
          <t>RP0005840</t>
        </is>
      </c>
      <c r="B5841" t="inlineStr">
        <is>
          <t>LN200830</t>
        </is>
      </c>
      <c r="C5841" t="n">
        <v>11</v>
      </c>
      <c r="D5841" s="8" t="n">
        <v>46278</v>
      </c>
      <c r="E5841" s="9" t="n">
        <v>55037</v>
      </c>
      <c r="F5841" s="8" t="n"/>
      <c r="G5841" s="9" t="n">
        <v>0</v>
      </c>
      <c r="H5841" t="inlineStr">
        <is>
          <t>NOT_DUE</t>
        </is>
      </c>
      <c r="I5841">
        <f>IF(H5841="UNPAID", AsOfDate-D5841, 0)</f>
        <v/>
      </c>
      <c r="J5841">
        <f>IF(F5841&lt;&gt;"", TEXT(F5841, "yyyy-mm"), "")</f>
        <v/>
      </c>
    </row>
    <row r="5842">
      <c r="A5842" t="inlineStr">
        <is>
          <t>RP0005841</t>
        </is>
      </c>
      <c r="B5842" t="inlineStr">
        <is>
          <t>LN200830</t>
        </is>
      </c>
      <c r="C5842" t="n">
        <v>12</v>
      </c>
      <c r="D5842" s="8" t="n">
        <v>46308</v>
      </c>
      <c r="E5842" s="9" t="n">
        <v>55037</v>
      </c>
      <c r="F5842" s="8" t="n"/>
      <c r="G5842" s="9" t="n">
        <v>0</v>
      </c>
      <c r="H5842" t="inlineStr">
        <is>
          <t>NOT_DUE</t>
        </is>
      </c>
      <c r="I5842">
        <f>IF(H5842="UNPAID", AsOfDate-D5842, 0)</f>
        <v/>
      </c>
      <c r="J5842">
        <f>IF(F5842&lt;&gt;"", TEXT(F5842, "yyyy-mm"), "")</f>
        <v/>
      </c>
    </row>
    <row r="5843">
      <c r="A5843" t="inlineStr">
        <is>
          <t>RP0005842</t>
        </is>
      </c>
      <c r="B5843" t="inlineStr">
        <is>
          <t>LN200831</t>
        </is>
      </c>
      <c r="C5843" t="n">
        <v>1</v>
      </c>
      <c r="D5843" s="8" t="n">
        <v>46085</v>
      </c>
      <c r="E5843" s="9" t="n">
        <v>28515.67</v>
      </c>
      <c r="F5843" s="8" t="n"/>
      <c r="G5843" s="9" t="n">
        <v>0</v>
      </c>
      <c r="H5843" t="inlineStr">
        <is>
          <t>UNPAID</t>
        </is>
      </c>
      <c r="I5843">
        <f>IF(H5843="UNPAID", AsOfDate-D5843, 0)</f>
        <v/>
      </c>
      <c r="J5843">
        <f>IF(F5843&lt;&gt;"", TEXT(F5843, "yyyy-mm"), "")</f>
        <v/>
      </c>
    </row>
    <row r="5844">
      <c r="A5844" t="inlineStr">
        <is>
          <t>RP0005843</t>
        </is>
      </c>
      <c r="B5844" t="inlineStr">
        <is>
          <t>LN200831</t>
        </is>
      </c>
      <c r="C5844" t="n">
        <v>2</v>
      </c>
      <c r="D5844" s="8" t="n">
        <v>46116</v>
      </c>
      <c r="E5844" s="9" t="n">
        <v>28515.67</v>
      </c>
      <c r="F5844" s="8" t="n">
        <v>46113</v>
      </c>
      <c r="G5844" s="9" t="n">
        <v>28515.67</v>
      </c>
      <c r="H5844" t="inlineStr">
        <is>
          <t>PAID_ON_TIME</t>
        </is>
      </c>
      <c r="I5844">
        <f>IF(H5844="UNPAID", AsOfDate-D5844, 0)</f>
        <v/>
      </c>
      <c r="J5844">
        <f>IF(F5844&lt;&gt;"", TEXT(F5844, "yyyy-mm"), "")</f>
        <v/>
      </c>
    </row>
    <row r="5845">
      <c r="A5845" t="inlineStr">
        <is>
          <t>RP0005844</t>
        </is>
      </c>
      <c r="B5845" t="inlineStr">
        <is>
          <t>LN200831</t>
        </is>
      </c>
      <c r="C5845" t="n">
        <v>3</v>
      </c>
      <c r="D5845" s="8" t="n">
        <v>46146</v>
      </c>
      <c r="E5845" s="9" t="n">
        <v>28515.67</v>
      </c>
      <c r="F5845" s="8" t="n">
        <v>46143</v>
      </c>
      <c r="G5845" s="9" t="n">
        <v>28515.67</v>
      </c>
      <c r="H5845" t="inlineStr">
        <is>
          <t>PAID_ON_TIME</t>
        </is>
      </c>
      <c r="I5845">
        <f>IF(H5845="UNPAID", AsOfDate-D5845, 0)</f>
        <v/>
      </c>
      <c r="J5845">
        <f>IF(F5845&lt;&gt;"", TEXT(F5845, "yyyy-mm"), "")</f>
        <v/>
      </c>
    </row>
    <row r="5846">
      <c r="A5846" t="inlineStr">
        <is>
          <t>RP0005845</t>
        </is>
      </c>
      <c r="B5846" t="inlineStr">
        <is>
          <t>LN200831</t>
        </is>
      </c>
      <c r="C5846" t="n">
        <v>4</v>
      </c>
      <c r="D5846" s="8" t="n">
        <v>46177</v>
      </c>
      <c r="E5846" s="9" t="n">
        <v>28515.67</v>
      </c>
      <c r="F5846" s="8" t="n">
        <v>46179</v>
      </c>
      <c r="G5846" s="9" t="n">
        <v>28515.67</v>
      </c>
      <c r="H5846" t="inlineStr">
        <is>
          <t>PAID_ON_TIME</t>
        </is>
      </c>
      <c r="I5846">
        <f>IF(H5846="UNPAID", AsOfDate-D5846, 0)</f>
        <v/>
      </c>
      <c r="J5846">
        <f>IF(F5846&lt;&gt;"", TEXT(F5846, "yyyy-mm"), "")</f>
        <v/>
      </c>
    </row>
    <row r="5847">
      <c r="A5847" t="inlineStr">
        <is>
          <t>RP0005846</t>
        </is>
      </c>
      <c r="B5847" t="inlineStr">
        <is>
          <t>LN200831</t>
        </is>
      </c>
      <c r="C5847" t="n">
        <v>5</v>
      </c>
      <c r="D5847" s="8" t="n">
        <v>46207</v>
      </c>
      <c r="E5847" s="9" t="n">
        <v>28515.67</v>
      </c>
      <c r="F5847" s="8" t="n">
        <v>46206</v>
      </c>
      <c r="G5847" s="9" t="n">
        <v>28515.67</v>
      </c>
      <c r="H5847" t="inlineStr">
        <is>
          <t>PAID_ON_TIME</t>
        </is>
      </c>
      <c r="I5847">
        <f>IF(H5847="UNPAID", AsOfDate-D5847, 0)</f>
        <v/>
      </c>
      <c r="J5847">
        <f>IF(F5847&lt;&gt;"", TEXT(F5847, "yyyy-mm"), "")</f>
        <v/>
      </c>
    </row>
    <row r="5848">
      <c r="A5848" t="inlineStr">
        <is>
          <t>RP0005847</t>
        </is>
      </c>
      <c r="B5848" t="inlineStr">
        <is>
          <t>LN200831</t>
        </is>
      </c>
      <c r="C5848" t="n">
        <v>6</v>
      </c>
      <c r="D5848" s="8" t="n">
        <v>46238</v>
      </c>
      <c r="E5848" s="9" t="n">
        <v>28515.67</v>
      </c>
      <c r="F5848" s="8" t="n">
        <v>46238</v>
      </c>
      <c r="G5848" s="9" t="n">
        <v>28515.67</v>
      </c>
      <c r="H5848" t="inlineStr">
        <is>
          <t>PAID_ON_TIME</t>
        </is>
      </c>
      <c r="I5848">
        <f>IF(H5848="UNPAID", AsOfDate-D5848, 0)</f>
        <v/>
      </c>
      <c r="J5848">
        <f>IF(F5848&lt;&gt;"", TEXT(F5848, "yyyy-mm"), "")</f>
        <v/>
      </c>
    </row>
    <row r="5849">
      <c r="A5849" t="inlineStr">
        <is>
          <t>RP0005848</t>
        </is>
      </c>
      <c r="B5849" t="inlineStr">
        <is>
          <t>LN200832</t>
        </is>
      </c>
      <c r="C5849" t="n">
        <v>1</v>
      </c>
      <c r="D5849" s="8" t="n">
        <v>46192</v>
      </c>
      <c r="E5849" s="9" t="n">
        <v>102259.17</v>
      </c>
      <c r="F5849" s="8" t="n">
        <v>46196</v>
      </c>
      <c r="G5849" s="9" t="n">
        <v>102259.17</v>
      </c>
      <c r="H5849" t="inlineStr">
        <is>
          <t>PAID_ON_TIME</t>
        </is>
      </c>
      <c r="I5849">
        <f>IF(H5849="UNPAID", AsOfDate-D5849, 0)</f>
        <v/>
      </c>
      <c r="J5849">
        <f>IF(F5849&lt;&gt;"", TEXT(F5849, "yyyy-mm"), "")</f>
        <v/>
      </c>
    </row>
    <row r="5850">
      <c r="A5850" t="inlineStr">
        <is>
          <t>RP0005849</t>
        </is>
      </c>
      <c r="B5850" t="inlineStr">
        <is>
          <t>LN200832</t>
        </is>
      </c>
      <c r="C5850" t="n">
        <v>2</v>
      </c>
      <c r="D5850" s="8" t="n">
        <v>46222</v>
      </c>
      <c r="E5850" s="9" t="n">
        <v>102259.17</v>
      </c>
      <c r="F5850" s="8" t="n">
        <v>46226</v>
      </c>
      <c r="G5850" s="9" t="n">
        <v>102259.17</v>
      </c>
      <c r="H5850" t="inlineStr">
        <is>
          <t>PAID_ON_TIME</t>
        </is>
      </c>
      <c r="I5850">
        <f>IF(H5850="UNPAID", AsOfDate-D5850, 0)</f>
        <v/>
      </c>
      <c r="J5850">
        <f>IF(F5850&lt;&gt;"", TEXT(F5850, "yyyy-mm"), "")</f>
        <v/>
      </c>
    </row>
    <row r="5851">
      <c r="A5851" t="inlineStr">
        <is>
          <t>RP0005850</t>
        </is>
      </c>
      <c r="B5851" t="inlineStr">
        <is>
          <t>LN200832</t>
        </is>
      </c>
      <c r="C5851" t="n">
        <v>3</v>
      </c>
      <c r="D5851" s="8" t="n">
        <v>46253</v>
      </c>
      <c r="E5851" s="9" t="n">
        <v>102259.17</v>
      </c>
      <c r="F5851" s="8" t="n">
        <v>46253</v>
      </c>
      <c r="G5851" s="9" t="n">
        <v>102259.17</v>
      </c>
      <c r="H5851" t="inlineStr">
        <is>
          <t>PAID_ON_TIME</t>
        </is>
      </c>
      <c r="I5851">
        <f>IF(H5851="UNPAID", AsOfDate-D5851, 0)</f>
        <v/>
      </c>
      <c r="J5851">
        <f>IF(F5851&lt;&gt;"", TEXT(F5851, "yyyy-mm"), "")</f>
        <v/>
      </c>
    </row>
    <row r="5852">
      <c r="A5852" t="inlineStr">
        <is>
          <t>RP0005851</t>
        </is>
      </c>
      <c r="B5852" t="inlineStr">
        <is>
          <t>LN200832</t>
        </is>
      </c>
      <c r="C5852" t="n">
        <v>4</v>
      </c>
      <c r="D5852" s="8" t="n">
        <v>46284</v>
      </c>
      <c r="E5852" s="9" t="n">
        <v>102259.17</v>
      </c>
      <c r="F5852" s="8" t="n"/>
      <c r="G5852" s="9" t="n">
        <v>0</v>
      </c>
      <c r="H5852" t="inlineStr">
        <is>
          <t>NOT_DUE</t>
        </is>
      </c>
      <c r="I5852">
        <f>IF(H5852="UNPAID", AsOfDate-D5852, 0)</f>
        <v/>
      </c>
      <c r="J5852">
        <f>IF(F5852&lt;&gt;"", TEXT(F5852, "yyyy-mm"), "")</f>
        <v/>
      </c>
    </row>
    <row r="5853">
      <c r="A5853" t="inlineStr">
        <is>
          <t>RP0005852</t>
        </is>
      </c>
      <c r="B5853" t="inlineStr">
        <is>
          <t>LN200832</t>
        </is>
      </c>
      <c r="C5853" t="n">
        <v>5</v>
      </c>
      <c r="D5853" s="8" t="n">
        <v>46314</v>
      </c>
      <c r="E5853" s="9" t="n">
        <v>102259.17</v>
      </c>
      <c r="F5853" s="8" t="n"/>
      <c r="G5853" s="9" t="n">
        <v>0</v>
      </c>
      <c r="H5853" t="inlineStr">
        <is>
          <t>NOT_DUE</t>
        </is>
      </c>
      <c r="I5853">
        <f>IF(H5853="UNPAID", AsOfDate-D5853, 0)</f>
        <v/>
      </c>
      <c r="J5853">
        <f>IF(F5853&lt;&gt;"", TEXT(F5853, "yyyy-mm"), "")</f>
        <v/>
      </c>
    </row>
    <row r="5854">
      <c r="A5854" t="inlineStr">
        <is>
          <t>RP0005853</t>
        </is>
      </c>
      <c r="B5854" t="inlineStr">
        <is>
          <t>LN200832</t>
        </is>
      </c>
      <c r="C5854" t="n">
        <v>6</v>
      </c>
      <c r="D5854" s="8" t="n">
        <v>46345</v>
      </c>
      <c r="E5854" s="9" t="n">
        <v>102259.17</v>
      </c>
      <c r="F5854" s="8" t="n"/>
      <c r="G5854" s="9" t="n">
        <v>0</v>
      </c>
      <c r="H5854" t="inlineStr">
        <is>
          <t>NOT_DUE</t>
        </is>
      </c>
      <c r="I5854">
        <f>IF(H5854="UNPAID", AsOfDate-D5854, 0)</f>
        <v/>
      </c>
      <c r="J5854">
        <f>IF(F5854&lt;&gt;"", TEXT(F5854, "yyyy-mm"), "")</f>
        <v/>
      </c>
    </row>
    <row r="5855">
      <c r="A5855" t="inlineStr">
        <is>
          <t>RP0005854</t>
        </is>
      </c>
      <c r="B5855" t="inlineStr">
        <is>
          <t>LN200833</t>
        </is>
      </c>
      <c r="C5855" t="n">
        <v>1</v>
      </c>
      <c r="D5855" s="8" t="n">
        <v>45802</v>
      </c>
      <c r="E5855" s="9" t="n">
        <v>20625.42</v>
      </c>
      <c r="F5855" s="8" t="n">
        <v>45804</v>
      </c>
      <c r="G5855" s="9" t="n">
        <v>20625.42</v>
      </c>
      <c r="H5855" t="inlineStr">
        <is>
          <t>PAID_ON_TIME</t>
        </is>
      </c>
      <c r="I5855">
        <f>IF(H5855="UNPAID", AsOfDate-D5855, 0)</f>
        <v/>
      </c>
      <c r="J5855">
        <f>IF(F5855&lt;&gt;"", TEXT(F5855, "yyyy-mm"), "")</f>
        <v/>
      </c>
    </row>
    <row r="5856">
      <c r="A5856" t="inlineStr">
        <is>
          <t>RP0005855</t>
        </is>
      </c>
      <c r="B5856" t="inlineStr">
        <is>
          <t>LN200833</t>
        </is>
      </c>
      <c r="C5856" t="n">
        <v>2</v>
      </c>
      <c r="D5856" s="8" t="n">
        <v>45833</v>
      </c>
      <c r="E5856" s="9" t="n">
        <v>20625.42</v>
      </c>
      <c r="F5856" s="8" t="n">
        <v>45835</v>
      </c>
      <c r="G5856" s="9" t="n">
        <v>20625.42</v>
      </c>
      <c r="H5856" t="inlineStr">
        <is>
          <t>PAID_ON_TIME</t>
        </is>
      </c>
      <c r="I5856">
        <f>IF(H5856="UNPAID", AsOfDate-D5856, 0)</f>
        <v/>
      </c>
      <c r="J5856">
        <f>IF(F5856&lt;&gt;"", TEXT(F5856, "yyyy-mm"), "")</f>
        <v/>
      </c>
    </row>
    <row r="5857">
      <c r="A5857" t="inlineStr">
        <is>
          <t>RP0005856</t>
        </is>
      </c>
      <c r="B5857" t="inlineStr">
        <is>
          <t>LN200833</t>
        </is>
      </c>
      <c r="C5857" t="n">
        <v>3</v>
      </c>
      <c r="D5857" s="8" t="n">
        <v>45863</v>
      </c>
      <c r="E5857" s="9" t="n">
        <v>20625.42</v>
      </c>
      <c r="F5857" s="8" t="n">
        <v>45865</v>
      </c>
      <c r="G5857" s="9" t="n">
        <v>20625.42</v>
      </c>
      <c r="H5857" t="inlineStr">
        <is>
          <t>PAID_ON_TIME</t>
        </is>
      </c>
      <c r="I5857">
        <f>IF(H5857="UNPAID", AsOfDate-D5857, 0)</f>
        <v/>
      </c>
      <c r="J5857">
        <f>IF(F5857&lt;&gt;"", TEXT(F5857, "yyyy-mm"), "")</f>
        <v/>
      </c>
    </row>
    <row r="5858">
      <c r="A5858" t="inlineStr">
        <is>
          <t>RP0005857</t>
        </is>
      </c>
      <c r="B5858" t="inlineStr">
        <is>
          <t>LN200834</t>
        </is>
      </c>
      <c r="C5858" t="n">
        <v>1</v>
      </c>
      <c r="D5858" s="8" t="n">
        <v>46069</v>
      </c>
      <c r="E5858" s="9" t="n">
        <v>17689</v>
      </c>
      <c r="F5858" s="8" t="n">
        <v>46130</v>
      </c>
      <c r="G5858" s="9" t="n">
        <v>17689</v>
      </c>
      <c r="H5858" t="inlineStr">
        <is>
          <t>PAID_LATE</t>
        </is>
      </c>
      <c r="I5858">
        <f>IF(H5858="UNPAID", AsOfDate-D5858, 0)</f>
        <v/>
      </c>
      <c r="J5858">
        <f>IF(F5858&lt;&gt;"", TEXT(F5858, "yyyy-mm"), "")</f>
        <v/>
      </c>
    </row>
    <row r="5859">
      <c r="A5859" t="inlineStr">
        <is>
          <t>RP0005858</t>
        </is>
      </c>
      <c r="B5859" t="inlineStr">
        <is>
          <t>LN200834</t>
        </is>
      </c>
      <c r="C5859" t="n">
        <v>2</v>
      </c>
      <c r="D5859" s="8" t="n">
        <v>46097</v>
      </c>
      <c r="E5859" s="9" t="n">
        <v>17689</v>
      </c>
      <c r="F5859" s="8" t="n">
        <v>46100</v>
      </c>
      <c r="G5859" s="9" t="n">
        <v>17689</v>
      </c>
      <c r="H5859" t="inlineStr">
        <is>
          <t>PAID_ON_TIME</t>
        </is>
      </c>
      <c r="I5859">
        <f>IF(H5859="UNPAID", AsOfDate-D5859, 0)</f>
        <v/>
      </c>
      <c r="J5859">
        <f>IF(F5859&lt;&gt;"", TEXT(F5859, "yyyy-mm"), "")</f>
        <v/>
      </c>
    </row>
    <row r="5860">
      <c r="A5860" t="inlineStr">
        <is>
          <t>RP0005859</t>
        </is>
      </c>
      <c r="B5860" t="inlineStr">
        <is>
          <t>LN200834</t>
        </is>
      </c>
      <c r="C5860" t="n">
        <v>3</v>
      </c>
      <c r="D5860" s="8" t="n">
        <v>46128</v>
      </c>
      <c r="E5860" s="9" t="n">
        <v>17689</v>
      </c>
      <c r="F5860" s="8" t="n">
        <v>46130</v>
      </c>
      <c r="G5860" s="9" t="n">
        <v>17689</v>
      </c>
      <c r="H5860" t="inlineStr">
        <is>
          <t>PAID_ON_TIME</t>
        </is>
      </c>
      <c r="I5860">
        <f>IF(H5860="UNPAID", AsOfDate-D5860, 0)</f>
        <v/>
      </c>
      <c r="J5860">
        <f>IF(F5860&lt;&gt;"", TEXT(F5860, "yyyy-mm"), "")</f>
        <v/>
      </c>
    </row>
    <row r="5861">
      <c r="A5861" t="inlineStr">
        <is>
          <t>RP0005860</t>
        </is>
      </c>
      <c r="B5861" t="inlineStr">
        <is>
          <t>LN200834</t>
        </is>
      </c>
      <c r="C5861" t="n">
        <v>4</v>
      </c>
      <c r="D5861" s="8" t="n">
        <v>46158</v>
      </c>
      <c r="E5861" s="9" t="n">
        <v>17689</v>
      </c>
      <c r="F5861" s="8" t="n">
        <v>46155</v>
      </c>
      <c r="G5861" s="9" t="n">
        <v>17689</v>
      </c>
      <c r="H5861" t="inlineStr">
        <is>
          <t>PAID_ON_TIME</t>
        </is>
      </c>
      <c r="I5861">
        <f>IF(H5861="UNPAID", AsOfDate-D5861, 0)</f>
        <v/>
      </c>
      <c r="J5861">
        <f>IF(F5861&lt;&gt;"", TEXT(F5861, "yyyy-mm"), "")</f>
        <v/>
      </c>
    </row>
    <row r="5862">
      <c r="A5862" t="inlineStr">
        <is>
          <t>RP0005861</t>
        </is>
      </c>
      <c r="B5862" t="inlineStr">
        <is>
          <t>LN200834</t>
        </is>
      </c>
      <c r="C5862" t="n">
        <v>5</v>
      </c>
      <c r="D5862" s="8" t="n">
        <v>46189</v>
      </c>
      <c r="E5862" s="9" t="n">
        <v>17689</v>
      </c>
      <c r="F5862" s="8" t="n">
        <v>46188</v>
      </c>
      <c r="G5862" s="9" t="n">
        <v>17689</v>
      </c>
      <c r="H5862" t="inlineStr">
        <is>
          <t>PAID_ON_TIME</t>
        </is>
      </c>
      <c r="I5862">
        <f>IF(H5862="UNPAID", AsOfDate-D5862, 0)</f>
        <v/>
      </c>
      <c r="J5862">
        <f>IF(F5862&lt;&gt;"", TEXT(F5862, "yyyy-mm"), "")</f>
        <v/>
      </c>
    </row>
    <row r="5863">
      <c r="A5863" t="inlineStr">
        <is>
          <t>RP0005862</t>
        </is>
      </c>
      <c r="B5863" t="inlineStr">
        <is>
          <t>LN200834</t>
        </is>
      </c>
      <c r="C5863" t="n">
        <v>6</v>
      </c>
      <c r="D5863" s="8" t="n">
        <v>46219</v>
      </c>
      <c r="E5863" s="9" t="n">
        <v>17689</v>
      </c>
      <c r="F5863" s="8" t="n"/>
      <c r="G5863" s="9" t="n">
        <v>0</v>
      </c>
      <c r="H5863" t="inlineStr">
        <is>
          <t>UNPAID</t>
        </is>
      </c>
      <c r="I5863">
        <f>IF(H5863="UNPAID", AsOfDate-D5863, 0)</f>
        <v/>
      </c>
      <c r="J5863">
        <f>IF(F5863&lt;&gt;"", TEXT(F5863, "yyyy-mm"), "")</f>
        <v/>
      </c>
    </row>
    <row r="5864">
      <c r="A5864" t="inlineStr">
        <is>
          <t>RP0005863</t>
        </is>
      </c>
      <c r="B5864" t="inlineStr">
        <is>
          <t>LN200835</t>
        </is>
      </c>
      <c r="C5864" t="n">
        <v>1</v>
      </c>
      <c r="D5864" s="8" t="n">
        <v>46083</v>
      </c>
      <c r="E5864" s="9" t="n">
        <v>4271.67</v>
      </c>
      <c r="F5864" s="8" t="n">
        <v>46202</v>
      </c>
      <c r="G5864" s="9" t="n">
        <v>4271.67</v>
      </c>
      <c r="H5864" t="inlineStr">
        <is>
          <t>PAID_LATE</t>
        </is>
      </c>
      <c r="I5864">
        <f>IF(H5864="UNPAID", AsOfDate-D5864, 0)</f>
        <v/>
      </c>
      <c r="J5864">
        <f>IF(F5864&lt;&gt;"", TEXT(F5864, "yyyy-mm"), "")</f>
        <v/>
      </c>
    </row>
    <row r="5865">
      <c r="A5865" t="inlineStr">
        <is>
          <t>RP0005864</t>
        </is>
      </c>
      <c r="B5865" t="inlineStr">
        <is>
          <t>LN200835</t>
        </is>
      </c>
      <c r="C5865" t="n">
        <v>2</v>
      </c>
      <c r="D5865" s="8" t="n">
        <v>46114</v>
      </c>
      <c r="E5865" s="9" t="n">
        <v>4271.67</v>
      </c>
      <c r="F5865" s="8" t="n">
        <v>46112</v>
      </c>
      <c r="G5865" s="9" t="n">
        <v>4271.67</v>
      </c>
      <c r="H5865" t="inlineStr">
        <is>
          <t>PAID_ON_TIME</t>
        </is>
      </c>
      <c r="I5865">
        <f>IF(H5865="UNPAID", AsOfDate-D5865, 0)</f>
        <v/>
      </c>
      <c r="J5865">
        <f>IF(F5865&lt;&gt;"", TEXT(F5865, "yyyy-mm"), "")</f>
        <v/>
      </c>
    </row>
    <row r="5866">
      <c r="A5866" t="inlineStr">
        <is>
          <t>RP0005865</t>
        </is>
      </c>
      <c r="B5866" t="inlineStr">
        <is>
          <t>LN200835</t>
        </is>
      </c>
      <c r="C5866" t="n">
        <v>3</v>
      </c>
      <c r="D5866" s="8" t="n">
        <v>46144</v>
      </c>
      <c r="E5866" s="9" t="n">
        <v>4271.67</v>
      </c>
      <c r="F5866" s="8" t="n">
        <v>46145</v>
      </c>
      <c r="G5866" s="9" t="n">
        <v>4271.67</v>
      </c>
      <c r="H5866" t="inlineStr">
        <is>
          <t>PAID_ON_TIME</t>
        </is>
      </c>
      <c r="I5866">
        <f>IF(H5866="UNPAID", AsOfDate-D5866, 0)</f>
        <v/>
      </c>
      <c r="J5866">
        <f>IF(F5866&lt;&gt;"", TEXT(F5866, "yyyy-mm"), "")</f>
        <v/>
      </c>
    </row>
    <row r="5867">
      <c r="A5867" t="inlineStr">
        <is>
          <t>RP0005866</t>
        </is>
      </c>
      <c r="B5867" t="inlineStr">
        <is>
          <t>LN200835</t>
        </is>
      </c>
      <c r="C5867" t="n">
        <v>4</v>
      </c>
      <c r="D5867" s="8" t="n">
        <v>46175</v>
      </c>
      <c r="E5867" s="9" t="n">
        <v>4271.67</v>
      </c>
      <c r="F5867" s="8" t="n">
        <v>46172</v>
      </c>
      <c r="G5867" s="9" t="n">
        <v>4271.67</v>
      </c>
      <c r="H5867" t="inlineStr">
        <is>
          <t>PAID_ON_TIME</t>
        </is>
      </c>
      <c r="I5867">
        <f>IF(H5867="UNPAID", AsOfDate-D5867, 0)</f>
        <v/>
      </c>
      <c r="J5867">
        <f>IF(F5867&lt;&gt;"", TEXT(F5867, "yyyy-mm"), "")</f>
        <v/>
      </c>
    </row>
    <row r="5868">
      <c r="A5868" t="inlineStr">
        <is>
          <t>RP0005867</t>
        </is>
      </c>
      <c r="B5868" t="inlineStr">
        <is>
          <t>LN200835</t>
        </is>
      </c>
      <c r="C5868" t="n">
        <v>5</v>
      </c>
      <c r="D5868" s="8" t="n">
        <v>46205</v>
      </c>
      <c r="E5868" s="9" t="n">
        <v>4271.67</v>
      </c>
      <c r="F5868" s="8" t="n">
        <v>46206</v>
      </c>
      <c r="G5868" s="9" t="n">
        <v>4271.67</v>
      </c>
      <c r="H5868" t="inlineStr">
        <is>
          <t>PAID_ON_TIME</t>
        </is>
      </c>
      <c r="I5868">
        <f>IF(H5868="UNPAID", AsOfDate-D5868, 0)</f>
        <v/>
      </c>
      <c r="J5868">
        <f>IF(F5868&lt;&gt;"", TEXT(F5868, "yyyy-mm"), "")</f>
        <v/>
      </c>
    </row>
    <row r="5869">
      <c r="A5869" t="inlineStr">
        <is>
          <t>RP0005868</t>
        </is>
      </c>
      <c r="B5869" t="inlineStr">
        <is>
          <t>LN200835</t>
        </is>
      </c>
      <c r="C5869" t="n">
        <v>6</v>
      </c>
      <c r="D5869" s="8" t="n">
        <v>46236</v>
      </c>
      <c r="E5869" s="9" t="n">
        <v>4271.67</v>
      </c>
      <c r="F5869" s="8" t="n">
        <v>46240</v>
      </c>
      <c r="G5869" s="9" t="n">
        <v>4271.67</v>
      </c>
      <c r="H5869" t="inlineStr">
        <is>
          <t>PAID_ON_TIME</t>
        </is>
      </c>
      <c r="I5869">
        <f>IF(H5869="UNPAID", AsOfDate-D5869, 0)</f>
        <v/>
      </c>
      <c r="J5869">
        <f>IF(F5869&lt;&gt;"", TEXT(F5869, "yyyy-mm"), "")</f>
        <v/>
      </c>
    </row>
    <row r="5870">
      <c r="A5870" t="inlineStr">
        <is>
          <t>RP0005869</t>
        </is>
      </c>
      <c r="B5870" t="inlineStr">
        <is>
          <t>LN200835</t>
        </is>
      </c>
      <c r="C5870" t="n">
        <v>7</v>
      </c>
      <c r="D5870" s="8" t="n">
        <v>46267</v>
      </c>
      <c r="E5870" s="9" t="n">
        <v>4271.67</v>
      </c>
      <c r="F5870" s="8" t="n"/>
      <c r="G5870" s="9" t="n">
        <v>0</v>
      </c>
      <c r="H5870" t="inlineStr">
        <is>
          <t>NOT_DUE</t>
        </is>
      </c>
      <c r="I5870">
        <f>IF(H5870="UNPAID", AsOfDate-D5870, 0)</f>
        <v/>
      </c>
      <c r="J5870">
        <f>IF(F5870&lt;&gt;"", TEXT(F5870, "yyyy-mm"), "")</f>
        <v/>
      </c>
    </row>
    <row r="5871">
      <c r="A5871" t="inlineStr">
        <is>
          <t>RP0005870</t>
        </is>
      </c>
      <c r="B5871" t="inlineStr">
        <is>
          <t>LN200835</t>
        </is>
      </c>
      <c r="C5871" t="n">
        <v>8</v>
      </c>
      <c r="D5871" s="8" t="n">
        <v>46297</v>
      </c>
      <c r="E5871" s="9" t="n">
        <v>4271.67</v>
      </c>
      <c r="F5871" s="8" t="n"/>
      <c r="G5871" s="9" t="n">
        <v>0</v>
      </c>
      <c r="H5871" t="inlineStr">
        <is>
          <t>NOT_DUE</t>
        </is>
      </c>
      <c r="I5871">
        <f>IF(H5871="UNPAID", AsOfDate-D5871, 0)</f>
        <v/>
      </c>
      <c r="J5871">
        <f>IF(F5871&lt;&gt;"", TEXT(F5871, "yyyy-mm"), "")</f>
        <v/>
      </c>
    </row>
    <row r="5872">
      <c r="A5872" t="inlineStr">
        <is>
          <t>RP0005871</t>
        </is>
      </c>
      <c r="B5872" t="inlineStr">
        <is>
          <t>LN200835</t>
        </is>
      </c>
      <c r="C5872" t="n">
        <v>9</v>
      </c>
      <c r="D5872" s="8" t="n">
        <v>46328</v>
      </c>
      <c r="E5872" s="9" t="n">
        <v>4271.67</v>
      </c>
      <c r="F5872" s="8" t="n"/>
      <c r="G5872" s="9" t="n">
        <v>0</v>
      </c>
      <c r="H5872" t="inlineStr">
        <is>
          <t>NOT_DUE</t>
        </is>
      </c>
      <c r="I5872">
        <f>IF(H5872="UNPAID", AsOfDate-D5872, 0)</f>
        <v/>
      </c>
      <c r="J5872">
        <f>IF(F5872&lt;&gt;"", TEXT(F5872, "yyyy-mm"), "")</f>
        <v/>
      </c>
    </row>
    <row r="5873">
      <c r="A5873" t="inlineStr">
        <is>
          <t>RP0005872</t>
        </is>
      </c>
      <c r="B5873" t="inlineStr">
        <is>
          <t>LN200836</t>
        </is>
      </c>
      <c r="C5873" t="n">
        <v>1</v>
      </c>
      <c r="D5873" s="8" t="n">
        <v>45972</v>
      </c>
      <c r="E5873" s="9" t="n">
        <v>123932.25</v>
      </c>
      <c r="F5873" s="8" t="n">
        <v>45975</v>
      </c>
      <c r="G5873" s="9" t="n">
        <v>123932.25</v>
      </c>
      <c r="H5873" t="inlineStr">
        <is>
          <t>PAID_ON_TIME</t>
        </is>
      </c>
      <c r="I5873">
        <f>IF(H5873="UNPAID", AsOfDate-D5873, 0)</f>
        <v/>
      </c>
      <c r="J5873">
        <f>IF(F5873&lt;&gt;"", TEXT(F5873, "yyyy-mm"), "")</f>
        <v/>
      </c>
    </row>
    <row r="5874">
      <c r="A5874" t="inlineStr">
        <is>
          <t>RP0005873</t>
        </is>
      </c>
      <c r="B5874" t="inlineStr">
        <is>
          <t>LN200836</t>
        </is>
      </c>
      <c r="C5874" t="n">
        <v>2</v>
      </c>
      <c r="D5874" s="8" t="n">
        <v>46002</v>
      </c>
      <c r="E5874" s="9" t="n">
        <v>123932.25</v>
      </c>
      <c r="F5874" s="8" t="n">
        <v>46005</v>
      </c>
      <c r="G5874" s="9" t="n">
        <v>123932.25</v>
      </c>
      <c r="H5874" t="inlineStr">
        <is>
          <t>PAID_ON_TIME</t>
        </is>
      </c>
      <c r="I5874">
        <f>IF(H5874="UNPAID", AsOfDate-D5874, 0)</f>
        <v/>
      </c>
      <c r="J5874">
        <f>IF(F5874&lt;&gt;"", TEXT(F5874, "yyyy-mm"), "")</f>
        <v/>
      </c>
    </row>
    <row r="5875">
      <c r="A5875" t="inlineStr">
        <is>
          <t>RP0005874</t>
        </is>
      </c>
      <c r="B5875" t="inlineStr">
        <is>
          <t>LN200836</t>
        </is>
      </c>
      <c r="C5875" t="n">
        <v>3</v>
      </c>
      <c r="D5875" s="8" t="n">
        <v>46033</v>
      </c>
      <c r="E5875" s="9" t="n">
        <v>123932.25</v>
      </c>
      <c r="F5875" s="8" t="n">
        <v>46035</v>
      </c>
      <c r="G5875" s="9" t="n">
        <v>123932.25</v>
      </c>
      <c r="H5875" t="inlineStr">
        <is>
          <t>PAID_ON_TIME</t>
        </is>
      </c>
      <c r="I5875">
        <f>IF(H5875="UNPAID", AsOfDate-D5875, 0)</f>
        <v/>
      </c>
      <c r="J5875">
        <f>IF(F5875&lt;&gt;"", TEXT(F5875, "yyyy-mm"), "")</f>
        <v/>
      </c>
    </row>
    <row r="5876">
      <c r="A5876" t="inlineStr">
        <is>
          <t>RP0005875</t>
        </is>
      </c>
      <c r="B5876" t="inlineStr">
        <is>
          <t>LN200837</t>
        </is>
      </c>
      <c r="C5876" t="n">
        <v>1</v>
      </c>
      <c r="D5876" s="8" t="n">
        <v>46177</v>
      </c>
      <c r="E5876" s="9" t="n">
        <v>6454.22</v>
      </c>
      <c r="F5876" s="8" t="n">
        <v>46175</v>
      </c>
      <c r="G5876" s="9" t="n">
        <v>6454.22</v>
      </c>
      <c r="H5876" t="inlineStr">
        <is>
          <t>PAID_ON_TIME</t>
        </is>
      </c>
      <c r="I5876">
        <f>IF(H5876="UNPAID", AsOfDate-D5876, 0)</f>
        <v/>
      </c>
      <c r="J5876">
        <f>IF(F5876&lt;&gt;"", TEXT(F5876, "yyyy-mm"), "")</f>
        <v/>
      </c>
    </row>
    <row r="5877">
      <c r="A5877" t="inlineStr">
        <is>
          <t>RP0005876</t>
        </is>
      </c>
      <c r="B5877" t="inlineStr">
        <is>
          <t>LN200837</t>
        </is>
      </c>
      <c r="C5877" t="n">
        <v>2</v>
      </c>
      <c r="D5877" s="8" t="n">
        <v>46207</v>
      </c>
      <c r="E5877" s="9" t="n">
        <v>6454.22</v>
      </c>
      <c r="F5877" s="8" t="n">
        <v>46209</v>
      </c>
      <c r="G5877" s="9" t="n">
        <v>6454.22</v>
      </c>
      <c r="H5877" t="inlineStr">
        <is>
          <t>PAID_ON_TIME</t>
        </is>
      </c>
      <c r="I5877">
        <f>IF(H5877="UNPAID", AsOfDate-D5877, 0)</f>
        <v/>
      </c>
      <c r="J5877">
        <f>IF(F5877&lt;&gt;"", TEXT(F5877, "yyyy-mm"), "")</f>
        <v/>
      </c>
    </row>
    <row r="5878">
      <c r="A5878" t="inlineStr">
        <is>
          <t>RP0005877</t>
        </is>
      </c>
      <c r="B5878" t="inlineStr">
        <is>
          <t>LN200837</t>
        </is>
      </c>
      <c r="C5878" t="n">
        <v>3</v>
      </c>
      <c r="D5878" s="8" t="n">
        <v>46238</v>
      </c>
      <c r="E5878" s="9" t="n">
        <v>6454.22</v>
      </c>
      <c r="F5878" s="8" t="n">
        <v>46235</v>
      </c>
      <c r="G5878" s="9" t="n">
        <v>6454.22</v>
      </c>
      <c r="H5878" t="inlineStr">
        <is>
          <t>PAID_ON_TIME</t>
        </is>
      </c>
      <c r="I5878">
        <f>IF(H5878="UNPAID", AsOfDate-D5878, 0)</f>
        <v/>
      </c>
      <c r="J5878">
        <f>IF(F5878&lt;&gt;"", TEXT(F5878, "yyyy-mm"), "")</f>
        <v/>
      </c>
    </row>
    <row r="5879">
      <c r="A5879" t="inlineStr">
        <is>
          <t>RP0005878</t>
        </is>
      </c>
      <c r="B5879" t="inlineStr">
        <is>
          <t>LN200837</t>
        </is>
      </c>
      <c r="C5879" t="n">
        <v>4</v>
      </c>
      <c r="D5879" s="8" t="n">
        <v>46269</v>
      </c>
      <c r="E5879" s="9" t="n">
        <v>6454.22</v>
      </c>
      <c r="F5879" s="8" t="n"/>
      <c r="G5879" s="9" t="n">
        <v>0</v>
      </c>
      <c r="H5879" t="inlineStr">
        <is>
          <t>NOT_DUE</t>
        </is>
      </c>
      <c r="I5879">
        <f>IF(H5879="UNPAID", AsOfDate-D5879, 0)</f>
        <v/>
      </c>
      <c r="J5879">
        <f>IF(F5879&lt;&gt;"", TEXT(F5879, "yyyy-mm"), "")</f>
        <v/>
      </c>
    </row>
    <row r="5880">
      <c r="A5880" t="inlineStr">
        <is>
          <t>RP0005879</t>
        </is>
      </c>
      <c r="B5880" t="inlineStr">
        <is>
          <t>LN200837</t>
        </is>
      </c>
      <c r="C5880" t="n">
        <v>5</v>
      </c>
      <c r="D5880" s="8" t="n">
        <v>46299</v>
      </c>
      <c r="E5880" s="9" t="n">
        <v>6454.22</v>
      </c>
      <c r="F5880" s="8" t="n"/>
      <c r="G5880" s="9" t="n">
        <v>0</v>
      </c>
      <c r="H5880" t="inlineStr">
        <is>
          <t>NOT_DUE</t>
        </is>
      </c>
      <c r="I5880">
        <f>IF(H5880="UNPAID", AsOfDate-D5880, 0)</f>
        <v/>
      </c>
      <c r="J5880">
        <f>IF(F5880&lt;&gt;"", TEXT(F5880, "yyyy-mm"), "")</f>
        <v/>
      </c>
    </row>
    <row r="5881">
      <c r="A5881" t="inlineStr">
        <is>
          <t>RP0005880</t>
        </is>
      </c>
      <c r="B5881" t="inlineStr">
        <is>
          <t>LN200837</t>
        </is>
      </c>
      <c r="C5881" t="n">
        <v>6</v>
      </c>
      <c r="D5881" s="8" t="n">
        <v>46330</v>
      </c>
      <c r="E5881" s="9" t="n">
        <v>6454.22</v>
      </c>
      <c r="F5881" s="8" t="n"/>
      <c r="G5881" s="9" t="n">
        <v>0</v>
      </c>
      <c r="H5881" t="inlineStr">
        <is>
          <t>NOT_DUE</t>
        </is>
      </c>
      <c r="I5881">
        <f>IF(H5881="UNPAID", AsOfDate-D5881, 0)</f>
        <v/>
      </c>
      <c r="J5881">
        <f>IF(F5881&lt;&gt;"", TEXT(F5881, "yyyy-mm"), "")</f>
        <v/>
      </c>
    </row>
    <row r="5882">
      <c r="A5882" t="inlineStr">
        <is>
          <t>RP0005881</t>
        </is>
      </c>
      <c r="B5882" t="inlineStr">
        <is>
          <t>LN200837</t>
        </is>
      </c>
      <c r="C5882" t="n">
        <v>7</v>
      </c>
      <c r="D5882" s="8" t="n">
        <v>46360</v>
      </c>
      <c r="E5882" s="9" t="n">
        <v>6454.22</v>
      </c>
      <c r="F5882" s="8" t="n"/>
      <c r="G5882" s="9" t="n">
        <v>0</v>
      </c>
      <c r="H5882" t="inlineStr">
        <is>
          <t>NOT_DUE</t>
        </is>
      </c>
      <c r="I5882">
        <f>IF(H5882="UNPAID", AsOfDate-D5882, 0)</f>
        <v/>
      </c>
      <c r="J5882">
        <f>IF(F5882&lt;&gt;"", TEXT(F5882, "yyyy-mm"), "")</f>
        <v/>
      </c>
    </row>
    <row r="5883">
      <c r="A5883" t="inlineStr">
        <is>
          <t>RP0005882</t>
        </is>
      </c>
      <c r="B5883" t="inlineStr">
        <is>
          <t>LN200837</t>
        </is>
      </c>
      <c r="C5883" t="n">
        <v>8</v>
      </c>
      <c r="D5883" s="8" t="n">
        <v>46391</v>
      </c>
      <c r="E5883" s="9" t="n">
        <v>6454.22</v>
      </c>
      <c r="F5883" s="8" t="n"/>
      <c r="G5883" s="9" t="n">
        <v>0</v>
      </c>
      <c r="H5883" t="inlineStr">
        <is>
          <t>NOT_DUE</t>
        </is>
      </c>
      <c r="I5883">
        <f>IF(H5883="UNPAID", AsOfDate-D5883, 0)</f>
        <v/>
      </c>
      <c r="J5883">
        <f>IF(F5883&lt;&gt;"", TEXT(F5883, "yyyy-mm"), "")</f>
        <v/>
      </c>
    </row>
    <row r="5884">
      <c r="A5884" t="inlineStr">
        <is>
          <t>RP0005883</t>
        </is>
      </c>
      <c r="B5884" t="inlineStr">
        <is>
          <t>LN200837</t>
        </is>
      </c>
      <c r="C5884" t="n">
        <v>9</v>
      </c>
      <c r="D5884" s="8" t="n">
        <v>46422</v>
      </c>
      <c r="E5884" s="9" t="n">
        <v>6454.22</v>
      </c>
      <c r="F5884" s="8" t="n"/>
      <c r="G5884" s="9" t="n">
        <v>0</v>
      </c>
      <c r="H5884" t="inlineStr">
        <is>
          <t>NOT_DUE</t>
        </is>
      </c>
      <c r="I5884">
        <f>IF(H5884="UNPAID", AsOfDate-D5884, 0)</f>
        <v/>
      </c>
      <c r="J5884">
        <f>IF(F5884&lt;&gt;"", TEXT(F5884, "yyyy-mm"), "")</f>
        <v/>
      </c>
    </row>
    <row r="5885">
      <c r="A5885" t="inlineStr">
        <is>
          <t>RP0005884</t>
        </is>
      </c>
      <c r="B5885" t="inlineStr">
        <is>
          <t>LN200839</t>
        </is>
      </c>
      <c r="C5885" t="n">
        <v>1</v>
      </c>
      <c r="D5885" s="8" t="n">
        <v>46056</v>
      </c>
      <c r="E5885" s="9" t="n">
        <v>14687.44</v>
      </c>
      <c r="F5885" s="8" t="n">
        <v>46056</v>
      </c>
      <c r="G5885" s="9" t="n">
        <v>14687.44</v>
      </c>
      <c r="H5885" t="inlineStr">
        <is>
          <t>PAID_ON_TIME</t>
        </is>
      </c>
      <c r="I5885">
        <f>IF(H5885="UNPAID", AsOfDate-D5885, 0)</f>
        <v/>
      </c>
      <c r="J5885">
        <f>IF(F5885&lt;&gt;"", TEXT(F5885, "yyyy-mm"), "")</f>
        <v/>
      </c>
    </row>
    <row r="5886">
      <c r="A5886" t="inlineStr">
        <is>
          <t>RP0005885</t>
        </is>
      </c>
      <c r="B5886" t="inlineStr">
        <is>
          <t>LN200839</t>
        </is>
      </c>
      <c r="C5886" t="n">
        <v>2</v>
      </c>
      <c r="D5886" s="8" t="n">
        <v>46084</v>
      </c>
      <c r="E5886" s="9" t="n">
        <v>14687.44</v>
      </c>
      <c r="F5886" s="8" t="n">
        <v>46085</v>
      </c>
      <c r="G5886" s="9" t="n">
        <v>14687.44</v>
      </c>
      <c r="H5886" t="inlineStr">
        <is>
          <t>PAID_ON_TIME</t>
        </is>
      </c>
      <c r="I5886">
        <f>IF(H5886="UNPAID", AsOfDate-D5886, 0)</f>
        <v/>
      </c>
      <c r="J5886">
        <f>IF(F5886&lt;&gt;"", TEXT(F5886, "yyyy-mm"), "")</f>
        <v/>
      </c>
    </row>
    <row r="5887">
      <c r="A5887" t="inlineStr">
        <is>
          <t>RP0005886</t>
        </is>
      </c>
      <c r="B5887" t="inlineStr">
        <is>
          <t>LN200839</t>
        </is>
      </c>
      <c r="C5887" t="n">
        <v>3</v>
      </c>
      <c r="D5887" s="8" t="n">
        <v>46115</v>
      </c>
      <c r="E5887" s="9" t="n">
        <v>14687.44</v>
      </c>
      <c r="F5887" s="8" t="n">
        <v>46112</v>
      </c>
      <c r="G5887" s="9" t="n">
        <v>14687.44</v>
      </c>
      <c r="H5887" t="inlineStr">
        <is>
          <t>PAID_ON_TIME</t>
        </is>
      </c>
      <c r="I5887">
        <f>IF(H5887="UNPAID", AsOfDate-D5887, 0)</f>
        <v/>
      </c>
      <c r="J5887">
        <f>IF(F5887&lt;&gt;"", TEXT(F5887, "yyyy-mm"), "")</f>
        <v/>
      </c>
    </row>
    <row r="5888">
      <c r="A5888" t="inlineStr">
        <is>
          <t>RP0005887</t>
        </is>
      </c>
      <c r="B5888" t="inlineStr">
        <is>
          <t>LN200839</t>
        </is>
      </c>
      <c r="C5888" t="n">
        <v>4</v>
      </c>
      <c r="D5888" s="8" t="n">
        <v>46145</v>
      </c>
      <c r="E5888" s="9" t="n">
        <v>14687.44</v>
      </c>
      <c r="F5888" s="8" t="n">
        <v>46147</v>
      </c>
      <c r="G5888" s="9" t="n">
        <v>14687.44</v>
      </c>
      <c r="H5888" t="inlineStr">
        <is>
          <t>PAID_ON_TIME</t>
        </is>
      </c>
      <c r="I5888">
        <f>IF(H5888="UNPAID", AsOfDate-D5888, 0)</f>
        <v/>
      </c>
      <c r="J5888">
        <f>IF(F5888&lt;&gt;"", TEXT(F5888, "yyyy-mm"), "")</f>
        <v/>
      </c>
    </row>
    <row r="5889">
      <c r="A5889" t="inlineStr">
        <is>
          <t>RP0005888</t>
        </is>
      </c>
      <c r="B5889" t="inlineStr">
        <is>
          <t>LN200839</t>
        </is>
      </c>
      <c r="C5889" t="n">
        <v>5</v>
      </c>
      <c r="D5889" s="8" t="n">
        <v>46176</v>
      </c>
      <c r="E5889" s="9" t="n">
        <v>14687.44</v>
      </c>
      <c r="F5889" s="8" t="n"/>
      <c r="G5889" s="9" t="n">
        <v>0</v>
      </c>
      <c r="H5889" t="inlineStr">
        <is>
          <t>UNPAID</t>
        </is>
      </c>
      <c r="I5889">
        <f>IF(H5889="UNPAID", AsOfDate-D5889, 0)</f>
        <v/>
      </c>
      <c r="J5889">
        <f>IF(F5889&lt;&gt;"", TEXT(F5889, "yyyy-mm"), "")</f>
        <v/>
      </c>
    </row>
    <row r="5890">
      <c r="A5890" t="inlineStr">
        <is>
          <t>RP0005889</t>
        </is>
      </c>
      <c r="B5890" t="inlineStr">
        <is>
          <t>LN200839</t>
        </is>
      </c>
      <c r="C5890" t="n">
        <v>6</v>
      </c>
      <c r="D5890" s="8" t="n">
        <v>46206</v>
      </c>
      <c r="E5890" s="9" t="n">
        <v>14687.44</v>
      </c>
      <c r="F5890" s="8" t="n">
        <v>46208</v>
      </c>
      <c r="G5890" s="9" t="n">
        <v>14687.44</v>
      </c>
      <c r="H5890" t="inlineStr">
        <is>
          <t>PAID_ON_TIME</t>
        </is>
      </c>
      <c r="I5890">
        <f>IF(H5890="UNPAID", AsOfDate-D5890, 0)</f>
        <v/>
      </c>
      <c r="J5890">
        <f>IF(F5890&lt;&gt;"", TEXT(F5890, "yyyy-mm"), "")</f>
        <v/>
      </c>
    </row>
    <row r="5891">
      <c r="A5891" t="inlineStr">
        <is>
          <t>RP0005890</t>
        </is>
      </c>
      <c r="B5891" t="inlineStr">
        <is>
          <t>LN200839</t>
        </is>
      </c>
      <c r="C5891" t="n">
        <v>7</v>
      </c>
      <c r="D5891" s="8" t="n">
        <v>46237</v>
      </c>
      <c r="E5891" s="9" t="n">
        <v>14687.44</v>
      </c>
      <c r="F5891" s="8" t="n">
        <v>46239</v>
      </c>
      <c r="G5891" s="9" t="n">
        <v>14687.44</v>
      </c>
      <c r="H5891" t="inlineStr">
        <is>
          <t>PAID_ON_TIME</t>
        </is>
      </c>
      <c r="I5891">
        <f>IF(H5891="UNPAID", AsOfDate-D5891, 0)</f>
        <v/>
      </c>
      <c r="J5891">
        <f>IF(F5891&lt;&gt;"", TEXT(F5891, "yyyy-mm"), "")</f>
        <v/>
      </c>
    </row>
    <row r="5892">
      <c r="A5892" t="inlineStr">
        <is>
          <t>RP0005891</t>
        </is>
      </c>
      <c r="B5892" t="inlineStr">
        <is>
          <t>LN200839</t>
        </is>
      </c>
      <c r="C5892" t="n">
        <v>8</v>
      </c>
      <c r="D5892" s="8" t="n">
        <v>46268</v>
      </c>
      <c r="E5892" s="9" t="n">
        <v>14687.44</v>
      </c>
      <c r="F5892" s="8" t="n"/>
      <c r="G5892" s="9" t="n">
        <v>0</v>
      </c>
      <c r="H5892" t="inlineStr">
        <is>
          <t>NOT_DUE</t>
        </is>
      </c>
      <c r="I5892">
        <f>IF(H5892="UNPAID", AsOfDate-D5892, 0)</f>
        <v/>
      </c>
      <c r="J5892">
        <f>IF(F5892&lt;&gt;"", TEXT(F5892, "yyyy-mm"), "")</f>
        <v/>
      </c>
    </row>
    <row r="5893">
      <c r="A5893" t="inlineStr">
        <is>
          <t>RP0005892</t>
        </is>
      </c>
      <c r="B5893" t="inlineStr">
        <is>
          <t>LN200839</t>
        </is>
      </c>
      <c r="C5893" t="n">
        <v>9</v>
      </c>
      <c r="D5893" s="8" t="n">
        <v>46298</v>
      </c>
      <c r="E5893" s="9" t="n">
        <v>14687.44</v>
      </c>
      <c r="F5893" s="8" t="n"/>
      <c r="G5893" s="9" t="n">
        <v>0</v>
      </c>
      <c r="H5893" t="inlineStr">
        <is>
          <t>NOT_DUE</t>
        </is>
      </c>
      <c r="I5893">
        <f>IF(H5893="UNPAID", AsOfDate-D5893, 0)</f>
        <v/>
      </c>
      <c r="J5893">
        <f>IF(F5893&lt;&gt;"", TEXT(F5893, "yyyy-mm"), "")</f>
        <v/>
      </c>
    </row>
    <row r="5894">
      <c r="A5894" t="inlineStr">
        <is>
          <t>RP0005893</t>
        </is>
      </c>
      <c r="B5894" t="inlineStr">
        <is>
          <t>LN200839</t>
        </is>
      </c>
      <c r="C5894" t="n">
        <v>10</v>
      </c>
      <c r="D5894" s="8" t="n">
        <v>46329</v>
      </c>
      <c r="E5894" s="9" t="n">
        <v>14687.44</v>
      </c>
      <c r="F5894" s="8" t="n"/>
      <c r="G5894" s="9" t="n">
        <v>0</v>
      </c>
      <c r="H5894" t="inlineStr">
        <is>
          <t>NOT_DUE</t>
        </is>
      </c>
      <c r="I5894">
        <f>IF(H5894="UNPAID", AsOfDate-D5894, 0)</f>
        <v/>
      </c>
      <c r="J5894">
        <f>IF(F5894&lt;&gt;"", TEXT(F5894, "yyyy-mm"), "")</f>
        <v/>
      </c>
    </row>
    <row r="5895">
      <c r="A5895" t="inlineStr">
        <is>
          <t>RP0005894</t>
        </is>
      </c>
      <c r="B5895" t="inlineStr">
        <is>
          <t>LN200839</t>
        </is>
      </c>
      <c r="C5895" t="n">
        <v>11</v>
      </c>
      <c r="D5895" s="8" t="n">
        <v>46359</v>
      </c>
      <c r="E5895" s="9" t="n">
        <v>14687.44</v>
      </c>
      <c r="F5895" s="8" t="n"/>
      <c r="G5895" s="9" t="n">
        <v>0</v>
      </c>
      <c r="H5895" t="inlineStr">
        <is>
          <t>NOT_DUE</t>
        </is>
      </c>
      <c r="I5895">
        <f>IF(H5895="UNPAID", AsOfDate-D5895, 0)</f>
        <v/>
      </c>
      <c r="J5895">
        <f>IF(F5895&lt;&gt;"", TEXT(F5895, "yyyy-mm"), "")</f>
        <v/>
      </c>
    </row>
    <row r="5896">
      <c r="A5896" t="inlineStr">
        <is>
          <t>RP0005895</t>
        </is>
      </c>
      <c r="B5896" t="inlineStr">
        <is>
          <t>LN200839</t>
        </is>
      </c>
      <c r="C5896" t="n">
        <v>12</v>
      </c>
      <c r="D5896" s="8" t="n">
        <v>46390</v>
      </c>
      <c r="E5896" s="9" t="n">
        <v>14687.44</v>
      </c>
      <c r="F5896" s="8" t="n"/>
      <c r="G5896" s="9" t="n">
        <v>0</v>
      </c>
      <c r="H5896" t="inlineStr">
        <is>
          <t>NOT_DUE</t>
        </is>
      </c>
      <c r="I5896">
        <f>IF(H5896="UNPAID", AsOfDate-D5896, 0)</f>
        <v/>
      </c>
      <c r="J5896">
        <f>IF(F5896&lt;&gt;"", TEXT(F5896, "yyyy-mm"), "")</f>
        <v/>
      </c>
    </row>
    <row r="5897">
      <c r="A5897" t="inlineStr">
        <is>
          <t>RP0005896</t>
        </is>
      </c>
      <c r="B5897" t="inlineStr">
        <is>
          <t>LN200839</t>
        </is>
      </c>
      <c r="C5897" t="n">
        <v>13</v>
      </c>
      <c r="D5897" s="8" t="n">
        <v>46421</v>
      </c>
      <c r="E5897" s="9" t="n">
        <v>14687.44</v>
      </c>
      <c r="F5897" s="8" t="n"/>
      <c r="G5897" s="9" t="n">
        <v>0</v>
      </c>
      <c r="H5897" t="inlineStr">
        <is>
          <t>NOT_DUE</t>
        </is>
      </c>
      <c r="I5897">
        <f>IF(H5897="UNPAID", AsOfDate-D5897, 0)</f>
        <v/>
      </c>
      <c r="J5897">
        <f>IF(F5897&lt;&gt;"", TEXT(F5897, "yyyy-mm"), "")</f>
        <v/>
      </c>
    </row>
    <row r="5898">
      <c r="A5898" t="inlineStr">
        <is>
          <t>RP0005897</t>
        </is>
      </c>
      <c r="B5898" t="inlineStr">
        <is>
          <t>LN200839</t>
        </is>
      </c>
      <c r="C5898" t="n">
        <v>14</v>
      </c>
      <c r="D5898" s="8" t="n">
        <v>46449</v>
      </c>
      <c r="E5898" s="9" t="n">
        <v>14687.44</v>
      </c>
      <c r="F5898" s="8" t="n"/>
      <c r="G5898" s="9" t="n">
        <v>0</v>
      </c>
      <c r="H5898" t="inlineStr">
        <is>
          <t>NOT_DUE</t>
        </is>
      </c>
      <c r="I5898">
        <f>IF(H5898="UNPAID", AsOfDate-D5898, 0)</f>
        <v/>
      </c>
      <c r="J5898">
        <f>IF(F5898&lt;&gt;"", TEXT(F5898, "yyyy-mm"), "")</f>
        <v/>
      </c>
    </row>
    <row r="5899">
      <c r="A5899" t="inlineStr">
        <is>
          <t>RP0005898</t>
        </is>
      </c>
      <c r="B5899" t="inlineStr">
        <is>
          <t>LN200839</t>
        </is>
      </c>
      <c r="C5899" t="n">
        <v>15</v>
      </c>
      <c r="D5899" s="8" t="n">
        <v>46480</v>
      </c>
      <c r="E5899" s="9" t="n">
        <v>14687.44</v>
      </c>
      <c r="F5899" s="8" t="n"/>
      <c r="G5899" s="9" t="n">
        <v>0</v>
      </c>
      <c r="H5899" t="inlineStr">
        <is>
          <t>NOT_DUE</t>
        </is>
      </c>
      <c r="I5899">
        <f>IF(H5899="UNPAID", AsOfDate-D5899, 0)</f>
        <v/>
      </c>
      <c r="J5899">
        <f>IF(F5899&lt;&gt;"", TEXT(F5899, "yyyy-mm"), "")</f>
        <v/>
      </c>
    </row>
    <row r="5900">
      <c r="A5900" t="inlineStr">
        <is>
          <t>RP0005899</t>
        </is>
      </c>
      <c r="B5900" t="inlineStr">
        <is>
          <t>LN200839</t>
        </is>
      </c>
      <c r="C5900" t="n">
        <v>16</v>
      </c>
      <c r="D5900" s="8" t="n">
        <v>46510</v>
      </c>
      <c r="E5900" s="9" t="n">
        <v>14687.44</v>
      </c>
      <c r="F5900" s="8" t="n"/>
      <c r="G5900" s="9" t="n">
        <v>0</v>
      </c>
      <c r="H5900" t="inlineStr">
        <is>
          <t>NOT_DUE</t>
        </is>
      </c>
      <c r="I5900">
        <f>IF(H5900="UNPAID", AsOfDate-D5900, 0)</f>
        <v/>
      </c>
      <c r="J5900">
        <f>IF(F5900&lt;&gt;"", TEXT(F5900, "yyyy-mm"), "")</f>
        <v/>
      </c>
    </row>
    <row r="5901">
      <c r="A5901" t="inlineStr">
        <is>
          <t>RP0005900</t>
        </is>
      </c>
      <c r="B5901" t="inlineStr">
        <is>
          <t>LN200839</t>
        </is>
      </c>
      <c r="C5901" t="n">
        <v>17</v>
      </c>
      <c r="D5901" s="8" t="n">
        <v>46541</v>
      </c>
      <c r="E5901" s="9" t="n">
        <v>14687.44</v>
      </c>
      <c r="F5901" s="8" t="n"/>
      <c r="G5901" s="9" t="n">
        <v>0</v>
      </c>
      <c r="H5901" t="inlineStr">
        <is>
          <t>NOT_DUE</t>
        </is>
      </c>
      <c r="I5901">
        <f>IF(H5901="UNPAID", AsOfDate-D5901, 0)</f>
        <v/>
      </c>
      <c r="J5901">
        <f>IF(F5901&lt;&gt;"", TEXT(F5901, "yyyy-mm"), "")</f>
        <v/>
      </c>
    </row>
    <row r="5902">
      <c r="A5902" t="inlineStr">
        <is>
          <t>RP0005901</t>
        </is>
      </c>
      <c r="B5902" t="inlineStr">
        <is>
          <t>LN200839</t>
        </is>
      </c>
      <c r="C5902" t="n">
        <v>18</v>
      </c>
      <c r="D5902" s="8" t="n">
        <v>46571</v>
      </c>
      <c r="E5902" s="9" t="n">
        <v>14687.44</v>
      </c>
      <c r="F5902" s="8" t="n"/>
      <c r="G5902" s="9" t="n">
        <v>0</v>
      </c>
      <c r="H5902" t="inlineStr">
        <is>
          <t>NOT_DUE</t>
        </is>
      </c>
      <c r="I5902">
        <f>IF(H5902="UNPAID", AsOfDate-D5902, 0)</f>
        <v/>
      </c>
      <c r="J5902">
        <f>IF(F5902&lt;&gt;"", TEXT(F5902, "yyyy-mm"), "")</f>
        <v/>
      </c>
    </row>
    <row r="5903">
      <c r="A5903" t="inlineStr">
        <is>
          <t>RP0005902</t>
        </is>
      </c>
      <c r="B5903" t="inlineStr">
        <is>
          <t>LN200840</t>
        </is>
      </c>
      <c r="C5903" t="n">
        <v>1</v>
      </c>
      <c r="D5903" s="8" t="n">
        <v>46191</v>
      </c>
      <c r="E5903" s="9" t="n">
        <v>9383.33</v>
      </c>
      <c r="F5903" s="8" t="n">
        <v>46191</v>
      </c>
      <c r="G5903" s="9" t="n">
        <v>9383.33</v>
      </c>
      <c r="H5903" t="inlineStr">
        <is>
          <t>PAID_ON_TIME</t>
        </is>
      </c>
      <c r="I5903">
        <f>IF(H5903="UNPAID", AsOfDate-D5903, 0)</f>
        <v/>
      </c>
      <c r="J5903">
        <f>IF(F5903&lt;&gt;"", TEXT(F5903, "yyyy-mm"), "")</f>
        <v/>
      </c>
    </row>
    <row r="5904">
      <c r="A5904" t="inlineStr">
        <is>
          <t>RP0005903</t>
        </is>
      </c>
      <c r="B5904" t="inlineStr">
        <is>
          <t>LN200840</t>
        </is>
      </c>
      <c r="C5904" t="n">
        <v>2</v>
      </c>
      <c r="D5904" s="8" t="n">
        <v>46221</v>
      </c>
      <c r="E5904" s="9" t="n">
        <v>9383.33</v>
      </c>
      <c r="F5904" s="8" t="n">
        <v>46221</v>
      </c>
      <c r="G5904" s="9" t="n">
        <v>9383.33</v>
      </c>
      <c r="H5904" t="inlineStr">
        <is>
          <t>PAID_ON_TIME</t>
        </is>
      </c>
      <c r="I5904">
        <f>IF(H5904="UNPAID", AsOfDate-D5904, 0)</f>
        <v/>
      </c>
      <c r="J5904">
        <f>IF(F5904&lt;&gt;"", TEXT(F5904, "yyyy-mm"), "")</f>
        <v/>
      </c>
    </row>
    <row r="5905">
      <c r="A5905" t="inlineStr">
        <is>
          <t>RP0005904</t>
        </is>
      </c>
      <c r="B5905" t="inlineStr">
        <is>
          <t>LN200840</t>
        </is>
      </c>
      <c r="C5905" t="n">
        <v>3</v>
      </c>
      <c r="D5905" s="8" t="n">
        <v>46252</v>
      </c>
      <c r="E5905" s="9" t="n">
        <v>9383.33</v>
      </c>
      <c r="F5905" s="8" t="n">
        <v>46250</v>
      </c>
      <c r="G5905" s="9" t="n">
        <v>9383.33</v>
      </c>
      <c r="H5905" t="inlineStr">
        <is>
          <t>PAID_ON_TIME</t>
        </is>
      </c>
      <c r="I5905">
        <f>IF(H5905="UNPAID", AsOfDate-D5905, 0)</f>
        <v/>
      </c>
      <c r="J5905">
        <f>IF(F5905&lt;&gt;"", TEXT(F5905, "yyyy-mm"), "")</f>
        <v/>
      </c>
    </row>
    <row r="5906">
      <c r="A5906" t="inlineStr">
        <is>
          <t>RP0005905</t>
        </is>
      </c>
      <c r="B5906" t="inlineStr">
        <is>
          <t>LN200840</t>
        </is>
      </c>
      <c r="C5906" t="n">
        <v>4</v>
      </c>
      <c r="D5906" s="8" t="n">
        <v>46283</v>
      </c>
      <c r="E5906" s="9" t="n">
        <v>9383.33</v>
      </c>
      <c r="F5906" s="8" t="n"/>
      <c r="G5906" s="9" t="n">
        <v>0</v>
      </c>
      <c r="H5906" t="inlineStr">
        <is>
          <t>NOT_DUE</t>
        </is>
      </c>
      <c r="I5906">
        <f>IF(H5906="UNPAID", AsOfDate-D5906, 0)</f>
        <v/>
      </c>
      <c r="J5906">
        <f>IF(F5906&lt;&gt;"", TEXT(F5906, "yyyy-mm"), "")</f>
        <v/>
      </c>
    </row>
    <row r="5907">
      <c r="A5907" t="inlineStr">
        <is>
          <t>RP0005906</t>
        </is>
      </c>
      <c r="B5907" t="inlineStr">
        <is>
          <t>LN200840</t>
        </is>
      </c>
      <c r="C5907" t="n">
        <v>5</v>
      </c>
      <c r="D5907" s="8" t="n">
        <v>46313</v>
      </c>
      <c r="E5907" s="9" t="n">
        <v>9383.33</v>
      </c>
      <c r="F5907" s="8" t="n"/>
      <c r="G5907" s="9" t="n">
        <v>0</v>
      </c>
      <c r="H5907" t="inlineStr">
        <is>
          <t>NOT_DUE</t>
        </is>
      </c>
      <c r="I5907">
        <f>IF(H5907="UNPAID", AsOfDate-D5907, 0)</f>
        <v/>
      </c>
      <c r="J5907">
        <f>IF(F5907&lt;&gt;"", TEXT(F5907, "yyyy-mm"), "")</f>
        <v/>
      </c>
    </row>
    <row r="5908">
      <c r="A5908" t="inlineStr">
        <is>
          <t>RP0005907</t>
        </is>
      </c>
      <c r="B5908" t="inlineStr">
        <is>
          <t>LN200840</t>
        </is>
      </c>
      <c r="C5908" t="n">
        <v>6</v>
      </c>
      <c r="D5908" s="8" t="n">
        <v>46344</v>
      </c>
      <c r="E5908" s="9" t="n">
        <v>9383.33</v>
      </c>
      <c r="F5908" s="8" t="n"/>
      <c r="G5908" s="9" t="n">
        <v>0</v>
      </c>
      <c r="H5908" t="inlineStr">
        <is>
          <t>NOT_DUE</t>
        </is>
      </c>
      <c r="I5908">
        <f>IF(H5908="UNPAID", AsOfDate-D5908, 0)</f>
        <v/>
      </c>
      <c r="J5908">
        <f>IF(F5908&lt;&gt;"", TEXT(F5908, "yyyy-mm"), "")</f>
        <v/>
      </c>
    </row>
    <row r="5909">
      <c r="A5909" t="inlineStr">
        <is>
          <t>RP0005908</t>
        </is>
      </c>
      <c r="B5909" t="inlineStr">
        <is>
          <t>LN200840</t>
        </is>
      </c>
      <c r="C5909" t="n">
        <v>7</v>
      </c>
      <c r="D5909" s="8" t="n">
        <v>46374</v>
      </c>
      <c r="E5909" s="9" t="n">
        <v>9383.33</v>
      </c>
      <c r="F5909" s="8" t="n"/>
      <c r="G5909" s="9" t="n">
        <v>0</v>
      </c>
      <c r="H5909" t="inlineStr">
        <is>
          <t>NOT_DUE</t>
        </is>
      </c>
      <c r="I5909">
        <f>IF(H5909="UNPAID", AsOfDate-D5909, 0)</f>
        <v/>
      </c>
      <c r="J5909">
        <f>IF(F5909&lt;&gt;"", TEXT(F5909, "yyyy-mm"), "")</f>
        <v/>
      </c>
    </row>
    <row r="5910">
      <c r="A5910" t="inlineStr">
        <is>
          <t>RP0005909</t>
        </is>
      </c>
      <c r="B5910" t="inlineStr">
        <is>
          <t>LN200840</t>
        </is>
      </c>
      <c r="C5910" t="n">
        <v>8</v>
      </c>
      <c r="D5910" s="8" t="n">
        <v>46405</v>
      </c>
      <c r="E5910" s="9" t="n">
        <v>9383.33</v>
      </c>
      <c r="F5910" s="8" t="n"/>
      <c r="G5910" s="9" t="n">
        <v>0</v>
      </c>
      <c r="H5910" t="inlineStr">
        <is>
          <t>NOT_DUE</t>
        </is>
      </c>
      <c r="I5910">
        <f>IF(H5910="UNPAID", AsOfDate-D5910, 0)</f>
        <v/>
      </c>
      <c r="J5910">
        <f>IF(F5910&lt;&gt;"", TEXT(F5910, "yyyy-mm"), "")</f>
        <v/>
      </c>
    </row>
    <row r="5911">
      <c r="A5911" t="inlineStr">
        <is>
          <t>RP0005910</t>
        </is>
      </c>
      <c r="B5911" t="inlineStr">
        <is>
          <t>LN200840</t>
        </is>
      </c>
      <c r="C5911" t="n">
        <v>9</v>
      </c>
      <c r="D5911" s="8" t="n">
        <v>46436</v>
      </c>
      <c r="E5911" s="9" t="n">
        <v>9383.33</v>
      </c>
      <c r="F5911" s="8" t="n"/>
      <c r="G5911" s="9" t="n">
        <v>0</v>
      </c>
      <c r="H5911" t="inlineStr">
        <is>
          <t>NOT_DUE</t>
        </is>
      </c>
      <c r="I5911">
        <f>IF(H5911="UNPAID", AsOfDate-D5911, 0)</f>
        <v/>
      </c>
      <c r="J5911">
        <f>IF(F5911&lt;&gt;"", TEXT(F5911, "yyyy-mm"), "")</f>
        <v/>
      </c>
    </row>
    <row r="5912">
      <c r="A5912" t="inlineStr">
        <is>
          <t>RP0005911</t>
        </is>
      </c>
      <c r="B5912" t="inlineStr">
        <is>
          <t>LN200840</t>
        </is>
      </c>
      <c r="C5912" t="n">
        <v>10</v>
      </c>
      <c r="D5912" s="8" t="n">
        <v>46464</v>
      </c>
      <c r="E5912" s="9" t="n">
        <v>9383.33</v>
      </c>
      <c r="F5912" s="8" t="n"/>
      <c r="G5912" s="9" t="n">
        <v>0</v>
      </c>
      <c r="H5912" t="inlineStr">
        <is>
          <t>NOT_DUE</t>
        </is>
      </c>
      <c r="I5912">
        <f>IF(H5912="UNPAID", AsOfDate-D5912, 0)</f>
        <v/>
      </c>
      <c r="J5912">
        <f>IF(F5912&lt;&gt;"", TEXT(F5912, "yyyy-mm"), "")</f>
        <v/>
      </c>
    </row>
    <row r="5913">
      <c r="A5913" t="inlineStr">
        <is>
          <t>RP0005912</t>
        </is>
      </c>
      <c r="B5913" t="inlineStr">
        <is>
          <t>LN200840</t>
        </is>
      </c>
      <c r="C5913" t="n">
        <v>11</v>
      </c>
      <c r="D5913" s="8" t="n">
        <v>46495</v>
      </c>
      <c r="E5913" s="9" t="n">
        <v>9383.33</v>
      </c>
      <c r="F5913" s="8" t="n"/>
      <c r="G5913" s="9" t="n">
        <v>0</v>
      </c>
      <c r="H5913" t="inlineStr">
        <is>
          <t>NOT_DUE</t>
        </is>
      </c>
      <c r="I5913">
        <f>IF(H5913="UNPAID", AsOfDate-D5913, 0)</f>
        <v/>
      </c>
      <c r="J5913">
        <f>IF(F5913&lt;&gt;"", TEXT(F5913, "yyyy-mm"), "")</f>
        <v/>
      </c>
    </row>
    <row r="5914">
      <c r="A5914" t="inlineStr">
        <is>
          <t>RP0005913</t>
        </is>
      </c>
      <c r="B5914" t="inlineStr">
        <is>
          <t>LN200840</t>
        </is>
      </c>
      <c r="C5914" t="n">
        <v>12</v>
      </c>
      <c r="D5914" s="8" t="n">
        <v>46525</v>
      </c>
      <c r="E5914" s="9" t="n">
        <v>9383.33</v>
      </c>
      <c r="F5914" s="8" t="n"/>
      <c r="G5914" s="9" t="n">
        <v>0</v>
      </c>
      <c r="H5914" t="inlineStr">
        <is>
          <t>NOT_DUE</t>
        </is>
      </c>
      <c r="I5914">
        <f>IF(H5914="UNPAID", AsOfDate-D5914, 0)</f>
        <v/>
      </c>
      <c r="J5914">
        <f>IF(F5914&lt;&gt;"", TEXT(F5914, "yyyy-mm"), "")</f>
        <v/>
      </c>
    </row>
    <row r="5915">
      <c r="A5915" t="inlineStr">
        <is>
          <t>RP0005914</t>
        </is>
      </c>
      <c r="B5915" t="inlineStr">
        <is>
          <t>LN200841</t>
        </is>
      </c>
      <c r="C5915" t="n">
        <v>1</v>
      </c>
      <c r="D5915" s="8" t="n">
        <v>45786</v>
      </c>
      <c r="E5915" s="9" t="n">
        <v>7883.06</v>
      </c>
      <c r="F5915" s="8" t="n">
        <v>45783</v>
      </c>
      <c r="G5915" s="9" t="n">
        <v>7883.06</v>
      </c>
      <c r="H5915" t="inlineStr">
        <is>
          <t>PAID_ON_TIME</t>
        </is>
      </c>
      <c r="I5915">
        <f>IF(H5915="UNPAID", AsOfDate-D5915, 0)</f>
        <v/>
      </c>
      <c r="J5915">
        <f>IF(F5915&lt;&gt;"", TEXT(F5915, "yyyy-mm"), "")</f>
        <v/>
      </c>
    </row>
    <row r="5916">
      <c r="A5916" t="inlineStr">
        <is>
          <t>RP0005915</t>
        </is>
      </c>
      <c r="B5916" t="inlineStr">
        <is>
          <t>LN200841</t>
        </is>
      </c>
      <c r="C5916" t="n">
        <v>2</v>
      </c>
      <c r="D5916" s="8" t="n">
        <v>45817</v>
      </c>
      <c r="E5916" s="9" t="n">
        <v>7883.06</v>
      </c>
      <c r="F5916" s="8" t="n">
        <v>45819</v>
      </c>
      <c r="G5916" s="9" t="n">
        <v>7883.06</v>
      </c>
      <c r="H5916" t="inlineStr">
        <is>
          <t>PAID_ON_TIME</t>
        </is>
      </c>
      <c r="I5916">
        <f>IF(H5916="UNPAID", AsOfDate-D5916, 0)</f>
        <v/>
      </c>
      <c r="J5916">
        <f>IF(F5916&lt;&gt;"", TEXT(F5916, "yyyy-mm"), "")</f>
        <v/>
      </c>
    </row>
    <row r="5917">
      <c r="A5917" t="inlineStr">
        <is>
          <t>RP0005916</t>
        </is>
      </c>
      <c r="B5917" t="inlineStr">
        <is>
          <t>LN200841</t>
        </is>
      </c>
      <c r="C5917" t="n">
        <v>3</v>
      </c>
      <c r="D5917" s="8" t="n">
        <v>45847</v>
      </c>
      <c r="E5917" s="9" t="n">
        <v>7883.06</v>
      </c>
      <c r="F5917" s="8" t="n">
        <v>45857</v>
      </c>
      <c r="G5917" s="9" t="n">
        <v>7883.06</v>
      </c>
      <c r="H5917" t="inlineStr">
        <is>
          <t>PAID_LATE</t>
        </is>
      </c>
      <c r="I5917">
        <f>IF(H5917="UNPAID", AsOfDate-D5917, 0)</f>
        <v/>
      </c>
      <c r="J5917">
        <f>IF(F5917&lt;&gt;"", TEXT(F5917, "yyyy-mm"), "")</f>
        <v/>
      </c>
    </row>
    <row r="5918">
      <c r="A5918" t="inlineStr">
        <is>
          <t>RP0005917</t>
        </is>
      </c>
      <c r="B5918" t="inlineStr">
        <is>
          <t>LN200841</t>
        </is>
      </c>
      <c r="C5918" t="n">
        <v>4</v>
      </c>
      <c r="D5918" s="8" t="n">
        <v>45878</v>
      </c>
      <c r="E5918" s="9" t="n">
        <v>7883.06</v>
      </c>
      <c r="F5918" s="8" t="n">
        <v>45881</v>
      </c>
      <c r="G5918" s="9" t="n">
        <v>7883.06</v>
      </c>
      <c r="H5918" t="inlineStr">
        <is>
          <t>PAID_ON_TIME</t>
        </is>
      </c>
      <c r="I5918">
        <f>IF(H5918="UNPAID", AsOfDate-D5918, 0)</f>
        <v/>
      </c>
      <c r="J5918">
        <f>IF(F5918&lt;&gt;"", TEXT(F5918, "yyyy-mm"), "")</f>
        <v/>
      </c>
    </row>
    <row r="5919">
      <c r="A5919" t="inlineStr">
        <is>
          <t>RP0005918</t>
        </is>
      </c>
      <c r="B5919" t="inlineStr">
        <is>
          <t>LN200841</t>
        </is>
      </c>
      <c r="C5919" t="n">
        <v>5</v>
      </c>
      <c r="D5919" s="8" t="n">
        <v>45909</v>
      </c>
      <c r="E5919" s="9" t="n">
        <v>7883.06</v>
      </c>
      <c r="F5919" s="8" t="n">
        <v>45906</v>
      </c>
      <c r="G5919" s="9" t="n">
        <v>7883.06</v>
      </c>
      <c r="H5919" t="inlineStr">
        <is>
          <t>PAID_ON_TIME</t>
        </is>
      </c>
      <c r="I5919">
        <f>IF(H5919="UNPAID", AsOfDate-D5919, 0)</f>
        <v/>
      </c>
      <c r="J5919">
        <f>IF(F5919&lt;&gt;"", TEXT(F5919, "yyyy-mm"), "")</f>
        <v/>
      </c>
    </row>
    <row r="5920">
      <c r="A5920" t="inlineStr">
        <is>
          <t>RP0005919</t>
        </is>
      </c>
      <c r="B5920" t="inlineStr">
        <is>
          <t>LN200841</t>
        </is>
      </c>
      <c r="C5920" t="n">
        <v>6</v>
      </c>
      <c r="D5920" s="8" t="n">
        <v>45939</v>
      </c>
      <c r="E5920" s="9" t="n">
        <v>7883.06</v>
      </c>
      <c r="F5920" s="8" t="n">
        <v>45943</v>
      </c>
      <c r="G5920" s="9" t="n">
        <v>7883.06</v>
      </c>
      <c r="H5920" t="inlineStr">
        <is>
          <t>PAID_ON_TIME</t>
        </is>
      </c>
      <c r="I5920">
        <f>IF(H5920="UNPAID", AsOfDate-D5920, 0)</f>
        <v/>
      </c>
      <c r="J5920">
        <f>IF(F5920&lt;&gt;"", TEXT(F5920, "yyyy-mm"), "")</f>
        <v/>
      </c>
    </row>
    <row r="5921">
      <c r="A5921" t="inlineStr">
        <is>
          <t>RP0005920</t>
        </is>
      </c>
      <c r="B5921" t="inlineStr">
        <is>
          <t>LN200841</t>
        </is>
      </c>
      <c r="C5921" t="n">
        <v>7</v>
      </c>
      <c r="D5921" s="8" t="n">
        <v>45970</v>
      </c>
      <c r="E5921" s="9" t="n">
        <v>7883.06</v>
      </c>
      <c r="F5921" s="8" t="n">
        <v>45968</v>
      </c>
      <c r="G5921" s="9" t="n">
        <v>7883.06</v>
      </c>
      <c r="H5921" t="inlineStr">
        <is>
          <t>PAID_ON_TIME</t>
        </is>
      </c>
      <c r="I5921">
        <f>IF(H5921="UNPAID", AsOfDate-D5921, 0)</f>
        <v/>
      </c>
      <c r="J5921">
        <f>IF(F5921&lt;&gt;"", TEXT(F5921, "yyyy-mm"), "")</f>
        <v/>
      </c>
    </row>
    <row r="5922">
      <c r="A5922" t="inlineStr">
        <is>
          <t>RP0005921</t>
        </is>
      </c>
      <c r="B5922" t="inlineStr">
        <is>
          <t>LN200841</t>
        </is>
      </c>
      <c r="C5922" t="n">
        <v>8</v>
      </c>
      <c r="D5922" s="8" t="n">
        <v>46000</v>
      </c>
      <c r="E5922" s="9" t="n">
        <v>7883.06</v>
      </c>
      <c r="F5922" s="8" t="n">
        <v>46001</v>
      </c>
      <c r="G5922" s="9" t="n">
        <v>7883.06</v>
      </c>
      <c r="H5922" t="inlineStr">
        <is>
          <t>PAID_ON_TIME</t>
        </is>
      </c>
      <c r="I5922">
        <f>IF(H5922="UNPAID", AsOfDate-D5922, 0)</f>
        <v/>
      </c>
      <c r="J5922">
        <f>IF(F5922&lt;&gt;"", TEXT(F5922, "yyyy-mm"), "")</f>
        <v/>
      </c>
    </row>
    <row r="5923">
      <c r="A5923" t="inlineStr">
        <is>
          <t>RP0005922</t>
        </is>
      </c>
      <c r="B5923" t="inlineStr">
        <is>
          <t>LN200841</t>
        </is>
      </c>
      <c r="C5923" t="n">
        <v>9</v>
      </c>
      <c r="D5923" s="8" t="n">
        <v>46031</v>
      </c>
      <c r="E5923" s="9" t="n">
        <v>7883.06</v>
      </c>
      <c r="F5923" s="8" t="n">
        <v>46034</v>
      </c>
      <c r="G5923" s="9" t="n">
        <v>7883.06</v>
      </c>
      <c r="H5923" t="inlineStr">
        <is>
          <t>PAID_ON_TIME</t>
        </is>
      </c>
      <c r="I5923">
        <f>IF(H5923="UNPAID", AsOfDate-D5923, 0)</f>
        <v/>
      </c>
      <c r="J5923">
        <f>IF(F5923&lt;&gt;"", TEXT(F5923, "yyyy-mm"), "")</f>
        <v/>
      </c>
    </row>
    <row r="5924">
      <c r="A5924" t="inlineStr">
        <is>
          <t>RP0005923</t>
        </is>
      </c>
      <c r="B5924" t="inlineStr">
        <is>
          <t>LN200842</t>
        </is>
      </c>
      <c r="C5924" t="n">
        <v>1</v>
      </c>
      <c r="D5924" s="8" t="n">
        <v>46100</v>
      </c>
      <c r="E5924" s="9" t="n">
        <v>37110.67</v>
      </c>
      <c r="F5924" s="8" t="n">
        <v>46098</v>
      </c>
      <c r="G5924" s="9" t="n">
        <v>37110.67</v>
      </c>
      <c r="H5924" t="inlineStr">
        <is>
          <t>PAID_ON_TIME</t>
        </is>
      </c>
      <c r="I5924">
        <f>IF(H5924="UNPAID", AsOfDate-D5924, 0)</f>
        <v/>
      </c>
      <c r="J5924">
        <f>IF(F5924&lt;&gt;"", TEXT(F5924, "yyyy-mm"), "")</f>
        <v/>
      </c>
    </row>
    <row r="5925">
      <c r="A5925" t="inlineStr">
        <is>
          <t>RP0005924</t>
        </is>
      </c>
      <c r="B5925" t="inlineStr">
        <is>
          <t>LN200842</t>
        </is>
      </c>
      <c r="C5925" t="n">
        <v>2</v>
      </c>
      <c r="D5925" s="8" t="n">
        <v>46131</v>
      </c>
      <c r="E5925" s="9" t="n">
        <v>37110.67</v>
      </c>
      <c r="F5925" s="8" t="n">
        <v>46130</v>
      </c>
      <c r="G5925" s="9" t="n">
        <v>37110.67</v>
      </c>
      <c r="H5925" t="inlineStr">
        <is>
          <t>PAID_ON_TIME</t>
        </is>
      </c>
      <c r="I5925">
        <f>IF(H5925="UNPAID", AsOfDate-D5925, 0)</f>
        <v/>
      </c>
      <c r="J5925">
        <f>IF(F5925&lt;&gt;"", TEXT(F5925, "yyyy-mm"), "")</f>
        <v/>
      </c>
    </row>
    <row r="5926">
      <c r="A5926" t="inlineStr">
        <is>
          <t>RP0005925</t>
        </is>
      </c>
      <c r="B5926" t="inlineStr">
        <is>
          <t>LN200842</t>
        </is>
      </c>
      <c r="C5926" t="n">
        <v>3</v>
      </c>
      <c r="D5926" s="8" t="n">
        <v>46161</v>
      </c>
      <c r="E5926" s="9" t="n">
        <v>37110.67</v>
      </c>
      <c r="F5926" s="8" t="n">
        <v>46158</v>
      </c>
      <c r="G5926" s="9" t="n">
        <v>37110.67</v>
      </c>
      <c r="H5926" t="inlineStr">
        <is>
          <t>PAID_ON_TIME</t>
        </is>
      </c>
      <c r="I5926">
        <f>IF(H5926="UNPAID", AsOfDate-D5926, 0)</f>
        <v/>
      </c>
      <c r="J5926">
        <f>IF(F5926&lt;&gt;"", TEXT(F5926, "yyyy-mm"), "")</f>
        <v/>
      </c>
    </row>
    <row r="5927">
      <c r="A5927" t="inlineStr">
        <is>
          <t>RP0005926</t>
        </is>
      </c>
      <c r="B5927" t="inlineStr">
        <is>
          <t>LN200842</t>
        </is>
      </c>
      <c r="C5927" t="n">
        <v>4</v>
      </c>
      <c r="D5927" s="8" t="n">
        <v>46192</v>
      </c>
      <c r="E5927" s="9" t="n">
        <v>37110.67</v>
      </c>
      <c r="F5927" s="8" t="n">
        <v>46192</v>
      </c>
      <c r="G5927" s="9" t="n">
        <v>37110.67</v>
      </c>
      <c r="H5927" t="inlineStr">
        <is>
          <t>PAID_ON_TIME</t>
        </is>
      </c>
      <c r="I5927">
        <f>IF(H5927="UNPAID", AsOfDate-D5927, 0)</f>
        <v/>
      </c>
      <c r="J5927">
        <f>IF(F5927&lt;&gt;"", TEXT(F5927, "yyyy-mm"), "")</f>
        <v/>
      </c>
    </row>
    <row r="5928">
      <c r="A5928" t="inlineStr">
        <is>
          <t>RP0005927</t>
        </is>
      </c>
      <c r="B5928" t="inlineStr">
        <is>
          <t>LN200842</t>
        </is>
      </c>
      <c r="C5928" t="n">
        <v>5</v>
      </c>
      <c r="D5928" s="8" t="n">
        <v>46222</v>
      </c>
      <c r="E5928" s="9" t="n">
        <v>37110.67</v>
      </c>
      <c r="F5928" s="8" t="n">
        <v>46221</v>
      </c>
      <c r="G5928" s="9" t="n">
        <v>37110.67</v>
      </c>
      <c r="H5928" t="inlineStr">
        <is>
          <t>PAID_ON_TIME</t>
        </is>
      </c>
      <c r="I5928">
        <f>IF(H5928="UNPAID", AsOfDate-D5928, 0)</f>
        <v/>
      </c>
      <c r="J5928">
        <f>IF(F5928&lt;&gt;"", TEXT(F5928, "yyyy-mm"), "")</f>
        <v/>
      </c>
    </row>
    <row r="5929">
      <c r="A5929" t="inlineStr">
        <is>
          <t>RP0005928</t>
        </is>
      </c>
      <c r="B5929" t="inlineStr">
        <is>
          <t>LN200842</t>
        </is>
      </c>
      <c r="C5929" t="n">
        <v>6</v>
      </c>
      <c r="D5929" s="8" t="n">
        <v>46253</v>
      </c>
      <c r="E5929" s="9" t="n">
        <v>37110.67</v>
      </c>
      <c r="F5929" s="8" t="n">
        <v>46257</v>
      </c>
      <c r="G5929" s="9" t="n">
        <v>37110.67</v>
      </c>
      <c r="H5929" t="inlineStr">
        <is>
          <t>PAID_ON_TIME</t>
        </is>
      </c>
      <c r="I5929">
        <f>IF(H5929="UNPAID", AsOfDate-D5929, 0)</f>
        <v/>
      </c>
      <c r="J5929">
        <f>IF(F5929&lt;&gt;"", TEXT(F5929, "yyyy-mm"), "")</f>
        <v/>
      </c>
    </row>
    <row r="5930">
      <c r="A5930" t="inlineStr">
        <is>
          <t>RP0005929</t>
        </is>
      </c>
      <c r="B5930" t="inlineStr">
        <is>
          <t>LN200843</t>
        </is>
      </c>
      <c r="C5930" t="n">
        <v>1</v>
      </c>
      <c r="D5930" s="8" t="n">
        <v>45835</v>
      </c>
      <c r="E5930" s="9" t="n">
        <v>15614.5</v>
      </c>
      <c r="F5930" s="8" t="n">
        <v>45834</v>
      </c>
      <c r="G5930" s="9" t="n">
        <v>15614.5</v>
      </c>
      <c r="H5930" t="inlineStr">
        <is>
          <t>PAID_ON_TIME</t>
        </is>
      </c>
      <c r="I5930">
        <f>IF(H5930="UNPAID", AsOfDate-D5930, 0)</f>
        <v/>
      </c>
      <c r="J5930">
        <f>IF(F5930&lt;&gt;"", TEXT(F5930, "yyyy-mm"), "")</f>
        <v/>
      </c>
    </row>
    <row r="5931">
      <c r="A5931" t="inlineStr">
        <is>
          <t>RP0005930</t>
        </is>
      </c>
      <c r="B5931" t="inlineStr">
        <is>
          <t>LN200843</t>
        </is>
      </c>
      <c r="C5931" t="n">
        <v>2</v>
      </c>
      <c r="D5931" s="8" t="n">
        <v>45865</v>
      </c>
      <c r="E5931" s="9" t="n">
        <v>15614.5</v>
      </c>
      <c r="F5931" s="8" t="n">
        <v>45867</v>
      </c>
      <c r="G5931" s="9" t="n">
        <v>15614.5</v>
      </c>
      <c r="H5931" t="inlineStr">
        <is>
          <t>PAID_ON_TIME</t>
        </is>
      </c>
      <c r="I5931">
        <f>IF(H5931="UNPAID", AsOfDate-D5931, 0)</f>
        <v/>
      </c>
      <c r="J5931">
        <f>IF(F5931&lt;&gt;"", TEXT(F5931, "yyyy-mm"), "")</f>
        <v/>
      </c>
    </row>
    <row r="5932">
      <c r="A5932" t="inlineStr">
        <is>
          <t>RP0005931</t>
        </is>
      </c>
      <c r="B5932" t="inlineStr">
        <is>
          <t>LN200843</t>
        </is>
      </c>
      <c r="C5932" t="n">
        <v>3</v>
      </c>
      <c r="D5932" s="8" t="n">
        <v>45896</v>
      </c>
      <c r="E5932" s="9" t="n">
        <v>15614.5</v>
      </c>
      <c r="F5932" s="8" t="n">
        <v>45899</v>
      </c>
      <c r="G5932" s="9" t="n">
        <v>15614.5</v>
      </c>
      <c r="H5932" t="inlineStr">
        <is>
          <t>PAID_ON_TIME</t>
        </is>
      </c>
      <c r="I5932">
        <f>IF(H5932="UNPAID", AsOfDate-D5932, 0)</f>
        <v/>
      </c>
      <c r="J5932">
        <f>IF(F5932&lt;&gt;"", TEXT(F5932, "yyyy-mm"), "")</f>
        <v/>
      </c>
    </row>
    <row r="5933">
      <c r="A5933" t="inlineStr">
        <is>
          <t>RP0005932</t>
        </is>
      </c>
      <c r="B5933" t="inlineStr">
        <is>
          <t>LN200843</t>
        </is>
      </c>
      <c r="C5933" t="n">
        <v>4</v>
      </c>
      <c r="D5933" s="8" t="n">
        <v>45927</v>
      </c>
      <c r="E5933" s="9" t="n">
        <v>15614.5</v>
      </c>
      <c r="F5933" s="8" t="n">
        <v>45924</v>
      </c>
      <c r="G5933" s="9" t="n">
        <v>15614.5</v>
      </c>
      <c r="H5933" t="inlineStr">
        <is>
          <t>PAID_ON_TIME</t>
        </is>
      </c>
      <c r="I5933">
        <f>IF(H5933="UNPAID", AsOfDate-D5933, 0)</f>
        <v/>
      </c>
      <c r="J5933">
        <f>IF(F5933&lt;&gt;"", TEXT(F5933, "yyyy-mm"), "")</f>
        <v/>
      </c>
    </row>
    <row r="5934">
      <c r="A5934" t="inlineStr">
        <is>
          <t>RP0005933</t>
        </is>
      </c>
      <c r="B5934" t="inlineStr">
        <is>
          <t>LN200843</t>
        </is>
      </c>
      <c r="C5934" t="n">
        <v>5</v>
      </c>
      <c r="D5934" s="8" t="n">
        <v>45957</v>
      </c>
      <c r="E5934" s="9" t="n">
        <v>15614.5</v>
      </c>
      <c r="F5934" s="8" t="n">
        <v>46016</v>
      </c>
      <c r="G5934" s="9" t="n">
        <v>15614.5</v>
      </c>
      <c r="H5934" t="inlineStr">
        <is>
          <t>PAID_LATE</t>
        </is>
      </c>
      <c r="I5934">
        <f>IF(H5934="UNPAID", AsOfDate-D5934, 0)</f>
        <v/>
      </c>
      <c r="J5934">
        <f>IF(F5934&lt;&gt;"", TEXT(F5934, "yyyy-mm"), "")</f>
        <v/>
      </c>
    </row>
    <row r="5935">
      <c r="A5935" t="inlineStr">
        <is>
          <t>RP0005934</t>
        </is>
      </c>
      <c r="B5935" t="inlineStr">
        <is>
          <t>LN200843</t>
        </is>
      </c>
      <c r="C5935" t="n">
        <v>6</v>
      </c>
      <c r="D5935" s="8" t="n">
        <v>45988</v>
      </c>
      <c r="E5935" s="9" t="n">
        <v>15614.5</v>
      </c>
      <c r="F5935" s="8" t="n">
        <v>45990</v>
      </c>
      <c r="G5935" s="9" t="n">
        <v>15614.5</v>
      </c>
      <c r="H5935" t="inlineStr">
        <is>
          <t>PAID_ON_TIME</t>
        </is>
      </c>
      <c r="I5935">
        <f>IF(H5935="UNPAID", AsOfDate-D5935, 0)</f>
        <v/>
      </c>
      <c r="J5935">
        <f>IF(F5935&lt;&gt;"", TEXT(F5935, "yyyy-mm"), "")</f>
        <v/>
      </c>
    </row>
    <row r="5936">
      <c r="A5936" t="inlineStr">
        <is>
          <t>RP0005935</t>
        </is>
      </c>
      <c r="B5936" t="inlineStr">
        <is>
          <t>LN200843</t>
        </is>
      </c>
      <c r="C5936" t="n">
        <v>7</v>
      </c>
      <c r="D5936" s="8" t="n">
        <v>46018</v>
      </c>
      <c r="E5936" s="9" t="n">
        <v>15614.5</v>
      </c>
      <c r="F5936" s="8" t="n">
        <v>46020</v>
      </c>
      <c r="G5936" s="9" t="n">
        <v>15614.5</v>
      </c>
      <c r="H5936" t="inlineStr">
        <is>
          <t>PAID_ON_TIME</t>
        </is>
      </c>
      <c r="I5936">
        <f>IF(H5936="UNPAID", AsOfDate-D5936, 0)</f>
        <v/>
      </c>
      <c r="J5936">
        <f>IF(F5936&lt;&gt;"", TEXT(F5936, "yyyy-mm"), "")</f>
        <v/>
      </c>
    </row>
    <row r="5937">
      <c r="A5937" t="inlineStr">
        <is>
          <t>RP0005936</t>
        </is>
      </c>
      <c r="B5937" t="inlineStr">
        <is>
          <t>LN200843</t>
        </is>
      </c>
      <c r="C5937" t="n">
        <v>8</v>
      </c>
      <c r="D5937" s="8" t="n">
        <v>46049</v>
      </c>
      <c r="E5937" s="9" t="n">
        <v>15614.5</v>
      </c>
      <c r="F5937" s="8" t="n">
        <v>46048</v>
      </c>
      <c r="G5937" s="9" t="n">
        <v>15614.5</v>
      </c>
      <c r="H5937" t="inlineStr">
        <is>
          <t>PAID_ON_TIME</t>
        </is>
      </c>
      <c r="I5937">
        <f>IF(H5937="UNPAID", AsOfDate-D5937, 0)</f>
        <v/>
      </c>
      <c r="J5937">
        <f>IF(F5937&lt;&gt;"", TEXT(F5937, "yyyy-mm"), "")</f>
        <v/>
      </c>
    </row>
    <row r="5938">
      <c r="A5938" t="inlineStr">
        <is>
          <t>RP0005937</t>
        </is>
      </c>
      <c r="B5938" t="inlineStr">
        <is>
          <t>LN200843</t>
        </is>
      </c>
      <c r="C5938" t="n">
        <v>9</v>
      </c>
      <c r="D5938" s="8" t="n">
        <v>46080</v>
      </c>
      <c r="E5938" s="9" t="n">
        <v>15614.5</v>
      </c>
      <c r="F5938" s="8" t="n">
        <v>46079</v>
      </c>
      <c r="G5938" s="9" t="n">
        <v>15614.5</v>
      </c>
      <c r="H5938" t="inlineStr">
        <is>
          <t>PAID_ON_TIME</t>
        </is>
      </c>
      <c r="I5938">
        <f>IF(H5938="UNPAID", AsOfDate-D5938, 0)</f>
        <v/>
      </c>
      <c r="J5938">
        <f>IF(F5938&lt;&gt;"", TEXT(F5938, "yyyy-mm"), "")</f>
        <v/>
      </c>
    </row>
    <row r="5939">
      <c r="A5939" t="inlineStr">
        <is>
          <t>RP0005938</t>
        </is>
      </c>
      <c r="B5939" t="inlineStr">
        <is>
          <t>LN200843</t>
        </is>
      </c>
      <c r="C5939" t="n">
        <v>10</v>
      </c>
      <c r="D5939" s="8" t="n">
        <v>46108</v>
      </c>
      <c r="E5939" s="9" t="n">
        <v>15614.5</v>
      </c>
      <c r="F5939" s="8" t="n">
        <v>46107</v>
      </c>
      <c r="G5939" s="9" t="n">
        <v>15614.5</v>
      </c>
      <c r="H5939" t="inlineStr">
        <is>
          <t>PAID_ON_TIME</t>
        </is>
      </c>
      <c r="I5939">
        <f>IF(H5939="UNPAID", AsOfDate-D5939, 0)</f>
        <v/>
      </c>
      <c r="J5939">
        <f>IF(F5939&lt;&gt;"", TEXT(F5939, "yyyy-mm"), "")</f>
        <v/>
      </c>
    </row>
    <row r="5940">
      <c r="A5940" t="inlineStr">
        <is>
          <t>RP0005939</t>
        </is>
      </c>
      <c r="B5940" t="inlineStr">
        <is>
          <t>LN200843</t>
        </is>
      </c>
      <c r="C5940" t="n">
        <v>11</v>
      </c>
      <c r="D5940" s="8" t="n">
        <v>46139</v>
      </c>
      <c r="E5940" s="9" t="n">
        <v>15614.5</v>
      </c>
      <c r="F5940" s="8" t="n">
        <v>46136</v>
      </c>
      <c r="G5940" s="9" t="n">
        <v>15614.5</v>
      </c>
      <c r="H5940" t="inlineStr">
        <is>
          <t>PAID_ON_TIME</t>
        </is>
      </c>
      <c r="I5940">
        <f>IF(H5940="UNPAID", AsOfDate-D5940, 0)</f>
        <v/>
      </c>
      <c r="J5940">
        <f>IF(F5940&lt;&gt;"", TEXT(F5940, "yyyy-mm"), "")</f>
        <v/>
      </c>
    </row>
    <row r="5941">
      <c r="A5941" t="inlineStr">
        <is>
          <t>RP0005940</t>
        </is>
      </c>
      <c r="B5941" t="inlineStr">
        <is>
          <t>LN200843</t>
        </is>
      </c>
      <c r="C5941" t="n">
        <v>12</v>
      </c>
      <c r="D5941" s="8" t="n">
        <v>46169</v>
      </c>
      <c r="E5941" s="9" t="n">
        <v>15614.5</v>
      </c>
      <c r="F5941" s="8" t="n">
        <v>46170</v>
      </c>
      <c r="G5941" s="9" t="n">
        <v>15614.5</v>
      </c>
      <c r="H5941" t="inlineStr">
        <is>
          <t>PAID_ON_TIME</t>
        </is>
      </c>
      <c r="I5941">
        <f>IF(H5941="UNPAID", AsOfDate-D5941, 0)</f>
        <v/>
      </c>
      <c r="J5941">
        <f>IF(F5941&lt;&gt;"", TEXT(F5941, "yyyy-mm"), "")</f>
        <v/>
      </c>
    </row>
    <row r="5942">
      <c r="A5942" t="inlineStr">
        <is>
          <t>RP0005941</t>
        </is>
      </c>
      <c r="B5942" t="inlineStr">
        <is>
          <t>LN200844</t>
        </is>
      </c>
      <c r="C5942" t="n">
        <v>1</v>
      </c>
      <c r="D5942" s="8" t="n">
        <v>45877</v>
      </c>
      <c r="E5942" s="9" t="n">
        <v>10347.94</v>
      </c>
      <c r="F5942" s="8" t="n">
        <v>45879</v>
      </c>
      <c r="G5942" s="9" t="n">
        <v>10347.94</v>
      </c>
      <c r="H5942" t="inlineStr">
        <is>
          <t>PAID_ON_TIME</t>
        </is>
      </c>
      <c r="I5942">
        <f>IF(H5942="UNPAID", AsOfDate-D5942, 0)</f>
        <v/>
      </c>
      <c r="J5942">
        <f>IF(F5942&lt;&gt;"", TEXT(F5942, "yyyy-mm"), "")</f>
        <v/>
      </c>
    </row>
    <row r="5943">
      <c r="A5943" t="inlineStr">
        <is>
          <t>RP0005942</t>
        </is>
      </c>
      <c r="B5943" t="inlineStr">
        <is>
          <t>LN200844</t>
        </is>
      </c>
      <c r="C5943" t="n">
        <v>2</v>
      </c>
      <c r="D5943" s="8" t="n">
        <v>45908</v>
      </c>
      <c r="E5943" s="9" t="n">
        <v>10347.94</v>
      </c>
      <c r="F5943" s="8" t="n">
        <v>45912</v>
      </c>
      <c r="G5943" s="9" t="n">
        <v>10347.94</v>
      </c>
      <c r="H5943" t="inlineStr">
        <is>
          <t>PAID_ON_TIME</t>
        </is>
      </c>
      <c r="I5943">
        <f>IF(H5943="UNPAID", AsOfDate-D5943, 0)</f>
        <v/>
      </c>
      <c r="J5943">
        <f>IF(F5943&lt;&gt;"", TEXT(F5943, "yyyy-mm"), "")</f>
        <v/>
      </c>
    </row>
    <row r="5944">
      <c r="A5944" t="inlineStr">
        <is>
          <t>RP0005943</t>
        </is>
      </c>
      <c r="B5944" t="inlineStr">
        <is>
          <t>LN200844</t>
        </is>
      </c>
      <c r="C5944" t="n">
        <v>3</v>
      </c>
      <c r="D5944" s="8" t="n">
        <v>45938</v>
      </c>
      <c r="E5944" s="9" t="n">
        <v>10347.94</v>
      </c>
      <c r="F5944" s="8" t="n">
        <v>45935</v>
      </c>
      <c r="G5944" s="9" t="n">
        <v>10347.94</v>
      </c>
      <c r="H5944" t="inlineStr">
        <is>
          <t>PAID_ON_TIME</t>
        </is>
      </c>
      <c r="I5944">
        <f>IF(H5944="UNPAID", AsOfDate-D5944, 0)</f>
        <v/>
      </c>
      <c r="J5944">
        <f>IF(F5944&lt;&gt;"", TEXT(F5944, "yyyy-mm"), "")</f>
        <v/>
      </c>
    </row>
    <row r="5945">
      <c r="A5945" t="inlineStr">
        <is>
          <t>RP0005944</t>
        </is>
      </c>
      <c r="B5945" t="inlineStr">
        <is>
          <t>LN200844</t>
        </is>
      </c>
      <c r="C5945" t="n">
        <v>4</v>
      </c>
      <c r="D5945" s="8" t="n">
        <v>45969</v>
      </c>
      <c r="E5945" s="9" t="n">
        <v>10347.94</v>
      </c>
      <c r="F5945" s="8" t="n">
        <v>45973</v>
      </c>
      <c r="G5945" s="9" t="n">
        <v>10347.94</v>
      </c>
      <c r="H5945" t="inlineStr">
        <is>
          <t>PAID_ON_TIME</t>
        </is>
      </c>
      <c r="I5945">
        <f>IF(H5945="UNPAID", AsOfDate-D5945, 0)</f>
        <v/>
      </c>
      <c r="J5945">
        <f>IF(F5945&lt;&gt;"", TEXT(F5945, "yyyy-mm"), "")</f>
        <v/>
      </c>
    </row>
    <row r="5946">
      <c r="A5946" t="inlineStr">
        <is>
          <t>RP0005945</t>
        </is>
      </c>
      <c r="B5946" t="inlineStr">
        <is>
          <t>LN200844</t>
        </is>
      </c>
      <c r="C5946" t="n">
        <v>5</v>
      </c>
      <c r="D5946" s="8" t="n">
        <v>45999</v>
      </c>
      <c r="E5946" s="9" t="n">
        <v>10347.94</v>
      </c>
      <c r="F5946" s="8" t="n">
        <v>46000</v>
      </c>
      <c r="G5946" s="9" t="n">
        <v>10347.94</v>
      </c>
      <c r="H5946" t="inlineStr">
        <is>
          <t>PAID_ON_TIME</t>
        </is>
      </c>
      <c r="I5946">
        <f>IF(H5946="UNPAID", AsOfDate-D5946, 0)</f>
        <v/>
      </c>
      <c r="J5946">
        <f>IF(F5946&lt;&gt;"", TEXT(F5946, "yyyy-mm"), "")</f>
        <v/>
      </c>
    </row>
    <row r="5947">
      <c r="A5947" t="inlineStr">
        <is>
          <t>RP0005946</t>
        </is>
      </c>
      <c r="B5947" t="inlineStr">
        <is>
          <t>LN200844</t>
        </is>
      </c>
      <c r="C5947" t="n">
        <v>6</v>
      </c>
      <c r="D5947" s="8" t="n">
        <v>46030</v>
      </c>
      <c r="E5947" s="9" t="n">
        <v>10347.94</v>
      </c>
      <c r="F5947" s="8" t="n">
        <v>46034</v>
      </c>
      <c r="G5947" s="9" t="n">
        <v>10347.94</v>
      </c>
      <c r="H5947" t="inlineStr">
        <is>
          <t>PAID_ON_TIME</t>
        </is>
      </c>
      <c r="I5947">
        <f>IF(H5947="UNPAID", AsOfDate-D5947, 0)</f>
        <v/>
      </c>
      <c r="J5947">
        <f>IF(F5947&lt;&gt;"", TEXT(F5947, "yyyy-mm"), "")</f>
        <v/>
      </c>
    </row>
    <row r="5948">
      <c r="A5948" t="inlineStr">
        <is>
          <t>RP0005947</t>
        </is>
      </c>
      <c r="B5948" t="inlineStr">
        <is>
          <t>LN200844</t>
        </is>
      </c>
      <c r="C5948" t="n">
        <v>7</v>
      </c>
      <c r="D5948" s="8" t="n">
        <v>46061</v>
      </c>
      <c r="E5948" s="9" t="n">
        <v>10347.94</v>
      </c>
      <c r="F5948" s="8" t="n">
        <v>46060</v>
      </c>
      <c r="G5948" s="9" t="n">
        <v>10347.94</v>
      </c>
      <c r="H5948" t="inlineStr">
        <is>
          <t>PAID_ON_TIME</t>
        </is>
      </c>
      <c r="I5948">
        <f>IF(H5948="UNPAID", AsOfDate-D5948, 0)</f>
        <v/>
      </c>
      <c r="J5948">
        <f>IF(F5948&lt;&gt;"", TEXT(F5948, "yyyy-mm"), "")</f>
        <v/>
      </c>
    </row>
    <row r="5949">
      <c r="A5949" t="inlineStr">
        <is>
          <t>RP0005948</t>
        </is>
      </c>
      <c r="B5949" t="inlineStr">
        <is>
          <t>LN200844</t>
        </is>
      </c>
      <c r="C5949" t="n">
        <v>8</v>
      </c>
      <c r="D5949" s="8" t="n">
        <v>46089</v>
      </c>
      <c r="E5949" s="9" t="n">
        <v>10347.94</v>
      </c>
      <c r="F5949" s="8" t="n">
        <v>46087</v>
      </c>
      <c r="G5949" s="9" t="n">
        <v>10347.94</v>
      </c>
      <c r="H5949" t="inlineStr">
        <is>
          <t>PAID_ON_TIME</t>
        </is>
      </c>
      <c r="I5949">
        <f>IF(H5949="UNPAID", AsOfDate-D5949, 0)</f>
        <v/>
      </c>
      <c r="J5949">
        <f>IF(F5949&lt;&gt;"", TEXT(F5949, "yyyy-mm"), "")</f>
        <v/>
      </c>
    </row>
    <row r="5950">
      <c r="A5950" t="inlineStr">
        <is>
          <t>RP0005949</t>
        </is>
      </c>
      <c r="B5950" t="inlineStr">
        <is>
          <t>LN200844</t>
        </is>
      </c>
      <c r="C5950" t="n">
        <v>9</v>
      </c>
      <c r="D5950" s="8" t="n">
        <v>46120</v>
      </c>
      <c r="E5950" s="9" t="n">
        <v>10347.94</v>
      </c>
      <c r="F5950" s="8" t="n">
        <v>46124</v>
      </c>
      <c r="G5950" s="9" t="n">
        <v>10347.94</v>
      </c>
      <c r="H5950" t="inlineStr">
        <is>
          <t>PAID_ON_TIME</t>
        </is>
      </c>
      <c r="I5950">
        <f>IF(H5950="UNPAID", AsOfDate-D5950, 0)</f>
        <v/>
      </c>
      <c r="J5950">
        <f>IF(F5950&lt;&gt;"", TEXT(F5950, "yyyy-mm"), "")</f>
        <v/>
      </c>
    </row>
    <row r="5951">
      <c r="A5951" t="inlineStr">
        <is>
          <t>RP0005950</t>
        </is>
      </c>
      <c r="B5951" t="inlineStr">
        <is>
          <t>LN200845</t>
        </is>
      </c>
      <c r="C5951" t="n">
        <v>1</v>
      </c>
      <c r="D5951" s="8" t="n">
        <v>46116</v>
      </c>
      <c r="E5951" s="9" t="n">
        <v>11339.61</v>
      </c>
      <c r="F5951" s="8" t="n">
        <v>46119</v>
      </c>
      <c r="G5951" s="9" t="n">
        <v>11339.61</v>
      </c>
      <c r="H5951" t="inlineStr">
        <is>
          <t>PAID_ON_TIME</t>
        </is>
      </c>
      <c r="I5951">
        <f>IF(H5951="UNPAID", AsOfDate-D5951, 0)</f>
        <v/>
      </c>
      <c r="J5951">
        <f>IF(F5951&lt;&gt;"", TEXT(F5951, "yyyy-mm"), "")</f>
        <v/>
      </c>
    </row>
    <row r="5952">
      <c r="A5952" t="inlineStr">
        <is>
          <t>RP0005951</t>
        </is>
      </c>
      <c r="B5952" t="inlineStr">
        <is>
          <t>LN200845</t>
        </is>
      </c>
      <c r="C5952" t="n">
        <v>2</v>
      </c>
      <c r="D5952" s="8" t="n">
        <v>46146</v>
      </c>
      <c r="E5952" s="9" t="n">
        <v>11339.61</v>
      </c>
      <c r="F5952" s="8" t="n">
        <v>46144</v>
      </c>
      <c r="G5952" s="9" t="n">
        <v>11339.61</v>
      </c>
      <c r="H5952" t="inlineStr">
        <is>
          <t>PAID_ON_TIME</t>
        </is>
      </c>
      <c r="I5952">
        <f>IF(H5952="UNPAID", AsOfDate-D5952, 0)</f>
        <v/>
      </c>
      <c r="J5952">
        <f>IF(F5952&lt;&gt;"", TEXT(F5952, "yyyy-mm"), "")</f>
        <v/>
      </c>
    </row>
    <row r="5953">
      <c r="A5953" t="inlineStr">
        <is>
          <t>RP0005952</t>
        </is>
      </c>
      <c r="B5953" t="inlineStr">
        <is>
          <t>LN200845</t>
        </is>
      </c>
      <c r="C5953" t="n">
        <v>3</v>
      </c>
      <c r="D5953" s="8" t="n">
        <v>46177</v>
      </c>
      <c r="E5953" s="9" t="n">
        <v>11339.61</v>
      </c>
      <c r="F5953" s="8" t="n">
        <v>46177</v>
      </c>
      <c r="G5953" s="9" t="n">
        <v>11339.61</v>
      </c>
      <c r="H5953" t="inlineStr">
        <is>
          <t>PAID_ON_TIME</t>
        </is>
      </c>
      <c r="I5953">
        <f>IF(H5953="UNPAID", AsOfDate-D5953, 0)</f>
        <v/>
      </c>
      <c r="J5953">
        <f>IF(F5953&lt;&gt;"", TEXT(F5953, "yyyy-mm"), "")</f>
        <v/>
      </c>
    </row>
    <row r="5954">
      <c r="A5954" t="inlineStr">
        <is>
          <t>RP0005953</t>
        </is>
      </c>
      <c r="B5954" t="inlineStr">
        <is>
          <t>LN200845</t>
        </is>
      </c>
      <c r="C5954" t="n">
        <v>4</v>
      </c>
      <c r="D5954" s="8" t="n">
        <v>46207</v>
      </c>
      <c r="E5954" s="9" t="n">
        <v>11339.61</v>
      </c>
      <c r="F5954" s="8" t="n">
        <v>46207</v>
      </c>
      <c r="G5954" s="9" t="n">
        <v>11339.61</v>
      </c>
      <c r="H5954" t="inlineStr">
        <is>
          <t>PAID_ON_TIME</t>
        </is>
      </c>
      <c r="I5954">
        <f>IF(H5954="UNPAID", AsOfDate-D5954, 0)</f>
        <v/>
      </c>
      <c r="J5954">
        <f>IF(F5954&lt;&gt;"", TEXT(F5954, "yyyy-mm"), "")</f>
        <v/>
      </c>
    </row>
    <row r="5955">
      <c r="A5955" t="inlineStr">
        <is>
          <t>RP0005954</t>
        </is>
      </c>
      <c r="B5955" t="inlineStr">
        <is>
          <t>LN200845</t>
        </is>
      </c>
      <c r="C5955" t="n">
        <v>5</v>
      </c>
      <c r="D5955" s="8" t="n">
        <v>46238</v>
      </c>
      <c r="E5955" s="9" t="n">
        <v>11339.61</v>
      </c>
      <c r="F5955" s="8" t="n">
        <v>46235</v>
      </c>
      <c r="G5955" s="9" t="n">
        <v>11339.61</v>
      </c>
      <c r="H5955" t="inlineStr">
        <is>
          <t>PAID_ON_TIME</t>
        </is>
      </c>
      <c r="I5955">
        <f>IF(H5955="UNPAID", AsOfDate-D5955, 0)</f>
        <v/>
      </c>
      <c r="J5955">
        <f>IF(F5955&lt;&gt;"", TEXT(F5955, "yyyy-mm"), "")</f>
        <v/>
      </c>
    </row>
    <row r="5956">
      <c r="A5956" t="inlineStr">
        <is>
          <t>RP0005955</t>
        </is>
      </c>
      <c r="B5956" t="inlineStr">
        <is>
          <t>LN200845</t>
        </is>
      </c>
      <c r="C5956" t="n">
        <v>6</v>
      </c>
      <c r="D5956" s="8" t="n">
        <v>46269</v>
      </c>
      <c r="E5956" s="9" t="n">
        <v>11339.61</v>
      </c>
      <c r="F5956" s="8" t="n"/>
      <c r="G5956" s="9" t="n">
        <v>0</v>
      </c>
      <c r="H5956" t="inlineStr">
        <is>
          <t>NOT_DUE</t>
        </is>
      </c>
      <c r="I5956">
        <f>IF(H5956="UNPAID", AsOfDate-D5956, 0)</f>
        <v/>
      </c>
      <c r="J5956">
        <f>IF(F5956&lt;&gt;"", TEXT(F5956, "yyyy-mm"), "")</f>
        <v/>
      </c>
    </row>
    <row r="5957">
      <c r="A5957" t="inlineStr">
        <is>
          <t>RP0005956</t>
        </is>
      </c>
      <c r="B5957" t="inlineStr">
        <is>
          <t>LN200845</t>
        </is>
      </c>
      <c r="C5957" t="n">
        <v>7</v>
      </c>
      <c r="D5957" s="8" t="n">
        <v>46299</v>
      </c>
      <c r="E5957" s="9" t="n">
        <v>11339.61</v>
      </c>
      <c r="F5957" s="8" t="n"/>
      <c r="G5957" s="9" t="n">
        <v>0</v>
      </c>
      <c r="H5957" t="inlineStr">
        <is>
          <t>NOT_DUE</t>
        </is>
      </c>
      <c r="I5957">
        <f>IF(H5957="UNPAID", AsOfDate-D5957, 0)</f>
        <v/>
      </c>
      <c r="J5957">
        <f>IF(F5957&lt;&gt;"", TEXT(F5957, "yyyy-mm"), "")</f>
        <v/>
      </c>
    </row>
    <row r="5958">
      <c r="A5958" t="inlineStr">
        <is>
          <t>RP0005957</t>
        </is>
      </c>
      <c r="B5958" t="inlineStr">
        <is>
          <t>LN200845</t>
        </is>
      </c>
      <c r="C5958" t="n">
        <v>8</v>
      </c>
      <c r="D5958" s="8" t="n">
        <v>46330</v>
      </c>
      <c r="E5958" s="9" t="n">
        <v>11339.61</v>
      </c>
      <c r="F5958" s="8" t="n"/>
      <c r="G5958" s="9" t="n">
        <v>0</v>
      </c>
      <c r="H5958" t="inlineStr">
        <is>
          <t>NOT_DUE</t>
        </is>
      </c>
      <c r="I5958">
        <f>IF(H5958="UNPAID", AsOfDate-D5958, 0)</f>
        <v/>
      </c>
      <c r="J5958">
        <f>IF(F5958&lt;&gt;"", TEXT(F5958, "yyyy-mm"), "")</f>
        <v/>
      </c>
    </row>
    <row r="5959">
      <c r="A5959" t="inlineStr">
        <is>
          <t>RP0005958</t>
        </is>
      </c>
      <c r="B5959" t="inlineStr">
        <is>
          <t>LN200845</t>
        </is>
      </c>
      <c r="C5959" t="n">
        <v>9</v>
      </c>
      <c r="D5959" s="8" t="n">
        <v>46360</v>
      </c>
      <c r="E5959" s="9" t="n">
        <v>11339.61</v>
      </c>
      <c r="F5959" s="8" t="n"/>
      <c r="G5959" s="9" t="n">
        <v>0</v>
      </c>
      <c r="H5959" t="inlineStr">
        <is>
          <t>NOT_DUE</t>
        </is>
      </c>
      <c r="I5959">
        <f>IF(H5959="UNPAID", AsOfDate-D5959, 0)</f>
        <v/>
      </c>
      <c r="J5959">
        <f>IF(F5959&lt;&gt;"", TEXT(F5959, "yyyy-mm"), "")</f>
        <v/>
      </c>
    </row>
    <row r="5960">
      <c r="A5960" t="inlineStr">
        <is>
          <t>RP0005959</t>
        </is>
      </c>
      <c r="B5960" t="inlineStr">
        <is>
          <t>LN200846</t>
        </is>
      </c>
      <c r="C5960" t="n">
        <v>1</v>
      </c>
      <c r="D5960" s="8" t="n">
        <v>46084</v>
      </c>
      <c r="E5960" s="9" t="n">
        <v>31555.28</v>
      </c>
      <c r="F5960" s="8" t="n">
        <v>46083</v>
      </c>
      <c r="G5960" s="9" t="n">
        <v>31555.28</v>
      </c>
      <c r="H5960" t="inlineStr">
        <is>
          <t>PAID_ON_TIME</t>
        </is>
      </c>
      <c r="I5960">
        <f>IF(H5960="UNPAID", AsOfDate-D5960, 0)</f>
        <v/>
      </c>
      <c r="J5960">
        <f>IF(F5960&lt;&gt;"", TEXT(F5960, "yyyy-mm"), "")</f>
        <v/>
      </c>
    </row>
    <row r="5961">
      <c r="A5961" t="inlineStr">
        <is>
          <t>RP0005960</t>
        </is>
      </c>
      <c r="B5961" t="inlineStr">
        <is>
          <t>LN200846</t>
        </is>
      </c>
      <c r="C5961" t="n">
        <v>2</v>
      </c>
      <c r="D5961" s="8" t="n">
        <v>46115</v>
      </c>
      <c r="E5961" s="9" t="n">
        <v>31555.28</v>
      </c>
      <c r="F5961" s="8" t="n">
        <v>46114</v>
      </c>
      <c r="G5961" s="9" t="n">
        <v>31555.28</v>
      </c>
      <c r="H5961" t="inlineStr">
        <is>
          <t>PAID_ON_TIME</t>
        </is>
      </c>
      <c r="I5961">
        <f>IF(H5961="UNPAID", AsOfDate-D5961, 0)</f>
        <v/>
      </c>
      <c r="J5961">
        <f>IF(F5961&lt;&gt;"", TEXT(F5961, "yyyy-mm"), "")</f>
        <v/>
      </c>
    </row>
    <row r="5962">
      <c r="A5962" t="inlineStr">
        <is>
          <t>RP0005961</t>
        </is>
      </c>
      <c r="B5962" t="inlineStr">
        <is>
          <t>LN200846</t>
        </is>
      </c>
      <c r="C5962" t="n">
        <v>3</v>
      </c>
      <c r="D5962" s="8" t="n">
        <v>46145</v>
      </c>
      <c r="E5962" s="9" t="n">
        <v>31555.28</v>
      </c>
      <c r="F5962" s="8" t="n">
        <v>46142</v>
      </c>
      <c r="G5962" s="9" t="n">
        <v>31555.28</v>
      </c>
      <c r="H5962" t="inlineStr">
        <is>
          <t>PAID_ON_TIME</t>
        </is>
      </c>
      <c r="I5962">
        <f>IF(H5962="UNPAID", AsOfDate-D5962, 0)</f>
        <v/>
      </c>
      <c r="J5962">
        <f>IF(F5962&lt;&gt;"", TEXT(F5962, "yyyy-mm"), "")</f>
        <v/>
      </c>
    </row>
    <row r="5963">
      <c r="A5963" t="inlineStr">
        <is>
          <t>RP0005962</t>
        </is>
      </c>
      <c r="B5963" t="inlineStr">
        <is>
          <t>LN200846</t>
        </is>
      </c>
      <c r="C5963" t="n">
        <v>4</v>
      </c>
      <c r="D5963" s="8" t="n">
        <v>46176</v>
      </c>
      <c r="E5963" s="9" t="n">
        <v>31555.28</v>
      </c>
      <c r="F5963" s="8" t="n">
        <v>46176</v>
      </c>
      <c r="G5963" s="9" t="n">
        <v>31555.28</v>
      </c>
      <c r="H5963" t="inlineStr">
        <is>
          <t>PAID_ON_TIME</t>
        </is>
      </c>
      <c r="I5963">
        <f>IF(H5963="UNPAID", AsOfDate-D5963, 0)</f>
        <v/>
      </c>
      <c r="J5963">
        <f>IF(F5963&lt;&gt;"", TEXT(F5963, "yyyy-mm"), "")</f>
        <v/>
      </c>
    </row>
    <row r="5964">
      <c r="A5964" t="inlineStr">
        <is>
          <t>RP0005963</t>
        </is>
      </c>
      <c r="B5964" t="inlineStr">
        <is>
          <t>LN200846</t>
        </is>
      </c>
      <c r="C5964" t="n">
        <v>5</v>
      </c>
      <c r="D5964" s="8" t="n">
        <v>46206</v>
      </c>
      <c r="E5964" s="9" t="n">
        <v>31555.28</v>
      </c>
      <c r="F5964" s="8" t="n">
        <v>46204</v>
      </c>
      <c r="G5964" s="9" t="n">
        <v>31555.28</v>
      </c>
      <c r="H5964" t="inlineStr">
        <is>
          <t>PAID_ON_TIME</t>
        </is>
      </c>
      <c r="I5964">
        <f>IF(H5964="UNPAID", AsOfDate-D5964, 0)</f>
        <v/>
      </c>
      <c r="J5964">
        <f>IF(F5964&lt;&gt;"", TEXT(F5964, "yyyy-mm"), "")</f>
        <v/>
      </c>
    </row>
    <row r="5965">
      <c r="A5965" t="inlineStr">
        <is>
          <t>RP0005964</t>
        </is>
      </c>
      <c r="B5965" t="inlineStr">
        <is>
          <t>LN200846</t>
        </is>
      </c>
      <c r="C5965" t="n">
        <v>6</v>
      </c>
      <c r="D5965" s="8" t="n">
        <v>46237</v>
      </c>
      <c r="E5965" s="9" t="n">
        <v>31555.28</v>
      </c>
      <c r="F5965" s="8" t="n">
        <v>46234</v>
      </c>
      <c r="G5965" s="9" t="n">
        <v>31555.28</v>
      </c>
      <c r="H5965" t="inlineStr">
        <is>
          <t>PAID_ON_TIME</t>
        </is>
      </c>
      <c r="I5965">
        <f>IF(H5965="UNPAID", AsOfDate-D5965, 0)</f>
        <v/>
      </c>
      <c r="J5965">
        <f>IF(F5965&lt;&gt;"", TEXT(F5965, "yyyy-mm"), "")</f>
        <v/>
      </c>
    </row>
    <row r="5966">
      <c r="A5966" t="inlineStr">
        <is>
          <t>RP0005965</t>
        </is>
      </c>
      <c r="B5966" t="inlineStr">
        <is>
          <t>LN200846</t>
        </is>
      </c>
      <c r="C5966" t="n">
        <v>7</v>
      </c>
      <c r="D5966" s="8" t="n">
        <v>46268</v>
      </c>
      <c r="E5966" s="9" t="n">
        <v>31555.28</v>
      </c>
      <c r="F5966" s="8" t="n"/>
      <c r="G5966" s="9" t="n">
        <v>0</v>
      </c>
      <c r="H5966" t="inlineStr">
        <is>
          <t>NOT_DUE</t>
        </is>
      </c>
      <c r="I5966">
        <f>IF(H5966="UNPAID", AsOfDate-D5966, 0)</f>
        <v/>
      </c>
      <c r="J5966">
        <f>IF(F5966&lt;&gt;"", TEXT(F5966, "yyyy-mm"), "")</f>
        <v/>
      </c>
    </row>
    <row r="5967">
      <c r="A5967" t="inlineStr">
        <is>
          <t>RP0005966</t>
        </is>
      </c>
      <c r="B5967" t="inlineStr">
        <is>
          <t>LN200846</t>
        </is>
      </c>
      <c r="C5967" t="n">
        <v>8</v>
      </c>
      <c r="D5967" s="8" t="n">
        <v>46298</v>
      </c>
      <c r="E5967" s="9" t="n">
        <v>31555.28</v>
      </c>
      <c r="F5967" s="8" t="n"/>
      <c r="G5967" s="9" t="n">
        <v>0</v>
      </c>
      <c r="H5967" t="inlineStr">
        <is>
          <t>NOT_DUE</t>
        </is>
      </c>
      <c r="I5967">
        <f>IF(H5967="UNPAID", AsOfDate-D5967, 0)</f>
        <v/>
      </c>
      <c r="J5967">
        <f>IF(F5967&lt;&gt;"", TEXT(F5967, "yyyy-mm"), "")</f>
        <v/>
      </c>
    </row>
    <row r="5968">
      <c r="A5968" t="inlineStr">
        <is>
          <t>RP0005967</t>
        </is>
      </c>
      <c r="B5968" t="inlineStr">
        <is>
          <t>LN200846</t>
        </is>
      </c>
      <c r="C5968" t="n">
        <v>9</v>
      </c>
      <c r="D5968" s="8" t="n">
        <v>46329</v>
      </c>
      <c r="E5968" s="9" t="n">
        <v>31555.28</v>
      </c>
      <c r="F5968" s="8" t="n"/>
      <c r="G5968" s="9" t="n">
        <v>0</v>
      </c>
      <c r="H5968" t="inlineStr">
        <is>
          <t>NOT_DUE</t>
        </is>
      </c>
      <c r="I5968">
        <f>IF(H5968="UNPAID", AsOfDate-D5968, 0)</f>
        <v/>
      </c>
      <c r="J5968">
        <f>IF(F5968&lt;&gt;"", TEXT(F5968, "yyyy-mm"), "")</f>
        <v/>
      </c>
    </row>
    <row r="5969">
      <c r="A5969" t="inlineStr">
        <is>
          <t>RP0005968</t>
        </is>
      </c>
      <c r="B5969" t="inlineStr">
        <is>
          <t>LN200846</t>
        </is>
      </c>
      <c r="C5969" t="n">
        <v>10</v>
      </c>
      <c r="D5969" s="8" t="n">
        <v>46359</v>
      </c>
      <c r="E5969" s="9" t="n">
        <v>31555.28</v>
      </c>
      <c r="F5969" s="8" t="n"/>
      <c r="G5969" s="9" t="n">
        <v>0</v>
      </c>
      <c r="H5969" t="inlineStr">
        <is>
          <t>NOT_DUE</t>
        </is>
      </c>
      <c r="I5969">
        <f>IF(H5969="UNPAID", AsOfDate-D5969, 0)</f>
        <v/>
      </c>
      <c r="J5969">
        <f>IF(F5969&lt;&gt;"", TEXT(F5969, "yyyy-mm"), "")</f>
        <v/>
      </c>
    </row>
    <row r="5970">
      <c r="A5970" t="inlineStr">
        <is>
          <t>RP0005969</t>
        </is>
      </c>
      <c r="B5970" t="inlineStr">
        <is>
          <t>LN200846</t>
        </is>
      </c>
      <c r="C5970" t="n">
        <v>11</v>
      </c>
      <c r="D5970" s="8" t="n">
        <v>46390</v>
      </c>
      <c r="E5970" s="9" t="n">
        <v>31555.28</v>
      </c>
      <c r="F5970" s="8" t="n"/>
      <c r="G5970" s="9" t="n">
        <v>0</v>
      </c>
      <c r="H5970" t="inlineStr">
        <is>
          <t>NOT_DUE</t>
        </is>
      </c>
      <c r="I5970">
        <f>IF(H5970="UNPAID", AsOfDate-D5970, 0)</f>
        <v/>
      </c>
      <c r="J5970">
        <f>IF(F5970&lt;&gt;"", TEXT(F5970, "yyyy-mm"), "")</f>
        <v/>
      </c>
    </row>
    <row r="5971">
      <c r="A5971" t="inlineStr">
        <is>
          <t>RP0005970</t>
        </is>
      </c>
      <c r="B5971" t="inlineStr">
        <is>
          <t>LN200846</t>
        </is>
      </c>
      <c r="C5971" t="n">
        <v>12</v>
      </c>
      <c r="D5971" s="8" t="n">
        <v>46421</v>
      </c>
      <c r="E5971" s="9" t="n">
        <v>31555.28</v>
      </c>
      <c r="F5971" s="8" t="n"/>
      <c r="G5971" s="9" t="n">
        <v>0</v>
      </c>
      <c r="H5971" t="inlineStr">
        <is>
          <t>NOT_DUE</t>
        </is>
      </c>
      <c r="I5971">
        <f>IF(H5971="UNPAID", AsOfDate-D5971, 0)</f>
        <v/>
      </c>
      <c r="J5971">
        <f>IF(F5971&lt;&gt;"", TEXT(F5971, "yyyy-mm"), "")</f>
        <v/>
      </c>
    </row>
    <row r="5972">
      <c r="A5972" t="inlineStr">
        <is>
          <t>RP0005971</t>
        </is>
      </c>
      <c r="B5972" t="inlineStr">
        <is>
          <t>LN200846</t>
        </is>
      </c>
      <c r="C5972" t="n">
        <v>13</v>
      </c>
      <c r="D5972" s="8" t="n">
        <v>46449</v>
      </c>
      <c r="E5972" s="9" t="n">
        <v>31555.28</v>
      </c>
      <c r="F5972" s="8" t="n"/>
      <c r="G5972" s="9" t="n">
        <v>0</v>
      </c>
      <c r="H5972" t="inlineStr">
        <is>
          <t>NOT_DUE</t>
        </is>
      </c>
      <c r="I5972">
        <f>IF(H5972="UNPAID", AsOfDate-D5972, 0)</f>
        <v/>
      </c>
      <c r="J5972">
        <f>IF(F5972&lt;&gt;"", TEXT(F5972, "yyyy-mm"), "")</f>
        <v/>
      </c>
    </row>
    <row r="5973">
      <c r="A5973" t="inlineStr">
        <is>
          <t>RP0005972</t>
        </is>
      </c>
      <c r="B5973" t="inlineStr">
        <is>
          <t>LN200846</t>
        </is>
      </c>
      <c r="C5973" t="n">
        <v>14</v>
      </c>
      <c r="D5973" s="8" t="n">
        <v>46480</v>
      </c>
      <c r="E5973" s="9" t="n">
        <v>31555.28</v>
      </c>
      <c r="F5973" s="8" t="n"/>
      <c r="G5973" s="9" t="n">
        <v>0</v>
      </c>
      <c r="H5973" t="inlineStr">
        <is>
          <t>NOT_DUE</t>
        </is>
      </c>
      <c r="I5973">
        <f>IF(H5973="UNPAID", AsOfDate-D5973, 0)</f>
        <v/>
      </c>
      <c r="J5973">
        <f>IF(F5973&lt;&gt;"", TEXT(F5973, "yyyy-mm"), "")</f>
        <v/>
      </c>
    </row>
    <row r="5974">
      <c r="A5974" t="inlineStr">
        <is>
          <t>RP0005973</t>
        </is>
      </c>
      <c r="B5974" t="inlineStr">
        <is>
          <t>LN200846</t>
        </is>
      </c>
      <c r="C5974" t="n">
        <v>15</v>
      </c>
      <c r="D5974" s="8" t="n">
        <v>46510</v>
      </c>
      <c r="E5974" s="9" t="n">
        <v>31555.28</v>
      </c>
      <c r="F5974" s="8" t="n"/>
      <c r="G5974" s="9" t="n">
        <v>0</v>
      </c>
      <c r="H5974" t="inlineStr">
        <is>
          <t>NOT_DUE</t>
        </is>
      </c>
      <c r="I5974">
        <f>IF(H5974="UNPAID", AsOfDate-D5974, 0)</f>
        <v/>
      </c>
      <c r="J5974">
        <f>IF(F5974&lt;&gt;"", TEXT(F5974, "yyyy-mm"), "")</f>
        <v/>
      </c>
    </row>
    <row r="5975">
      <c r="A5975" t="inlineStr">
        <is>
          <t>RP0005974</t>
        </is>
      </c>
      <c r="B5975" t="inlineStr">
        <is>
          <t>LN200846</t>
        </is>
      </c>
      <c r="C5975" t="n">
        <v>16</v>
      </c>
      <c r="D5975" s="8" t="n">
        <v>46541</v>
      </c>
      <c r="E5975" s="9" t="n">
        <v>31555.28</v>
      </c>
      <c r="F5975" s="8" t="n"/>
      <c r="G5975" s="9" t="n">
        <v>0</v>
      </c>
      <c r="H5975" t="inlineStr">
        <is>
          <t>NOT_DUE</t>
        </is>
      </c>
      <c r="I5975">
        <f>IF(H5975="UNPAID", AsOfDate-D5975, 0)</f>
        <v/>
      </c>
      <c r="J5975">
        <f>IF(F5975&lt;&gt;"", TEXT(F5975, "yyyy-mm"), "")</f>
        <v/>
      </c>
    </row>
    <row r="5976">
      <c r="A5976" t="inlineStr">
        <is>
          <t>RP0005975</t>
        </is>
      </c>
      <c r="B5976" t="inlineStr">
        <is>
          <t>LN200846</t>
        </is>
      </c>
      <c r="C5976" t="n">
        <v>17</v>
      </c>
      <c r="D5976" s="8" t="n">
        <v>46571</v>
      </c>
      <c r="E5976" s="9" t="n">
        <v>31555.28</v>
      </c>
      <c r="F5976" s="8" t="n"/>
      <c r="G5976" s="9" t="n">
        <v>0</v>
      </c>
      <c r="H5976" t="inlineStr">
        <is>
          <t>NOT_DUE</t>
        </is>
      </c>
      <c r="I5976">
        <f>IF(H5976="UNPAID", AsOfDate-D5976, 0)</f>
        <v/>
      </c>
      <c r="J5976">
        <f>IF(F5976&lt;&gt;"", TEXT(F5976, "yyyy-mm"), "")</f>
        <v/>
      </c>
    </row>
    <row r="5977">
      <c r="A5977" t="inlineStr">
        <is>
          <t>RP0005976</t>
        </is>
      </c>
      <c r="B5977" t="inlineStr">
        <is>
          <t>LN200846</t>
        </is>
      </c>
      <c r="C5977" t="n">
        <v>18</v>
      </c>
      <c r="D5977" s="8" t="n">
        <v>46602</v>
      </c>
      <c r="E5977" s="9" t="n">
        <v>31555.28</v>
      </c>
      <c r="F5977" s="8" t="n"/>
      <c r="G5977" s="9" t="n">
        <v>0</v>
      </c>
      <c r="H5977" t="inlineStr">
        <is>
          <t>NOT_DUE</t>
        </is>
      </c>
      <c r="I5977">
        <f>IF(H5977="UNPAID", AsOfDate-D5977, 0)</f>
        <v/>
      </c>
      <c r="J5977">
        <f>IF(F5977&lt;&gt;"", TEXT(F5977, "yyyy-mm"), "")</f>
        <v/>
      </c>
    </row>
    <row r="5978">
      <c r="A5978" t="inlineStr">
        <is>
          <t>RP0005977</t>
        </is>
      </c>
      <c r="B5978" t="inlineStr">
        <is>
          <t>LN200847</t>
        </is>
      </c>
      <c r="C5978" t="n">
        <v>1</v>
      </c>
      <c r="D5978" s="8" t="n">
        <v>46135</v>
      </c>
      <c r="E5978" s="9" t="n">
        <v>38038</v>
      </c>
      <c r="F5978" s="8" t="n">
        <v>46134</v>
      </c>
      <c r="G5978" s="9" t="n">
        <v>38038</v>
      </c>
      <c r="H5978" t="inlineStr">
        <is>
          <t>PAID_ON_TIME</t>
        </is>
      </c>
      <c r="I5978">
        <f>IF(H5978="UNPAID", AsOfDate-D5978, 0)</f>
        <v/>
      </c>
      <c r="J5978">
        <f>IF(F5978&lt;&gt;"", TEXT(F5978, "yyyy-mm"), "")</f>
        <v/>
      </c>
    </row>
    <row r="5979">
      <c r="A5979" t="inlineStr">
        <is>
          <t>RP0005978</t>
        </is>
      </c>
      <c r="B5979" t="inlineStr">
        <is>
          <t>LN200847</t>
        </is>
      </c>
      <c r="C5979" t="n">
        <v>2</v>
      </c>
      <c r="D5979" s="8" t="n">
        <v>46165</v>
      </c>
      <c r="E5979" s="9" t="n">
        <v>38038</v>
      </c>
      <c r="F5979" s="8" t="n">
        <v>46165</v>
      </c>
      <c r="G5979" s="9" t="n">
        <v>38038</v>
      </c>
      <c r="H5979" t="inlineStr">
        <is>
          <t>PAID_ON_TIME</t>
        </is>
      </c>
      <c r="I5979">
        <f>IF(H5979="UNPAID", AsOfDate-D5979, 0)</f>
        <v/>
      </c>
      <c r="J5979">
        <f>IF(F5979&lt;&gt;"", TEXT(F5979, "yyyy-mm"), "")</f>
        <v/>
      </c>
    </row>
    <row r="5980">
      <c r="A5980" t="inlineStr">
        <is>
          <t>RP0005979</t>
        </is>
      </c>
      <c r="B5980" t="inlineStr">
        <is>
          <t>LN200847</t>
        </is>
      </c>
      <c r="C5980" t="n">
        <v>3</v>
      </c>
      <c r="D5980" s="8" t="n">
        <v>46196</v>
      </c>
      <c r="E5980" s="9" t="n">
        <v>38038</v>
      </c>
      <c r="F5980" s="8" t="n">
        <v>46193</v>
      </c>
      <c r="G5980" s="9" t="n">
        <v>38038</v>
      </c>
      <c r="H5980" t="inlineStr">
        <is>
          <t>PAID_ON_TIME</t>
        </is>
      </c>
      <c r="I5980">
        <f>IF(H5980="UNPAID", AsOfDate-D5980, 0)</f>
        <v/>
      </c>
      <c r="J5980">
        <f>IF(F5980&lt;&gt;"", TEXT(F5980, "yyyy-mm"), "")</f>
        <v/>
      </c>
    </row>
    <row r="5981">
      <c r="A5981" t="inlineStr">
        <is>
          <t>RP0005980</t>
        </is>
      </c>
      <c r="B5981" t="inlineStr">
        <is>
          <t>LN200847</t>
        </is>
      </c>
      <c r="C5981" t="n">
        <v>4</v>
      </c>
      <c r="D5981" s="8" t="n">
        <v>46226</v>
      </c>
      <c r="E5981" s="9" t="n">
        <v>38038</v>
      </c>
      <c r="F5981" s="8" t="n">
        <v>46228</v>
      </c>
      <c r="G5981" s="9" t="n">
        <v>38038</v>
      </c>
      <c r="H5981" t="inlineStr">
        <is>
          <t>PAID_ON_TIME</t>
        </is>
      </c>
      <c r="I5981">
        <f>IF(H5981="UNPAID", AsOfDate-D5981, 0)</f>
        <v/>
      </c>
      <c r="J5981">
        <f>IF(F5981&lt;&gt;"", TEXT(F5981, "yyyy-mm"), "")</f>
        <v/>
      </c>
    </row>
    <row r="5982">
      <c r="A5982" t="inlineStr">
        <is>
          <t>RP0005981</t>
        </is>
      </c>
      <c r="B5982" t="inlineStr">
        <is>
          <t>LN200847</t>
        </is>
      </c>
      <c r="C5982" t="n">
        <v>5</v>
      </c>
      <c r="D5982" s="8" t="n">
        <v>46257</v>
      </c>
      <c r="E5982" s="9" t="n">
        <v>38038</v>
      </c>
      <c r="F5982" s="8" t="n">
        <v>46259</v>
      </c>
      <c r="G5982" s="9" t="n">
        <v>38038</v>
      </c>
      <c r="H5982" t="inlineStr">
        <is>
          <t>PAID_ON_TIME</t>
        </is>
      </c>
      <c r="I5982">
        <f>IF(H5982="UNPAID", AsOfDate-D5982, 0)</f>
        <v/>
      </c>
      <c r="J5982">
        <f>IF(F5982&lt;&gt;"", TEXT(F5982, "yyyy-mm"), "")</f>
        <v/>
      </c>
    </row>
    <row r="5983">
      <c r="A5983" t="inlineStr">
        <is>
          <t>RP0005982</t>
        </is>
      </c>
      <c r="B5983" t="inlineStr">
        <is>
          <t>LN200847</t>
        </is>
      </c>
      <c r="C5983" t="n">
        <v>6</v>
      </c>
      <c r="D5983" s="8" t="n">
        <v>46288</v>
      </c>
      <c r="E5983" s="9" t="n">
        <v>38038</v>
      </c>
      <c r="F5983" s="8" t="n"/>
      <c r="G5983" s="9" t="n">
        <v>0</v>
      </c>
      <c r="H5983" t="inlineStr">
        <is>
          <t>NOT_DUE</t>
        </is>
      </c>
      <c r="I5983">
        <f>IF(H5983="UNPAID", AsOfDate-D5983, 0)</f>
        <v/>
      </c>
      <c r="J5983">
        <f>IF(F5983&lt;&gt;"", TEXT(F5983, "yyyy-mm"), "")</f>
        <v/>
      </c>
    </row>
    <row r="5984">
      <c r="A5984" t="inlineStr">
        <is>
          <t>RP0005983</t>
        </is>
      </c>
      <c r="B5984" t="inlineStr">
        <is>
          <t>LN200849</t>
        </is>
      </c>
      <c r="C5984" t="n">
        <v>1</v>
      </c>
      <c r="D5984" s="8" t="n">
        <v>45739</v>
      </c>
      <c r="E5984" s="9" t="n">
        <v>2634.33</v>
      </c>
      <c r="F5984" s="8" t="n">
        <v>45741</v>
      </c>
      <c r="G5984" s="9" t="n">
        <v>2634.33</v>
      </c>
      <c r="H5984" t="inlineStr">
        <is>
          <t>PAID_ON_TIME</t>
        </is>
      </c>
      <c r="I5984">
        <f>IF(H5984="UNPAID", AsOfDate-D5984, 0)</f>
        <v/>
      </c>
      <c r="J5984">
        <f>IF(F5984&lt;&gt;"", TEXT(F5984, "yyyy-mm"), "")</f>
        <v/>
      </c>
    </row>
    <row r="5985">
      <c r="A5985" t="inlineStr">
        <is>
          <t>RP0005984</t>
        </is>
      </c>
      <c r="B5985" t="inlineStr">
        <is>
          <t>LN200849</t>
        </is>
      </c>
      <c r="C5985" t="n">
        <v>2</v>
      </c>
      <c r="D5985" s="8" t="n">
        <v>45770</v>
      </c>
      <c r="E5985" s="9" t="n">
        <v>2634.33</v>
      </c>
      <c r="F5985" s="8" t="n">
        <v>45864</v>
      </c>
      <c r="G5985" s="9" t="n">
        <v>2634.33</v>
      </c>
      <c r="H5985" t="inlineStr">
        <is>
          <t>PAID_LATE</t>
        </is>
      </c>
      <c r="I5985">
        <f>IF(H5985="UNPAID", AsOfDate-D5985, 0)</f>
        <v/>
      </c>
      <c r="J5985">
        <f>IF(F5985&lt;&gt;"", TEXT(F5985, "yyyy-mm"), "")</f>
        <v/>
      </c>
    </row>
    <row r="5986">
      <c r="A5986" t="inlineStr">
        <is>
          <t>RP0005985</t>
        </is>
      </c>
      <c r="B5986" t="inlineStr">
        <is>
          <t>LN200849</t>
        </is>
      </c>
      <c r="C5986" t="n">
        <v>3</v>
      </c>
      <c r="D5986" s="8" t="n">
        <v>45800</v>
      </c>
      <c r="E5986" s="9" t="n">
        <v>2634.33</v>
      </c>
      <c r="F5986" s="8" t="n">
        <v>45798</v>
      </c>
      <c r="G5986" s="9" t="n">
        <v>2634.33</v>
      </c>
      <c r="H5986" t="inlineStr">
        <is>
          <t>PAID_ON_TIME</t>
        </is>
      </c>
      <c r="I5986">
        <f>IF(H5986="UNPAID", AsOfDate-D5986, 0)</f>
        <v/>
      </c>
      <c r="J5986">
        <f>IF(F5986&lt;&gt;"", TEXT(F5986, "yyyy-mm"), "")</f>
        <v/>
      </c>
    </row>
    <row r="5987">
      <c r="A5987" t="inlineStr">
        <is>
          <t>RP0005986</t>
        </is>
      </c>
      <c r="B5987" t="inlineStr">
        <is>
          <t>LN200849</t>
        </is>
      </c>
      <c r="C5987" t="n">
        <v>4</v>
      </c>
      <c r="D5987" s="8" t="n">
        <v>45831</v>
      </c>
      <c r="E5987" s="9" t="n">
        <v>2634.33</v>
      </c>
      <c r="F5987" s="8" t="n">
        <v>45834</v>
      </c>
      <c r="G5987" s="9" t="n">
        <v>2634.33</v>
      </c>
      <c r="H5987" t="inlineStr">
        <is>
          <t>PAID_ON_TIME</t>
        </is>
      </c>
      <c r="I5987">
        <f>IF(H5987="UNPAID", AsOfDate-D5987, 0)</f>
        <v/>
      </c>
      <c r="J5987">
        <f>IF(F5987&lt;&gt;"", TEXT(F5987, "yyyy-mm"), "")</f>
        <v/>
      </c>
    </row>
    <row r="5988">
      <c r="A5988" t="inlineStr">
        <is>
          <t>RP0005987</t>
        </is>
      </c>
      <c r="B5988" t="inlineStr">
        <is>
          <t>LN200849</t>
        </is>
      </c>
      <c r="C5988" t="n">
        <v>5</v>
      </c>
      <c r="D5988" s="8" t="n">
        <v>45861</v>
      </c>
      <c r="E5988" s="9" t="n">
        <v>2634.33</v>
      </c>
      <c r="F5988" s="8" t="n">
        <v>45859</v>
      </c>
      <c r="G5988" s="9" t="n">
        <v>2634.33</v>
      </c>
      <c r="H5988" t="inlineStr">
        <is>
          <t>PAID_ON_TIME</t>
        </is>
      </c>
      <c r="I5988">
        <f>IF(H5988="UNPAID", AsOfDate-D5988, 0)</f>
        <v/>
      </c>
      <c r="J5988">
        <f>IF(F5988&lt;&gt;"", TEXT(F5988, "yyyy-mm"), "")</f>
        <v/>
      </c>
    </row>
    <row r="5989">
      <c r="A5989" t="inlineStr">
        <is>
          <t>RP0005988</t>
        </is>
      </c>
      <c r="B5989" t="inlineStr">
        <is>
          <t>LN200849</t>
        </is>
      </c>
      <c r="C5989" t="n">
        <v>6</v>
      </c>
      <c r="D5989" s="8" t="n">
        <v>45892</v>
      </c>
      <c r="E5989" s="9" t="n">
        <v>2634.33</v>
      </c>
      <c r="F5989" s="8" t="n">
        <v>45894</v>
      </c>
      <c r="G5989" s="9" t="n">
        <v>2634.33</v>
      </c>
      <c r="H5989" t="inlineStr">
        <is>
          <t>PAID_ON_TIME</t>
        </is>
      </c>
      <c r="I5989">
        <f>IF(H5989="UNPAID", AsOfDate-D5989, 0)</f>
        <v/>
      </c>
      <c r="J5989">
        <f>IF(F5989&lt;&gt;"", TEXT(F5989, "yyyy-mm"), "")</f>
        <v/>
      </c>
    </row>
    <row r="5990">
      <c r="A5990" t="inlineStr">
        <is>
          <t>RP0005989</t>
        </is>
      </c>
      <c r="B5990" t="inlineStr">
        <is>
          <t>LN200849</t>
        </is>
      </c>
      <c r="C5990" t="n">
        <v>7</v>
      </c>
      <c r="D5990" s="8" t="n">
        <v>45923</v>
      </c>
      <c r="E5990" s="9" t="n">
        <v>2634.33</v>
      </c>
      <c r="F5990" s="8" t="n">
        <v>45977</v>
      </c>
      <c r="G5990" s="9" t="n">
        <v>2634.33</v>
      </c>
      <c r="H5990" t="inlineStr">
        <is>
          <t>PAID_LATE</t>
        </is>
      </c>
      <c r="I5990">
        <f>IF(H5990="UNPAID", AsOfDate-D5990, 0)</f>
        <v/>
      </c>
      <c r="J5990">
        <f>IF(F5990&lt;&gt;"", TEXT(F5990, "yyyy-mm"), "")</f>
        <v/>
      </c>
    </row>
    <row r="5991">
      <c r="A5991" t="inlineStr">
        <is>
          <t>RP0005990</t>
        </is>
      </c>
      <c r="B5991" t="inlineStr">
        <is>
          <t>LN200849</t>
        </is>
      </c>
      <c r="C5991" t="n">
        <v>8</v>
      </c>
      <c r="D5991" s="8" t="n">
        <v>45953</v>
      </c>
      <c r="E5991" s="9" t="n">
        <v>2634.33</v>
      </c>
      <c r="F5991" s="8" t="n">
        <v>45957</v>
      </c>
      <c r="G5991" s="9" t="n">
        <v>2634.33</v>
      </c>
      <c r="H5991" t="inlineStr">
        <is>
          <t>PAID_ON_TIME</t>
        </is>
      </c>
      <c r="I5991">
        <f>IF(H5991="UNPAID", AsOfDate-D5991, 0)</f>
        <v/>
      </c>
      <c r="J5991">
        <f>IF(F5991&lt;&gt;"", TEXT(F5991, "yyyy-mm"), "")</f>
        <v/>
      </c>
    </row>
    <row r="5992">
      <c r="A5992" t="inlineStr">
        <is>
          <t>RP0005991</t>
        </is>
      </c>
      <c r="B5992" t="inlineStr">
        <is>
          <t>LN200849</t>
        </is>
      </c>
      <c r="C5992" t="n">
        <v>9</v>
      </c>
      <c r="D5992" s="8" t="n">
        <v>45984</v>
      </c>
      <c r="E5992" s="9" t="n">
        <v>2634.33</v>
      </c>
      <c r="F5992" s="8" t="n">
        <v>45988</v>
      </c>
      <c r="G5992" s="9" t="n">
        <v>2634.33</v>
      </c>
      <c r="H5992" t="inlineStr">
        <is>
          <t>PAID_ON_TIME</t>
        </is>
      </c>
      <c r="I5992">
        <f>IF(H5992="UNPAID", AsOfDate-D5992, 0)</f>
        <v/>
      </c>
      <c r="J5992">
        <f>IF(F5992&lt;&gt;"", TEXT(F5992, "yyyy-mm"), "")</f>
        <v/>
      </c>
    </row>
    <row r="5993">
      <c r="A5993" t="inlineStr">
        <is>
          <t>RP0005992</t>
        </is>
      </c>
      <c r="B5993" t="inlineStr">
        <is>
          <t>LN200849</t>
        </is>
      </c>
      <c r="C5993" t="n">
        <v>10</v>
      </c>
      <c r="D5993" s="8" t="n">
        <v>46014</v>
      </c>
      <c r="E5993" s="9" t="n">
        <v>2634.33</v>
      </c>
      <c r="F5993" s="8" t="n">
        <v>46013</v>
      </c>
      <c r="G5993" s="9" t="n">
        <v>2634.33</v>
      </c>
      <c r="H5993" t="inlineStr">
        <is>
          <t>PAID_ON_TIME</t>
        </is>
      </c>
      <c r="I5993">
        <f>IF(H5993="UNPAID", AsOfDate-D5993, 0)</f>
        <v/>
      </c>
      <c r="J5993">
        <f>IF(F5993&lt;&gt;"", TEXT(F5993, "yyyy-mm"), "")</f>
        <v/>
      </c>
    </row>
    <row r="5994">
      <c r="A5994" t="inlineStr">
        <is>
          <t>RP0005993</t>
        </is>
      </c>
      <c r="B5994" t="inlineStr">
        <is>
          <t>LN200849</t>
        </is>
      </c>
      <c r="C5994" t="n">
        <v>11</v>
      </c>
      <c r="D5994" s="8" t="n">
        <v>46045</v>
      </c>
      <c r="E5994" s="9" t="n">
        <v>2634.33</v>
      </c>
      <c r="F5994" s="8" t="n">
        <v>46047</v>
      </c>
      <c r="G5994" s="9" t="n">
        <v>2634.33</v>
      </c>
      <c r="H5994" t="inlineStr">
        <is>
          <t>PAID_ON_TIME</t>
        </is>
      </c>
      <c r="I5994">
        <f>IF(H5994="UNPAID", AsOfDate-D5994, 0)</f>
        <v/>
      </c>
      <c r="J5994">
        <f>IF(F5994&lt;&gt;"", TEXT(F5994, "yyyy-mm"), "")</f>
        <v/>
      </c>
    </row>
    <row r="5995">
      <c r="A5995" t="inlineStr">
        <is>
          <t>RP0005994</t>
        </is>
      </c>
      <c r="B5995" t="inlineStr">
        <is>
          <t>LN200849</t>
        </is>
      </c>
      <c r="C5995" t="n">
        <v>12</v>
      </c>
      <c r="D5995" s="8" t="n">
        <v>46076</v>
      </c>
      <c r="E5995" s="9" t="n">
        <v>2634.33</v>
      </c>
      <c r="F5995" s="8" t="n">
        <v>46136</v>
      </c>
      <c r="G5995" s="9" t="n">
        <v>2634.33</v>
      </c>
      <c r="H5995" t="inlineStr">
        <is>
          <t>PAID_LATE</t>
        </is>
      </c>
      <c r="I5995">
        <f>IF(H5995="UNPAID", AsOfDate-D5995, 0)</f>
        <v/>
      </c>
      <c r="J5995">
        <f>IF(F5995&lt;&gt;"", TEXT(F5995, "yyyy-mm"), "")</f>
        <v/>
      </c>
    </row>
    <row r="5996">
      <c r="A5996" t="inlineStr">
        <is>
          <t>RP0005995</t>
        </is>
      </c>
      <c r="B5996" t="inlineStr">
        <is>
          <t>LN200850</t>
        </is>
      </c>
      <c r="C5996" t="n">
        <v>1</v>
      </c>
      <c r="D5996" s="8" t="n">
        <v>46197</v>
      </c>
      <c r="E5996" s="9" t="n">
        <v>8036.25</v>
      </c>
      <c r="F5996" s="8" t="n">
        <v>46263</v>
      </c>
      <c r="G5996" s="9" t="n">
        <v>8036.25</v>
      </c>
      <c r="H5996" t="inlineStr">
        <is>
          <t>PAID_LATE</t>
        </is>
      </c>
      <c r="I5996">
        <f>IF(H5996="UNPAID", AsOfDate-D5996, 0)</f>
        <v/>
      </c>
      <c r="J5996">
        <f>IF(F5996&lt;&gt;"", TEXT(F5996, "yyyy-mm"), "")</f>
        <v/>
      </c>
    </row>
    <row r="5997">
      <c r="A5997" t="inlineStr">
        <is>
          <t>RP0005996</t>
        </is>
      </c>
      <c r="B5997" t="inlineStr">
        <is>
          <t>LN200850</t>
        </is>
      </c>
      <c r="C5997" t="n">
        <v>2</v>
      </c>
      <c r="D5997" s="8" t="n">
        <v>46227</v>
      </c>
      <c r="E5997" s="9" t="n">
        <v>8036.25</v>
      </c>
      <c r="F5997" s="8" t="n">
        <v>46231</v>
      </c>
      <c r="G5997" s="9" t="n">
        <v>8036.25</v>
      </c>
      <c r="H5997" t="inlineStr">
        <is>
          <t>PAID_ON_TIME</t>
        </is>
      </c>
      <c r="I5997">
        <f>IF(H5997="UNPAID", AsOfDate-D5997, 0)</f>
        <v/>
      </c>
      <c r="J5997">
        <f>IF(F5997&lt;&gt;"", TEXT(F5997, "yyyy-mm"), "")</f>
        <v/>
      </c>
    </row>
    <row r="5998">
      <c r="A5998" t="inlineStr">
        <is>
          <t>RP0005997</t>
        </is>
      </c>
      <c r="B5998" t="inlineStr">
        <is>
          <t>LN200850</t>
        </is>
      </c>
      <c r="C5998" t="n">
        <v>3</v>
      </c>
      <c r="D5998" s="8" t="n">
        <v>46258</v>
      </c>
      <c r="E5998" s="9" t="n">
        <v>8036.25</v>
      </c>
      <c r="F5998" s="8" t="n"/>
      <c r="G5998" s="9" t="n">
        <v>0</v>
      </c>
      <c r="H5998" t="inlineStr">
        <is>
          <t>UNPAID</t>
        </is>
      </c>
      <c r="I5998">
        <f>IF(H5998="UNPAID", AsOfDate-D5998, 0)</f>
        <v/>
      </c>
      <c r="J5998">
        <f>IF(F5998&lt;&gt;"", TEXT(F5998, "yyyy-mm"), "")</f>
        <v/>
      </c>
    </row>
    <row r="5999">
      <c r="A5999" t="inlineStr">
        <is>
          <t>RP0005998</t>
        </is>
      </c>
      <c r="B5999" t="inlineStr">
        <is>
          <t>LN200850</t>
        </is>
      </c>
      <c r="C5999" t="n">
        <v>4</v>
      </c>
      <c r="D5999" s="8" t="n">
        <v>46289</v>
      </c>
      <c r="E5999" s="9" t="n">
        <v>8036.25</v>
      </c>
      <c r="F5999" s="8" t="n"/>
      <c r="G5999" s="9" t="n">
        <v>0</v>
      </c>
      <c r="H5999" t="inlineStr">
        <is>
          <t>NOT_DUE</t>
        </is>
      </c>
      <c r="I5999">
        <f>IF(H5999="UNPAID", AsOfDate-D5999, 0)</f>
        <v/>
      </c>
      <c r="J5999">
        <f>IF(F5999&lt;&gt;"", TEXT(F5999, "yyyy-mm"), "")</f>
        <v/>
      </c>
    </row>
    <row r="6000">
      <c r="A6000" t="inlineStr">
        <is>
          <t>RP0005999</t>
        </is>
      </c>
      <c r="B6000" t="inlineStr">
        <is>
          <t>LN200850</t>
        </is>
      </c>
      <c r="C6000" t="n">
        <v>5</v>
      </c>
      <c r="D6000" s="8" t="n">
        <v>46319</v>
      </c>
      <c r="E6000" s="9" t="n">
        <v>8036.25</v>
      </c>
      <c r="F6000" s="8" t="n"/>
      <c r="G6000" s="9" t="n">
        <v>0</v>
      </c>
      <c r="H6000" t="inlineStr">
        <is>
          <t>NOT_DUE</t>
        </is>
      </c>
      <c r="I6000">
        <f>IF(H6000="UNPAID", AsOfDate-D6000, 0)</f>
        <v/>
      </c>
      <c r="J6000">
        <f>IF(F6000&lt;&gt;"", TEXT(F6000, "yyyy-mm"), "")</f>
        <v/>
      </c>
    </row>
    <row r="6001">
      <c r="A6001" t="inlineStr">
        <is>
          <t>RP0006000</t>
        </is>
      </c>
      <c r="B6001" t="inlineStr">
        <is>
          <t>LN200850</t>
        </is>
      </c>
      <c r="C6001" t="n">
        <v>6</v>
      </c>
      <c r="D6001" s="8" t="n">
        <v>46350</v>
      </c>
      <c r="E6001" s="9" t="n">
        <v>8036.25</v>
      </c>
      <c r="F6001" s="8" t="n"/>
      <c r="G6001" s="9" t="n">
        <v>0</v>
      </c>
      <c r="H6001" t="inlineStr">
        <is>
          <t>NOT_DUE</t>
        </is>
      </c>
      <c r="I6001">
        <f>IF(H6001="UNPAID", AsOfDate-D6001, 0)</f>
        <v/>
      </c>
      <c r="J6001">
        <f>IF(F6001&lt;&gt;"", TEXT(F6001, "yyyy-mm"), "")</f>
        <v/>
      </c>
    </row>
    <row r="6002">
      <c r="A6002" t="inlineStr">
        <is>
          <t>RP0006001</t>
        </is>
      </c>
      <c r="B6002" t="inlineStr">
        <is>
          <t>LN200851</t>
        </is>
      </c>
      <c r="C6002" t="n">
        <v>1</v>
      </c>
      <c r="D6002" s="8" t="n">
        <v>46052</v>
      </c>
      <c r="E6002" s="9" t="n">
        <v>38107.67</v>
      </c>
      <c r="F6002" s="8" t="n">
        <v>46053</v>
      </c>
      <c r="G6002" s="9" t="n">
        <v>38107.67</v>
      </c>
      <c r="H6002" t="inlineStr">
        <is>
          <t>PAID_ON_TIME</t>
        </is>
      </c>
      <c r="I6002">
        <f>IF(H6002="UNPAID", AsOfDate-D6002, 0)</f>
        <v/>
      </c>
      <c r="J6002">
        <f>IF(F6002&lt;&gt;"", TEXT(F6002, "yyyy-mm"), "")</f>
        <v/>
      </c>
    </row>
    <row r="6003">
      <c r="A6003" t="inlineStr">
        <is>
          <t>RP0006002</t>
        </is>
      </c>
      <c r="B6003" t="inlineStr">
        <is>
          <t>LN200851</t>
        </is>
      </c>
      <c r="C6003" t="n">
        <v>2</v>
      </c>
      <c r="D6003" s="8" t="n">
        <v>46081</v>
      </c>
      <c r="E6003" s="9" t="n">
        <v>38107.67</v>
      </c>
      <c r="F6003" s="8" t="n">
        <v>46084</v>
      </c>
      <c r="G6003" s="9" t="n">
        <v>38107.67</v>
      </c>
      <c r="H6003" t="inlineStr">
        <is>
          <t>PAID_ON_TIME</t>
        </is>
      </c>
      <c r="I6003">
        <f>IF(H6003="UNPAID", AsOfDate-D6003, 0)</f>
        <v/>
      </c>
      <c r="J6003">
        <f>IF(F6003&lt;&gt;"", TEXT(F6003, "yyyy-mm"), "")</f>
        <v/>
      </c>
    </row>
    <row r="6004">
      <c r="A6004" t="inlineStr">
        <is>
          <t>RP0006003</t>
        </is>
      </c>
      <c r="B6004" t="inlineStr">
        <is>
          <t>LN200851</t>
        </is>
      </c>
      <c r="C6004" t="n">
        <v>3</v>
      </c>
      <c r="D6004" s="8" t="n">
        <v>46111</v>
      </c>
      <c r="E6004" s="9" t="n">
        <v>38107.67</v>
      </c>
      <c r="F6004" s="8" t="n">
        <v>46113</v>
      </c>
      <c r="G6004" s="9" t="n">
        <v>38107.67</v>
      </c>
      <c r="H6004" t="inlineStr">
        <is>
          <t>PAID_ON_TIME</t>
        </is>
      </c>
      <c r="I6004">
        <f>IF(H6004="UNPAID", AsOfDate-D6004, 0)</f>
        <v/>
      </c>
      <c r="J6004">
        <f>IF(F6004&lt;&gt;"", TEXT(F6004, "yyyy-mm"), "")</f>
        <v/>
      </c>
    </row>
    <row r="6005">
      <c r="A6005" t="inlineStr">
        <is>
          <t>RP0006004</t>
        </is>
      </c>
      <c r="B6005" t="inlineStr">
        <is>
          <t>LN200851</t>
        </is>
      </c>
      <c r="C6005" t="n">
        <v>4</v>
      </c>
      <c r="D6005" s="8" t="n">
        <v>46142</v>
      </c>
      <c r="E6005" s="9" t="n">
        <v>38107.67</v>
      </c>
      <c r="F6005" s="8" t="n">
        <v>46146</v>
      </c>
      <c r="G6005" s="9" t="n">
        <v>38107.67</v>
      </c>
      <c r="H6005" t="inlineStr">
        <is>
          <t>PAID_ON_TIME</t>
        </is>
      </c>
      <c r="I6005">
        <f>IF(H6005="UNPAID", AsOfDate-D6005, 0)</f>
        <v/>
      </c>
      <c r="J6005">
        <f>IF(F6005&lt;&gt;"", TEXT(F6005, "yyyy-mm"), "")</f>
        <v/>
      </c>
    </row>
    <row r="6006">
      <c r="A6006" t="inlineStr">
        <is>
          <t>RP0006005</t>
        </is>
      </c>
      <c r="B6006" t="inlineStr">
        <is>
          <t>LN200851</t>
        </is>
      </c>
      <c r="C6006" t="n">
        <v>5</v>
      </c>
      <c r="D6006" s="8" t="n">
        <v>46172</v>
      </c>
      <c r="E6006" s="9" t="n">
        <v>38107.67</v>
      </c>
      <c r="F6006" s="8" t="n">
        <v>46174</v>
      </c>
      <c r="G6006" s="9" t="n">
        <v>38107.67</v>
      </c>
      <c r="H6006" t="inlineStr">
        <is>
          <t>PAID_ON_TIME</t>
        </is>
      </c>
      <c r="I6006">
        <f>IF(H6006="UNPAID", AsOfDate-D6006, 0)</f>
        <v/>
      </c>
      <c r="J6006">
        <f>IF(F6006&lt;&gt;"", TEXT(F6006, "yyyy-mm"), "")</f>
        <v/>
      </c>
    </row>
    <row r="6007">
      <c r="A6007" t="inlineStr">
        <is>
          <t>RP0006006</t>
        </is>
      </c>
      <c r="B6007" t="inlineStr">
        <is>
          <t>LN200851</t>
        </is>
      </c>
      <c r="C6007" t="n">
        <v>6</v>
      </c>
      <c r="D6007" s="8" t="n">
        <v>46203</v>
      </c>
      <c r="E6007" s="9" t="n">
        <v>38107.67</v>
      </c>
      <c r="F6007" s="8" t="n">
        <v>46207</v>
      </c>
      <c r="G6007" s="9" t="n">
        <v>38107.67</v>
      </c>
      <c r="H6007" t="inlineStr">
        <is>
          <t>PAID_ON_TIME</t>
        </is>
      </c>
      <c r="I6007">
        <f>IF(H6007="UNPAID", AsOfDate-D6007, 0)</f>
        <v/>
      </c>
      <c r="J6007">
        <f>IF(F6007&lt;&gt;"", TEXT(F6007, "yyyy-mm"), "")</f>
        <v/>
      </c>
    </row>
    <row r="6008">
      <c r="A6008" t="inlineStr">
        <is>
          <t>RP0006007</t>
        </is>
      </c>
      <c r="B6008" t="inlineStr">
        <is>
          <t>LN200852</t>
        </is>
      </c>
      <c r="C6008" t="n">
        <v>1</v>
      </c>
      <c r="D6008" s="8" t="n">
        <v>45986</v>
      </c>
      <c r="E6008" s="9" t="n">
        <v>36981.53</v>
      </c>
      <c r="F6008" s="8" t="n">
        <v>45986</v>
      </c>
      <c r="G6008" s="9" t="n">
        <v>36981.53</v>
      </c>
      <c r="H6008" t="inlineStr">
        <is>
          <t>PAID_ON_TIME</t>
        </is>
      </c>
      <c r="I6008">
        <f>IF(H6008="UNPAID", AsOfDate-D6008, 0)</f>
        <v/>
      </c>
      <c r="J6008">
        <f>IF(F6008&lt;&gt;"", TEXT(F6008, "yyyy-mm"), "")</f>
        <v/>
      </c>
    </row>
    <row r="6009">
      <c r="A6009" t="inlineStr">
        <is>
          <t>RP0006008</t>
        </is>
      </c>
      <c r="B6009" t="inlineStr">
        <is>
          <t>LN200852</t>
        </is>
      </c>
      <c r="C6009" t="n">
        <v>2</v>
      </c>
      <c r="D6009" s="8" t="n">
        <v>46016</v>
      </c>
      <c r="E6009" s="9" t="n">
        <v>36981.53</v>
      </c>
      <c r="F6009" s="8" t="n">
        <v>46020</v>
      </c>
      <c r="G6009" s="9" t="n">
        <v>36981.53</v>
      </c>
      <c r="H6009" t="inlineStr">
        <is>
          <t>PAID_ON_TIME</t>
        </is>
      </c>
      <c r="I6009">
        <f>IF(H6009="UNPAID", AsOfDate-D6009, 0)</f>
        <v/>
      </c>
      <c r="J6009">
        <f>IF(F6009&lt;&gt;"", TEXT(F6009, "yyyy-mm"), "")</f>
        <v/>
      </c>
    </row>
    <row r="6010">
      <c r="A6010" t="inlineStr">
        <is>
          <t>RP0006009</t>
        </is>
      </c>
      <c r="B6010" t="inlineStr">
        <is>
          <t>LN200852</t>
        </is>
      </c>
      <c r="C6010" t="n">
        <v>3</v>
      </c>
      <c r="D6010" s="8" t="n">
        <v>46047</v>
      </c>
      <c r="E6010" s="9" t="n">
        <v>36981.53</v>
      </c>
      <c r="F6010" s="8" t="n">
        <v>46048</v>
      </c>
      <c r="G6010" s="9" t="n">
        <v>36981.53</v>
      </c>
      <c r="H6010" t="inlineStr">
        <is>
          <t>PAID_LATE</t>
        </is>
      </c>
      <c r="I6010">
        <f>IF(H6010="UNPAID", AsOfDate-D6010, 0)</f>
        <v/>
      </c>
      <c r="J6010">
        <f>IF(F6010&lt;&gt;"", TEXT(F6010, "yyyy-mm"), "")</f>
        <v/>
      </c>
    </row>
    <row r="6011">
      <c r="A6011" t="inlineStr">
        <is>
          <t>RP0006010</t>
        </is>
      </c>
      <c r="B6011" t="inlineStr">
        <is>
          <t>LN200852</t>
        </is>
      </c>
      <c r="C6011" t="n">
        <v>4</v>
      </c>
      <c r="D6011" s="8" t="n">
        <v>46078</v>
      </c>
      <c r="E6011" s="9" t="n">
        <v>36981.53</v>
      </c>
      <c r="F6011" s="8" t="n">
        <v>46080</v>
      </c>
      <c r="G6011" s="9" t="n">
        <v>36981.53</v>
      </c>
      <c r="H6011" t="inlineStr">
        <is>
          <t>PAID_ON_TIME</t>
        </is>
      </c>
      <c r="I6011">
        <f>IF(H6011="UNPAID", AsOfDate-D6011, 0)</f>
        <v/>
      </c>
      <c r="J6011">
        <f>IF(F6011&lt;&gt;"", TEXT(F6011, "yyyy-mm"), "")</f>
        <v/>
      </c>
    </row>
    <row r="6012">
      <c r="A6012" t="inlineStr">
        <is>
          <t>RP0006011</t>
        </is>
      </c>
      <c r="B6012" t="inlineStr">
        <is>
          <t>LN200852</t>
        </is>
      </c>
      <c r="C6012" t="n">
        <v>5</v>
      </c>
      <c r="D6012" s="8" t="n">
        <v>46106</v>
      </c>
      <c r="E6012" s="9" t="n">
        <v>36981.53</v>
      </c>
      <c r="F6012" s="8" t="n">
        <v>46106</v>
      </c>
      <c r="G6012" s="9" t="n">
        <v>36981.53</v>
      </c>
      <c r="H6012" t="inlineStr">
        <is>
          <t>PAID_ON_TIME</t>
        </is>
      </c>
      <c r="I6012">
        <f>IF(H6012="UNPAID", AsOfDate-D6012, 0)</f>
        <v/>
      </c>
      <c r="J6012">
        <f>IF(F6012&lt;&gt;"", TEXT(F6012, "yyyy-mm"), "")</f>
        <v/>
      </c>
    </row>
    <row r="6013">
      <c r="A6013" t="inlineStr">
        <is>
          <t>RP0006012</t>
        </is>
      </c>
      <c r="B6013" t="inlineStr">
        <is>
          <t>LN200852</t>
        </is>
      </c>
      <c r="C6013" t="n">
        <v>6</v>
      </c>
      <c r="D6013" s="8" t="n">
        <v>46137</v>
      </c>
      <c r="E6013" s="9" t="n">
        <v>36981.53</v>
      </c>
      <c r="F6013" s="8" t="n">
        <v>46136</v>
      </c>
      <c r="G6013" s="9" t="n">
        <v>36981.53</v>
      </c>
      <c r="H6013" t="inlineStr">
        <is>
          <t>PAID_ON_TIME</t>
        </is>
      </c>
      <c r="I6013">
        <f>IF(H6013="UNPAID", AsOfDate-D6013, 0)</f>
        <v/>
      </c>
      <c r="J6013">
        <f>IF(F6013&lt;&gt;"", TEXT(F6013, "yyyy-mm"), "")</f>
        <v/>
      </c>
    </row>
    <row r="6014">
      <c r="A6014" t="inlineStr">
        <is>
          <t>RP0006013</t>
        </is>
      </c>
      <c r="B6014" t="inlineStr">
        <is>
          <t>LN200852</t>
        </is>
      </c>
      <c r="C6014" t="n">
        <v>7</v>
      </c>
      <c r="D6014" s="8" t="n">
        <v>46167</v>
      </c>
      <c r="E6014" s="9" t="n">
        <v>36981.53</v>
      </c>
      <c r="F6014" s="8" t="n">
        <v>46164</v>
      </c>
      <c r="G6014" s="9" t="n">
        <v>36981.53</v>
      </c>
      <c r="H6014" t="inlineStr">
        <is>
          <t>PAID_ON_TIME</t>
        </is>
      </c>
      <c r="I6014">
        <f>IF(H6014="UNPAID", AsOfDate-D6014, 0)</f>
        <v/>
      </c>
      <c r="J6014">
        <f>IF(F6014&lt;&gt;"", TEXT(F6014, "yyyy-mm"), "")</f>
        <v/>
      </c>
    </row>
    <row r="6015">
      <c r="A6015" t="inlineStr">
        <is>
          <t>RP0006014</t>
        </is>
      </c>
      <c r="B6015" t="inlineStr">
        <is>
          <t>LN200852</t>
        </is>
      </c>
      <c r="C6015" t="n">
        <v>8</v>
      </c>
      <c r="D6015" s="8" t="n">
        <v>46198</v>
      </c>
      <c r="E6015" s="9" t="n">
        <v>36981.53</v>
      </c>
      <c r="F6015" s="8" t="n">
        <v>46197</v>
      </c>
      <c r="G6015" s="9" t="n">
        <v>36981.53</v>
      </c>
      <c r="H6015" t="inlineStr">
        <is>
          <t>PAID_ON_TIME</t>
        </is>
      </c>
      <c r="I6015">
        <f>IF(H6015="UNPAID", AsOfDate-D6015, 0)</f>
        <v/>
      </c>
      <c r="J6015">
        <f>IF(F6015&lt;&gt;"", TEXT(F6015, "yyyy-mm"), "")</f>
        <v/>
      </c>
    </row>
    <row r="6016">
      <c r="A6016" t="inlineStr">
        <is>
          <t>RP0006015</t>
        </is>
      </c>
      <c r="B6016" t="inlineStr">
        <is>
          <t>LN200852</t>
        </is>
      </c>
      <c r="C6016" t="n">
        <v>9</v>
      </c>
      <c r="D6016" s="8" t="n">
        <v>46228</v>
      </c>
      <c r="E6016" s="9" t="n">
        <v>36981.53</v>
      </c>
      <c r="F6016" s="8" t="n">
        <v>46231</v>
      </c>
      <c r="G6016" s="9" t="n">
        <v>36981.53</v>
      </c>
      <c r="H6016" t="inlineStr">
        <is>
          <t>PAID_ON_TIME</t>
        </is>
      </c>
      <c r="I6016">
        <f>IF(H6016="UNPAID", AsOfDate-D6016, 0)</f>
        <v/>
      </c>
      <c r="J6016">
        <f>IF(F6016&lt;&gt;"", TEXT(F6016, "yyyy-mm"), "")</f>
        <v/>
      </c>
    </row>
    <row r="6017">
      <c r="A6017" t="inlineStr">
        <is>
          <t>RP0006016</t>
        </is>
      </c>
      <c r="B6017" t="inlineStr">
        <is>
          <t>LN200853</t>
        </is>
      </c>
      <c r="C6017" t="n">
        <v>1</v>
      </c>
      <c r="D6017" s="8" t="n">
        <v>45839</v>
      </c>
      <c r="E6017" s="9" t="n">
        <v>39820</v>
      </c>
      <c r="F6017" s="8" t="n">
        <v>45837</v>
      </c>
      <c r="G6017" s="9" t="n">
        <v>39820</v>
      </c>
      <c r="H6017" t="inlineStr">
        <is>
          <t>PAID_ON_TIME</t>
        </is>
      </c>
      <c r="I6017">
        <f>IF(H6017="UNPAID", AsOfDate-D6017, 0)</f>
        <v/>
      </c>
      <c r="J6017">
        <f>IF(F6017&lt;&gt;"", TEXT(F6017, "yyyy-mm"), "")</f>
        <v/>
      </c>
    </row>
    <row r="6018">
      <c r="A6018" t="inlineStr">
        <is>
          <t>RP0006017</t>
        </is>
      </c>
      <c r="B6018" t="inlineStr">
        <is>
          <t>LN200853</t>
        </is>
      </c>
      <c r="C6018" t="n">
        <v>2</v>
      </c>
      <c r="D6018" s="8" t="n">
        <v>45870</v>
      </c>
      <c r="E6018" s="9" t="n">
        <v>39820</v>
      </c>
      <c r="F6018" s="8" t="n">
        <v>45872</v>
      </c>
      <c r="G6018" s="9" t="n">
        <v>39820</v>
      </c>
      <c r="H6018" t="inlineStr">
        <is>
          <t>PAID_ON_TIME</t>
        </is>
      </c>
      <c r="I6018">
        <f>IF(H6018="UNPAID", AsOfDate-D6018, 0)</f>
        <v/>
      </c>
      <c r="J6018">
        <f>IF(F6018&lt;&gt;"", TEXT(F6018, "yyyy-mm"), "")</f>
        <v/>
      </c>
    </row>
    <row r="6019">
      <c r="A6019" t="inlineStr">
        <is>
          <t>RP0006018</t>
        </is>
      </c>
      <c r="B6019" t="inlineStr">
        <is>
          <t>LN200853</t>
        </is>
      </c>
      <c r="C6019" t="n">
        <v>3</v>
      </c>
      <c r="D6019" s="8" t="n">
        <v>45901</v>
      </c>
      <c r="E6019" s="9" t="n">
        <v>39820</v>
      </c>
      <c r="F6019" s="8" t="n">
        <v>45899</v>
      </c>
      <c r="G6019" s="9" t="n">
        <v>39820</v>
      </c>
      <c r="H6019" t="inlineStr">
        <is>
          <t>PAID_ON_TIME</t>
        </is>
      </c>
      <c r="I6019">
        <f>IF(H6019="UNPAID", AsOfDate-D6019, 0)</f>
        <v/>
      </c>
      <c r="J6019">
        <f>IF(F6019&lt;&gt;"", TEXT(F6019, "yyyy-mm"), "")</f>
        <v/>
      </c>
    </row>
    <row r="6020">
      <c r="A6020" t="inlineStr">
        <is>
          <t>RP0006019</t>
        </is>
      </c>
      <c r="B6020" t="inlineStr">
        <is>
          <t>LN200853</t>
        </is>
      </c>
      <c r="C6020" t="n">
        <v>4</v>
      </c>
      <c r="D6020" s="8" t="n">
        <v>45931</v>
      </c>
      <c r="E6020" s="9" t="n">
        <v>39820</v>
      </c>
      <c r="F6020" s="8" t="n">
        <v>45932</v>
      </c>
      <c r="G6020" s="9" t="n">
        <v>39820</v>
      </c>
      <c r="H6020" t="inlineStr">
        <is>
          <t>PAID_ON_TIME</t>
        </is>
      </c>
      <c r="I6020">
        <f>IF(H6020="UNPAID", AsOfDate-D6020, 0)</f>
        <v/>
      </c>
      <c r="J6020">
        <f>IF(F6020&lt;&gt;"", TEXT(F6020, "yyyy-mm"), "")</f>
        <v/>
      </c>
    </row>
    <row r="6021">
      <c r="A6021" t="inlineStr">
        <is>
          <t>RP0006020</t>
        </is>
      </c>
      <c r="B6021" t="inlineStr">
        <is>
          <t>LN200853</t>
        </is>
      </c>
      <c r="C6021" t="n">
        <v>5</v>
      </c>
      <c r="D6021" s="8" t="n">
        <v>45962</v>
      </c>
      <c r="E6021" s="9" t="n">
        <v>39820</v>
      </c>
      <c r="F6021" s="8" t="n">
        <v>45966</v>
      </c>
      <c r="G6021" s="9" t="n">
        <v>39820</v>
      </c>
      <c r="H6021" t="inlineStr">
        <is>
          <t>PAID_ON_TIME</t>
        </is>
      </c>
      <c r="I6021">
        <f>IF(H6021="UNPAID", AsOfDate-D6021, 0)</f>
        <v/>
      </c>
      <c r="J6021">
        <f>IF(F6021&lt;&gt;"", TEXT(F6021, "yyyy-mm"), "")</f>
        <v/>
      </c>
    </row>
    <row r="6022">
      <c r="A6022" t="inlineStr">
        <is>
          <t>RP0006021</t>
        </is>
      </c>
      <c r="B6022" t="inlineStr">
        <is>
          <t>LN200853</t>
        </is>
      </c>
      <c r="C6022" t="n">
        <v>6</v>
      </c>
      <c r="D6022" s="8" t="n">
        <v>45992</v>
      </c>
      <c r="E6022" s="9" t="n">
        <v>39820</v>
      </c>
      <c r="F6022" s="8" t="n">
        <v>45995</v>
      </c>
      <c r="G6022" s="9" t="n">
        <v>39820</v>
      </c>
      <c r="H6022" t="inlineStr">
        <is>
          <t>PAID_ON_TIME</t>
        </is>
      </c>
      <c r="I6022">
        <f>IF(H6022="UNPAID", AsOfDate-D6022, 0)</f>
        <v/>
      </c>
      <c r="J6022">
        <f>IF(F6022&lt;&gt;"", TEXT(F6022, "yyyy-mm"), "")</f>
        <v/>
      </c>
    </row>
    <row r="6023">
      <c r="A6023" t="inlineStr">
        <is>
          <t>RP0006022</t>
        </is>
      </c>
      <c r="B6023" t="inlineStr">
        <is>
          <t>LN200854</t>
        </is>
      </c>
      <c r="C6023" t="n">
        <v>1</v>
      </c>
      <c r="D6023" s="8" t="n">
        <v>46054</v>
      </c>
      <c r="E6023" s="9" t="n">
        <v>13307.03</v>
      </c>
      <c r="F6023" s="8" t="n">
        <v>46098</v>
      </c>
      <c r="G6023" s="9" t="n">
        <v>13307.03</v>
      </c>
      <c r="H6023" t="inlineStr">
        <is>
          <t>PAID_LATE</t>
        </is>
      </c>
      <c r="I6023">
        <f>IF(H6023="UNPAID", AsOfDate-D6023, 0)</f>
        <v/>
      </c>
      <c r="J6023">
        <f>IF(F6023&lt;&gt;"", TEXT(F6023, "yyyy-mm"), "")</f>
        <v/>
      </c>
    </row>
    <row r="6024">
      <c r="A6024" t="inlineStr">
        <is>
          <t>RP0006023</t>
        </is>
      </c>
      <c r="B6024" t="inlineStr">
        <is>
          <t>LN200854</t>
        </is>
      </c>
      <c r="C6024" t="n">
        <v>2</v>
      </c>
      <c r="D6024" s="8" t="n">
        <v>46082</v>
      </c>
      <c r="E6024" s="9" t="n">
        <v>13307.03</v>
      </c>
      <c r="F6024" s="8" t="n">
        <v>46151</v>
      </c>
      <c r="G6024" s="9" t="n">
        <v>13307.03</v>
      </c>
      <c r="H6024" t="inlineStr">
        <is>
          <t>PAID_LATE</t>
        </is>
      </c>
      <c r="I6024">
        <f>IF(H6024="UNPAID", AsOfDate-D6024, 0)</f>
        <v/>
      </c>
      <c r="J6024">
        <f>IF(F6024&lt;&gt;"", TEXT(F6024, "yyyy-mm"), "")</f>
        <v/>
      </c>
    </row>
    <row r="6025">
      <c r="A6025" t="inlineStr">
        <is>
          <t>RP0006024</t>
        </is>
      </c>
      <c r="B6025" t="inlineStr">
        <is>
          <t>LN200854</t>
        </is>
      </c>
      <c r="C6025" t="n">
        <v>3</v>
      </c>
      <c r="D6025" s="8" t="n">
        <v>46113</v>
      </c>
      <c r="E6025" s="9" t="n">
        <v>13307.03</v>
      </c>
      <c r="F6025" s="8" t="n">
        <v>46111</v>
      </c>
      <c r="G6025" s="9" t="n">
        <v>13307.03</v>
      </c>
      <c r="H6025" t="inlineStr">
        <is>
          <t>PAID_ON_TIME</t>
        </is>
      </c>
      <c r="I6025">
        <f>IF(H6025="UNPAID", AsOfDate-D6025, 0)</f>
        <v/>
      </c>
      <c r="J6025">
        <f>IF(F6025&lt;&gt;"", TEXT(F6025, "yyyy-mm"), "")</f>
        <v/>
      </c>
    </row>
    <row r="6026">
      <c r="A6026" t="inlineStr">
        <is>
          <t>RP0006025</t>
        </is>
      </c>
      <c r="B6026" t="inlineStr">
        <is>
          <t>LN200854</t>
        </is>
      </c>
      <c r="C6026" t="n">
        <v>4</v>
      </c>
      <c r="D6026" s="8" t="n">
        <v>46143</v>
      </c>
      <c r="E6026" s="9" t="n">
        <v>13307.03</v>
      </c>
      <c r="F6026" s="8" t="n">
        <v>46145</v>
      </c>
      <c r="G6026" s="9" t="n">
        <v>13307.03</v>
      </c>
      <c r="H6026" t="inlineStr">
        <is>
          <t>PAID_ON_TIME</t>
        </is>
      </c>
      <c r="I6026">
        <f>IF(H6026="UNPAID", AsOfDate-D6026, 0)</f>
        <v/>
      </c>
      <c r="J6026">
        <f>IF(F6026&lt;&gt;"", TEXT(F6026, "yyyy-mm"), "")</f>
        <v/>
      </c>
    </row>
    <row r="6027">
      <c r="A6027" t="inlineStr">
        <is>
          <t>RP0006026</t>
        </is>
      </c>
      <c r="B6027" t="inlineStr">
        <is>
          <t>LN200854</t>
        </is>
      </c>
      <c r="C6027" t="n">
        <v>5</v>
      </c>
      <c r="D6027" s="8" t="n">
        <v>46174</v>
      </c>
      <c r="E6027" s="9" t="n">
        <v>13307.03</v>
      </c>
      <c r="F6027" s="8" t="n">
        <v>46178</v>
      </c>
      <c r="G6027" s="9" t="n">
        <v>13307.03</v>
      </c>
      <c r="H6027" t="inlineStr">
        <is>
          <t>PAID_ON_TIME</t>
        </is>
      </c>
      <c r="I6027">
        <f>IF(H6027="UNPAID", AsOfDate-D6027, 0)</f>
        <v/>
      </c>
      <c r="J6027">
        <f>IF(F6027&lt;&gt;"", TEXT(F6027, "yyyy-mm"), "")</f>
        <v/>
      </c>
    </row>
    <row r="6028">
      <c r="A6028" t="inlineStr">
        <is>
          <t>RP0006027</t>
        </is>
      </c>
      <c r="B6028" t="inlineStr">
        <is>
          <t>LN200854</t>
        </is>
      </c>
      <c r="C6028" t="n">
        <v>6</v>
      </c>
      <c r="D6028" s="8" t="n">
        <v>46204</v>
      </c>
      <c r="E6028" s="9" t="n">
        <v>13307.03</v>
      </c>
      <c r="F6028" s="8" t="n">
        <v>46208</v>
      </c>
      <c r="G6028" s="9" t="n">
        <v>13307.03</v>
      </c>
      <c r="H6028" t="inlineStr">
        <is>
          <t>PAID_ON_TIME</t>
        </is>
      </c>
      <c r="I6028">
        <f>IF(H6028="UNPAID", AsOfDate-D6028, 0)</f>
        <v/>
      </c>
      <c r="J6028">
        <f>IF(F6028&lt;&gt;"", TEXT(F6028, "yyyy-mm"), "")</f>
        <v/>
      </c>
    </row>
    <row r="6029">
      <c r="A6029" t="inlineStr">
        <is>
          <t>RP0006028</t>
        </is>
      </c>
      <c r="B6029" t="inlineStr">
        <is>
          <t>LN200854</t>
        </is>
      </c>
      <c r="C6029" t="n">
        <v>7</v>
      </c>
      <c r="D6029" s="8" t="n">
        <v>46235</v>
      </c>
      <c r="E6029" s="9" t="n">
        <v>13307.03</v>
      </c>
      <c r="F6029" s="8" t="n">
        <v>46237</v>
      </c>
      <c r="G6029" s="9" t="n">
        <v>13307.03</v>
      </c>
      <c r="H6029" t="inlineStr">
        <is>
          <t>PAID_ON_TIME</t>
        </is>
      </c>
      <c r="I6029">
        <f>IF(H6029="UNPAID", AsOfDate-D6029, 0)</f>
        <v/>
      </c>
      <c r="J6029">
        <f>IF(F6029&lt;&gt;"", TEXT(F6029, "yyyy-mm"), "")</f>
        <v/>
      </c>
    </row>
    <row r="6030">
      <c r="A6030" t="inlineStr">
        <is>
          <t>RP0006029</t>
        </is>
      </c>
      <c r="B6030" t="inlineStr">
        <is>
          <t>LN200854</t>
        </is>
      </c>
      <c r="C6030" t="n">
        <v>8</v>
      </c>
      <c r="D6030" s="8" t="n">
        <v>46266</v>
      </c>
      <c r="E6030" s="9" t="n">
        <v>13307.03</v>
      </c>
      <c r="F6030" s="8" t="n"/>
      <c r="G6030" s="9" t="n">
        <v>0</v>
      </c>
      <c r="H6030" t="inlineStr">
        <is>
          <t>UNPAID</t>
        </is>
      </c>
      <c r="I6030">
        <f>IF(H6030="UNPAID", AsOfDate-D6030, 0)</f>
        <v/>
      </c>
      <c r="J6030">
        <f>IF(F6030&lt;&gt;"", TEXT(F6030, "yyyy-mm"), "")</f>
        <v/>
      </c>
    </row>
    <row r="6031">
      <c r="A6031" t="inlineStr">
        <is>
          <t>RP0006030</t>
        </is>
      </c>
      <c r="B6031" t="inlineStr">
        <is>
          <t>LN200854</t>
        </is>
      </c>
      <c r="C6031" t="n">
        <v>9</v>
      </c>
      <c r="D6031" s="8" t="n">
        <v>46296</v>
      </c>
      <c r="E6031" s="9" t="n">
        <v>13307.03</v>
      </c>
      <c r="F6031" s="8" t="n"/>
      <c r="G6031" s="9" t="n">
        <v>0</v>
      </c>
      <c r="H6031" t="inlineStr">
        <is>
          <t>NOT_DUE</t>
        </is>
      </c>
      <c r="I6031">
        <f>IF(H6031="UNPAID", AsOfDate-D6031, 0)</f>
        <v/>
      </c>
      <c r="J6031">
        <f>IF(F6031&lt;&gt;"", TEXT(F6031, "yyyy-mm"), "")</f>
        <v/>
      </c>
    </row>
    <row r="6032">
      <c r="A6032" t="inlineStr">
        <is>
          <t>RP0006031</t>
        </is>
      </c>
      <c r="B6032" t="inlineStr">
        <is>
          <t>LN200855</t>
        </is>
      </c>
      <c r="C6032" t="n">
        <v>1</v>
      </c>
      <c r="D6032" s="8" t="n">
        <v>45909</v>
      </c>
      <c r="E6032" s="9" t="n">
        <v>24424</v>
      </c>
      <c r="F6032" s="8" t="n">
        <v>45936</v>
      </c>
      <c r="G6032" s="9" t="n">
        <v>24424</v>
      </c>
      <c r="H6032" t="inlineStr">
        <is>
          <t>PAID_LATE</t>
        </is>
      </c>
      <c r="I6032">
        <f>IF(H6032="UNPAID", AsOfDate-D6032, 0)</f>
        <v/>
      </c>
      <c r="J6032">
        <f>IF(F6032&lt;&gt;"", TEXT(F6032, "yyyy-mm"), "")</f>
        <v/>
      </c>
    </row>
    <row r="6033">
      <c r="A6033" t="inlineStr">
        <is>
          <t>RP0006032</t>
        </is>
      </c>
      <c r="B6033" t="inlineStr">
        <is>
          <t>LN200855</t>
        </is>
      </c>
      <c r="C6033" t="n">
        <v>2</v>
      </c>
      <c r="D6033" s="8" t="n">
        <v>45939</v>
      </c>
      <c r="E6033" s="9" t="n">
        <v>24424</v>
      </c>
      <c r="F6033" s="8" t="n">
        <v>45940</v>
      </c>
      <c r="G6033" s="9" t="n">
        <v>24424</v>
      </c>
      <c r="H6033" t="inlineStr">
        <is>
          <t>PAID_ON_TIME</t>
        </is>
      </c>
      <c r="I6033">
        <f>IF(H6033="UNPAID", AsOfDate-D6033, 0)</f>
        <v/>
      </c>
      <c r="J6033">
        <f>IF(F6033&lt;&gt;"", TEXT(F6033, "yyyy-mm"), "")</f>
        <v/>
      </c>
    </row>
    <row r="6034">
      <c r="A6034" t="inlineStr">
        <is>
          <t>RP0006033</t>
        </is>
      </c>
      <c r="B6034" t="inlineStr">
        <is>
          <t>LN200855</t>
        </is>
      </c>
      <c r="C6034" t="n">
        <v>3</v>
      </c>
      <c r="D6034" s="8" t="n">
        <v>45970</v>
      </c>
      <c r="E6034" s="9" t="n">
        <v>24424</v>
      </c>
      <c r="F6034" s="8" t="n">
        <v>45970</v>
      </c>
      <c r="G6034" s="9" t="n">
        <v>24424</v>
      </c>
      <c r="H6034" t="inlineStr">
        <is>
          <t>PAID_ON_TIME</t>
        </is>
      </c>
      <c r="I6034">
        <f>IF(H6034="UNPAID", AsOfDate-D6034, 0)</f>
        <v/>
      </c>
      <c r="J6034">
        <f>IF(F6034&lt;&gt;"", TEXT(F6034, "yyyy-mm"), "")</f>
        <v/>
      </c>
    </row>
    <row r="6035">
      <c r="A6035" t="inlineStr">
        <is>
          <t>RP0006034</t>
        </is>
      </c>
      <c r="B6035" t="inlineStr">
        <is>
          <t>LN200856</t>
        </is>
      </c>
      <c r="C6035" t="n">
        <v>1</v>
      </c>
      <c r="D6035" s="8" t="n">
        <v>45934</v>
      </c>
      <c r="E6035" s="9" t="n">
        <v>19278</v>
      </c>
      <c r="F6035" s="8" t="n">
        <v>45932</v>
      </c>
      <c r="G6035" s="9" t="n">
        <v>19278</v>
      </c>
      <c r="H6035" t="inlineStr">
        <is>
          <t>PAID_ON_TIME</t>
        </is>
      </c>
      <c r="I6035">
        <f>IF(H6035="UNPAID", AsOfDate-D6035, 0)</f>
        <v/>
      </c>
      <c r="J6035">
        <f>IF(F6035&lt;&gt;"", TEXT(F6035, "yyyy-mm"), "")</f>
        <v/>
      </c>
    </row>
    <row r="6036">
      <c r="A6036" t="inlineStr">
        <is>
          <t>RP0006035</t>
        </is>
      </c>
      <c r="B6036" t="inlineStr">
        <is>
          <t>LN200856</t>
        </is>
      </c>
      <c r="C6036" t="n">
        <v>2</v>
      </c>
      <c r="D6036" s="8" t="n">
        <v>45965</v>
      </c>
      <c r="E6036" s="9" t="n">
        <v>19278</v>
      </c>
      <c r="F6036" s="8" t="n">
        <v>45966</v>
      </c>
      <c r="G6036" s="9" t="n">
        <v>19278</v>
      </c>
      <c r="H6036" t="inlineStr">
        <is>
          <t>PAID_ON_TIME</t>
        </is>
      </c>
      <c r="I6036">
        <f>IF(H6036="UNPAID", AsOfDate-D6036, 0)</f>
        <v/>
      </c>
      <c r="J6036">
        <f>IF(F6036&lt;&gt;"", TEXT(F6036, "yyyy-mm"), "")</f>
        <v/>
      </c>
    </row>
    <row r="6037">
      <c r="A6037" t="inlineStr">
        <is>
          <t>RP0006036</t>
        </is>
      </c>
      <c r="B6037" t="inlineStr">
        <is>
          <t>LN200856</t>
        </is>
      </c>
      <c r="C6037" t="n">
        <v>3</v>
      </c>
      <c r="D6037" s="8" t="n">
        <v>45995</v>
      </c>
      <c r="E6037" s="9" t="n">
        <v>19278</v>
      </c>
      <c r="F6037" s="8" t="n">
        <v>45999</v>
      </c>
      <c r="G6037" s="9" t="n">
        <v>19278</v>
      </c>
      <c r="H6037" t="inlineStr">
        <is>
          <t>PAID_LATE</t>
        </is>
      </c>
      <c r="I6037">
        <f>IF(H6037="UNPAID", AsOfDate-D6037, 0)</f>
        <v/>
      </c>
      <c r="J6037">
        <f>IF(F6037&lt;&gt;"", TEXT(F6037, "yyyy-mm"), "")</f>
        <v/>
      </c>
    </row>
    <row r="6038">
      <c r="A6038" t="inlineStr">
        <is>
          <t>RP0006037</t>
        </is>
      </c>
      <c r="B6038" t="inlineStr">
        <is>
          <t>LN200856</t>
        </is>
      </c>
      <c r="C6038" t="n">
        <v>4</v>
      </c>
      <c r="D6038" s="8" t="n">
        <v>46026</v>
      </c>
      <c r="E6038" s="9" t="n">
        <v>19278</v>
      </c>
      <c r="F6038" s="8" t="n">
        <v>46027</v>
      </c>
      <c r="G6038" s="9" t="n">
        <v>19278</v>
      </c>
      <c r="H6038" t="inlineStr">
        <is>
          <t>PAID_ON_TIME</t>
        </is>
      </c>
      <c r="I6038">
        <f>IF(H6038="UNPAID", AsOfDate-D6038, 0)</f>
        <v/>
      </c>
      <c r="J6038">
        <f>IF(F6038&lt;&gt;"", TEXT(F6038, "yyyy-mm"), "")</f>
        <v/>
      </c>
    </row>
    <row r="6039">
      <c r="A6039" t="inlineStr">
        <is>
          <t>RP0006038</t>
        </is>
      </c>
      <c r="B6039" t="inlineStr">
        <is>
          <t>LN200856</t>
        </is>
      </c>
      <c r="C6039" t="n">
        <v>5</v>
      </c>
      <c r="D6039" s="8" t="n">
        <v>46057</v>
      </c>
      <c r="E6039" s="9" t="n">
        <v>19278</v>
      </c>
      <c r="F6039" s="8" t="n">
        <v>46054</v>
      </c>
      <c r="G6039" s="9" t="n">
        <v>19278</v>
      </c>
      <c r="H6039" t="inlineStr">
        <is>
          <t>PAID_ON_TIME</t>
        </is>
      </c>
      <c r="I6039">
        <f>IF(H6039="UNPAID", AsOfDate-D6039, 0)</f>
        <v/>
      </c>
      <c r="J6039">
        <f>IF(F6039&lt;&gt;"", TEXT(F6039, "yyyy-mm"), "")</f>
        <v/>
      </c>
    </row>
    <row r="6040">
      <c r="A6040" t="inlineStr">
        <is>
          <t>RP0006039</t>
        </is>
      </c>
      <c r="B6040" t="inlineStr">
        <is>
          <t>LN200856</t>
        </is>
      </c>
      <c r="C6040" t="n">
        <v>6</v>
      </c>
      <c r="D6040" s="8" t="n">
        <v>46085</v>
      </c>
      <c r="E6040" s="9" t="n">
        <v>19278</v>
      </c>
      <c r="F6040" s="8" t="n">
        <v>46122</v>
      </c>
      <c r="G6040" s="9" t="n">
        <v>19278</v>
      </c>
      <c r="H6040" t="inlineStr">
        <is>
          <t>PAID_LATE</t>
        </is>
      </c>
      <c r="I6040">
        <f>IF(H6040="UNPAID", AsOfDate-D6040, 0)</f>
        <v/>
      </c>
      <c r="J6040">
        <f>IF(F6040&lt;&gt;"", TEXT(F6040, "yyyy-mm"), "")</f>
        <v/>
      </c>
    </row>
    <row r="6041">
      <c r="A6041" t="inlineStr">
        <is>
          <t>RP0006040</t>
        </is>
      </c>
      <c r="B6041" t="inlineStr">
        <is>
          <t>LN200856</t>
        </is>
      </c>
      <c r="C6041" t="n">
        <v>7</v>
      </c>
      <c r="D6041" s="8" t="n">
        <v>46116</v>
      </c>
      <c r="E6041" s="9" t="n">
        <v>19278</v>
      </c>
      <c r="F6041" s="8" t="n">
        <v>46117</v>
      </c>
      <c r="G6041" s="9" t="n">
        <v>19278</v>
      </c>
      <c r="H6041" t="inlineStr">
        <is>
          <t>PAID_ON_TIME</t>
        </is>
      </c>
      <c r="I6041">
        <f>IF(H6041="UNPAID", AsOfDate-D6041, 0)</f>
        <v/>
      </c>
      <c r="J6041">
        <f>IF(F6041&lt;&gt;"", TEXT(F6041, "yyyy-mm"), "")</f>
        <v/>
      </c>
    </row>
    <row r="6042">
      <c r="A6042" t="inlineStr">
        <is>
          <t>RP0006041</t>
        </is>
      </c>
      <c r="B6042" t="inlineStr">
        <is>
          <t>LN200856</t>
        </is>
      </c>
      <c r="C6042" t="n">
        <v>8</v>
      </c>
      <c r="D6042" s="8" t="n">
        <v>46146</v>
      </c>
      <c r="E6042" s="9" t="n">
        <v>19278</v>
      </c>
      <c r="F6042" s="8" t="n">
        <v>46149</v>
      </c>
      <c r="G6042" s="9" t="n">
        <v>19278</v>
      </c>
      <c r="H6042" t="inlineStr">
        <is>
          <t>PAID_LATE</t>
        </is>
      </c>
      <c r="I6042">
        <f>IF(H6042="UNPAID", AsOfDate-D6042, 0)</f>
        <v/>
      </c>
      <c r="J6042">
        <f>IF(F6042&lt;&gt;"", TEXT(F6042, "yyyy-mm"), "")</f>
        <v/>
      </c>
    </row>
    <row r="6043">
      <c r="A6043" t="inlineStr">
        <is>
          <t>RP0006042</t>
        </is>
      </c>
      <c r="B6043" t="inlineStr">
        <is>
          <t>LN200856</t>
        </is>
      </c>
      <c r="C6043" t="n">
        <v>9</v>
      </c>
      <c r="D6043" s="8" t="n">
        <v>46177</v>
      </c>
      <c r="E6043" s="9" t="n">
        <v>19278</v>
      </c>
      <c r="F6043" s="8" t="n">
        <v>46181</v>
      </c>
      <c r="G6043" s="9" t="n">
        <v>19278</v>
      </c>
      <c r="H6043" t="inlineStr">
        <is>
          <t>PAID_ON_TIME</t>
        </is>
      </c>
      <c r="I6043">
        <f>IF(H6043="UNPAID", AsOfDate-D6043, 0)</f>
        <v/>
      </c>
      <c r="J6043">
        <f>IF(F6043&lt;&gt;"", TEXT(F6043, "yyyy-mm"), "")</f>
        <v/>
      </c>
    </row>
    <row r="6044">
      <c r="A6044" t="inlineStr">
        <is>
          <t>RP0006043</t>
        </is>
      </c>
      <c r="B6044" t="inlineStr">
        <is>
          <t>LN200856</t>
        </is>
      </c>
      <c r="C6044" t="n">
        <v>10</v>
      </c>
      <c r="D6044" s="8" t="n">
        <v>46207</v>
      </c>
      <c r="E6044" s="9" t="n">
        <v>19278</v>
      </c>
      <c r="F6044" s="8" t="n">
        <v>46211</v>
      </c>
      <c r="G6044" s="9" t="n">
        <v>19278</v>
      </c>
      <c r="H6044" t="inlineStr">
        <is>
          <t>PAID_ON_TIME</t>
        </is>
      </c>
      <c r="I6044">
        <f>IF(H6044="UNPAID", AsOfDate-D6044, 0)</f>
        <v/>
      </c>
      <c r="J6044">
        <f>IF(F6044&lt;&gt;"", TEXT(F6044, "yyyy-mm"), "")</f>
        <v/>
      </c>
    </row>
    <row r="6045">
      <c r="A6045" t="inlineStr">
        <is>
          <t>RP0006044</t>
        </is>
      </c>
      <c r="B6045" t="inlineStr">
        <is>
          <t>LN200856</t>
        </is>
      </c>
      <c r="C6045" t="n">
        <v>11</v>
      </c>
      <c r="D6045" s="8" t="n">
        <v>46238</v>
      </c>
      <c r="E6045" s="9" t="n">
        <v>19278</v>
      </c>
      <c r="F6045" s="8" t="n">
        <v>46241</v>
      </c>
      <c r="G6045" s="9" t="n">
        <v>19278</v>
      </c>
      <c r="H6045" t="inlineStr">
        <is>
          <t>PAID_ON_TIME</t>
        </is>
      </c>
      <c r="I6045">
        <f>IF(H6045="UNPAID", AsOfDate-D6045, 0)</f>
        <v/>
      </c>
      <c r="J6045">
        <f>IF(F6045&lt;&gt;"", TEXT(F6045, "yyyy-mm"), "")</f>
        <v/>
      </c>
    </row>
    <row r="6046">
      <c r="A6046" t="inlineStr">
        <is>
          <t>RP0006045</t>
        </is>
      </c>
      <c r="B6046" t="inlineStr">
        <is>
          <t>LN200856</t>
        </is>
      </c>
      <c r="C6046" t="n">
        <v>12</v>
      </c>
      <c r="D6046" s="8" t="n">
        <v>46269</v>
      </c>
      <c r="E6046" s="9" t="n">
        <v>19278</v>
      </c>
      <c r="F6046" s="8" t="n"/>
      <c r="G6046" s="9" t="n">
        <v>0</v>
      </c>
      <c r="H6046" t="inlineStr">
        <is>
          <t>NOT_DUE</t>
        </is>
      </c>
      <c r="I6046">
        <f>IF(H6046="UNPAID", AsOfDate-D6046, 0)</f>
        <v/>
      </c>
      <c r="J6046">
        <f>IF(F6046&lt;&gt;"", TEXT(F6046, "yyyy-mm"), "")</f>
        <v/>
      </c>
    </row>
    <row r="6047">
      <c r="A6047" t="inlineStr">
        <is>
          <t>RP0006046</t>
        </is>
      </c>
      <c r="B6047" t="inlineStr">
        <is>
          <t>LN200857</t>
        </is>
      </c>
      <c r="C6047" t="n">
        <v>1</v>
      </c>
      <c r="D6047" s="8" t="n">
        <v>46260</v>
      </c>
      <c r="E6047" s="9" t="n">
        <v>13335</v>
      </c>
      <c r="F6047" s="8" t="n">
        <v>46257</v>
      </c>
      <c r="G6047" s="9" t="n">
        <v>13335</v>
      </c>
      <c r="H6047" t="inlineStr">
        <is>
          <t>PAID_ON_TIME</t>
        </is>
      </c>
      <c r="I6047">
        <f>IF(H6047="UNPAID", AsOfDate-D6047, 0)</f>
        <v/>
      </c>
      <c r="J6047">
        <f>IF(F6047&lt;&gt;"", TEXT(F6047, "yyyy-mm"), "")</f>
        <v/>
      </c>
    </row>
    <row r="6048">
      <c r="A6048" t="inlineStr">
        <is>
          <t>RP0006047</t>
        </is>
      </c>
      <c r="B6048" t="inlineStr">
        <is>
          <t>LN200857</t>
        </is>
      </c>
      <c r="C6048" t="n">
        <v>2</v>
      </c>
      <c r="D6048" s="8" t="n">
        <v>46291</v>
      </c>
      <c r="E6048" s="9" t="n">
        <v>13335</v>
      </c>
      <c r="F6048" s="8" t="n"/>
      <c r="G6048" s="9" t="n">
        <v>0</v>
      </c>
      <c r="H6048" t="inlineStr">
        <is>
          <t>NOT_DUE</t>
        </is>
      </c>
      <c r="I6048">
        <f>IF(H6048="UNPAID", AsOfDate-D6048, 0)</f>
        <v/>
      </c>
      <c r="J6048">
        <f>IF(F6048&lt;&gt;"", TEXT(F6048, "yyyy-mm"), "")</f>
        <v/>
      </c>
    </row>
    <row r="6049">
      <c r="A6049" t="inlineStr">
        <is>
          <t>RP0006048</t>
        </is>
      </c>
      <c r="B6049" t="inlineStr">
        <is>
          <t>LN200857</t>
        </is>
      </c>
      <c r="C6049" t="n">
        <v>3</v>
      </c>
      <c r="D6049" s="8" t="n">
        <v>46321</v>
      </c>
      <c r="E6049" s="9" t="n">
        <v>13335</v>
      </c>
      <c r="F6049" s="8" t="n"/>
      <c r="G6049" s="9" t="n">
        <v>0</v>
      </c>
      <c r="H6049" t="inlineStr">
        <is>
          <t>NOT_DUE</t>
        </is>
      </c>
      <c r="I6049">
        <f>IF(H6049="UNPAID", AsOfDate-D6049, 0)</f>
        <v/>
      </c>
      <c r="J6049">
        <f>IF(F6049&lt;&gt;"", TEXT(F6049, "yyyy-mm"), "")</f>
        <v/>
      </c>
    </row>
    <row r="6050">
      <c r="A6050" t="inlineStr">
        <is>
          <t>RP0006049</t>
        </is>
      </c>
      <c r="B6050" t="inlineStr">
        <is>
          <t>LN200857</t>
        </is>
      </c>
      <c r="C6050" t="n">
        <v>4</v>
      </c>
      <c r="D6050" s="8" t="n">
        <v>46352</v>
      </c>
      <c r="E6050" s="9" t="n">
        <v>13335</v>
      </c>
      <c r="F6050" s="8" t="n"/>
      <c r="G6050" s="9" t="n">
        <v>0</v>
      </c>
      <c r="H6050" t="inlineStr">
        <is>
          <t>NOT_DUE</t>
        </is>
      </c>
      <c r="I6050">
        <f>IF(H6050="UNPAID", AsOfDate-D6050, 0)</f>
        <v/>
      </c>
      <c r="J6050">
        <f>IF(F6050&lt;&gt;"", TEXT(F6050, "yyyy-mm"), "")</f>
        <v/>
      </c>
    </row>
    <row r="6051">
      <c r="A6051" t="inlineStr">
        <is>
          <t>RP0006050</t>
        </is>
      </c>
      <c r="B6051" t="inlineStr">
        <is>
          <t>LN200857</t>
        </is>
      </c>
      <c r="C6051" t="n">
        <v>5</v>
      </c>
      <c r="D6051" s="8" t="n">
        <v>46382</v>
      </c>
      <c r="E6051" s="9" t="n">
        <v>13335</v>
      </c>
      <c r="F6051" s="8" t="n"/>
      <c r="G6051" s="9" t="n">
        <v>0</v>
      </c>
      <c r="H6051" t="inlineStr">
        <is>
          <t>NOT_DUE</t>
        </is>
      </c>
      <c r="I6051">
        <f>IF(H6051="UNPAID", AsOfDate-D6051, 0)</f>
        <v/>
      </c>
      <c r="J6051">
        <f>IF(F6051&lt;&gt;"", TEXT(F6051, "yyyy-mm"), "")</f>
        <v/>
      </c>
    </row>
    <row r="6052">
      <c r="A6052" t="inlineStr">
        <is>
          <t>RP0006051</t>
        </is>
      </c>
      <c r="B6052" t="inlineStr">
        <is>
          <t>LN200857</t>
        </is>
      </c>
      <c r="C6052" t="n">
        <v>6</v>
      </c>
      <c r="D6052" s="8" t="n">
        <v>46413</v>
      </c>
      <c r="E6052" s="9" t="n">
        <v>13335</v>
      </c>
      <c r="F6052" s="8" t="n"/>
      <c r="G6052" s="9" t="n">
        <v>0</v>
      </c>
      <c r="H6052" t="inlineStr">
        <is>
          <t>NOT_DUE</t>
        </is>
      </c>
      <c r="I6052">
        <f>IF(H6052="UNPAID", AsOfDate-D6052, 0)</f>
        <v/>
      </c>
      <c r="J6052">
        <f>IF(F6052&lt;&gt;"", TEXT(F6052, "yyyy-mm"), "")</f>
        <v/>
      </c>
    </row>
    <row r="6053">
      <c r="A6053" t="inlineStr">
        <is>
          <t>RP0006052</t>
        </is>
      </c>
      <c r="B6053" t="inlineStr">
        <is>
          <t>LN200857</t>
        </is>
      </c>
      <c r="C6053" t="n">
        <v>7</v>
      </c>
      <c r="D6053" s="8" t="n">
        <v>46444</v>
      </c>
      <c r="E6053" s="9" t="n">
        <v>13335</v>
      </c>
      <c r="F6053" s="8" t="n"/>
      <c r="G6053" s="9" t="n">
        <v>0</v>
      </c>
      <c r="H6053" t="inlineStr">
        <is>
          <t>NOT_DUE</t>
        </is>
      </c>
      <c r="I6053">
        <f>IF(H6053="UNPAID", AsOfDate-D6053, 0)</f>
        <v/>
      </c>
      <c r="J6053">
        <f>IF(F6053&lt;&gt;"", TEXT(F6053, "yyyy-mm"), "")</f>
        <v/>
      </c>
    </row>
    <row r="6054">
      <c r="A6054" t="inlineStr">
        <is>
          <t>RP0006053</t>
        </is>
      </c>
      <c r="B6054" t="inlineStr">
        <is>
          <t>LN200857</t>
        </is>
      </c>
      <c r="C6054" t="n">
        <v>8</v>
      </c>
      <c r="D6054" s="8" t="n">
        <v>46472</v>
      </c>
      <c r="E6054" s="9" t="n">
        <v>13335</v>
      </c>
      <c r="F6054" s="8" t="n"/>
      <c r="G6054" s="9" t="n">
        <v>0</v>
      </c>
      <c r="H6054" t="inlineStr">
        <is>
          <t>NOT_DUE</t>
        </is>
      </c>
      <c r="I6054">
        <f>IF(H6054="UNPAID", AsOfDate-D6054, 0)</f>
        <v/>
      </c>
      <c r="J6054">
        <f>IF(F6054&lt;&gt;"", TEXT(F6054, "yyyy-mm"), "")</f>
        <v/>
      </c>
    </row>
    <row r="6055">
      <c r="A6055" t="inlineStr">
        <is>
          <t>RP0006054</t>
        </is>
      </c>
      <c r="B6055" t="inlineStr">
        <is>
          <t>LN200857</t>
        </is>
      </c>
      <c r="C6055" t="n">
        <v>9</v>
      </c>
      <c r="D6055" s="8" t="n">
        <v>46503</v>
      </c>
      <c r="E6055" s="9" t="n">
        <v>13335</v>
      </c>
      <c r="F6055" s="8" t="n"/>
      <c r="G6055" s="9" t="n">
        <v>0</v>
      </c>
      <c r="H6055" t="inlineStr">
        <is>
          <t>NOT_DUE</t>
        </is>
      </c>
      <c r="I6055">
        <f>IF(H6055="UNPAID", AsOfDate-D6055, 0)</f>
        <v/>
      </c>
      <c r="J6055">
        <f>IF(F6055&lt;&gt;"", TEXT(F6055, "yyyy-mm"), "")</f>
        <v/>
      </c>
    </row>
    <row r="6056">
      <c r="A6056" t="inlineStr">
        <is>
          <t>RP0006055</t>
        </is>
      </c>
      <c r="B6056" t="inlineStr">
        <is>
          <t>LN200857</t>
        </is>
      </c>
      <c r="C6056" t="n">
        <v>10</v>
      </c>
      <c r="D6056" s="8" t="n">
        <v>46533</v>
      </c>
      <c r="E6056" s="9" t="n">
        <v>13335</v>
      </c>
      <c r="F6056" s="8" t="n"/>
      <c r="G6056" s="9" t="n">
        <v>0</v>
      </c>
      <c r="H6056" t="inlineStr">
        <is>
          <t>NOT_DUE</t>
        </is>
      </c>
      <c r="I6056">
        <f>IF(H6056="UNPAID", AsOfDate-D6056, 0)</f>
        <v/>
      </c>
      <c r="J6056">
        <f>IF(F6056&lt;&gt;"", TEXT(F6056, "yyyy-mm"), "")</f>
        <v/>
      </c>
    </row>
    <row r="6057">
      <c r="A6057" t="inlineStr">
        <is>
          <t>RP0006056</t>
        </is>
      </c>
      <c r="B6057" t="inlineStr">
        <is>
          <t>LN200857</t>
        </is>
      </c>
      <c r="C6057" t="n">
        <v>11</v>
      </c>
      <c r="D6057" s="8" t="n">
        <v>46564</v>
      </c>
      <c r="E6057" s="9" t="n">
        <v>13335</v>
      </c>
      <c r="F6057" s="8" t="n"/>
      <c r="G6057" s="9" t="n">
        <v>0</v>
      </c>
      <c r="H6057" t="inlineStr">
        <is>
          <t>NOT_DUE</t>
        </is>
      </c>
      <c r="I6057">
        <f>IF(H6057="UNPAID", AsOfDate-D6057, 0)</f>
        <v/>
      </c>
      <c r="J6057">
        <f>IF(F6057&lt;&gt;"", TEXT(F6057, "yyyy-mm"), "")</f>
        <v/>
      </c>
    </row>
    <row r="6058">
      <c r="A6058" t="inlineStr">
        <is>
          <t>RP0006057</t>
        </is>
      </c>
      <c r="B6058" t="inlineStr">
        <is>
          <t>LN200857</t>
        </is>
      </c>
      <c r="C6058" t="n">
        <v>12</v>
      </c>
      <c r="D6058" s="8" t="n">
        <v>46594</v>
      </c>
      <c r="E6058" s="9" t="n">
        <v>13335</v>
      </c>
      <c r="F6058" s="8" t="n"/>
      <c r="G6058" s="9" t="n">
        <v>0</v>
      </c>
      <c r="H6058" t="inlineStr">
        <is>
          <t>NOT_DUE</t>
        </is>
      </c>
      <c r="I6058">
        <f>IF(H6058="UNPAID", AsOfDate-D6058, 0)</f>
        <v/>
      </c>
      <c r="J6058">
        <f>IF(F6058&lt;&gt;"", TEXT(F6058, "yyyy-mm"), "")</f>
        <v/>
      </c>
    </row>
    <row r="6059">
      <c r="A6059" t="inlineStr">
        <is>
          <t>RP0006058</t>
        </is>
      </c>
      <c r="B6059" t="inlineStr">
        <is>
          <t>LN200858</t>
        </is>
      </c>
      <c r="C6059" t="n">
        <v>1</v>
      </c>
      <c r="D6059" s="8" t="n">
        <v>46197</v>
      </c>
      <c r="E6059" s="9" t="n">
        <v>43023.75</v>
      </c>
      <c r="F6059" s="8" t="n">
        <v>46194</v>
      </c>
      <c r="G6059" s="9" t="n">
        <v>43023.75</v>
      </c>
      <c r="H6059" t="inlineStr">
        <is>
          <t>PAID_ON_TIME</t>
        </is>
      </c>
      <c r="I6059">
        <f>IF(H6059="UNPAID", AsOfDate-D6059, 0)</f>
        <v/>
      </c>
      <c r="J6059">
        <f>IF(F6059&lt;&gt;"", TEXT(F6059, "yyyy-mm"), "")</f>
        <v/>
      </c>
    </row>
    <row r="6060">
      <c r="A6060" t="inlineStr">
        <is>
          <t>RP0006059</t>
        </is>
      </c>
      <c r="B6060" t="inlineStr">
        <is>
          <t>LN200858</t>
        </is>
      </c>
      <c r="C6060" t="n">
        <v>2</v>
      </c>
      <c r="D6060" s="8" t="n">
        <v>46227</v>
      </c>
      <c r="E6060" s="9" t="n">
        <v>43023.75</v>
      </c>
      <c r="F6060" s="8" t="n">
        <v>46230</v>
      </c>
      <c r="G6060" s="9" t="n">
        <v>43023.75</v>
      </c>
      <c r="H6060" t="inlineStr">
        <is>
          <t>PAID_ON_TIME</t>
        </is>
      </c>
      <c r="I6060">
        <f>IF(H6060="UNPAID", AsOfDate-D6060, 0)</f>
        <v/>
      </c>
      <c r="J6060">
        <f>IF(F6060&lt;&gt;"", TEXT(F6060, "yyyy-mm"), "")</f>
        <v/>
      </c>
    </row>
    <row r="6061">
      <c r="A6061" t="inlineStr">
        <is>
          <t>RP0006060</t>
        </is>
      </c>
      <c r="B6061" t="inlineStr">
        <is>
          <t>LN200858</t>
        </is>
      </c>
      <c r="C6061" t="n">
        <v>3</v>
      </c>
      <c r="D6061" s="8" t="n">
        <v>46258</v>
      </c>
      <c r="E6061" s="9" t="n">
        <v>43023.75</v>
      </c>
      <c r="F6061" s="8" t="n">
        <v>46257</v>
      </c>
      <c r="G6061" s="9" t="n">
        <v>43023.75</v>
      </c>
      <c r="H6061" t="inlineStr">
        <is>
          <t>PAID_ON_TIME</t>
        </is>
      </c>
      <c r="I6061">
        <f>IF(H6061="UNPAID", AsOfDate-D6061, 0)</f>
        <v/>
      </c>
      <c r="J6061">
        <f>IF(F6061&lt;&gt;"", TEXT(F6061, "yyyy-mm"), "")</f>
        <v/>
      </c>
    </row>
    <row r="6062">
      <c r="A6062" t="inlineStr">
        <is>
          <t>RP0006061</t>
        </is>
      </c>
      <c r="B6062" t="inlineStr">
        <is>
          <t>LN200858</t>
        </is>
      </c>
      <c r="C6062" t="n">
        <v>4</v>
      </c>
      <c r="D6062" s="8" t="n">
        <v>46289</v>
      </c>
      <c r="E6062" s="9" t="n">
        <v>43023.75</v>
      </c>
      <c r="F6062" s="8" t="n"/>
      <c r="G6062" s="9" t="n">
        <v>0</v>
      </c>
      <c r="H6062" t="inlineStr">
        <is>
          <t>NOT_DUE</t>
        </is>
      </c>
      <c r="I6062">
        <f>IF(H6062="UNPAID", AsOfDate-D6062, 0)</f>
        <v/>
      </c>
      <c r="J6062">
        <f>IF(F6062&lt;&gt;"", TEXT(F6062, "yyyy-mm"), "")</f>
        <v/>
      </c>
    </row>
    <row r="6063">
      <c r="A6063" t="inlineStr">
        <is>
          <t>RP0006062</t>
        </is>
      </c>
      <c r="B6063" t="inlineStr">
        <is>
          <t>LN200858</t>
        </is>
      </c>
      <c r="C6063" t="n">
        <v>5</v>
      </c>
      <c r="D6063" s="8" t="n">
        <v>46319</v>
      </c>
      <c r="E6063" s="9" t="n">
        <v>43023.75</v>
      </c>
      <c r="F6063" s="8" t="n"/>
      <c r="G6063" s="9" t="n">
        <v>0</v>
      </c>
      <c r="H6063" t="inlineStr">
        <is>
          <t>NOT_DUE</t>
        </is>
      </c>
      <c r="I6063">
        <f>IF(H6063="UNPAID", AsOfDate-D6063, 0)</f>
        <v/>
      </c>
      <c r="J6063">
        <f>IF(F6063&lt;&gt;"", TEXT(F6063, "yyyy-mm"), "")</f>
        <v/>
      </c>
    </row>
    <row r="6064">
      <c r="A6064" t="inlineStr">
        <is>
          <t>RP0006063</t>
        </is>
      </c>
      <c r="B6064" t="inlineStr">
        <is>
          <t>LN200858</t>
        </is>
      </c>
      <c r="C6064" t="n">
        <v>6</v>
      </c>
      <c r="D6064" s="8" t="n">
        <v>46350</v>
      </c>
      <c r="E6064" s="9" t="n">
        <v>43023.75</v>
      </c>
      <c r="F6064" s="8" t="n"/>
      <c r="G6064" s="9" t="n">
        <v>0</v>
      </c>
      <c r="H6064" t="inlineStr">
        <is>
          <t>NOT_DUE</t>
        </is>
      </c>
      <c r="I6064">
        <f>IF(H6064="UNPAID", AsOfDate-D6064, 0)</f>
        <v/>
      </c>
      <c r="J6064">
        <f>IF(F6064&lt;&gt;"", TEXT(F6064, "yyyy-mm"), "")</f>
        <v/>
      </c>
    </row>
    <row r="6065">
      <c r="A6065" t="inlineStr">
        <is>
          <t>RP0006064</t>
        </is>
      </c>
      <c r="B6065" t="inlineStr">
        <is>
          <t>LN200859</t>
        </is>
      </c>
      <c r="C6065" t="n">
        <v>1</v>
      </c>
      <c r="D6065" s="8" t="n">
        <v>46138</v>
      </c>
      <c r="E6065" s="9" t="n">
        <v>76126.94</v>
      </c>
      <c r="F6065" s="8" t="n">
        <v>46139</v>
      </c>
      <c r="G6065" s="9" t="n">
        <v>76126.94</v>
      </c>
      <c r="H6065" t="inlineStr">
        <is>
          <t>PAID_ON_TIME</t>
        </is>
      </c>
      <c r="I6065">
        <f>IF(H6065="UNPAID", AsOfDate-D6065, 0)</f>
        <v/>
      </c>
      <c r="J6065">
        <f>IF(F6065&lt;&gt;"", TEXT(F6065, "yyyy-mm"), "")</f>
        <v/>
      </c>
    </row>
    <row r="6066">
      <c r="A6066" t="inlineStr">
        <is>
          <t>RP0006065</t>
        </is>
      </c>
      <c r="B6066" t="inlineStr">
        <is>
          <t>LN200859</t>
        </is>
      </c>
      <c r="C6066" t="n">
        <v>2</v>
      </c>
      <c r="D6066" s="8" t="n">
        <v>46168</v>
      </c>
      <c r="E6066" s="9" t="n">
        <v>76126.94</v>
      </c>
      <c r="F6066" s="8" t="n">
        <v>46167</v>
      </c>
      <c r="G6066" s="9" t="n">
        <v>76126.94</v>
      </c>
      <c r="H6066" t="inlineStr">
        <is>
          <t>PAID_ON_TIME</t>
        </is>
      </c>
      <c r="I6066">
        <f>IF(H6066="UNPAID", AsOfDate-D6066, 0)</f>
        <v/>
      </c>
      <c r="J6066">
        <f>IF(F6066&lt;&gt;"", TEXT(F6066, "yyyy-mm"), "")</f>
        <v/>
      </c>
    </row>
    <row r="6067">
      <c r="A6067" t="inlineStr">
        <is>
          <t>RP0006066</t>
        </is>
      </c>
      <c r="B6067" t="inlineStr">
        <is>
          <t>LN200859</t>
        </is>
      </c>
      <c r="C6067" t="n">
        <v>3</v>
      </c>
      <c r="D6067" s="8" t="n">
        <v>46199</v>
      </c>
      <c r="E6067" s="9" t="n">
        <v>76126.94</v>
      </c>
      <c r="F6067" s="8" t="n">
        <v>46200</v>
      </c>
      <c r="G6067" s="9" t="n">
        <v>76126.94</v>
      </c>
      <c r="H6067" t="inlineStr">
        <is>
          <t>PAID_ON_TIME</t>
        </is>
      </c>
      <c r="I6067">
        <f>IF(H6067="UNPAID", AsOfDate-D6067, 0)</f>
        <v/>
      </c>
      <c r="J6067">
        <f>IF(F6067&lt;&gt;"", TEXT(F6067, "yyyy-mm"), "")</f>
        <v/>
      </c>
    </row>
    <row r="6068">
      <c r="A6068" t="inlineStr">
        <is>
          <t>RP0006067</t>
        </is>
      </c>
      <c r="B6068" t="inlineStr">
        <is>
          <t>LN200859</t>
        </is>
      </c>
      <c r="C6068" t="n">
        <v>4</v>
      </c>
      <c r="D6068" s="8" t="n">
        <v>46229</v>
      </c>
      <c r="E6068" s="9" t="n">
        <v>76126.94</v>
      </c>
      <c r="F6068" s="8" t="n">
        <v>46227</v>
      </c>
      <c r="G6068" s="9" t="n">
        <v>76126.94</v>
      </c>
      <c r="H6068" t="inlineStr">
        <is>
          <t>PAID_ON_TIME</t>
        </is>
      </c>
      <c r="I6068">
        <f>IF(H6068="UNPAID", AsOfDate-D6068, 0)</f>
        <v/>
      </c>
      <c r="J6068">
        <f>IF(F6068&lt;&gt;"", TEXT(F6068, "yyyy-mm"), "")</f>
        <v/>
      </c>
    </row>
    <row r="6069">
      <c r="A6069" t="inlineStr">
        <is>
          <t>RP0006068</t>
        </is>
      </c>
      <c r="B6069" t="inlineStr">
        <is>
          <t>LN200859</t>
        </is>
      </c>
      <c r="C6069" t="n">
        <v>5</v>
      </c>
      <c r="D6069" s="8" t="n">
        <v>46260</v>
      </c>
      <c r="E6069" s="9" t="n">
        <v>76126.94</v>
      </c>
      <c r="F6069" s="8" t="n">
        <v>46261</v>
      </c>
      <c r="G6069" s="9" t="n">
        <v>76126.94</v>
      </c>
      <c r="H6069" t="inlineStr">
        <is>
          <t>PAID_ON_TIME</t>
        </is>
      </c>
      <c r="I6069">
        <f>IF(H6069="UNPAID", AsOfDate-D6069, 0)</f>
        <v/>
      </c>
      <c r="J6069">
        <f>IF(F6069&lt;&gt;"", TEXT(F6069, "yyyy-mm"), "")</f>
        <v/>
      </c>
    </row>
    <row r="6070">
      <c r="A6070" t="inlineStr">
        <is>
          <t>RP0006069</t>
        </is>
      </c>
      <c r="B6070" t="inlineStr">
        <is>
          <t>LN200859</t>
        </is>
      </c>
      <c r="C6070" t="n">
        <v>6</v>
      </c>
      <c r="D6070" s="8" t="n">
        <v>46291</v>
      </c>
      <c r="E6070" s="9" t="n">
        <v>76126.94</v>
      </c>
      <c r="F6070" s="8" t="n"/>
      <c r="G6070" s="9" t="n">
        <v>0</v>
      </c>
      <c r="H6070" t="inlineStr">
        <is>
          <t>NOT_DUE</t>
        </is>
      </c>
      <c r="I6070">
        <f>IF(H6070="UNPAID", AsOfDate-D6070, 0)</f>
        <v/>
      </c>
      <c r="J6070">
        <f>IF(F6070&lt;&gt;"", TEXT(F6070, "yyyy-mm"), "")</f>
        <v/>
      </c>
    </row>
    <row r="6071">
      <c r="A6071" t="inlineStr">
        <is>
          <t>RP0006070</t>
        </is>
      </c>
      <c r="B6071" t="inlineStr">
        <is>
          <t>LN200859</t>
        </is>
      </c>
      <c r="C6071" t="n">
        <v>7</v>
      </c>
      <c r="D6071" s="8" t="n">
        <v>46321</v>
      </c>
      <c r="E6071" s="9" t="n">
        <v>76126.94</v>
      </c>
      <c r="F6071" s="8" t="n"/>
      <c r="G6071" s="9" t="n">
        <v>0</v>
      </c>
      <c r="H6071" t="inlineStr">
        <is>
          <t>NOT_DUE</t>
        </is>
      </c>
      <c r="I6071">
        <f>IF(H6071="UNPAID", AsOfDate-D6071, 0)</f>
        <v/>
      </c>
      <c r="J6071">
        <f>IF(F6071&lt;&gt;"", TEXT(F6071, "yyyy-mm"), "")</f>
        <v/>
      </c>
    </row>
    <row r="6072">
      <c r="A6072" t="inlineStr">
        <is>
          <t>RP0006071</t>
        </is>
      </c>
      <c r="B6072" t="inlineStr">
        <is>
          <t>LN200859</t>
        </is>
      </c>
      <c r="C6072" t="n">
        <v>8</v>
      </c>
      <c r="D6072" s="8" t="n">
        <v>46352</v>
      </c>
      <c r="E6072" s="9" t="n">
        <v>76126.94</v>
      </c>
      <c r="F6072" s="8" t="n"/>
      <c r="G6072" s="9" t="n">
        <v>0</v>
      </c>
      <c r="H6072" t="inlineStr">
        <is>
          <t>NOT_DUE</t>
        </is>
      </c>
      <c r="I6072">
        <f>IF(H6072="UNPAID", AsOfDate-D6072, 0)</f>
        <v/>
      </c>
      <c r="J6072">
        <f>IF(F6072&lt;&gt;"", TEXT(F6072, "yyyy-mm"), "")</f>
        <v/>
      </c>
    </row>
    <row r="6073">
      <c r="A6073" t="inlineStr">
        <is>
          <t>RP0006072</t>
        </is>
      </c>
      <c r="B6073" t="inlineStr">
        <is>
          <t>LN200859</t>
        </is>
      </c>
      <c r="C6073" t="n">
        <v>9</v>
      </c>
      <c r="D6073" s="8" t="n">
        <v>46382</v>
      </c>
      <c r="E6073" s="9" t="n">
        <v>76126.94</v>
      </c>
      <c r="F6073" s="8" t="n"/>
      <c r="G6073" s="9" t="n">
        <v>0</v>
      </c>
      <c r="H6073" t="inlineStr">
        <is>
          <t>NOT_DUE</t>
        </is>
      </c>
      <c r="I6073">
        <f>IF(H6073="UNPAID", AsOfDate-D6073, 0)</f>
        <v/>
      </c>
      <c r="J6073">
        <f>IF(F6073&lt;&gt;"", TEXT(F6073, "yyyy-mm"), "")</f>
        <v/>
      </c>
    </row>
    <row r="6074">
      <c r="A6074" t="inlineStr">
        <is>
          <t>RP0006073</t>
        </is>
      </c>
      <c r="B6074" t="inlineStr">
        <is>
          <t>LN200860</t>
        </is>
      </c>
      <c r="C6074" t="n">
        <v>1</v>
      </c>
      <c r="D6074" s="8" t="n">
        <v>45826</v>
      </c>
      <c r="E6074" s="9" t="n">
        <v>15543</v>
      </c>
      <c r="F6074" s="8" t="n">
        <v>45826</v>
      </c>
      <c r="G6074" s="9" t="n">
        <v>15543</v>
      </c>
      <c r="H6074" t="inlineStr">
        <is>
          <t>PAID_ON_TIME</t>
        </is>
      </c>
      <c r="I6074">
        <f>IF(H6074="UNPAID", AsOfDate-D6074, 0)</f>
        <v/>
      </c>
      <c r="J6074">
        <f>IF(F6074&lt;&gt;"", TEXT(F6074, "yyyy-mm"), "")</f>
        <v/>
      </c>
    </row>
    <row r="6075">
      <c r="A6075" t="inlineStr">
        <is>
          <t>RP0006074</t>
        </is>
      </c>
      <c r="B6075" t="inlineStr">
        <is>
          <t>LN200860</t>
        </is>
      </c>
      <c r="C6075" t="n">
        <v>2</v>
      </c>
      <c r="D6075" s="8" t="n">
        <v>45856</v>
      </c>
      <c r="E6075" s="9" t="n">
        <v>15543</v>
      </c>
      <c r="F6075" s="8" t="n">
        <v>45857</v>
      </c>
      <c r="G6075" s="9" t="n">
        <v>15543</v>
      </c>
      <c r="H6075" t="inlineStr">
        <is>
          <t>PAID_ON_TIME</t>
        </is>
      </c>
      <c r="I6075">
        <f>IF(H6075="UNPAID", AsOfDate-D6075, 0)</f>
        <v/>
      </c>
      <c r="J6075">
        <f>IF(F6075&lt;&gt;"", TEXT(F6075, "yyyy-mm"), "")</f>
        <v/>
      </c>
    </row>
    <row r="6076">
      <c r="A6076" t="inlineStr">
        <is>
          <t>RP0006075</t>
        </is>
      </c>
      <c r="B6076" t="inlineStr">
        <is>
          <t>LN200860</t>
        </is>
      </c>
      <c r="C6076" t="n">
        <v>3</v>
      </c>
      <c r="D6076" s="8" t="n">
        <v>45887</v>
      </c>
      <c r="E6076" s="9" t="n">
        <v>15543</v>
      </c>
      <c r="F6076" s="8" t="n">
        <v>45886</v>
      </c>
      <c r="G6076" s="9" t="n">
        <v>15543</v>
      </c>
      <c r="H6076" t="inlineStr">
        <is>
          <t>PAID_ON_TIME</t>
        </is>
      </c>
      <c r="I6076">
        <f>IF(H6076="UNPAID", AsOfDate-D6076, 0)</f>
        <v/>
      </c>
      <c r="J6076">
        <f>IF(F6076&lt;&gt;"", TEXT(F6076, "yyyy-mm"), "")</f>
        <v/>
      </c>
    </row>
    <row r="6077">
      <c r="A6077" t="inlineStr">
        <is>
          <t>RP0006076</t>
        </is>
      </c>
      <c r="B6077" t="inlineStr">
        <is>
          <t>LN200861</t>
        </is>
      </c>
      <c r="C6077" t="n">
        <v>1</v>
      </c>
      <c r="D6077" s="8" t="n">
        <v>46117</v>
      </c>
      <c r="E6077" s="9" t="n">
        <v>5977.83</v>
      </c>
      <c r="F6077" s="8" t="n">
        <v>46118</v>
      </c>
      <c r="G6077" s="9" t="n">
        <v>5977.83</v>
      </c>
      <c r="H6077" t="inlineStr">
        <is>
          <t>PAID_ON_TIME</t>
        </is>
      </c>
      <c r="I6077">
        <f>IF(H6077="UNPAID", AsOfDate-D6077, 0)</f>
        <v/>
      </c>
      <c r="J6077">
        <f>IF(F6077&lt;&gt;"", TEXT(F6077, "yyyy-mm"), "")</f>
        <v/>
      </c>
    </row>
    <row r="6078">
      <c r="A6078" t="inlineStr">
        <is>
          <t>RP0006077</t>
        </is>
      </c>
      <c r="B6078" t="inlineStr">
        <is>
          <t>LN200861</t>
        </is>
      </c>
      <c r="C6078" t="n">
        <v>2</v>
      </c>
      <c r="D6078" s="8" t="n">
        <v>46147</v>
      </c>
      <c r="E6078" s="9" t="n">
        <v>5977.83</v>
      </c>
      <c r="F6078" s="8" t="n">
        <v>46145</v>
      </c>
      <c r="G6078" s="9" t="n">
        <v>5977.83</v>
      </c>
      <c r="H6078" t="inlineStr">
        <is>
          <t>PAID_ON_TIME</t>
        </is>
      </c>
      <c r="I6078">
        <f>IF(H6078="UNPAID", AsOfDate-D6078, 0)</f>
        <v/>
      </c>
      <c r="J6078">
        <f>IF(F6078&lt;&gt;"", TEXT(F6078, "yyyy-mm"), "")</f>
        <v/>
      </c>
    </row>
    <row r="6079">
      <c r="A6079" t="inlineStr">
        <is>
          <t>RP0006078</t>
        </is>
      </c>
      <c r="B6079" t="inlineStr">
        <is>
          <t>LN200861</t>
        </is>
      </c>
      <c r="C6079" t="n">
        <v>3</v>
      </c>
      <c r="D6079" s="8" t="n">
        <v>46178</v>
      </c>
      <c r="E6079" s="9" t="n">
        <v>5977.83</v>
      </c>
      <c r="F6079" s="8" t="n">
        <v>46181</v>
      </c>
      <c r="G6079" s="9" t="n">
        <v>5977.83</v>
      </c>
      <c r="H6079" t="inlineStr">
        <is>
          <t>PAID_ON_TIME</t>
        </is>
      </c>
      <c r="I6079">
        <f>IF(H6079="UNPAID", AsOfDate-D6079, 0)</f>
        <v/>
      </c>
      <c r="J6079">
        <f>IF(F6079&lt;&gt;"", TEXT(F6079, "yyyy-mm"), "")</f>
        <v/>
      </c>
    </row>
    <row r="6080">
      <c r="A6080" t="inlineStr">
        <is>
          <t>RP0006079</t>
        </is>
      </c>
      <c r="B6080" t="inlineStr">
        <is>
          <t>LN200861</t>
        </is>
      </c>
      <c r="C6080" t="n">
        <v>4</v>
      </c>
      <c r="D6080" s="8" t="n">
        <v>46208</v>
      </c>
      <c r="E6080" s="9" t="n">
        <v>5977.83</v>
      </c>
      <c r="F6080" s="8" t="n">
        <v>46208</v>
      </c>
      <c r="G6080" s="9" t="n">
        <v>5977.83</v>
      </c>
      <c r="H6080" t="inlineStr">
        <is>
          <t>PAID_ON_TIME</t>
        </is>
      </c>
      <c r="I6080">
        <f>IF(H6080="UNPAID", AsOfDate-D6080, 0)</f>
        <v/>
      </c>
      <c r="J6080">
        <f>IF(F6080&lt;&gt;"", TEXT(F6080, "yyyy-mm"), "")</f>
        <v/>
      </c>
    </row>
    <row r="6081">
      <c r="A6081" t="inlineStr">
        <is>
          <t>RP0006080</t>
        </is>
      </c>
      <c r="B6081" t="inlineStr">
        <is>
          <t>LN200861</t>
        </is>
      </c>
      <c r="C6081" t="n">
        <v>5</v>
      </c>
      <c r="D6081" s="8" t="n">
        <v>46239</v>
      </c>
      <c r="E6081" s="9" t="n">
        <v>5977.83</v>
      </c>
      <c r="F6081" s="8" t="n">
        <v>46239</v>
      </c>
      <c r="G6081" s="9" t="n">
        <v>5977.83</v>
      </c>
      <c r="H6081" t="inlineStr">
        <is>
          <t>PAID_ON_TIME</t>
        </is>
      </c>
      <c r="I6081">
        <f>IF(H6081="UNPAID", AsOfDate-D6081, 0)</f>
        <v/>
      </c>
      <c r="J6081">
        <f>IF(F6081&lt;&gt;"", TEXT(F6081, "yyyy-mm"), "")</f>
        <v/>
      </c>
    </row>
    <row r="6082">
      <c r="A6082" t="inlineStr">
        <is>
          <t>RP0006081</t>
        </is>
      </c>
      <c r="B6082" t="inlineStr">
        <is>
          <t>LN200861</t>
        </is>
      </c>
      <c r="C6082" t="n">
        <v>6</v>
      </c>
      <c r="D6082" s="8" t="n">
        <v>46270</v>
      </c>
      <c r="E6082" s="9" t="n">
        <v>5977.83</v>
      </c>
      <c r="F6082" s="8" t="n"/>
      <c r="G6082" s="9" t="n">
        <v>0</v>
      </c>
      <c r="H6082" t="inlineStr">
        <is>
          <t>NOT_DUE</t>
        </is>
      </c>
      <c r="I6082">
        <f>IF(H6082="UNPAID", AsOfDate-D6082, 0)</f>
        <v/>
      </c>
      <c r="J6082">
        <f>IF(F6082&lt;&gt;"", TEXT(F6082, "yyyy-mm"), "")</f>
        <v/>
      </c>
    </row>
    <row r="6083">
      <c r="A6083" t="inlineStr">
        <is>
          <t>RP0006082</t>
        </is>
      </c>
      <c r="B6083" t="inlineStr">
        <is>
          <t>LN200861</t>
        </is>
      </c>
      <c r="C6083" t="n">
        <v>7</v>
      </c>
      <c r="D6083" s="8" t="n">
        <v>46300</v>
      </c>
      <c r="E6083" s="9" t="n">
        <v>5977.83</v>
      </c>
      <c r="F6083" s="8" t="n"/>
      <c r="G6083" s="9" t="n">
        <v>0</v>
      </c>
      <c r="H6083" t="inlineStr">
        <is>
          <t>NOT_DUE</t>
        </is>
      </c>
      <c r="I6083">
        <f>IF(H6083="UNPAID", AsOfDate-D6083, 0)</f>
        <v/>
      </c>
      <c r="J6083">
        <f>IF(F6083&lt;&gt;"", TEXT(F6083, "yyyy-mm"), "")</f>
        <v/>
      </c>
    </row>
    <row r="6084">
      <c r="A6084" t="inlineStr">
        <is>
          <t>RP0006083</t>
        </is>
      </c>
      <c r="B6084" t="inlineStr">
        <is>
          <t>LN200861</t>
        </is>
      </c>
      <c r="C6084" t="n">
        <v>8</v>
      </c>
      <c r="D6084" s="8" t="n">
        <v>46331</v>
      </c>
      <c r="E6084" s="9" t="n">
        <v>5977.83</v>
      </c>
      <c r="F6084" s="8" t="n"/>
      <c r="G6084" s="9" t="n">
        <v>0</v>
      </c>
      <c r="H6084" t="inlineStr">
        <is>
          <t>NOT_DUE</t>
        </is>
      </c>
      <c r="I6084">
        <f>IF(H6084="UNPAID", AsOfDate-D6084, 0)</f>
        <v/>
      </c>
      <c r="J6084">
        <f>IF(F6084&lt;&gt;"", TEXT(F6084, "yyyy-mm"), "")</f>
        <v/>
      </c>
    </row>
    <row r="6085">
      <c r="A6085" t="inlineStr">
        <is>
          <t>RP0006084</t>
        </is>
      </c>
      <c r="B6085" t="inlineStr">
        <is>
          <t>LN200861</t>
        </is>
      </c>
      <c r="C6085" t="n">
        <v>9</v>
      </c>
      <c r="D6085" s="8" t="n">
        <v>46361</v>
      </c>
      <c r="E6085" s="9" t="n">
        <v>5977.83</v>
      </c>
      <c r="F6085" s="8" t="n"/>
      <c r="G6085" s="9" t="n">
        <v>0</v>
      </c>
      <c r="H6085" t="inlineStr">
        <is>
          <t>NOT_DUE</t>
        </is>
      </c>
      <c r="I6085">
        <f>IF(H6085="UNPAID", AsOfDate-D6085, 0)</f>
        <v/>
      </c>
      <c r="J6085">
        <f>IF(F6085&lt;&gt;"", TEXT(F6085, "yyyy-mm"), "")</f>
        <v/>
      </c>
    </row>
    <row r="6086">
      <c r="A6086" t="inlineStr">
        <is>
          <t>RP0006085</t>
        </is>
      </c>
      <c r="B6086" t="inlineStr">
        <is>
          <t>LN200861</t>
        </is>
      </c>
      <c r="C6086" t="n">
        <v>10</v>
      </c>
      <c r="D6086" s="8" t="n">
        <v>46392</v>
      </c>
      <c r="E6086" s="9" t="n">
        <v>5977.83</v>
      </c>
      <c r="F6086" s="8" t="n"/>
      <c r="G6086" s="9" t="n">
        <v>0</v>
      </c>
      <c r="H6086" t="inlineStr">
        <is>
          <t>NOT_DUE</t>
        </is>
      </c>
      <c r="I6086">
        <f>IF(H6086="UNPAID", AsOfDate-D6086, 0)</f>
        <v/>
      </c>
      <c r="J6086">
        <f>IF(F6086&lt;&gt;"", TEXT(F6086, "yyyy-mm"), "")</f>
        <v/>
      </c>
    </row>
    <row r="6087">
      <c r="A6087" t="inlineStr">
        <is>
          <t>RP0006086</t>
        </is>
      </c>
      <c r="B6087" t="inlineStr">
        <is>
          <t>LN200861</t>
        </is>
      </c>
      <c r="C6087" t="n">
        <v>11</v>
      </c>
      <c r="D6087" s="8" t="n">
        <v>46423</v>
      </c>
      <c r="E6087" s="9" t="n">
        <v>5977.83</v>
      </c>
      <c r="F6087" s="8" t="n"/>
      <c r="G6087" s="9" t="n">
        <v>0</v>
      </c>
      <c r="H6087" t="inlineStr">
        <is>
          <t>NOT_DUE</t>
        </is>
      </c>
      <c r="I6087">
        <f>IF(H6087="UNPAID", AsOfDate-D6087, 0)</f>
        <v/>
      </c>
      <c r="J6087">
        <f>IF(F6087&lt;&gt;"", TEXT(F6087, "yyyy-mm"), "")</f>
        <v/>
      </c>
    </row>
    <row r="6088">
      <c r="A6088" t="inlineStr">
        <is>
          <t>RP0006087</t>
        </is>
      </c>
      <c r="B6088" t="inlineStr">
        <is>
          <t>LN200861</t>
        </is>
      </c>
      <c r="C6088" t="n">
        <v>12</v>
      </c>
      <c r="D6088" s="8" t="n">
        <v>46451</v>
      </c>
      <c r="E6088" s="9" t="n">
        <v>5977.83</v>
      </c>
      <c r="F6088" s="8" t="n"/>
      <c r="G6088" s="9" t="n">
        <v>0</v>
      </c>
      <c r="H6088" t="inlineStr">
        <is>
          <t>NOT_DUE</t>
        </is>
      </c>
      <c r="I6088">
        <f>IF(H6088="UNPAID", AsOfDate-D6088, 0)</f>
        <v/>
      </c>
      <c r="J6088">
        <f>IF(F6088&lt;&gt;"", TEXT(F6088, "yyyy-mm"), "")</f>
        <v/>
      </c>
    </row>
    <row r="6089">
      <c r="A6089" t="inlineStr">
        <is>
          <t>RP0006088</t>
        </is>
      </c>
      <c r="B6089" t="inlineStr">
        <is>
          <t>LN200862</t>
        </is>
      </c>
      <c r="C6089" t="n">
        <v>1</v>
      </c>
      <c r="D6089" s="8" t="n">
        <v>46195</v>
      </c>
      <c r="E6089" s="9" t="n">
        <v>6810</v>
      </c>
      <c r="F6089" s="8" t="n">
        <v>46196</v>
      </c>
      <c r="G6089" s="9" t="n">
        <v>6810</v>
      </c>
      <c r="H6089" t="inlineStr">
        <is>
          <t>PAID_ON_TIME</t>
        </is>
      </c>
      <c r="I6089">
        <f>IF(H6089="UNPAID", AsOfDate-D6089, 0)</f>
        <v/>
      </c>
      <c r="J6089">
        <f>IF(F6089&lt;&gt;"", TEXT(F6089, "yyyy-mm"), "")</f>
        <v/>
      </c>
    </row>
    <row r="6090">
      <c r="A6090" t="inlineStr">
        <is>
          <t>RP0006089</t>
        </is>
      </c>
      <c r="B6090" t="inlineStr">
        <is>
          <t>LN200862</t>
        </is>
      </c>
      <c r="C6090" t="n">
        <v>2</v>
      </c>
      <c r="D6090" s="8" t="n">
        <v>46225</v>
      </c>
      <c r="E6090" s="9" t="n">
        <v>6810</v>
      </c>
      <c r="F6090" s="8" t="n">
        <v>46225</v>
      </c>
      <c r="G6090" s="9" t="n">
        <v>6810</v>
      </c>
      <c r="H6090" t="inlineStr">
        <is>
          <t>PAID_ON_TIME</t>
        </is>
      </c>
      <c r="I6090">
        <f>IF(H6090="UNPAID", AsOfDate-D6090, 0)</f>
        <v/>
      </c>
      <c r="J6090">
        <f>IF(F6090&lt;&gt;"", TEXT(F6090, "yyyy-mm"), "")</f>
        <v/>
      </c>
    </row>
    <row r="6091">
      <c r="A6091" t="inlineStr">
        <is>
          <t>RP0006090</t>
        </is>
      </c>
      <c r="B6091" t="inlineStr">
        <is>
          <t>LN200862</t>
        </is>
      </c>
      <c r="C6091" t="n">
        <v>3</v>
      </c>
      <c r="D6091" s="8" t="n">
        <v>46256</v>
      </c>
      <c r="E6091" s="9" t="n">
        <v>6810</v>
      </c>
      <c r="F6091" s="8" t="n">
        <v>46260</v>
      </c>
      <c r="G6091" s="9" t="n">
        <v>6810</v>
      </c>
      <c r="H6091" t="inlineStr">
        <is>
          <t>PAID_ON_TIME</t>
        </is>
      </c>
      <c r="I6091">
        <f>IF(H6091="UNPAID", AsOfDate-D6091, 0)</f>
        <v/>
      </c>
      <c r="J6091">
        <f>IF(F6091&lt;&gt;"", TEXT(F6091, "yyyy-mm"), "")</f>
        <v/>
      </c>
    </row>
    <row r="6092">
      <c r="A6092" t="inlineStr">
        <is>
          <t>RP0006091</t>
        </is>
      </c>
      <c r="B6092" t="inlineStr">
        <is>
          <t>LN200862</t>
        </is>
      </c>
      <c r="C6092" t="n">
        <v>4</v>
      </c>
      <c r="D6092" s="8" t="n">
        <v>46287</v>
      </c>
      <c r="E6092" s="9" t="n">
        <v>6810</v>
      </c>
      <c r="F6092" s="8" t="n"/>
      <c r="G6092" s="9" t="n">
        <v>0</v>
      </c>
      <c r="H6092" t="inlineStr">
        <is>
          <t>NOT_DUE</t>
        </is>
      </c>
      <c r="I6092">
        <f>IF(H6092="UNPAID", AsOfDate-D6092, 0)</f>
        <v/>
      </c>
      <c r="J6092">
        <f>IF(F6092&lt;&gt;"", TEXT(F6092, "yyyy-mm"), "")</f>
        <v/>
      </c>
    </row>
    <row r="6093">
      <c r="A6093" t="inlineStr">
        <is>
          <t>RP0006092</t>
        </is>
      </c>
      <c r="B6093" t="inlineStr">
        <is>
          <t>LN200862</t>
        </is>
      </c>
      <c r="C6093" t="n">
        <v>5</v>
      </c>
      <c r="D6093" s="8" t="n">
        <v>46317</v>
      </c>
      <c r="E6093" s="9" t="n">
        <v>6810</v>
      </c>
      <c r="F6093" s="8" t="n"/>
      <c r="G6093" s="9" t="n">
        <v>0</v>
      </c>
      <c r="H6093" t="inlineStr">
        <is>
          <t>NOT_DUE</t>
        </is>
      </c>
      <c r="I6093">
        <f>IF(H6093="UNPAID", AsOfDate-D6093, 0)</f>
        <v/>
      </c>
      <c r="J6093">
        <f>IF(F6093&lt;&gt;"", TEXT(F6093, "yyyy-mm"), "")</f>
        <v/>
      </c>
    </row>
    <row r="6094">
      <c r="A6094" t="inlineStr">
        <is>
          <t>RP0006093</t>
        </is>
      </c>
      <c r="B6094" t="inlineStr">
        <is>
          <t>LN200862</t>
        </is>
      </c>
      <c r="C6094" t="n">
        <v>6</v>
      </c>
      <c r="D6094" s="8" t="n">
        <v>46348</v>
      </c>
      <c r="E6094" s="9" t="n">
        <v>6810</v>
      </c>
      <c r="F6094" s="8" t="n"/>
      <c r="G6094" s="9" t="n">
        <v>0</v>
      </c>
      <c r="H6094" t="inlineStr">
        <is>
          <t>NOT_DUE</t>
        </is>
      </c>
      <c r="I6094">
        <f>IF(H6094="UNPAID", AsOfDate-D6094, 0)</f>
        <v/>
      </c>
      <c r="J6094">
        <f>IF(F6094&lt;&gt;"", TEXT(F6094, "yyyy-mm"), "")</f>
        <v/>
      </c>
    </row>
    <row r="6095">
      <c r="A6095" t="inlineStr">
        <is>
          <t>RP0006094</t>
        </is>
      </c>
      <c r="B6095" t="inlineStr">
        <is>
          <t>LN200862</t>
        </is>
      </c>
      <c r="C6095" t="n">
        <v>7</v>
      </c>
      <c r="D6095" s="8" t="n">
        <v>46378</v>
      </c>
      <c r="E6095" s="9" t="n">
        <v>6810</v>
      </c>
      <c r="F6095" s="8" t="n"/>
      <c r="G6095" s="9" t="n">
        <v>0</v>
      </c>
      <c r="H6095" t="inlineStr">
        <is>
          <t>NOT_DUE</t>
        </is>
      </c>
      <c r="I6095">
        <f>IF(H6095="UNPAID", AsOfDate-D6095, 0)</f>
        <v/>
      </c>
      <c r="J6095">
        <f>IF(F6095&lt;&gt;"", TEXT(F6095, "yyyy-mm"), "")</f>
        <v/>
      </c>
    </row>
    <row r="6096">
      <c r="A6096" t="inlineStr">
        <is>
          <t>RP0006095</t>
        </is>
      </c>
      <c r="B6096" t="inlineStr">
        <is>
          <t>LN200862</t>
        </is>
      </c>
      <c r="C6096" t="n">
        <v>8</v>
      </c>
      <c r="D6096" s="8" t="n">
        <v>46409</v>
      </c>
      <c r="E6096" s="9" t="n">
        <v>6810</v>
      </c>
      <c r="F6096" s="8" t="n"/>
      <c r="G6096" s="9" t="n">
        <v>0</v>
      </c>
      <c r="H6096" t="inlineStr">
        <is>
          <t>NOT_DUE</t>
        </is>
      </c>
      <c r="I6096">
        <f>IF(H6096="UNPAID", AsOfDate-D6096, 0)</f>
        <v/>
      </c>
      <c r="J6096">
        <f>IF(F6096&lt;&gt;"", TEXT(F6096, "yyyy-mm"), "")</f>
        <v/>
      </c>
    </row>
    <row r="6097">
      <c r="A6097" t="inlineStr">
        <is>
          <t>RP0006096</t>
        </is>
      </c>
      <c r="B6097" t="inlineStr">
        <is>
          <t>LN200862</t>
        </is>
      </c>
      <c r="C6097" t="n">
        <v>9</v>
      </c>
      <c r="D6097" s="8" t="n">
        <v>46440</v>
      </c>
      <c r="E6097" s="9" t="n">
        <v>6810</v>
      </c>
      <c r="F6097" s="8" t="n"/>
      <c r="G6097" s="9" t="n">
        <v>0</v>
      </c>
      <c r="H6097" t="inlineStr">
        <is>
          <t>NOT_DUE</t>
        </is>
      </c>
      <c r="I6097">
        <f>IF(H6097="UNPAID", AsOfDate-D6097, 0)</f>
        <v/>
      </c>
      <c r="J6097">
        <f>IF(F6097&lt;&gt;"", TEXT(F6097, "yyyy-mm"), "")</f>
        <v/>
      </c>
    </row>
    <row r="6098">
      <c r="A6098" t="inlineStr">
        <is>
          <t>RP0006097</t>
        </is>
      </c>
      <c r="B6098" t="inlineStr">
        <is>
          <t>LN200864</t>
        </is>
      </c>
      <c r="C6098" t="n">
        <v>1</v>
      </c>
      <c r="D6098" s="8" t="n">
        <v>45841</v>
      </c>
      <c r="E6098" s="9" t="n">
        <v>19767.25</v>
      </c>
      <c r="F6098" s="8" t="n">
        <v>45901</v>
      </c>
      <c r="G6098" s="9" t="n">
        <v>19767.25</v>
      </c>
      <c r="H6098" t="inlineStr">
        <is>
          <t>PAID_LATE</t>
        </is>
      </c>
      <c r="I6098">
        <f>IF(H6098="UNPAID", AsOfDate-D6098, 0)</f>
        <v/>
      </c>
      <c r="J6098">
        <f>IF(F6098&lt;&gt;"", TEXT(F6098, "yyyy-mm"), "")</f>
        <v/>
      </c>
    </row>
    <row r="6099">
      <c r="A6099" t="inlineStr">
        <is>
          <t>RP0006098</t>
        </is>
      </c>
      <c r="B6099" t="inlineStr">
        <is>
          <t>LN200864</t>
        </is>
      </c>
      <c r="C6099" t="n">
        <v>2</v>
      </c>
      <c r="D6099" s="8" t="n">
        <v>45872</v>
      </c>
      <c r="E6099" s="9" t="n">
        <v>19767.25</v>
      </c>
      <c r="F6099" s="8" t="n">
        <v>45875</v>
      </c>
      <c r="G6099" s="9" t="n">
        <v>19767.25</v>
      </c>
      <c r="H6099" t="inlineStr">
        <is>
          <t>PAID_ON_TIME</t>
        </is>
      </c>
      <c r="I6099">
        <f>IF(H6099="UNPAID", AsOfDate-D6099, 0)</f>
        <v/>
      </c>
      <c r="J6099">
        <f>IF(F6099&lt;&gt;"", TEXT(F6099, "yyyy-mm"), "")</f>
        <v/>
      </c>
    </row>
    <row r="6100">
      <c r="A6100" t="inlineStr">
        <is>
          <t>RP0006099</t>
        </is>
      </c>
      <c r="B6100" t="inlineStr">
        <is>
          <t>LN200864</t>
        </is>
      </c>
      <c r="C6100" t="n">
        <v>3</v>
      </c>
      <c r="D6100" s="8" t="n">
        <v>45903</v>
      </c>
      <c r="E6100" s="9" t="n">
        <v>19767.25</v>
      </c>
      <c r="F6100" s="8" t="n">
        <v>45905</v>
      </c>
      <c r="G6100" s="9" t="n">
        <v>19767.25</v>
      </c>
      <c r="H6100" t="inlineStr">
        <is>
          <t>PAID_ON_TIME</t>
        </is>
      </c>
      <c r="I6100">
        <f>IF(H6100="UNPAID", AsOfDate-D6100, 0)</f>
        <v/>
      </c>
      <c r="J6100">
        <f>IF(F6100&lt;&gt;"", TEXT(F6100, "yyyy-mm"), "")</f>
        <v/>
      </c>
    </row>
    <row r="6101">
      <c r="A6101" t="inlineStr">
        <is>
          <t>RP0006100</t>
        </is>
      </c>
      <c r="B6101" t="inlineStr">
        <is>
          <t>LN200864</t>
        </is>
      </c>
      <c r="C6101" t="n">
        <v>4</v>
      </c>
      <c r="D6101" s="8" t="n">
        <v>45933</v>
      </c>
      <c r="E6101" s="9" t="n">
        <v>19767.25</v>
      </c>
      <c r="F6101" s="8" t="n">
        <v>45932</v>
      </c>
      <c r="G6101" s="9" t="n">
        <v>19767.25</v>
      </c>
      <c r="H6101" t="inlineStr">
        <is>
          <t>PAID_ON_TIME</t>
        </is>
      </c>
      <c r="I6101">
        <f>IF(H6101="UNPAID", AsOfDate-D6101, 0)</f>
        <v/>
      </c>
      <c r="J6101">
        <f>IF(F6101&lt;&gt;"", TEXT(F6101, "yyyy-mm"), "")</f>
        <v/>
      </c>
    </row>
    <row r="6102">
      <c r="A6102" t="inlineStr">
        <is>
          <t>RP0006101</t>
        </is>
      </c>
      <c r="B6102" t="inlineStr">
        <is>
          <t>LN200864</t>
        </is>
      </c>
      <c r="C6102" t="n">
        <v>5</v>
      </c>
      <c r="D6102" s="8" t="n">
        <v>45964</v>
      </c>
      <c r="E6102" s="9" t="n">
        <v>19767.25</v>
      </c>
      <c r="F6102" s="8" t="n">
        <v>45962</v>
      </c>
      <c r="G6102" s="9" t="n">
        <v>19767.25</v>
      </c>
      <c r="H6102" t="inlineStr">
        <is>
          <t>PAID_ON_TIME</t>
        </is>
      </c>
      <c r="I6102">
        <f>IF(H6102="UNPAID", AsOfDate-D6102, 0)</f>
        <v/>
      </c>
      <c r="J6102">
        <f>IF(F6102&lt;&gt;"", TEXT(F6102, "yyyy-mm"), "")</f>
        <v/>
      </c>
    </row>
    <row r="6103">
      <c r="A6103" t="inlineStr">
        <is>
          <t>RP0006102</t>
        </is>
      </c>
      <c r="B6103" t="inlineStr">
        <is>
          <t>LN200864</t>
        </is>
      </c>
      <c r="C6103" t="n">
        <v>6</v>
      </c>
      <c r="D6103" s="8" t="n">
        <v>45994</v>
      </c>
      <c r="E6103" s="9" t="n">
        <v>19767.25</v>
      </c>
      <c r="F6103" s="8" t="n">
        <v>46043</v>
      </c>
      <c r="G6103" s="9" t="n">
        <v>19767.25</v>
      </c>
      <c r="H6103" t="inlineStr">
        <is>
          <t>PAID_LATE</t>
        </is>
      </c>
      <c r="I6103">
        <f>IF(H6103="UNPAID", AsOfDate-D6103, 0)</f>
        <v/>
      </c>
      <c r="J6103">
        <f>IF(F6103&lt;&gt;"", TEXT(F6103, "yyyy-mm"), "")</f>
        <v/>
      </c>
    </row>
    <row r="6104">
      <c r="A6104" t="inlineStr">
        <is>
          <t>RP0006103</t>
        </is>
      </c>
      <c r="B6104" t="inlineStr">
        <is>
          <t>LN200865</t>
        </is>
      </c>
      <c r="C6104" t="n">
        <v>1</v>
      </c>
      <c r="D6104" s="8" t="n">
        <v>45883</v>
      </c>
      <c r="E6104" s="9" t="n">
        <v>12104</v>
      </c>
      <c r="F6104" s="8" t="n">
        <v>45885</v>
      </c>
      <c r="G6104" s="9" t="n">
        <v>12104</v>
      </c>
      <c r="H6104" t="inlineStr">
        <is>
          <t>PAID_ON_TIME</t>
        </is>
      </c>
      <c r="I6104">
        <f>IF(H6104="UNPAID", AsOfDate-D6104, 0)</f>
        <v/>
      </c>
      <c r="J6104">
        <f>IF(F6104&lt;&gt;"", TEXT(F6104, "yyyy-mm"), "")</f>
        <v/>
      </c>
    </row>
    <row r="6105">
      <c r="A6105" t="inlineStr">
        <is>
          <t>RP0006104</t>
        </is>
      </c>
      <c r="B6105" t="inlineStr">
        <is>
          <t>LN200865</t>
        </is>
      </c>
      <c r="C6105" t="n">
        <v>2</v>
      </c>
      <c r="D6105" s="8" t="n">
        <v>45914</v>
      </c>
      <c r="E6105" s="9" t="n">
        <v>12104</v>
      </c>
      <c r="F6105" s="8" t="n">
        <v>45916</v>
      </c>
      <c r="G6105" s="9" t="n">
        <v>12104</v>
      </c>
      <c r="H6105" t="inlineStr">
        <is>
          <t>PAID_ON_TIME</t>
        </is>
      </c>
      <c r="I6105">
        <f>IF(H6105="UNPAID", AsOfDate-D6105, 0)</f>
        <v/>
      </c>
      <c r="J6105">
        <f>IF(F6105&lt;&gt;"", TEXT(F6105, "yyyy-mm"), "")</f>
        <v/>
      </c>
    </row>
    <row r="6106">
      <c r="A6106" t="inlineStr">
        <is>
          <t>RP0006105</t>
        </is>
      </c>
      <c r="B6106" t="inlineStr">
        <is>
          <t>LN200865</t>
        </is>
      </c>
      <c r="C6106" t="n">
        <v>3</v>
      </c>
      <c r="D6106" s="8" t="n">
        <v>45944</v>
      </c>
      <c r="E6106" s="9" t="n">
        <v>12104</v>
      </c>
      <c r="F6106" s="8" t="n">
        <v>46003</v>
      </c>
      <c r="G6106" s="9" t="n">
        <v>12104</v>
      </c>
      <c r="H6106" t="inlineStr">
        <is>
          <t>PAID_LATE</t>
        </is>
      </c>
      <c r="I6106">
        <f>IF(H6106="UNPAID", AsOfDate-D6106, 0)</f>
        <v/>
      </c>
      <c r="J6106">
        <f>IF(F6106&lt;&gt;"", TEXT(F6106, "yyyy-mm"), "")</f>
        <v/>
      </c>
    </row>
    <row r="6107">
      <c r="A6107" t="inlineStr">
        <is>
          <t>RP0006106</t>
        </is>
      </c>
      <c r="B6107" t="inlineStr">
        <is>
          <t>LN200865</t>
        </is>
      </c>
      <c r="C6107" t="n">
        <v>4</v>
      </c>
      <c r="D6107" s="8" t="n">
        <v>45975</v>
      </c>
      <c r="E6107" s="9" t="n">
        <v>12104</v>
      </c>
      <c r="F6107" s="8" t="n">
        <v>45976</v>
      </c>
      <c r="G6107" s="9" t="n">
        <v>12104</v>
      </c>
      <c r="H6107" t="inlineStr">
        <is>
          <t>PAID_LATE</t>
        </is>
      </c>
      <c r="I6107">
        <f>IF(H6107="UNPAID", AsOfDate-D6107, 0)</f>
        <v/>
      </c>
      <c r="J6107">
        <f>IF(F6107&lt;&gt;"", TEXT(F6107, "yyyy-mm"), "")</f>
        <v/>
      </c>
    </row>
    <row r="6108">
      <c r="A6108" t="inlineStr">
        <is>
          <t>RP0006107</t>
        </is>
      </c>
      <c r="B6108" t="inlineStr">
        <is>
          <t>LN200865</t>
        </is>
      </c>
      <c r="C6108" t="n">
        <v>5</v>
      </c>
      <c r="D6108" s="8" t="n">
        <v>46005</v>
      </c>
      <c r="E6108" s="9" t="n">
        <v>12104</v>
      </c>
      <c r="F6108" s="8" t="n">
        <v>46006</v>
      </c>
      <c r="G6108" s="9" t="n">
        <v>12104</v>
      </c>
      <c r="H6108" t="inlineStr">
        <is>
          <t>PAID_ON_TIME</t>
        </is>
      </c>
      <c r="I6108">
        <f>IF(H6108="UNPAID", AsOfDate-D6108, 0)</f>
        <v/>
      </c>
      <c r="J6108">
        <f>IF(F6108&lt;&gt;"", TEXT(F6108, "yyyy-mm"), "")</f>
        <v/>
      </c>
    </row>
    <row r="6109">
      <c r="A6109" t="inlineStr">
        <is>
          <t>RP0006108</t>
        </is>
      </c>
      <c r="B6109" t="inlineStr">
        <is>
          <t>LN200865</t>
        </is>
      </c>
      <c r="C6109" t="n">
        <v>6</v>
      </c>
      <c r="D6109" s="8" t="n">
        <v>46036</v>
      </c>
      <c r="E6109" s="9" t="n">
        <v>12104</v>
      </c>
      <c r="F6109" s="8" t="n">
        <v>46040</v>
      </c>
      <c r="G6109" s="9" t="n">
        <v>12104</v>
      </c>
      <c r="H6109" t="inlineStr">
        <is>
          <t>PAID_ON_TIME</t>
        </is>
      </c>
      <c r="I6109">
        <f>IF(H6109="UNPAID", AsOfDate-D6109, 0)</f>
        <v/>
      </c>
      <c r="J6109">
        <f>IF(F6109&lt;&gt;"", TEXT(F6109, "yyyy-mm"), "")</f>
        <v/>
      </c>
    </row>
    <row r="6110">
      <c r="A6110" t="inlineStr">
        <is>
          <t>RP0006109</t>
        </is>
      </c>
      <c r="B6110" t="inlineStr">
        <is>
          <t>LN200866</t>
        </is>
      </c>
      <c r="C6110" t="n">
        <v>1</v>
      </c>
      <c r="D6110" s="8" t="n">
        <v>46091</v>
      </c>
      <c r="E6110" s="9" t="n">
        <v>4736.33</v>
      </c>
      <c r="F6110" s="8" t="n">
        <v>46092</v>
      </c>
      <c r="G6110" s="9" t="n">
        <v>4736.33</v>
      </c>
      <c r="H6110" t="inlineStr">
        <is>
          <t>PAID_ON_TIME</t>
        </is>
      </c>
      <c r="I6110">
        <f>IF(H6110="UNPAID", AsOfDate-D6110, 0)</f>
        <v/>
      </c>
      <c r="J6110">
        <f>IF(F6110&lt;&gt;"", TEXT(F6110, "yyyy-mm"), "")</f>
        <v/>
      </c>
    </row>
    <row r="6111">
      <c r="A6111" t="inlineStr">
        <is>
          <t>RP0006110</t>
        </is>
      </c>
      <c r="B6111" t="inlineStr">
        <is>
          <t>LN200866</t>
        </is>
      </c>
      <c r="C6111" t="n">
        <v>2</v>
      </c>
      <c r="D6111" s="8" t="n">
        <v>46122</v>
      </c>
      <c r="E6111" s="9" t="n">
        <v>4736.33</v>
      </c>
      <c r="F6111" s="8" t="n">
        <v>46126</v>
      </c>
      <c r="G6111" s="9" t="n">
        <v>4736.33</v>
      </c>
      <c r="H6111" t="inlineStr">
        <is>
          <t>PAID_ON_TIME</t>
        </is>
      </c>
      <c r="I6111">
        <f>IF(H6111="UNPAID", AsOfDate-D6111, 0)</f>
        <v/>
      </c>
      <c r="J6111">
        <f>IF(F6111&lt;&gt;"", TEXT(F6111, "yyyy-mm"), "")</f>
        <v/>
      </c>
    </row>
    <row r="6112">
      <c r="A6112" t="inlineStr">
        <is>
          <t>RP0006111</t>
        </is>
      </c>
      <c r="B6112" t="inlineStr">
        <is>
          <t>LN200866</t>
        </is>
      </c>
      <c r="C6112" t="n">
        <v>3</v>
      </c>
      <c r="D6112" s="8" t="n">
        <v>46152</v>
      </c>
      <c r="E6112" s="9" t="n">
        <v>4736.33</v>
      </c>
      <c r="F6112" s="8" t="n">
        <v>46152</v>
      </c>
      <c r="G6112" s="9" t="n">
        <v>4736.33</v>
      </c>
      <c r="H6112" t="inlineStr">
        <is>
          <t>PAID_ON_TIME</t>
        </is>
      </c>
      <c r="I6112">
        <f>IF(H6112="UNPAID", AsOfDate-D6112, 0)</f>
        <v/>
      </c>
      <c r="J6112">
        <f>IF(F6112&lt;&gt;"", TEXT(F6112, "yyyy-mm"), "")</f>
        <v/>
      </c>
    </row>
    <row r="6113">
      <c r="A6113" t="inlineStr">
        <is>
          <t>RP0006112</t>
        </is>
      </c>
      <c r="B6113" t="inlineStr">
        <is>
          <t>LN200866</t>
        </is>
      </c>
      <c r="C6113" t="n">
        <v>4</v>
      </c>
      <c r="D6113" s="8" t="n">
        <v>46183</v>
      </c>
      <c r="E6113" s="9" t="n">
        <v>4736.33</v>
      </c>
      <c r="F6113" s="8" t="n">
        <v>46186</v>
      </c>
      <c r="G6113" s="9" t="n">
        <v>4736.33</v>
      </c>
      <c r="H6113" t="inlineStr">
        <is>
          <t>PAID_ON_TIME</t>
        </is>
      </c>
      <c r="I6113">
        <f>IF(H6113="UNPAID", AsOfDate-D6113, 0)</f>
        <v/>
      </c>
      <c r="J6113">
        <f>IF(F6113&lt;&gt;"", TEXT(F6113, "yyyy-mm"), "")</f>
        <v/>
      </c>
    </row>
    <row r="6114">
      <c r="A6114" t="inlineStr">
        <is>
          <t>RP0006113</t>
        </is>
      </c>
      <c r="B6114" t="inlineStr">
        <is>
          <t>LN200866</t>
        </is>
      </c>
      <c r="C6114" t="n">
        <v>5</v>
      </c>
      <c r="D6114" s="8" t="n">
        <v>46213</v>
      </c>
      <c r="E6114" s="9" t="n">
        <v>4736.33</v>
      </c>
      <c r="F6114" s="8" t="n">
        <v>46211</v>
      </c>
      <c r="G6114" s="9" t="n">
        <v>4736.33</v>
      </c>
      <c r="H6114" t="inlineStr">
        <is>
          <t>PAID_ON_TIME</t>
        </is>
      </c>
      <c r="I6114">
        <f>IF(H6114="UNPAID", AsOfDate-D6114, 0)</f>
        <v/>
      </c>
      <c r="J6114">
        <f>IF(F6114&lt;&gt;"", TEXT(F6114, "yyyy-mm"), "")</f>
        <v/>
      </c>
    </row>
    <row r="6115">
      <c r="A6115" t="inlineStr">
        <is>
          <t>RP0006114</t>
        </is>
      </c>
      <c r="B6115" t="inlineStr">
        <is>
          <t>LN200866</t>
        </is>
      </c>
      <c r="C6115" t="n">
        <v>6</v>
      </c>
      <c r="D6115" s="8" t="n">
        <v>46244</v>
      </c>
      <c r="E6115" s="9" t="n">
        <v>4736.33</v>
      </c>
      <c r="F6115" s="8" t="n">
        <v>46247</v>
      </c>
      <c r="G6115" s="9" t="n">
        <v>4736.33</v>
      </c>
      <c r="H6115" t="inlineStr">
        <is>
          <t>PAID_ON_TIME</t>
        </is>
      </c>
      <c r="I6115">
        <f>IF(H6115="UNPAID", AsOfDate-D6115, 0)</f>
        <v/>
      </c>
      <c r="J6115">
        <f>IF(F6115&lt;&gt;"", TEXT(F6115, "yyyy-mm"), "")</f>
        <v/>
      </c>
    </row>
    <row r="6116">
      <c r="A6116" t="inlineStr">
        <is>
          <t>RP0006115</t>
        </is>
      </c>
      <c r="B6116" t="inlineStr">
        <is>
          <t>LN200866</t>
        </is>
      </c>
      <c r="C6116" t="n">
        <v>7</v>
      </c>
      <c r="D6116" s="8" t="n">
        <v>46275</v>
      </c>
      <c r="E6116" s="9" t="n">
        <v>4736.33</v>
      </c>
      <c r="F6116" s="8" t="n"/>
      <c r="G6116" s="9" t="n">
        <v>0</v>
      </c>
      <c r="H6116" t="inlineStr">
        <is>
          <t>NOT_DUE</t>
        </is>
      </c>
      <c r="I6116">
        <f>IF(H6116="UNPAID", AsOfDate-D6116, 0)</f>
        <v/>
      </c>
      <c r="J6116">
        <f>IF(F6116&lt;&gt;"", TEXT(F6116, "yyyy-mm"), "")</f>
        <v/>
      </c>
    </row>
    <row r="6117">
      <c r="A6117" t="inlineStr">
        <is>
          <t>RP0006116</t>
        </is>
      </c>
      <c r="B6117" t="inlineStr">
        <is>
          <t>LN200866</t>
        </is>
      </c>
      <c r="C6117" t="n">
        <v>8</v>
      </c>
      <c r="D6117" s="8" t="n">
        <v>46305</v>
      </c>
      <c r="E6117" s="9" t="n">
        <v>4736.33</v>
      </c>
      <c r="F6117" s="8" t="n"/>
      <c r="G6117" s="9" t="n">
        <v>0</v>
      </c>
      <c r="H6117" t="inlineStr">
        <is>
          <t>NOT_DUE</t>
        </is>
      </c>
      <c r="I6117">
        <f>IF(H6117="UNPAID", AsOfDate-D6117, 0)</f>
        <v/>
      </c>
      <c r="J6117">
        <f>IF(F6117&lt;&gt;"", TEXT(F6117, "yyyy-mm"), "")</f>
        <v/>
      </c>
    </row>
    <row r="6118">
      <c r="A6118" t="inlineStr">
        <is>
          <t>RP0006117</t>
        </is>
      </c>
      <c r="B6118" t="inlineStr">
        <is>
          <t>LN200866</t>
        </is>
      </c>
      <c r="C6118" t="n">
        <v>9</v>
      </c>
      <c r="D6118" s="8" t="n">
        <v>46336</v>
      </c>
      <c r="E6118" s="9" t="n">
        <v>4736.33</v>
      </c>
      <c r="F6118" s="8" t="n"/>
      <c r="G6118" s="9" t="n">
        <v>0</v>
      </c>
      <c r="H6118" t="inlineStr">
        <is>
          <t>NOT_DUE</t>
        </is>
      </c>
      <c r="I6118">
        <f>IF(H6118="UNPAID", AsOfDate-D6118, 0)</f>
        <v/>
      </c>
      <c r="J6118">
        <f>IF(F6118&lt;&gt;"", TEXT(F6118, "yyyy-mm"), "")</f>
        <v/>
      </c>
    </row>
    <row r="6119">
      <c r="A6119" t="inlineStr">
        <is>
          <t>RP0006118</t>
        </is>
      </c>
      <c r="B6119" t="inlineStr">
        <is>
          <t>LN200867</t>
        </is>
      </c>
      <c r="C6119" t="n">
        <v>1</v>
      </c>
      <c r="D6119" s="8" t="n">
        <v>46250</v>
      </c>
      <c r="E6119" s="9" t="n">
        <v>13031.67</v>
      </c>
      <c r="F6119" s="8" t="n">
        <v>46250</v>
      </c>
      <c r="G6119" s="9" t="n">
        <v>13031.67</v>
      </c>
      <c r="H6119" t="inlineStr">
        <is>
          <t>PAID_ON_TIME</t>
        </is>
      </c>
      <c r="I6119">
        <f>IF(H6119="UNPAID", AsOfDate-D6119, 0)</f>
        <v/>
      </c>
      <c r="J6119">
        <f>IF(F6119&lt;&gt;"", TEXT(F6119, "yyyy-mm"), "")</f>
        <v/>
      </c>
    </row>
    <row r="6120">
      <c r="A6120" t="inlineStr">
        <is>
          <t>RP0006119</t>
        </is>
      </c>
      <c r="B6120" t="inlineStr">
        <is>
          <t>LN200867</t>
        </is>
      </c>
      <c r="C6120" t="n">
        <v>2</v>
      </c>
      <c r="D6120" s="8" t="n">
        <v>46281</v>
      </c>
      <c r="E6120" s="9" t="n">
        <v>13031.67</v>
      </c>
      <c r="F6120" s="8" t="n"/>
      <c r="G6120" s="9" t="n">
        <v>0</v>
      </c>
      <c r="H6120" t="inlineStr">
        <is>
          <t>NOT_DUE</t>
        </is>
      </c>
      <c r="I6120">
        <f>IF(H6120="UNPAID", AsOfDate-D6120, 0)</f>
        <v/>
      </c>
      <c r="J6120">
        <f>IF(F6120&lt;&gt;"", TEXT(F6120, "yyyy-mm"), "")</f>
        <v/>
      </c>
    </row>
    <row r="6121">
      <c r="A6121" t="inlineStr">
        <is>
          <t>RP0006120</t>
        </is>
      </c>
      <c r="B6121" t="inlineStr">
        <is>
          <t>LN200867</t>
        </is>
      </c>
      <c r="C6121" t="n">
        <v>3</v>
      </c>
      <c r="D6121" s="8" t="n">
        <v>46311</v>
      </c>
      <c r="E6121" s="9" t="n">
        <v>13031.67</v>
      </c>
      <c r="F6121" s="8" t="n"/>
      <c r="G6121" s="9" t="n">
        <v>0</v>
      </c>
      <c r="H6121" t="inlineStr">
        <is>
          <t>NOT_DUE</t>
        </is>
      </c>
      <c r="I6121">
        <f>IF(H6121="UNPAID", AsOfDate-D6121, 0)</f>
        <v/>
      </c>
      <c r="J6121">
        <f>IF(F6121&lt;&gt;"", TEXT(F6121, "yyyy-mm"), "")</f>
        <v/>
      </c>
    </row>
    <row r="6122">
      <c r="A6122" t="inlineStr">
        <is>
          <t>RP0006121</t>
        </is>
      </c>
      <c r="B6122" t="inlineStr">
        <is>
          <t>LN200867</t>
        </is>
      </c>
      <c r="C6122" t="n">
        <v>4</v>
      </c>
      <c r="D6122" s="8" t="n">
        <v>46342</v>
      </c>
      <c r="E6122" s="9" t="n">
        <v>13031.67</v>
      </c>
      <c r="F6122" s="8" t="n"/>
      <c r="G6122" s="9" t="n">
        <v>0</v>
      </c>
      <c r="H6122" t="inlineStr">
        <is>
          <t>NOT_DUE</t>
        </is>
      </c>
      <c r="I6122">
        <f>IF(H6122="UNPAID", AsOfDate-D6122, 0)</f>
        <v/>
      </c>
      <c r="J6122">
        <f>IF(F6122&lt;&gt;"", TEXT(F6122, "yyyy-mm"), "")</f>
        <v/>
      </c>
    </row>
    <row r="6123">
      <c r="A6123" t="inlineStr">
        <is>
          <t>RP0006122</t>
        </is>
      </c>
      <c r="B6123" t="inlineStr">
        <is>
          <t>LN200867</t>
        </is>
      </c>
      <c r="C6123" t="n">
        <v>5</v>
      </c>
      <c r="D6123" s="8" t="n">
        <v>46372</v>
      </c>
      <c r="E6123" s="9" t="n">
        <v>13031.67</v>
      </c>
      <c r="F6123" s="8" t="n"/>
      <c r="G6123" s="9" t="n">
        <v>0</v>
      </c>
      <c r="H6123" t="inlineStr">
        <is>
          <t>NOT_DUE</t>
        </is>
      </c>
      <c r="I6123">
        <f>IF(H6123="UNPAID", AsOfDate-D6123, 0)</f>
        <v/>
      </c>
      <c r="J6123">
        <f>IF(F6123&lt;&gt;"", TEXT(F6123, "yyyy-mm"), "")</f>
        <v/>
      </c>
    </row>
    <row r="6124">
      <c r="A6124" t="inlineStr">
        <is>
          <t>RP0006123</t>
        </is>
      </c>
      <c r="B6124" t="inlineStr">
        <is>
          <t>LN200867</t>
        </is>
      </c>
      <c r="C6124" t="n">
        <v>6</v>
      </c>
      <c r="D6124" s="8" t="n">
        <v>46403</v>
      </c>
      <c r="E6124" s="9" t="n">
        <v>13031.67</v>
      </c>
      <c r="F6124" s="8" t="n"/>
      <c r="G6124" s="9" t="n">
        <v>0</v>
      </c>
      <c r="H6124" t="inlineStr">
        <is>
          <t>NOT_DUE</t>
        </is>
      </c>
      <c r="I6124">
        <f>IF(H6124="UNPAID", AsOfDate-D6124, 0)</f>
        <v/>
      </c>
      <c r="J6124">
        <f>IF(F6124&lt;&gt;"", TEXT(F6124, "yyyy-mm"), "")</f>
        <v/>
      </c>
    </row>
    <row r="6125">
      <c r="A6125" t="inlineStr">
        <is>
          <t>RP0006124</t>
        </is>
      </c>
      <c r="B6125" t="inlineStr">
        <is>
          <t>LN200868</t>
        </is>
      </c>
      <c r="C6125" t="n">
        <v>1</v>
      </c>
      <c r="D6125" s="8" t="n">
        <v>45689</v>
      </c>
      <c r="E6125" s="9" t="n">
        <v>3700</v>
      </c>
      <c r="F6125" s="8" t="n">
        <v>45689</v>
      </c>
      <c r="G6125" s="9" t="n">
        <v>3700</v>
      </c>
      <c r="H6125" t="inlineStr">
        <is>
          <t>PAID_ON_TIME</t>
        </is>
      </c>
      <c r="I6125">
        <f>IF(H6125="UNPAID", AsOfDate-D6125, 0)</f>
        <v/>
      </c>
      <c r="J6125">
        <f>IF(F6125&lt;&gt;"", TEXT(F6125, "yyyy-mm"), "")</f>
        <v/>
      </c>
    </row>
    <row r="6126">
      <c r="A6126" t="inlineStr">
        <is>
          <t>RP0006125</t>
        </is>
      </c>
      <c r="B6126" t="inlineStr">
        <is>
          <t>LN200868</t>
        </is>
      </c>
      <c r="C6126" t="n">
        <v>2</v>
      </c>
      <c r="D6126" s="8" t="n">
        <v>45717</v>
      </c>
      <c r="E6126" s="9" t="n">
        <v>3700</v>
      </c>
      <c r="F6126" s="8" t="n">
        <v>45718</v>
      </c>
      <c r="G6126" s="9" t="n">
        <v>3700</v>
      </c>
      <c r="H6126" t="inlineStr">
        <is>
          <t>PAID_ON_TIME</t>
        </is>
      </c>
      <c r="I6126">
        <f>IF(H6126="UNPAID", AsOfDate-D6126, 0)</f>
        <v/>
      </c>
      <c r="J6126">
        <f>IF(F6126&lt;&gt;"", TEXT(F6126, "yyyy-mm"), "")</f>
        <v/>
      </c>
    </row>
    <row r="6127">
      <c r="A6127" t="inlineStr">
        <is>
          <t>RP0006126</t>
        </is>
      </c>
      <c r="B6127" t="inlineStr">
        <is>
          <t>LN200868</t>
        </is>
      </c>
      <c r="C6127" t="n">
        <v>3</v>
      </c>
      <c r="D6127" s="8" t="n">
        <v>45748</v>
      </c>
      <c r="E6127" s="9" t="n">
        <v>3700</v>
      </c>
      <c r="F6127" s="8" t="n">
        <v>45747</v>
      </c>
      <c r="G6127" s="9" t="n">
        <v>3700</v>
      </c>
      <c r="H6127" t="inlineStr">
        <is>
          <t>PAID_ON_TIME</t>
        </is>
      </c>
      <c r="I6127">
        <f>IF(H6127="UNPAID", AsOfDate-D6127, 0)</f>
        <v/>
      </c>
      <c r="J6127">
        <f>IF(F6127&lt;&gt;"", TEXT(F6127, "yyyy-mm"), "")</f>
        <v/>
      </c>
    </row>
    <row r="6128">
      <c r="A6128" t="inlineStr">
        <is>
          <t>RP0006127</t>
        </is>
      </c>
      <c r="B6128" t="inlineStr">
        <is>
          <t>LN200868</t>
        </is>
      </c>
      <c r="C6128" t="n">
        <v>4</v>
      </c>
      <c r="D6128" s="8" t="n">
        <v>45778</v>
      </c>
      <c r="E6128" s="9" t="n">
        <v>3700</v>
      </c>
      <c r="F6128" s="8" t="n"/>
      <c r="G6128" s="9" t="n">
        <v>0</v>
      </c>
      <c r="H6128" t="inlineStr">
        <is>
          <t>UNPAID</t>
        </is>
      </c>
      <c r="I6128">
        <f>IF(H6128="UNPAID", AsOfDate-D6128, 0)</f>
        <v/>
      </c>
      <c r="J6128">
        <f>IF(F6128&lt;&gt;"", TEXT(F6128, "yyyy-mm"), "")</f>
        <v/>
      </c>
    </row>
    <row r="6129">
      <c r="A6129" t="inlineStr">
        <is>
          <t>RP0006128</t>
        </is>
      </c>
      <c r="B6129" t="inlineStr">
        <is>
          <t>LN200868</t>
        </is>
      </c>
      <c r="C6129" t="n">
        <v>5</v>
      </c>
      <c r="D6129" s="8" t="n">
        <v>45809</v>
      </c>
      <c r="E6129" s="9" t="n">
        <v>3700</v>
      </c>
      <c r="F6129" s="8" t="n">
        <v>45813</v>
      </c>
      <c r="G6129" s="9" t="n">
        <v>3700</v>
      </c>
      <c r="H6129" t="inlineStr">
        <is>
          <t>PAID_ON_TIME</t>
        </is>
      </c>
      <c r="I6129">
        <f>IF(H6129="UNPAID", AsOfDate-D6129, 0)</f>
        <v/>
      </c>
      <c r="J6129">
        <f>IF(F6129&lt;&gt;"", TEXT(F6129, "yyyy-mm"), "")</f>
        <v/>
      </c>
    </row>
    <row r="6130">
      <c r="A6130" t="inlineStr">
        <is>
          <t>RP0006129</t>
        </is>
      </c>
      <c r="B6130" t="inlineStr">
        <is>
          <t>LN200868</t>
        </is>
      </c>
      <c r="C6130" t="n">
        <v>6</v>
      </c>
      <c r="D6130" s="8" t="n">
        <v>45839</v>
      </c>
      <c r="E6130" s="9" t="n">
        <v>3700</v>
      </c>
      <c r="F6130" s="8" t="n">
        <v>45838</v>
      </c>
      <c r="G6130" s="9" t="n">
        <v>3700</v>
      </c>
      <c r="H6130" t="inlineStr">
        <is>
          <t>PAID_ON_TIME</t>
        </is>
      </c>
      <c r="I6130">
        <f>IF(H6130="UNPAID", AsOfDate-D6130, 0)</f>
        <v/>
      </c>
      <c r="J6130">
        <f>IF(F6130&lt;&gt;"", TEXT(F6130, "yyyy-mm"), "")</f>
        <v/>
      </c>
    </row>
    <row r="6131">
      <c r="A6131" t="inlineStr">
        <is>
          <t>RP0006130</t>
        </is>
      </c>
      <c r="B6131" t="inlineStr">
        <is>
          <t>LN200869</t>
        </is>
      </c>
      <c r="C6131" t="n">
        <v>1</v>
      </c>
      <c r="D6131" s="8" t="n">
        <v>46241</v>
      </c>
      <c r="E6131" s="9" t="n">
        <v>10503.83</v>
      </c>
      <c r="F6131" s="8" t="n">
        <v>46244</v>
      </c>
      <c r="G6131" s="9" t="n">
        <v>10503.83</v>
      </c>
      <c r="H6131" t="inlineStr">
        <is>
          <t>PAID_ON_TIME</t>
        </is>
      </c>
      <c r="I6131">
        <f>IF(H6131="UNPAID", AsOfDate-D6131, 0)</f>
        <v/>
      </c>
      <c r="J6131">
        <f>IF(F6131&lt;&gt;"", TEXT(F6131, "yyyy-mm"), "")</f>
        <v/>
      </c>
    </row>
    <row r="6132">
      <c r="A6132" t="inlineStr">
        <is>
          <t>RP0006131</t>
        </is>
      </c>
      <c r="B6132" t="inlineStr">
        <is>
          <t>LN200869</t>
        </is>
      </c>
      <c r="C6132" t="n">
        <v>2</v>
      </c>
      <c r="D6132" s="8" t="n">
        <v>46272</v>
      </c>
      <c r="E6132" s="9" t="n">
        <v>10503.83</v>
      </c>
      <c r="F6132" s="8" t="n"/>
      <c r="G6132" s="9" t="n">
        <v>0</v>
      </c>
      <c r="H6132" t="inlineStr">
        <is>
          <t>NOT_DUE</t>
        </is>
      </c>
      <c r="I6132">
        <f>IF(H6132="UNPAID", AsOfDate-D6132, 0)</f>
        <v/>
      </c>
      <c r="J6132">
        <f>IF(F6132&lt;&gt;"", TEXT(F6132, "yyyy-mm"), "")</f>
        <v/>
      </c>
    </row>
    <row r="6133">
      <c r="A6133" t="inlineStr">
        <is>
          <t>RP0006132</t>
        </is>
      </c>
      <c r="B6133" t="inlineStr">
        <is>
          <t>LN200869</t>
        </is>
      </c>
      <c r="C6133" t="n">
        <v>3</v>
      </c>
      <c r="D6133" s="8" t="n">
        <v>46302</v>
      </c>
      <c r="E6133" s="9" t="n">
        <v>10503.83</v>
      </c>
      <c r="F6133" s="8" t="n"/>
      <c r="G6133" s="9" t="n">
        <v>0</v>
      </c>
      <c r="H6133" t="inlineStr">
        <is>
          <t>NOT_DUE</t>
        </is>
      </c>
      <c r="I6133">
        <f>IF(H6133="UNPAID", AsOfDate-D6133, 0)</f>
        <v/>
      </c>
      <c r="J6133">
        <f>IF(F6133&lt;&gt;"", TEXT(F6133, "yyyy-mm"), "")</f>
        <v/>
      </c>
    </row>
    <row r="6134">
      <c r="A6134" t="inlineStr">
        <is>
          <t>RP0006133</t>
        </is>
      </c>
      <c r="B6134" t="inlineStr">
        <is>
          <t>LN200869</t>
        </is>
      </c>
      <c r="C6134" t="n">
        <v>4</v>
      </c>
      <c r="D6134" s="8" t="n">
        <v>46333</v>
      </c>
      <c r="E6134" s="9" t="n">
        <v>10503.83</v>
      </c>
      <c r="F6134" s="8" t="n"/>
      <c r="G6134" s="9" t="n">
        <v>0</v>
      </c>
      <c r="H6134" t="inlineStr">
        <is>
          <t>NOT_DUE</t>
        </is>
      </c>
      <c r="I6134">
        <f>IF(H6134="UNPAID", AsOfDate-D6134, 0)</f>
        <v/>
      </c>
      <c r="J6134">
        <f>IF(F6134&lt;&gt;"", TEXT(F6134, "yyyy-mm"), "")</f>
        <v/>
      </c>
    </row>
    <row r="6135">
      <c r="A6135" t="inlineStr">
        <is>
          <t>RP0006134</t>
        </is>
      </c>
      <c r="B6135" t="inlineStr">
        <is>
          <t>LN200869</t>
        </is>
      </c>
      <c r="C6135" t="n">
        <v>5</v>
      </c>
      <c r="D6135" s="8" t="n">
        <v>46363</v>
      </c>
      <c r="E6135" s="9" t="n">
        <v>10503.83</v>
      </c>
      <c r="F6135" s="8" t="n"/>
      <c r="G6135" s="9" t="n">
        <v>0</v>
      </c>
      <c r="H6135" t="inlineStr">
        <is>
          <t>NOT_DUE</t>
        </is>
      </c>
      <c r="I6135">
        <f>IF(H6135="UNPAID", AsOfDate-D6135, 0)</f>
        <v/>
      </c>
      <c r="J6135">
        <f>IF(F6135&lt;&gt;"", TEXT(F6135, "yyyy-mm"), "")</f>
        <v/>
      </c>
    </row>
    <row r="6136">
      <c r="A6136" t="inlineStr">
        <is>
          <t>RP0006135</t>
        </is>
      </c>
      <c r="B6136" t="inlineStr">
        <is>
          <t>LN200869</t>
        </is>
      </c>
      <c r="C6136" t="n">
        <v>6</v>
      </c>
      <c r="D6136" s="8" t="n">
        <v>46394</v>
      </c>
      <c r="E6136" s="9" t="n">
        <v>10503.83</v>
      </c>
      <c r="F6136" s="8" t="n"/>
      <c r="G6136" s="9" t="n">
        <v>0</v>
      </c>
      <c r="H6136" t="inlineStr">
        <is>
          <t>NOT_DUE</t>
        </is>
      </c>
      <c r="I6136">
        <f>IF(H6136="UNPAID", AsOfDate-D6136, 0)</f>
        <v/>
      </c>
      <c r="J6136">
        <f>IF(F6136&lt;&gt;"", TEXT(F6136, "yyyy-mm"), "")</f>
        <v/>
      </c>
    </row>
    <row r="6137">
      <c r="A6137" t="inlineStr">
        <is>
          <t>RP0006136</t>
        </is>
      </c>
      <c r="B6137" t="inlineStr">
        <is>
          <t>LN200869</t>
        </is>
      </c>
      <c r="C6137" t="n">
        <v>7</v>
      </c>
      <c r="D6137" s="8" t="n">
        <v>46425</v>
      </c>
      <c r="E6137" s="9" t="n">
        <v>10503.83</v>
      </c>
      <c r="F6137" s="8" t="n"/>
      <c r="G6137" s="9" t="n">
        <v>0</v>
      </c>
      <c r="H6137" t="inlineStr">
        <is>
          <t>NOT_DUE</t>
        </is>
      </c>
      <c r="I6137">
        <f>IF(H6137="UNPAID", AsOfDate-D6137, 0)</f>
        <v/>
      </c>
      <c r="J6137">
        <f>IF(F6137&lt;&gt;"", TEXT(F6137, "yyyy-mm"), "")</f>
        <v/>
      </c>
    </row>
    <row r="6138">
      <c r="A6138" t="inlineStr">
        <is>
          <t>RP0006137</t>
        </is>
      </c>
      <c r="B6138" t="inlineStr">
        <is>
          <t>LN200869</t>
        </is>
      </c>
      <c r="C6138" t="n">
        <v>8</v>
      </c>
      <c r="D6138" s="8" t="n">
        <v>46453</v>
      </c>
      <c r="E6138" s="9" t="n">
        <v>10503.83</v>
      </c>
      <c r="F6138" s="8" t="n"/>
      <c r="G6138" s="9" t="n">
        <v>0</v>
      </c>
      <c r="H6138" t="inlineStr">
        <is>
          <t>NOT_DUE</t>
        </is>
      </c>
      <c r="I6138">
        <f>IF(H6138="UNPAID", AsOfDate-D6138, 0)</f>
        <v/>
      </c>
      <c r="J6138">
        <f>IF(F6138&lt;&gt;"", TEXT(F6138, "yyyy-mm"), "")</f>
        <v/>
      </c>
    </row>
    <row r="6139">
      <c r="A6139" t="inlineStr">
        <is>
          <t>RP0006138</t>
        </is>
      </c>
      <c r="B6139" t="inlineStr">
        <is>
          <t>LN200869</t>
        </is>
      </c>
      <c r="C6139" t="n">
        <v>9</v>
      </c>
      <c r="D6139" s="8" t="n">
        <v>46484</v>
      </c>
      <c r="E6139" s="9" t="n">
        <v>10503.83</v>
      </c>
      <c r="F6139" s="8" t="n"/>
      <c r="G6139" s="9" t="n">
        <v>0</v>
      </c>
      <c r="H6139" t="inlineStr">
        <is>
          <t>NOT_DUE</t>
        </is>
      </c>
      <c r="I6139">
        <f>IF(H6139="UNPAID", AsOfDate-D6139, 0)</f>
        <v/>
      </c>
      <c r="J6139">
        <f>IF(F6139&lt;&gt;"", TEXT(F6139, "yyyy-mm"), "")</f>
        <v/>
      </c>
    </row>
    <row r="6140">
      <c r="A6140" t="inlineStr">
        <is>
          <t>RP0006139</t>
        </is>
      </c>
      <c r="B6140" t="inlineStr">
        <is>
          <t>LN200869</t>
        </is>
      </c>
      <c r="C6140" t="n">
        <v>10</v>
      </c>
      <c r="D6140" s="8" t="n">
        <v>46514</v>
      </c>
      <c r="E6140" s="9" t="n">
        <v>10503.83</v>
      </c>
      <c r="F6140" s="8" t="n"/>
      <c r="G6140" s="9" t="n">
        <v>0</v>
      </c>
      <c r="H6140" t="inlineStr">
        <is>
          <t>NOT_DUE</t>
        </is>
      </c>
      <c r="I6140">
        <f>IF(H6140="UNPAID", AsOfDate-D6140, 0)</f>
        <v/>
      </c>
      <c r="J6140">
        <f>IF(F6140&lt;&gt;"", TEXT(F6140, "yyyy-mm"), "")</f>
        <v/>
      </c>
    </row>
    <row r="6141">
      <c r="A6141" t="inlineStr">
        <is>
          <t>RP0006140</t>
        </is>
      </c>
      <c r="B6141" t="inlineStr">
        <is>
          <t>LN200869</t>
        </is>
      </c>
      <c r="C6141" t="n">
        <v>11</v>
      </c>
      <c r="D6141" s="8" t="n">
        <v>46545</v>
      </c>
      <c r="E6141" s="9" t="n">
        <v>10503.83</v>
      </c>
      <c r="F6141" s="8" t="n"/>
      <c r="G6141" s="9" t="n">
        <v>0</v>
      </c>
      <c r="H6141" t="inlineStr">
        <is>
          <t>NOT_DUE</t>
        </is>
      </c>
      <c r="I6141">
        <f>IF(H6141="UNPAID", AsOfDate-D6141, 0)</f>
        <v/>
      </c>
      <c r="J6141">
        <f>IF(F6141&lt;&gt;"", TEXT(F6141, "yyyy-mm"), "")</f>
        <v/>
      </c>
    </row>
    <row r="6142">
      <c r="A6142" t="inlineStr">
        <is>
          <t>RP0006141</t>
        </is>
      </c>
      <c r="B6142" t="inlineStr">
        <is>
          <t>LN200869</t>
        </is>
      </c>
      <c r="C6142" t="n">
        <v>12</v>
      </c>
      <c r="D6142" s="8" t="n">
        <v>46575</v>
      </c>
      <c r="E6142" s="9" t="n">
        <v>10503.83</v>
      </c>
      <c r="F6142" s="8" t="n"/>
      <c r="G6142" s="9" t="n">
        <v>0</v>
      </c>
      <c r="H6142" t="inlineStr">
        <is>
          <t>NOT_DUE</t>
        </is>
      </c>
      <c r="I6142">
        <f>IF(H6142="UNPAID", AsOfDate-D6142, 0)</f>
        <v/>
      </c>
      <c r="J6142">
        <f>IF(F6142&lt;&gt;"", TEXT(F6142, "yyyy-mm"), "")</f>
        <v/>
      </c>
    </row>
    <row r="6143">
      <c r="A6143" t="inlineStr">
        <is>
          <t>RP0006142</t>
        </is>
      </c>
      <c r="B6143" t="inlineStr">
        <is>
          <t>LN200871</t>
        </is>
      </c>
      <c r="C6143" t="n">
        <v>1</v>
      </c>
      <c r="D6143" s="8" t="n">
        <v>46194</v>
      </c>
      <c r="E6143" s="9" t="n">
        <v>59239.67</v>
      </c>
      <c r="F6143" s="8" t="n">
        <v>46196</v>
      </c>
      <c r="G6143" s="9" t="n">
        <v>59239.67</v>
      </c>
      <c r="H6143" t="inlineStr">
        <is>
          <t>PAID_ON_TIME</t>
        </is>
      </c>
      <c r="I6143">
        <f>IF(H6143="UNPAID", AsOfDate-D6143, 0)</f>
        <v/>
      </c>
      <c r="J6143">
        <f>IF(F6143&lt;&gt;"", TEXT(F6143, "yyyy-mm"), "")</f>
        <v/>
      </c>
    </row>
    <row r="6144">
      <c r="A6144" t="inlineStr">
        <is>
          <t>RP0006143</t>
        </is>
      </c>
      <c r="B6144" t="inlineStr">
        <is>
          <t>LN200871</t>
        </is>
      </c>
      <c r="C6144" t="n">
        <v>2</v>
      </c>
      <c r="D6144" s="8" t="n">
        <v>46224</v>
      </c>
      <c r="E6144" s="9" t="n">
        <v>59239.67</v>
      </c>
      <c r="F6144" s="8" t="n">
        <v>46236</v>
      </c>
      <c r="G6144" s="9" t="n">
        <v>59239.67</v>
      </c>
      <c r="H6144" t="inlineStr">
        <is>
          <t>PAID_LATE</t>
        </is>
      </c>
      <c r="I6144">
        <f>IF(H6144="UNPAID", AsOfDate-D6144, 0)</f>
        <v/>
      </c>
      <c r="J6144">
        <f>IF(F6144&lt;&gt;"", TEXT(F6144, "yyyy-mm"), "")</f>
        <v/>
      </c>
    </row>
    <row r="6145">
      <c r="A6145" t="inlineStr">
        <is>
          <t>RP0006144</t>
        </is>
      </c>
      <c r="B6145" t="inlineStr">
        <is>
          <t>LN200871</t>
        </is>
      </c>
      <c r="C6145" t="n">
        <v>3</v>
      </c>
      <c r="D6145" s="8" t="n">
        <v>46255</v>
      </c>
      <c r="E6145" s="9" t="n">
        <v>59239.67</v>
      </c>
      <c r="F6145" s="8" t="n">
        <v>46255</v>
      </c>
      <c r="G6145" s="9" t="n">
        <v>59239.67</v>
      </c>
      <c r="H6145" t="inlineStr">
        <is>
          <t>PAID_ON_TIME</t>
        </is>
      </c>
      <c r="I6145">
        <f>IF(H6145="UNPAID", AsOfDate-D6145, 0)</f>
        <v/>
      </c>
      <c r="J6145">
        <f>IF(F6145&lt;&gt;"", TEXT(F6145, "yyyy-mm"), "")</f>
        <v/>
      </c>
    </row>
    <row r="6146">
      <c r="A6146" t="inlineStr">
        <is>
          <t>RP0006145</t>
        </is>
      </c>
      <c r="B6146" t="inlineStr">
        <is>
          <t>LN200872</t>
        </is>
      </c>
      <c r="C6146" t="n">
        <v>1</v>
      </c>
      <c r="D6146" s="8" t="n">
        <v>45959</v>
      </c>
      <c r="E6146" s="9" t="n">
        <v>5874.5</v>
      </c>
      <c r="F6146" s="8" t="n">
        <v>45959</v>
      </c>
      <c r="G6146" s="9" t="n">
        <v>5874.5</v>
      </c>
      <c r="H6146" t="inlineStr">
        <is>
          <t>PAID_ON_TIME</t>
        </is>
      </c>
      <c r="I6146">
        <f>IF(H6146="UNPAID", AsOfDate-D6146, 0)</f>
        <v/>
      </c>
      <c r="J6146">
        <f>IF(F6146&lt;&gt;"", TEXT(F6146, "yyyy-mm"), "")</f>
        <v/>
      </c>
    </row>
    <row r="6147">
      <c r="A6147" t="inlineStr">
        <is>
          <t>RP0006146</t>
        </is>
      </c>
      <c r="B6147" t="inlineStr">
        <is>
          <t>LN200872</t>
        </is>
      </c>
      <c r="C6147" t="n">
        <v>2</v>
      </c>
      <c r="D6147" s="8" t="n">
        <v>45990</v>
      </c>
      <c r="E6147" s="9" t="n">
        <v>5874.5</v>
      </c>
      <c r="F6147" s="8" t="n">
        <v>45988</v>
      </c>
      <c r="G6147" s="9" t="n">
        <v>5874.5</v>
      </c>
      <c r="H6147" t="inlineStr">
        <is>
          <t>PAID_ON_TIME</t>
        </is>
      </c>
      <c r="I6147">
        <f>IF(H6147="UNPAID", AsOfDate-D6147, 0)</f>
        <v/>
      </c>
      <c r="J6147">
        <f>IF(F6147&lt;&gt;"", TEXT(F6147, "yyyy-mm"), "")</f>
        <v/>
      </c>
    </row>
    <row r="6148">
      <c r="A6148" t="inlineStr">
        <is>
          <t>RP0006147</t>
        </is>
      </c>
      <c r="B6148" t="inlineStr">
        <is>
          <t>LN200872</t>
        </is>
      </c>
      <c r="C6148" t="n">
        <v>3</v>
      </c>
      <c r="D6148" s="8" t="n">
        <v>46020</v>
      </c>
      <c r="E6148" s="9" t="n">
        <v>5874.5</v>
      </c>
      <c r="F6148" s="8" t="n">
        <v>46021</v>
      </c>
      <c r="G6148" s="9" t="n">
        <v>5874.5</v>
      </c>
      <c r="H6148" t="inlineStr">
        <is>
          <t>PAID_ON_TIME</t>
        </is>
      </c>
      <c r="I6148">
        <f>IF(H6148="UNPAID", AsOfDate-D6148, 0)</f>
        <v/>
      </c>
      <c r="J6148">
        <f>IF(F6148&lt;&gt;"", TEXT(F6148, "yyyy-mm"), "")</f>
        <v/>
      </c>
    </row>
    <row r="6149">
      <c r="A6149" t="inlineStr">
        <is>
          <t>RP0006148</t>
        </is>
      </c>
      <c r="B6149" t="inlineStr">
        <is>
          <t>LN200872</t>
        </is>
      </c>
      <c r="C6149" t="n">
        <v>4</v>
      </c>
      <c r="D6149" s="8" t="n">
        <v>46051</v>
      </c>
      <c r="E6149" s="9" t="n">
        <v>5874.5</v>
      </c>
      <c r="F6149" s="8" t="n">
        <v>46050</v>
      </c>
      <c r="G6149" s="9" t="n">
        <v>5874.5</v>
      </c>
      <c r="H6149" t="inlineStr">
        <is>
          <t>PAID_ON_TIME</t>
        </is>
      </c>
      <c r="I6149">
        <f>IF(H6149="UNPAID", AsOfDate-D6149, 0)</f>
        <v/>
      </c>
      <c r="J6149">
        <f>IF(F6149&lt;&gt;"", TEXT(F6149, "yyyy-mm"), "")</f>
        <v/>
      </c>
    </row>
    <row r="6150">
      <c r="A6150" t="inlineStr">
        <is>
          <t>RP0006149</t>
        </is>
      </c>
      <c r="B6150" t="inlineStr">
        <is>
          <t>LN200872</t>
        </is>
      </c>
      <c r="C6150" t="n">
        <v>5</v>
      </c>
      <c r="D6150" s="8" t="n">
        <v>46081</v>
      </c>
      <c r="E6150" s="9" t="n">
        <v>5874.5</v>
      </c>
      <c r="F6150" s="8" t="n">
        <v>46108</v>
      </c>
      <c r="G6150" s="9" t="n">
        <v>5874.5</v>
      </c>
      <c r="H6150" t="inlineStr">
        <is>
          <t>PAID_LATE</t>
        </is>
      </c>
      <c r="I6150">
        <f>IF(H6150="UNPAID", AsOfDate-D6150, 0)</f>
        <v/>
      </c>
      <c r="J6150">
        <f>IF(F6150&lt;&gt;"", TEXT(F6150, "yyyy-mm"), "")</f>
        <v/>
      </c>
    </row>
    <row r="6151">
      <c r="A6151" t="inlineStr">
        <is>
          <t>RP0006150</t>
        </is>
      </c>
      <c r="B6151" t="inlineStr">
        <is>
          <t>LN200872</t>
        </is>
      </c>
      <c r="C6151" t="n">
        <v>6</v>
      </c>
      <c r="D6151" s="8" t="n">
        <v>46110</v>
      </c>
      <c r="E6151" s="9" t="n">
        <v>5874.5</v>
      </c>
      <c r="F6151" s="8" t="n">
        <v>46108</v>
      </c>
      <c r="G6151" s="9" t="n">
        <v>5874.5</v>
      </c>
      <c r="H6151" t="inlineStr">
        <is>
          <t>PAID_ON_TIME</t>
        </is>
      </c>
      <c r="I6151">
        <f>IF(H6151="UNPAID", AsOfDate-D6151, 0)</f>
        <v/>
      </c>
      <c r="J6151">
        <f>IF(F6151&lt;&gt;"", TEXT(F6151, "yyyy-mm"), "")</f>
        <v/>
      </c>
    </row>
    <row r="6152">
      <c r="A6152" t="inlineStr">
        <is>
          <t>RP0006151</t>
        </is>
      </c>
      <c r="B6152" t="inlineStr">
        <is>
          <t>LN200872</t>
        </is>
      </c>
      <c r="C6152" t="n">
        <v>7</v>
      </c>
      <c r="D6152" s="8" t="n">
        <v>46141</v>
      </c>
      <c r="E6152" s="9" t="n">
        <v>5874.5</v>
      </c>
      <c r="F6152" s="8" t="n">
        <v>46145</v>
      </c>
      <c r="G6152" s="9" t="n">
        <v>5874.5</v>
      </c>
      <c r="H6152" t="inlineStr">
        <is>
          <t>PAID_ON_TIME</t>
        </is>
      </c>
      <c r="I6152">
        <f>IF(H6152="UNPAID", AsOfDate-D6152, 0)</f>
        <v/>
      </c>
      <c r="J6152">
        <f>IF(F6152&lt;&gt;"", TEXT(F6152, "yyyy-mm"), "")</f>
        <v/>
      </c>
    </row>
    <row r="6153">
      <c r="A6153" t="inlineStr">
        <is>
          <t>RP0006152</t>
        </is>
      </c>
      <c r="B6153" t="inlineStr">
        <is>
          <t>LN200872</t>
        </is>
      </c>
      <c r="C6153" t="n">
        <v>8</v>
      </c>
      <c r="D6153" s="8" t="n">
        <v>46171</v>
      </c>
      <c r="E6153" s="9" t="n">
        <v>5874.5</v>
      </c>
      <c r="F6153" s="8" t="n">
        <v>46169</v>
      </c>
      <c r="G6153" s="9" t="n">
        <v>5874.5</v>
      </c>
      <c r="H6153" t="inlineStr">
        <is>
          <t>PAID_ON_TIME</t>
        </is>
      </c>
      <c r="I6153">
        <f>IF(H6153="UNPAID", AsOfDate-D6153, 0)</f>
        <v/>
      </c>
      <c r="J6153">
        <f>IF(F6153&lt;&gt;"", TEXT(F6153, "yyyy-mm"), "")</f>
        <v/>
      </c>
    </row>
    <row r="6154">
      <c r="A6154" t="inlineStr">
        <is>
          <t>RP0006153</t>
        </is>
      </c>
      <c r="B6154" t="inlineStr">
        <is>
          <t>LN200872</t>
        </is>
      </c>
      <c r="C6154" t="n">
        <v>9</v>
      </c>
      <c r="D6154" s="8" t="n">
        <v>46202</v>
      </c>
      <c r="E6154" s="9" t="n">
        <v>5874.5</v>
      </c>
      <c r="F6154" s="8" t="n"/>
      <c r="G6154" s="9" t="n">
        <v>0</v>
      </c>
      <c r="H6154" t="inlineStr">
        <is>
          <t>UNPAID</t>
        </is>
      </c>
      <c r="I6154">
        <f>IF(H6154="UNPAID", AsOfDate-D6154, 0)</f>
        <v/>
      </c>
      <c r="J6154">
        <f>IF(F6154&lt;&gt;"", TEXT(F6154, "yyyy-mm"), "")</f>
        <v/>
      </c>
    </row>
    <row r="6155">
      <c r="A6155" t="inlineStr">
        <is>
          <t>RP0006154</t>
        </is>
      </c>
      <c r="B6155" t="inlineStr">
        <is>
          <t>LN200872</t>
        </is>
      </c>
      <c r="C6155" t="n">
        <v>10</v>
      </c>
      <c r="D6155" s="8" t="n">
        <v>46232</v>
      </c>
      <c r="E6155" s="9" t="n">
        <v>5874.5</v>
      </c>
      <c r="F6155" s="8" t="n">
        <v>46233</v>
      </c>
      <c r="G6155" s="9" t="n">
        <v>5874.5</v>
      </c>
      <c r="H6155" t="inlineStr">
        <is>
          <t>PAID_ON_TIME</t>
        </is>
      </c>
      <c r="I6155">
        <f>IF(H6155="UNPAID", AsOfDate-D6155, 0)</f>
        <v/>
      </c>
      <c r="J6155">
        <f>IF(F6155&lt;&gt;"", TEXT(F6155, "yyyy-mm"), "")</f>
        <v/>
      </c>
    </row>
    <row r="6156">
      <c r="A6156" t="inlineStr">
        <is>
          <t>RP0006155</t>
        </is>
      </c>
      <c r="B6156" t="inlineStr">
        <is>
          <t>LN200872</t>
        </is>
      </c>
      <c r="C6156" t="n">
        <v>11</v>
      </c>
      <c r="D6156" s="8" t="n">
        <v>46263</v>
      </c>
      <c r="E6156" s="9" t="n">
        <v>5874.5</v>
      </c>
      <c r="F6156" s="8" t="n">
        <v>46261</v>
      </c>
      <c r="G6156" s="9" t="n">
        <v>5874.5</v>
      </c>
      <c r="H6156" t="inlineStr">
        <is>
          <t>PAID_ON_TIME</t>
        </is>
      </c>
      <c r="I6156">
        <f>IF(H6156="UNPAID", AsOfDate-D6156, 0)</f>
        <v/>
      </c>
      <c r="J6156">
        <f>IF(F6156&lt;&gt;"", TEXT(F6156, "yyyy-mm"), "")</f>
        <v/>
      </c>
    </row>
    <row r="6157">
      <c r="A6157" t="inlineStr">
        <is>
          <t>RP0006156</t>
        </is>
      </c>
      <c r="B6157" t="inlineStr">
        <is>
          <t>LN200872</t>
        </is>
      </c>
      <c r="C6157" t="n">
        <v>12</v>
      </c>
      <c r="D6157" s="8" t="n">
        <v>46294</v>
      </c>
      <c r="E6157" s="9" t="n">
        <v>5874.5</v>
      </c>
      <c r="F6157" s="8" t="n"/>
      <c r="G6157" s="9" t="n">
        <v>0</v>
      </c>
      <c r="H6157" t="inlineStr">
        <is>
          <t>NOT_DUE</t>
        </is>
      </c>
      <c r="I6157">
        <f>IF(H6157="UNPAID", AsOfDate-D6157, 0)</f>
        <v/>
      </c>
      <c r="J6157">
        <f>IF(F6157&lt;&gt;"", TEXT(F6157, "yyyy-mm"), "")</f>
        <v/>
      </c>
    </row>
    <row r="6158">
      <c r="A6158" t="inlineStr">
        <is>
          <t>RP0006157</t>
        </is>
      </c>
      <c r="B6158" t="inlineStr">
        <is>
          <t>LN200873</t>
        </is>
      </c>
      <c r="C6158" t="n">
        <v>1</v>
      </c>
      <c r="D6158" s="8" t="n">
        <v>46141</v>
      </c>
      <c r="E6158" s="9" t="n">
        <v>10612.47</v>
      </c>
      <c r="F6158" s="8" t="n">
        <v>46140</v>
      </c>
      <c r="G6158" s="9" t="n">
        <v>10612.47</v>
      </c>
      <c r="H6158" t="inlineStr">
        <is>
          <t>PAID_ON_TIME</t>
        </is>
      </c>
      <c r="I6158">
        <f>IF(H6158="UNPAID", AsOfDate-D6158, 0)</f>
        <v/>
      </c>
      <c r="J6158">
        <f>IF(F6158&lt;&gt;"", TEXT(F6158, "yyyy-mm"), "")</f>
        <v/>
      </c>
    </row>
    <row r="6159">
      <c r="A6159" t="inlineStr">
        <is>
          <t>RP0006158</t>
        </is>
      </c>
      <c r="B6159" t="inlineStr">
        <is>
          <t>LN200873</t>
        </is>
      </c>
      <c r="C6159" t="n">
        <v>2</v>
      </c>
      <c r="D6159" s="8" t="n">
        <v>46171</v>
      </c>
      <c r="E6159" s="9" t="n">
        <v>10612.47</v>
      </c>
      <c r="F6159" s="8" t="n">
        <v>46170</v>
      </c>
      <c r="G6159" s="9" t="n">
        <v>10612.47</v>
      </c>
      <c r="H6159" t="inlineStr">
        <is>
          <t>PAID_ON_TIME</t>
        </is>
      </c>
      <c r="I6159">
        <f>IF(H6159="UNPAID", AsOfDate-D6159, 0)</f>
        <v/>
      </c>
      <c r="J6159">
        <f>IF(F6159&lt;&gt;"", TEXT(F6159, "yyyy-mm"), "")</f>
        <v/>
      </c>
    </row>
    <row r="6160">
      <c r="A6160" t="inlineStr">
        <is>
          <t>RP0006159</t>
        </is>
      </c>
      <c r="B6160" t="inlineStr">
        <is>
          <t>LN200873</t>
        </is>
      </c>
      <c r="C6160" t="n">
        <v>3</v>
      </c>
      <c r="D6160" s="8" t="n">
        <v>46202</v>
      </c>
      <c r="E6160" s="9" t="n">
        <v>10612.47</v>
      </c>
      <c r="F6160" s="8" t="n">
        <v>46200</v>
      </c>
      <c r="G6160" s="9" t="n">
        <v>10612.47</v>
      </c>
      <c r="H6160" t="inlineStr">
        <is>
          <t>PAID_ON_TIME</t>
        </is>
      </c>
      <c r="I6160">
        <f>IF(H6160="UNPAID", AsOfDate-D6160, 0)</f>
        <v/>
      </c>
      <c r="J6160">
        <f>IF(F6160&lt;&gt;"", TEXT(F6160, "yyyy-mm"), "")</f>
        <v/>
      </c>
    </row>
    <row r="6161">
      <c r="A6161" t="inlineStr">
        <is>
          <t>RP0006160</t>
        </is>
      </c>
      <c r="B6161" t="inlineStr">
        <is>
          <t>LN200873</t>
        </is>
      </c>
      <c r="C6161" t="n">
        <v>4</v>
      </c>
      <c r="D6161" s="8" t="n">
        <v>46232</v>
      </c>
      <c r="E6161" s="9" t="n">
        <v>10612.47</v>
      </c>
      <c r="F6161" s="8" t="n">
        <v>46245</v>
      </c>
      <c r="G6161" s="9" t="n">
        <v>10612.47</v>
      </c>
      <c r="H6161" t="inlineStr">
        <is>
          <t>PAID_LATE</t>
        </is>
      </c>
      <c r="I6161">
        <f>IF(H6161="UNPAID", AsOfDate-D6161, 0)</f>
        <v/>
      </c>
      <c r="J6161">
        <f>IF(F6161&lt;&gt;"", TEXT(F6161, "yyyy-mm"), "")</f>
        <v/>
      </c>
    </row>
    <row r="6162">
      <c r="A6162" t="inlineStr">
        <is>
          <t>RP0006161</t>
        </is>
      </c>
      <c r="B6162" t="inlineStr">
        <is>
          <t>LN200873</t>
        </is>
      </c>
      <c r="C6162" t="n">
        <v>5</v>
      </c>
      <c r="D6162" s="8" t="n">
        <v>46263</v>
      </c>
      <c r="E6162" s="9" t="n">
        <v>10612.47</v>
      </c>
      <c r="F6162" s="8" t="n">
        <v>46263</v>
      </c>
      <c r="G6162" s="9" t="n">
        <v>10612.47</v>
      </c>
      <c r="H6162" t="inlineStr">
        <is>
          <t>PAID_ON_TIME</t>
        </is>
      </c>
      <c r="I6162">
        <f>IF(H6162="UNPAID", AsOfDate-D6162, 0)</f>
        <v/>
      </c>
      <c r="J6162">
        <f>IF(F6162&lt;&gt;"", TEXT(F6162, "yyyy-mm"), "")</f>
        <v/>
      </c>
    </row>
    <row r="6163">
      <c r="A6163" t="inlineStr">
        <is>
          <t>RP0006162</t>
        </is>
      </c>
      <c r="B6163" t="inlineStr">
        <is>
          <t>LN200873</t>
        </is>
      </c>
      <c r="C6163" t="n">
        <v>6</v>
      </c>
      <c r="D6163" s="8" t="n">
        <v>46294</v>
      </c>
      <c r="E6163" s="9" t="n">
        <v>10612.47</v>
      </c>
      <c r="F6163" s="8" t="n"/>
      <c r="G6163" s="9" t="n">
        <v>0</v>
      </c>
      <c r="H6163" t="inlineStr">
        <is>
          <t>NOT_DUE</t>
        </is>
      </c>
      <c r="I6163">
        <f>IF(H6163="UNPAID", AsOfDate-D6163, 0)</f>
        <v/>
      </c>
      <c r="J6163">
        <f>IF(F6163&lt;&gt;"", TEXT(F6163, "yyyy-mm"), "")</f>
        <v/>
      </c>
    </row>
    <row r="6164">
      <c r="A6164" t="inlineStr">
        <is>
          <t>RP0006163</t>
        </is>
      </c>
      <c r="B6164" t="inlineStr">
        <is>
          <t>LN200873</t>
        </is>
      </c>
      <c r="C6164" t="n">
        <v>7</v>
      </c>
      <c r="D6164" s="8" t="n">
        <v>46324</v>
      </c>
      <c r="E6164" s="9" t="n">
        <v>10612.47</v>
      </c>
      <c r="F6164" s="8" t="n"/>
      <c r="G6164" s="9" t="n">
        <v>0</v>
      </c>
      <c r="H6164" t="inlineStr">
        <is>
          <t>NOT_DUE</t>
        </is>
      </c>
      <c r="I6164">
        <f>IF(H6164="UNPAID", AsOfDate-D6164, 0)</f>
        <v/>
      </c>
      <c r="J6164">
        <f>IF(F6164&lt;&gt;"", TEXT(F6164, "yyyy-mm"), "")</f>
        <v/>
      </c>
    </row>
    <row r="6165">
      <c r="A6165" t="inlineStr">
        <is>
          <t>RP0006164</t>
        </is>
      </c>
      <c r="B6165" t="inlineStr">
        <is>
          <t>LN200873</t>
        </is>
      </c>
      <c r="C6165" t="n">
        <v>8</v>
      </c>
      <c r="D6165" s="8" t="n">
        <v>46355</v>
      </c>
      <c r="E6165" s="9" t="n">
        <v>10612.47</v>
      </c>
      <c r="F6165" s="8" t="n"/>
      <c r="G6165" s="9" t="n">
        <v>0</v>
      </c>
      <c r="H6165" t="inlineStr">
        <is>
          <t>NOT_DUE</t>
        </is>
      </c>
      <c r="I6165">
        <f>IF(H6165="UNPAID", AsOfDate-D6165, 0)</f>
        <v/>
      </c>
      <c r="J6165">
        <f>IF(F6165&lt;&gt;"", TEXT(F6165, "yyyy-mm"), "")</f>
        <v/>
      </c>
    </row>
    <row r="6166">
      <c r="A6166" t="inlineStr">
        <is>
          <t>RP0006165</t>
        </is>
      </c>
      <c r="B6166" t="inlineStr">
        <is>
          <t>LN200873</t>
        </is>
      </c>
      <c r="C6166" t="n">
        <v>9</v>
      </c>
      <c r="D6166" s="8" t="n">
        <v>46385</v>
      </c>
      <c r="E6166" s="9" t="n">
        <v>10612.47</v>
      </c>
      <c r="F6166" s="8" t="n"/>
      <c r="G6166" s="9" t="n">
        <v>0</v>
      </c>
      <c r="H6166" t="inlineStr">
        <is>
          <t>NOT_DUE</t>
        </is>
      </c>
      <c r="I6166">
        <f>IF(H6166="UNPAID", AsOfDate-D6166, 0)</f>
        <v/>
      </c>
      <c r="J6166">
        <f>IF(F6166&lt;&gt;"", TEXT(F6166, "yyyy-mm"), "")</f>
        <v/>
      </c>
    </row>
    <row r="6167">
      <c r="A6167" t="inlineStr">
        <is>
          <t>RP0006166</t>
        </is>
      </c>
      <c r="B6167" t="inlineStr">
        <is>
          <t>LN200874</t>
        </is>
      </c>
      <c r="C6167" t="n">
        <v>1</v>
      </c>
      <c r="D6167" s="8" t="n">
        <v>45951</v>
      </c>
      <c r="E6167" s="9" t="n">
        <v>35839.22</v>
      </c>
      <c r="F6167" s="8" t="n">
        <v>45950</v>
      </c>
      <c r="G6167" s="9" t="n">
        <v>35839.22</v>
      </c>
      <c r="H6167" t="inlineStr">
        <is>
          <t>PAID_ON_TIME</t>
        </is>
      </c>
      <c r="I6167">
        <f>IF(H6167="UNPAID", AsOfDate-D6167, 0)</f>
        <v/>
      </c>
      <c r="J6167">
        <f>IF(F6167&lt;&gt;"", TEXT(F6167, "yyyy-mm"), "")</f>
        <v/>
      </c>
    </row>
    <row r="6168">
      <c r="A6168" t="inlineStr">
        <is>
          <t>RP0006167</t>
        </is>
      </c>
      <c r="B6168" t="inlineStr">
        <is>
          <t>LN200874</t>
        </is>
      </c>
      <c r="C6168" t="n">
        <v>2</v>
      </c>
      <c r="D6168" s="8" t="n">
        <v>45982</v>
      </c>
      <c r="E6168" s="9" t="n">
        <v>35839.22</v>
      </c>
      <c r="F6168" s="8" t="n">
        <v>45984</v>
      </c>
      <c r="G6168" s="9" t="n">
        <v>35839.22</v>
      </c>
      <c r="H6168" t="inlineStr">
        <is>
          <t>PAID_ON_TIME</t>
        </is>
      </c>
      <c r="I6168">
        <f>IF(H6168="UNPAID", AsOfDate-D6168, 0)</f>
        <v/>
      </c>
      <c r="J6168">
        <f>IF(F6168&lt;&gt;"", TEXT(F6168, "yyyy-mm"), "")</f>
        <v/>
      </c>
    </row>
    <row r="6169">
      <c r="A6169" t="inlineStr">
        <is>
          <t>RP0006168</t>
        </is>
      </c>
      <c r="B6169" t="inlineStr">
        <is>
          <t>LN200874</t>
        </is>
      </c>
      <c r="C6169" t="n">
        <v>3</v>
      </c>
      <c r="D6169" s="8" t="n">
        <v>46012</v>
      </c>
      <c r="E6169" s="9" t="n">
        <v>35839.22</v>
      </c>
      <c r="F6169" s="8" t="n">
        <v>46011</v>
      </c>
      <c r="G6169" s="9" t="n">
        <v>35839.22</v>
      </c>
      <c r="H6169" t="inlineStr">
        <is>
          <t>PAID_ON_TIME</t>
        </is>
      </c>
      <c r="I6169">
        <f>IF(H6169="UNPAID", AsOfDate-D6169, 0)</f>
        <v/>
      </c>
      <c r="J6169">
        <f>IF(F6169&lt;&gt;"", TEXT(F6169, "yyyy-mm"), "")</f>
        <v/>
      </c>
    </row>
    <row r="6170">
      <c r="A6170" t="inlineStr">
        <is>
          <t>RP0006169</t>
        </is>
      </c>
      <c r="B6170" t="inlineStr">
        <is>
          <t>LN200874</t>
        </is>
      </c>
      <c r="C6170" t="n">
        <v>4</v>
      </c>
      <c r="D6170" s="8" t="n">
        <v>46043</v>
      </c>
      <c r="E6170" s="9" t="n">
        <v>35839.22</v>
      </c>
      <c r="F6170" s="8" t="n">
        <v>46044</v>
      </c>
      <c r="G6170" s="9" t="n">
        <v>35839.22</v>
      </c>
      <c r="H6170" t="inlineStr">
        <is>
          <t>PAID_ON_TIME</t>
        </is>
      </c>
      <c r="I6170">
        <f>IF(H6170="UNPAID", AsOfDate-D6170, 0)</f>
        <v/>
      </c>
      <c r="J6170">
        <f>IF(F6170&lt;&gt;"", TEXT(F6170, "yyyy-mm"), "")</f>
        <v/>
      </c>
    </row>
    <row r="6171">
      <c r="A6171" t="inlineStr">
        <is>
          <t>RP0006170</t>
        </is>
      </c>
      <c r="B6171" t="inlineStr">
        <is>
          <t>LN200874</t>
        </is>
      </c>
      <c r="C6171" t="n">
        <v>5</v>
      </c>
      <c r="D6171" s="8" t="n">
        <v>46074</v>
      </c>
      <c r="E6171" s="9" t="n">
        <v>35839.22</v>
      </c>
      <c r="F6171" s="8" t="n">
        <v>46074</v>
      </c>
      <c r="G6171" s="9" t="n">
        <v>35839.22</v>
      </c>
      <c r="H6171" t="inlineStr">
        <is>
          <t>PAID_ON_TIME</t>
        </is>
      </c>
      <c r="I6171">
        <f>IF(H6171="UNPAID", AsOfDate-D6171, 0)</f>
        <v/>
      </c>
      <c r="J6171">
        <f>IF(F6171&lt;&gt;"", TEXT(F6171, "yyyy-mm"), "")</f>
        <v/>
      </c>
    </row>
    <row r="6172">
      <c r="A6172" t="inlineStr">
        <is>
          <t>RP0006171</t>
        </is>
      </c>
      <c r="B6172" t="inlineStr">
        <is>
          <t>LN200874</t>
        </is>
      </c>
      <c r="C6172" t="n">
        <v>6</v>
      </c>
      <c r="D6172" s="8" t="n">
        <v>46102</v>
      </c>
      <c r="E6172" s="9" t="n">
        <v>35839.22</v>
      </c>
      <c r="F6172" s="8" t="n"/>
      <c r="G6172" s="9" t="n">
        <v>0</v>
      </c>
      <c r="H6172" t="inlineStr">
        <is>
          <t>UNPAID</t>
        </is>
      </c>
      <c r="I6172">
        <f>IF(H6172="UNPAID", AsOfDate-D6172, 0)</f>
        <v/>
      </c>
      <c r="J6172">
        <f>IF(F6172&lt;&gt;"", TEXT(F6172, "yyyy-mm"), "")</f>
        <v/>
      </c>
    </row>
    <row r="6173">
      <c r="A6173" t="inlineStr">
        <is>
          <t>RP0006172</t>
        </is>
      </c>
      <c r="B6173" t="inlineStr">
        <is>
          <t>LN200874</t>
        </is>
      </c>
      <c r="C6173" t="n">
        <v>7</v>
      </c>
      <c r="D6173" s="8" t="n">
        <v>46133</v>
      </c>
      <c r="E6173" s="9" t="n">
        <v>35839.22</v>
      </c>
      <c r="F6173" s="8" t="n">
        <v>46213</v>
      </c>
      <c r="G6173" s="9" t="n">
        <v>35839.22</v>
      </c>
      <c r="H6173" t="inlineStr">
        <is>
          <t>PAID_LATE</t>
        </is>
      </c>
      <c r="I6173">
        <f>IF(H6173="UNPAID", AsOfDate-D6173, 0)</f>
        <v/>
      </c>
      <c r="J6173">
        <f>IF(F6173&lt;&gt;"", TEXT(F6173, "yyyy-mm"), "")</f>
        <v/>
      </c>
    </row>
    <row r="6174">
      <c r="A6174" t="inlineStr">
        <is>
          <t>RP0006173</t>
        </is>
      </c>
      <c r="B6174" t="inlineStr">
        <is>
          <t>LN200874</t>
        </is>
      </c>
      <c r="C6174" t="n">
        <v>8</v>
      </c>
      <c r="D6174" s="8" t="n">
        <v>46163</v>
      </c>
      <c r="E6174" s="9" t="n">
        <v>35839.22</v>
      </c>
      <c r="F6174" s="8" t="n">
        <v>46166</v>
      </c>
      <c r="G6174" s="9" t="n">
        <v>35839.22</v>
      </c>
      <c r="H6174" t="inlineStr">
        <is>
          <t>PAID_ON_TIME</t>
        </is>
      </c>
      <c r="I6174">
        <f>IF(H6174="UNPAID", AsOfDate-D6174, 0)</f>
        <v/>
      </c>
      <c r="J6174">
        <f>IF(F6174&lt;&gt;"", TEXT(F6174, "yyyy-mm"), "")</f>
        <v/>
      </c>
    </row>
    <row r="6175">
      <c r="A6175" t="inlineStr">
        <is>
          <t>RP0006174</t>
        </is>
      </c>
      <c r="B6175" t="inlineStr">
        <is>
          <t>LN200874</t>
        </is>
      </c>
      <c r="C6175" t="n">
        <v>9</v>
      </c>
      <c r="D6175" s="8" t="n">
        <v>46194</v>
      </c>
      <c r="E6175" s="9" t="n">
        <v>35839.22</v>
      </c>
      <c r="F6175" s="8" t="n">
        <v>46192</v>
      </c>
      <c r="G6175" s="9" t="n">
        <v>35839.22</v>
      </c>
      <c r="H6175" t="inlineStr">
        <is>
          <t>PAID_ON_TIME</t>
        </is>
      </c>
      <c r="I6175">
        <f>IF(H6175="UNPAID", AsOfDate-D6175, 0)</f>
        <v/>
      </c>
      <c r="J6175">
        <f>IF(F6175&lt;&gt;"", TEXT(F6175, "yyyy-mm"), "")</f>
        <v/>
      </c>
    </row>
    <row r="6176">
      <c r="A6176" t="inlineStr">
        <is>
          <t>RP0006175</t>
        </is>
      </c>
      <c r="B6176" t="inlineStr">
        <is>
          <t>LN200875</t>
        </is>
      </c>
      <c r="C6176" t="n">
        <v>1</v>
      </c>
      <c r="D6176" s="8" t="n">
        <v>45912</v>
      </c>
      <c r="E6176" s="9" t="n">
        <v>7311.67</v>
      </c>
      <c r="F6176" s="8" t="n">
        <v>46009</v>
      </c>
      <c r="G6176" s="9" t="n">
        <v>7311.67</v>
      </c>
      <c r="H6176" t="inlineStr">
        <is>
          <t>PAID_LATE</t>
        </is>
      </c>
      <c r="I6176">
        <f>IF(H6176="UNPAID", AsOfDate-D6176, 0)</f>
        <v/>
      </c>
      <c r="J6176">
        <f>IF(F6176&lt;&gt;"", TEXT(F6176, "yyyy-mm"), "")</f>
        <v/>
      </c>
    </row>
    <row r="6177">
      <c r="A6177" t="inlineStr">
        <is>
          <t>RP0006176</t>
        </is>
      </c>
      <c r="B6177" t="inlineStr">
        <is>
          <t>LN200875</t>
        </is>
      </c>
      <c r="C6177" t="n">
        <v>2</v>
      </c>
      <c r="D6177" s="8" t="n">
        <v>45942</v>
      </c>
      <c r="E6177" s="9" t="n">
        <v>7311.67</v>
      </c>
      <c r="F6177" s="8" t="n">
        <v>45942</v>
      </c>
      <c r="G6177" s="9" t="n">
        <v>7311.67</v>
      </c>
      <c r="H6177" t="inlineStr">
        <is>
          <t>PAID_ON_TIME</t>
        </is>
      </c>
      <c r="I6177">
        <f>IF(H6177="UNPAID", AsOfDate-D6177, 0)</f>
        <v/>
      </c>
      <c r="J6177">
        <f>IF(F6177&lt;&gt;"", TEXT(F6177, "yyyy-mm"), "")</f>
        <v/>
      </c>
    </row>
    <row r="6178">
      <c r="A6178" t="inlineStr">
        <is>
          <t>RP0006177</t>
        </is>
      </c>
      <c r="B6178" t="inlineStr">
        <is>
          <t>LN200875</t>
        </is>
      </c>
      <c r="C6178" t="n">
        <v>3</v>
      </c>
      <c r="D6178" s="8" t="n">
        <v>45973</v>
      </c>
      <c r="E6178" s="9" t="n">
        <v>7311.67</v>
      </c>
      <c r="F6178" s="8" t="n">
        <v>45971</v>
      </c>
      <c r="G6178" s="9" t="n">
        <v>7311.67</v>
      </c>
      <c r="H6178" t="inlineStr">
        <is>
          <t>PAID_ON_TIME</t>
        </is>
      </c>
      <c r="I6178">
        <f>IF(H6178="UNPAID", AsOfDate-D6178, 0)</f>
        <v/>
      </c>
      <c r="J6178">
        <f>IF(F6178&lt;&gt;"", TEXT(F6178, "yyyy-mm"), "")</f>
        <v/>
      </c>
    </row>
    <row r="6179">
      <c r="A6179" t="inlineStr">
        <is>
          <t>RP0006178</t>
        </is>
      </c>
      <c r="B6179" t="inlineStr">
        <is>
          <t>LN200875</t>
        </is>
      </c>
      <c r="C6179" t="n">
        <v>4</v>
      </c>
      <c r="D6179" s="8" t="n">
        <v>46003</v>
      </c>
      <c r="E6179" s="9" t="n">
        <v>7311.67</v>
      </c>
      <c r="F6179" s="8" t="n">
        <v>46006</v>
      </c>
      <c r="G6179" s="9" t="n">
        <v>7311.67</v>
      </c>
      <c r="H6179" t="inlineStr">
        <is>
          <t>PAID_ON_TIME</t>
        </is>
      </c>
      <c r="I6179">
        <f>IF(H6179="UNPAID", AsOfDate-D6179, 0)</f>
        <v/>
      </c>
      <c r="J6179">
        <f>IF(F6179&lt;&gt;"", TEXT(F6179, "yyyy-mm"), "")</f>
        <v/>
      </c>
    </row>
    <row r="6180">
      <c r="A6180" t="inlineStr">
        <is>
          <t>RP0006179</t>
        </is>
      </c>
      <c r="B6180" t="inlineStr">
        <is>
          <t>LN200875</t>
        </is>
      </c>
      <c r="C6180" t="n">
        <v>5</v>
      </c>
      <c r="D6180" s="8" t="n">
        <v>46034</v>
      </c>
      <c r="E6180" s="9" t="n">
        <v>7311.67</v>
      </c>
      <c r="F6180" s="8" t="n">
        <v>46032</v>
      </c>
      <c r="G6180" s="9" t="n">
        <v>7311.67</v>
      </c>
      <c r="H6180" t="inlineStr">
        <is>
          <t>PAID_ON_TIME</t>
        </is>
      </c>
      <c r="I6180">
        <f>IF(H6180="UNPAID", AsOfDate-D6180, 0)</f>
        <v/>
      </c>
      <c r="J6180">
        <f>IF(F6180&lt;&gt;"", TEXT(F6180, "yyyy-mm"), "")</f>
        <v/>
      </c>
    </row>
    <row r="6181">
      <c r="A6181" t="inlineStr">
        <is>
          <t>RP0006180</t>
        </is>
      </c>
      <c r="B6181" t="inlineStr">
        <is>
          <t>LN200875</t>
        </is>
      </c>
      <c r="C6181" t="n">
        <v>6</v>
      </c>
      <c r="D6181" s="8" t="n">
        <v>46065</v>
      </c>
      <c r="E6181" s="9" t="n">
        <v>7311.67</v>
      </c>
      <c r="F6181" s="8" t="n"/>
      <c r="G6181" s="9" t="n">
        <v>0</v>
      </c>
      <c r="H6181" t="inlineStr">
        <is>
          <t>UNPAID</t>
        </is>
      </c>
      <c r="I6181">
        <f>IF(H6181="UNPAID", AsOfDate-D6181, 0)</f>
        <v/>
      </c>
      <c r="J6181">
        <f>IF(F6181&lt;&gt;"", TEXT(F6181, "yyyy-mm"), "")</f>
        <v/>
      </c>
    </row>
    <row r="6182">
      <c r="A6182" t="inlineStr">
        <is>
          <t>RP0006181</t>
        </is>
      </c>
      <c r="B6182" t="inlineStr">
        <is>
          <t>LN200876</t>
        </is>
      </c>
      <c r="C6182" t="n">
        <v>1</v>
      </c>
      <c r="D6182" s="8" t="n">
        <v>45700</v>
      </c>
      <c r="E6182" s="9" t="n">
        <v>35952.5</v>
      </c>
      <c r="F6182" s="8" t="n">
        <v>45743</v>
      </c>
      <c r="G6182" s="9" t="n">
        <v>35952.5</v>
      </c>
      <c r="H6182" t="inlineStr">
        <is>
          <t>PAID_LATE</t>
        </is>
      </c>
      <c r="I6182">
        <f>IF(H6182="UNPAID", AsOfDate-D6182, 0)</f>
        <v/>
      </c>
      <c r="J6182">
        <f>IF(F6182&lt;&gt;"", TEXT(F6182, "yyyy-mm"), "")</f>
        <v/>
      </c>
    </row>
    <row r="6183">
      <c r="A6183" t="inlineStr">
        <is>
          <t>RP0006182</t>
        </is>
      </c>
      <c r="B6183" t="inlineStr">
        <is>
          <t>LN200876</t>
        </is>
      </c>
      <c r="C6183" t="n">
        <v>2</v>
      </c>
      <c r="D6183" s="8" t="n">
        <v>45728</v>
      </c>
      <c r="E6183" s="9" t="n">
        <v>35952.5</v>
      </c>
      <c r="F6183" s="8" t="n">
        <v>45804</v>
      </c>
      <c r="G6183" s="9" t="n">
        <v>35952.5</v>
      </c>
      <c r="H6183" t="inlineStr">
        <is>
          <t>PAID_LATE</t>
        </is>
      </c>
      <c r="I6183">
        <f>IF(H6183="UNPAID", AsOfDate-D6183, 0)</f>
        <v/>
      </c>
      <c r="J6183">
        <f>IF(F6183&lt;&gt;"", TEXT(F6183, "yyyy-mm"), "")</f>
        <v/>
      </c>
    </row>
    <row r="6184">
      <c r="A6184" t="inlineStr">
        <is>
          <t>RP0006183</t>
        </is>
      </c>
      <c r="B6184" t="inlineStr">
        <is>
          <t>LN200876</t>
        </is>
      </c>
      <c r="C6184" t="n">
        <v>3</v>
      </c>
      <c r="D6184" s="8" t="n">
        <v>45759</v>
      </c>
      <c r="E6184" s="9" t="n">
        <v>35952.5</v>
      </c>
      <c r="F6184" s="8" t="n">
        <v>45758</v>
      </c>
      <c r="G6184" s="9" t="n">
        <v>35952.5</v>
      </c>
      <c r="H6184" t="inlineStr">
        <is>
          <t>PAID_ON_TIME</t>
        </is>
      </c>
      <c r="I6184">
        <f>IF(H6184="UNPAID", AsOfDate-D6184, 0)</f>
        <v/>
      </c>
      <c r="J6184">
        <f>IF(F6184&lt;&gt;"", TEXT(F6184, "yyyy-mm"), "")</f>
        <v/>
      </c>
    </row>
    <row r="6185">
      <c r="A6185" t="inlineStr">
        <is>
          <t>RP0006184</t>
        </is>
      </c>
      <c r="B6185" t="inlineStr">
        <is>
          <t>LN200876</t>
        </is>
      </c>
      <c r="C6185" t="n">
        <v>4</v>
      </c>
      <c r="D6185" s="8" t="n">
        <v>45789</v>
      </c>
      <c r="E6185" s="9" t="n">
        <v>35952.5</v>
      </c>
      <c r="F6185" s="8" t="n">
        <v>45787</v>
      </c>
      <c r="G6185" s="9" t="n">
        <v>35952.5</v>
      </c>
      <c r="H6185" t="inlineStr">
        <is>
          <t>PAID_ON_TIME</t>
        </is>
      </c>
      <c r="I6185">
        <f>IF(H6185="UNPAID", AsOfDate-D6185, 0)</f>
        <v/>
      </c>
      <c r="J6185">
        <f>IF(F6185&lt;&gt;"", TEXT(F6185, "yyyy-mm"), "")</f>
        <v/>
      </c>
    </row>
    <row r="6186">
      <c r="A6186" t="inlineStr">
        <is>
          <t>RP0006185</t>
        </is>
      </c>
      <c r="B6186" t="inlineStr">
        <is>
          <t>LN200876</t>
        </is>
      </c>
      <c r="C6186" t="n">
        <v>5</v>
      </c>
      <c r="D6186" s="8" t="n">
        <v>45820</v>
      </c>
      <c r="E6186" s="9" t="n">
        <v>35952.5</v>
      </c>
      <c r="F6186" s="8" t="n">
        <v>45824</v>
      </c>
      <c r="G6186" s="9" t="n">
        <v>35952.5</v>
      </c>
      <c r="H6186" t="inlineStr">
        <is>
          <t>PAID_ON_TIME</t>
        </is>
      </c>
      <c r="I6186">
        <f>IF(H6186="UNPAID", AsOfDate-D6186, 0)</f>
        <v/>
      </c>
      <c r="J6186">
        <f>IF(F6186&lt;&gt;"", TEXT(F6186, "yyyy-mm"), "")</f>
        <v/>
      </c>
    </row>
    <row r="6187">
      <c r="A6187" t="inlineStr">
        <is>
          <t>RP0006186</t>
        </is>
      </c>
      <c r="B6187" t="inlineStr">
        <is>
          <t>LN200876</t>
        </is>
      </c>
      <c r="C6187" t="n">
        <v>6</v>
      </c>
      <c r="D6187" s="8" t="n">
        <v>45850</v>
      </c>
      <c r="E6187" s="9" t="n">
        <v>35952.5</v>
      </c>
      <c r="F6187" s="8" t="n">
        <v>45852</v>
      </c>
      <c r="G6187" s="9" t="n">
        <v>35952.5</v>
      </c>
      <c r="H6187" t="inlineStr">
        <is>
          <t>PAID_ON_TIME</t>
        </is>
      </c>
      <c r="I6187">
        <f>IF(H6187="UNPAID", AsOfDate-D6187, 0)</f>
        <v/>
      </c>
      <c r="J6187">
        <f>IF(F6187&lt;&gt;"", TEXT(F6187, "yyyy-mm"), "")</f>
        <v/>
      </c>
    </row>
    <row r="6188">
      <c r="A6188" t="inlineStr">
        <is>
          <t>RP0006187</t>
        </is>
      </c>
      <c r="B6188" t="inlineStr">
        <is>
          <t>LN200876</t>
        </is>
      </c>
      <c r="C6188" t="n">
        <v>7</v>
      </c>
      <c r="D6188" s="8" t="n">
        <v>45881</v>
      </c>
      <c r="E6188" s="9" t="n">
        <v>35952.5</v>
      </c>
      <c r="F6188" s="8" t="n">
        <v>45884</v>
      </c>
      <c r="G6188" s="9" t="n">
        <v>35952.5</v>
      </c>
      <c r="H6188" t="inlineStr">
        <is>
          <t>PAID_ON_TIME</t>
        </is>
      </c>
      <c r="I6188">
        <f>IF(H6188="UNPAID", AsOfDate-D6188, 0)</f>
        <v/>
      </c>
      <c r="J6188">
        <f>IF(F6188&lt;&gt;"", TEXT(F6188, "yyyy-mm"), "")</f>
        <v/>
      </c>
    </row>
    <row r="6189">
      <c r="A6189" t="inlineStr">
        <is>
          <t>RP0006188</t>
        </is>
      </c>
      <c r="B6189" t="inlineStr">
        <is>
          <t>LN200876</t>
        </is>
      </c>
      <c r="C6189" t="n">
        <v>8</v>
      </c>
      <c r="D6189" s="8" t="n">
        <v>45912</v>
      </c>
      <c r="E6189" s="9" t="n">
        <v>35952.5</v>
      </c>
      <c r="F6189" s="8" t="n">
        <v>45912</v>
      </c>
      <c r="G6189" s="9" t="n">
        <v>35952.5</v>
      </c>
      <c r="H6189" t="inlineStr">
        <is>
          <t>PAID_ON_TIME</t>
        </is>
      </c>
      <c r="I6189">
        <f>IF(H6189="UNPAID", AsOfDate-D6189, 0)</f>
        <v/>
      </c>
      <c r="J6189">
        <f>IF(F6189&lt;&gt;"", TEXT(F6189, "yyyy-mm"), "")</f>
        <v/>
      </c>
    </row>
    <row r="6190">
      <c r="A6190" t="inlineStr">
        <is>
          <t>RP0006189</t>
        </is>
      </c>
      <c r="B6190" t="inlineStr">
        <is>
          <t>LN200876</t>
        </is>
      </c>
      <c r="C6190" t="n">
        <v>9</v>
      </c>
      <c r="D6190" s="8" t="n">
        <v>45942</v>
      </c>
      <c r="E6190" s="9" t="n">
        <v>35952.5</v>
      </c>
      <c r="F6190" s="8" t="n">
        <v>45940</v>
      </c>
      <c r="G6190" s="9" t="n">
        <v>35952.5</v>
      </c>
      <c r="H6190" t="inlineStr">
        <is>
          <t>PAID_ON_TIME</t>
        </is>
      </c>
      <c r="I6190">
        <f>IF(H6190="UNPAID", AsOfDate-D6190, 0)</f>
        <v/>
      </c>
      <c r="J6190">
        <f>IF(F6190&lt;&gt;"", TEXT(F6190, "yyyy-mm"), "")</f>
        <v/>
      </c>
    </row>
    <row r="6191">
      <c r="A6191" t="inlineStr">
        <is>
          <t>RP0006190</t>
        </is>
      </c>
      <c r="B6191" t="inlineStr">
        <is>
          <t>LN200876</t>
        </is>
      </c>
      <c r="C6191" t="n">
        <v>10</v>
      </c>
      <c r="D6191" s="8" t="n">
        <v>45973</v>
      </c>
      <c r="E6191" s="9" t="n">
        <v>35952.5</v>
      </c>
      <c r="F6191" s="8" t="n">
        <v>45972</v>
      </c>
      <c r="G6191" s="9" t="n">
        <v>35952.5</v>
      </c>
      <c r="H6191" t="inlineStr">
        <is>
          <t>PAID_ON_TIME</t>
        </is>
      </c>
      <c r="I6191">
        <f>IF(H6191="UNPAID", AsOfDate-D6191, 0)</f>
        <v/>
      </c>
      <c r="J6191">
        <f>IF(F6191&lt;&gt;"", TEXT(F6191, "yyyy-mm"), "")</f>
        <v/>
      </c>
    </row>
    <row r="6192">
      <c r="A6192" t="inlineStr">
        <is>
          <t>RP0006191</t>
        </is>
      </c>
      <c r="B6192" t="inlineStr">
        <is>
          <t>LN200876</t>
        </is>
      </c>
      <c r="C6192" t="n">
        <v>11</v>
      </c>
      <c r="D6192" s="8" t="n">
        <v>46003</v>
      </c>
      <c r="E6192" s="9" t="n">
        <v>35952.5</v>
      </c>
      <c r="F6192" s="8" t="n"/>
      <c r="G6192" s="9" t="n">
        <v>0</v>
      </c>
      <c r="H6192" t="inlineStr">
        <is>
          <t>UNPAID</t>
        </is>
      </c>
      <c r="I6192">
        <f>IF(H6192="UNPAID", AsOfDate-D6192, 0)</f>
        <v/>
      </c>
      <c r="J6192">
        <f>IF(F6192&lt;&gt;"", TEXT(F6192, "yyyy-mm"), "")</f>
        <v/>
      </c>
    </row>
    <row r="6193">
      <c r="A6193" t="inlineStr">
        <is>
          <t>RP0006192</t>
        </is>
      </c>
      <c r="B6193" t="inlineStr">
        <is>
          <t>LN200876</t>
        </is>
      </c>
      <c r="C6193" t="n">
        <v>12</v>
      </c>
      <c r="D6193" s="8" t="n">
        <v>46034</v>
      </c>
      <c r="E6193" s="9" t="n">
        <v>35952.5</v>
      </c>
      <c r="F6193" s="8" t="n">
        <v>46033</v>
      </c>
      <c r="G6193" s="9" t="n">
        <v>35952.5</v>
      </c>
      <c r="H6193" t="inlineStr">
        <is>
          <t>PAID_ON_TIME</t>
        </is>
      </c>
      <c r="I6193">
        <f>IF(H6193="UNPAID", AsOfDate-D6193, 0)</f>
        <v/>
      </c>
      <c r="J6193">
        <f>IF(F6193&lt;&gt;"", TEXT(F6193, "yyyy-mm"), "")</f>
        <v/>
      </c>
    </row>
    <row r="6194">
      <c r="A6194" t="inlineStr">
        <is>
          <t>RP0006193</t>
        </is>
      </c>
      <c r="B6194" t="inlineStr">
        <is>
          <t>LN200877</t>
        </is>
      </c>
      <c r="C6194" t="n">
        <v>1</v>
      </c>
      <c r="D6194" s="8" t="n">
        <v>46135</v>
      </c>
      <c r="E6194" s="9" t="n">
        <v>41818</v>
      </c>
      <c r="F6194" s="8" t="n">
        <v>46136</v>
      </c>
      <c r="G6194" s="9" t="n">
        <v>41818</v>
      </c>
      <c r="H6194" t="inlineStr">
        <is>
          <t>PAID_ON_TIME</t>
        </is>
      </c>
      <c r="I6194">
        <f>IF(H6194="UNPAID", AsOfDate-D6194, 0)</f>
        <v/>
      </c>
      <c r="J6194">
        <f>IF(F6194&lt;&gt;"", TEXT(F6194, "yyyy-mm"), "")</f>
        <v/>
      </c>
    </row>
    <row r="6195">
      <c r="A6195" t="inlineStr">
        <is>
          <t>RP0006194</t>
        </is>
      </c>
      <c r="B6195" t="inlineStr">
        <is>
          <t>LN200877</t>
        </is>
      </c>
      <c r="C6195" t="n">
        <v>2</v>
      </c>
      <c r="D6195" s="8" t="n">
        <v>46165</v>
      </c>
      <c r="E6195" s="9" t="n">
        <v>41818</v>
      </c>
      <c r="F6195" s="8" t="n">
        <v>46164</v>
      </c>
      <c r="G6195" s="9" t="n">
        <v>41818</v>
      </c>
      <c r="H6195" t="inlineStr">
        <is>
          <t>PAID_ON_TIME</t>
        </is>
      </c>
      <c r="I6195">
        <f>IF(H6195="UNPAID", AsOfDate-D6195, 0)</f>
        <v/>
      </c>
      <c r="J6195">
        <f>IF(F6195&lt;&gt;"", TEXT(F6195, "yyyy-mm"), "")</f>
        <v/>
      </c>
    </row>
    <row r="6196">
      <c r="A6196" t="inlineStr">
        <is>
          <t>RP0006195</t>
        </is>
      </c>
      <c r="B6196" t="inlineStr">
        <is>
          <t>LN200877</t>
        </is>
      </c>
      <c r="C6196" t="n">
        <v>3</v>
      </c>
      <c r="D6196" s="8" t="n">
        <v>46196</v>
      </c>
      <c r="E6196" s="9" t="n">
        <v>41818</v>
      </c>
      <c r="F6196" s="8" t="n">
        <v>46194</v>
      </c>
      <c r="G6196" s="9" t="n">
        <v>41818</v>
      </c>
      <c r="H6196" t="inlineStr">
        <is>
          <t>PAID_ON_TIME</t>
        </is>
      </c>
      <c r="I6196">
        <f>IF(H6196="UNPAID", AsOfDate-D6196, 0)</f>
        <v/>
      </c>
      <c r="J6196">
        <f>IF(F6196&lt;&gt;"", TEXT(F6196, "yyyy-mm"), "")</f>
        <v/>
      </c>
    </row>
    <row r="6197">
      <c r="A6197" t="inlineStr">
        <is>
          <t>RP0006196</t>
        </is>
      </c>
      <c r="B6197" t="inlineStr">
        <is>
          <t>LN200877</t>
        </is>
      </c>
      <c r="C6197" t="n">
        <v>4</v>
      </c>
      <c r="D6197" s="8" t="n">
        <v>46226</v>
      </c>
      <c r="E6197" s="9" t="n">
        <v>41818</v>
      </c>
      <c r="F6197" s="8" t="n">
        <v>46227</v>
      </c>
      <c r="G6197" s="9" t="n">
        <v>41818</v>
      </c>
      <c r="H6197" t="inlineStr">
        <is>
          <t>PAID_ON_TIME</t>
        </is>
      </c>
      <c r="I6197">
        <f>IF(H6197="UNPAID", AsOfDate-D6197, 0)</f>
        <v/>
      </c>
      <c r="J6197">
        <f>IF(F6197&lt;&gt;"", TEXT(F6197, "yyyy-mm"), "")</f>
        <v/>
      </c>
    </row>
    <row r="6198">
      <c r="A6198" t="inlineStr">
        <is>
          <t>RP0006197</t>
        </is>
      </c>
      <c r="B6198" t="inlineStr">
        <is>
          <t>LN200877</t>
        </is>
      </c>
      <c r="C6198" t="n">
        <v>5</v>
      </c>
      <c r="D6198" s="8" t="n">
        <v>46257</v>
      </c>
      <c r="E6198" s="9" t="n">
        <v>41818</v>
      </c>
      <c r="F6198" s="8" t="n">
        <v>46261</v>
      </c>
      <c r="G6198" s="9" t="n">
        <v>41818</v>
      </c>
      <c r="H6198" t="inlineStr">
        <is>
          <t>PAID_ON_TIME</t>
        </is>
      </c>
      <c r="I6198">
        <f>IF(H6198="UNPAID", AsOfDate-D6198, 0)</f>
        <v/>
      </c>
      <c r="J6198">
        <f>IF(F6198&lt;&gt;"", TEXT(F6198, "yyyy-mm"), "")</f>
        <v/>
      </c>
    </row>
    <row r="6199">
      <c r="A6199" t="inlineStr">
        <is>
          <t>RP0006198</t>
        </is>
      </c>
      <c r="B6199" t="inlineStr">
        <is>
          <t>LN200877</t>
        </is>
      </c>
      <c r="C6199" t="n">
        <v>6</v>
      </c>
      <c r="D6199" s="8" t="n">
        <v>46288</v>
      </c>
      <c r="E6199" s="9" t="n">
        <v>41818</v>
      </c>
      <c r="F6199" s="8" t="n"/>
      <c r="G6199" s="9" t="n">
        <v>0</v>
      </c>
      <c r="H6199" t="inlineStr">
        <is>
          <t>NOT_DUE</t>
        </is>
      </c>
      <c r="I6199">
        <f>IF(H6199="UNPAID", AsOfDate-D6199, 0)</f>
        <v/>
      </c>
      <c r="J6199">
        <f>IF(F6199&lt;&gt;"", TEXT(F6199, "yyyy-mm"), "")</f>
        <v/>
      </c>
    </row>
    <row r="6200">
      <c r="A6200" t="inlineStr">
        <is>
          <t>RP0006199</t>
        </is>
      </c>
      <c r="B6200" t="inlineStr">
        <is>
          <t>LN200878</t>
        </is>
      </c>
      <c r="C6200" t="n">
        <v>1</v>
      </c>
      <c r="D6200" s="8" t="n">
        <v>46266</v>
      </c>
      <c r="E6200" s="9" t="n">
        <v>10048.5</v>
      </c>
      <c r="F6200" s="8" t="n">
        <v>46265</v>
      </c>
      <c r="G6200" s="9" t="n">
        <v>10048.5</v>
      </c>
      <c r="H6200" t="inlineStr">
        <is>
          <t>PAID_ON_TIME</t>
        </is>
      </c>
      <c r="I6200">
        <f>IF(H6200="UNPAID", AsOfDate-D6200, 0)</f>
        <v/>
      </c>
      <c r="J6200">
        <f>IF(F6200&lt;&gt;"", TEXT(F6200, "yyyy-mm"), "")</f>
        <v/>
      </c>
    </row>
    <row r="6201">
      <c r="A6201" t="inlineStr">
        <is>
          <t>RP0006200</t>
        </is>
      </c>
      <c r="B6201" t="inlineStr">
        <is>
          <t>LN200878</t>
        </is>
      </c>
      <c r="C6201" t="n">
        <v>2</v>
      </c>
      <c r="D6201" s="8" t="n">
        <v>46296</v>
      </c>
      <c r="E6201" s="9" t="n">
        <v>10048.5</v>
      </c>
      <c r="F6201" s="8" t="n"/>
      <c r="G6201" s="9" t="n">
        <v>0</v>
      </c>
      <c r="H6201" t="inlineStr">
        <is>
          <t>NOT_DUE</t>
        </is>
      </c>
      <c r="I6201">
        <f>IF(H6201="UNPAID", AsOfDate-D6201, 0)</f>
        <v/>
      </c>
      <c r="J6201">
        <f>IF(F6201&lt;&gt;"", TEXT(F6201, "yyyy-mm"), "")</f>
        <v/>
      </c>
    </row>
    <row r="6202">
      <c r="A6202" t="inlineStr">
        <is>
          <t>RP0006201</t>
        </is>
      </c>
      <c r="B6202" t="inlineStr">
        <is>
          <t>LN200878</t>
        </is>
      </c>
      <c r="C6202" t="n">
        <v>3</v>
      </c>
      <c r="D6202" s="8" t="n">
        <v>46327</v>
      </c>
      <c r="E6202" s="9" t="n">
        <v>10048.5</v>
      </c>
      <c r="F6202" s="8" t="n"/>
      <c r="G6202" s="9" t="n">
        <v>0</v>
      </c>
      <c r="H6202" t="inlineStr">
        <is>
          <t>NOT_DUE</t>
        </is>
      </c>
      <c r="I6202">
        <f>IF(H6202="UNPAID", AsOfDate-D6202, 0)</f>
        <v/>
      </c>
      <c r="J6202">
        <f>IF(F6202&lt;&gt;"", TEXT(F6202, "yyyy-mm"), "")</f>
        <v/>
      </c>
    </row>
    <row r="6203">
      <c r="A6203" t="inlineStr">
        <is>
          <t>RP0006202</t>
        </is>
      </c>
      <c r="B6203" t="inlineStr">
        <is>
          <t>LN200878</t>
        </is>
      </c>
      <c r="C6203" t="n">
        <v>4</v>
      </c>
      <c r="D6203" s="8" t="n">
        <v>46357</v>
      </c>
      <c r="E6203" s="9" t="n">
        <v>10048.5</v>
      </c>
      <c r="F6203" s="8" t="n"/>
      <c r="G6203" s="9" t="n">
        <v>0</v>
      </c>
      <c r="H6203" t="inlineStr">
        <is>
          <t>NOT_DUE</t>
        </is>
      </c>
      <c r="I6203">
        <f>IF(H6203="UNPAID", AsOfDate-D6203, 0)</f>
        <v/>
      </c>
      <c r="J6203">
        <f>IF(F6203&lt;&gt;"", TEXT(F6203, "yyyy-mm"), "")</f>
        <v/>
      </c>
    </row>
    <row r="6204">
      <c r="A6204" t="inlineStr">
        <is>
          <t>RP0006203</t>
        </is>
      </c>
      <c r="B6204" t="inlineStr">
        <is>
          <t>LN200878</t>
        </is>
      </c>
      <c r="C6204" t="n">
        <v>5</v>
      </c>
      <c r="D6204" s="8" t="n">
        <v>46388</v>
      </c>
      <c r="E6204" s="9" t="n">
        <v>10048.5</v>
      </c>
      <c r="F6204" s="8" t="n"/>
      <c r="G6204" s="9" t="n">
        <v>0</v>
      </c>
      <c r="H6204" t="inlineStr">
        <is>
          <t>NOT_DUE</t>
        </is>
      </c>
      <c r="I6204">
        <f>IF(H6204="UNPAID", AsOfDate-D6204, 0)</f>
        <v/>
      </c>
      <c r="J6204">
        <f>IF(F6204&lt;&gt;"", TEXT(F6204, "yyyy-mm"), "")</f>
        <v/>
      </c>
    </row>
    <row r="6205">
      <c r="A6205" t="inlineStr">
        <is>
          <t>RP0006204</t>
        </is>
      </c>
      <c r="B6205" t="inlineStr">
        <is>
          <t>LN200878</t>
        </is>
      </c>
      <c r="C6205" t="n">
        <v>6</v>
      </c>
      <c r="D6205" s="8" t="n">
        <v>46419</v>
      </c>
      <c r="E6205" s="9" t="n">
        <v>10048.5</v>
      </c>
      <c r="F6205" s="8" t="n"/>
      <c r="G6205" s="9" t="n">
        <v>0</v>
      </c>
      <c r="H6205" t="inlineStr">
        <is>
          <t>NOT_DUE</t>
        </is>
      </c>
      <c r="I6205">
        <f>IF(H6205="UNPAID", AsOfDate-D6205, 0)</f>
        <v/>
      </c>
      <c r="J6205">
        <f>IF(F6205&lt;&gt;"", TEXT(F6205, "yyyy-mm"), "")</f>
        <v/>
      </c>
    </row>
    <row r="6206">
      <c r="A6206" t="inlineStr">
        <is>
          <t>RP0006205</t>
        </is>
      </c>
      <c r="B6206" t="inlineStr">
        <is>
          <t>LN200878</t>
        </is>
      </c>
      <c r="C6206" t="n">
        <v>7</v>
      </c>
      <c r="D6206" s="8" t="n">
        <v>46447</v>
      </c>
      <c r="E6206" s="9" t="n">
        <v>10048.5</v>
      </c>
      <c r="F6206" s="8" t="n"/>
      <c r="G6206" s="9" t="n">
        <v>0</v>
      </c>
      <c r="H6206" t="inlineStr">
        <is>
          <t>NOT_DUE</t>
        </is>
      </c>
      <c r="I6206">
        <f>IF(H6206="UNPAID", AsOfDate-D6206, 0)</f>
        <v/>
      </c>
      <c r="J6206">
        <f>IF(F6206&lt;&gt;"", TEXT(F6206, "yyyy-mm"), "")</f>
        <v/>
      </c>
    </row>
    <row r="6207">
      <c r="A6207" t="inlineStr">
        <is>
          <t>RP0006206</t>
        </is>
      </c>
      <c r="B6207" t="inlineStr">
        <is>
          <t>LN200878</t>
        </is>
      </c>
      <c r="C6207" t="n">
        <v>8</v>
      </c>
      <c r="D6207" s="8" t="n">
        <v>46478</v>
      </c>
      <c r="E6207" s="9" t="n">
        <v>10048.5</v>
      </c>
      <c r="F6207" s="8" t="n"/>
      <c r="G6207" s="9" t="n">
        <v>0</v>
      </c>
      <c r="H6207" t="inlineStr">
        <is>
          <t>NOT_DUE</t>
        </is>
      </c>
      <c r="I6207">
        <f>IF(H6207="UNPAID", AsOfDate-D6207, 0)</f>
        <v/>
      </c>
      <c r="J6207">
        <f>IF(F6207&lt;&gt;"", TEXT(F6207, "yyyy-mm"), "")</f>
        <v/>
      </c>
    </row>
    <row r="6208">
      <c r="A6208" t="inlineStr">
        <is>
          <t>RP0006207</t>
        </is>
      </c>
      <c r="B6208" t="inlineStr">
        <is>
          <t>LN200878</t>
        </is>
      </c>
      <c r="C6208" t="n">
        <v>9</v>
      </c>
      <c r="D6208" s="8" t="n">
        <v>46508</v>
      </c>
      <c r="E6208" s="9" t="n">
        <v>10048.5</v>
      </c>
      <c r="F6208" s="8" t="n"/>
      <c r="G6208" s="9" t="n">
        <v>0</v>
      </c>
      <c r="H6208" t="inlineStr">
        <is>
          <t>NOT_DUE</t>
        </is>
      </c>
      <c r="I6208">
        <f>IF(H6208="UNPAID", AsOfDate-D6208, 0)</f>
        <v/>
      </c>
      <c r="J6208">
        <f>IF(F6208&lt;&gt;"", TEXT(F6208, "yyyy-mm"), "")</f>
        <v/>
      </c>
    </row>
    <row r="6209">
      <c r="A6209" t="inlineStr">
        <is>
          <t>RP0006208</t>
        </is>
      </c>
      <c r="B6209" t="inlineStr">
        <is>
          <t>LN200878</t>
        </is>
      </c>
      <c r="C6209" t="n">
        <v>10</v>
      </c>
      <c r="D6209" s="8" t="n">
        <v>46539</v>
      </c>
      <c r="E6209" s="9" t="n">
        <v>10048.5</v>
      </c>
      <c r="F6209" s="8" t="n"/>
      <c r="G6209" s="9" t="n">
        <v>0</v>
      </c>
      <c r="H6209" t="inlineStr">
        <is>
          <t>NOT_DUE</t>
        </is>
      </c>
      <c r="I6209">
        <f>IF(H6209="UNPAID", AsOfDate-D6209, 0)</f>
        <v/>
      </c>
      <c r="J6209">
        <f>IF(F6209&lt;&gt;"", TEXT(F6209, "yyyy-mm"), "")</f>
        <v/>
      </c>
    </row>
    <row r="6210">
      <c r="A6210" t="inlineStr">
        <is>
          <t>RP0006209</t>
        </is>
      </c>
      <c r="B6210" t="inlineStr">
        <is>
          <t>LN200878</t>
        </is>
      </c>
      <c r="C6210" t="n">
        <v>11</v>
      </c>
      <c r="D6210" s="8" t="n">
        <v>46569</v>
      </c>
      <c r="E6210" s="9" t="n">
        <v>10048.5</v>
      </c>
      <c r="F6210" s="8" t="n"/>
      <c r="G6210" s="9" t="n">
        <v>0</v>
      </c>
      <c r="H6210" t="inlineStr">
        <is>
          <t>NOT_DUE</t>
        </is>
      </c>
      <c r="I6210">
        <f>IF(H6210="UNPAID", AsOfDate-D6210, 0)</f>
        <v/>
      </c>
      <c r="J6210">
        <f>IF(F6210&lt;&gt;"", TEXT(F6210, "yyyy-mm"), "")</f>
        <v/>
      </c>
    </row>
    <row r="6211">
      <c r="A6211" t="inlineStr">
        <is>
          <t>RP0006210</t>
        </is>
      </c>
      <c r="B6211" t="inlineStr">
        <is>
          <t>LN200878</t>
        </is>
      </c>
      <c r="C6211" t="n">
        <v>12</v>
      </c>
      <c r="D6211" s="8" t="n">
        <v>46600</v>
      </c>
      <c r="E6211" s="9" t="n">
        <v>10048.5</v>
      </c>
      <c r="F6211" s="8" t="n"/>
      <c r="G6211" s="9" t="n">
        <v>0</v>
      </c>
      <c r="H6211" t="inlineStr">
        <is>
          <t>NOT_DUE</t>
        </is>
      </c>
      <c r="I6211">
        <f>IF(H6211="UNPAID", AsOfDate-D6211, 0)</f>
        <v/>
      </c>
      <c r="J6211">
        <f>IF(F6211&lt;&gt;"", TEXT(F6211, "yyyy-mm"), "")</f>
        <v/>
      </c>
    </row>
    <row r="6212">
      <c r="A6212" t="inlineStr">
        <is>
          <t>RP0006211</t>
        </is>
      </c>
      <c r="B6212" t="inlineStr">
        <is>
          <t>LN200879</t>
        </is>
      </c>
      <c r="C6212" t="n">
        <v>1</v>
      </c>
      <c r="D6212" s="8" t="n">
        <v>45752</v>
      </c>
      <c r="E6212" s="9" t="n">
        <v>12228.67</v>
      </c>
      <c r="F6212" s="8" t="n">
        <v>45754</v>
      </c>
      <c r="G6212" s="9" t="n">
        <v>12228.67</v>
      </c>
      <c r="H6212" t="inlineStr">
        <is>
          <t>PAID_ON_TIME</t>
        </is>
      </c>
      <c r="I6212">
        <f>IF(H6212="UNPAID", AsOfDate-D6212, 0)</f>
        <v/>
      </c>
      <c r="J6212">
        <f>IF(F6212&lt;&gt;"", TEXT(F6212, "yyyy-mm"), "")</f>
        <v/>
      </c>
    </row>
    <row r="6213">
      <c r="A6213" t="inlineStr">
        <is>
          <t>RP0006212</t>
        </is>
      </c>
      <c r="B6213" t="inlineStr">
        <is>
          <t>LN200879</t>
        </is>
      </c>
      <c r="C6213" t="n">
        <v>2</v>
      </c>
      <c r="D6213" s="8" t="n">
        <v>45782</v>
      </c>
      <c r="E6213" s="9" t="n">
        <v>12228.67</v>
      </c>
      <c r="F6213" s="8" t="n">
        <v>45780</v>
      </c>
      <c r="G6213" s="9" t="n">
        <v>12228.67</v>
      </c>
      <c r="H6213" t="inlineStr">
        <is>
          <t>PAID_ON_TIME</t>
        </is>
      </c>
      <c r="I6213">
        <f>IF(H6213="UNPAID", AsOfDate-D6213, 0)</f>
        <v/>
      </c>
      <c r="J6213">
        <f>IF(F6213&lt;&gt;"", TEXT(F6213, "yyyy-mm"), "")</f>
        <v/>
      </c>
    </row>
    <row r="6214">
      <c r="A6214" t="inlineStr">
        <is>
          <t>RP0006213</t>
        </is>
      </c>
      <c r="B6214" t="inlineStr">
        <is>
          <t>LN200879</t>
        </is>
      </c>
      <c r="C6214" t="n">
        <v>3</v>
      </c>
      <c r="D6214" s="8" t="n">
        <v>45813</v>
      </c>
      <c r="E6214" s="9" t="n">
        <v>12228.67</v>
      </c>
      <c r="F6214" s="8" t="n">
        <v>45813</v>
      </c>
      <c r="G6214" s="9" t="n">
        <v>12228.67</v>
      </c>
      <c r="H6214" t="inlineStr">
        <is>
          <t>PAID_ON_TIME</t>
        </is>
      </c>
      <c r="I6214">
        <f>IF(H6214="UNPAID", AsOfDate-D6214, 0)</f>
        <v/>
      </c>
      <c r="J6214">
        <f>IF(F6214&lt;&gt;"", TEXT(F6214, "yyyy-mm"), "")</f>
        <v/>
      </c>
    </row>
    <row r="6215">
      <c r="A6215" t="inlineStr">
        <is>
          <t>RP0006214</t>
        </is>
      </c>
      <c r="B6215" t="inlineStr">
        <is>
          <t>LN200879</t>
        </is>
      </c>
      <c r="C6215" t="n">
        <v>4</v>
      </c>
      <c r="D6215" s="8" t="n">
        <v>45843</v>
      </c>
      <c r="E6215" s="9" t="n">
        <v>12228.67</v>
      </c>
      <c r="F6215" s="8" t="n">
        <v>45845</v>
      </c>
      <c r="G6215" s="9" t="n">
        <v>12228.67</v>
      </c>
      <c r="H6215" t="inlineStr">
        <is>
          <t>PAID_ON_TIME</t>
        </is>
      </c>
      <c r="I6215">
        <f>IF(H6215="UNPAID", AsOfDate-D6215, 0)</f>
        <v/>
      </c>
      <c r="J6215">
        <f>IF(F6215&lt;&gt;"", TEXT(F6215, "yyyy-mm"), "")</f>
        <v/>
      </c>
    </row>
    <row r="6216">
      <c r="A6216" t="inlineStr">
        <is>
          <t>RP0006215</t>
        </is>
      </c>
      <c r="B6216" t="inlineStr">
        <is>
          <t>LN200879</t>
        </is>
      </c>
      <c r="C6216" t="n">
        <v>5</v>
      </c>
      <c r="D6216" s="8" t="n">
        <v>45874</v>
      </c>
      <c r="E6216" s="9" t="n">
        <v>12228.67</v>
      </c>
      <c r="F6216" s="8" t="n">
        <v>45878</v>
      </c>
      <c r="G6216" s="9" t="n">
        <v>12228.67</v>
      </c>
      <c r="H6216" t="inlineStr">
        <is>
          <t>PAID_ON_TIME</t>
        </is>
      </c>
      <c r="I6216">
        <f>IF(H6216="UNPAID", AsOfDate-D6216, 0)</f>
        <v/>
      </c>
      <c r="J6216">
        <f>IF(F6216&lt;&gt;"", TEXT(F6216, "yyyy-mm"), "")</f>
        <v/>
      </c>
    </row>
    <row r="6217">
      <c r="A6217" t="inlineStr">
        <is>
          <t>RP0006216</t>
        </is>
      </c>
      <c r="B6217" t="inlineStr">
        <is>
          <t>LN200879</t>
        </is>
      </c>
      <c r="C6217" t="n">
        <v>6</v>
      </c>
      <c r="D6217" s="8" t="n">
        <v>45905</v>
      </c>
      <c r="E6217" s="9" t="n">
        <v>12228.67</v>
      </c>
      <c r="F6217" s="8" t="n">
        <v>45908</v>
      </c>
      <c r="G6217" s="9" t="n">
        <v>12228.67</v>
      </c>
      <c r="H6217" t="inlineStr">
        <is>
          <t>PAID_ON_TIME</t>
        </is>
      </c>
      <c r="I6217">
        <f>IF(H6217="UNPAID", AsOfDate-D6217, 0)</f>
        <v/>
      </c>
      <c r="J6217">
        <f>IF(F6217&lt;&gt;"", TEXT(F6217, "yyyy-mm"), "")</f>
        <v/>
      </c>
    </row>
    <row r="6218">
      <c r="A6218" t="inlineStr">
        <is>
          <t>RP0006217</t>
        </is>
      </c>
      <c r="B6218" t="inlineStr">
        <is>
          <t>LN200880</t>
        </is>
      </c>
      <c r="C6218" t="n">
        <v>1</v>
      </c>
      <c r="D6218" s="8" t="n">
        <v>46006</v>
      </c>
      <c r="E6218" s="9" t="n">
        <v>45556.5</v>
      </c>
      <c r="F6218" s="8" t="n">
        <v>46004</v>
      </c>
      <c r="G6218" s="9" t="n">
        <v>45556.5</v>
      </c>
      <c r="H6218" t="inlineStr">
        <is>
          <t>PAID_ON_TIME</t>
        </is>
      </c>
      <c r="I6218">
        <f>IF(H6218="UNPAID", AsOfDate-D6218, 0)</f>
        <v/>
      </c>
      <c r="J6218">
        <f>IF(F6218&lt;&gt;"", TEXT(F6218, "yyyy-mm"), "")</f>
        <v/>
      </c>
    </row>
    <row r="6219">
      <c r="A6219" t="inlineStr">
        <is>
          <t>RP0006218</t>
        </is>
      </c>
      <c r="B6219" t="inlineStr">
        <is>
          <t>LN200880</t>
        </is>
      </c>
      <c r="C6219" t="n">
        <v>2</v>
      </c>
      <c r="D6219" s="8" t="n">
        <v>46037</v>
      </c>
      <c r="E6219" s="9" t="n">
        <v>45556.5</v>
      </c>
      <c r="F6219" s="8" t="n">
        <v>46041</v>
      </c>
      <c r="G6219" s="9" t="n">
        <v>45556.5</v>
      </c>
      <c r="H6219" t="inlineStr">
        <is>
          <t>PAID_ON_TIME</t>
        </is>
      </c>
      <c r="I6219">
        <f>IF(H6219="UNPAID", AsOfDate-D6219, 0)</f>
        <v/>
      </c>
      <c r="J6219">
        <f>IF(F6219&lt;&gt;"", TEXT(F6219, "yyyy-mm"), "")</f>
        <v/>
      </c>
    </row>
    <row r="6220">
      <c r="A6220" t="inlineStr">
        <is>
          <t>RP0006219</t>
        </is>
      </c>
      <c r="B6220" t="inlineStr">
        <is>
          <t>LN200880</t>
        </is>
      </c>
      <c r="C6220" t="n">
        <v>3</v>
      </c>
      <c r="D6220" s="8" t="n">
        <v>46068</v>
      </c>
      <c r="E6220" s="9" t="n">
        <v>45556.5</v>
      </c>
      <c r="F6220" s="8" t="n">
        <v>46067</v>
      </c>
      <c r="G6220" s="9" t="n">
        <v>45556.5</v>
      </c>
      <c r="H6220" t="inlineStr">
        <is>
          <t>PAID_ON_TIME</t>
        </is>
      </c>
      <c r="I6220">
        <f>IF(H6220="UNPAID", AsOfDate-D6220, 0)</f>
        <v/>
      </c>
      <c r="J6220">
        <f>IF(F6220&lt;&gt;"", TEXT(F6220, "yyyy-mm"), "")</f>
        <v/>
      </c>
    </row>
    <row r="6221">
      <c r="A6221" t="inlineStr">
        <is>
          <t>RP0006220</t>
        </is>
      </c>
      <c r="B6221" t="inlineStr">
        <is>
          <t>LN200880</t>
        </is>
      </c>
      <c r="C6221" t="n">
        <v>4</v>
      </c>
      <c r="D6221" s="8" t="n">
        <v>46096</v>
      </c>
      <c r="E6221" s="9" t="n">
        <v>45556.5</v>
      </c>
      <c r="F6221" s="8" t="n">
        <v>46093</v>
      </c>
      <c r="G6221" s="9" t="n">
        <v>45556.5</v>
      </c>
      <c r="H6221" t="inlineStr">
        <is>
          <t>PAID_ON_TIME</t>
        </is>
      </c>
      <c r="I6221">
        <f>IF(H6221="UNPAID", AsOfDate-D6221, 0)</f>
        <v/>
      </c>
      <c r="J6221">
        <f>IF(F6221&lt;&gt;"", TEXT(F6221, "yyyy-mm"), "")</f>
        <v/>
      </c>
    </row>
    <row r="6222">
      <c r="A6222" t="inlineStr">
        <is>
          <t>RP0006221</t>
        </is>
      </c>
      <c r="B6222" t="inlineStr">
        <is>
          <t>LN200880</t>
        </is>
      </c>
      <c r="C6222" t="n">
        <v>5</v>
      </c>
      <c r="D6222" s="8" t="n">
        <v>46127</v>
      </c>
      <c r="E6222" s="9" t="n">
        <v>45556.5</v>
      </c>
      <c r="F6222" s="8" t="n">
        <v>46126</v>
      </c>
      <c r="G6222" s="9" t="n">
        <v>45556.5</v>
      </c>
      <c r="H6222" t="inlineStr">
        <is>
          <t>PAID_ON_TIME</t>
        </is>
      </c>
      <c r="I6222">
        <f>IF(H6222="UNPAID", AsOfDate-D6222, 0)</f>
        <v/>
      </c>
      <c r="J6222">
        <f>IF(F6222&lt;&gt;"", TEXT(F6222, "yyyy-mm"), "")</f>
        <v/>
      </c>
    </row>
    <row r="6223">
      <c r="A6223" t="inlineStr">
        <is>
          <t>RP0006222</t>
        </is>
      </c>
      <c r="B6223" t="inlineStr">
        <is>
          <t>LN200880</t>
        </is>
      </c>
      <c r="C6223" t="n">
        <v>6</v>
      </c>
      <c r="D6223" s="8" t="n">
        <v>46157</v>
      </c>
      <c r="E6223" s="9" t="n">
        <v>45556.5</v>
      </c>
      <c r="F6223" s="8" t="n">
        <v>46158</v>
      </c>
      <c r="G6223" s="9" t="n">
        <v>45556.5</v>
      </c>
      <c r="H6223" t="inlineStr">
        <is>
          <t>PAID_ON_TIME</t>
        </is>
      </c>
      <c r="I6223">
        <f>IF(H6223="UNPAID", AsOfDate-D6223, 0)</f>
        <v/>
      </c>
      <c r="J6223">
        <f>IF(F6223&lt;&gt;"", TEXT(F6223, "yyyy-mm"), "")</f>
        <v/>
      </c>
    </row>
    <row r="6224">
      <c r="A6224" t="inlineStr">
        <is>
          <t>RP0006223</t>
        </is>
      </c>
      <c r="B6224" t="inlineStr">
        <is>
          <t>LN200881</t>
        </is>
      </c>
      <c r="C6224" t="n">
        <v>1</v>
      </c>
      <c r="D6224" s="8" t="n">
        <v>46039</v>
      </c>
      <c r="E6224" s="9" t="n">
        <v>59093.67</v>
      </c>
      <c r="F6224" s="8" t="n">
        <v>46036</v>
      </c>
      <c r="G6224" s="9" t="n">
        <v>59093.67</v>
      </c>
      <c r="H6224" t="inlineStr">
        <is>
          <t>PAID_ON_TIME</t>
        </is>
      </c>
      <c r="I6224">
        <f>IF(H6224="UNPAID", AsOfDate-D6224, 0)</f>
        <v/>
      </c>
      <c r="J6224">
        <f>IF(F6224&lt;&gt;"", TEXT(F6224, "yyyy-mm"), "")</f>
        <v/>
      </c>
    </row>
    <row r="6225">
      <c r="A6225" t="inlineStr">
        <is>
          <t>RP0006224</t>
        </is>
      </c>
      <c r="B6225" t="inlineStr">
        <is>
          <t>LN200881</t>
        </is>
      </c>
      <c r="C6225" t="n">
        <v>2</v>
      </c>
      <c r="D6225" s="8" t="n">
        <v>46070</v>
      </c>
      <c r="E6225" s="9" t="n">
        <v>59093.67</v>
      </c>
      <c r="F6225" s="8" t="n">
        <v>46073</v>
      </c>
      <c r="G6225" s="9" t="n">
        <v>59093.67</v>
      </c>
      <c r="H6225" t="inlineStr">
        <is>
          <t>PAID_ON_TIME</t>
        </is>
      </c>
      <c r="I6225">
        <f>IF(H6225="UNPAID", AsOfDate-D6225, 0)</f>
        <v/>
      </c>
      <c r="J6225">
        <f>IF(F6225&lt;&gt;"", TEXT(F6225, "yyyy-mm"), "")</f>
        <v/>
      </c>
    </row>
    <row r="6226">
      <c r="A6226" t="inlineStr">
        <is>
          <t>RP0006225</t>
        </is>
      </c>
      <c r="B6226" t="inlineStr">
        <is>
          <t>LN200881</t>
        </is>
      </c>
      <c r="C6226" t="n">
        <v>3</v>
      </c>
      <c r="D6226" s="8" t="n">
        <v>46098</v>
      </c>
      <c r="E6226" s="9" t="n">
        <v>59093.67</v>
      </c>
      <c r="F6226" s="8" t="n">
        <v>46098</v>
      </c>
      <c r="G6226" s="9" t="n">
        <v>59093.67</v>
      </c>
      <c r="H6226" t="inlineStr">
        <is>
          <t>PAID_ON_TIME</t>
        </is>
      </c>
      <c r="I6226">
        <f>IF(H6226="UNPAID", AsOfDate-D6226, 0)</f>
        <v/>
      </c>
      <c r="J6226">
        <f>IF(F6226&lt;&gt;"", TEXT(F6226, "yyyy-mm"), "")</f>
        <v/>
      </c>
    </row>
    <row r="6227">
      <c r="A6227" t="inlineStr">
        <is>
          <t>RP0006226</t>
        </is>
      </c>
      <c r="B6227" t="inlineStr">
        <is>
          <t>LN200882</t>
        </is>
      </c>
      <c r="C6227" t="n">
        <v>1</v>
      </c>
      <c r="D6227" s="8" t="n">
        <v>46216</v>
      </c>
      <c r="E6227" s="9" t="n">
        <v>15455</v>
      </c>
      <c r="F6227" s="8" t="n">
        <v>46215</v>
      </c>
      <c r="G6227" s="9" t="n">
        <v>15455</v>
      </c>
      <c r="H6227" t="inlineStr">
        <is>
          <t>PAID_ON_TIME</t>
        </is>
      </c>
      <c r="I6227">
        <f>IF(H6227="UNPAID", AsOfDate-D6227, 0)</f>
        <v/>
      </c>
      <c r="J6227">
        <f>IF(F6227&lt;&gt;"", TEXT(F6227, "yyyy-mm"), "")</f>
        <v/>
      </c>
    </row>
    <row r="6228">
      <c r="A6228" t="inlineStr">
        <is>
          <t>RP0006227</t>
        </is>
      </c>
      <c r="B6228" t="inlineStr">
        <is>
          <t>LN200882</t>
        </is>
      </c>
      <c r="C6228" t="n">
        <v>2</v>
      </c>
      <c r="D6228" s="8" t="n">
        <v>46247</v>
      </c>
      <c r="E6228" s="9" t="n">
        <v>15455</v>
      </c>
      <c r="F6228" s="8" t="n"/>
      <c r="G6228" s="9" t="n">
        <v>0</v>
      </c>
      <c r="H6228" t="inlineStr">
        <is>
          <t>UNPAID</t>
        </is>
      </c>
      <c r="I6228">
        <f>IF(H6228="UNPAID", AsOfDate-D6228, 0)</f>
        <v/>
      </c>
      <c r="J6228">
        <f>IF(F6228&lt;&gt;"", TEXT(F6228, "yyyy-mm"), "")</f>
        <v/>
      </c>
    </row>
    <row r="6229">
      <c r="A6229" t="inlineStr">
        <is>
          <t>RP0006228</t>
        </is>
      </c>
      <c r="B6229" t="inlineStr">
        <is>
          <t>LN200882</t>
        </is>
      </c>
      <c r="C6229" t="n">
        <v>3</v>
      </c>
      <c r="D6229" s="8" t="n">
        <v>46278</v>
      </c>
      <c r="E6229" s="9" t="n">
        <v>15455</v>
      </c>
      <c r="F6229" s="8" t="n"/>
      <c r="G6229" s="9" t="n">
        <v>0</v>
      </c>
      <c r="H6229" t="inlineStr">
        <is>
          <t>NOT_DUE</t>
        </is>
      </c>
      <c r="I6229">
        <f>IF(H6229="UNPAID", AsOfDate-D6229, 0)</f>
        <v/>
      </c>
      <c r="J6229">
        <f>IF(F6229&lt;&gt;"", TEXT(F6229, "yyyy-mm"), "")</f>
        <v/>
      </c>
    </row>
    <row r="6230">
      <c r="A6230" t="inlineStr">
        <is>
          <t>RP0006229</t>
        </is>
      </c>
      <c r="B6230" t="inlineStr">
        <is>
          <t>LN200882</t>
        </is>
      </c>
      <c r="C6230" t="n">
        <v>4</v>
      </c>
      <c r="D6230" s="8" t="n">
        <v>46308</v>
      </c>
      <c r="E6230" s="9" t="n">
        <v>15455</v>
      </c>
      <c r="F6230" s="8" t="n"/>
      <c r="G6230" s="9" t="n">
        <v>0</v>
      </c>
      <c r="H6230" t="inlineStr">
        <is>
          <t>NOT_DUE</t>
        </is>
      </c>
      <c r="I6230">
        <f>IF(H6230="UNPAID", AsOfDate-D6230, 0)</f>
        <v/>
      </c>
      <c r="J6230">
        <f>IF(F6230&lt;&gt;"", TEXT(F6230, "yyyy-mm"), "")</f>
        <v/>
      </c>
    </row>
    <row r="6231">
      <c r="A6231" t="inlineStr">
        <is>
          <t>RP0006230</t>
        </is>
      </c>
      <c r="B6231" t="inlineStr">
        <is>
          <t>LN200882</t>
        </is>
      </c>
      <c r="C6231" t="n">
        <v>5</v>
      </c>
      <c r="D6231" s="8" t="n">
        <v>46339</v>
      </c>
      <c r="E6231" s="9" t="n">
        <v>15455</v>
      </c>
      <c r="F6231" s="8" t="n"/>
      <c r="G6231" s="9" t="n">
        <v>0</v>
      </c>
      <c r="H6231" t="inlineStr">
        <is>
          <t>NOT_DUE</t>
        </is>
      </c>
      <c r="I6231">
        <f>IF(H6231="UNPAID", AsOfDate-D6231, 0)</f>
        <v/>
      </c>
      <c r="J6231">
        <f>IF(F6231&lt;&gt;"", TEXT(F6231, "yyyy-mm"), "")</f>
        <v/>
      </c>
    </row>
    <row r="6232">
      <c r="A6232" t="inlineStr">
        <is>
          <t>RP0006231</t>
        </is>
      </c>
      <c r="B6232" t="inlineStr">
        <is>
          <t>LN200882</t>
        </is>
      </c>
      <c r="C6232" t="n">
        <v>6</v>
      </c>
      <c r="D6232" s="8" t="n">
        <v>46369</v>
      </c>
      <c r="E6232" s="9" t="n">
        <v>15455</v>
      </c>
      <c r="F6232" s="8" t="n"/>
      <c r="G6232" s="9" t="n">
        <v>0</v>
      </c>
      <c r="H6232" t="inlineStr">
        <is>
          <t>NOT_DUE</t>
        </is>
      </c>
      <c r="I6232">
        <f>IF(H6232="UNPAID", AsOfDate-D6232, 0)</f>
        <v/>
      </c>
      <c r="J6232">
        <f>IF(F6232&lt;&gt;"", TEXT(F6232, "yyyy-mm"), "")</f>
        <v/>
      </c>
    </row>
    <row r="6233">
      <c r="A6233" t="inlineStr">
        <is>
          <t>RP0006232</t>
        </is>
      </c>
      <c r="B6233" t="inlineStr">
        <is>
          <t>LN200882</t>
        </is>
      </c>
      <c r="C6233" t="n">
        <v>7</v>
      </c>
      <c r="D6233" s="8" t="n">
        <v>46400</v>
      </c>
      <c r="E6233" s="9" t="n">
        <v>15455</v>
      </c>
      <c r="F6233" s="8" t="n"/>
      <c r="G6233" s="9" t="n">
        <v>0</v>
      </c>
      <c r="H6233" t="inlineStr">
        <is>
          <t>NOT_DUE</t>
        </is>
      </c>
      <c r="I6233">
        <f>IF(H6233="UNPAID", AsOfDate-D6233, 0)</f>
        <v/>
      </c>
      <c r="J6233">
        <f>IF(F6233&lt;&gt;"", TEXT(F6233, "yyyy-mm"), "")</f>
        <v/>
      </c>
    </row>
    <row r="6234">
      <c r="A6234" t="inlineStr">
        <is>
          <t>RP0006233</t>
        </is>
      </c>
      <c r="B6234" t="inlineStr">
        <is>
          <t>LN200882</t>
        </is>
      </c>
      <c r="C6234" t="n">
        <v>8</v>
      </c>
      <c r="D6234" s="8" t="n">
        <v>46431</v>
      </c>
      <c r="E6234" s="9" t="n">
        <v>15455</v>
      </c>
      <c r="F6234" s="8" t="n"/>
      <c r="G6234" s="9" t="n">
        <v>0</v>
      </c>
      <c r="H6234" t="inlineStr">
        <is>
          <t>NOT_DUE</t>
        </is>
      </c>
      <c r="I6234">
        <f>IF(H6234="UNPAID", AsOfDate-D6234, 0)</f>
        <v/>
      </c>
      <c r="J6234">
        <f>IF(F6234&lt;&gt;"", TEXT(F6234, "yyyy-mm"), "")</f>
        <v/>
      </c>
    </row>
    <row r="6235">
      <c r="A6235" t="inlineStr">
        <is>
          <t>RP0006234</t>
        </is>
      </c>
      <c r="B6235" t="inlineStr">
        <is>
          <t>LN200882</t>
        </is>
      </c>
      <c r="C6235" t="n">
        <v>9</v>
      </c>
      <c r="D6235" s="8" t="n">
        <v>46459</v>
      </c>
      <c r="E6235" s="9" t="n">
        <v>15455</v>
      </c>
      <c r="F6235" s="8" t="n"/>
      <c r="G6235" s="9" t="n">
        <v>0</v>
      </c>
      <c r="H6235" t="inlineStr">
        <is>
          <t>NOT_DUE</t>
        </is>
      </c>
      <c r="I6235">
        <f>IF(H6235="UNPAID", AsOfDate-D6235, 0)</f>
        <v/>
      </c>
      <c r="J6235">
        <f>IF(F6235&lt;&gt;"", TEXT(F6235, "yyyy-mm"), "")</f>
        <v/>
      </c>
    </row>
    <row r="6236">
      <c r="A6236" t="inlineStr">
        <is>
          <t>RP0006235</t>
        </is>
      </c>
      <c r="B6236" t="inlineStr">
        <is>
          <t>LN200882</t>
        </is>
      </c>
      <c r="C6236" t="n">
        <v>10</v>
      </c>
      <c r="D6236" s="8" t="n">
        <v>46490</v>
      </c>
      <c r="E6236" s="9" t="n">
        <v>15455</v>
      </c>
      <c r="F6236" s="8" t="n"/>
      <c r="G6236" s="9" t="n">
        <v>0</v>
      </c>
      <c r="H6236" t="inlineStr">
        <is>
          <t>NOT_DUE</t>
        </is>
      </c>
      <c r="I6236">
        <f>IF(H6236="UNPAID", AsOfDate-D6236, 0)</f>
        <v/>
      </c>
      <c r="J6236">
        <f>IF(F6236&lt;&gt;"", TEXT(F6236, "yyyy-mm"), "")</f>
        <v/>
      </c>
    </row>
    <row r="6237">
      <c r="A6237" t="inlineStr">
        <is>
          <t>RP0006236</t>
        </is>
      </c>
      <c r="B6237" t="inlineStr">
        <is>
          <t>LN200882</t>
        </is>
      </c>
      <c r="C6237" t="n">
        <v>11</v>
      </c>
      <c r="D6237" s="8" t="n">
        <v>46520</v>
      </c>
      <c r="E6237" s="9" t="n">
        <v>15455</v>
      </c>
      <c r="F6237" s="8" t="n"/>
      <c r="G6237" s="9" t="n">
        <v>0</v>
      </c>
      <c r="H6237" t="inlineStr">
        <is>
          <t>NOT_DUE</t>
        </is>
      </c>
      <c r="I6237">
        <f>IF(H6237="UNPAID", AsOfDate-D6237, 0)</f>
        <v/>
      </c>
      <c r="J6237">
        <f>IF(F6237&lt;&gt;"", TEXT(F6237, "yyyy-mm"), "")</f>
        <v/>
      </c>
    </row>
    <row r="6238">
      <c r="A6238" t="inlineStr">
        <is>
          <t>RP0006237</t>
        </is>
      </c>
      <c r="B6238" t="inlineStr">
        <is>
          <t>LN200882</t>
        </is>
      </c>
      <c r="C6238" t="n">
        <v>12</v>
      </c>
      <c r="D6238" s="8" t="n">
        <v>46551</v>
      </c>
      <c r="E6238" s="9" t="n">
        <v>15455</v>
      </c>
      <c r="F6238" s="8" t="n"/>
      <c r="G6238" s="9" t="n">
        <v>0</v>
      </c>
      <c r="H6238" t="inlineStr">
        <is>
          <t>NOT_DUE</t>
        </is>
      </c>
      <c r="I6238">
        <f>IF(H6238="UNPAID", AsOfDate-D6238, 0)</f>
        <v/>
      </c>
      <c r="J6238">
        <f>IF(F6238&lt;&gt;"", TEXT(F6238, "yyyy-mm"), "")</f>
        <v/>
      </c>
    </row>
    <row r="6239">
      <c r="A6239" t="inlineStr">
        <is>
          <t>RP0006238</t>
        </is>
      </c>
      <c r="B6239" t="inlineStr">
        <is>
          <t>LN200883</t>
        </is>
      </c>
      <c r="C6239" t="n">
        <v>1</v>
      </c>
      <c r="D6239" s="8" t="n">
        <v>45862</v>
      </c>
      <c r="E6239" s="9" t="n">
        <v>69301.17</v>
      </c>
      <c r="F6239" s="8" t="n">
        <v>45860</v>
      </c>
      <c r="G6239" s="9" t="n">
        <v>69301.17</v>
      </c>
      <c r="H6239" t="inlineStr">
        <is>
          <t>PAID_ON_TIME</t>
        </is>
      </c>
      <c r="I6239">
        <f>IF(H6239="UNPAID", AsOfDate-D6239, 0)</f>
        <v/>
      </c>
      <c r="J6239">
        <f>IF(F6239&lt;&gt;"", TEXT(F6239, "yyyy-mm"), "")</f>
        <v/>
      </c>
    </row>
    <row r="6240">
      <c r="A6240" t="inlineStr">
        <is>
          <t>RP0006239</t>
        </is>
      </c>
      <c r="B6240" t="inlineStr">
        <is>
          <t>LN200883</t>
        </is>
      </c>
      <c r="C6240" t="n">
        <v>2</v>
      </c>
      <c r="D6240" s="8" t="n">
        <v>45893</v>
      </c>
      <c r="E6240" s="9" t="n">
        <v>69301.17</v>
      </c>
      <c r="F6240" s="8" t="n">
        <v>45891</v>
      </c>
      <c r="G6240" s="9" t="n">
        <v>69301.17</v>
      </c>
      <c r="H6240" t="inlineStr">
        <is>
          <t>PAID_ON_TIME</t>
        </is>
      </c>
      <c r="I6240">
        <f>IF(H6240="UNPAID", AsOfDate-D6240, 0)</f>
        <v/>
      </c>
      <c r="J6240">
        <f>IF(F6240&lt;&gt;"", TEXT(F6240, "yyyy-mm"), "")</f>
        <v/>
      </c>
    </row>
    <row r="6241">
      <c r="A6241" t="inlineStr">
        <is>
          <t>RP0006240</t>
        </is>
      </c>
      <c r="B6241" t="inlineStr">
        <is>
          <t>LN200883</t>
        </is>
      </c>
      <c r="C6241" t="n">
        <v>3</v>
      </c>
      <c r="D6241" s="8" t="n">
        <v>45924</v>
      </c>
      <c r="E6241" s="9" t="n">
        <v>69301.17</v>
      </c>
      <c r="F6241" s="8" t="n">
        <v>45926</v>
      </c>
      <c r="G6241" s="9" t="n">
        <v>69301.17</v>
      </c>
      <c r="H6241" t="inlineStr">
        <is>
          <t>PAID_LATE</t>
        </is>
      </c>
      <c r="I6241">
        <f>IF(H6241="UNPAID", AsOfDate-D6241, 0)</f>
        <v/>
      </c>
      <c r="J6241">
        <f>IF(F6241&lt;&gt;"", TEXT(F6241, "yyyy-mm"), "")</f>
        <v/>
      </c>
    </row>
    <row r="6242">
      <c r="A6242" t="inlineStr">
        <is>
          <t>RP0006241</t>
        </is>
      </c>
      <c r="B6242" t="inlineStr">
        <is>
          <t>LN200883</t>
        </is>
      </c>
      <c r="C6242" t="n">
        <v>4</v>
      </c>
      <c r="D6242" s="8" t="n">
        <v>45954</v>
      </c>
      <c r="E6242" s="9" t="n">
        <v>69301.17</v>
      </c>
      <c r="F6242" s="8" t="n">
        <v>45954</v>
      </c>
      <c r="G6242" s="9" t="n">
        <v>69301.17</v>
      </c>
      <c r="H6242" t="inlineStr">
        <is>
          <t>PAID_ON_TIME</t>
        </is>
      </c>
      <c r="I6242">
        <f>IF(H6242="UNPAID", AsOfDate-D6242, 0)</f>
        <v/>
      </c>
      <c r="J6242">
        <f>IF(F6242&lt;&gt;"", TEXT(F6242, "yyyy-mm"), "")</f>
        <v/>
      </c>
    </row>
    <row r="6243">
      <c r="A6243" t="inlineStr">
        <is>
          <t>RP0006242</t>
        </is>
      </c>
      <c r="B6243" t="inlineStr">
        <is>
          <t>LN200883</t>
        </is>
      </c>
      <c r="C6243" t="n">
        <v>5</v>
      </c>
      <c r="D6243" s="8" t="n">
        <v>45985</v>
      </c>
      <c r="E6243" s="9" t="n">
        <v>69301.17</v>
      </c>
      <c r="F6243" s="8" t="n">
        <v>46021</v>
      </c>
      <c r="G6243" s="9" t="n">
        <v>69301.17</v>
      </c>
      <c r="H6243" t="inlineStr">
        <is>
          <t>PAID_LATE</t>
        </is>
      </c>
      <c r="I6243">
        <f>IF(H6243="UNPAID", AsOfDate-D6243, 0)</f>
        <v/>
      </c>
      <c r="J6243">
        <f>IF(F6243&lt;&gt;"", TEXT(F6243, "yyyy-mm"), "")</f>
        <v/>
      </c>
    </row>
    <row r="6244">
      <c r="A6244" t="inlineStr">
        <is>
          <t>RP0006243</t>
        </is>
      </c>
      <c r="B6244" t="inlineStr">
        <is>
          <t>LN200883</t>
        </is>
      </c>
      <c r="C6244" t="n">
        <v>6</v>
      </c>
      <c r="D6244" s="8" t="n">
        <v>46015</v>
      </c>
      <c r="E6244" s="9" t="n">
        <v>69301.17</v>
      </c>
      <c r="F6244" s="8" t="n">
        <v>46015</v>
      </c>
      <c r="G6244" s="9" t="n">
        <v>69301.17</v>
      </c>
      <c r="H6244" t="inlineStr">
        <is>
          <t>PAID_ON_TIME</t>
        </is>
      </c>
      <c r="I6244">
        <f>IF(H6244="UNPAID", AsOfDate-D6244, 0)</f>
        <v/>
      </c>
      <c r="J6244">
        <f>IF(F6244&lt;&gt;"", TEXT(F6244, "yyyy-mm"), "")</f>
        <v/>
      </c>
    </row>
    <row r="6245">
      <c r="A6245" t="inlineStr">
        <is>
          <t>RP0006244</t>
        </is>
      </c>
      <c r="B6245" t="inlineStr">
        <is>
          <t>LN200884</t>
        </is>
      </c>
      <c r="C6245" t="n">
        <v>1</v>
      </c>
      <c r="D6245" s="8" t="n">
        <v>46119</v>
      </c>
      <c r="E6245" s="9" t="n">
        <v>13060.83</v>
      </c>
      <c r="F6245" s="8" t="n">
        <v>46122</v>
      </c>
      <c r="G6245" s="9" t="n">
        <v>13060.83</v>
      </c>
      <c r="H6245" t="inlineStr">
        <is>
          <t>PAID_ON_TIME</t>
        </is>
      </c>
      <c r="I6245">
        <f>IF(H6245="UNPAID", AsOfDate-D6245, 0)</f>
        <v/>
      </c>
      <c r="J6245">
        <f>IF(F6245&lt;&gt;"", TEXT(F6245, "yyyy-mm"), "")</f>
        <v/>
      </c>
    </row>
    <row r="6246">
      <c r="A6246" t="inlineStr">
        <is>
          <t>RP0006245</t>
        </is>
      </c>
      <c r="B6246" t="inlineStr">
        <is>
          <t>LN200884</t>
        </is>
      </c>
      <c r="C6246" t="n">
        <v>2</v>
      </c>
      <c r="D6246" s="8" t="n">
        <v>46149</v>
      </c>
      <c r="E6246" s="9" t="n">
        <v>13060.83</v>
      </c>
      <c r="F6246" s="8" t="n">
        <v>46149</v>
      </c>
      <c r="G6246" s="9" t="n">
        <v>13060.83</v>
      </c>
      <c r="H6246" t="inlineStr">
        <is>
          <t>PAID_ON_TIME</t>
        </is>
      </c>
      <c r="I6246">
        <f>IF(H6246="UNPAID", AsOfDate-D6246, 0)</f>
        <v/>
      </c>
      <c r="J6246">
        <f>IF(F6246&lt;&gt;"", TEXT(F6246, "yyyy-mm"), "")</f>
        <v/>
      </c>
    </row>
    <row r="6247">
      <c r="A6247" t="inlineStr">
        <is>
          <t>RP0006246</t>
        </is>
      </c>
      <c r="B6247" t="inlineStr">
        <is>
          <t>LN200884</t>
        </is>
      </c>
      <c r="C6247" t="n">
        <v>3</v>
      </c>
      <c r="D6247" s="8" t="n">
        <v>46180</v>
      </c>
      <c r="E6247" s="9" t="n">
        <v>13060.83</v>
      </c>
      <c r="F6247" s="8" t="n">
        <v>46177</v>
      </c>
      <c r="G6247" s="9" t="n">
        <v>13060.83</v>
      </c>
      <c r="H6247" t="inlineStr">
        <is>
          <t>PAID_ON_TIME</t>
        </is>
      </c>
      <c r="I6247">
        <f>IF(H6247="UNPAID", AsOfDate-D6247, 0)</f>
        <v/>
      </c>
      <c r="J6247">
        <f>IF(F6247&lt;&gt;"", TEXT(F6247, "yyyy-mm"), "")</f>
        <v/>
      </c>
    </row>
    <row r="6248">
      <c r="A6248" t="inlineStr">
        <is>
          <t>RP0006247</t>
        </is>
      </c>
      <c r="B6248" t="inlineStr">
        <is>
          <t>LN200884</t>
        </is>
      </c>
      <c r="C6248" t="n">
        <v>4</v>
      </c>
      <c r="D6248" s="8" t="n">
        <v>46210</v>
      </c>
      <c r="E6248" s="9" t="n">
        <v>13060.83</v>
      </c>
      <c r="F6248" s="8" t="n">
        <v>46213</v>
      </c>
      <c r="G6248" s="9" t="n">
        <v>13060.83</v>
      </c>
      <c r="H6248" t="inlineStr">
        <is>
          <t>PAID_ON_TIME</t>
        </is>
      </c>
      <c r="I6248">
        <f>IF(H6248="UNPAID", AsOfDate-D6248, 0)</f>
        <v/>
      </c>
      <c r="J6248">
        <f>IF(F6248&lt;&gt;"", TEXT(F6248, "yyyy-mm"), "")</f>
        <v/>
      </c>
    </row>
    <row r="6249">
      <c r="A6249" t="inlineStr">
        <is>
          <t>RP0006248</t>
        </is>
      </c>
      <c r="B6249" t="inlineStr">
        <is>
          <t>LN200884</t>
        </is>
      </c>
      <c r="C6249" t="n">
        <v>5</v>
      </c>
      <c r="D6249" s="8" t="n">
        <v>46241</v>
      </c>
      <c r="E6249" s="9" t="n">
        <v>13060.83</v>
      </c>
      <c r="F6249" s="8" t="n">
        <v>46245</v>
      </c>
      <c r="G6249" s="9" t="n">
        <v>13060.83</v>
      </c>
      <c r="H6249" t="inlineStr">
        <is>
          <t>PAID_ON_TIME</t>
        </is>
      </c>
      <c r="I6249">
        <f>IF(H6249="UNPAID", AsOfDate-D6249, 0)</f>
        <v/>
      </c>
      <c r="J6249">
        <f>IF(F6249&lt;&gt;"", TEXT(F6249, "yyyy-mm"), "")</f>
        <v/>
      </c>
    </row>
    <row r="6250">
      <c r="A6250" t="inlineStr">
        <is>
          <t>RP0006249</t>
        </is>
      </c>
      <c r="B6250" t="inlineStr">
        <is>
          <t>LN200884</t>
        </is>
      </c>
      <c r="C6250" t="n">
        <v>6</v>
      </c>
      <c r="D6250" s="8" t="n">
        <v>46272</v>
      </c>
      <c r="E6250" s="9" t="n">
        <v>13060.83</v>
      </c>
      <c r="F6250" s="8" t="n"/>
      <c r="G6250" s="9" t="n">
        <v>0</v>
      </c>
      <c r="H6250" t="inlineStr">
        <is>
          <t>NOT_DUE</t>
        </is>
      </c>
      <c r="I6250">
        <f>IF(H6250="UNPAID", AsOfDate-D6250, 0)</f>
        <v/>
      </c>
      <c r="J6250">
        <f>IF(F6250&lt;&gt;"", TEXT(F6250, "yyyy-mm"), "")</f>
        <v/>
      </c>
    </row>
    <row r="6251">
      <c r="A6251" t="inlineStr">
        <is>
          <t>RP0006250</t>
        </is>
      </c>
      <c r="B6251" t="inlineStr">
        <is>
          <t>LN200885</t>
        </is>
      </c>
      <c r="C6251" t="n">
        <v>1</v>
      </c>
      <c r="D6251" s="8" t="n">
        <v>46191</v>
      </c>
      <c r="E6251" s="9" t="n">
        <v>76275.5</v>
      </c>
      <c r="F6251" s="8" t="n">
        <v>46191</v>
      </c>
      <c r="G6251" s="9" t="n">
        <v>76275.5</v>
      </c>
      <c r="H6251" t="inlineStr">
        <is>
          <t>PAID_ON_TIME</t>
        </is>
      </c>
      <c r="I6251">
        <f>IF(H6251="UNPAID", AsOfDate-D6251, 0)</f>
        <v/>
      </c>
      <c r="J6251">
        <f>IF(F6251&lt;&gt;"", TEXT(F6251, "yyyy-mm"), "")</f>
        <v/>
      </c>
    </row>
    <row r="6252">
      <c r="A6252" t="inlineStr">
        <is>
          <t>RP0006251</t>
        </is>
      </c>
      <c r="B6252" t="inlineStr">
        <is>
          <t>LN200885</t>
        </is>
      </c>
      <c r="C6252" t="n">
        <v>2</v>
      </c>
      <c r="D6252" s="8" t="n">
        <v>46221</v>
      </c>
      <c r="E6252" s="9" t="n">
        <v>76275.5</v>
      </c>
      <c r="F6252" s="8" t="n">
        <v>46223</v>
      </c>
      <c r="G6252" s="9" t="n">
        <v>76275.5</v>
      </c>
      <c r="H6252" t="inlineStr">
        <is>
          <t>PAID_ON_TIME</t>
        </is>
      </c>
      <c r="I6252">
        <f>IF(H6252="UNPAID", AsOfDate-D6252, 0)</f>
        <v/>
      </c>
      <c r="J6252">
        <f>IF(F6252&lt;&gt;"", TEXT(F6252, "yyyy-mm"), "")</f>
        <v/>
      </c>
    </row>
    <row r="6253">
      <c r="A6253" t="inlineStr">
        <is>
          <t>RP0006252</t>
        </is>
      </c>
      <c r="B6253" t="inlineStr">
        <is>
          <t>LN200885</t>
        </is>
      </c>
      <c r="C6253" t="n">
        <v>3</v>
      </c>
      <c r="D6253" s="8" t="n">
        <v>46252</v>
      </c>
      <c r="E6253" s="9" t="n">
        <v>76275.5</v>
      </c>
      <c r="F6253" s="8" t="n">
        <v>46249</v>
      </c>
      <c r="G6253" s="9" t="n">
        <v>76275.5</v>
      </c>
      <c r="H6253" t="inlineStr">
        <is>
          <t>PAID_ON_TIME</t>
        </is>
      </c>
      <c r="I6253">
        <f>IF(H6253="UNPAID", AsOfDate-D6253, 0)</f>
        <v/>
      </c>
      <c r="J6253">
        <f>IF(F6253&lt;&gt;"", TEXT(F6253, "yyyy-mm"), "")</f>
        <v/>
      </c>
    </row>
    <row r="6254">
      <c r="A6254" t="inlineStr">
        <is>
          <t>RP0006253</t>
        </is>
      </c>
      <c r="B6254" t="inlineStr">
        <is>
          <t>LN200886</t>
        </is>
      </c>
      <c r="C6254" t="n">
        <v>1</v>
      </c>
      <c r="D6254" s="8" t="n">
        <v>45991</v>
      </c>
      <c r="E6254" s="9" t="n">
        <v>33864</v>
      </c>
      <c r="F6254" s="8" t="n">
        <v>45994</v>
      </c>
      <c r="G6254" s="9" t="n">
        <v>33864</v>
      </c>
      <c r="H6254" t="inlineStr">
        <is>
          <t>PAID_ON_TIME</t>
        </is>
      </c>
      <c r="I6254">
        <f>IF(H6254="UNPAID", AsOfDate-D6254, 0)</f>
        <v/>
      </c>
      <c r="J6254">
        <f>IF(F6254&lt;&gt;"", TEXT(F6254, "yyyy-mm"), "")</f>
        <v/>
      </c>
    </row>
    <row r="6255">
      <c r="A6255" t="inlineStr">
        <is>
          <t>RP0006254</t>
        </is>
      </c>
      <c r="B6255" t="inlineStr">
        <is>
          <t>LN200886</t>
        </is>
      </c>
      <c r="C6255" t="n">
        <v>2</v>
      </c>
      <c r="D6255" s="8" t="n">
        <v>46021</v>
      </c>
      <c r="E6255" s="9" t="n">
        <v>33864</v>
      </c>
      <c r="F6255" s="8" t="n">
        <v>46069</v>
      </c>
      <c r="G6255" s="9" t="n">
        <v>33864</v>
      </c>
      <c r="H6255" t="inlineStr">
        <is>
          <t>PAID_LATE</t>
        </is>
      </c>
      <c r="I6255">
        <f>IF(H6255="UNPAID", AsOfDate-D6255, 0)</f>
        <v/>
      </c>
      <c r="J6255">
        <f>IF(F6255&lt;&gt;"", TEXT(F6255, "yyyy-mm"), "")</f>
        <v/>
      </c>
    </row>
    <row r="6256">
      <c r="A6256" t="inlineStr">
        <is>
          <t>RP0006255</t>
        </is>
      </c>
      <c r="B6256" t="inlineStr">
        <is>
          <t>LN200886</t>
        </is>
      </c>
      <c r="C6256" t="n">
        <v>3</v>
      </c>
      <c r="D6256" s="8" t="n">
        <v>46052</v>
      </c>
      <c r="E6256" s="9" t="n">
        <v>33864</v>
      </c>
      <c r="F6256" s="8" t="n">
        <v>46053</v>
      </c>
      <c r="G6256" s="9" t="n">
        <v>33864</v>
      </c>
      <c r="H6256" t="inlineStr">
        <is>
          <t>PAID_ON_TIME</t>
        </is>
      </c>
      <c r="I6256">
        <f>IF(H6256="UNPAID", AsOfDate-D6256, 0)</f>
        <v/>
      </c>
      <c r="J6256">
        <f>IF(F6256&lt;&gt;"", TEXT(F6256, "yyyy-mm"), "")</f>
        <v/>
      </c>
    </row>
    <row r="6257">
      <c r="A6257" t="inlineStr">
        <is>
          <t>RP0006256</t>
        </is>
      </c>
      <c r="B6257" t="inlineStr">
        <is>
          <t>LN200887</t>
        </is>
      </c>
      <c r="C6257" t="n">
        <v>1</v>
      </c>
      <c r="D6257" s="8" t="n">
        <v>46190</v>
      </c>
      <c r="E6257" s="9" t="n">
        <v>30028.33</v>
      </c>
      <c r="F6257" s="8" t="n">
        <v>46188</v>
      </c>
      <c r="G6257" s="9" t="n">
        <v>30028.33</v>
      </c>
      <c r="H6257" t="inlineStr">
        <is>
          <t>PAID_ON_TIME</t>
        </is>
      </c>
      <c r="I6257">
        <f>IF(H6257="UNPAID", AsOfDate-D6257, 0)</f>
        <v/>
      </c>
      <c r="J6257">
        <f>IF(F6257&lt;&gt;"", TEXT(F6257, "yyyy-mm"), "")</f>
        <v/>
      </c>
    </row>
    <row r="6258">
      <c r="A6258" t="inlineStr">
        <is>
          <t>RP0006257</t>
        </is>
      </c>
      <c r="B6258" t="inlineStr">
        <is>
          <t>LN200887</t>
        </is>
      </c>
      <c r="C6258" t="n">
        <v>2</v>
      </c>
      <c r="D6258" s="8" t="n">
        <v>46220</v>
      </c>
      <c r="E6258" s="9" t="n">
        <v>30028.33</v>
      </c>
      <c r="F6258" s="8" t="n">
        <v>46221</v>
      </c>
      <c r="G6258" s="9" t="n">
        <v>30028.33</v>
      </c>
      <c r="H6258" t="inlineStr">
        <is>
          <t>PAID_ON_TIME</t>
        </is>
      </c>
      <c r="I6258">
        <f>IF(H6258="UNPAID", AsOfDate-D6258, 0)</f>
        <v/>
      </c>
      <c r="J6258">
        <f>IF(F6258&lt;&gt;"", TEXT(F6258, "yyyy-mm"), "")</f>
        <v/>
      </c>
    </row>
    <row r="6259">
      <c r="A6259" t="inlineStr">
        <is>
          <t>RP0006258</t>
        </is>
      </c>
      <c r="B6259" t="inlineStr">
        <is>
          <t>LN200887</t>
        </is>
      </c>
      <c r="C6259" t="n">
        <v>3</v>
      </c>
      <c r="D6259" s="8" t="n">
        <v>46251</v>
      </c>
      <c r="E6259" s="9" t="n">
        <v>30028.33</v>
      </c>
      <c r="F6259" s="8" t="n">
        <v>46255</v>
      </c>
      <c r="G6259" s="9" t="n">
        <v>30028.33</v>
      </c>
      <c r="H6259" t="inlineStr">
        <is>
          <t>PAID_ON_TIME</t>
        </is>
      </c>
      <c r="I6259">
        <f>IF(H6259="UNPAID", AsOfDate-D6259, 0)</f>
        <v/>
      </c>
      <c r="J6259">
        <f>IF(F6259&lt;&gt;"", TEXT(F6259, "yyyy-mm"), "")</f>
        <v/>
      </c>
    </row>
    <row r="6260">
      <c r="A6260" t="inlineStr">
        <is>
          <t>RP0006259</t>
        </is>
      </c>
      <c r="B6260" t="inlineStr">
        <is>
          <t>LN200888</t>
        </is>
      </c>
      <c r="C6260" t="n">
        <v>1</v>
      </c>
      <c r="D6260" s="8" t="n">
        <v>45856</v>
      </c>
      <c r="E6260" s="9" t="n">
        <v>26051.67</v>
      </c>
      <c r="F6260" s="8" t="n">
        <v>45858</v>
      </c>
      <c r="G6260" s="9" t="n">
        <v>26051.67</v>
      </c>
      <c r="H6260" t="inlineStr">
        <is>
          <t>PAID_ON_TIME</t>
        </is>
      </c>
      <c r="I6260">
        <f>IF(H6260="UNPAID", AsOfDate-D6260, 0)</f>
        <v/>
      </c>
      <c r="J6260">
        <f>IF(F6260&lt;&gt;"", TEXT(F6260, "yyyy-mm"), "")</f>
        <v/>
      </c>
    </row>
    <row r="6261">
      <c r="A6261" t="inlineStr">
        <is>
          <t>RP0006260</t>
        </is>
      </c>
      <c r="B6261" t="inlineStr">
        <is>
          <t>LN200888</t>
        </is>
      </c>
      <c r="C6261" t="n">
        <v>2</v>
      </c>
      <c r="D6261" s="8" t="n">
        <v>45887</v>
      </c>
      <c r="E6261" s="9" t="n">
        <v>26051.67</v>
      </c>
      <c r="F6261" s="8" t="n">
        <v>45892</v>
      </c>
      <c r="G6261" s="9" t="n">
        <v>26051.67</v>
      </c>
      <c r="H6261" t="inlineStr">
        <is>
          <t>PAID_LATE</t>
        </is>
      </c>
      <c r="I6261">
        <f>IF(H6261="UNPAID", AsOfDate-D6261, 0)</f>
        <v/>
      </c>
      <c r="J6261">
        <f>IF(F6261&lt;&gt;"", TEXT(F6261, "yyyy-mm"), "")</f>
        <v/>
      </c>
    </row>
    <row r="6262">
      <c r="A6262" t="inlineStr">
        <is>
          <t>RP0006261</t>
        </is>
      </c>
      <c r="B6262" t="inlineStr">
        <is>
          <t>LN200888</t>
        </is>
      </c>
      <c r="C6262" t="n">
        <v>3</v>
      </c>
      <c r="D6262" s="8" t="n">
        <v>45918</v>
      </c>
      <c r="E6262" s="9" t="n">
        <v>26051.67</v>
      </c>
      <c r="F6262" s="8" t="n">
        <v>45918</v>
      </c>
      <c r="G6262" s="9" t="n">
        <v>26051.67</v>
      </c>
      <c r="H6262" t="inlineStr">
        <is>
          <t>PAID_ON_TIME</t>
        </is>
      </c>
      <c r="I6262">
        <f>IF(H6262="UNPAID", AsOfDate-D6262, 0)</f>
        <v/>
      </c>
      <c r="J6262">
        <f>IF(F6262&lt;&gt;"", TEXT(F6262, "yyyy-mm"), "")</f>
        <v/>
      </c>
    </row>
    <row r="6263">
      <c r="A6263" t="inlineStr">
        <is>
          <t>RP0006262</t>
        </is>
      </c>
      <c r="B6263" t="inlineStr">
        <is>
          <t>LN200888</t>
        </is>
      </c>
      <c r="C6263" t="n">
        <v>4</v>
      </c>
      <c r="D6263" s="8" t="n">
        <v>45948</v>
      </c>
      <c r="E6263" s="9" t="n">
        <v>26051.67</v>
      </c>
      <c r="F6263" s="8" t="n">
        <v>45952</v>
      </c>
      <c r="G6263" s="9" t="n">
        <v>26051.67</v>
      </c>
      <c r="H6263" t="inlineStr">
        <is>
          <t>PAID_ON_TIME</t>
        </is>
      </c>
      <c r="I6263">
        <f>IF(H6263="UNPAID", AsOfDate-D6263, 0)</f>
        <v/>
      </c>
      <c r="J6263">
        <f>IF(F6263&lt;&gt;"", TEXT(F6263, "yyyy-mm"), "")</f>
        <v/>
      </c>
    </row>
    <row r="6264">
      <c r="A6264" t="inlineStr">
        <is>
          <t>RP0006263</t>
        </is>
      </c>
      <c r="B6264" t="inlineStr">
        <is>
          <t>LN200888</t>
        </is>
      </c>
      <c r="C6264" t="n">
        <v>5</v>
      </c>
      <c r="D6264" s="8" t="n">
        <v>45979</v>
      </c>
      <c r="E6264" s="9" t="n">
        <v>26051.67</v>
      </c>
      <c r="F6264" s="8" t="n">
        <v>46055</v>
      </c>
      <c r="G6264" s="9" t="n">
        <v>26051.67</v>
      </c>
      <c r="H6264" t="inlineStr">
        <is>
          <t>PAID_LATE</t>
        </is>
      </c>
      <c r="I6264">
        <f>IF(H6264="UNPAID", AsOfDate-D6264, 0)</f>
        <v/>
      </c>
      <c r="J6264">
        <f>IF(F6264&lt;&gt;"", TEXT(F6264, "yyyy-mm"), "")</f>
        <v/>
      </c>
    </row>
    <row r="6265">
      <c r="A6265" t="inlineStr">
        <is>
          <t>RP0006264</t>
        </is>
      </c>
      <c r="B6265" t="inlineStr">
        <is>
          <t>LN200888</t>
        </is>
      </c>
      <c r="C6265" t="n">
        <v>6</v>
      </c>
      <c r="D6265" s="8" t="n">
        <v>46009</v>
      </c>
      <c r="E6265" s="9" t="n">
        <v>26051.67</v>
      </c>
      <c r="F6265" s="8" t="n">
        <v>46012</v>
      </c>
      <c r="G6265" s="9" t="n">
        <v>26051.67</v>
      </c>
      <c r="H6265" t="inlineStr">
        <is>
          <t>PAID_ON_TIME</t>
        </is>
      </c>
      <c r="I6265">
        <f>IF(H6265="UNPAID", AsOfDate-D6265, 0)</f>
        <v/>
      </c>
      <c r="J6265">
        <f>IF(F6265&lt;&gt;"", TEXT(F6265, "yyyy-mm"), "")</f>
        <v/>
      </c>
    </row>
    <row r="6266">
      <c r="A6266" t="inlineStr">
        <is>
          <t>RP0006265</t>
        </is>
      </c>
      <c r="B6266" t="inlineStr">
        <is>
          <t>LN200889</t>
        </is>
      </c>
      <c r="C6266" t="n">
        <v>1</v>
      </c>
      <c r="D6266" s="8" t="n">
        <v>46092</v>
      </c>
      <c r="E6266" s="9" t="n">
        <v>41398.56</v>
      </c>
      <c r="F6266" s="8" t="n">
        <v>46090</v>
      </c>
      <c r="G6266" s="9" t="n">
        <v>41398.56</v>
      </c>
      <c r="H6266" t="inlineStr">
        <is>
          <t>PAID_ON_TIME</t>
        </is>
      </c>
      <c r="I6266">
        <f>IF(H6266="UNPAID", AsOfDate-D6266, 0)</f>
        <v/>
      </c>
      <c r="J6266">
        <f>IF(F6266&lt;&gt;"", TEXT(F6266, "yyyy-mm"), "")</f>
        <v/>
      </c>
    </row>
    <row r="6267">
      <c r="A6267" t="inlineStr">
        <is>
          <t>RP0006266</t>
        </is>
      </c>
      <c r="B6267" t="inlineStr">
        <is>
          <t>LN200889</t>
        </is>
      </c>
      <c r="C6267" t="n">
        <v>2</v>
      </c>
      <c r="D6267" s="8" t="n">
        <v>46123</v>
      </c>
      <c r="E6267" s="9" t="n">
        <v>41398.56</v>
      </c>
      <c r="F6267" s="8" t="n">
        <v>46126</v>
      </c>
      <c r="G6267" s="9" t="n">
        <v>41398.56</v>
      </c>
      <c r="H6267" t="inlineStr">
        <is>
          <t>PAID_ON_TIME</t>
        </is>
      </c>
      <c r="I6267">
        <f>IF(H6267="UNPAID", AsOfDate-D6267, 0)</f>
        <v/>
      </c>
      <c r="J6267">
        <f>IF(F6267&lt;&gt;"", TEXT(F6267, "yyyy-mm"), "")</f>
        <v/>
      </c>
    </row>
    <row r="6268">
      <c r="A6268" t="inlineStr">
        <is>
          <t>RP0006267</t>
        </is>
      </c>
      <c r="B6268" t="inlineStr">
        <is>
          <t>LN200889</t>
        </is>
      </c>
      <c r="C6268" t="n">
        <v>3</v>
      </c>
      <c r="D6268" s="8" t="n">
        <v>46153</v>
      </c>
      <c r="E6268" s="9" t="n">
        <v>41398.56</v>
      </c>
      <c r="F6268" s="8" t="n">
        <v>46157</v>
      </c>
      <c r="G6268" s="9" t="n">
        <v>41398.56</v>
      </c>
      <c r="H6268" t="inlineStr">
        <is>
          <t>PAID_ON_TIME</t>
        </is>
      </c>
      <c r="I6268">
        <f>IF(H6268="UNPAID", AsOfDate-D6268, 0)</f>
        <v/>
      </c>
      <c r="J6268">
        <f>IF(F6268&lt;&gt;"", TEXT(F6268, "yyyy-mm"), "")</f>
        <v/>
      </c>
    </row>
    <row r="6269">
      <c r="A6269" t="inlineStr">
        <is>
          <t>RP0006268</t>
        </is>
      </c>
      <c r="B6269" t="inlineStr">
        <is>
          <t>LN200889</t>
        </is>
      </c>
      <c r="C6269" t="n">
        <v>4</v>
      </c>
      <c r="D6269" s="8" t="n">
        <v>46184</v>
      </c>
      <c r="E6269" s="9" t="n">
        <v>41398.56</v>
      </c>
      <c r="F6269" s="8" t="n">
        <v>46186</v>
      </c>
      <c r="G6269" s="9" t="n">
        <v>41398.56</v>
      </c>
      <c r="H6269" t="inlineStr">
        <is>
          <t>PAID_ON_TIME</t>
        </is>
      </c>
      <c r="I6269">
        <f>IF(H6269="UNPAID", AsOfDate-D6269, 0)</f>
        <v/>
      </c>
      <c r="J6269">
        <f>IF(F6269&lt;&gt;"", TEXT(F6269, "yyyy-mm"), "")</f>
        <v/>
      </c>
    </row>
    <row r="6270">
      <c r="A6270" t="inlineStr">
        <is>
          <t>RP0006269</t>
        </is>
      </c>
      <c r="B6270" t="inlineStr">
        <is>
          <t>LN200889</t>
        </is>
      </c>
      <c r="C6270" t="n">
        <v>5</v>
      </c>
      <c r="D6270" s="8" t="n">
        <v>46214</v>
      </c>
      <c r="E6270" s="9" t="n">
        <v>41398.56</v>
      </c>
      <c r="F6270" s="8" t="n">
        <v>46211</v>
      </c>
      <c r="G6270" s="9" t="n">
        <v>41398.56</v>
      </c>
      <c r="H6270" t="inlineStr">
        <is>
          <t>PAID_ON_TIME</t>
        </is>
      </c>
      <c r="I6270">
        <f>IF(H6270="UNPAID", AsOfDate-D6270, 0)</f>
        <v/>
      </c>
      <c r="J6270">
        <f>IF(F6270&lt;&gt;"", TEXT(F6270, "yyyy-mm"), "")</f>
        <v/>
      </c>
    </row>
    <row r="6271">
      <c r="A6271" t="inlineStr">
        <is>
          <t>RP0006270</t>
        </is>
      </c>
      <c r="B6271" t="inlineStr">
        <is>
          <t>LN200889</t>
        </is>
      </c>
      <c r="C6271" t="n">
        <v>6</v>
      </c>
      <c r="D6271" s="8" t="n">
        <v>46245</v>
      </c>
      <c r="E6271" s="9" t="n">
        <v>41398.56</v>
      </c>
      <c r="F6271" s="8" t="n">
        <v>46243</v>
      </c>
      <c r="G6271" s="9" t="n">
        <v>41398.56</v>
      </c>
      <c r="H6271" t="inlineStr">
        <is>
          <t>PAID_ON_TIME</t>
        </is>
      </c>
      <c r="I6271">
        <f>IF(H6271="UNPAID", AsOfDate-D6271, 0)</f>
        <v/>
      </c>
      <c r="J6271">
        <f>IF(F6271&lt;&gt;"", TEXT(F6271, "yyyy-mm"), "")</f>
        <v/>
      </c>
    </row>
    <row r="6272">
      <c r="A6272" t="inlineStr">
        <is>
          <t>RP0006271</t>
        </is>
      </c>
      <c r="B6272" t="inlineStr">
        <is>
          <t>LN200889</t>
        </is>
      </c>
      <c r="C6272" t="n">
        <v>7</v>
      </c>
      <c r="D6272" s="8" t="n">
        <v>46276</v>
      </c>
      <c r="E6272" s="9" t="n">
        <v>41398.56</v>
      </c>
      <c r="F6272" s="8" t="n"/>
      <c r="G6272" s="9" t="n">
        <v>0</v>
      </c>
      <c r="H6272" t="inlineStr">
        <is>
          <t>NOT_DUE</t>
        </is>
      </c>
      <c r="I6272">
        <f>IF(H6272="UNPAID", AsOfDate-D6272, 0)</f>
        <v/>
      </c>
      <c r="J6272">
        <f>IF(F6272&lt;&gt;"", TEXT(F6272, "yyyy-mm"), "")</f>
        <v/>
      </c>
    </row>
    <row r="6273">
      <c r="A6273" t="inlineStr">
        <is>
          <t>RP0006272</t>
        </is>
      </c>
      <c r="B6273" t="inlineStr">
        <is>
          <t>LN200889</t>
        </is>
      </c>
      <c r="C6273" t="n">
        <v>8</v>
      </c>
      <c r="D6273" s="8" t="n">
        <v>46306</v>
      </c>
      <c r="E6273" s="9" t="n">
        <v>41398.56</v>
      </c>
      <c r="F6273" s="8" t="n"/>
      <c r="G6273" s="9" t="n">
        <v>0</v>
      </c>
      <c r="H6273" t="inlineStr">
        <is>
          <t>NOT_DUE</t>
        </is>
      </c>
      <c r="I6273">
        <f>IF(H6273="UNPAID", AsOfDate-D6273, 0)</f>
        <v/>
      </c>
      <c r="J6273">
        <f>IF(F6273&lt;&gt;"", TEXT(F6273, "yyyy-mm"), "")</f>
        <v/>
      </c>
    </row>
    <row r="6274">
      <c r="A6274" t="inlineStr">
        <is>
          <t>RP0006273</t>
        </is>
      </c>
      <c r="B6274" t="inlineStr">
        <is>
          <t>LN200889</t>
        </is>
      </c>
      <c r="C6274" t="n">
        <v>9</v>
      </c>
      <c r="D6274" s="8" t="n">
        <v>46337</v>
      </c>
      <c r="E6274" s="9" t="n">
        <v>41398.56</v>
      </c>
      <c r="F6274" s="8" t="n"/>
      <c r="G6274" s="9" t="n">
        <v>0</v>
      </c>
      <c r="H6274" t="inlineStr">
        <is>
          <t>NOT_DUE</t>
        </is>
      </c>
      <c r="I6274">
        <f>IF(H6274="UNPAID", AsOfDate-D6274, 0)</f>
        <v/>
      </c>
      <c r="J6274">
        <f>IF(F6274&lt;&gt;"", TEXT(F6274, "yyyy-mm"), "")</f>
        <v/>
      </c>
    </row>
    <row r="6275">
      <c r="A6275" t="inlineStr">
        <is>
          <t>RP0006274</t>
        </is>
      </c>
      <c r="B6275" t="inlineStr">
        <is>
          <t>LN200890</t>
        </is>
      </c>
      <c r="C6275" t="n">
        <v>1</v>
      </c>
      <c r="D6275" s="8" t="n">
        <v>46242</v>
      </c>
      <c r="E6275" s="9" t="n">
        <v>17807.58</v>
      </c>
      <c r="F6275" s="8" t="n">
        <v>46243</v>
      </c>
      <c r="G6275" s="9" t="n">
        <v>17807.58</v>
      </c>
      <c r="H6275" t="inlineStr">
        <is>
          <t>PAID_ON_TIME</t>
        </is>
      </c>
      <c r="I6275">
        <f>IF(H6275="UNPAID", AsOfDate-D6275, 0)</f>
        <v/>
      </c>
      <c r="J6275">
        <f>IF(F6275&lt;&gt;"", TEXT(F6275, "yyyy-mm"), "")</f>
        <v/>
      </c>
    </row>
    <row r="6276">
      <c r="A6276" t="inlineStr">
        <is>
          <t>RP0006275</t>
        </is>
      </c>
      <c r="B6276" t="inlineStr">
        <is>
          <t>LN200890</t>
        </is>
      </c>
      <c r="C6276" t="n">
        <v>2</v>
      </c>
      <c r="D6276" s="8" t="n">
        <v>46273</v>
      </c>
      <c r="E6276" s="9" t="n">
        <v>17807.58</v>
      </c>
      <c r="F6276" s="8" t="n"/>
      <c r="G6276" s="9" t="n">
        <v>0</v>
      </c>
      <c r="H6276" t="inlineStr">
        <is>
          <t>NOT_DUE</t>
        </is>
      </c>
      <c r="I6276">
        <f>IF(H6276="UNPAID", AsOfDate-D6276, 0)</f>
        <v/>
      </c>
      <c r="J6276">
        <f>IF(F6276&lt;&gt;"", TEXT(F6276, "yyyy-mm"), "")</f>
        <v/>
      </c>
    </row>
    <row r="6277">
      <c r="A6277" t="inlineStr">
        <is>
          <t>RP0006276</t>
        </is>
      </c>
      <c r="B6277" t="inlineStr">
        <is>
          <t>LN200890</t>
        </is>
      </c>
      <c r="C6277" t="n">
        <v>3</v>
      </c>
      <c r="D6277" s="8" t="n">
        <v>46303</v>
      </c>
      <c r="E6277" s="9" t="n">
        <v>17807.58</v>
      </c>
      <c r="F6277" s="8" t="n"/>
      <c r="G6277" s="9" t="n">
        <v>0</v>
      </c>
      <c r="H6277" t="inlineStr">
        <is>
          <t>NOT_DUE</t>
        </is>
      </c>
      <c r="I6277">
        <f>IF(H6277="UNPAID", AsOfDate-D6277, 0)</f>
        <v/>
      </c>
      <c r="J6277">
        <f>IF(F6277&lt;&gt;"", TEXT(F6277, "yyyy-mm"), "")</f>
        <v/>
      </c>
    </row>
    <row r="6278">
      <c r="A6278" t="inlineStr">
        <is>
          <t>RP0006277</t>
        </is>
      </c>
      <c r="B6278" t="inlineStr">
        <is>
          <t>LN200890</t>
        </is>
      </c>
      <c r="C6278" t="n">
        <v>4</v>
      </c>
      <c r="D6278" s="8" t="n">
        <v>46334</v>
      </c>
      <c r="E6278" s="9" t="n">
        <v>17807.58</v>
      </c>
      <c r="F6278" s="8" t="n"/>
      <c r="G6278" s="9" t="n">
        <v>0</v>
      </c>
      <c r="H6278" t="inlineStr">
        <is>
          <t>NOT_DUE</t>
        </is>
      </c>
      <c r="I6278">
        <f>IF(H6278="UNPAID", AsOfDate-D6278, 0)</f>
        <v/>
      </c>
      <c r="J6278">
        <f>IF(F6278&lt;&gt;"", TEXT(F6278, "yyyy-mm"), "")</f>
        <v/>
      </c>
    </row>
    <row r="6279">
      <c r="A6279" t="inlineStr">
        <is>
          <t>RP0006278</t>
        </is>
      </c>
      <c r="B6279" t="inlineStr">
        <is>
          <t>LN200890</t>
        </is>
      </c>
      <c r="C6279" t="n">
        <v>5</v>
      </c>
      <c r="D6279" s="8" t="n">
        <v>46364</v>
      </c>
      <c r="E6279" s="9" t="n">
        <v>17807.58</v>
      </c>
      <c r="F6279" s="8" t="n"/>
      <c r="G6279" s="9" t="n">
        <v>0</v>
      </c>
      <c r="H6279" t="inlineStr">
        <is>
          <t>NOT_DUE</t>
        </is>
      </c>
      <c r="I6279">
        <f>IF(H6279="UNPAID", AsOfDate-D6279, 0)</f>
        <v/>
      </c>
      <c r="J6279">
        <f>IF(F6279&lt;&gt;"", TEXT(F6279, "yyyy-mm"), "")</f>
        <v/>
      </c>
    </row>
    <row r="6280">
      <c r="A6280" t="inlineStr">
        <is>
          <t>RP0006279</t>
        </is>
      </c>
      <c r="B6280" t="inlineStr">
        <is>
          <t>LN200890</t>
        </is>
      </c>
      <c r="C6280" t="n">
        <v>6</v>
      </c>
      <c r="D6280" s="8" t="n">
        <v>46395</v>
      </c>
      <c r="E6280" s="9" t="n">
        <v>17807.58</v>
      </c>
      <c r="F6280" s="8" t="n"/>
      <c r="G6280" s="9" t="n">
        <v>0</v>
      </c>
      <c r="H6280" t="inlineStr">
        <is>
          <t>NOT_DUE</t>
        </is>
      </c>
      <c r="I6280">
        <f>IF(H6280="UNPAID", AsOfDate-D6280, 0)</f>
        <v/>
      </c>
      <c r="J6280">
        <f>IF(F6280&lt;&gt;"", TEXT(F6280, "yyyy-mm"), "")</f>
        <v/>
      </c>
    </row>
    <row r="6281">
      <c r="A6281" t="inlineStr">
        <is>
          <t>RP0006280</t>
        </is>
      </c>
      <c r="B6281" t="inlineStr">
        <is>
          <t>LN200891</t>
        </is>
      </c>
      <c r="C6281" t="n">
        <v>1</v>
      </c>
      <c r="D6281" s="8" t="n">
        <v>45992</v>
      </c>
      <c r="E6281" s="9" t="n">
        <v>35366.83</v>
      </c>
      <c r="F6281" s="8" t="n">
        <v>45996</v>
      </c>
      <c r="G6281" s="9" t="n">
        <v>35366.83</v>
      </c>
      <c r="H6281" t="inlineStr">
        <is>
          <t>PAID_ON_TIME</t>
        </is>
      </c>
      <c r="I6281">
        <f>IF(H6281="UNPAID", AsOfDate-D6281, 0)</f>
        <v/>
      </c>
      <c r="J6281">
        <f>IF(F6281&lt;&gt;"", TEXT(F6281, "yyyy-mm"), "")</f>
        <v/>
      </c>
    </row>
    <row r="6282">
      <c r="A6282" t="inlineStr">
        <is>
          <t>RP0006281</t>
        </is>
      </c>
      <c r="B6282" t="inlineStr">
        <is>
          <t>LN200891</t>
        </is>
      </c>
      <c r="C6282" t="n">
        <v>2</v>
      </c>
      <c r="D6282" s="8" t="n">
        <v>46023</v>
      </c>
      <c r="E6282" s="9" t="n">
        <v>35366.83</v>
      </c>
      <c r="F6282" s="8" t="n">
        <v>46025</v>
      </c>
      <c r="G6282" s="9" t="n">
        <v>35366.83</v>
      </c>
      <c r="H6282" t="inlineStr">
        <is>
          <t>PAID_ON_TIME</t>
        </is>
      </c>
      <c r="I6282">
        <f>IF(H6282="UNPAID", AsOfDate-D6282, 0)</f>
        <v/>
      </c>
      <c r="J6282">
        <f>IF(F6282&lt;&gt;"", TEXT(F6282, "yyyy-mm"), "")</f>
        <v/>
      </c>
    </row>
    <row r="6283">
      <c r="A6283" t="inlineStr">
        <is>
          <t>RP0006282</t>
        </is>
      </c>
      <c r="B6283" t="inlineStr">
        <is>
          <t>LN200891</t>
        </is>
      </c>
      <c r="C6283" t="n">
        <v>3</v>
      </c>
      <c r="D6283" s="8" t="n">
        <v>46054</v>
      </c>
      <c r="E6283" s="9" t="n">
        <v>35366.83</v>
      </c>
      <c r="F6283" s="8" t="n">
        <v>46054</v>
      </c>
      <c r="G6283" s="9" t="n">
        <v>35366.83</v>
      </c>
      <c r="H6283" t="inlineStr">
        <is>
          <t>PAID_ON_TIME</t>
        </is>
      </c>
      <c r="I6283">
        <f>IF(H6283="UNPAID", AsOfDate-D6283, 0)</f>
        <v/>
      </c>
      <c r="J6283">
        <f>IF(F6283&lt;&gt;"", TEXT(F6283, "yyyy-mm"), "")</f>
        <v/>
      </c>
    </row>
    <row r="6284">
      <c r="A6284" t="inlineStr">
        <is>
          <t>RP0006283</t>
        </is>
      </c>
      <c r="B6284" t="inlineStr">
        <is>
          <t>LN200892</t>
        </is>
      </c>
      <c r="C6284" t="n">
        <v>1</v>
      </c>
      <c r="D6284" s="8" t="n">
        <v>45879</v>
      </c>
      <c r="E6284" s="9" t="n">
        <v>107431.5</v>
      </c>
      <c r="F6284" s="8" t="n">
        <v>45882</v>
      </c>
      <c r="G6284" s="9" t="n">
        <v>107431.5</v>
      </c>
      <c r="H6284" t="inlineStr">
        <is>
          <t>PAID_ON_TIME</t>
        </is>
      </c>
      <c r="I6284">
        <f>IF(H6284="UNPAID", AsOfDate-D6284, 0)</f>
        <v/>
      </c>
      <c r="J6284">
        <f>IF(F6284&lt;&gt;"", TEXT(F6284, "yyyy-mm"), "")</f>
        <v/>
      </c>
    </row>
    <row r="6285">
      <c r="A6285" t="inlineStr">
        <is>
          <t>RP0006284</t>
        </is>
      </c>
      <c r="B6285" t="inlineStr">
        <is>
          <t>LN200892</t>
        </is>
      </c>
      <c r="C6285" t="n">
        <v>2</v>
      </c>
      <c r="D6285" s="8" t="n">
        <v>45910</v>
      </c>
      <c r="E6285" s="9" t="n">
        <v>107431.5</v>
      </c>
      <c r="F6285" s="8" t="n">
        <v>45912</v>
      </c>
      <c r="G6285" s="9" t="n">
        <v>107431.5</v>
      </c>
      <c r="H6285" t="inlineStr">
        <is>
          <t>PAID_ON_TIME</t>
        </is>
      </c>
      <c r="I6285">
        <f>IF(H6285="UNPAID", AsOfDate-D6285, 0)</f>
        <v/>
      </c>
      <c r="J6285">
        <f>IF(F6285&lt;&gt;"", TEXT(F6285, "yyyy-mm"), "")</f>
        <v/>
      </c>
    </row>
    <row r="6286">
      <c r="A6286" t="inlineStr">
        <is>
          <t>RP0006285</t>
        </is>
      </c>
      <c r="B6286" t="inlineStr">
        <is>
          <t>LN200892</t>
        </is>
      </c>
      <c r="C6286" t="n">
        <v>3</v>
      </c>
      <c r="D6286" s="8" t="n">
        <v>45940</v>
      </c>
      <c r="E6286" s="9" t="n">
        <v>107431.5</v>
      </c>
      <c r="F6286" s="8" t="n">
        <v>45939</v>
      </c>
      <c r="G6286" s="9" t="n">
        <v>107431.5</v>
      </c>
      <c r="H6286" t="inlineStr">
        <is>
          <t>PAID_ON_TIME</t>
        </is>
      </c>
      <c r="I6286">
        <f>IF(H6286="UNPAID", AsOfDate-D6286, 0)</f>
        <v/>
      </c>
      <c r="J6286">
        <f>IF(F6286&lt;&gt;"", TEXT(F6286, "yyyy-mm"), "")</f>
        <v/>
      </c>
    </row>
    <row r="6287">
      <c r="A6287" t="inlineStr">
        <is>
          <t>RP0006286</t>
        </is>
      </c>
      <c r="B6287" t="inlineStr">
        <is>
          <t>LN200893</t>
        </is>
      </c>
      <c r="C6287" t="n">
        <v>1</v>
      </c>
      <c r="D6287" s="8" t="n">
        <v>46056</v>
      </c>
      <c r="E6287" s="9" t="n">
        <v>25921</v>
      </c>
      <c r="F6287" s="8" t="n">
        <v>46053</v>
      </c>
      <c r="G6287" s="9" t="n">
        <v>25921</v>
      </c>
      <c r="H6287" t="inlineStr">
        <is>
          <t>PAID_ON_TIME</t>
        </is>
      </c>
      <c r="I6287">
        <f>IF(H6287="UNPAID", AsOfDate-D6287, 0)</f>
        <v/>
      </c>
      <c r="J6287">
        <f>IF(F6287&lt;&gt;"", TEXT(F6287, "yyyy-mm"), "")</f>
        <v/>
      </c>
    </row>
    <row r="6288">
      <c r="A6288" t="inlineStr">
        <is>
          <t>RP0006287</t>
        </is>
      </c>
      <c r="B6288" t="inlineStr">
        <is>
          <t>LN200893</t>
        </is>
      </c>
      <c r="C6288" t="n">
        <v>2</v>
      </c>
      <c r="D6288" s="8" t="n">
        <v>46084</v>
      </c>
      <c r="E6288" s="9" t="n">
        <v>25921</v>
      </c>
      <c r="F6288" s="8" t="n">
        <v>46085</v>
      </c>
      <c r="G6288" s="9" t="n">
        <v>25921</v>
      </c>
      <c r="H6288" t="inlineStr">
        <is>
          <t>PAID_ON_TIME</t>
        </is>
      </c>
      <c r="I6288">
        <f>IF(H6288="UNPAID", AsOfDate-D6288, 0)</f>
        <v/>
      </c>
      <c r="J6288">
        <f>IF(F6288&lt;&gt;"", TEXT(F6288, "yyyy-mm"), "")</f>
        <v/>
      </c>
    </row>
    <row r="6289">
      <c r="A6289" t="inlineStr">
        <is>
          <t>RP0006288</t>
        </is>
      </c>
      <c r="B6289" t="inlineStr">
        <is>
          <t>LN200893</t>
        </is>
      </c>
      <c r="C6289" t="n">
        <v>3</v>
      </c>
      <c r="D6289" s="8" t="n">
        <v>46115</v>
      </c>
      <c r="E6289" s="9" t="n">
        <v>25921</v>
      </c>
      <c r="F6289" s="8" t="n">
        <v>46117</v>
      </c>
      <c r="G6289" s="9" t="n">
        <v>25921</v>
      </c>
      <c r="H6289" t="inlineStr">
        <is>
          <t>PAID_ON_TIME</t>
        </is>
      </c>
      <c r="I6289">
        <f>IF(H6289="UNPAID", AsOfDate-D6289, 0)</f>
        <v/>
      </c>
      <c r="J6289">
        <f>IF(F6289&lt;&gt;"", TEXT(F6289, "yyyy-mm"), "")</f>
        <v/>
      </c>
    </row>
    <row r="6290">
      <c r="A6290" t="inlineStr">
        <is>
          <t>RP0006289</t>
        </is>
      </c>
      <c r="B6290" t="inlineStr">
        <is>
          <t>LN200893</t>
        </is>
      </c>
      <c r="C6290" t="n">
        <v>4</v>
      </c>
      <c r="D6290" s="8" t="n">
        <v>46145</v>
      </c>
      <c r="E6290" s="9" t="n">
        <v>25921</v>
      </c>
      <c r="F6290" s="8" t="n">
        <v>46148</v>
      </c>
      <c r="G6290" s="9" t="n">
        <v>25921</v>
      </c>
      <c r="H6290" t="inlineStr">
        <is>
          <t>PAID_ON_TIME</t>
        </is>
      </c>
      <c r="I6290">
        <f>IF(H6290="UNPAID", AsOfDate-D6290, 0)</f>
        <v/>
      </c>
      <c r="J6290">
        <f>IF(F6290&lt;&gt;"", TEXT(F6290, "yyyy-mm"), "")</f>
        <v/>
      </c>
    </row>
    <row r="6291">
      <c r="A6291" t="inlineStr">
        <is>
          <t>RP0006290</t>
        </is>
      </c>
      <c r="B6291" t="inlineStr">
        <is>
          <t>LN200893</t>
        </is>
      </c>
      <c r="C6291" t="n">
        <v>5</v>
      </c>
      <c r="D6291" s="8" t="n">
        <v>46176</v>
      </c>
      <c r="E6291" s="9" t="n">
        <v>25921</v>
      </c>
      <c r="F6291" s="8" t="n">
        <v>46177</v>
      </c>
      <c r="G6291" s="9" t="n">
        <v>25921</v>
      </c>
      <c r="H6291" t="inlineStr">
        <is>
          <t>PAID_ON_TIME</t>
        </is>
      </c>
      <c r="I6291">
        <f>IF(H6291="UNPAID", AsOfDate-D6291, 0)</f>
        <v/>
      </c>
      <c r="J6291">
        <f>IF(F6291&lt;&gt;"", TEXT(F6291, "yyyy-mm"), "")</f>
        <v/>
      </c>
    </row>
    <row r="6292">
      <c r="A6292" t="inlineStr">
        <is>
          <t>RP0006291</t>
        </is>
      </c>
      <c r="B6292" t="inlineStr">
        <is>
          <t>LN200893</t>
        </is>
      </c>
      <c r="C6292" t="n">
        <v>6</v>
      </c>
      <c r="D6292" s="8" t="n">
        <v>46206</v>
      </c>
      <c r="E6292" s="9" t="n">
        <v>25921</v>
      </c>
      <c r="F6292" s="8" t="n">
        <v>46208</v>
      </c>
      <c r="G6292" s="9" t="n">
        <v>25921</v>
      </c>
      <c r="H6292" t="inlineStr">
        <is>
          <t>PAID_ON_TIME</t>
        </is>
      </c>
      <c r="I6292">
        <f>IF(H6292="UNPAID", AsOfDate-D6292, 0)</f>
        <v/>
      </c>
      <c r="J6292">
        <f>IF(F6292&lt;&gt;"", TEXT(F6292, "yyyy-mm"), "")</f>
        <v/>
      </c>
    </row>
    <row r="6293">
      <c r="A6293" t="inlineStr">
        <is>
          <t>RP0006292</t>
        </is>
      </c>
      <c r="B6293" t="inlineStr">
        <is>
          <t>LN200893</t>
        </is>
      </c>
      <c r="C6293" t="n">
        <v>7</v>
      </c>
      <c r="D6293" s="8" t="n">
        <v>46237</v>
      </c>
      <c r="E6293" s="9" t="n">
        <v>25921</v>
      </c>
      <c r="F6293" s="8" t="n">
        <v>46235</v>
      </c>
      <c r="G6293" s="9" t="n">
        <v>25921</v>
      </c>
      <c r="H6293" t="inlineStr">
        <is>
          <t>PAID_ON_TIME</t>
        </is>
      </c>
      <c r="I6293">
        <f>IF(H6293="UNPAID", AsOfDate-D6293, 0)</f>
        <v/>
      </c>
      <c r="J6293">
        <f>IF(F6293&lt;&gt;"", TEXT(F6293, "yyyy-mm"), "")</f>
        <v/>
      </c>
    </row>
    <row r="6294">
      <c r="A6294" t="inlineStr">
        <is>
          <t>RP0006293</t>
        </is>
      </c>
      <c r="B6294" t="inlineStr">
        <is>
          <t>LN200893</t>
        </is>
      </c>
      <c r="C6294" t="n">
        <v>8</v>
      </c>
      <c r="D6294" s="8" t="n">
        <v>46268</v>
      </c>
      <c r="E6294" s="9" t="n">
        <v>25921</v>
      </c>
      <c r="F6294" s="8" t="n"/>
      <c r="G6294" s="9" t="n">
        <v>0</v>
      </c>
      <c r="H6294" t="inlineStr">
        <is>
          <t>NOT_DUE</t>
        </is>
      </c>
      <c r="I6294">
        <f>IF(H6294="UNPAID", AsOfDate-D6294, 0)</f>
        <v/>
      </c>
      <c r="J6294">
        <f>IF(F6294&lt;&gt;"", TEXT(F6294, "yyyy-mm"), "")</f>
        <v/>
      </c>
    </row>
    <row r="6295">
      <c r="A6295" t="inlineStr">
        <is>
          <t>RP0006294</t>
        </is>
      </c>
      <c r="B6295" t="inlineStr">
        <is>
          <t>LN200893</t>
        </is>
      </c>
      <c r="C6295" t="n">
        <v>9</v>
      </c>
      <c r="D6295" s="8" t="n">
        <v>46298</v>
      </c>
      <c r="E6295" s="9" t="n">
        <v>25921</v>
      </c>
      <c r="F6295" s="8" t="n"/>
      <c r="G6295" s="9" t="n">
        <v>0</v>
      </c>
      <c r="H6295" t="inlineStr">
        <is>
          <t>NOT_DUE</t>
        </is>
      </c>
      <c r="I6295">
        <f>IF(H6295="UNPAID", AsOfDate-D6295, 0)</f>
        <v/>
      </c>
      <c r="J6295">
        <f>IF(F6295&lt;&gt;"", TEXT(F6295, "yyyy-mm"), "")</f>
        <v/>
      </c>
    </row>
    <row r="6296">
      <c r="A6296" t="inlineStr">
        <is>
          <t>RP0006295</t>
        </is>
      </c>
      <c r="B6296" t="inlineStr">
        <is>
          <t>LN200893</t>
        </is>
      </c>
      <c r="C6296" t="n">
        <v>10</v>
      </c>
      <c r="D6296" s="8" t="n">
        <v>46329</v>
      </c>
      <c r="E6296" s="9" t="n">
        <v>25921</v>
      </c>
      <c r="F6296" s="8" t="n"/>
      <c r="G6296" s="9" t="n">
        <v>0</v>
      </c>
      <c r="H6296" t="inlineStr">
        <is>
          <t>NOT_DUE</t>
        </is>
      </c>
      <c r="I6296">
        <f>IF(H6296="UNPAID", AsOfDate-D6296, 0)</f>
        <v/>
      </c>
      <c r="J6296">
        <f>IF(F6296&lt;&gt;"", TEXT(F6296, "yyyy-mm"), "")</f>
        <v/>
      </c>
    </row>
    <row r="6297">
      <c r="A6297" t="inlineStr">
        <is>
          <t>RP0006296</t>
        </is>
      </c>
      <c r="B6297" t="inlineStr">
        <is>
          <t>LN200893</t>
        </is>
      </c>
      <c r="C6297" t="n">
        <v>11</v>
      </c>
      <c r="D6297" s="8" t="n">
        <v>46359</v>
      </c>
      <c r="E6297" s="9" t="n">
        <v>25921</v>
      </c>
      <c r="F6297" s="8" t="n"/>
      <c r="G6297" s="9" t="n">
        <v>0</v>
      </c>
      <c r="H6297" t="inlineStr">
        <is>
          <t>NOT_DUE</t>
        </is>
      </c>
      <c r="I6297">
        <f>IF(H6297="UNPAID", AsOfDate-D6297, 0)</f>
        <v/>
      </c>
      <c r="J6297">
        <f>IF(F6297&lt;&gt;"", TEXT(F6297, "yyyy-mm"), "")</f>
        <v/>
      </c>
    </row>
    <row r="6298">
      <c r="A6298" t="inlineStr">
        <is>
          <t>RP0006297</t>
        </is>
      </c>
      <c r="B6298" t="inlineStr">
        <is>
          <t>LN200893</t>
        </is>
      </c>
      <c r="C6298" t="n">
        <v>12</v>
      </c>
      <c r="D6298" s="8" t="n">
        <v>46390</v>
      </c>
      <c r="E6298" s="9" t="n">
        <v>25921</v>
      </c>
      <c r="F6298" s="8" t="n"/>
      <c r="G6298" s="9" t="n">
        <v>0</v>
      </c>
      <c r="H6298" t="inlineStr">
        <is>
          <t>NOT_DUE</t>
        </is>
      </c>
      <c r="I6298">
        <f>IF(H6298="UNPAID", AsOfDate-D6298, 0)</f>
        <v/>
      </c>
      <c r="J6298">
        <f>IF(F6298&lt;&gt;"", TEXT(F6298, "yyyy-mm"), "")</f>
        <v/>
      </c>
    </row>
    <row r="6299">
      <c r="A6299" t="inlineStr">
        <is>
          <t>RP0006298</t>
        </is>
      </c>
      <c r="B6299" t="inlineStr">
        <is>
          <t>LN200894</t>
        </is>
      </c>
      <c r="C6299" t="n">
        <v>1</v>
      </c>
      <c r="D6299" s="8" t="n">
        <v>46260</v>
      </c>
      <c r="E6299" s="9" t="n">
        <v>36561.22</v>
      </c>
      <c r="F6299" s="8" t="n">
        <v>46260</v>
      </c>
      <c r="G6299" s="9" t="n">
        <v>36561.22</v>
      </c>
      <c r="H6299" t="inlineStr">
        <is>
          <t>PAID_ON_TIME</t>
        </is>
      </c>
      <c r="I6299">
        <f>IF(H6299="UNPAID", AsOfDate-D6299, 0)</f>
        <v/>
      </c>
      <c r="J6299">
        <f>IF(F6299&lt;&gt;"", TEXT(F6299, "yyyy-mm"), "")</f>
        <v/>
      </c>
    </row>
    <row r="6300">
      <c r="A6300" t="inlineStr">
        <is>
          <t>RP0006299</t>
        </is>
      </c>
      <c r="B6300" t="inlineStr">
        <is>
          <t>LN200894</t>
        </is>
      </c>
      <c r="C6300" t="n">
        <v>2</v>
      </c>
      <c r="D6300" s="8" t="n">
        <v>46291</v>
      </c>
      <c r="E6300" s="9" t="n">
        <v>36561.22</v>
      </c>
      <c r="F6300" s="8" t="n"/>
      <c r="G6300" s="9" t="n">
        <v>0</v>
      </c>
      <c r="H6300" t="inlineStr">
        <is>
          <t>NOT_DUE</t>
        </is>
      </c>
      <c r="I6300">
        <f>IF(H6300="UNPAID", AsOfDate-D6300, 0)</f>
        <v/>
      </c>
      <c r="J6300">
        <f>IF(F6300&lt;&gt;"", TEXT(F6300, "yyyy-mm"), "")</f>
        <v/>
      </c>
    </row>
    <row r="6301">
      <c r="A6301" t="inlineStr">
        <is>
          <t>RP0006300</t>
        </is>
      </c>
      <c r="B6301" t="inlineStr">
        <is>
          <t>LN200894</t>
        </is>
      </c>
      <c r="C6301" t="n">
        <v>3</v>
      </c>
      <c r="D6301" s="8" t="n">
        <v>46321</v>
      </c>
      <c r="E6301" s="9" t="n">
        <v>36561.22</v>
      </c>
      <c r="F6301" s="8" t="n"/>
      <c r="G6301" s="9" t="n">
        <v>0</v>
      </c>
      <c r="H6301" t="inlineStr">
        <is>
          <t>NOT_DUE</t>
        </is>
      </c>
      <c r="I6301">
        <f>IF(H6301="UNPAID", AsOfDate-D6301, 0)</f>
        <v/>
      </c>
      <c r="J6301">
        <f>IF(F6301&lt;&gt;"", TEXT(F6301, "yyyy-mm"), "")</f>
        <v/>
      </c>
    </row>
    <row r="6302">
      <c r="A6302" t="inlineStr">
        <is>
          <t>RP0006301</t>
        </is>
      </c>
      <c r="B6302" t="inlineStr">
        <is>
          <t>LN200894</t>
        </is>
      </c>
      <c r="C6302" t="n">
        <v>4</v>
      </c>
      <c r="D6302" s="8" t="n">
        <v>46352</v>
      </c>
      <c r="E6302" s="9" t="n">
        <v>36561.22</v>
      </c>
      <c r="F6302" s="8" t="n"/>
      <c r="G6302" s="9" t="n">
        <v>0</v>
      </c>
      <c r="H6302" t="inlineStr">
        <is>
          <t>NOT_DUE</t>
        </is>
      </c>
      <c r="I6302">
        <f>IF(H6302="UNPAID", AsOfDate-D6302, 0)</f>
        <v/>
      </c>
      <c r="J6302">
        <f>IF(F6302&lt;&gt;"", TEXT(F6302, "yyyy-mm"), "")</f>
        <v/>
      </c>
    </row>
    <row r="6303">
      <c r="A6303" t="inlineStr">
        <is>
          <t>RP0006302</t>
        </is>
      </c>
      <c r="B6303" t="inlineStr">
        <is>
          <t>LN200894</t>
        </is>
      </c>
      <c r="C6303" t="n">
        <v>5</v>
      </c>
      <c r="D6303" s="8" t="n">
        <v>46382</v>
      </c>
      <c r="E6303" s="9" t="n">
        <v>36561.22</v>
      </c>
      <c r="F6303" s="8" t="n"/>
      <c r="G6303" s="9" t="n">
        <v>0</v>
      </c>
      <c r="H6303" t="inlineStr">
        <is>
          <t>NOT_DUE</t>
        </is>
      </c>
      <c r="I6303">
        <f>IF(H6303="UNPAID", AsOfDate-D6303, 0)</f>
        <v/>
      </c>
      <c r="J6303">
        <f>IF(F6303&lt;&gt;"", TEXT(F6303, "yyyy-mm"), "")</f>
        <v/>
      </c>
    </row>
    <row r="6304">
      <c r="A6304" t="inlineStr">
        <is>
          <t>RP0006303</t>
        </is>
      </c>
      <c r="B6304" t="inlineStr">
        <is>
          <t>LN200894</t>
        </is>
      </c>
      <c r="C6304" t="n">
        <v>6</v>
      </c>
      <c r="D6304" s="8" t="n">
        <v>46413</v>
      </c>
      <c r="E6304" s="9" t="n">
        <v>36561.22</v>
      </c>
      <c r="F6304" s="8" t="n"/>
      <c r="G6304" s="9" t="n">
        <v>0</v>
      </c>
      <c r="H6304" t="inlineStr">
        <is>
          <t>NOT_DUE</t>
        </is>
      </c>
      <c r="I6304">
        <f>IF(H6304="UNPAID", AsOfDate-D6304, 0)</f>
        <v/>
      </c>
      <c r="J6304">
        <f>IF(F6304&lt;&gt;"", TEXT(F6304, "yyyy-mm"), "")</f>
        <v/>
      </c>
    </row>
    <row r="6305">
      <c r="A6305" t="inlineStr">
        <is>
          <t>RP0006304</t>
        </is>
      </c>
      <c r="B6305" t="inlineStr">
        <is>
          <t>LN200894</t>
        </is>
      </c>
      <c r="C6305" t="n">
        <v>7</v>
      </c>
      <c r="D6305" s="8" t="n">
        <v>46444</v>
      </c>
      <c r="E6305" s="9" t="n">
        <v>36561.22</v>
      </c>
      <c r="F6305" s="8" t="n"/>
      <c r="G6305" s="9" t="n">
        <v>0</v>
      </c>
      <c r="H6305" t="inlineStr">
        <is>
          <t>NOT_DUE</t>
        </is>
      </c>
      <c r="I6305">
        <f>IF(H6305="UNPAID", AsOfDate-D6305, 0)</f>
        <v/>
      </c>
      <c r="J6305">
        <f>IF(F6305&lt;&gt;"", TEXT(F6305, "yyyy-mm"), "")</f>
        <v/>
      </c>
    </row>
    <row r="6306">
      <c r="A6306" t="inlineStr">
        <is>
          <t>RP0006305</t>
        </is>
      </c>
      <c r="B6306" t="inlineStr">
        <is>
          <t>LN200894</t>
        </is>
      </c>
      <c r="C6306" t="n">
        <v>8</v>
      </c>
      <c r="D6306" s="8" t="n">
        <v>46472</v>
      </c>
      <c r="E6306" s="9" t="n">
        <v>36561.22</v>
      </c>
      <c r="F6306" s="8" t="n"/>
      <c r="G6306" s="9" t="n">
        <v>0</v>
      </c>
      <c r="H6306" t="inlineStr">
        <is>
          <t>NOT_DUE</t>
        </is>
      </c>
      <c r="I6306">
        <f>IF(H6306="UNPAID", AsOfDate-D6306, 0)</f>
        <v/>
      </c>
      <c r="J6306">
        <f>IF(F6306&lt;&gt;"", TEXT(F6306, "yyyy-mm"), "")</f>
        <v/>
      </c>
    </row>
    <row r="6307">
      <c r="A6307" t="inlineStr">
        <is>
          <t>RP0006306</t>
        </is>
      </c>
      <c r="B6307" t="inlineStr">
        <is>
          <t>LN200894</t>
        </is>
      </c>
      <c r="C6307" t="n">
        <v>9</v>
      </c>
      <c r="D6307" s="8" t="n">
        <v>46503</v>
      </c>
      <c r="E6307" s="9" t="n">
        <v>36561.22</v>
      </c>
      <c r="F6307" s="8" t="n"/>
      <c r="G6307" s="9" t="n">
        <v>0</v>
      </c>
      <c r="H6307" t="inlineStr">
        <is>
          <t>NOT_DUE</t>
        </is>
      </c>
      <c r="I6307">
        <f>IF(H6307="UNPAID", AsOfDate-D6307, 0)</f>
        <v/>
      </c>
      <c r="J6307">
        <f>IF(F6307&lt;&gt;"", TEXT(F6307, "yyyy-mm"), "")</f>
        <v/>
      </c>
    </row>
    <row r="6308">
      <c r="A6308" t="inlineStr">
        <is>
          <t>RP0006307</t>
        </is>
      </c>
      <c r="B6308" t="inlineStr">
        <is>
          <t>LN200895</t>
        </is>
      </c>
      <c r="C6308" t="n">
        <v>1</v>
      </c>
      <c r="D6308" s="8" t="n">
        <v>45750</v>
      </c>
      <c r="E6308" s="9" t="n">
        <v>15845.5</v>
      </c>
      <c r="F6308" s="8" t="n">
        <v>45752</v>
      </c>
      <c r="G6308" s="9" t="n">
        <v>15845.5</v>
      </c>
      <c r="H6308" t="inlineStr">
        <is>
          <t>PAID_ON_TIME</t>
        </is>
      </c>
      <c r="I6308">
        <f>IF(H6308="UNPAID", AsOfDate-D6308, 0)</f>
        <v/>
      </c>
      <c r="J6308">
        <f>IF(F6308&lt;&gt;"", TEXT(F6308, "yyyy-mm"), "")</f>
        <v/>
      </c>
    </row>
    <row r="6309">
      <c r="A6309" t="inlineStr">
        <is>
          <t>RP0006308</t>
        </is>
      </c>
      <c r="B6309" t="inlineStr">
        <is>
          <t>LN200895</t>
        </is>
      </c>
      <c r="C6309" t="n">
        <v>2</v>
      </c>
      <c r="D6309" s="8" t="n">
        <v>45780</v>
      </c>
      <c r="E6309" s="9" t="n">
        <v>15845.5</v>
      </c>
      <c r="F6309" s="8" t="n">
        <v>45783</v>
      </c>
      <c r="G6309" s="9" t="n">
        <v>15845.5</v>
      </c>
      <c r="H6309" t="inlineStr">
        <is>
          <t>PAID_ON_TIME</t>
        </is>
      </c>
      <c r="I6309">
        <f>IF(H6309="UNPAID", AsOfDate-D6309, 0)</f>
        <v/>
      </c>
      <c r="J6309">
        <f>IF(F6309&lt;&gt;"", TEXT(F6309, "yyyy-mm"), "")</f>
        <v/>
      </c>
    </row>
    <row r="6310">
      <c r="A6310" t="inlineStr">
        <is>
          <t>RP0006309</t>
        </is>
      </c>
      <c r="B6310" t="inlineStr">
        <is>
          <t>LN200895</t>
        </is>
      </c>
      <c r="C6310" t="n">
        <v>3</v>
      </c>
      <c r="D6310" s="8" t="n">
        <v>45811</v>
      </c>
      <c r="E6310" s="9" t="n">
        <v>15845.5</v>
      </c>
      <c r="F6310" s="8" t="n">
        <v>45810</v>
      </c>
      <c r="G6310" s="9" t="n">
        <v>15845.5</v>
      </c>
      <c r="H6310" t="inlineStr">
        <is>
          <t>PAID_ON_TIME</t>
        </is>
      </c>
      <c r="I6310">
        <f>IF(H6310="UNPAID", AsOfDate-D6310, 0)</f>
        <v/>
      </c>
      <c r="J6310">
        <f>IF(F6310&lt;&gt;"", TEXT(F6310, "yyyy-mm"), "")</f>
        <v/>
      </c>
    </row>
    <row r="6311">
      <c r="A6311" t="inlineStr">
        <is>
          <t>RP0006310</t>
        </is>
      </c>
      <c r="B6311" t="inlineStr">
        <is>
          <t>LN200895</t>
        </is>
      </c>
      <c r="C6311" t="n">
        <v>4</v>
      </c>
      <c r="D6311" s="8" t="n">
        <v>45841</v>
      </c>
      <c r="E6311" s="9" t="n">
        <v>15845.5</v>
      </c>
      <c r="F6311" s="8" t="n">
        <v>45838</v>
      </c>
      <c r="G6311" s="9" t="n">
        <v>15845.5</v>
      </c>
      <c r="H6311" t="inlineStr">
        <is>
          <t>PAID_ON_TIME</t>
        </is>
      </c>
      <c r="I6311">
        <f>IF(H6311="UNPAID", AsOfDate-D6311, 0)</f>
        <v/>
      </c>
      <c r="J6311">
        <f>IF(F6311&lt;&gt;"", TEXT(F6311, "yyyy-mm"), "")</f>
        <v/>
      </c>
    </row>
    <row r="6312">
      <c r="A6312" t="inlineStr">
        <is>
          <t>RP0006311</t>
        </is>
      </c>
      <c r="B6312" t="inlineStr">
        <is>
          <t>LN200895</t>
        </is>
      </c>
      <c r="C6312" t="n">
        <v>5</v>
      </c>
      <c r="D6312" s="8" t="n">
        <v>45872</v>
      </c>
      <c r="E6312" s="9" t="n">
        <v>15845.5</v>
      </c>
      <c r="F6312" s="8" t="n">
        <v>45873</v>
      </c>
      <c r="G6312" s="9" t="n">
        <v>15845.5</v>
      </c>
      <c r="H6312" t="inlineStr">
        <is>
          <t>PAID_ON_TIME</t>
        </is>
      </c>
      <c r="I6312">
        <f>IF(H6312="UNPAID", AsOfDate-D6312, 0)</f>
        <v/>
      </c>
      <c r="J6312">
        <f>IF(F6312&lt;&gt;"", TEXT(F6312, "yyyy-mm"), "")</f>
        <v/>
      </c>
    </row>
    <row r="6313">
      <c r="A6313" t="inlineStr">
        <is>
          <t>RP0006312</t>
        </is>
      </c>
      <c r="B6313" t="inlineStr">
        <is>
          <t>LN200895</t>
        </is>
      </c>
      <c r="C6313" t="n">
        <v>6</v>
      </c>
      <c r="D6313" s="8" t="n">
        <v>45903</v>
      </c>
      <c r="E6313" s="9" t="n">
        <v>15845.5</v>
      </c>
      <c r="F6313" s="8" t="n">
        <v>45907</v>
      </c>
      <c r="G6313" s="9" t="n">
        <v>15845.5</v>
      </c>
      <c r="H6313" t="inlineStr">
        <is>
          <t>PAID_ON_TIME</t>
        </is>
      </c>
      <c r="I6313">
        <f>IF(H6313="UNPAID", AsOfDate-D6313, 0)</f>
        <v/>
      </c>
      <c r="J6313">
        <f>IF(F6313&lt;&gt;"", TEXT(F6313, "yyyy-mm"), "")</f>
        <v/>
      </c>
    </row>
    <row r="6314">
      <c r="A6314" t="inlineStr">
        <is>
          <t>RP0006313</t>
        </is>
      </c>
      <c r="B6314" t="inlineStr">
        <is>
          <t>LN200896</t>
        </is>
      </c>
      <c r="C6314" t="n">
        <v>1</v>
      </c>
      <c r="D6314" s="8" t="n">
        <v>45921</v>
      </c>
      <c r="E6314" s="9" t="n">
        <v>7005</v>
      </c>
      <c r="F6314" s="8" t="n">
        <v>45920</v>
      </c>
      <c r="G6314" s="9" t="n">
        <v>7005</v>
      </c>
      <c r="H6314" t="inlineStr">
        <is>
          <t>PAID_ON_TIME</t>
        </is>
      </c>
      <c r="I6314">
        <f>IF(H6314="UNPAID", AsOfDate-D6314, 0)</f>
        <v/>
      </c>
      <c r="J6314">
        <f>IF(F6314&lt;&gt;"", TEXT(F6314, "yyyy-mm"), "")</f>
        <v/>
      </c>
    </row>
    <row r="6315">
      <c r="A6315" t="inlineStr">
        <is>
          <t>RP0006314</t>
        </is>
      </c>
      <c r="B6315" t="inlineStr">
        <is>
          <t>LN200896</t>
        </is>
      </c>
      <c r="C6315" t="n">
        <v>2</v>
      </c>
      <c r="D6315" s="8" t="n">
        <v>45951</v>
      </c>
      <c r="E6315" s="9" t="n">
        <v>7005</v>
      </c>
      <c r="F6315" s="8" t="n">
        <v>45949</v>
      </c>
      <c r="G6315" s="9" t="n">
        <v>7005</v>
      </c>
      <c r="H6315" t="inlineStr">
        <is>
          <t>PAID_ON_TIME</t>
        </is>
      </c>
      <c r="I6315">
        <f>IF(H6315="UNPAID", AsOfDate-D6315, 0)</f>
        <v/>
      </c>
      <c r="J6315">
        <f>IF(F6315&lt;&gt;"", TEXT(F6315, "yyyy-mm"), "")</f>
        <v/>
      </c>
    </row>
    <row r="6316">
      <c r="A6316" t="inlineStr">
        <is>
          <t>RP0006315</t>
        </is>
      </c>
      <c r="B6316" t="inlineStr">
        <is>
          <t>LN200896</t>
        </is>
      </c>
      <c r="C6316" t="n">
        <v>3</v>
      </c>
      <c r="D6316" s="8" t="n">
        <v>45982</v>
      </c>
      <c r="E6316" s="9" t="n">
        <v>7005</v>
      </c>
      <c r="F6316" s="8" t="n">
        <v>45981</v>
      </c>
      <c r="G6316" s="9" t="n">
        <v>7005</v>
      </c>
      <c r="H6316" t="inlineStr">
        <is>
          <t>PAID_ON_TIME</t>
        </is>
      </c>
      <c r="I6316">
        <f>IF(H6316="UNPAID", AsOfDate-D6316, 0)</f>
        <v/>
      </c>
      <c r="J6316">
        <f>IF(F6316&lt;&gt;"", TEXT(F6316, "yyyy-mm"), "")</f>
        <v/>
      </c>
    </row>
    <row r="6317">
      <c r="A6317" t="inlineStr">
        <is>
          <t>RP0006316</t>
        </is>
      </c>
      <c r="B6317" t="inlineStr">
        <is>
          <t>LN200897</t>
        </is>
      </c>
      <c r="C6317" t="n">
        <v>1</v>
      </c>
      <c r="D6317" s="8" t="n">
        <v>46207</v>
      </c>
      <c r="E6317" s="9" t="n">
        <v>41936.67</v>
      </c>
      <c r="F6317" s="8" t="n">
        <v>46207</v>
      </c>
      <c r="G6317" s="9" t="n">
        <v>41936.67</v>
      </c>
      <c r="H6317" t="inlineStr">
        <is>
          <t>PAID_ON_TIME</t>
        </is>
      </c>
      <c r="I6317">
        <f>IF(H6317="UNPAID", AsOfDate-D6317, 0)</f>
        <v/>
      </c>
      <c r="J6317">
        <f>IF(F6317&lt;&gt;"", TEXT(F6317, "yyyy-mm"), "")</f>
        <v/>
      </c>
    </row>
    <row r="6318">
      <c r="A6318" t="inlineStr">
        <is>
          <t>RP0006317</t>
        </is>
      </c>
      <c r="B6318" t="inlineStr">
        <is>
          <t>LN200897</t>
        </is>
      </c>
      <c r="C6318" t="n">
        <v>2</v>
      </c>
      <c r="D6318" s="8" t="n">
        <v>46238</v>
      </c>
      <c r="E6318" s="9" t="n">
        <v>41936.67</v>
      </c>
      <c r="F6318" s="8" t="n">
        <v>46235</v>
      </c>
      <c r="G6318" s="9" t="n">
        <v>41936.67</v>
      </c>
      <c r="H6318" t="inlineStr">
        <is>
          <t>PAID_ON_TIME</t>
        </is>
      </c>
      <c r="I6318">
        <f>IF(H6318="UNPAID", AsOfDate-D6318, 0)</f>
        <v/>
      </c>
      <c r="J6318">
        <f>IF(F6318&lt;&gt;"", TEXT(F6318, "yyyy-mm"), "")</f>
        <v/>
      </c>
    </row>
    <row r="6319">
      <c r="A6319" t="inlineStr">
        <is>
          <t>RP0006318</t>
        </is>
      </c>
      <c r="B6319" t="inlineStr">
        <is>
          <t>LN200897</t>
        </is>
      </c>
      <c r="C6319" t="n">
        <v>3</v>
      </c>
      <c r="D6319" s="8" t="n">
        <v>46269</v>
      </c>
      <c r="E6319" s="9" t="n">
        <v>41936.67</v>
      </c>
      <c r="F6319" s="8" t="n"/>
      <c r="G6319" s="9" t="n">
        <v>0</v>
      </c>
      <c r="H6319" t="inlineStr">
        <is>
          <t>NOT_DUE</t>
        </is>
      </c>
      <c r="I6319">
        <f>IF(H6319="UNPAID", AsOfDate-D6319, 0)</f>
        <v/>
      </c>
      <c r="J6319">
        <f>IF(F6319&lt;&gt;"", TEXT(F6319, "yyyy-mm"), "")</f>
        <v/>
      </c>
    </row>
    <row r="6320">
      <c r="A6320" t="inlineStr">
        <is>
          <t>RP0006319</t>
        </is>
      </c>
      <c r="B6320" t="inlineStr">
        <is>
          <t>LN200897</t>
        </is>
      </c>
      <c r="C6320" t="n">
        <v>4</v>
      </c>
      <c r="D6320" s="8" t="n">
        <v>46299</v>
      </c>
      <c r="E6320" s="9" t="n">
        <v>41936.67</v>
      </c>
      <c r="F6320" s="8" t="n"/>
      <c r="G6320" s="9" t="n">
        <v>0</v>
      </c>
      <c r="H6320" t="inlineStr">
        <is>
          <t>NOT_DUE</t>
        </is>
      </c>
      <c r="I6320">
        <f>IF(H6320="UNPAID", AsOfDate-D6320, 0)</f>
        <v/>
      </c>
      <c r="J6320">
        <f>IF(F6320&lt;&gt;"", TEXT(F6320, "yyyy-mm"), "")</f>
        <v/>
      </c>
    </row>
    <row r="6321">
      <c r="A6321" t="inlineStr">
        <is>
          <t>RP0006320</t>
        </is>
      </c>
      <c r="B6321" t="inlineStr">
        <is>
          <t>LN200897</t>
        </is>
      </c>
      <c r="C6321" t="n">
        <v>5</v>
      </c>
      <c r="D6321" s="8" t="n">
        <v>46330</v>
      </c>
      <c r="E6321" s="9" t="n">
        <v>41936.67</v>
      </c>
      <c r="F6321" s="8" t="n"/>
      <c r="G6321" s="9" t="n">
        <v>0</v>
      </c>
      <c r="H6321" t="inlineStr">
        <is>
          <t>NOT_DUE</t>
        </is>
      </c>
      <c r="I6321">
        <f>IF(H6321="UNPAID", AsOfDate-D6321, 0)</f>
        <v/>
      </c>
      <c r="J6321">
        <f>IF(F6321&lt;&gt;"", TEXT(F6321, "yyyy-mm"), "")</f>
        <v/>
      </c>
    </row>
    <row r="6322">
      <c r="A6322" t="inlineStr">
        <is>
          <t>RP0006321</t>
        </is>
      </c>
      <c r="B6322" t="inlineStr">
        <is>
          <t>LN200897</t>
        </is>
      </c>
      <c r="C6322" t="n">
        <v>6</v>
      </c>
      <c r="D6322" s="8" t="n">
        <v>46360</v>
      </c>
      <c r="E6322" s="9" t="n">
        <v>41936.67</v>
      </c>
      <c r="F6322" s="8" t="n"/>
      <c r="G6322" s="9" t="n">
        <v>0</v>
      </c>
      <c r="H6322" t="inlineStr">
        <is>
          <t>NOT_DUE</t>
        </is>
      </c>
      <c r="I6322">
        <f>IF(H6322="UNPAID", AsOfDate-D6322, 0)</f>
        <v/>
      </c>
      <c r="J6322">
        <f>IF(F6322&lt;&gt;"", TEXT(F6322, "yyyy-mm"), "")</f>
        <v/>
      </c>
    </row>
    <row r="6323">
      <c r="A6323" t="inlineStr">
        <is>
          <t>RP0006322</t>
        </is>
      </c>
      <c r="B6323" t="inlineStr">
        <is>
          <t>LN200898</t>
        </is>
      </c>
      <c r="C6323" t="n">
        <v>1</v>
      </c>
      <c r="D6323" s="8" t="n">
        <v>45803</v>
      </c>
      <c r="E6323" s="9" t="n">
        <v>10530</v>
      </c>
      <c r="F6323" s="8" t="n">
        <v>45800</v>
      </c>
      <c r="G6323" s="9" t="n">
        <v>10530</v>
      </c>
      <c r="H6323" t="inlineStr">
        <is>
          <t>PAID_ON_TIME</t>
        </is>
      </c>
      <c r="I6323">
        <f>IF(H6323="UNPAID", AsOfDate-D6323, 0)</f>
        <v/>
      </c>
      <c r="J6323">
        <f>IF(F6323&lt;&gt;"", TEXT(F6323, "yyyy-mm"), "")</f>
        <v/>
      </c>
    </row>
    <row r="6324">
      <c r="A6324" t="inlineStr">
        <is>
          <t>RP0006323</t>
        </is>
      </c>
      <c r="B6324" t="inlineStr">
        <is>
          <t>LN200898</t>
        </is>
      </c>
      <c r="C6324" t="n">
        <v>2</v>
      </c>
      <c r="D6324" s="8" t="n">
        <v>45834</v>
      </c>
      <c r="E6324" s="9" t="n">
        <v>10530</v>
      </c>
      <c r="F6324" s="8" t="n">
        <v>45833</v>
      </c>
      <c r="G6324" s="9" t="n">
        <v>10530</v>
      </c>
      <c r="H6324" t="inlineStr">
        <is>
          <t>PAID_ON_TIME</t>
        </is>
      </c>
      <c r="I6324">
        <f>IF(H6324="UNPAID", AsOfDate-D6324, 0)</f>
        <v/>
      </c>
      <c r="J6324">
        <f>IF(F6324&lt;&gt;"", TEXT(F6324, "yyyy-mm"), "")</f>
        <v/>
      </c>
    </row>
    <row r="6325">
      <c r="A6325" t="inlineStr">
        <is>
          <t>RP0006324</t>
        </is>
      </c>
      <c r="B6325" t="inlineStr">
        <is>
          <t>LN200898</t>
        </is>
      </c>
      <c r="C6325" t="n">
        <v>3</v>
      </c>
      <c r="D6325" s="8" t="n">
        <v>45864</v>
      </c>
      <c r="E6325" s="9" t="n">
        <v>10530</v>
      </c>
      <c r="F6325" s="8" t="n">
        <v>45862</v>
      </c>
      <c r="G6325" s="9" t="n">
        <v>10530</v>
      </c>
      <c r="H6325" t="inlineStr">
        <is>
          <t>PAID_ON_TIME</t>
        </is>
      </c>
      <c r="I6325">
        <f>IF(H6325="UNPAID", AsOfDate-D6325, 0)</f>
        <v/>
      </c>
      <c r="J6325">
        <f>IF(F6325&lt;&gt;"", TEXT(F6325, "yyyy-mm"), "")</f>
        <v/>
      </c>
    </row>
    <row r="6326">
      <c r="A6326" t="inlineStr">
        <is>
          <t>RP0006325</t>
        </is>
      </c>
      <c r="B6326" t="inlineStr">
        <is>
          <t>LN200899</t>
        </is>
      </c>
      <c r="C6326" t="n">
        <v>1</v>
      </c>
      <c r="D6326" s="8" t="n">
        <v>46201</v>
      </c>
      <c r="E6326" s="9" t="n">
        <v>21976.5</v>
      </c>
      <c r="F6326" s="8" t="n">
        <v>46200</v>
      </c>
      <c r="G6326" s="9" t="n">
        <v>21976.5</v>
      </c>
      <c r="H6326" t="inlineStr">
        <is>
          <t>PAID_ON_TIME</t>
        </is>
      </c>
      <c r="I6326">
        <f>IF(H6326="UNPAID", AsOfDate-D6326, 0)</f>
        <v/>
      </c>
      <c r="J6326">
        <f>IF(F6326&lt;&gt;"", TEXT(F6326, "yyyy-mm"), "")</f>
        <v/>
      </c>
    </row>
    <row r="6327">
      <c r="A6327" t="inlineStr">
        <is>
          <t>RP0006326</t>
        </is>
      </c>
      <c r="B6327" t="inlineStr">
        <is>
          <t>LN200899</t>
        </is>
      </c>
      <c r="C6327" t="n">
        <v>2</v>
      </c>
      <c r="D6327" s="8" t="n">
        <v>46231</v>
      </c>
      <c r="E6327" s="9" t="n">
        <v>21976.5</v>
      </c>
      <c r="F6327" s="8" t="n">
        <v>46228</v>
      </c>
      <c r="G6327" s="9" t="n">
        <v>21976.5</v>
      </c>
      <c r="H6327" t="inlineStr">
        <is>
          <t>PAID_ON_TIME</t>
        </is>
      </c>
      <c r="I6327">
        <f>IF(H6327="UNPAID", AsOfDate-D6327, 0)</f>
        <v/>
      </c>
      <c r="J6327">
        <f>IF(F6327&lt;&gt;"", TEXT(F6327, "yyyy-mm"), "")</f>
        <v/>
      </c>
    </row>
    <row r="6328">
      <c r="A6328" t="inlineStr">
        <is>
          <t>RP0006327</t>
        </is>
      </c>
      <c r="B6328" t="inlineStr">
        <is>
          <t>LN200899</t>
        </is>
      </c>
      <c r="C6328" t="n">
        <v>3</v>
      </c>
      <c r="D6328" s="8" t="n">
        <v>46262</v>
      </c>
      <c r="E6328" s="9" t="n">
        <v>21976.5</v>
      </c>
      <c r="F6328" s="8" t="n">
        <v>46263</v>
      </c>
      <c r="G6328" s="9" t="n">
        <v>21976.5</v>
      </c>
      <c r="H6328" t="inlineStr">
        <is>
          <t>PAID_ON_TIME</t>
        </is>
      </c>
      <c r="I6328">
        <f>IF(H6328="UNPAID", AsOfDate-D6328, 0)</f>
        <v/>
      </c>
      <c r="J6328">
        <f>IF(F6328&lt;&gt;"", TEXT(F6328, "yyyy-mm"), "")</f>
        <v/>
      </c>
    </row>
    <row r="6329">
      <c r="A6329" t="inlineStr">
        <is>
          <t>RP0006328</t>
        </is>
      </c>
      <c r="B6329" t="inlineStr">
        <is>
          <t>LN200899</t>
        </is>
      </c>
      <c r="C6329" t="n">
        <v>4</v>
      </c>
      <c r="D6329" s="8" t="n">
        <v>46293</v>
      </c>
      <c r="E6329" s="9" t="n">
        <v>21976.5</v>
      </c>
      <c r="F6329" s="8" t="n"/>
      <c r="G6329" s="9" t="n">
        <v>0</v>
      </c>
      <c r="H6329" t="inlineStr">
        <is>
          <t>NOT_DUE</t>
        </is>
      </c>
      <c r="I6329">
        <f>IF(H6329="UNPAID", AsOfDate-D6329, 0)</f>
        <v/>
      </c>
      <c r="J6329">
        <f>IF(F6329&lt;&gt;"", TEXT(F6329, "yyyy-mm"), "")</f>
        <v/>
      </c>
    </row>
    <row r="6330">
      <c r="A6330" t="inlineStr">
        <is>
          <t>RP0006329</t>
        </is>
      </c>
      <c r="B6330" t="inlineStr">
        <is>
          <t>LN200899</t>
        </is>
      </c>
      <c r="C6330" t="n">
        <v>5</v>
      </c>
      <c r="D6330" s="8" t="n">
        <v>46323</v>
      </c>
      <c r="E6330" s="9" t="n">
        <v>21976.5</v>
      </c>
      <c r="F6330" s="8" t="n"/>
      <c r="G6330" s="9" t="n">
        <v>0</v>
      </c>
      <c r="H6330" t="inlineStr">
        <is>
          <t>NOT_DUE</t>
        </is>
      </c>
      <c r="I6330">
        <f>IF(H6330="UNPAID", AsOfDate-D6330, 0)</f>
        <v/>
      </c>
      <c r="J6330">
        <f>IF(F6330&lt;&gt;"", TEXT(F6330, "yyyy-mm"), "")</f>
        <v/>
      </c>
    </row>
    <row r="6331">
      <c r="A6331" t="inlineStr">
        <is>
          <t>RP0006330</t>
        </is>
      </c>
      <c r="B6331" t="inlineStr">
        <is>
          <t>LN200899</t>
        </is>
      </c>
      <c r="C6331" t="n">
        <v>6</v>
      </c>
      <c r="D6331" s="8" t="n">
        <v>46354</v>
      </c>
      <c r="E6331" s="9" t="n">
        <v>21976.5</v>
      </c>
      <c r="F6331" s="8" t="n"/>
      <c r="G6331" s="9" t="n">
        <v>0</v>
      </c>
      <c r="H6331" t="inlineStr">
        <is>
          <t>NOT_DUE</t>
        </is>
      </c>
      <c r="I6331">
        <f>IF(H6331="UNPAID", AsOfDate-D6331, 0)</f>
        <v/>
      </c>
      <c r="J6331">
        <f>IF(F6331&lt;&gt;"", TEXT(F6331, "yyyy-mm"), "")</f>
        <v/>
      </c>
    </row>
    <row r="6332">
      <c r="A6332" t="inlineStr">
        <is>
          <t>RP0006331</t>
        </is>
      </c>
      <c r="B6332" t="inlineStr">
        <is>
          <t>LN200899</t>
        </is>
      </c>
      <c r="C6332" t="n">
        <v>7</v>
      </c>
      <c r="D6332" s="8" t="n">
        <v>46384</v>
      </c>
      <c r="E6332" s="9" t="n">
        <v>21976.5</v>
      </c>
      <c r="F6332" s="8" t="n"/>
      <c r="G6332" s="9" t="n">
        <v>0</v>
      </c>
      <c r="H6332" t="inlineStr">
        <is>
          <t>NOT_DUE</t>
        </is>
      </c>
      <c r="I6332">
        <f>IF(H6332="UNPAID", AsOfDate-D6332, 0)</f>
        <v/>
      </c>
      <c r="J6332">
        <f>IF(F6332&lt;&gt;"", TEXT(F6332, "yyyy-mm"), "")</f>
        <v/>
      </c>
    </row>
    <row r="6333">
      <c r="A6333" t="inlineStr">
        <is>
          <t>RP0006332</t>
        </is>
      </c>
      <c r="B6333" t="inlineStr">
        <is>
          <t>LN200899</t>
        </is>
      </c>
      <c r="C6333" t="n">
        <v>8</v>
      </c>
      <c r="D6333" s="8" t="n">
        <v>46415</v>
      </c>
      <c r="E6333" s="9" t="n">
        <v>21976.5</v>
      </c>
      <c r="F6333" s="8" t="n"/>
      <c r="G6333" s="9" t="n">
        <v>0</v>
      </c>
      <c r="H6333" t="inlineStr">
        <is>
          <t>NOT_DUE</t>
        </is>
      </c>
      <c r="I6333">
        <f>IF(H6333="UNPAID", AsOfDate-D6333, 0)</f>
        <v/>
      </c>
      <c r="J6333">
        <f>IF(F6333&lt;&gt;"", TEXT(F6333, "yyyy-mm"), "")</f>
        <v/>
      </c>
    </row>
    <row r="6334">
      <c r="A6334" t="inlineStr">
        <is>
          <t>RP0006333</t>
        </is>
      </c>
      <c r="B6334" t="inlineStr">
        <is>
          <t>LN200899</t>
        </is>
      </c>
      <c r="C6334" t="n">
        <v>9</v>
      </c>
      <c r="D6334" s="8" t="n">
        <v>46446</v>
      </c>
      <c r="E6334" s="9" t="n">
        <v>21976.5</v>
      </c>
      <c r="F6334" s="8" t="n"/>
      <c r="G6334" s="9" t="n">
        <v>0</v>
      </c>
      <c r="H6334" t="inlineStr">
        <is>
          <t>NOT_DUE</t>
        </is>
      </c>
      <c r="I6334">
        <f>IF(H6334="UNPAID", AsOfDate-D6334, 0)</f>
        <v/>
      </c>
      <c r="J6334">
        <f>IF(F6334&lt;&gt;"", TEXT(F6334, "yyyy-mm"), "")</f>
        <v/>
      </c>
    </row>
    <row r="6335">
      <c r="A6335" t="inlineStr">
        <is>
          <t>RP0006334</t>
        </is>
      </c>
      <c r="B6335" t="inlineStr">
        <is>
          <t>LN200899</t>
        </is>
      </c>
      <c r="C6335" t="n">
        <v>10</v>
      </c>
      <c r="D6335" s="8" t="n">
        <v>46474</v>
      </c>
      <c r="E6335" s="9" t="n">
        <v>21976.5</v>
      </c>
      <c r="F6335" s="8" t="n"/>
      <c r="G6335" s="9" t="n">
        <v>0</v>
      </c>
      <c r="H6335" t="inlineStr">
        <is>
          <t>NOT_DUE</t>
        </is>
      </c>
      <c r="I6335">
        <f>IF(H6335="UNPAID", AsOfDate-D6335, 0)</f>
        <v/>
      </c>
      <c r="J6335">
        <f>IF(F6335&lt;&gt;"", TEXT(F6335, "yyyy-mm"), "")</f>
        <v/>
      </c>
    </row>
    <row r="6336">
      <c r="A6336" t="inlineStr">
        <is>
          <t>RP0006335</t>
        </is>
      </c>
      <c r="B6336" t="inlineStr">
        <is>
          <t>LN200899</t>
        </is>
      </c>
      <c r="C6336" t="n">
        <v>11</v>
      </c>
      <c r="D6336" s="8" t="n">
        <v>46505</v>
      </c>
      <c r="E6336" s="9" t="n">
        <v>21976.5</v>
      </c>
      <c r="F6336" s="8" t="n"/>
      <c r="G6336" s="9" t="n">
        <v>0</v>
      </c>
      <c r="H6336" t="inlineStr">
        <is>
          <t>NOT_DUE</t>
        </is>
      </c>
      <c r="I6336">
        <f>IF(H6336="UNPAID", AsOfDate-D6336, 0)</f>
        <v/>
      </c>
      <c r="J6336">
        <f>IF(F6336&lt;&gt;"", TEXT(F6336, "yyyy-mm"), "")</f>
        <v/>
      </c>
    </row>
    <row r="6337">
      <c r="A6337" t="inlineStr">
        <is>
          <t>RP0006336</t>
        </is>
      </c>
      <c r="B6337" t="inlineStr">
        <is>
          <t>LN200899</t>
        </is>
      </c>
      <c r="C6337" t="n">
        <v>12</v>
      </c>
      <c r="D6337" s="8" t="n">
        <v>46535</v>
      </c>
      <c r="E6337" s="9" t="n">
        <v>21976.5</v>
      </c>
      <c r="F6337" s="8" t="n"/>
      <c r="G6337" s="9" t="n">
        <v>0</v>
      </c>
      <c r="H6337" t="inlineStr">
        <is>
          <t>NOT_DUE</t>
        </is>
      </c>
      <c r="I6337">
        <f>IF(H6337="UNPAID", AsOfDate-D6337, 0)</f>
        <v/>
      </c>
      <c r="J6337">
        <f>IF(F6337&lt;&gt;"", TEXT(F6337, "yyyy-mm"), "")</f>
        <v/>
      </c>
    </row>
    <row r="6338">
      <c r="A6338" t="inlineStr">
        <is>
          <t>RP0006337</t>
        </is>
      </c>
      <c r="B6338" t="inlineStr">
        <is>
          <t>LN200900</t>
        </is>
      </c>
      <c r="C6338" t="n">
        <v>1</v>
      </c>
      <c r="D6338" s="8" t="n">
        <v>46265</v>
      </c>
      <c r="E6338" s="9" t="n">
        <v>63325</v>
      </c>
      <c r="F6338" s="8" t="n">
        <v>46262</v>
      </c>
      <c r="G6338" s="9" t="n">
        <v>63325</v>
      </c>
      <c r="H6338" t="inlineStr">
        <is>
          <t>PAID_ON_TIME</t>
        </is>
      </c>
      <c r="I6338">
        <f>IF(H6338="UNPAID", AsOfDate-D6338, 0)</f>
        <v/>
      </c>
      <c r="J6338">
        <f>IF(F6338&lt;&gt;"", TEXT(F6338, "yyyy-mm"), "")</f>
        <v/>
      </c>
    </row>
    <row r="6339">
      <c r="A6339" t="inlineStr">
        <is>
          <t>RP0006338</t>
        </is>
      </c>
      <c r="B6339" t="inlineStr">
        <is>
          <t>LN200900</t>
        </is>
      </c>
      <c r="C6339" t="n">
        <v>2</v>
      </c>
      <c r="D6339" s="8" t="n">
        <v>46295</v>
      </c>
      <c r="E6339" s="9" t="n">
        <v>63325</v>
      </c>
      <c r="F6339" s="8" t="n"/>
      <c r="G6339" s="9" t="n">
        <v>0</v>
      </c>
      <c r="H6339" t="inlineStr">
        <is>
          <t>NOT_DUE</t>
        </is>
      </c>
      <c r="I6339">
        <f>IF(H6339="UNPAID", AsOfDate-D6339, 0)</f>
        <v/>
      </c>
      <c r="J6339">
        <f>IF(F6339&lt;&gt;"", TEXT(F6339, "yyyy-mm"), "")</f>
        <v/>
      </c>
    </row>
    <row r="6340">
      <c r="A6340" t="inlineStr">
        <is>
          <t>RP0006339</t>
        </is>
      </c>
      <c r="B6340" t="inlineStr">
        <is>
          <t>LN200900</t>
        </is>
      </c>
      <c r="C6340" t="n">
        <v>3</v>
      </c>
      <c r="D6340" s="8" t="n">
        <v>46326</v>
      </c>
      <c r="E6340" s="9" t="n">
        <v>63325</v>
      </c>
      <c r="F6340" s="8" t="n"/>
      <c r="G6340" s="9" t="n">
        <v>0</v>
      </c>
      <c r="H6340" t="inlineStr">
        <is>
          <t>NOT_DUE</t>
        </is>
      </c>
      <c r="I6340">
        <f>IF(H6340="UNPAID", AsOfDate-D6340, 0)</f>
        <v/>
      </c>
      <c r="J6340">
        <f>IF(F6340&lt;&gt;"", TEXT(F6340, "yyyy-mm"), "")</f>
        <v/>
      </c>
    </row>
    <row r="6341">
      <c r="A6341" t="inlineStr">
        <is>
          <t>RP0006340</t>
        </is>
      </c>
      <c r="B6341" t="inlineStr">
        <is>
          <t>LN200900</t>
        </is>
      </c>
      <c r="C6341" t="n">
        <v>4</v>
      </c>
      <c r="D6341" s="8" t="n">
        <v>46356</v>
      </c>
      <c r="E6341" s="9" t="n">
        <v>63325</v>
      </c>
      <c r="F6341" s="8" t="n"/>
      <c r="G6341" s="9" t="n">
        <v>0</v>
      </c>
      <c r="H6341" t="inlineStr">
        <is>
          <t>NOT_DUE</t>
        </is>
      </c>
      <c r="I6341">
        <f>IF(H6341="UNPAID", AsOfDate-D6341, 0)</f>
        <v/>
      </c>
      <c r="J6341">
        <f>IF(F6341&lt;&gt;"", TEXT(F6341, "yyyy-mm"), "")</f>
        <v/>
      </c>
    </row>
    <row r="6342">
      <c r="A6342" t="inlineStr">
        <is>
          <t>RP0006341</t>
        </is>
      </c>
      <c r="B6342" t="inlineStr">
        <is>
          <t>LN200900</t>
        </is>
      </c>
      <c r="C6342" t="n">
        <v>5</v>
      </c>
      <c r="D6342" s="8" t="n">
        <v>46387</v>
      </c>
      <c r="E6342" s="9" t="n">
        <v>63325</v>
      </c>
      <c r="F6342" s="8" t="n"/>
      <c r="G6342" s="9" t="n">
        <v>0</v>
      </c>
      <c r="H6342" t="inlineStr">
        <is>
          <t>NOT_DUE</t>
        </is>
      </c>
      <c r="I6342">
        <f>IF(H6342="UNPAID", AsOfDate-D6342, 0)</f>
        <v/>
      </c>
      <c r="J6342">
        <f>IF(F6342&lt;&gt;"", TEXT(F6342, "yyyy-mm"), "")</f>
        <v/>
      </c>
    </row>
    <row r="6343">
      <c r="A6343" t="inlineStr">
        <is>
          <t>RP0006342</t>
        </is>
      </c>
      <c r="B6343" t="inlineStr">
        <is>
          <t>LN200900</t>
        </is>
      </c>
      <c r="C6343" t="n">
        <v>6</v>
      </c>
      <c r="D6343" s="8" t="n">
        <v>46418</v>
      </c>
      <c r="E6343" s="9" t="n">
        <v>63325</v>
      </c>
      <c r="F6343" s="8" t="n"/>
      <c r="G6343" s="9" t="n">
        <v>0</v>
      </c>
      <c r="H6343" t="inlineStr">
        <is>
          <t>NOT_DUE</t>
        </is>
      </c>
      <c r="I6343">
        <f>IF(H6343="UNPAID", AsOfDate-D6343, 0)</f>
        <v/>
      </c>
      <c r="J6343">
        <f>IF(F6343&lt;&gt;"", TEXT(F6343, "yyyy-mm"), "")</f>
        <v/>
      </c>
    </row>
    <row r="6344">
      <c r="A6344" t="inlineStr">
        <is>
          <t>RP0006343</t>
        </is>
      </c>
      <c r="B6344" t="inlineStr">
        <is>
          <t>LN200901</t>
        </is>
      </c>
      <c r="C6344" t="n">
        <v>1</v>
      </c>
      <c r="D6344" s="8" t="n">
        <v>45860</v>
      </c>
      <c r="E6344" s="9" t="n">
        <v>29523.33</v>
      </c>
      <c r="F6344" s="8" t="n">
        <v>45888</v>
      </c>
      <c r="G6344" s="9" t="n">
        <v>29523.33</v>
      </c>
      <c r="H6344" t="inlineStr">
        <is>
          <t>PAID_LATE</t>
        </is>
      </c>
      <c r="I6344">
        <f>IF(H6344="UNPAID", AsOfDate-D6344, 0)</f>
        <v/>
      </c>
      <c r="J6344">
        <f>IF(F6344&lt;&gt;"", TEXT(F6344, "yyyy-mm"), "")</f>
        <v/>
      </c>
    </row>
    <row r="6345">
      <c r="A6345" t="inlineStr">
        <is>
          <t>RP0006344</t>
        </is>
      </c>
      <c r="B6345" t="inlineStr">
        <is>
          <t>LN200901</t>
        </is>
      </c>
      <c r="C6345" t="n">
        <v>2</v>
      </c>
      <c r="D6345" s="8" t="n">
        <v>45891</v>
      </c>
      <c r="E6345" s="9" t="n">
        <v>29523.33</v>
      </c>
      <c r="F6345" s="8" t="n">
        <v>45892</v>
      </c>
      <c r="G6345" s="9" t="n">
        <v>29523.33</v>
      </c>
      <c r="H6345" t="inlineStr">
        <is>
          <t>PAID_ON_TIME</t>
        </is>
      </c>
      <c r="I6345">
        <f>IF(H6345="UNPAID", AsOfDate-D6345, 0)</f>
        <v/>
      </c>
      <c r="J6345">
        <f>IF(F6345&lt;&gt;"", TEXT(F6345, "yyyy-mm"), "")</f>
        <v/>
      </c>
    </row>
    <row r="6346">
      <c r="A6346" t="inlineStr">
        <is>
          <t>RP0006345</t>
        </is>
      </c>
      <c r="B6346" t="inlineStr">
        <is>
          <t>LN200901</t>
        </is>
      </c>
      <c r="C6346" t="n">
        <v>3</v>
      </c>
      <c r="D6346" s="8" t="n">
        <v>45922</v>
      </c>
      <c r="E6346" s="9" t="n">
        <v>29523.33</v>
      </c>
      <c r="F6346" s="8" t="n">
        <v>45921</v>
      </c>
      <c r="G6346" s="9" t="n">
        <v>29523.33</v>
      </c>
      <c r="H6346" t="inlineStr">
        <is>
          <t>PAID_ON_TIME</t>
        </is>
      </c>
      <c r="I6346">
        <f>IF(H6346="UNPAID", AsOfDate-D6346, 0)</f>
        <v/>
      </c>
      <c r="J6346">
        <f>IF(F6346&lt;&gt;"", TEXT(F6346, "yyyy-mm"), "")</f>
        <v/>
      </c>
    </row>
    <row r="6347">
      <c r="A6347" t="inlineStr">
        <is>
          <t>RP0006346</t>
        </is>
      </c>
      <c r="B6347" t="inlineStr">
        <is>
          <t>LN200902</t>
        </is>
      </c>
      <c r="C6347" t="n">
        <v>1</v>
      </c>
      <c r="D6347" s="8" t="n">
        <v>45964</v>
      </c>
      <c r="E6347" s="9" t="n">
        <v>97313</v>
      </c>
      <c r="F6347" s="8" t="n">
        <v>45964</v>
      </c>
      <c r="G6347" s="9" t="n">
        <v>97313</v>
      </c>
      <c r="H6347" t="inlineStr">
        <is>
          <t>PAID_ON_TIME</t>
        </is>
      </c>
      <c r="I6347">
        <f>IF(H6347="UNPAID", AsOfDate-D6347, 0)</f>
        <v/>
      </c>
      <c r="J6347">
        <f>IF(F6347&lt;&gt;"", TEXT(F6347, "yyyy-mm"), "")</f>
        <v/>
      </c>
    </row>
    <row r="6348">
      <c r="A6348" t="inlineStr">
        <is>
          <t>RP0006347</t>
        </is>
      </c>
      <c r="B6348" t="inlineStr">
        <is>
          <t>LN200902</t>
        </is>
      </c>
      <c r="C6348" t="n">
        <v>2</v>
      </c>
      <c r="D6348" s="8" t="n">
        <v>45994</v>
      </c>
      <c r="E6348" s="9" t="n">
        <v>97313</v>
      </c>
      <c r="F6348" s="8" t="n">
        <v>45998</v>
      </c>
      <c r="G6348" s="9" t="n">
        <v>97313</v>
      </c>
      <c r="H6348" t="inlineStr">
        <is>
          <t>PAID_ON_TIME</t>
        </is>
      </c>
      <c r="I6348">
        <f>IF(H6348="UNPAID", AsOfDate-D6348, 0)</f>
        <v/>
      </c>
      <c r="J6348">
        <f>IF(F6348&lt;&gt;"", TEXT(F6348, "yyyy-mm"), "")</f>
        <v/>
      </c>
    </row>
    <row r="6349">
      <c r="A6349" t="inlineStr">
        <is>
          <t>RP0006348</t>
        </is>
      </c>
      <c r="B6349" t="inlineStr">
        <is>
          <t>LN200902</t>
        </is>
      </c>
      <c r="C6349" t="n">
        <v>3</v>
      </c>
      <c r="D6349" s="8" t="n">
        <v>46025</v>
      </c>
      <c r="E6349" s="9" t="n">
        <v>97313</v>
      </c>
      <c r="F6349" s="8" t="n">
        <v>46088</v>
      </c>
      <c r="G6349" s="9" t="n">
        <v>97313</v>
      </c>
      <c r="H6349" t="inlineStr">
        <is>
          <t>PAID_LATE</t>
        </is>
      </c>
      <c r="I6349">
        <f>IF(H6349="UNPAID", AsOfDate-D6349, 0)</f>
        <v/>
      </c>
      <c r="J6349">
        <f>IF(F6349&lt;&gt;"", TEXT(F6349, "yyyy-mm"), "")</f>
        <v/>
      </c>
    </row>
    <row r="6350">
      <c r="A6350" t="inlineStr">
        <is>
          <t>RP0006349</t>
        </is>
      </c>
      <c r="B6350" t="inlineStr">
        <is>
          <t>LN200903</t>
        </is>
      </c>
      <c r="C6350" t="n">
        <v>1</v>
      </c>
      <c r="D6350" s="8" t="n">
        <v>46096</v>
      </c>
      <c r="E6350" s="9" t="n">
        <v>5793.86</v>
      </c>
      <c r="F6350" s="8" t="n">
        <v>46095</v>
      </c>
      <c r="G6350" s="9" t="n">
        <v>5793.86</v>
      </c>
      <c r="H6350" t="inlineStr">
        <is>
          <t>PAID_ON_TIME</t>
        </is>
      </c>
      <c r="I6350">
        <f>IF(H6350="UNPAID", AsOfDate-D6350, 0)</f>
        <v/>
      </c>
      <c r="J6350">
        <f>IF(F6350&lt;&gt;"", TEXT(F6350, "yyyy-mm"), "")</f>
        <v/>
      </c>
    </row>
    <row r="6351">
      <c r="A6351" t="inlineStr">
        <is>
          <t>RP0006350</t>
        </is>
      </c>
      <c r="B6351" t="inlineStr">
        <is>
          <t>LN200903</t>
        </is>
      </c>
      <c r="C6351" t="n">
        <v>2</v>
      </c>
      <c r="D6351" s="8" t="n">
        <v>46127</v>
      </c>
      <c r="E6351" s="9" t="n">
        <v>5793.86</v>
      </c>
      <c r="F6351" s="8" t="n">
        <v>46127</v>
      </c>
      <c r="G6351" s="9" t="n">
        <v>5793.86</v>
      </c>
      <c r="H6351" t="inlineStr">
        <is>
          <t>PAID_ON_TIME</t>
        </is>
      </c>
      <c r="I6351">
        <f>IF(H6351="UNPAID", AsOfDate-D6351, 0)</f>
        <v/>
      </c>
      <c r="J6351">
        <f>IF(F6351&lt;&gt;"", TEXT(F6351, "yyyy-mm"), "")</f>
        <v/>
      </c>
    </row>
    <row r="6352">
      <c r="A6352" t="inlineStr">
        <is>
          <t>RP0006351</t>
        </is>
      </c>
      <c r="B6352" t="inlineStr">
        <is>
          <t>LN200903</t>
        </is>
      </c>
      <c r="C6352" t="n">
        <v>3</v>
      </c>
      <c r="D6352" s="8" t="n">
        <v>46157</v>
      </c>
      <c r="E6352" s="9" t="n">
        <v>5793.86</v>
      </c>
      <c r="F6352" s="8" t="n">
        <v>46248</v>
      </c>
      <c r="G6352" s="9" t="n">
        <v>5793.86</v>
      </c>
      <c r="H6352" t="inlineStr">
        <is>
          <t>PAID_LATE</t>
        </is>
      </c>
      <c r="I6352">
        <f>IF(H6352="UNPAID", AsOfDate-D6352, 0)</f>
        <v/>
      </c>
      <c r="J6352">
        <f>IF(F6352&lt;&gt;"", TEXT(F6352, "yyyy-mm"), "")</f>
        <v/>
      </c>
    </row>
    <row r="6353">
      <c r="A6353" t="inlineStr">
        <is>
          <t>RP0006352</t>
        </is>
      </c>
      <c r="B6353" t="inlineStr">
        <is>
          <t>LN200903</t>
        </is>
      </c>
      <c r="C6353" t="n">
        <v>4</v>
      </c>
      <c r="D6353" s="8" t="n">
        <v>46188</v>
      </c>
      <c r="E6353" s="9" t="n">
        <v>5793.86</v>
      </c>
      <c r="F6353" s="8" t="n">
        <v>46189</v>
      </c>
      <c r="G6353" s="9" t="n">
        <v>5793.86</v>
      </c>
      <c r="H6353" t="inlineStr">
        <is>
          <t>PAID_ON_TIME</t>
        </is>
      </c>
      <c r="I6353">
        <f>IF(H6353="UNPAID", AsOfDate-D6353, 0)</f>
        <v/>
      </c>
      <c r="J6353">
        <f>IF(F6353&lt;&gt;"", TEXT(F6353, "yyyy-mm"), "")</f>
        <v/>
      </c>
    </row>
    <row r="6354">
      <c r="A6354" t="inlineStr">
        <is>
          <t>RP0006353</t>
        </is>
      </c>
      <c r="B6354" t="inlineStr">
        <is>
          <t>LN200903</t>
        </is>
      </c>
      <c r="C6354" t="n">
        <v>5</v>
      </c>
      <c r="D6354" s="8" t="n">
        <v>46218</v>
      </c>
      <c r="E6354" s="9" t="n">
        <v>5793.86</v>
      </c>
      <c r="F6354" s="8" t="n">
        <v>46222</v>
      </c>
      <c r="G6354" s="9" t="n">
        <v>5793.86</v>
      </c>
      <c r="H6354" t="inlineStr">
        <is>
          <t>PAID_ON_TIME</t>
        </is>
      </c>
      <c r="I6354">
        <f>IF(H6354="UNPAID", AsOfDate-D6354, 0)</f>
        <v/>
      </c>
      <c r="J6354">
        <f>IF(F6354&lt;&gt;"", TEXT(F6354, "yyyy-mm"), "")</f>
        <v/>
      </c>
    </row>
    <row r="6355">
      <c r="A6355" t="inlineStr">
        <is>
          <t>RP0006354</t>
        </is>
      </c>
      <c r="B6355" t="inlineStr">
        <is>
          <t>LN200903</t>
        </is>
      </c>
      <c r="C6355" t="n">
        <v>6</v>
      </c>
      <c r="D6355" s="8" t="n">
        <v>46249</v>
      </c>
      <c r="E6355" s="9" t="n">
        <v>5793.86</v>
      </c>
      <c r="F6355" s="8" t="n">
        <v>46247</v>
      </c>
      <c r="G6355" s="9" t="n">
        <v>5793.86</v>
      </c>
      <c r="H6355" t="inlineStr">
        <is>
          <t>PAID_ON_TIME</t>
        </is>
      </c>
      <c r="I6355">
        <f>IF(H6355="UNPAID", AsOfDate-D6355, 0)</f>
        <v/>
      </c>
      <c r="J6355">
        <f>IF(F6355&lt;&gt;"", TEXT(F6355, "yyyy-mm"), "")</f>
        <v/>
      </c>
    </row>
    <row r="6356">
      <c r="A6356" t="inlineStr">
        <is>
          <t>RP0006355</t>
        </is>
      </c>
      <c r="B6356" t="inlineStr">
        <is>
          <t>LN200903</t>
        </is>
      </c>
      <c r="C6356" t="n">
        <v>7</v>
      </c>
      <c r="D6356" s="8" t="n">
        <v>46280</v>
      </c>
      <c r="E6356" s="9" t="n">
        <v>5793.86</v>
      </c>
      <c r="F6356" s="8" t="n"/>
      <c r="G6356" s="9" t="n">
        <v>0</v>
      </c>
      <c r="H6356" t="inlineStr">
        <is>
          <t>NOT_DUE</t>
        </is>
      </c>
      <c r="I6356">
        <f>IF(H6356="UNPAID", AsOfDate-D6356, 0)</f>
        <v/>
      </c>
      <c r="J6356">
        <f>IF(F6356&lt;&gt;"", TEXT(F6356, "yyyy-mm"), "")</f>
        <v/>
      </c>
    </row>
    <row r="6357">
      <c r="A6357" t="inlineStr">
        <is>
          <t>RP0006356</t>
        </is>
      </c>
      <c r="B6357" t="inlineStr">
        <is>
          <t>LN200903</t>
        </is>
      </c>
      <c r="C6357" t="n">
        <v>8</v>
      </c>
      <c r="D6357" s="8" t="n">
        <v>46310</v>
      </c>
      <c r="E6357" s="9" t="n">
        <v>5793.86</v>
      </c>
      <c r="F6357" s="8" t="n"/>
      <c r="G6357" s="9" t="n">
        <v>0</v>
      </c>
      <c r="H6357" t="inlineStr">
        <is>
          <t>NOT_DUE</t>
        </is>
      </c>
      <c r="I6357">
        <f>IF(H6357="UNPAID", AsOfDate-D6357, 0)</f>
        <v/>
      </c>
      <c r="J6357">
        <f>IF(F6357&lt;&gt;"", TEXT(F6357, "yyyy-mm"), "")</f>
        <v/>
      </c>
    </row>
    <row r="6358">
      <c r="A6358" t="inlineStr">
        <is>
          <t>RP0006357</t>
        </is>
      </c>
      <c r="B6358" t="inlineStr">
        <is>
          <t>LN200903</t>
        </is>
      </c>
      <c r="C6358" t="n">
        <v>9</v>
      </c>
      <c r="D6358" s="8" t="n">
        <v>46341</v>
      </c>
      <c r="E6358" s="9" t="n">
        <v>5793.86</v>
      </c>
      <c r="F6358" s="8" t="n"/>
      <c r="G6358" s="9" t="n">
        <v>0</v>
      </c>
      <c r="H6358" t="inlineStr">
        <is>
          <t>NOT_DUE</t>
        </is>
      </c>
      <c r="I6358">
        <f>IF(H6358="UNPAID", AsOfDate-D6358, 0)</f>
        <v/>
      </c>
      <c r="J6358">
        <f>IF(F6358&lt;&gt;"", TEXT(F6358, "yyyy-mm"), "")</f>
        <v/>
      </c>
    </row>
    <row r="6359">
      <c r="A6359" t="inlineStr">
        <is>
          <t>RP0006358</t>
        </is>
      </c>
      <c r="B6359" t="inlineStr">
        <is>
          <t>LN200903</t>
        </is>
      </c>
      <c r="C6359" t="n">
        <v>10</v>
      </c>
      <c r="D6359" s="8" t="n">
        <v>46371</v>
      </c>
      <c r="E6359" s="9" t="n">
        <v>5793.86</v>
      </c>
      <c r="F6359" s="8" t="n"/>
      <c r="G6359" s="9" t="n">
        <v>0</v>
      </c>
      <c r="H6359" t="inlineStr">
        <is>
          <t>NOT_DUE</t>
        </is>
      </c>
      <c r="I6359">
        <f>IF(H6359="UNPAID", AsOfDate-D6359, 0)</f>
        <v/>
      </c>
      <c r="J6359">
        <f>IF(F6359&lt;&gt;"", TEXT(F6359, "yyyy-mm"), "")</f>
        <v/>
      </c>
    </row>
    <row r="6360">
      <c r="A6360" t="inlineStr">
        <is>
          <t>RP0006359</t>
        </is>
      </c>
      <c r="B6360" t="inlineStr">
        <is>
          <t>LN200903</t>
        </is>
      </c>
      <c r="C6360" t="n">
        <v>11</v>
      </c>
      <c r="D6360" s="8" t="n">
        <v>46402</v>
      </c>
      <c r="E6360" s="9" t="n">
        <v>5793.86</v>
      </c>
      <c r="F6360" s="8" t="n"/>
      <c r="G6360" s="9" t="n">
        <v>0</v>
      </c>
      <c r="H6360" t="inlineStr">
        <is>
          <t>NOT_DUE</t>
        </is>
      </c>
      <c r="I6360">
        <f>IF(H6360="UNPAID", AsOfDate-D6360, 0)</f>
        <v/>
      </c>
      <c r="J6360">
        <f>IF(F6360&lt;&gt;"", TEXT(F6360, "yyyy-mm"), "")</f>
        <v/>
      </c>
    </row>
    <row r="6361">
      <c r="A6361" t="inlineStr">
        <is>
          <t>RP0006360</t>
        </is>
      </c>
      <c r="B6361" t="inlineStr">
        <is>
          <t>LN200903</t>
        </is>
      </c>
      <c r="C6361" t="n">
        <v>12</v>
      </c>
      <c r="D6361" s="8" t="n">
        <v>46433</v>
      </c>
      <c r="E6361" s="9" t="n">
        <v>5793.86</v>
      </c>
      <c r="F6361" s="8" t="n"/>
      <c r="G6361" s="9" t="n">
        <v>0</v>
      </c>
      <c r="H6361" t="inlineStr">
        <is>
          <t>NOT_DUE</t>
        </is>
      </c>
      <c r="I6361">
        <f>IF(H6361="UNPAID", AsOfDate-D6361, 0)</f>
        <v/>
      </c>
      <c r="J6361">
        <f>IF(F6361&lt;&gt;"", TEXT(F6361, "yyyy-mm"), "")</f>
        <v/>
      </c>
    </row>
    <row r="6362">
      <c r="A6362" t="inlineStr">
        <is>
          <t>RP0006361</t>
        </is>
      </c>
      <c r="B6362" t="inlineStr">
        <is>
          <t>LN200903</t>
        </is>
      </c>
      <c r="C6362" t="n">
        <v>13</v>
      </c>
      <c r="D6362" s="8" t="n">
        <v>46461</v>
      </c>
      <c r="E6362" s="9" t="n">
        <v>5793.86</v>
      </c>
      <c r="F6362" s="8" t="n"/>
      <c r="G6362" s="9" t="n">
        <v>0</v>
      </c>
      <c r="H6362" t="inlineStr">
        <is>
          <t>NOT_DUE</t>
        </is>
      </c>
      <c r="I6362">
        <f>IF(H6362="UNPAID", AsOfDate-D6362, 0)</f>
        <v/>
      </c>
      <c r="J6362">
        <f>IF(F6362&lt;&gt;"", TEXT(F6362, "yyyy-mm"), "")</f>
        <v/>
      </c>
    </row>
    <row r="6363">
      <c r="A6363" t="inlineStr">
        <is>
          <t>RP0006362</t>
        </is>
      </c>
      <c r="B6363" t="inlineStr">
        <is>
          <t>LN200903</t>
        </is>
      </c>
      <c r="C6363" t="n">
        <v>14</v>
      </c>
      <c r="D6363" s="8" t="n">
        <v>46492</v>
      </c>
      <c r="E6363" s="9" t="n">
        <v>5793.86</v>
      </c>
      <c r="F6363" s="8" t="n"/>
      <c r="G6363" s="9" t="n">
        <v>0</v>
      </c>
      <c r="H6363" t="inlineStr">
        <is>
          <t>NOT_DUE</t>
        </is>
      </c>
      <c r="I6363">
        <f>IF(H6363="UNPAID", AsOfDate-D6363, 0)</f>
        <v/>
      </c>
      <c r="J6363">
        <f>IF(F6363&lt;&gt;"", TEXT(F6363, "yyyy-mm"), "")</f>
        <v/>
      </c>
    </row>
    <row r="6364">
      <c r="A6364" t="inlineStr">
        <is>
          <t>RP0006363</t>
        </is>
      </c>
      <c r="B6364" t="inlineStr">
        <is>
          <t>LN200903</t>
        </is>
      </c>
      <c r="C6364" t="n">
        <v>15</v>
      </c>
      <c r="D6364" s="8" t="n">
        <v>46522</v>
      </c>
      <c r="E6364" s="9" t="n">
        <v>5793.86</v>
      </c>
      <c r="F6364" s="8" t="n"/>
      <c r="G6364" s="9" t="n">
        <v>0</v>
      </c>
      <c r="H6364" t="inlineStr">
        <is>
          <t>NOT_DUE</t>
        </is>
      </c>
      <c r="I6364">
        <f>IF(H6364="UNPAID", AsOfDate-D6364, 0)</f>
        <v/>
      </c>
      <c r="J6364">
        <f>IF(F6364&lt;&gt;"", TEXT(F6364, "yyyy-mm"), "")</f>
        <v/>
      </c>
    </row>
    <row r="6365">
      <c r="A6365" t="inlineStr">
        <is>
          <t>RP0006364</t>
        </is>
      </c>
      <c r="B6365" t="inlineStr">
        <is>
          <t>LN200903</t>
        </is>
      </c>
      <c r="C6365" t="n">
        <v>16</v>
      </c>
      <c r="D6365" s="8" t="n">
        <v>46553</v>
      </c>
      <c r="E6365" s="9" t="n">
        <v>5793.86</v>
      </c>
      <c r="F6365" s="8" t="n"/>
      <c r="G6365" s="9" t="n">
        <v>0</v>
      </c>
      <c r="H6365" t="inlineStr">
        <is>
          <t>NOT_DUE</t>
        </is>
      </c>
      <c r="I6365">
        <f>IF(H6365="UNPAID", AsOfDate-D6365, 0)</f>
        <v/>
      </c>
      <c r="J6365">
        <f>IF(F6365&lt;&gt;"", TEXT(F6365, "yyyy-mm"), "")</f>
        <v/>
      </c>
    </row>
    <row r="6366">
      <c r="A6366" t="inlineStr">
        <is>
          <t>RP0006365</t>
        </is>
      </c>
      <c r="B6366" t="inlineStr">
        <is>
          <t>LN200903</t>
        </is>
      </c>
      <c r="C6366" t="n">
        <v>17</v>
      </c>
      <c r="D6366" s="8" t="n">
        <v>46583</v>
      </c>
      <c r="E6366" s="9" t="n">
        <v>5793.86</v>
      </c>
      <c r="F6366" s="8" t="n"/>
      <c r="G6366" s="9" t="n">
        <v>0</v>
      </c>
      <c r="H6366" t="inlineStr">
        <is>
          <t>NOT_DUE</t>
        </is>
      </c>
      <c r="I6366">
        <f>IF(H6366="UNPAID", AsOfDate-D6366, 0)</f>
        <v/>
      </c>
      <c r="J6366">
        <f>IF(F6366&lt;&gt;"", TEXT(F6366, "yyyy-mm"), "")</f>
        <v/>
      </c>
    </row>
    <row r="6367">
      <c r="A6367" t="inlineStr">
        <is>
          <t>RP0006366</t>
        </is>
      </c>
      <c r="B6367" t="inlineStr">
        <is>
          <t>LN200903</t>
        </is>
      </c>
      <c r="C6367" t="n">
        <v>18</v>
      </c>
      <c r="D6367" s="8" t="n">
        <v>46614</v>
      </c>
      <c r="E6367" s="9" t="n">
        <v>5793.86</v>
      </c>
      <c r="F6367" s="8" t="n"/>
      <c r="G6367" s="9" t="n">
        <v>0</v>
      </c>
      <c r="H6367" t="inlineStr">
        <is>
          <t>NOT_DUE</t>
        </is>
      </c>
      <c r="I6367">
        <f>IF(H6367="UNPAID", AsOfDate-D6367, 0)</f>
        <v/>
      </c>
      <c r="J6367">
        <f>IF(F6367&lt;&gt;"", TEXT(F6367, "yyyy-mm"), "")</f>
        <v/>
      </c>
    </row>
    <row r="6368">
      <c r="A6368" t="inlineStr">
        <is>
          <t>RP0006367</t>
        </is>
      </c>
      <c r="B6368" t="inlineStr">
        <is>
          <t>LN200904</t>
        </is>
      </c>
      <c r="C6368" t="n">
        <v>1</v>
      </c>
      <c r="D6368" s="8" t="n">
        <v>46045</v>
      </c>
      <c r="E6368" s="9" t="n">
        <v>5240.67</v>
      </c>
      <c r="F6368" s="8" t="n">
        <v>46049</v>
      </c>
      <c r="G6368" s="9" t="n">
        <v>5240.67</v>
      </c>
      <c r="H6368" t="inlineStr">
        <is>
          <t>PAID_ON_TIME</t>
        </is>
      </c>
      <c r="I6368">
        <f>IF(H6368="UNPAID", AsOfDate-D6368, 0)</f>
        <v/>
      </c>
      <c r="J6368">
        <f>IF(F6368&lt;&gt;"", TEXT(F6368, "yyyy-mm"), "")</f>
        <v/>
      </c>
    </row>
    <row r="6369">
      <c r="A6369" t="inlineStr">
        <is>
          <t>RP0006368</t>
        </is>
      </c>
      <c r="B6369" t="inlineStr">
        <is>
          <t>LN200904</t>
        </is>
      </c>
      <c r="C6369" t="n">
        <v>2</v>
      </c>
      <c r="D6369" s="8" t="n">
        <v>46076</v>
      </c>
      <c r="E6369" s="9" t="n">
        <v>5240.67</v>
      </c>
      <c r="F6369" s="8" t="n">
        <v>46076</v>
      </c>
      <c r="G6369" s="9" t="n">
        <v>5240.67</v>
      </c>
      <c r="H6369" t="inlineStr">
        <is>
          <t>PAID_ON_TIME</t>
        </is>
      </c>
      <c r="I6369">
        <f>IF(H6369="UNPAID", AsOfDate-D6369, 0)</f>
        <v/>
      </c>
      <c r="J6369">
        <f>IF(F6369&lt;&gt;"", TEXT(F6369, "yyyy-mm"), "")</f>
        <v/>
      </c>
    </row>
    <row r="6370">
      <c r="A6370" t="inlineStr">
        <is>
          <t>RP0006369</t>
        </is>
      </c>
      <c r="B6370" t="inlineStr">
        <is>
          <t>LN200904</t>
        </is>
      </c>
      <c r="C6370" t="n">
        <v>3</v>
      </c>
      <c r="D6370" s="8" t="n">
        <v>46104</v>
      </c>
      <c r="E6370" s="9" t="n">
        <v>5240.67</v>
      </c>
      <c r="F6370" s="8" t="n">
        <v>46106</v>
      </c>
      <c r="G6370" s="9" t="n">
        <v>5240.67</v>
      </c>
      <c r="H6370" t="inlineStr">
        <is>
          <t>PAID_ON_TIME</t>
        </is>
      </c>
      <c r="I6370">
        <f>IF(H6370="UNPAID", AsOfDate-D6370, 0)</f>
        <v/>
      </c>
      <c r="J6370">
        <f>IF(F6370&lt;&gt;"", TEXT(F6370, "yyyy-mm"), "")</f>
        <v/>
      </c>
    </row>
    <row r="6371">
      <c r="A6371" t="inlineStr">
        <is>
          <t>RP0006370</t>
        </is>
      </c>
      <c r="B6371" t="inlineStr">
        <is>
          <t>LN200904</t>
        </is>
      </c>
      <c r="C6371" t="n">
        <v>4</v>
      </c>
      <c r="D6371" s="8" t="n">
        <v>46135</v>
      </c>
      <c r="E6371" s="9" t="n">
        <v>5240.67</v>
      </c>
      <c r="F6371" s="8" t="n">
        <v>46133</v>
      </c>
      <c r="G6371" s="9" t="n">
        <v>5240.67</v>
      </c>
      <c r="H6371" t="inlineStr">
        <is>
          <t>PAID_ON_TIME</t>
        </is>
      </c>
      <c r="I6371">
        <f>IF(H6371="UNPAID", AsOfDate-D6371, 0)</f>
        <v/>
      </c>
      <c r="J6371">
        <f>IF(F6371&lt;&gt;"", TEXT(F6371, "yyyy-mm"), "")</f>
        <v/>
      </c>
    </row>
    <row r="6372">
      <c r="A6372" t="inlineStr">
        <is>
          <t>RP0006371</t>
        </is>
      </c>
      <c r="B6372" t="inlineStr">
        <is>
          <t>LN200904</t>
        </is>
      </c>
      <c r="C6372" t="n">
        <v>5</v>
      </c>
      <c r="D6372" s="8" t="n">
        <v>46165</v>
      </c>
      <c r="E6372" s="9" t="n">
        <v>5240.67</v>
      </c>
      <c r="F6372" s="8" t="n">
        <v>46201</v>
      </c>
      <c r="G6372" s="9" t="n">
        <v>5240.67</v>
      </c>
      <c r="H6372" t="inlineStr">
        <is>
          <t>PAID_LATE</t>
        </is>
      </c>
      <c r="I6372">
        <f>IF(H6372="UNPAID", AsOfDate-D6372, 0)</f>
        <v/>
      </c>
      <c r="J6372">
        <f>IF(F6372&lt;&gt;"", TEXT(F6372, "yyyy-mm"), "")</f>
        <v/>
      </c>
    </row>
    <row r="6373">
      <c r="A6373" t="inlineStr">
        <is>
          <t>RP0006372</t>
        </is>
      </c>
      <c r="B6373" t="inlineStr">
        <is>
          <t>LN200904</t>
        </is>
      </c>
      <c r="C6373" t="n">
        <v>6</v>
      </c>
      <c r="D6373" s="8" t="n">
        <v>46196</v>
      </c>
      <c r="E6373" s="9" t="n">
        <v>5240.67</v>
      </c>
      <c r="F6373" s="8" t="n">
        <v>46200</v>
      </c>
      <c r="G6373" s="9" t="n">
        <v>5240.67</v>
      </c>
      <c r="H6373" t="inlineStr">
        <is>
          <t>PAID_ON_TIME</t>
        </is>
      </c>
      <c r="I6373">
        <f>IF(H6373="UNPAID", AsOfDate-D6373, 0)</f>
        <v/>
      </c>
      <c r="J6373">
        <f>IF(F6373&lt;&gt;"", TEXT(F6373, "yyyy-mm"), "")</f>
        <v/>
      </c>
    </row>
    <row r="6374">
      <c r="A6374" t="inlineStr">
        <is>
          <t>RP0006373</t>
        </is>
      </c>
      <c r="B6374" t="inlineStr">
        <is>
          <t>LN200904</t>
        </is>
      </c>
      <c r="C6374" t="n">
        <v>7</v>
      </c>
      <c r="D6374" s="8" t="n">
        <v>46226</v>
      </c>
      <c r="E6374" s="9" t="n">
        <v>5240.67</v>
      </c>
      <c r="F6374" s="8" t="n">
        <v>46228</v>
      </c>
      <c r="G6374" s="9" t="n">
        <v>5240.67</v>
      </c>
      <c r="H6374" t="inlineStr">
        <is>
          <t>PAID_ON_TIME</t>
        </is>
      </c>
      <c r="I6374">
        <f>IF(H6374="UNPAID", AsOfDate-D6374, 0)</f>
        <v/>
      </c>
      <c r="J6374">
        <f>IF(F6374&lt;&gt;"", TEXT(F6374, "yyyy-mm"), "")</f>
        <v/>
      </c>
    </row>
    <row r="6375">
      <c r="A6375" t="inlineStr">
        <is>
          <t>RP0006374</t>
        </is>
      </c>
      <c r="B6375" t="inlineStr">
        <is>
          <t>LN200904</t>
        </is>
      </c>
      <c r="C6375" t="n">
        <v>8</v>
      </c>
      <c r="D6375" s="8" t="n">
        <v>46257</v>
      </c>
      <c r="E6375" s="9" t="n">
        <v>5240.67</v>
      </c>
      <c r="F6375" s="8" t="n">
        <v>46254</v>
      </c>
      <c r="G6375" s="9" t="n">
        <v>5240.67</v>
      </c>
      <c r="H6375" t="inlineStr">
        <is>
          <t>PAID_ON_TIME</t>
        </is>
      </c>
      <c r="I6375">
        <f>IF(H6375="UNPAID", AsOfDate-D6375, 0)</f>
        <v/>
      </c>
      <c r="J6375">
        <f>IF(F6375&lt;&gt;"", TEXT(F6375, "yyyy-mm"), "")</f>
        <v/>
      </c>
    </row>
    <row r="6376">
      <c r="A6376" t="inlineStr">
        <is>
          <t>RP0006375</t>
        </is>
      </c>
      <c r="B6376" t="inlineStr">
        <is>
          <t>LN200904</t>
        </is>
      </c>
      <c r="C6376" t="n">
        <v>9</v>
      </c>
      <c r="D6376" s="8" t="n">
        <v>46288</v>
      </c>
      <c r="E6376" s="9" t="n">
        <v>5240.67</v>
      </c>
      <c r="F6376" s="8" t="n"/>
      <c r="G6376" s="9" t="n">
        <v>0</v>
      </c>
      <c r="H6376" t="inlineStr">
        <is>
          <t>NOT_DUE</t>
        </is>
      </c>
      <c r="I6376">
        <f>IF(H6376="UNPAID", AsOfDate-D6376, 0)</f>
        <v/>
      </c>
      <c r="J6376">
        <f>IF(F6376&lt;&gt;"", TEXT(F6376, "yyyy-mm"), "")</f>
        <v/>
      </c>
    </row>
    <row r="6377">
      <c r="A6377" t="inlineStr">
        <is>
          <t>RP0006376</t>
        </is>
      </c>
      <c r="B6377" t="inlineStr">
        <is>
          <t>LN200905</t>
        </is>
      </c>
      <c r="C6377" t="n">
        <v>1</v>
      </c>
      <c r="D6377" s="8" t="n">
        <v>45858</v>
      </c>
      <c r="E6377" s="9" t="n">
        <v>9399.83</v>
      </c>
      <c r="F6377" s="8" t="n">
        <v>45856</v>
      </c>
      <c r="G6377" s="9" t="n">
        <v>9399.83</v>
      </c>
      <c r="H6377" t="inlineStr">
        <is>
          <t>PAID_ON_TIME</t>
        </is>
      </c>
      <c r="I6377">
        <f>IF(H6377="UNPAID", AsOfDate-D6377, 0)</f>
        <v/>
      </c>
      <c r="J6377">
        <f>IF(F6377&lt;&gt;"", TEXT(F6377, "yyyy-mm"), "")</f>
        <v/>
      </c>
    </row>
    <row r="6378">
      <c r="A6378" t="inlineStr">
        <is>
          <t>RP0006377</t>
        </is>
      </c>
      <c r="B6378" t="inlineStr">
        <is>
          <t>LN200905</t>
        </is>
      </c>
      <c r="C6378" t="n">
        <v>2</v>
      </c>
      <c r="D6378" s="8" t="n">
        <v>45889</v>
      </c>
      <c r="E6378" s="9" t="n">
        <v>9399.83</v>
      </c>
      <c r="F6378" s="8" t="n">
        <v>45886</v>
      </c>
      <c r="G6378" s="9" t="n">
        <v>9399.83</v>
      </c>
      <c r="H6378" t="inlineStr">
        <is>
          <t>PAID_ON_TIME</t>
        </is>
      </c>
      <c r="I6378">
        <f>IF(H6378="UNPAID", AsOfDate-D6378, 0)</f>
        <v/>
      </c>
      <c r="J6378">
        <f>IF(F6378&lt;&gt;"", TEXT(F6378, "yyyy-mm"), "")</f>
        <v/>
      </c>
    </row>
    <row r="6379">
      <c r="A6379" t="inlineStr">
        <is>
          <t>RP0006378</t>
        </is>
      </c>
      <c r="B6379" t="inlineStr">
        <is>
          <t>LN200905</t>
        </is>
      </c>
      <c r="C6379" t="n">
        <v>3</v>
      </c>
      <c r="D6379" s="8" t="n">
        <v>45920</v>
      </c>
      <c r="E6379" s="9" t="n">
        <v>9399.83</v>
      </c>
      <c r="F6379" s="8" t="n">
        <v>45920</v>
      </c>
      <c r="G6379" s="9" t="n">
        <v>9399.83</v>
      </c>
      <c r="H6379" t="inlineStr">
        <is>
          <t>PAID_ON_TIME</t>
        </is>
      </c>
      <c r="I6379">
        <f>IF(H6379="UNPAID", AsOfDate-D6379, 0)</f>
        <v/>
      </c>
      <c r="J6379">
        <f>IF(F6379&lt;&gt;"", TEXT(F6379, "yyyy-mm"), "")</f>
        <v/>
      </c>
    </row>
    <row r="6380">
      <c r="A6380" t="inlineStr">
        <is>
          <t>RP0006379</t>
        </is>
      </c>
      <c r="B6380" t="inlineStr">
        <is>
          <t>LN200905</t>
        </is>
      </c>
      <c r="C6380" t="n">
        <v>4</v>
      </c>
      <c r="D6380" s="8" t="n">
        <v>45950</v>
      </c>
      <c r="E6380" s="9" t="n">
        <v>9399.83</v>
      </c>
      <c r="F6380" s="8" t="n">
        <v>45951</v>
      </c>
      <c r="G6380" s="9" t="n">
        <v>9399.83</v>
      </c>
      <c r="H6380" t="inlineStr">
        <is>
          <t>PAID_ON_TIME</t>
        </is>
      </c>
      <c r="I6380">
        <f>IF(H6380="UNPAID", AsOfDate-D6380, 0)</f>
        <v/>
      </c>
      <c r="J6380">
        <f>IF(F6380&lt;&gt;"", TEXT(F6380, "yyyy-mm"), "")</f>
        <v/>
      </c>
    </row>
    <row r="6381">
      <c r="A6381" t="inlineStr">
        <is>
          <t>RP0006380</t>
        </is>
      </c>
      <c r="B6381" t="inlineStr">
        <is>
          <t>LN200905</t>
        </is>
      </c>
      <c r="C6381" t="n">
        <v>5</v>
      </c>
      <c r="D6381" s="8" t="n">
        <v>45981</v>
      </c>
      <c r="E6381" s="9" t="n">
        <v>9399.83</v>
      </c>
      <c r="F6381" s="8" t="n">
        <v>45982</v>
      </c>
      <c r="G6381" s="9" t="n">
        <v>9399.83</v>
      </c>
      <c r="H6381" t="inlineStr">
        <is>
          <t>PAID_ON_TIME</t>
        </is>
      </c>
      <c r="I6381">
        <f>IF(H6381="UNPAID", AsOfDate-D6381, 0)</f>
        <v/>
      </c>
      <c r="J6381">
        <f>IF(F6381&lt;&gt;"", TEXT(F6381, "yyyy-mm"), "")</f>
        <v/>
      </c>
    </row>
    <row r="6382">
      <c r="A6382" t="inlineStr">
        <is>
          <t>RP0006381</t>
        </is>
      </c>
      <c r="B6382" t="inlineStr">
        <is>
          <t>LN200905</t>
        </is>
      </c>
      <c r="C6382" t="n">
        <v>6</v>
      </c>
      <c r="D6382" s="8" t="n">
        <v>46011</v>
      </c>
      <c r="E6382" s="9" t="n">
        <v>9399.83</v>
      </c>
      <c r="F6382" s="8" t="n">
        <v>46015</v>
      </c>
      <c r="G6382" s="9" t="n">
        <v>9399.83</v>
      </c>
      <c r="H6382" t="inlineStr">
        <is>
          <t>PAID_ON_TIME</t>
        </is>
      </c>
      <c r="I6382">
        <f>IF(H6382="UNPAID", AsOfDate-D6382, 0)</f>
        <v/>
      </c>
      <c r="J6382">
        <f>IF(F6382&lt;&gt;"", TEXT(F6382, "yyyy-mm"), "")</f>
        <v/>
      </c>
    </row>
    <row r="6383">
      <c r="A6383" t="inlineStr">
        <is>
          <t>RP0006382</t>
        </is>
      </c>
      <c r="B6383" t="inlineStr">
        <is>
          <t>LN200905</t>
        </is>
      </c>
      <c r="C6383" t="n">
        <v>7</v>
      </c>
      <c r="D6383" s="8" t="n">
        <v>46042</v>
      </c>
      <c r="E6383" s="9" t="n">
        <v>9399.83</v>
      </c>
      <c r="F6383" s="8" t="n">
        <v>46040</v>
      </c>
      <c r="G6383" s="9" t="n">
        <v>9399.83</v>
      </c>
      <c r="H6383" t="inlineStr">
        <is>
          <t>PAID_ON_TIME</t>
        </is>
      </c>
      <c r="I6383">
        <f>IF(H6383="UNPAID", AsOfDate-D6383, 0)</f>
        <v/>
      </c>
      <c r="J6383">
        <f>IF(F6383&lt;&gt;"", TEXT(F6383, "yyyy-mm"), "")</f>
        <v/>
      </c>
    </row>
    <row r="6384">
      <c r="A6384" t="inlineStr">
        <is>
          <t>RP0006383</t>
        </is>
      </c>
      <c r="B6384" t="inlineStr">
        <is>
          <t>LN200905</t>
        </is>
      </c>
      <c r="C6384" t="n">
        <v>8</v>
      </c>
      <c r="D6384" s="8" t="n">
        <v>46073</v>
      </c>
      <c r="E6384" s="9" t="n">
        <v>9399.83</v>
      </c>
      <c r="F6384" s="8" t="n">
        <v>46071</v>
      </c>
      <c r="G6384" s="9" t="n">
        <v>9399.83</v>
      </c>
      <c r="H6384" t="inlineStr">
        <is>
          <t>PAID_ON_TIME</t>
        </is>
      </c>
      <c r="I6384">
        <f>IF(H6384="UNPAID", AsOfDate-D6384, 0)</f>
        <v/>
      </c>
      <c r="J6384">
        <f>IF(F6384&lt;&gt;"", TEXT(F6384, "yyyy-mm"), "")</f>
        <v/>
      </c>
    </row>
    <row r="6385">
      <c r="A6385" t="inlineStr">
        <is>
          <t>RP0006384</t>
        </is>
      </c>
      <c r="B6385" t="inlineStr">
        <is>
          <t>LN200905</t>
        </is>
      </c>
      <c r="C6385" t="n">
        <v>9</v>
      </c>
      <c r="D6385" s="8" t="n">
        <v>46101</v>
      </c>
      <c r="E6385" s="9" t="n">
        <v>9399.83</v>
      </c>
      <c r="F6385" s="8" t="n">
        <v>46099</v>
      </c>
      <c r="G6385" s="9" t="n">
        <v>9399.83</v>
      </c>
      <c r="H6385" t="inlineStr">
        <is>
          <t>PAID_ON_TIME</t>
        </is>
      </c>
      <c r="I6385">
        <f>IF(H6385="UNPAID", AsOfDate-D6385, 0)</f>
        <v/>
      </c>
      <c r="J6385">
        <f>IF(F6385&lt;&gt;"", TEXT(F6385, "yyyy-mm"), "")</f>
        <v/>
      </c>
    </row>
    <row r="6386">
      <c r="A6386" t="inlineStr">
        <is>
          <t>RP0006385</t>
        </is>
      </c>
      <c r="B6386" t="inlineStr">
        <is>
          <t>LN200905</t>
        </is>
      </c>
      <c r="C6386" t="n">
        <v>10</v>
      </c>
      <c r="D6386" s="8" t="n">
        <v>46132</v>
      </c>
      <c r="E6386" s="9" t="n">
        <v>9399.83</v>
      </c>
      <c r="F6386" s="8" t="n">
        <v>46132</v>
      </c>
      <c r="G6386" s="9" t="n">
        <v>9399.83</v>
      </c>
      <c r="H6386" t="inlineStr">
        <is>
          <t>PAID_ON_TIME</t>
        </is>
      </c>
      <c r="I6386">
        <f>IF(H6386="UNPAID", AsOfDate-D6386, 0)</f>
        <v/>
      </c>
      <c r="J6386">
        <f>IF(F6386&lt;&gt;"", TEXT(F6386, "yyyy-mm"), "")</f>
        <v/>
      </c>
    </row>
    <row r="6387">
      <c r="A6387" t="inlineStr">
        <is>
          <t>RP0006386</t>
        </is>
      </c>
      <c r="B6387" t="inlineStr">
        <is>
          <t>LN200905</t>
        </is>
      </c>
      <c r="C6387" t="n">
        <v>11</v>
      </c>
      <c r="D6387" s="8" t="n">
        <v>46162</v>
      </c>
      <c r="E6387" s="9" t="n">
        <v>9399.83</v>
      </c>
      <c r="F6387" s="8" t="n">
        <v>46165</v>
      </c>
      <c r="G6387" s="9" t="n">
        <v>9399.83</v>
      </c>
      <c r="H6387" t="inlineStr">
        <is>
          <t>PAID_ON_TIME</t>
        </is>
      </c>
      <c r="I6387">
        <f>IF(H6387="UNPAID", AsOfDate-D6387, 0)</f>
        <v/>
      </c>
      <c r="J6387">
        <f>IF(F6387&lt;&gt;"", TEXT(F6387, "yyyy-mm"), "")</f>
        <v/>
      </c>
    </row>
    <row r="6388">
      <c r="A6388" t="inlineStr">
        <is>
          <t>RP0006387</t>
        </is>
      </c>
      <c r="B6388" t="inlineStr">
        <is>
          <t>LN200905</t>
        </is>
      </c>
      <c r="C6388" t="n">
        <v>12</v>
      </c>
      <c r="D6388" s="8" t="n">
        <v>46193</v>
      </c>
      <c r="E6388" s="9" t="n">
        <v>9399.83</v>
      </c>
      <c r="F6388" s="8" t="n">
        <v>46193</v>
      </c>
      <c r="G6388" s="9" t="n">
        <v>9399.83</v>
      </c>
      <c r="H6388" t="inlineStr">
        <is>
          <t>PAID_ON_TIME</t>
        </is>
      </c>
      <c r="I6388">
        <f>IF(H6388="UNPAID", AsOfDate-D6388, 0)</f>
        <v/>
      </c>
      <c r="J6388">
        <f>IF(F6388&lt;&gt;"", TEXT(F6388, "yyyy-mm"), "")</f>
        <v/>
      </c>
    </row>
    <row r="6389">
      <c r="A6389" t="inlineStr">
        <is>
          <t>RP0006388</t>
        </is>
      </c>
      <c r="B6389" t="inlineStr">
        <is>
          <t>LN200906</t>
        </is>
      </c>
      <c r="C6389" t="n">
        <v>1</v>
      </c>
      <c r="D6389" s="8" t="n">
        <v>46143</v>
      </c>
      <c r="E6389" s="9" t="n">
        <v>45784.5</v>
      </c>
      <c r="F6389" s="8" t="n">
        <v>46204</v>
      </c>
      <c r="G6389" s="9" t="n">
        <v>45784.5</v>
      </c>
      <c r="H6389" t="inlineStr">
        <is>
          <t>PAID_LATE</t>
        </is>
      </c>
      <c r="I6389">
        <f>IF(H6389="UNPAID", AsOfDate-D6389, 0)</f>
        <v/>
      </c>
      <c r="J6389">
        <f>IF(F6389&lt;&gt;"", TEXT(F6389, "yyyy-mm"), "")</f>
        <v/>
      </c>
    </row>
    <row r="6390">
      <c r="A6390" t="inlineStr">
        <is>
          <t>RP0006389</t>
        </is>
      </c>
      <c r="B6390" t="inlineStr">
        <is>
          <t>LN200906</t>
        </is>
      </c>
      <c r="C6390" t="n">
        <v>2</v>
      </c>
      <c r="D6390" s="8" t="n">
        <v>46174</v>
      </c>
      <c r="E6390" s="9" t="n">
        <v>45784.5</v>
      </c>
      <c r="F6390" s="8" t="n"/>
      <c r="G6390" s="9" t="n">
        <v>0</v>
      </c>
      <c r="H6390" t="inlineStr">
        <is>
          <t>UNPAID</t>
        </is>
      </c>
      <c r="I6390">
        <f>IF(H6390="UNPAID", AsOfDate-D6390, 0)</f>
        <v/>
      </c>
      <c r="J6390">
        <f>IF(F6390&lt;&gt;"", TEXT(F6390, "yyyy-mm"), "")</f>
        <v/>
      </c>
    </row>
    <row r="6391">
      <c r="A6391" t="inlineStr">
        <is>
          <t>RP0006390</t>
        </is>
      </c>
      <c r="B6391" t="inlineStr">
        <is>
          <t>LN200906</t>
        </is>
      </c>
      <c r="C6391" t="n">
        <v>3</v>
      </c>
      <c r="D6391" s="8" t="n">
        <v>46204</v>
      </c>
      <c r="E6391" s="9" t="n">
        <v>45784.5</v>
      </c>
      <c r="F6391" s="8" t="n">
        <v>46203</v>
      </c>
      <c r="G6391" s="9" t="n">
        <v>45784.5</v>
      </c>
      <c r="H6391" t="inlineStr">
        <is>
          <t>PAID_ON_TIME</t>
        </is>
      </c>
      <c r="I6391">
        <f>IF(H6391="UNPAID", AsOfDate-D6391, 0)</f>
        <v/>
      </c>
      <c r="J6391">
        <f>IF(F6391&lt;&gt;"", TEXT(F6391, "yyyy-mm"), "")</f>
        <v/>
      </c>
    </row>
    <row r="6392">
      <c r="A6392" t="inlineStr">
        <is>
          <t>RP0006391</t>
        </is>
      </c>
      <c r="B6392" t="inlineStr">
        <is>
          <t>LN200907</t>
        </is>
      </c>
      <c r="C6392" t="n">
        <v>1</v>
      </c>
      <c r="D6392" s="8" t="n">
        <v>45906</v>
      </c>
      <c r="E6392" s="9" t="n">
        <v>12276</v>
      </c>
      <c r="F6392" s="8" t="n">
        <v>45911</v>
      </c>
      <c r="G6392" s="9" t="n">
        <v>12276</v>
      </c>
      <c r="H6392" t="inlineStr">
        <is>
          <t>PAID_LATE</t>
        </is>
      </c>
      <c r="I6392">
        <f>IF(H6392="UNPAID", AsOfDate-D6392, 0)</f>
        <v/>
      </c>
      <c r="J6392">
        <f>IF(F6392&lt;&gt;"", TEXT(F6392, "yyyy-mm"), "")</f>
        <v/>
      </c>
    </row>
    <row r="6393">
      <c r="A6393" t="inlineStr">
        <is>
          <t>RP0006392</t>
        </is>
      </c>
      <c r="B6393" t="inlineStr">
        <is>
          <t>LN200907</t>
        </is>
      </c>
      <c r="C6393" t="n">
        <v>2</v>
      </c>
      <c r="D6393" s="8" t="n">
        <v>45936</v>
      </c>
      <c r="E6393" s="9" t="n">
        <v>12276</v>
      </c>
      <c r="F6393" s="8" t="n">
        <v>45935</v>
      </c>
      <c r="G6393" s="9" t="n">
        <v>12276</v>
      </c>
      <c r="H6393" t="inlineStr">
        <is>
          <t>PAID_ON_TIME</t>
        </is>
      </c>
      <c r="I6393">
        <f>IF(H6393="UNPAID", AsOfDate-D6393, 0)</f>
        <v/>
      </c>
      <c r="J6393">
        <f>IF(F6393&lt;&gt;"", TEXT(F6393, "yyyy-mm"), "")</f>
        <v/>
      </c>
    </row>
    <row r="6394">
      <c r="A6394" t="inlineStr">
        <is>
          <t>RP0006393</t>
        </is>
      </c>
      <c r="B6394" t="inlineStr">
        <is>
          <t>LN200907</t>
        </is>
      </c>
      <c r="C6394" t="n">
        <v>3</v>
      </c>
      <c r="D6394" s="8" t="n">
        <v>45967</v>
      </c>
      <c r="E6394" s="9" t="n">
        <v>12276</v>
      </c>
      <c r="F6394" s="8" t="n">
        <v>45966</v>
      </c>
      <c r="G6394" s="9" t="n">
        <v>12276</v>
      </c>
      <c r="H6394" t="inlineStr">
        <is>
          <t>PAID_ON_TIME</t>
        </is>
      </c>
      <c r="I6394">
        <f>IF(H6394="UNPAID", AsOfDate-D6394, 0)</f>
        <v/>
      </c>
      <c r="J6394">
        <f>IF(F6394&lt;&gt;"", TEXT(F6394, "yyyy-mm"), "")</f>
        <v/>
      </c>
    </row>
    <row r="6395">
      <c r="A6395" t="inlineStr">
        <is>
          <t>RP0006394</t>
        </is>
      </c>
      <c r="B6395" t="inlineStr">
        <is>
          <t>LN200907</t>
        </is>
      </c>
      <c r="C6395" t="n">
        <v>4</v>
      </c>
      <c r="D6395" s="8" t="n">
        <v>45997</v>
      </c>
      <c r="E6395" s="9" t="n">
        <v>12276</v>
      </c>
      <c r="F6395" s="8" t="n">
        <v>45998</v>
      </c>
      <c r="G6395" s="9" t="n">
        <v>12276</v>
      </c>
      <c r="H6395" t="inlineStr">
        <is>
          <t>PAID_ON_TIME</t>
        </is>
      </c>
      <c r="I6395">
        <f>IF(H6395="UNPAID", AsOfDate-D6395, 0)</f>
        <v/>
      </c>
      <c r="J6395">
        <f>IF(F6395&lt;&gt;"", TEXT(F6395, "yyyy-mm"), "")</f>
        <v/>
      </c>
    </row>
    <row r="6396">
      <c r="A6396" t="inlineStr">
        <is>
          <t>RP0006395</t>
        </is>
      </c>
      <c r="B6396" t="inlineStr">
        <is>
          <t>LN200907</t>
        </is>
      </c>
      <c r="C6396" t="n">
        <v>5</v>
      </c>
      <c r="D6396" s="8" t="n">
        <v>46028</v>
      </c>
      <c r="E6396" s="9" t="n">
        <v>12276</v>
      </c>
      <c r="F6396" s="8" t="n">
        <v>46028</v>
      </c>
      <c r="G6396" s="9" t="n">
        <v>12276</v>
      </c>
      <c r="H6396" t="inlineStr">
        <is>
          <t>PAID_ON_TIME</t>
        </is>
      </c>
      <c r="I6396">
        <f>IF(H6396="UNPAID", AsOfDate-D6396, 0)</f>
        <v/>
      </c>
      <c r="J6396">
        <f>IF(F6396&lt;&gt;"", TEXT(F6396, "yyyy-mm"), "")</f>
        <v/>
      </c>
    </row>
    <row r="6397">
      <c r="A6397" t="inlineStr">
        <is>
          <t>RP0006396</t>
        </is>
      </c>
      <c r="B6397" t="inlineStr">
        <is>
          <t>LN200907</t>
        </is>
      </c>
      <c r="C6397" t="n">
        <v>6</v>
      </c>
      <c r="D6397" s="8" t="n">
        <v>46059</v>
      </c>
      <c r="E6397" s="9" t="n">
        <v>12276</v>
      </c>
      <c r="F6397" s="8" t="n">
        <v>46061</v>
      </c>
      <c r="G6397" s="9" t="n">
        <v>12276</v>
      </c>
      <c r="H6397" t="inlineStr">
        <is>
          <t>PAID_ON_TIME</t>
        </is>
      </c>
      <c r="I6397">
        <f>IF(H6397="UNPAID", AsOfDate-D6397, 0)</f>
        <v/>
      </c>
      <c r="J6397">
        <f>IF(F6397&lt;&gt;"", TEXT(F6397, "yyyy-mm"), "")</f>
        <v/>
      </c>
    </row>
    <row r="6398">
      <c r="A6398" t="inlineStr">
        <is>
          <t>RP0006397</t>
        </is>
      </c>
      <c r="B6398" t="inlineStr">
        <is>
          <t>LN200908</t>
        </is>
      </c>
      <c r="C6398" t="n">
        <v>1</v>
      </c>
      <c r="D6398" s="8" t="n">
        <v>46243</v>
      </c>
      <c r="E6398" s="9" t="n">
        <v>31394.75</v>
      </c>
      <c r="F6398" s="8" t="n">
        <v>46252</v>
      </c>
      <c r="G6398" s="9" t="n">
        <v>31394.75</v>
      </c>
      <c r="H6398" t="inlineStr">
        <is>
          <t>PAID_LATE</t>
        </is>
      </c>
      <c r="I6398">
        <f>IF(H6398="UNPAID", AsOfDate-D6398, 0)</f>
        <v/>
      </c>
      <c r="J6398">
        <f>IF(F6398&lt;&gt;"", TEXT(F6398, "yyyy-mm"), "")</f>
        <v/>
      </c>
    </row>
    <row r="6399">
      <c r="A6399" t="inlineStr">
        <is>
          <t>RP0006398</t>
        </is>
      </c>
      <c r="B6399" t="inlineStr">
        <is>
          <t>LN200908</t>
        </is>
      </c>
      <c r="C6399" t="n">
        <v>2</v>
      </c>
      <c r="D6399" s="8" t="n">
        <v>46274</v>
      </c>
      <c r="E6399" s="9" t="n">
        <v>31394.75</v>
      </c>
      <c r="F6399" s="8" t="n"/>
      <c r="G6399" s="9" t="n">
        <v>0</v>
      </c>
      <c r="H6399" t="inlineStr">
        <is>
          <t>NOT_DUE</t>
        </is>
      </c>
      <c r="I6399">
        <f>IF(H6399="UNPAID", AsOfDate-D6399, 0)</f>
        <v/>
      </c>
      <c r="J6399">
        <f>IF(F6399&lt;&gt;"", TEXT(F6399, "yyyy-mm"), "")</f>
        <v/>
      </c>
    </row>
    <row r="6400">
      <c r="A6400" t="inlineStr">
        <is>
          <t>RP0006399</t>
        </is>
      </c>
      <c r="B6400" t="inlineStr">
        <is>
          <t>LN200908</t>
        </is>
      </c>
      <c r="C6400" t="n">
        <v>3</v>
      </c>
      <c r="D6400" s="8" t="n">
        <v>46304</v>
      </c>
      <c r="E6400" s="9" t="n">
        <v>31394.75</v>
      </c>
      <c r="F6400" s="8" t="n"/>
      <c r="G6400" s="9" t="n">
        <v>0</v>
      </c>
      <c r="H6400" t="inlineStr">
        <is>
          <t>NOT_DUE</t>
        </is>
      </c>
      <c r="I6400">
        <f>IF(H6400="UNPAID", AsOfDate-D6400, 0)</f>
        <v/>
      </c>
      <c r="J6400">
        <f>IF(F6400&lt;&gt;"", TEXT(F6400, "yyyy-mm"), "")</f>
        <v/>
      </c>
    </row>
    <row r="6401">
      <c r="A6401" t="inlineStr">
        <is>
          <t>RP0006400</t>
        </is>
      </c>
      <c r="B6401" t="inlineStr">
        <is>
          <t>LN200910</t>
        </is>
      </c>
      <c r="C6401" t="n">
        <v>1</v>
      </c>
      <c r="D6401" s="8" t="n">
        <v>46192</v>
      </c>
      <c r="E6401" s="9" t="n">
        <v>88836.83</v>
      </c>
      <c r="F6401" s="8" t="n">
        <v>46189</v>
      </c>
      <c r="G6401" s="9" t="n">
        <v>88836.83</v>
      </c>
      <c r="H6401" t="inlineStr">
        <is>
          <t>PAID_ON_TIME</t>
        </is>
      </c>
      <c r="I6401">
        <f>IF(H6401="UNPAID", AsOfDate-D6401, 0)</f>
        <v/>
      </c>
      <c r="J6401">
        <f>IF(F6401&lt;&gt;"", TEXT(F6401, "yyyy-mm"), "")</f>
        <v/>
      </c>
    </row>
    <row r="6402">
      <c r="A6402" t="inlineStr">
        <is>
          <t>RP0006401</t>
        </is>
      </c>
      <c r="B6402" t="inlineStr">
        <is>
          <t>LN200910</t>
        </is>
      </c>
      <c r="C6402" t="n">
        <v>2</v>
      </c>
      <c r="D6402" s="8" t="n">
        <v>46222</v>
      </c>
      <c r="E6402" s="9" t="n">
        <v>88836.83</v>
      </c>
      <c r="F6402" s="8" t="n">
        <v>46219</v>
      </c>
      <c r="G6402" s="9" t="n">
        <v>88836.83</v>
      </c>
      <c r="H6402" t="inlineStr">
        <is>
          <t>PAID_ON_TIME</t>
        </is>
      </c>
      <c r="I6402">
        <f>IF(H6402="UNPAID", AsOfDate-D6402, 0)</f>
        <v/>
      </c>
      <c r="J6402">
        <f>IF(F6402&lt;&gt;"", TEXT(F6402, "yyyy-mm"), "")</f>
        <v/>
      </c>
    </row>
    <row r="6403">
      <c r="A6403" t="inlineStr">
        <is>
          <t>RP0006402</t>
        </is>
      </c>
      <c r="B6403" t="inlineStr">
        <is>
          <t>LN200910</t>
        </is>
      </c>
      <c r="C6403" t="n">
        <v>3</v>
      </c>
      <c r="D6403" s="8" t="n">
        <v>46253</v>
      </c>
      <c r="E6403" s="9" t="n">
        <v>88836.83</v>
      </c>
      <c r="F6403" s="8" t="n">
        <v>46257</v>
      </c>
      <c r="G6403" s="9" t="n">
        <v>88836.83</v>
      </c>
      <c r="H6403" t="inlineStr">
        <is>
          <t>PAID_ON_TIME</t>
        </is>
      </c>
      <c r="I6403">
        <f>IF(H6403="UNPAID", AsOfDate-D6403, 0)</f>
        <v/>
      </c>
      <c r="J6403">
        <f>IF(F6403&lt;&gt;"", TEXT(F6403, "yyyy-mm"), "")</f>
        <v/>
      </c>
    </row>
    <row r="6404">
      <c r="A6404" t="inlineStr">
        <is>
          <t>RP0006403</t>
        </is>
      </c>
      <c r="B6404" t="inlineStr">
        <is>
          <t>LN200910</t>
        </is>
      </c>
      <c r="C6404" t="n">
        <v>4</v>
      </c>
      <c r="D6404" s="8" t="n">
        <v>46284</v>
      </c>
      <c r="E6404" s="9" t="n">
        <v>88836.83</v>
      </c>
      <c r="F6404" s="8" t="n"/>
      <c r="G6404" s="9" t="n">
        <v>0</v>
      </c>
      <c r="H6404" t="inlineStr">
        <is>
          <t>NOT_DUE</t>
        </is>
      </c>
      <c r="I6404">
        <f>IF(H6404="UNPAID", AsOfDate-D6404, 0)</f>
        <v/>
      </c>
      <c r="J6404">
        <f>IF(F6404&lt;&gt;"", TEXT(F6404, "yyyy-mm"), "")</f>
        <v/>
      </c>
    </row>
    <row r="6405">
      <c r="A6405" t="inlineStr">
        <is>
          <t>RP0006404</t>
        </is>
      </c>
      <c r="B6405" t="inlineStr">
        <is>
          <t>LN200910</t>
        </is>
      </c>
      <c r="C6405" t="n">
        <v>5</v>
      </c>
      <c r="D6405" s="8" t="n">
        <v>46314</v>
      </c>
      <c r="E6405" s="9" t="n">
        <v>88836.83</v>
      </c>
      <c r="F6405" s="8" t="n"/>
      <c r="G6405" s="9" t="n">
        <v>0</v>
      </c>
      <c r="H6405" t="inlineStr">
        <is>
          <t>NOT_DUE</t>
        </is>
      </c>
      <c r="I6405">
        <f>IF(H6405="UNPAID", AsOfDate-D6405, 0)</f>
        <v/>
      </c>
      <c r="J6405">
        <f>IF(F6405&lt;&gt;"", TEXT(F6405, "yyyy-mm"), "")</f>
        <v/>
      </c>
    </row>
    <row r="6406">
      <c r="A6406" t="inlineStr">
        <is>
          <t>RP0006405</t>
        </is>
      </c>
      <c r="B6406" t="inlineStr">
        <is>
          <t>LN200910</t>
        </is>
      </c>
      <c r="C6406" t="n">
        <v>6</v>
      </c>
      <c r="D6406" s="8" t="n">
        <v>46345</v>
      </c>
      <c r="E6406" s="9" t="n">
        <v>88836.83</v>
      </c>
      <c r="F6406" s="8" t="n"/>
      <c r="G6406" s="9" t="n">
        <v>0</v>
      </c>
      <c r="H6406" t="inlineStr">
        <is>
          <t>NOT_DUE</t>
        </is>
      </c>
      <c r="I6406">
        <f>IF(H6406="UNPAID", AsOfDate-D6406, 0)</f>
        <v/>
      </c>
      <c r="J6406">
        <f>IF(F6406&lt;&gt;"", TEXT(F6406, "yyyy-mm"), "")</f>
        <v/>
      </c>
    </row>
    <row r="6407">
      <c r="A6407" t="inlineStr">
        <is>
          <t>RP0006406</t>
        </is>
      </c>
      <c r="B6407" t="inlineStr">
        <is>
          <t>LN200910</t>
        </is>
      </c>
      <c r="C6407" t="n">
        <v>7</v>
      </c>
      <c r="D6407" s="8" t="n">
        <v>46375</v>
      </c>
      <c r="E6407" s="9" t="n">
        <v>88836.83</v>
      </c>
      <c r="F6407" s="8" t="n"/>
      <c r="G6407" s="9" t="n">
        <v>0</v>
      </c>
      <c r="H6407" t="inlineStr">
        <is>
          <t>NOT_DUE</t>
        </is>
      </c>
      <c r="I6407">
        <f>IF(H6407="UNPAID", AsOfDate-D6407, 0)</f>
        <v/>
      </c>
      <c r="J6407">
        <f>IF(F6407&lt;&gt;"", TEXT(F6407, "yyyy-mm"), "")</f>
        <v/>
      </c>
    </row>
    <row r="6408">
      <c r="A6408" t="inlineStr">
        <is>
          <t>RP0006407</t>
        </is>
      </c>
      <c r="B6408" t="inlineStr">
        <is>
          <t>LN200910</t>
        </is>
      </c>
      <c r="C6408" t="n">
        <v>8</v>
      </c>
      <c r="D6408" s="8" t="n">
        <v>46406</v>
      </c>
      <c r="E6408" s="9" t="n">
        <v>88836.83</v>
      </c>
      <c r="F6408" s="8" t="n"/>
      <c r="G6408" s="9" t="n">
        <v>0</v>
      </c>
      <c r="H6408" t="inlineStr">
        <is>
          <t>NOT_DUE</t>
        </is>
      </c>
      <c r="I6408">
        <f>IF(H6408="UNPAID", AsOfDate-D6408, 0)</f>
        <v/>
      </c>
      <c r="J6408">
        <f>IF(F6408&lt;&gt;"", TEXT(F6408, "yyyy-mm"), "")</f>
        <v/>
      </c>
    </row>
    <row r="6409">
      <c r="A6409" t="inlineStr">
        <is>
          <t>RP0006408</t>
        </is>
      </c>
      <c r="B6409" t="inlineStr">
        <is>
          <t>LN200910</t>
        </is>
      </c>
      <c r="C6409" t="n">
        <v>9</v>
      </c>
      <c r="D6409" s="8" t="n">
        <v>46437</v>
      </c>
      <c r="E6409" s="9" t="n">
        <v>88836.83</v>
      </c>
      <c r="F6409" s="8" t="n"/>
      <c r="G6409" s="9" t="n">
        <v>0</v>
      </c>
      <c r="H6409" t="inlineStr">
        <is>
          <t>NOT_DUE</t>
        </is>
      </c>
      <c r="I6409">
        <f>IF(H6409="UNPAID", AsOfDate-D6409, 0)</f>
        <v/>
      </c>
      <c r="J6409">
        <f>IF(F6409&lt;&gt;"", TEXT(F6409, "yyyy-mm"), "")</f>
        <v/>
      </c>
    </row>
    <row r="6410">
      <c r="A6410" t="inlineStr">
        <is>
          <t>RP0006409</t>
        </is>
      </c>
      <c r="B6410" t="inlineStr">
        <is>
          <t>LN200912</t>
        </is>
      </c>
      <c r="C6410" t="n">
        <v>1</v>
      </c>
      <c r="D6410" s="8" t="n">
        <v>45796</v>
      </c>
      <c r="E6410" s="9" t="n">
        <v>17274.17</v>
      </c>
      <c r="F6410" s="8" t="n">
        <v>45798</v>
      </c>
      <c r="G6410" s="9" t="n">
        <v>17274.17</v>
      </c>
      <c r="H6410" t="inlineStr">
        <is>
          <t>PAID_ON_TIME</t>
        </is>
      </c>
      <c r="I6410">
        <f>IF(H6410="UNPAID", AsOfDate-D6410, 0)</f>
        <v/>
      </c>
      <c r="J6410">
        <f>IF(F6410&lt;&gt;"", TEXT(F6410, "yyyy-mm"), "")</f>
        <v/>
      </c>
    </row>
    <row r="6411">
      <c r="A6411" t="inlineStr">
        <is>
          <t>RP0006410</t>
        </is>
      </c>
      <c r="B6411" t="inlineStr">
        <is>
          <t>LN200912</t>
        </is>
      </c>
      <c r="C6411" t="n">
        <v>2</v>
      </c>
      <c r="D6411" s="8" t="n">
        <v>45827</v>
      </c>
      <c r="E6411" s="9" t="n">
        <v>17274.17</v>
      </c>
      <c r="F6411" s="8" t="n"/>
      <c r="G6411" s="9" t="n">
        <v>0</v>
      </c>
      <c r="H6411" t="inlineStr">
        <is>
          <t>UNPAID</t>
        </is>
      </c>
      <c r="I6411">
        <f>IF(H6411="UNPAID", AsOfDate-D6411, 0)</f>
        <v/>
      </c>
      <c r="J6411">
        <f>IF(F6411&lt;&gt;"", TEXT(F6411, "yyyy-mm"), "")</f>
        <v/>
      </c>
    </row>
    <row r="6412">
      <c r="A6412" t="inlineStr">
        <is>
          <t>RP0006411</t>
        </is>
      </c>
      <c r="B6412" t="inlineStr">
        <is>
          <t>LN200912</t>
        </is>
      </c>
      <c r="C6412" t="n">
        <v>3</v>
      </c>
      <c r="D6412" s="8" t="n">
        <v>45857</v>
      </c>
      <c r="E6412" s="9" t="n">
        <v>17274.17</v>
      </c>
      <c r="F6412" s="8" t="n">
        <v>45859</v>
      </c>
      <c r="G6412" s="9" t="n">
        <v>17274.17</v>
      </c>
      <c r="H6412" t="inlineStr">
        <is>
          <t>PAID_ON_TIME</t>
        </is>
      </c>
      <c r="I6412">
        <f>IF(H6412="UNPAID", AsOfDate-D6412, 0)</f>
        <v/>
      </c>
      <c r="J6412">
        <f>IF(F6412&lt;&gt;"", TEXT(F6412, "yyyy-mm"), "")</f>
        <v/>
      </c>
    </row>
    <row r="6413">
      <c r="A6413" t="inlineStr">
        <is>
          <t>RP0006412</t>
        </is>
      </c>
      <c r="B6413" t="inlineStr">
        <is>
          <t>LN200912</t>
        </is>
      </c>
      <c r="C6413" t="n">
        <v>4</v>
      </c>
      <c r="D6413" s="8" t="n">
        <v>45888</v>
      </c>
      <c r="E6413" s="9" t="n">
        <v>17274.17</v>
      </c>
      <c r="F6413" s="8" t="n">
        <v>45885</v>
      </c>
      <c r="G6413" s="9" t="n">
        <v>17274.17</v>
      </c>
      <c r="H6413" t="inlineStr">
        <is>
          <t>PAID_ON_TIME</t>
        </is>
      </c>
      <c r="I6413">
        <f>IF(H6413="UNPAID", AsOfDate-D6413, 0)</f>
        <v/>
      </c>
      <c r="J6413">
        <f>IF(F6413&lt;&gt;"", TEXT(F6413, "yyyy-mm"), "")</f>
        <v/>
      </c>
    </row>
    <row r="6414">
      <c r="A6414" t="inlineStr">
        <is>
          <t>RP0006413</t>
        </is>
      </c>
      <c r="B6414" t="inlineStr">
        <is>
          <t>LN200912</t>
        </is>
      </c>
      <c r="C6414" t="n">
        <v>5</v>
      </c>
      <c r="D6414" s="8" t="n">
        <v>45919</v>
      </c>
      <c r="E6414" s="9" t="n">
        <v>17274.17</v>
      </c>
      <c r="F6414" s="8" t="n">
        <v>45923</v>
      </c>
      <c r="G6414" s="9" t="n">
        <v>17274.17</v>
      </c>
      <c r="H6414" t="inlineStr">
        <is>
          <t>PAID_ON_TIME</t>
        </is>
      </c>
      <c r="I6414">
        <f>IF(H6414="UNPAID", AsOfDate-D6414, 0)</f>
        <v/>
      </c>
      <c r="J6414">
        <f>IF(F6414&lt;&gt;"", TEXT(F6414, "yyyy-mm"), "")</f>
        <v/>
      </c>
    </row>
    <row r="6415">
      <c r="A6415" t="inlineStr">
        <is>
          <t>RP0006414</t>
        </is>
      </c>
      <c r="B6415" t="inlineStr">
        <is>
          <t>LN200912</t>
        </is>
      </c>
      <c r="C6415" t="n">
        <v>6</v>
      </c>
      <c r="D6415" s="8" t="n">
        <v>45949</v>
      </c>
      <c r="E6415" s="9" t="n">
        <v>17274.17</v>
      </c>
      <c r="F6415" s="8" t="n">
        <v>45947</v>
      </c>
      <c r="G6415" s="9" t="n">
        <v>17274.17</v>
      </c>
      <c r="H6415" t="inlineStr">
        <is>
          <t>PAID_ON_TIME</t>
        </is>
      </c>
      <c r="I6415">
        <f>IF(H6415="UNPAID", AsOfDate-D6415, 0)</f>
        <v/>
      </c>
      <c r="J6415">
        <f>IF(F6415&lt;&gt;"", TEXT(F6415, "yyyy-mm"), "")</f>
        <v/>
      </c>
    </row>
    <row r="6416">
      <c r="A6416" t="inlineStr">
        <is>
          <t>RP0006415</t>
        </is>
      </c>
      <c r="B6416" t="inlineStr">
        <is>
          <t>LN200913</t>
        </is>
      </c>
      <c r="C6416" t="n">
        <v>1</v>
      </c>
      <c r="D6416" s="8" t="n">
        <v>46123</v>
      </c>
      <c r="E6416" s="9" t="n">
        <v>26182.67</v>
      </c>
      <c r="F6416" s="8" t="n">
        <v>46126</v>
      </c>
      <c r="G6416" s="9" t="n">
        <v>26182.67</v>
      </c>
      <c r="H6416" t="inlineStr">
        <is>
          <t>PAID_ON_TIME</t>
        </is>
      </c>
      <c r="I6416">
        <f>IF(H6416="UNPAID", AsOfDate-D6416, 0)</f>
        <v/>
      </c>
      <c r="J6416">
        <f>IF(F6416&lt;&gt;"", TEXT(F6416, "yyyy-mm"), "")</f>
        <v/>
      </c>
    </row>
    <row r="6417">
      <c r="A6417" t="inlineStr">
        <is>
          <t>RP0006416</t>
        </is>
      </c>
      <c r="B6417" t="inlineStr">
        <is>
          <t>LN200913</t>
        </is>
      </c>
      <c r="C6417" t="n">
        <v>2</v>
      </c>
      <c r="D6417" s="8" t="n">
        <v>46153</v>
      </c>
      <c r="E6417" s="9" t="n">
        <v>26182.67</v>
      </c>
      <c r="F6417" s="8" t="n">
        <v>46156</v>
      </c>
      <c r="G6417" s="9" t="n">
        <v>26182.67</v>
      </c>
      <c r="H6417" t="inlineStr">
        <is>
          <t>PAID_ON_TIME</t>
        </is>
      </c>
      <c r="I6417">
        <f>IF(H6417="UNPAID", AsOfDate-D6417, 0)</f>
        <v/>
      </c>
      <c r="J6417">
        <f>IF(F6417&lt;&gt;"", TEXT(F6417, "yyyy-mm"), "")</f>
        <v/>
      </c>
    </row>
    <row r="6418">
      <c r="A6418" t="inlineStr">
        <is>
          <t>RP0006417</t>
        </is>
      </c>
      <c r="B6418" t="inlineStr">
        <is>
          <t>LN200913</t>
        </is>
      </c>
      <c r="C6418" t="n">
        <v>3</v>
      </c>
      <c r="D6418" s="8" t="n">
        <v>46184</v>
      </c>
      <c r="E6418" s="9" t="n">
        <v>26182.67</v>
      </c>
      <c r="F6418" s="8" t="n">
        <v>46183</v>
      </c>
      <c r="G6418" s="9" t="n">
        <v>26182.67</v>
      </c>
      <c r="H6418" t="inlineStr">
        <is>
          <t>PAID_ON_TIME</t>
        </is>
      </c>
      <c r="I6418">
        <f>IF(H6418="UNPAID", AsOfDate-D6418, 0)</f>
        <v/>
      </c>
      <c r="J6418">
        <f>IF(F6418&lt;&gt;"", TEXT(F6418, "yyyy-mm"), "")</f>
        <v/>
      </c>
    </row>
    <row r="6419">
      <c r="A6419" t="inlineStr">
        <is>
          <t>RP0006418</t>
        </is>
      </c>
      <c r="B6419" t="inlineStr">
        <is>
          <t>LN200913</t>
        </is>
      </c>
      <c r="C6419" t="n">
        <v>4</v>
      </c>
      <c r="D6419" s="8" t="n">
        <v>46214</v>
      </c>
      <c r="E6419" s="9" t="n">
        <v>26182.67</v>
      </c>
      <c r="F6419" s="8" t="n">
        <v>46218</v>
      </c>
      <c r="G6419" s="9" t="n">
        <v>26182.67</v>
      </c>
      <c r="H6419" t="inlineStr">
        <is>
          <t>PAID_ON_TIME</t>
        </is>
      </c>
      <c r="I6419">
        <f>IF(H6419="UNPAID", AsOfDate-D6419, 0)</f>
        <v/>
      </c>
      <c r="J6419">
        <f>IF(F6419&lt;&gt;"", TEXT(F6419, "yyyy-mm"), "")</f>
        <v/>
      </c>
    </row>
    <row r="6420">
      <c r="A6420" t="inlineStr">
        <is>
          <t>RP0006419</t>
        </is>
      </c>
      <c r="B6420" t="inlineStr">
        <is>
          <t>LN200913</t>
        </is>
      </c>
      <c r="C6420" t="n">
        <v>5</v>
      </c>
      <c r="D6420" s="8" t="n">
        <v>46245</v>
      </c>
      <c r="E6420" s="9" t="n">
        <v>26182.67</v>
      </c>
      <c r="F6420" s="8" t="n">
        <v>46243</v>
      </c>
      <c r="G6420" s="9" t="n">
        <v>26182.67</v>
      </c>
      <c r="H6420" t="inlineStr">
        <is>
          <t>PAID_ON_TIME</t>
        </is>
      </c>
      <c r="I6420">
        <f>IF(H6420="UNPAID", AsOfDate-D6420, 0)</f>
        <v/>
      </c>
      <c r="J6420">
        <f>IF(F6420&lt;&gt;"", TEXT(F6420, "yyyy-mm"), "")</f>
        <v/>
      </c>
    </row>
    <row r="6421">
      <c r="A6421" t="inlineStr">
        <is>
          <t>RP0006420</t>
        </is>
      </c>
      <c r="B6421" t="inlineStr">
        <is>
          <t>LN200913</t>
        </is>
      </c>
      <c r="C6421" t="n">
        <v>6</v>
      </c>
      <c r="D6421" s="8" t="n">
        <v>46276</v>
      </c>
      <c r="E6421" s="9" t="n">
        <v>26182.67</v>
      </c>
      <c r="F6421" s="8" t="n"/>
      <c r="G6421" s="9" t="n">
        <v>0</v>
      </c>
      <c r="H6421" t="inlineStr">
        <is>
          <t>NOT_DUE</t>
        </is>
      </c>
      <c r="I6421">
        <f>IF(H6421="UNPAID", AsOfDate-D6421, 0)</f>
        <v/>
      </c>
      <c r="J6421">
        <f>IF(F6421&lt;&gt;"", TEXT(F6421, "yyyy-mm"), "")</f>
        <v/>
      </c>
    </row>
    <row r="6422">
      <c r="A6422" t="inlineStr">
        <is>
          <t>RP0006421</t>
        </is>
      </c>
      <c r="B6422" t="inlineStr">
        <is>
          <t>LN200913</t>
        </is>
      </c>
      <c r="C6422" t="n">
        <v>7</v>
      </c>
      <c r="D6422" s="8" t="n">
        <v>46306</v>
      </c>
      <c r="E6422" s="9" t="n">
        <v>26182.67</v>
      </c>
      <c r="F6422" s="8" t="n"/>
      <c r="G6422" s="9" t="n">
        <v>0</v>
      </c>
      <c r="H6422" t="inlineStr">
        <is>
          <t>NOT_DUE</t>
        </is>
      </c>
      <c r="I6422">
        <f>IF(H6422="UNPAID", AsOfDate-D6422, 0)</f>
        <v/>
      </c>
      <c r="J6422">
        <f>IF(F6422&lt;&gt;"", TEXT(F6422, "yyyy-mm"), "")</f>
        <v/>
      </c>
    </row>
    <row r="6423">
      <c r="A6423" t="inlineStr">
        <is>
          <t>RP0006422</t>
        </is>
      </c>
      <c r="B6423" t="inlineStr">
        <is>
          <t>LN200913</t>
        </is>
      </c>
      <c r="C6423" t="n">
        <v>8</v>
      </c>
      <c r="D6423" s="8" t="n">
        <v>46337</v>
      </c>
      <c r="E6423" s="9" t="n">
        <v>26182.67</v>
      </c>
      <c r="F6423" s="8" t="n"/>
      <c r="G6423" s="9" t="n">
        <v>0</v>
      </c>
      <c r="H6423" t="inlineStr">
        <is>
          <t>NOT_DUE</t>
        </is>
      </c>
      <c r="I6423">
        <f>IF(H6423="UNPAID", AsOfDate-D6423, 0)</f>
        <v/>
      </c>
      <c r="J6423">
        <f>IF(F6423&lt;&gt;"", TEXT(F6423, "yyyy-mm"), "")</f>
        <v/>
      </c>
    </row>
    <row r="6424">
      <c r="A6424" t="inlineStr">
        <is>
          <t>RP0006423</t>
        </is>
      </c>
      <c r="B6424" t="inlineStr">
        <is>
          <t>LN200913</t>
        </is>
      </c>
      <c r="C6424" t="n">
        <v>9</v>
      </c>
      <c r="D6424" s="8" t="n">
        <v>46367</v>
      </c>
      <c r="E6424" s="9" t="n">
        <v>26182.67</v>
      </c>
      <c r="F6424" s="8" t="n"/>
      <c r="G6424" s="9" t="n">
        <v>0</v>
      </c>
      <c r="H6424" t="inlineStr">
        <is>
          <t>NOT_DUE</t>
        </is>
      </c>
      <c r="I6424">
        <f>IF(H6424="UNPAID", AsOfDate-D6424, 0)</f>
        <v/>
      </c>
      <c r="J6424">
        <f>IF(F6424&lt;&gt;"", TEXT(F6424, "yyyy-mm"), "")</f>
        <v/>
      </c>
    </row>
    <row r="6425">
      <c r="A6425" t="inlineStr">
        <is>
          <t>RP0006424</t>
        </is>
      </c>
      <c r="B6425" t="inlineStr">
        <is>
          <t>LN200913</t>
        </is>
      </c>
      <c r="C6425" t="n">
        <v>10</v>
      </c>
      <c r="D6425" s="8" t="n">
        <v>46398</v>
      </c>
      <c r="E6425" s="9" t="n">
        <v>26182.67</v>
      </c>
      <c r="F6425" s="8" t="n"/>
      <c r="G6425" s="9" t="n">
        <v>0</v>
      </c>
      <c r="H6425" t="inlineStr">
        <is>
          <t>NOT_DUE</t>
        </is>
      </c>
      <c r="I6425">
        <f>IF(H6425="UNPAID", AsOfDate-D6425, 0)</f>
        <v/>
      </c>
      <c r="J6425">
        <f>IF(F6425&lt;&gt;"", TEXT(F6425, "yyyy-mm"), "")</f>
        <v/>
      </c>
    </row>
    <row r="6426">
      <c r="A6426" t="inlineStr">
        <is>
          <t>RP0006425</t>
        </is>
      </c>
      <c r="B6426" t="inlineStr">
        <is>
          <t>LN200913</t>
        </is>
      </c>
      <c r="C6426" t="n">
        <v>11</v>
      </c>
      <c r="D6426" s="8" t="n">
        <v>46429</v>
      </c>
      <c r="E6426" s="9" t="n">
        <v>26182.67</v>
      </c>
      <c r="F6426" s="8" t="n"/>
      <c r="G6426" s="9" t="n">
        <v>0</v>
      </c>
      <c r="H6426" t="inlineStr">
        <is>
          <t>NOT_DUE</t>
        </is>
      </c>
      <c r="I6426">
        <f>IF(H6426="UNPAID", AsOfDate-D6426, 0)</f>
        <v/>
      </c>
      <c r="J6426">
        <f>IF(F6426&lt;&gt;"", TEXT(F6426, "yyyy-mm"), "")</f>
        <v/>
      </c>
    </row>
    <row r="6427">
      <c r="A6427" t="inlineStr">
        <is>
          <t>RP0006426</t>
        </is>
      </c>
      <c r="B6427" t="inlineStr">
        <is>
          <t>LN200913</t>
        </is>
      </c>
      <c r="C6427" t="n">
        <v>12</v>
      </c>
      <c r="D6427" s="8" t="n">
        <v>46457</v>
      </c>
      <c r="E6427" s="9" t="n">
        <v>26182.67</v>
      </c>
      <c r="F6427" s="8" t="n"/>
      <c r="G6427" s="9" t="n">
        <v>0</v>
      </c>
      <c r="H6427" t="inlineStr">
        <is>
          <t>NOT_DUE</t>
        </is>
      </c>
      <c r="I6427">
        <f>IF(H6427="UNPAID", AsOfDate-D6427, 0)</f>
        <v/>
      </c>
      <c r="J6427">
        <f>IF(F6427&lt;&gt;"", TEXT(F6427, "yyyy-mm"), "")</f>
        <v/>
      </c>
    </row>
    <row r="6428">
      <c r="A6428" t="inlineStr">
        <is>
          <t>RP0006427</t>
        </is>
      </c>
      <c r="B6428" t="inlineStr">
        <is>
          <t>LN200914</t>
        </is>
      </c>
      <c r="C6428" t="n">
        <v>1</v>
      </c>
      <c r="D6428" s="8" t="n">
        <v>46261</v>
      </c>
      <c r="E6428" s="9" t="n">
        <v>64231.33</v>
      </c>
      <c r="F6428" s="8" t="n">
        <v>46262</v>
      </c>
      <c r="G6428" s="9" t="n">
        <v>64231.33</v>
      </c>
      <c r="H6428" t="inlineStr">
        <is>
          <t>PAID_ON_TIME</t>
        </is>
      </c>
      <c r="I6428">
        <f>IF(H6428="UNPAID", AsOfDate-D6428, 0)</f>
        <v/>
      </c>
      <c r="J6428">
        <f>IF(F6428&lt;&gt;"", TEXT(F6428, "yyyy-mm"), "")</f>
        <v/>
      </c>
    </row>
    <row r="6429">
      <c r="A6429" t="inlineStr">
        <is>
          <t>RP0006428</t>
        </is>
      </c>
      <c r="B6429" t="inlineStr">
        <is>
          <t>LN200914</t>
        </is>
      </c>
      <c r="C6429" t="n">
        <v>2</v>
      </c>
      <c r="D6429" s="8" t="n">
        <v>46292</v>
      </c>
      <c r="E6429" s="9" t="n">
        <v>64231.33</v>
      </c>
      <c r="F6429" s="8" t="n"/>
      <c r="G6429" s="9" t="n">
        <v>0</v>
      </c>
      <c r="H6429" t="inlineStr">
        <is>
          <t>NOT_DUE</t>
        </is>
      </c>
      <c r="I6429">
        <f>IF(H6429="UNPAID", AsOfDate-D6429, 0)</f>
        <v/>
      </c>
      <c r="J6429">
        <f>IF(F6429&lt;&gt;"", TEXT(F6429, "yyyy-mm"), "")</f>
        <v/>
      </c>
    </row>
    <row r="6430">
      <c r="A6430" t="inlineStr">
        <is>
          <t>RP0006429</t>
        </is>
      </c>
      <c r="B6430" t="inlineStr">
        <is>
          <t>LN200914</t>
        </is>
      </c>
      <c r="C6430" t="n">
        <v>3</v>
      </c>
      <c r="D6430" s="8" t="n">
        <v>46322</v>
      </c>
      <c r="E6430" s="9" t="n">
        <v>64231.33</v>
      </c>
      <c r="F6430" s="8" t="n"/>
      <c r="G6430" s="9" t="n">
        <v>0</v>
      </c>
      <c r="H6430" t="inlineStr">
        <is>
          <t>NOT_DUE</t>
        </is>
      </c>
      <c r="I6430">
        <f>IF(H6430="UNPAID", AsOfDate-D6430, 0)</f>
        <v/>
      </c>
      <c r="J6430">
        <f>IF(F6430&lt;&gt;"", TEXT(F6430, "yyyy-mm"), "")</f>
        <v/>
      </c>
    </row>
    <row r="6431">
      <c r="A6431" t="inlineStr">
        <is>
          <t>RP0006430</t>
        </is>
      </c>
      <c r="B6431" t="inlineStr">
        <is>
          <t>LN200915</t>
        </is>
      </c>
      <c r="C6431" t="n">
        <v>1</v>
      </c>
      <c r="D6431" s="8" t="n">
        <v>45884</v>
      </c>
      <c r="E6431" s="9" t="n">
        <v>16385.22</v>
      </c>
      <c r="F6431" s="8" t="n">
        <v>45886</v>
      </c>
      <c r="G6431" s="9" t="n">
        <v>16385.22</v>
      </c>
      <c r="H6431" t="inlineStr">
        <is>
          <t>PAID_ON_TIME</t>
        </is>
      </c>
      <c r="I6431">
        <f>IF(H6431="UNPAID", AsOfDate-D6431, 0)</f>
        <v/>
      </c>
      <c r="J6431">
        <f>IF(F6431&lt;&gt;"", TEXT(F6431, "yyyy-mm"), "")</f>
        <v/>
      </c>
    </row>
    <row r="6432">
      <c r="A6432" t="inlineStr">
        <is>
          <t>RP0006431</t>
        </is>
      </c>
      <c r="B6432" t="inlineStr">
        <is>
          <t>LN200915</t>
        </is>
      </c>
      <c r="C6432" t="n">
        <v>2</v>
      </c>
      <c r="D6432" s="8" t="n">
        <v>45915</v>
      </c>
      <c r="E6432" s="9" t="n">
        <v>16385.22</v>
      </c>
      <c r="F6432" s="8" t="n">
        <v>45915</v>
      </c>
      <c r="G6432" s="9" t="n">
        <v>16385.22</v>
      </c>
      <c r="H6432" t="inlineStr">
        <is>
          <t>PAID_ON_TIME</t>
        </is>
      </c>
      <c r="I6432">
        <f>IF(H6432="UNPAID", AsOfDate-D6432, 0)</f>
        <v/>
      </c>
      <c r="J6432">
        <f>IF(F6432&lt;&gt;"", TEXT(F6432, "yyyy-mm"), "")</f>
        <v/>
      </c>
    </row>
    <row r="6433">
      <c r="A6433" t="inlineStr">
        <is>
          <t>RP0006432</t>
        </is>
      </c>
      <c r="B6433" t="inlineStr">
        <is>
          <t>LN200915</t>
        </is>
      </c>
      <c r="C6433" t="n">
        <v>3</v>
      </c>
      <c r="D6433" s="8" t="n">
        <v>45945</v>
      </c>
      <c r="E6433" s="9" t="n">
        <v>16385.22</v>
      </c>
      <c r="F6433" s="8" t="n">
        <v>45946</v>
      </c>
      <c r="G6433" s="9" t="n">
        <v>16385.22</v>
      </c>
      <c r="H6433" t="inlineStr">
        <is>
          <t>PAID_ON_TIME</t>
        </is>
      </c>
      <c r="I6433">
        <f>IF(H6433="UNPAID", AsOfDate-D6433, 0)</f>
        <v/>
      </c>
      <c r="J6433">
        <f>IF(F6433&lt;&gt;"", TEXT(F6433, "yyyy-mm"), "")</f>
        <v/>
      </c>
    </row>
    <row r="6434">
      <c r="A6434" t="inlineStr">
        <is>
          <t>RP0006433</t>
        </is>
      </c>
      <c r="B6434" t="inlineStr">
        <is>
          <t>LN200915</t>
        </is>
      </c>
      <c r="C6434" t="n">
        <v>4</v>
      </c>
      <c r="D6434" s="8" t="n">
        <v>45976</v>
      </c>
      <c r="E6434" s="9" t="n">
        <v>16385.22</v>
      </c>
      <c r="F6434" s="8" t="n">
        <v>45976</v>
      </c>
      <c r="G6434" s="9" t="n">
        <v>16385.22</v>
      </c>
      <c r="H6434" t="inlineStr">
        <is>
          <t>PAID_ON_TIME</t>
        </is>
      </c>
      <c r="I6434">
        <f>IF(H6434="UNPAID", AsOfDate-D6434, 0)</f>
        <v/>
      </c>
      <c r="J6434">
        <f>IF(F6434&lt;&gt;"", TEXT(F6434, "yyyy-mm"), "")</f>
        <v/>
      </c>
    </row>
    <row r="6435">
      <c r="A6435" t="inlineStr">
        <is>
          <t>RP0006434</t>
        </is>
      </c>
      <c r="B6435" t="inlineStr">
        <is>
          <t>LN200915</t>
        </is>
      </c>
      <c r="C6435" t="n">
        <v>5</v>
      </c>
      <c r="D6435" s="8" t="n">
        <v>46006</v>
      </c>
      <c r="E6435" s="9" t="n">
        <v>16385.22</v>
      </c>
      <c r="F6435" s="8" t="n">
        <v>46003</v>
      </c>
      <c r="G6435" s="9" t="n">
        <v>16385.22</v>
      </c>
      <c r="H6435" t="inlineStr">
        <is>
          <t>PAID_ON_TIME</t>
        </is>
      </c>
      <c r="I6435">
        <f>IF(H6435="UNPAID", AsOfDate-D6435, 0)</f>
        <v/>
      </c>
      <c r="J6435">
        <f>IF(F6435&lt;&gt;"", TEXT(F6435, "yyyy-mm"), "")</f>
        <v/>
      </c>
    </row>
    <row r="6436">
      <c r="A6436" t="inlineStr">
        <is>
          <t>RP0006435</t>
        </is>
      </c>
      <c r="B6436" t="inlineStr">
        <is>
          <t>LN200915</t>
        </is>
      </c>
      <c r="C6436" t="n">
        <v>6</v>
      </c>
      <c r="D6436" s="8" t="n">
        <v>46037</v>
      </c>
      <c r="E6436" s="9" t="n">
        <v>16385.22</v>
      </c>
      <c r="F6436" s="8" t="n">
        <v>46038</v>
      </c>
      <c r="G6436" s="9" t="n">
        <v>16385.22</v>
      </c>
      <c r="H6436" t="inlineStr">
        <is>
          <t>PAID_ON_TIME</t>
        </is>
      </c>
      <c r="I6436">
        <f>IF(H6436="UNPAID", AsOfDate-D6436, 0)</f>
        <v/>
      </c>
      <c r="J6436">
        <f>IF(F6436&lt;&gt;"", TEXT(F6436, "yyyy-mm"), "")</f>
        <v/>
      </c>
    </row>
    <row r="6437">
      <c r="A6437" t="inlineStr">
        <is>
          <t>RP0006436</t>
        </is>
      </c>
      <c r="B6437" t="inlineStr">
        <is>
          <t>LN200915</t>
        </is>
      </c>
      <c r="C6437" t="n">
        <v>7</v>
      </c>
      <c r="D6437" s="8" t="n">
        <v>46068</v>
      </c>
      <c r="E6437" s="9" t="n">
        <v>16385.22</v>
      </c>
      <c r="F6437" s="8" t="n">
        <v>46071</v>
      </c>
      <c r="G6437" s="9" t="n">
        <v>16385.22</v>
      </c>
      <c r="H6437" t="inlineStr">
        <is>
          <t>PAID_ON_TIME</t>
        </is>
      </c>
      <c r="I6437">
        <f>IF(H6437="UNPAID", AsOfDate-D6437, 0)</f>
        <v/>
      </c>
      <c r="J6437">
        <f>IF(F6437&lt;&gt;"", TEXT(F6437, "yyyy-mm"), "")</f>
        <v/>
      </c>
    </row>
    <row r="6438">
      <c r="A6438" t="inlineStr">
        <is>
          <t>RP0006437</t>
        </is>
      </c>
      <c r="B6438" t="inlineStr">
        <is>
          <t>LN200915</t>
        </is>
      </c>
      <c r="C6438" t="n">
        <v>8</v>
      </c>
      <c r="D6438" s="8" t="n">
        <v>46096</v>
      </c>
      <c r="E6438" s="9" t="n">
        <v>16385.22</v>
      </c>
      <c r="F6438" s="8" t="n">
        <v>46099</v>
      </c>
      <c r="G6438" s="9" t="n">
        <v>16385.22</v>
      </c>
      <c r="H6438" t="inlineStr">
        <is>
          <t>PAID_ON_TIME</t>
        </is>
      </c>
      <c r="I6438">
        <f>IF(H6438="UNPAID", AsOfDate-D6438, 0)</f>
        <v/>
      </c>
      <c r="J6438">
        <f>IF(F6438&lt;&gt;"", TEXT(F6438, "yyyy-mm"), "")</f>
        <v/>
      </c>
    </row>
    <row r="6439">
      <c r="A6439" t="inlineStr">
        <is>
          <t>RP0006438</t>
        </is>
      </c>
      <c r="B6439" t="inlineStr">
        <is>
          <t>LN200915</t>
        </is>
      </c>
      <c r="C6439" t="n">
        <v>9</v>
      </c>
      <c r="D6439" s="8" t="n">
        <v>46127</v>
      </c>
      <c r="E6439" s="9" t="n">
        <v>16385.22</v>
      </c>
      <c r="F6439" s="8" t="n">
        <v>46130</v>
      </c>
      <c r="G6439" s="9" t="n">
        <v>16385.22</v>
      </c>
      <c r="H6439" t="inlineStr">
        <is>
          <t>PAID_ON_TIME</t>
        </is>
      </c>
      <c r="I6439">
        <f>IF(H6439="UNPAID", AsOfDate-D6439, 0)</f>
        <v/>
      </c>
      <c r="J6439">
        <f>IF(F6439&lt;&gt;"", TEXT(F6439, "yyyy-mm"), "")</f>
        <v/>
      </c>
    </row>
    <row r="6440">
      <c r="A6440" t="inlineStr">
        <is>
          <t>RP0006439</t>
        </is>
      </c>
      <c r="B6440" t="inlineStr">
        <is>
          <t>LN200916</t>
        </is>
      </c>
      <c r="C6440" t="n">
        <v>1</v>
      </c>
      <c r="D6440" s="8" t="n">
        <v>46266</v>
      </c>
      <c r="E6440" s="9" t="n">
        <v>23605.33</v>
      </c>
      <c r="F6440" s="8" t="n">
        <v>46264</v>
      </c>
      <c r="G6440" s="9" t="n">
        <v>23605.33</v>
      </c>
      <c r="H6440" t="inlineStr">
        <is>
          <t>PAID_ON_TIME</t>
        </is>
      </c>
      <c r="I6440">
        <f>IF(H6440="UNPAID", AsOfDate-D6440, 0)</f>
        <v/>
      </c>
      <c r="J6440">
        <f>IF(F6440&lt;&gt;"", TEXT(F6440, "yyyy-mm"), "")</f>
        <v/>
      </c>
    </row>
    <row r="6441">
      <c r="A6441" t="inlineStr">
        <is>
          <t>RP0006440</t>
        </is>
      </c>
      <c r="B6441" t="inlineStr">
        <is>
          <t>LN200916</t>
        </is>
      </c>
      <c r="C6441" t="n">
        <v>2</v>
      </c>
      <c r="D6441" s="8" t="n">
        <v>46296</v>
      </c>
      <c r="E6441" s="9" t="n">
        <v>23605.33</v>
      </c>
      <c r="F6441" s="8" t="n"/>
      <c r="G6441" s="9" t="n">
        <v>0</v>
      </c>
      <c r="H6441" t="inlineStr">
        <is>
          <t>NOT_DUE</t>
        </is>
      </c>
      <c r="I6441">
        <f>IF(H6441="UNPAID", AsOfDate-D6441, 0)</f>
        <v/>
      </c>
      <c r="J6441">
        <f>IF(F6441&lt;&gt;"", TEXT(F6441, "yyyy-mm"), "")</f>
        <v/>
      </c>
    </row>
    <row r="6442">
      <c r="A6442" t="inlineStr">
        <is>
          <t>RP0006441</t>
        </is>
      </c>
      <c r="B6442" t="inlineStr">
        <is>
          <t>LN200916</t>
        </is>
      </c>
      <c r="C6442" t="n">
        <v>3</v>
      </c>
      <c r="D6442" s="8" t="n">
        <v>46327</v>
      </c>
      <c r="E6442" s="9" t="n">
        <v>23605.33</v>
      </c>
      <c r="F6442" s="8" t="n"/>
      <c r="G6442" s="9" t="n">
        <v>0</v>
      </c>
      <c r="H6442" t="inlineStr">
        <is>
          <t>NOT_DUE</t>
        </is>
      </c>
      <c r="I6442">
        <f>IF(H6442="UNPAID", AsOfDate-D6442, 0)</f>
        <v/>
      </c>
      <c r="J6442">
        <f>IF(F6442&lt;&gt;"", TEXT(F6442, "yyyy-mm"), "")</f>
        <v/>
      </c>
    </row>
    <row r="6443">
      <c r="A6443" t="inlineStr">
        <is>
          <t>RP0006442</t>
        </is>
      </c>
      <c r="B6443" t="inlineStr">
        <is>
          <t>LN200916</t>
        </is>
      </c>
      <c r="C6443" t="n">
        <v>4</v>
      </c>
      <c r="D6443" s="8" t="n">
        <v>46357</v>
      </c>
      <c r="E6443" s="9" t="n">
        <v>23605.33</v>
      </c>
      <c r="F6443" s="8" t="n"/>
      <c r="G6443" s="9" t="n">
        <v>0</v>
      </c>
      <c r="H6443" t="inlineStr">
        <is>
          <t>NOT_DUE</t>
        </is>
      </c>
      <c r="I6443">
        <f>IF(H6443="UNPAID", AsOfDate-D6443, 0)</f>
        <v/>
      </c>
      <c r="J6443">
        <f>IF(F6443&lt;&gt;"", TEXT(F6443, "yyyy-mm"), "")</f>
        <v/>
      </c>
    </row>
    <row r="6444">
      <c r="A6444" t="inlineStr">
        <is>
          <t>RP0006443</t>
        </is>
      </c>
      <c r="B6444" t="inlineStr">
        <is>
          <t>LN200916</t>
        </is>
      </c>
      <c r="C6444" t="n">
        <v>5</v>
      </c>
      <c r="D6444" s="8" t="n">
        <v>46388</v>
      </c>
      <c r="E6444" s="9" t="n">
        <v>23605.33</v>
      </c>
      <c r="F6444" s="8" t="n"/>
      <c r="G6444" s="9" t="n">
        <v>0</v>
      </c>
      <c r="H6444" t="inlineStr">
        <is>
          <t>NOT_DUE</t>
        </is>
      </c>
      <c r="I6444">
        <f>IF(H6444="UNPAID", AsOfDate-D6444, 0)</f>
        <v/>
      </c>
      <c r="J6444">
        <f>IF(F6444&lt;&gt;"", TEXT(F6444, "yyyy-mm"), "")</f>
        <v/>
      </c>
    </row>
    <row r="6445">
      <c r="A6445" t="inlineStr">
        <is>
          <t>RP0006444</t>
        </is>
      </c>
      <c r="B6445" t="inlineStr">
        <is>
          <t>LN200916</t>
        </is>
      </c>
      <c r="C6445" t="n">
        <v>6</v>
      </c>
      <c r="D6445" s="8" t="n">
        <v>46419</v>
      </c>
      <c r="E6445" s="9" t="n">
        <v>23605.33</v>
      </c>
      <c r="F6445" s="8" t="n"/>
      <c r="G6445" s="9" t="n">
        <v>0</v>
      </c>
      <c r="H6445" t="inlineStr">
        <is>
          <t>NOT_DUE</t>
        </is>
      </c>
      <c r="I6445">
        <f>IF(H6445="UNPAID", AsOfDate-D6445, 0)</f>
        <v/>
      </c>
      <c r="J6445">
        <f>IF(F6445&lt;&gt;"", TEXT(F6445, "yyyy-mm"), "")</f>
        <v/>
      </c>
    </row>
    <row r="6446">
      <c r="A6446" t="inlineStr">
        <is>
          <t>RP0006445</t>
        </is>
      </c>
      <c r="B6446" t="inlineStr">
        <is>
          <t>LN200916</t>
        </is>
      </c>
      <c r="C6446" t="n">
        <v>7</v>
      </c>
      <c r="D6446" s="8" t="n">
        <v>46447</v>
      </c>
      <c r="E6446" s="9" t="n">
        <v>23605.33</v>
      </c>
      <c r="F6446" s="8" t="n"/>
      <c r="G6446" s="9" t="n">
        <v>0</v>
      </c>
      <c r="H6446" t="inlineStr">
        <is>
          <t>NOT_DUE</t>
        </is>
      </c>
      <c r="I6446">
        <f>IF(H6446="UNPAID", AsOfDate-D6446, 0)</f>
        <v/>
      </c>
      <c r="J6446">
        <f>IF(F6446&lt;&gt;"", TEXT(F6446, "yyyy-mm"), "")</f>
        <v/>
      </c>
    </row>
    <row r="6447">
      <c r="A6447" t="inlineStr">
        <is>
          <t>RP0006446</t>
        </is>
      </c>
      <c r="B6447" t="inlineStr">
        <is>
          <t>LN200916</t>
        </is>
      </c>
      <c r="C6447" t="n">
        <v>8</v>
      </c>
      <c r="D6447" s="8" t="n">
        <v>46478</v>
      </c>
      <c r="E6447" s="9" t="n">
        <v>23605.33</v>
      </c>
      <c r="F6447" s="8" t="n"/>
      <c r="G6447" s="9" t="n">
        <v>0</v>
      </c>
      <c r="H6447" t="inlineStr">
        <is>
          <t>NOT_DUE</t>
        </is>
      </c>
      <c r="I6447">
        <f>IF(H6447="UNPAID", AsOfDate-D6447, 0)</f>
        <v/>
      </c>
      <c r="J6447">
        <f>IF(F6447&lt;&gt;"", TEXT(F6447, "yyyy-mm"), "")</f>
        <v/>
      </c>
    </row>
    <row r="6448">
      <c r="A6448" t="inlineStr">
        <is>
          <t>RP0006447</t>
        </is>
      </c>
      <c r="B6448" t="inlineStr">
        <is>
          <t>LN200916</t>
        </is>
      </c>
      <c r="C6448" t="n">
        <v>9</v>
      </c>
      <c r="D6448" s="8" t="n">
        <v>46508</v>
      </c>
      <c r="E6448" s="9" t="n">
        <v>23605.33</v>
      </c>
      <c r="F6448" s="8" t="n"/>
      <c r="G6448" s="9" t="n">
        <v>0</v>
      </c>
      <c r="H6448" t="inlineStr">
        <is>
          <t>NOT_DUE</t>
        </is>
      </c>
      <c r="I6448">
        <f>IF(H6448="UNPAID", AsOfDate-D6448, 0)</f>
        <v/>
      </c>
      <c r="J6448">
        <f>IF(F6448&lt;&gt;"", TEXT(F6448, "yyyy-mm"), "")</f>
        <v/>
      </c>
    </row>
    <row r="6449">
      <c r="A6449" t="inlineStr">
        <is>
          <t>RP0006448</t>
        </is>
      </c>
      <c r="B6449" t="inlineStr">
        <is>
          <t>LN200918</t>
        </is>
      </c>
      <c r="C6449" t="n">
        <v>1</v>
      </c>
      <c r="D6449" s="8" t="n">
        <v>45754</v>
      </c>
      <c r="E6449" s="9" t="n">
        <v>36000</v>
      </c>
      <c r="F6449" s="8" t="n">
        <v>45758</v>
      </c>
      <c r="G6449" s="9" t="n">
        <v>36000</v>
      </c>
      <c r="H6449" t="inlineStr">
        <is>
          <t>PAID_ON_TIME</t>
        </is>
      </c>
      <c r="I6449">
        <f>IF(H6449="UNPAID", AsOfDate-D6449, 0)</f>
        <v/>
      </c>
      <c r="J6449">
        <f>IF(F6449&lt;&gt;"", TEXT(F6449, "yyyy-mm"), "")</f>
        <v/>
      </c>
    </row>
    <row r="6450">
      <c r="A6450" t="inlineStr">
        <is>
          <t>RP0006449</t>
        </is>
      </c>
      <c r="B6450" t="inlineStr">
        <is>
          <t>LN200918</t>
        </is>
      </c>
      <c r="C6450" t="n">
        <v>2</v>
      </c>
      <c r="D6450" s="8" t="n">
        <v>45784</v>
      </c>
      <c r="E6450" s="9" t="n">
        <v>36000</v>
      </c>
      <c r="F6450" s="8" t="n">
        <v>45785</v>
      </c>
      <c r="G6450" s="9" t="n">
        <v>36000</v>
      </c>
      <c r="H6450" t="inlineStr">
        <is>
          <t>PAID_ON_TIME</t>
        </is>
      </c>
      <c r="I6450">
        <f>IF(H6450="UNPAID", AsOfDate-D6450, 0)</f>
        <v/>
      </c>
      <c r="J6450">
        <f>IF(F6450&lt;&gt;"", TEXT(F6450, "yyyy-mm"), "")</f>
        <v/>
      </c>
    </row>
    <row r="6451">
      <c r="A6451" t="inlineStr">
        <is>
          <t>RP0006450</t>
        </is>
      </c>
      <c r="B6451" t="inlineStr">
        <is>
          <t>LN200918</t>
        </is>
      </c>
      <c r="C6451" t="n">
        <v>3</v>
      </c>
      <c r="D6451" s="8" t="n">
        <v>45815</v>
      </c>
      <c r="E6451" s="9" t="n">
        <v>36000</v>
      </c>
      <c r="F6451" s="8" t="n">
        <v>45815</v>
      </c>
      <c r="G6451" s="9" t="n">
        <v>36000</v>
      </c>
      <c r="H6451" t="inlineStr">
        <is>
          <t>PAID_ON_TIME</t>
        </is>
      </c>
      <c r="I6451">
        <f>IF(H6451="UNPAID", AsOfDate-D6451, 0)</f>
        <v/>
      </c>
      <c r="J6451">
        <f>IF(F6451&lt;&gt;"", TEXT(F6451, "yyyy-mm"), "")</f>
        <v/>
      </c>
    </row>
    <row r="6452">
      <c r="A6452" t="inlineStr">
        <is>
          <t>RP0006451</t>
        </is>
      </c>
      <c r="B6452" t="inlineStr">
        <is>
          <t>LN200918</t>
        </is>
      </c>
      <c r="C6452" t="n">
        <v>4</v>
      </c>
      <c r="D6452" s="8" t="n">
        <v>45845</v>
      </c>
      <c r="E6452" s="9" t="n">
        <v>36000</v>
      </c>
      <c r="F6452" s="8" t="n">
        <v>45843</v>
      </c>
      <c r="G6452" s="9" t="n">
        <v>36000</v>
      </c>
      <c r="H6452" t="inlineStr">
        <is>
          <t>PAID_ON_TIME</t>
        </is>
      </c>
      <c r="I6452">
        <f>IF(H6452="UNPAID", AsOfDate-D6452, 0)</f>
        <v/>
      </c>
      <c r="J6452">
        <f>IF(F6452&lt;&gt;"", TEXT(F6452, "yyyy-mm"), "")</f>
        <v/>
      </c>
    </row>
    <row r="6453">
      <c r="A6453" t="inlineStr">
        <is>
          <t>RP0006452</t>
        </is>
      </c>
      <c r="B6453" t="inlineStr">
        <is>
          <t>LN200918</t>
        </is>
      </c>
      <c r="C6453" t="n">
        <v>5</v>
      </c>
      <c r="D6453" s="8" t="n">
        <v>45876</v>
      </c>
      <c r="E6453" s="9" t="n">
        <v>36000</v>
      </c>
      <c r="F6453" s="8" t="n">
        <v>45879</v>
      </c>
      <c r="G6453" s="9" t="n">
        <v>36000</v>
      </c>
      <c r="H6453" t="inlineStr">
        <is>
          <t>PAID_ON_TIME</t>
        </is>
      </c>
      <c r="I6453">
        <f>IF(H6453="UNPAID", AsOfDate-D6453, 0)</f>
        <v/>
      </c>
      <c r="J6453">
        <f>IF(F6453&lt;&gt;"", TEXT(F6453, "yyyy-mm"), "")</f>
        <v/>
      </c>
    </row>
    <row r="6454">
      <c r="A6454" t="inlineStr">
        <is>
          <t>RP0006453</t>
        </is>
      </c>
      <c r="B6454" t="inlineStr">
        <is>
          <t>LN200918</t>
        </is>
      </c>
      <c r="C6454" t="n">
        <v>6</v>
      </c>
      <c r="D6454" s="8" t="n">
        <v>45907</v>
      </c>
      <c r="E6454" s="9" t="n">
        <v>36000</v>
      </c>
      <c r="F6454" s="8" t="n">
        <v>45908</v>
      </c>
      <c r="G6454" s="9" t="n">
        <v>36000</v>
      </c>
      <c r="H6454" t="inlineStr">
        <is>
          <t>PAID_ON_TIME</t>
        </is>
      </c>
      <c r="I6454">
        <f>IF(H6454="UNPAID", AsOfDate-D6454, 0)</f>
        <v/>
      </c>
      <c r="J6454">
        <f>IF(F6454&lt;&gt;"", TEXT(F6454, "yyyy-mm"), "")</f>
        <v/>
      </c>
    </row>
    <row r="6455">
      <c r="A6455" t="inlineStr">
        <is>
          <t>RP0006454</t>
        </is>
      </c>
      <c r="B6455" t="inlineStr">
        <is>
          <t>LN200918</t>
        </is>
      </c>
      <c r="C6455" t="n">
        <v>7</v>
      </c>
      <c r="D6455" s="8" t="n">
        <v>45937</v>
      </c>
      <c r="E6455" s="9" t="n">
        <v>36000</v>
      </c>
      <c r="F6455" s="8" t="n">
        <v>45940</v>
      </c>
      <c r="G6455" s="9" t="n">
        <v>36000</v>
      </c>
      <c r="H6455" t="inlineStr">
        <is>
          <t>PAID_ON_TIME</t>
        </is>
      </c>
      <c r="I6455">
        <f>IF(H6455="UNPAID", AsOfDate-D6455, 0)</f>
        <v/>
      </c>
      <c r="J6455">
        <f>IF(F6455&lt;&gt;"", TEXT(F6455, "yyyy-mm"), "")</f>
        <v/>
      </c>
    </row>
    <row r="6456">
      <c r="A6456" t="inlineStr">
        <is>
          <t>RP0006455</t>
        </is>
      </c>
      <c r="B6456" t="inlineStr">
        <is>
          <t>LN200918</t>
        </is>
      </c>
      <c r="C6456" t="n">
        <v>8</v>
      </c>
      <c r="D6456" s="8" t="n">
        <v>45968</v>
      </c>
      <c r="E6456" s="9" t="n">
        <v>36000</v>
      </c>
      <c r="F6456" s="8" t="n">
        <v>45966</v>
      </c>
      <c r="G6456" s="9" t="n">
        <v>36000</v>
      </c>
      <c r="H6456" t="inlineStr">
        <is>
          <t>PAID_ON_TIME</t>
        </is>
      </c>
      <c r="I6456">
        <f>IF(H6456="UNPAID", AsOfDate-D6456, 0)</f>
        <v/>
      </c>
      <c r="J6456">
        <f>IF(F6456&lt;&gt;"", TEXT(F6456, "yyyy-mm"), "")</f>
        <v/>
      </c>
    </row>
    <row r="6457">
      <c r="A6457" t="inlineStr">
        <is>
          <t>RP0006456</t>
        </is>
      </c>
      <c r="B6457" t="inlineStr">
        <is>
          <t>LN200918</t>
        </is>
      </c>
      <c r="C6457" t="n">
        <v>9</v>
      </c>
      <c r="D6457" s="8" t="n">
        <v>45998</v>
      </c>
      <c r="E6457" s="9" t="n">
        <v>36000</v>
      </c>
      <c r="F6457" s="8" t="n">
        <v>45995</v>
      </c>
      <c r="G6457" s="9" t="n">
        <v>36000</v>
      </c>
      <c r="H6457" t="inlineStr">
        <is>
          <t>PAID_ON_TIME</t>
        </is>
      </c>
      <c r="I6457">
        <f>IF(H6457="UNPAID", AsOfDate-D6457, 0)</f>
        <v/>
      </c>
      <c r="J6457">
        <f>IF(F6457&lt;&gt;"", TEXT(F6457, "yyyy-mm"), "")</f>
        <v/>
      </c>
    </row>
    <row r="6458">
      <c r="A6458" t="inlineStr">
        <is>
          <t>RP0006457</t>
        </is>
      </c>
      <c r="B6458" t="inlineStr">
        <is>
          <t>LN200918</t>
        </is>
      </c>
      <c r="C6458" t="n">
        <v>10</v>
      </c>
      <c r="D6458" s="8" t="n">
        <v>46029</v>
      </c>
      <c r="E6458" s="9" t="n">
        <v>36000</v>
      </c>
      <c r="F6458" s="8" t="n">
        <v>46029</v>
      </c>
      <c r="G6458" s="9" t="n">
        <v>36000</v>
      </c>
      <c r="H6458" t="inlineStr">
        <is>
          <t>PAID_ON_TIME</t>
        </is>
      </c>
      <c r="I6458">
        <f>IF(H6458="UNPAID", AsOfDate-D6458, 0)</f>
        <v/>
      </c>
      <c r="J6458">
        <f>IF(F6458&lt;&gt;"", TEXT(F6458, "yyyy-mm"), "")</f>
        <v/>
      </c>
    </row>
    <row r="6459">
      <c r="A6459" t="inlineStr">
        <is>
          <t>RP0006458</t>
        </is>
      </c>
      <c r="B6459" t="inlineStr">
        <is>
          <t>LN200918</t>
        </is>
      </c>
      <c r="C6459" t="n">
        <v>11</v>
      </c>
      <c r="D6459" s="8" t="n">
        <v>46060</v>
      </c>
      <c r="E6459" s="9" t="n">
        <v>36000</v>
      </c>
      <c r="F6459" s="8" t="n">
        <v>46060</v>
      </c>
      <c r="G6459" s="9" t="n">
        <v>36000</v>
      </c>
      <c r="H6459" t="inlineStr">
        <is>
          <t>PAID_ON_TIME</t>
        </is>
      </c>
      <c r="I6459">
        <f>IF(H6459="UNPAID", AsOfDate-D6459, 0)</f>
        <v/>
      </c>
      <c r="J6459">
        <f>IF(F6459&lt;&gt;"", TEXT(F6459, "yyyy-mm"), "")</f>
        <v/>
      </c>
    </row>
    <row r="6460">
      <c r="A6460" t="inlineStr">
        <is>
          <t>RP0006459</t>
        </is>
      </c>
      <c r="B6460" t="inlineStr">
        <is>
          <t>LN200918</t>
        </is>
      </c>
      <c r="C6460" t="n">
        <v>12</v>
      </c>
      <c r="D6460" s="8" t="n">
        <v>46088</v>
      </c>
      <c r="E6460" s="9" t="n">
        <v>36000</v>
      </c>
      <c r="F6460" s="8" t="n">
        <v>46092</v>
      </c>
      <c r="G6460" s="9" t="n">
        <v>36000</v>
      </c>
      <c r="H6460" t="inlineStr">
        <is>
          <t>PAID_ON_TIME</t>
        </is>
      </c>
      <c r="I6460">
        <f>IF(H6460="UNPAID", AsOfDate-D6460, 0)</f>
        <v/>
      </c>
      <c r="J6460">
        <f>IF(F6460&lt;&gt;"", TEXT(F6460, "yyyy-mm"), "")</f>
        <v/>
      </c>
    </row>
    <row r="6461">
      <c r="A6461" t="inlineStr">
        <is>
          <t>RP0006460</t>
        </is>
      </c>
      <c r="B6461" t="inlineStr">
        <is>
          <t>LN200919</t>
        </is>
      </c>
      <c r="C6461" t="n">
        <v>1</v>
      </c>
      <c r="D6461" s="8" t="n">
        <v>46149</v>
      </c>
      <c r="E6461" s="9" t="n">
        <v>9868.5</v>
      </c>
      <c r="F6461" s="8" t="n">
        <v>46153</v>
      </c>
      <c r="G6461" s="9" t="n">
        <v>9868.5</v>
      </c>
      <c r="H6461" t="inlineStr">
        <is>
          <t>PAID_ON_TIME</t>
        </is>
      </c>
      <c r="I6461">
        <f>IF(H6461="UNPAID", AsOfDate-D6461, 0)</f>
        <v/>
      </c>
      <c r="J6461">
        <f>IF(F6461&lt;&gt;"", TEXT(F6461, "yyyy-mm"), "")</f>
        <v/>
      </c>
    </row>
    <row r="6462">
      <c r="A6462" t="inlineStr">
        <is>
          <t>RP0006461</t>
        </is>
      </c>
      <c r="B6462" t="inlineStr">
        <is>
          <t>LN200919</t>
        </is>
      </c>
      <c r="C6462" t="n">
        <v>2</v>
      </c>
      <c r="D6462" s="8" t="n">
        <v>46180</v>
      </c>
      <c r="E6462" s="9" t="n">
        <v>9868.5</v>
      </c>
      <c r="F6462" s="8" t="n">
        <v>46212</v>
      </c>
      <c r="G6462" s="9" t="n">
        <v>9868.5</v>
      </c>
      <c r="H6462" t="inlineStr">
        <is>
          <t>PAID_LATE</t>
        </is>
      </c>
      <c r="I6462">
        <f>IF(H6462="UNPAID", AsOfDate-D6462, 0)</f>
        <v/>
      </c>
      <c r="J6462">
        <f>IF(F6462&lt;&gt;"", TEXT(F6462, "yyyy-mm"), "")</f>
        <v/>
      </c>
    </row>
    <row r="6463">
      <c r="A6463" t="inlineStr">
        <is>
          <t>RP0006462</t>
        </is>
      </c>
      <c r="B6463" t="inlineStr">
        <is>
          <t>LN200919</t>
        </is>
      </c>
      <c r="C6463" t="n">
        <v>3</v>
      </c>
      <c r="D6463" s="8" t="n">
        <v>46210</v>
      </c>
      <c r="E6463" s="9" t="n">
        <v>9868.5</v>
      </c>
      <c r="F6463" s="8" t="n">
        <v>46213</v>
      </c>
      <c r="G6463" s="9" t="n">
        <v>9868.5</v>
      </c>
      <c r="H6463" t="inlineStr">
        <is>
          <t>PAID_ON_TIME</t>
        </is>
      </c>
      <c r="I6463">
        <f>IF(H6463="UNPAID", AsOfDate-D6463, 0)</f>
        <v/>
      </c>
      <c r="J6463">
        <f>IF(F6463&lt;&gt;"", TEXT(F6463, "yyyy-mm"), "")</f>
        <v/>
      </c>
    </row>
    <row r="6464">
      <c r="A6464" t="inlineStr">
        <is>
          <t>RP0006463</t>
        </is>
      </c>
      <c r="B6464" t="inlineStr">
        <is>
          <t>LN200919</t>
        </is>
      </c>
      <c r="C6464" t="n">
        <v>4</v>
      </c>
      <c r="D6464" s="8" t="n">
        <v>46241</v>
      </c>
      <c r="E6464" s="9" t="n">
        <v>9868.5</v>
      </c>
      <c r="F6464" s="8" t="n">
        <v>46238</v>
      </c>
      <c r="G6464" s="9" t="n">
        <v>9868.5</v>
      </c>
      <c r="H6464" t="inlineStr">
        <is>
          <t>PAID_ON_TIME</t>
        </is>
      </c>
      <c r="I6464">
        <f>IF(H6464="UNPAID", AsOfDate-D6464, 0)</f>
        <v/>
      </c>
      <c r="J6464">
        <f>IF(F6464&lt;&gt;"", TEXT(F6464, "yyyy-mm"), "")</f>
        <v/>
      </c>
    </row>
    <row r="6465">
      <c r="A6465" t="inlineStr">
        <is>
          <t>RP0006464</t>
        </is>
      </c>
      <c r="B6465" t="inlineStr">
        <is>
          <t>LN200919</t>
        </is>
      </c>
      <c r="C6465" t="n">
        <v>5</v>
      </c>
      <c r="D6465" s="8" t="n">
        <v>46272</v>
      </c>
      <c r="E6465" s="9" t="n">
        <v>9868.5</v>
      </c>
      <c r="F6465" s="8" t="n"/>
      <c r="G6465" s="9" t="n">
        <v>0</v>
      </c>
      <c r="H6465" t="inlineStr">
        <is>
          <t>NOT_DUE</t>
        </is>
      </c>
      <c r="I6465">
        <f>IF(H6465="UNPAID", AsOfDate-D6465, 0)</f>
        <v/>
      </c>
      <c r="J6465">
        <f>IF(F6465&lt;&gt;"", TEXT(F6465, "yyyy-mm"), "")</f>
        <v/>
      </c>
    </row>
    <row r="6466">
      <c r="A6466" t="inlineStr">
        <is>
          <t>RP0006465</t>
        </is>
      </c>
      <c r="B6466" t="inlineStr">
        <is>
          <t>LN200919</t>
        </is>
      </c>
      <c r="C6466" t="n">
        <v>6</v>
      </c>
      <c r="D6466" s="8" t="n">
        <v>46302</v>
      </c>
      <c r="E6466" s="9" t="n">
        <v>9868.5</v>
      </c>
      <c r="F6466" s="8" t="n"/>
      <c r="G6466" s="9" t="n">
        <v>0</v>
      </c>
      <c r="H6466" t="inlineStr">
        <is>
          <t>NOT_DUE</t>
        </is>
      </c>
      <c r="I6466">
        <f>IF(H6466="UNPAID", AsOfDate-D6466, 0)</f>
        <v/>
      </c>
      <c r="J6466">
        <f>IF(F6466&lt;&gt;"", TEXT(F6466, "yyyy-mm"), "")</f>
        <v/>
      </c>
    </row>
    <row r="6467">
      <c r="A6467" t="inlineStr">
        <is>
          <t>RP0006466</t>
        </is>
      </c>
      <c r="B6467" t="inlineStr">
        <is>
          <t>LN200919</t>
        </is>
      </c>
      <c r="C6467" t="n">
        <v>7</v>
      </c>
      <c r="D6467" s="8" t="n">
        <v>46333</v>
      </c>
      <c r="E6467" s="9" t="n">
        <v>9868.5</v>
      </c>
      <c r="F6467" s="8" t="n"/>
      <c r="G6467" s="9" t="n">
        <v>0</v>
      </c>
      <c r="H6467" t="inlineStr">
        <is>
          <t>NOT_DUE</t>
        </is>
      </c>
      <c r="I6467">
        <f>IF(H6467="UNPAID", AsOfDate-D6467, 0)</f>
        <v/>
      </c>
      <c r="J6467">
        <f>IF(F6467&lt;&gt;"", TEXT(F6467, "yyyy-mm"), "")</f>
        <v/>
      </c>
    </row>
    <row r="6468">
      <c r="A6468" t="inlineStr">
        <is>
          <t>RP0006467</t>
        </is>
      </c>
      <c r="B6468" t="inlineStr">
        <is>
          <t>LN200919</t>
        </is>
      </c>
      <c r="C6468" t="n">
        <v>8</v>
      </c>
      <c r="D6468" s="8" t="n">
        <v>46363</v>
      </c>
      <c r="E6468" s="9" t="n">
        <v>9868.5</v>
      </c>
      <c r="F6468" s="8" t="n"/>
      <c r="G6468" s="9" t="n">
        <v>0</v>
      </c>
      <c r="H6468" t="inlineStr">
        <is>
          <t>NOT_DUE</t>
        </is>
      </c>
      <c r="I6468">
        <f>IF(H6468="UNPAID", AsOfDate-D6468, 0)</f>
        <v/>
      </c>
      <c r="J6468">
        <f>IF(F6468&lt;&gt;"", TEXT(F6468, "yyyy-mm"), "")</f>
        <v/>
      </c>
    </row>
    <row r="6469">
      <c r="A6469" t="inlineStr">
        <is>
          <t>RP0006468</t>
        </is>
      </c>
      <c r="B6469" t="inlineStr">
        <is>
          <t>LN200919</t>
        </is>
      </c>
      <c r="C6469" t="n">
        <v>9</v>
      </c>
      <c r="D6469" s="8" t="n">
        <v>46394</v>
      </c>
      <c r="E6469" s="9" t="n">
        <v>9868.5</v>
      </c>
      <c r="F6469" s="8" t="n"/>
      <c r="G6469" s="9" t="n">
        <v>0</v>
      </c>
      <c r="H6469" t="inlineStr">
        <is>
          <t>NOT_DUE</t>
        </is>
      </c>
      <c r="I6469">
        <f>IF(H6469="UNPAID", AsOfDate-D6469, 0)</f>
        <v/>
      </c>
      <c r="J6469">
        <f>IF(F6469&lt;&gt;"", TEXT(F6469, "yyyy-mm"), "")</f>
        <v/>
      </c>
    </row>
    <row r="6470">
      <c r="A6470" t="inlineStr">
        <is>
          <t>RP0006469</t>
        </is>
      </c>
      <c r="B6470" t="inlineStr">
        <is>
          <t>LN200919</t>
        </is>
      </c>
      <c r="C6470" t="n">
        <v>10</v>
      </c>
      <c r="D6470" s="8" t="n">
        <v>46425</v>
      </c>
      <c r="E6470" s="9" t="n">
        <v>9868.5</v>
      </c>
      <c r="F6470" s="8" t="n"/>
      <c r="G6470" s="9" t="n">
        <v>0</v>
      </c>
      <c r="H6470" t="inlineStr">
        <is>
          <t>NOT_DUE</t>
        </is>
      </c>
      <c r="I6470">
        <f>IF(H6470="UNPAID", AsOfDate-D6470, 0)</f>
        <v/>
      </c>
      <c r="J6470">
        <f>IF(F6470&lt;&gt;"", TEXT(F6470, "yyyy-mm"), "")</f>
        <v/>
      </c>
    </row>
    <row r="6471">
      <c r="A6471" t="inlineStr">
        <is>
          <t>RP0006470</t>
        </is>
      </c>
      <c r="B6471" t="inlineStr">
        <is>
          <t>LN200919</t>
        </is>
      </c>
      <c r="C6471" t="n">
        <v>11</v>
      </c>
      <c r="D6471" s="8" t="n">
        <v>46453</v>
      </c>
      <c r="E6471" s="9" t="n">
        <v>9868.5</v>
      </c>
      <c r="F6471" s="8" t="n"/>
      <c r="G6471" s="9" t="n">
        <v>0</v>
      </c>
      <c r="H6471" t="inlineStr">
        <is>
          <t>NOT_DUE</t>
        </is>
      </c>
      <c r="I6471">
        <f>IF(H6471="UNPAID", AsOfDate-D6471, 0)</f>
        <v/>
      </c>
      <c r="J6471">
        <f>IF(F6471&lt;&gt;"", TEXT(F6471, "yyyy-mm"), "")</f>
        <v/>
      </c>
    </row>
    <row r="6472">
      <c r="A6472" t="inlineStr">
        <is>
          <t>RP0006471</t>
        </is>
      </c>
      <c r="B6472" t="inlineStr">
        <is>
          <t>LN200919</t>
        </is>
      </c>
      <c r="C6472" t="n">
        <v>12</v>
      </c>
      <c r="D6472" s="8" t="n">
        <v>46484</v>
      </c>
      <c r="E6472" s="9" t="n">
        <v>9868.5</v>
      </c>
      <c r="F6472" s="8" t="n"/>
      <c r="G6472" s="9" t="n">
        <v>0</v>
      </c>
      <c r="H6472" t="inlineStr">
        <is>
          <t>NOT_DUE</t>
        </is>
      </c>
      <c r="I6472">
        <f>IF(H6472="UNPAID", AsOfDate-D6472, 0)</f>
        <v/>
      </c>
      <c r="J6472">
        <f>IF(F6472&lt;&gt;"", TEXT(F6472, "yyyy-mm"), "")</f>
        <v/>
      </c>
    </row>
    <row r="6473">
      <c r="A6473" t="inlineStr">
        <is>
          <t>RP0006472</t>
        </is>
      </c>
      <c r="B6473" t="inlineStr">
        <is>
          <t>LN200921</t>
        </is>
      </c>
      <c r="C6473" t="n">
        <v>1</v>
      </c>
      <c r="D6473" s="8" t="n">
        <v>46014</v>
      </c>
      <c r="E6473" s="9" t="n">
        <v>6931.83</v>
      </c>
      <c r="F6473" s="8" t="n">
        <v>46033</v>
      </c>
      <c r="G6473" s="9" t="n">
        <v>6931.83</v>
      </c>
      <c r="H6473" t="inlineStr">
        <is>
          <t>PAID_LATE</t>
        </is>
      </c>
      <c r="I6473">
        <f>IF(H6473="UNPAID", AsOfDate-D6473, 0)</f>
        <v/>
      </c>
      <c r="J6473">
        <f>IF(F6473&lt;&gt;"", TEXT(F6473, "yyyy-mm"), "")</f>
        <v/>
      </c>
    </row>
    <row r="6474">
      <c r="A6474" t="inlineStr">
        <is>
          <t>RP0006473</t>
        </is>
      </c>
      <c r="B6474" t="inlineStr">
        <is>
          <t>LN200921</t>
        </is>
      </c>
      <c r="C6474" t="n">
        <v>2</v>
      </c>
      <c r="D6474" s="8" t="n">
        <v>46045</v>
      </c>
      <c r="E6474" s="9" t="n">
        <v>6931.83</v>
      </c>
      <c r="F6474" s="8" t="n">
        <v>46161</v>
      </c>
      <c r="G6474" s="9" t="n">
        <v>6931.83</v>
      </c>
      <c r="H6474" t="inlineStr">
        <is>
          <t>PAID_LATE</t>
        </is>
      </c>
      <c r="I6474">
        <f>IF(H6474="UNPAID", AsOfDate-D6474, 0)</f>
        <v/>
      </c>
      <c r="J6474">
        <f>IF(F6474&lt;&gt;"", TEXT(F6474, "yyyy-mm"), "")</f>
        <v/>
      </c>
    </row>
    <row r="6475">
      <c r="A6475" t="inlineStr">
        <is>
          <t>RP0006474</t>
        </is>
      </c>
      <c r="B6475" t="inlineStr">
        <is>
          <t>LN200921</t>
        </is>
      </c>
      <c r="C6475" t="n">
        <v>3</v>
      </c>
      <c r="D6475" s="8" t="n">
        <v>46076</v>
      </c>
      <c r="E6475" s="9" t="n">
        <v>6931.83</v>
      </c>
      <c r="F6475" s="8" t="n">
        <v>46077</v>
      </c>
      <c r="G6475" s="9" t="n">
        <v>6931.83</v>
      </c>
      <c r="H6475" t="inlineStr">
        <is>
          <t>PAID_ON_TIME</t>
        </is>
      </c>
      <c r="I6475">
        <f>IF(H6475="UNPAID", AsOfDate-D6475, 0)</f>
        <v/>
      </c>
      <c r="J6475">
        <f>IF(F6475&lt;&gt;"", TEXT(F6475, "yyyy-mm"), "")</f>
        <v/>
      </c>
    </row>
    <row r="6476">
      <c r="A6476" t="inlineStr">
        <is>
          <t>RP0006475</t>
        </is>
      </c>
      <c r="B6476" t="inlineStr">
        <is>
          <t>LN200921</t>
        </is>
      </c>
      <c r="C6476" t="n">
        <v>4</v>
      </c>
      <c r="D6476" s="8" t="n">
        <v>46104</v>
      </c>
      <c r="E6476" s="9" t="n">
        <v>6931.83</v>
      </c>
      <c r="F6476" s="8" t="n">
        <v>46186</v>
      </c>
      <c r="G6476" s="9" t="n">
        <v>6931.83</v>
      </c>
      <c r="H6476" t="inlineStr">
        <is>
          <t>PAID_LATE</t>
        </is>
      </c>
      <c r="I6476">
        <f>IF(H6476="UNPAID", AsOfDate-D6476, 0)</f>
        <v/>
      </c>
      <c r="J6476">
        <f>IF(F6476&lt;&gt;"", TEXT(F6476, "yyyy-mm"), "")</f>
        <v/>
      </c>
    </row>
    <row r="6477">
      <c r="A6477" t="inlineStr">
        <is>
          <t>RP0006476</t>
        </is>
      </c>
      <c r="B6477" t="inlineStr">
        <is>
          <t>LN200921</t>
        </is>
      </c>
      <c r="C6477" t="n">
        <v>5</v>
      </c>
      <c r="D6477" s="8" t="n">
        <v>46135</v>
      </c>
      <c r="E6477" s="9" t="n">
        <v>6931.83</v>
      </c>
      <c r="F6477" s="8" t="n">
        <v>46137</v>
      </c>
      <c r="G6477" s="9" t="n">
        <v>6931.83</v>
      </c>
      <c r="H6477" t="inlineStr">
        <is>
          <t>PAID_ON_TIME</t>
        </is>
      </c>
      <c r="I6477">
        <f>IF(H6477="UNPAID", AsOfDate-D6477, 0)</f>
        <v/>
      </c>
      <c r="J6477">
        <f>IF(F6477&lt;&gt;"", TEXT(F6477, "yyyy-mm"), "")</f>
        <v/>
      </c>
    </row>
    <row r="6478">
      <c r="A6478" t="inlineStr">
        <is>
          <t>RP0006477</t>
        </is>
      </c>
      <c r="B6478" t="inlineStr">
        <is>
          <t>LN200921</t>
        </is>
      </c>
      <c r="C6478" t="n">
        <v>6</v>
      </c>
      <c r="D6478" s="8" t="n">
        <v>46165</v>
      </c>
      <c r="E6478" s="9" t="n">
        <v>6931.83</v>
      </c>
      <c r="F6478" s="8" t="n">
        <v>46168</v>
      </c>
      <c r="G6478" s="9" t="n">
        <v>6931.83</v>
      </c>
      <c r="H6478" t="inlineStr">
        <is>
          <t>PAID_ON_TIME</t>
        </is>
      </c>
      <c r="I6478">
        <f>IF(H6478="UNPAID", AsOfDate-D6478, 0)</f>
        <v/>
      </c>
      <c r="J6478">
        <f>IF(F6478&lt;&gt;"", TEXT(F6478, "yyyy-mm"), "")</f>
        <v/>
      </c>
    </row>
    <row r="6479">
      <c r="A6479" t="inlineStr">
        <is>
          <t>RP0006478</t>
        </is>
      </c>
      <c r="B6479" t="inlineStr">
        <is>
          <t>LN200922</t>
        </is>
      </c>
      <c r="C6479" t="n">
        <v>1</v>
      </c>
      <c r="D6479" s="8" t="n">
        <v>46189</v>
      </c>
      <c r="E6479" s="9" t="n">
        <v>6708</v>
      </c>
      <c r="F6479" s="8" t="n">
        <v>46188</v>
      </c>
      <c r="G6479" s="9" t="n">
        <v>6708</v>
      </c>
      <c r="H6479" t="inlineStr">
        <is>
          <t>PAID_ON_TIME</t>
        </is>
      </c>
      <c r="I6479">
        <f>IF(H6479="UNPAID", AsOfDate-D6479, 0)</f>
        <v/>
      </c>
      <c r="J6479">
        <f>IF(F6479&lt;&gt;"", TEXT(F6479, "yyyy-mm"), "")</f>
        <v/>
      </c>
    </row>
    <row r="6480">
      <c r="A6480" t="inlineStr">
        <is>
          <t>RP0006479</t>
        </is>
      </c>
      <c r="B6480" t="inlineStr">
        <is>
          <t>LN200922</t>
        </is>
      </c>
      <c r="C6480" t="n">
        <v>2</v>
      </c>
      <c r="D6480" s="8" t="n">
        <v>46219</v>
      </c>
      <c r="E6480" s="9" t="n">
        <v>6708</v>
      </c>
      <c r="F6480" s="8" t="n">
        <v>46218</v>
      </c>
      <c r="G6480" s="9" t="n">
        <v>6708</v>
      </c>
      <c r="H6480" t="inlineStr">
        <is>
          <t>PAID_ON_TIME</t>
        </is>
      </c>
      <c r="I6480">
        <f>IF(H6480="UNPAID", AsOfDate-D6480, 0)</f>
        <v/>
      </c>
      <c r="J6480">
        <f>IF(F6480&lt;&gt;"", TEXT(F6480, "yyyy-mm"), "")</f>
        <v/>
      </c>
    </row>
    <row r="6481">
      <c r="A6481" t="inlineStr">
        <is>
          <t>RP0006480</t>
        </is>
      </c>
      <c r="B6481" t="inlineStr">
        <is>
          <t>LN200922</t>
        </is>
      </c>
      <c r="C6481" t="n">
        <v>3</v>
      </c>
      <c r="D6481" s="8" t="n">
        <v>46250</v>
      </c>
      <c r="E6481" s="9" t="n">
        <v>6708</v>
      </c>
      <c r="F6481" s="8" t="n">
        <v>46247</v>
      </c>
      <c r="G6481" s="9" t="n">
        <v>6708</v>
      </c>
      <c r="H6481" t="inlineStr">
        <is>
          <t>PAID_ON_TIME</t>
        </is>
      </c>
      <c r="I6481">
        <f>IF(H6481="UNPAID", AsOfDate-D6481, 0)</f>
        <v/>
      </c>
      <c r="J6481">
        <f>IF(F6481&lt;&gt;"", TEXT(F6481, "yyyy-mm"), "")</f>
        <v/>
      </c>
    </row>
    <row r="6482">
      <c r="A6482" t="inlineStr">
        <is>
          <t>RP0006481</t>
        </is>
      </c>
      <c r="B6482" t="inlineStr">
        <is>
          <t>LN200922</t>
        </is>
      </c>
      <c r="C6482" t="n">
        <v>4</v>
      </c>
      <c r="D6482" s="8" t="n">
        <v>46281</v>
      </c>
      <c r="E6482" s="9" t="n">
        <v>6708</v>
      </c>
      <c r="F6482" s="8" t="n"/>
      <c r="G6482" s="9" t="n">
        <v>0</v>
      </c>
      <c r="H6482" t="inlineStr">
        <is>
          <t>NOT_DUE</t>
        </is>
      </c>
      <c r="I6482">
        <f>IF(H6482="UNPAID", AsOfDate-D6482, 0)</f>
        <v/>
      </c>
      <c r="J6482">
        <f>IF(F6482&lt;&gt;"", TEXT(F6482, "yyyy-mm"), "")</f>
        <v/>
      </c>
    </row>
    <row r="6483">
      <c r="A6483" t="inlineStr">
        <is>
          <t>RP0006482</t>
        </is>
      </c>
      <c r="B6483" t="inlineStr">
        <is>
          <t>LN200922</t>
        </is>
      </c>
      <c r="C6483" t="n">
        <v>5</v>
      </c>
      <c r="D6483" s="8" t="n">
        <v>46311</v>
      </c>
      <c r="E6483" s="9" t="n">
        <v>6708</v>
      </c>
      <c r="F6483" s="8" t="n"/>
      <c r="G6483" s="9" t="n">
        <v>0</v>
      </c>
      <c r="H6483" t="inlineStr">
        <is>
          <t>NOT_DUE</t>
        </is>
      </c>
      <c r="I6483">
        <f>IF(H6483="UNPAID", AsOfDate-D6483, 0)</f>
        <v/>
      </c>
      <c r="J6483">
        <f>IF(F6483&lt;&gt;"", TEXT(F6483, "yyyy-mm"), "")</f>
        <v/>
      </c>
    </row>
    <row r="6484">
      <c r="A6484" t="inlineStr">
        <is>
          <t>RP0006483</t>
        </is>
      </c>
      <c r="B6484" t="inlineStr">
        <is>
          <t>LN200922</t>
        </is>
      </c>
      <c r="C6484" t="n">
        <v>6</v>
      </c>
      <c r="D6484" s="8" t="n">
        <v>46342</v>
      </c>
      <c r="E6484" s="9" t="n">
        <v>6708</v>
      </c>
      <c r="F6484" s="8" t="n"/>
      <c r="G6484" s="9" t="n">
        <v>0</v>
      </c>
      <c r="H6484" t="inlineStr">
        <is>
          <t>NOT_DUE</t>
        </is>
      </c>
      <c r="I6484">
        <f>IF(H6484="UNPAID", AsOfDate-D6484, 0)</f>
        <v/>
      </c>
      <c r="J6484">
        <f>IF(F6484&lt;&gt;"", TEXT(F6484, "yyyy-mm"), "")</f>
        <v/>
      </c>
    </row>
    <row r="6485">
      <c r="A6485" t="inlineStr">
        <is>
          <t>RP0006484</t>
        </is>
      </c>
      <c r="B6485" t="inlineStr">
        <is>
          <t>LN200923</t>
        </is>
      </c>
      <c r="C6485" t="n">
        <v>1</v>
      </c>
      <c r="D6485" s="8" t="n">
        <v>46066</v>
      </c>
      <c r="E6485" s="9" t="n">
        <v>8829.33</v>
      </c>
      <c r="F6485" s="8" t="n">
        <v>46069</v>
      </c>
      <c r="G6485" s="9" t="n">
        <v>8829.33</v>
      </c>
      <c r="H6485" t="inlineStr">
        <is>
          <t>PAID_ON_TIME</t>
        </is>
      </c>
      <c r="I6485">
        <f>IF(H6485="UNPAID", AsOfDate-D6485, 0)</f>
        <v/>
      </c>
      <c r="J6485">
        <f>IF(F6485&lt;&gt;"", TEXT(F6485, "yyyy-mm"), "")</f>
        <v/>
      </c>
    </row>
    <row r="6486">
      <c r="A6486" t="inlineStr">
        <is>
          <t>RP0006485</t>
        </is>
      </c>
      <c r="B6486" t="inlineStr">
        <is>
          <t>LN200923</t>
        </is>
      </c>
      <c r="C6486" t="n">
        <v>2</v>
      </c>
      <c r="D6486" s="8" t="n">
        <v>46094</v>
      </c>
      <c r="E6486" s="9" t="n">
        <v>8829.33</v>
      </c>
      <c r="F6486" s="8" t="n">
        <v>46095</v>
      </c>
      <c r="G6486" s="9" t="n">
        <v>8829.33</v>
      </c>
      <c r="H6486" t="inlineStr">
        <is>
          <t>PAID_ON_TIME</t>
        </is>
      </c>
      <c r="I6486">
        <f>IF(H6486="UNPAID", AsOfDate-D6486, 0)</f>
        <v/>
      </c>
      <c r="J6486">
        <f>IF(F6486&lt;&gt;"", TEXT(F6486, "yyyy-mm"), "")</f>
        <v/>
      </c>
    </row>
    <row r="6487">
      <c r="A6487" t="inlineStr">
        <is>
          <t>RP0006486</t>
        </is>
      </c>
      <c r="B6487" t="inlineStr">
        <is>
          <t>LN200923</t>
        </is>
      </c>
      <c r="C6487" t="n">
        <v>3</v>
      </c>
      <c r="D6487" s="8" t="n">
        <v>46125</v>
      </c>
      <c r="E6487" s="9" t="n">
        <v>8829.33</v>
      </c>
      <c r="F6487" s="8" t="n">
        <v>46127</v>
      </c>
      <c r="G6487" s="9" t="n">
        <v>8829.33</v>
      </c>
      <c r="H6487" t="inlineStr">
        <is>
          <t>PAID_ON_TIME</t>
        </is>
      </c>
      <c r="I6487">
        <f>IF(H6487="UNPAID", AsOfDate-D6487, 0)</f>
        <v/>
      </c>
      <c r="J6487">
        <f>IF(F6487&lt;&gt;"", TEXT(F6487, "yyyy-mm"), "")</f>
        <v/>
      </c>
    </row>
    <row r="6488">
      <c r="A6488" t="inlineStr">
        <is>
          <t>RP0006487</t>
        </is>
      </c>
      <c r="B6488" t="inlineStr">
        <is>
          <t>LN200923</t>
        </is>
      </c>
      <c r="C6488" t="n">
        <v>4</v>
      </c>
      <c r="D6488" s="8" t="n">
        <v>46155</v>
      </c>
      <c r="E6488" s="9" t="n">
        <v>8829.33</v>
      </c>
      <c r="F6488" s="8" t="n">
        <v>46153</v>
      </c>
      <c r="G6488" s="9" t="n">
        <v>8829.33</v>
      </c>
      <c r="H6488" t="inlineStr">
        <is>
          <t>PAID_ON_TIME</t>
        </is>
      </c>
      <c r="I6488">
        <f>IF(H6488="UNPAID", AsOfDate-D6488, 0)</f>
        <v/>
      </c>
      <c r="J6488">
        <f>IF(F6488&lt;&gt;"", TEXT(F6488, "yyyy-mm"), "")</f>
        <v/>
      </c>
    </row>
    <row r="6489">
      <c r="A6489" t="inlineStr">
        <is>
          <t>RP0006488</t>
        </is>
      </c>
      <c r="B6489" t="inlineStr">
        <is>
          <t>LN200923</t>
        </is>
      </c>
      <c r="C6489" t="n">
        <v>5</v>
      </c>
      <c r="D6489" s="8" t="n">
        <v>46186</v>
      </c>
      <c r="E6489" s="9" t="n">
        <v>8829.33</v>
      </c>
      <c r="F6489" s="8" t="n">
        <v>46190</v>
      </c>
      <c r="G6489" s="9" t="n">
        <v>8829.33</v>
      </c>
      <c r="H6489" t="inlineStr">
        <is>
          <t>PAID_ON_TIME</t>
        </is>
      </c>
      <c r="I6489">
        <f>IF(H6489="UNPAID", AsOfDate-D6489, 0)</f>
        <v/>
      </c>
      <c r="J6489">
        <f>IF(F6489&lt;&gt;"", TEXT(F6489, "yyyy-mm"), "")</f>
        <v/>
      </c>
    </row>
    <row r="6490">
      <c r="A6490" t="inlineStr">
        <is>
          <t>RP0006489</t>
        </is>
      </c>
      <c r="B6490" t="inlineStr">
        <is>
          <t>LN200923</t>
        </is>
      </c>
      <c r="C6490" t="n">
        <v>6</v>
      </c>
      <c r="D6490" s="8" t="n">
        <v>46216</v>
      </c>
      <c r="E6490" s="9" t="n">
        <v>8829.33</v>
      </c>
      <c r="F6490" s="8" t="n">
        <v>46218</v>
      </c>
      <c r="G6490" s="9" t="n">
        <v>8829.33</v>
      </c>
      <c r="H6490" t="inlineStr">
        <is>
          <t>PAID_ON_TIME</t>
        </is>
      </c>
      <c r="I6490">
        <f>IF(H6490="UNPAID", AsOfDate-D6490, 0)</f>
        <v/>
      </c>
      <c r="J6490">
        <f>IF(F6490&lt;&gt;"", TEXT(F6490, "yyyy-mm"), "")</f>
        <v/>
      </c>
    </row>
    <row r="6491">
      <c r="A6491" t="inlineStr">
        <is>
          <t>RP0006490</t>
        </is>
      </c>
      <c r="B6491" t="inlineStr">
        <is>
          <t>LN200923</t>
        </is>
      </c>
      <c r="C6491" t="n">
        <v>7</v>
      </c>
      <c r="D6491" s="8" t="n">
        <v>46247</v>
      </c>
      <c r="E6491" s="9" t="n">
        <v>8829.33</v>
      </c>
      <c r="F6491" s="8" t="n">
        <v>46246</v>
      </c>
      <c r="G6491" s="9" t="n">
        <v>8829.33</v>
      </c>
      <c r="H6491" t="inlineStr">
        <is>
          <t>PAID_ON_TIME</t>
        </is>
      </c>
      <c r="I6491">
        <f>IF(H6491="UNPAID", AsOfDate-D6491, 0)</f>
        <v/>
      </c>
      <c r="J6491">
        <f>IF(F6491&lt;&gt;"", TEXT(F6491, "yyyy-mm"), "")</f>
        <v/>
      </c>
    </row>
    <row r="6492">
      <c r="A6492" t="inlineStr">
        <is>
          <t>RP0006491</t>
        </is>
      </c>
      <c r="B6492" t="inlineStr">
        <is>
          <t>LN200923</t>
        </is>
      </c>
      <c r="C6492" t="n">
        <v>8</v>
      </c>
      <c r="D6492" s="8" t="n">
        <v>46278</v>
      </c>
      <c r="E6492" s="9" t="n">
        <v>8829.33</v>
      </c>
      <c r="F6492" s="8" t="n"/>
      <c r="G6492" s="9" t="n">
        <v>0</v>
      </c>
      <c r="H6492" t="inlineStr">
        <is>
          <t>NOT_DUE</t>
        </is>
      </c>
      <c r="I6492">
        <f>IF(H6492="UNPAID", AsOfDate-D6492, 0)</f>
        <v/>
      </c>
      <c r="J6492">
        <f>IF(F6492&lt;&gt;"", TEXT(F6492, "yyyy-mm"), "")</f>
        <v/>
      </c>
    </row>
    <row r="6493">
      <c r="A6493" t="inlineStr">
        <is>
          <t>RP0006492</t>
        </is>
      </c>
      <c r="B6493" t="inlineStr">
        <is>
          <t>LN200923</t>
        </is>
      </c>
      <c r="C6493" t="n">
        <v>9</v>
      </c>
      <c r="D6493" s="8" t="n">
        <v>46308</v>
      </c>
      <c r="E6493" s="9" t="n">
        <v>8829.33</v>
      </c>
      <c r="F6493" s="8" t="n"/>
      <c r="G6493" s="9" t="n">
        <v>0</v>
      </c>
      <c r="H6493" t="inlineStr">
        <is>
          <t>NOT_DUE</t>
        </is>
      </c>
      <c r="I6493">
        <f>IF(H6493="UNPAID", AsOfDate-D6493, 0)</f>
        <v/>
      </c>
      <c r="J6493">
        <f>IF(F6493&lt;&gt;"", TEXT(F6493, "yyyy-mm"), "")</f>
        <v/>
      </c>
    </row>
    <row r="6494">
      <c r="A6494" t="inlineStr">
        <is>
          <t>RP0006493</t>
        </is>
      </c>
      <c r="B6494" t="inlineStr">
        <is>
          <t>LN200923</t>
        </is>
      </c>
      <c r="C6494" t="n">
        <v>10</v>
      </c>
      <c r="D6494" s="8" t="n">
        <v>46339</v>
      </c>
      <c r="E6494" s="9" t="n">
        <v>8829.33</v>
      </c>
      <c r="F6494" s="8" t="n"/>
      <c r="G6494" s="9" t="n">
        <v>0</v>
      </c>
      <c r="H6494" t="inlineStr">
        <is>
          <t>NOT_DUE</t>
        </is>
      </c>
      <c r="I6494">
        <f>IF(H6494="UNPAID", AsOfDate-D6494, 0)</f>
        <v/>
      </c>
      <c r="J6494">
        <f>IF(F6494&lt;&gt;"", TEXT(F6494, "yyyy-mm"), "")</f>
        <v/>
      </c>
    </row>
    <row r="6495">
      <c r="A6495" t="inlineStr">
        <is>
          <t>RP0006494</t>
        </is>
      </c>
      <c r="B6495" t="inlineStr">
        <is>
          <t>LN200923</t>
        </is>
      </c>
      <c r="C6495" t="n">
        <v>11</v>
      </c>
      <c r="D6495" s="8" t="n">
        <v>46369</v>
      </c>
      <c r="E6495" s="9" t="n">
        <v>8829.33</v>
      </c>
      <c r="F6495" s="8" t="n"/>
      <c r="G6495" s="9" t="n">
        <v>0</v>
      </c>
      <c r="H6495" t="inlineStr">
        <is>
          <t>NOT_DUE</t>
        </is>
      </c>
      <c r="I6495">
        <f>IF(H6495="UNPAID", AsOfDate-D6495, 0)</f>
        <v/>
      </c>
      <c r="J6495">
        <f>IF(F6495&lt;&gt;"", TEXT(F6495, "yyyy-mm"), "")</f>
        <v/>
      </c>
    </row>
    <row r="6496">
      <c r="A6496" t="inlineStr">
        <is>
          <t>RP0006495</t>
        </is>
      </c>
      <c r="B6496" t="inlineStr">
        <is>
          <t>LN200923</t>
        </is>
      </c>
      <c r="C6496" t="n">
        <v>12</v>
      </c>
      <c r="D6496" s="8" t="n">
        <v>46400</v>
      </c>
      <c r="E6496" s="9" t="n">
        <v>8829.33</v>
      </c>
      <c r="F6496" s="8" t="n"/>
      <c r="G6496" s="9" t="n">
        <v>0</v>
      </c>
      <c r="H6496" t="inlineStr">
        <is>
          <t>NOT_DUE</t>
        </is>
      </c>
      <c r="I6496">
        <f>IF(H6496="UNPAID", AsOfDate-D6496, 0)</f>
        <v/>
      </c>
      <c r="J6496">
        <f>IF(F6496&lt;&gt;"", TEXT(F6496, "yyyy-mm"), "")</f>
        <v/>
      </c>
    </row>
    <row r="6497">
      <c r="A6497" t="inlineStr">
        <is>
          <t>RP0006496</t>
        </is>
      </c>
      <c r="B6497" t="inlineStr">
        <is>
          <t>LN200924</t>
        </is>
      </c>
      <c r="C6497" t="n">
        <v>1</v>
      </c>
      <c r="D6497" s="8" t="n">
        <v>46055</v>
      </c>
      <c r="E6497" s="9" t="n">
        <v>26004</v>
      </c>
      <c r="F6497" s="8" t="n">
        <v>46058</v>
      </c>
      <c r="G6497" s="9" t="n">
        <v>26004</v>
      </c>
      <c r="H6497" t="inlineStr">
        <is>
          <t>PAID_ON_TIME</t>
        </is>
      </c>
      <c r="I6497">
        <f>IF(H6497="UNPAID", AsOfDate-D6497, 0)</f>
        <v/>
      </c>
      <c r="J6497">
        <f>IF(F6497&lt;&gt;"", TEXT(F6497, "yyyy-mm"), "")</f>
        <v/>
      </c>
    </row>
    <row r="6498">
      <c r="A6498" t="inlineStr">
        <is>
          <t>RP0006497</t>
        </is>
      </c>
      <c r="B6498" t="inlineStr">
        <is>
          <t>LN200924</t>
        </is>
      </c>
      <c r="C6498" t="n">
        <v>2</v>
      </c>
      <c r="D6498" s="8" t="n">
        <v>46083</v>
      </c>
      <c r="E6498" s="9" t="n">
        <v>26004</v>
      </c>
      <c r="F6498" s="8" t="n">
        <v>46080</v>
      </c>
      <c r="G6498" s="9" t="n">
        <v>26004</v>
      </c>
      <c r="H6498" t="inlineStr">
        <is>
          <t>PAID_ON_TIME</t>
        </is>
      </c>
      <c r="I6498">
        <f>IF(H6498="UNPAID", AsOfDate-D6498, 0)</f>
        <v/>
      </c>
      <c r="J6498">
        <f>IF(F6498&lt;&gt;"", TEXT(F6498, "yyyy-mm"), "")</f>
        <v/>
      </c>
    </row>
    <row r="6499">
      <c r="A6499" t="inlineStr">
        <is>
          <t>RP0006498</t>
        </is>
      </c>
      <c r="B6499" t="inlineStr">
        <is>
          <t>LN200924</t>
        </is>
      </c>
      <c r="C6499" t="n">
        <v>3</v>
      </c>
      <c r="D6499" s="8" t="n">
        <v>46114</v>
      </c>
      <c r="E6499" s="9" t="n">
        <v>26004</v>
      </c>
      <c r="F6499" s="8" t="n">
        <v>46116</v>
      </c>
      <c r="G6499" s="9" t="n">
        <v>26004</v>
      </c>
      <c r="H6499" t="inlineStr">
        <is>
          <t>PAID_ON_TIME</t>
        </is>
      </c>
      <c r="I6499">
        <f>IF(H6499="UNPAID", AsOfDate-D6499, 0)</f>
        <v/>
      </c>
      <c r="J6499">
        <f>IF(F6499&lt;&gt;"", TEXT(F6499, "yyyy-mm"), "")</f>
        <v/>
      </c>
    </row>
    <row r="6500">
      <c r="A6500" t="inlineStr">
        <is>
          <t>RP0006499</t>
        </is>
      </c>
      <c r="B6500" t="inlineStr">
        <is>
          <t>LN200924</t>
        </is>
      </c>
      <c r="C6500" t="n">
        <v>4</v>
      </c>
      <c r="D6500" s="8" t="n">
        <v>46144</v>
      </c>
      <c r="E6500" s="9" t="n">
        <v>26004</v>
      </c>
      <c r="F6500" s="8" t="n">
        <v>46142</v>
      </c>
      <c r="G6500" s="9" t="n">
        <v>26004</v>
      </c>
      <c r="H6500" t="inlineStr">
        <is>
          <t>PAID_ON_TIME</t>
        </is>
      </c>
      <c r="I6500">
        <f>IF(H6500="UNPAID", AsOfDate-D6500, 0)</f>
        <v/>
      </c>
      <c r="J6500">
        <f>IF(F6500&lt;&gt;"", TEXT(F6500, "yyyy-mm"), "")</f>
        <v/>
      </c>
    </row>
    <row r="6501">
      <c r="A6501" t="inlineStr">
        <is>
          <t>RP0006500</t>
        </is>
      </c>
      <c r="B6501" t="inlineStr">
        <is>
          <t>LN200924</t>
        </is>
      </c>
      <c r="C6501" t="n">
        <v>5</v>
      </c>
      <c r="D6501" s="8" t="n">
        <v>46175</v>
      </c>
      <c r="E6501" s="9" t="n">
        <v>26004</v>
      </c>
      <c r="F6501" s="8" t="n"/>
      <c r="G6501" s="9" t="n">
        <v>0</v>
      </c>
      <c r="H6501" t="inlineStr">
        <is>
          <t>UNPAID</t>
        </is>
      </c>
      <c r="I6501">
        <f>IF(H6501="UNPAID", AsOfDate-D6501, 0)</f>
        <v/>
      </c>
      <c r="J6501">
        <f>IF(F6501&lt;&gt;"", TEXT(F6501, "yyyy-mm"), "")</f>
        <v/>
      </c>
    </row>
    <row r="6502">
      <c r="A6502" t="inlineStr">
        <is>
          <t>RP0006501</t>
        </is>
      </c>
      <c r="B6502" t="inlineStr">
        <is>
          <t>LN200924</t>
        </is>
      </c>
      <c r="C6502" t="n">
        <v>6</v>
      </c>
      <c r="D6502" s="8" t="n">
        <v>46205</v>
      </c>
      <c r="E6502" s="9" t="n">
        <v>26004</v>
      </c>
      <c r="F6502" s="8" t="n"/>
      <c r="G6502" s="9" t="n">
        <v>0</v>
      </c>
      <c r="H6502" t="inlineStr">
        <is>
          <t>UNPAID</t>
        </is>
      </c>
      <c r="I6502">
        <f>IF(H6502="UNPAID", AsOfDate-D6502, 0)</f>
        <v/>
      </c>
      <c r="J6502">
        <f>IF(F6502&lt;&gt;"", TEXT(F6502, "yyyy-mm"), "")</f>
        <v/>
      </c>
    </row>
    <row r="6503">
      <c r="A6503" t="inlineStr">
        <is>
          <t>RP0006502</t>
        </is>
      </c>
      <c r="B6503" t="inlineStr">
        <is>
          <t>LN200924</t>
        </is>
      </c>
      <c r="C6503" t="n">
        <v>7</v>
      </c>
      <c r="D6503" s="8" t="n">
        <v>46236</v>
      </c>
      <c r="E6503" s="9" t="n">
        <v>26004</v>
      </c>
      <c r="F6503" s="8" t="n">
        <v>46233</v>
      </c>
      <c r="G6503" s="9" t="n">
        <v>26004</v>
      </c>
      <c r="H6503" t="inlineStr">
        <is>
          <t>PAID_ON_TIME</t>
        </is>
      </c>
      <c r="I6503">
        <f>IF(H6503="UNPAID", AsOfDate-D6503, 0)</f>
        <v/>
      </c>
      <c r="J6503">
        <f>IF(F6503&lt;&gt;"", TEXT(F6503, "yyyy-mm"), "")</f>
        <v/>
      </c>
    </row>
    <row r="6504">
      <c r="A6504" t="inlineStr">
        <is>
          <t>RP0006503</t>
        </is>
      </c>
      <c r="B6504" t="inlineStr">
        <is>
          <t>LN200924</t>
        </is>
      </c>
      <c r="C6504" t="n">
        <v>8</v>
      </c>
      <c r="D6504" s="8" t="n">
        <v>46267</v>
      </c>
      <c r="E6504" s="9" t="n">
        <v>26004</v>
      </c>
      <c r="F6504" s="8" t="n"/>
      <c r="G6504" s="9" t="n">
        <v>0</v>
      </c>
      <c r="H6504" t="inlineStr">
        <is>
          <t>NOT_DUE</t>
        </is>
      </c>
      <c r="I6504">
        <f>IF(H6504="UNPAID", AsOfDate-D6504, 0)</f>
        <v/>
      </c>
      <c r="J6504">
        <f>IF(F6504&lt;&gt;"", TEXT(F6504, "yyyy-mm"), "")</f>
        <v/>
      </c>
    </row>
    <row r="6505">
      <c r="A6505" t="inlineStr">
        <is>
          <t>RP0006504</t>
        </is>
      </c>
      <c r="B6505" t="inlineStr">
        <is>
          <t>LN200924</t>
        </is>
      </c>
      <c r="C6505" t="n">
        <v>9</v>
      </c>
      <c r="D6505" s="8" t="n">
        <v>46297</v>
      </c>
      <c r="E6505" s="9" t="n">
        <v>26004</v>
      </c>
      <c r="F6505" s="8" t="n"/>
      <c r="G6505" s="9" t="n">
        <v>0</v>
      </c>
      <c r="H6505" t="inlineStr">
        <is>
          <t>NOT_DUE</t>
        </is>
      </c>
      <c r="I6505">
        <f>IF(H6505="UNPAID", AsOfDate-D6505, 0)</f>
        <v/>
      </c>
      <c r="J6505">
        <f>IF(F6505&lt;&gt;"", TEXT(F6505, "yyyy-mm"), "")</f>
        <v/>
      </c>
    </row>
    <row r="6506">
      <c r="A6506" t="inlineStr">
        <is>
          <t>RP0006505</t>
        </is>
      </c>
      <c r="B6506" t="inlineStr">
        <is>
          <t>LN200924</t>
        </is>
      </c>
      <c r="C6506" t="n">
        <v>10</v>
      </c>
      <c r="D6506" s="8" t="n">
        <v>46328</v>
      </c>
      <c r="E6506" s="9" t="n">
        <v>26004</v>
      </c>
      <c r="F6506" s="8" t="n"/>
      <c r="G6506" s="9" t="n">
        <v>0</v>
      </c>
      <c r="H6506" t="inlineStr">
        <is>
          <t>NOT_DUE</t>
        </is>
      </c>
      <c r="I6506">
        <f>IF(H6506="UNPAID", AsOfDate-D6506, 0)</f>
        <v/>
      </c>
      <c r="J6506">
        <f>IF(F6506&lt;&gt;"", TEXT(F6506, "yyyy-mm"), "")</f>
        <v/>
      </c>
    </row>
    <row r="6507">
      <c r="A6507" t="inlineStr">
        <is>
          <t>RP0006506</t>
        </is>
      </c>
      <c r="B6507" t="inlineStr">
        <is>
          <t>LN200924</t>
        </is>
      </c>
      <c r="C6507" t="n">
        <v>11</v>
      </c>
      <c r="D6507" s="8" t="n">
        <v>46358</v>
      </c>
      <c r="E6507" s="9" t="n">
        <v>26004</v>
      </c>
      <c r="F6507" s="8" t="n"/>
      <c r="G6507" s="9" t="n">
        <v>0</v>
      </c>
      <c r="H6507" t="inlineStr">
        <is>
          <t>NOT_DUE</t>
        </is>
      </c>
      <c r="I6507">
        <f>IF(H6507="UNPAID", AsOfDate-D6507, 0)</f>
        <v/>
      </c>
      <c r="J6507">
        <f>IF(F6507&lt;&gt;"", TEXT(F6507, "yyyy-mm"), "")</f>
        <v/>
      </c>
    </row>
    <row r="6508">
      <c r="A6508" t="inlineStr">
        <is>
          <t>RP0006507</t>
        </is>
      </c>
      <c r="B6508" t="inlineStr">
        <is>
          <t>LN200924</t>
        </is>
      </c>
      <c r="C6508" t="n">
        <v>12</v>
      </c>
      <c r="D6508" s="8" t="n">
        <v>46389</v>
      </c>
      <c r="E6508" s="9" t="n">
        <v>26004</v>
      </c>
      <c r="F6508" s="8" t="n"/>
      <c r="G6508" s="9" t="n">
        <v>0</v>
      </c>
      <c r="H6508" t="inlineStr">
        <is>
          <t>NOT_DUE</t>
        </is>
      </c>
      <c r="I6508">
        <f>IF(H6508="UNPAID", AsOfDate-D6508, 0)</f>
        <v/>
      </c>
      <c r="J6508">
        <f>IF(F6508&lt;&gt;"", TEXT(F6508, "yyyy-mm"), "")</f>
        <v/>
      </c>
    </row>
    <row r="6509">
      <c r="A6509" t="inlineStr">
        <is>
          <t>RP0006508</t>
        </is>
      </c>
      <c r="B6509" t="inlineStr">
        <is>
          <t>LN200925</t>
        </is>
      </c>
      <c r="C6509" t="n">
        <v>1</v>
      </c>
      <c r="D6509" s="8" t="n">
        <v>45921</v>
      </c>
      <c r="E6509" s="9" t="n">
        <v>11667.5</v>
      </c>
      <c r="F6509" s="8" t="n">
        <v>45923</v>
      </c>
      <c r="G6509" s="9" t="n">
        <v>11667.5</v>
      </c>
      <c r="H6509" t="inlineStr">
        <is>
          <t>PAID_ON_TIME</t>
        </is>
      </c>
      <c r="I6509">
        <f>IF(H6509="UNPAID", AsOfDate-D6509, 0)</f>
        <v/>
      </c>
      <c r="J6509">
        <f>IF(F6509&lt;&gt;"", TEXT(F6509, "yyyy-mm"), "")</f>
        <v/>
      </c>
    </row>
    <row r="6510">
      <c r="A6510" t="inlineStr">
        <is>
          <t>RP0006509</t>
        </is>
      </c>
      <c r="B6510" t="inlineStr">
        <is>
          <t>LN200925</t>
        </is>
      </c>
      <c r="C6510" t="n">
        <v>2</v>
      </c>
      <c r="D6510" s="8" t="n">
        <v>45951</v>
      </c>
      <c r="E6510" s="9" t="n">
        <v>11667.5</v>
      </c>
      <c r="F6510" s="8" t="n"/>
      <c r="G6510" s="9" t="n">
        <v>0</v>
      </c>
      <c r="H6510" t="inlineStr">
        <is>
          <t>UNPAID</t>
        </is>
      </c>
      <c r="I6510">
        <f>IF(H6510="UNPAID", AsOfDate-D6510, 0)</f>
        <v/>
      </c>
      <c r="J6510">
        <f>IF(F6510&lt;&gt;"", TEXT(F6510, "yyyy-mm"), "")</f>
        <v/>
      </c>
    </row>
    <row r="6511">
      <c r="A6511" t="inlineStr">
        <is>
          <t>RP0006510</t>
        </is>
      </c>
      <c r="B6511" t="inlineStr">
        <is>
          <t>LN200925</t>
        </is>
      </c>
      <c r="C6511" t="n">
        <v>3</v>
      </c>
      <c r="D6511" s="8" t="n">
        <v>45982</v>
      </c>
      <c r="E6511" s="9" t="n">
        <v>11667.5</v>
      </c>
      <c r="F6511" s="8" t="n">
        <v>45982</v>
      </c>
      <c r="G6511" s="9" t="n">
        <v>11667.5</v>
      </c>
      <c r="H6511" t="inlineStr">
        <is>
          <t>PAID_ON_TIME</t>
        </is>
      </c>
      <c r="I6511">
        <f>IF(H6511="UNPAID", AsOfDate-D6511, 0)</f>
        <v/>
      </c>
      <c r="J6511">
        <f>IF(F6511&lt;&gt;"", TEXT(F6511, "yyyy-mm"), "")</f>
        <v/>
      </c>
    </row>
    <row r="6512">
      <c r="A6512" t="inlineStr">
        <is>
          <t>RP0006511</t>
        </is>
      </c>
      <c r="B6512" t="inlineStr">
        <is>
          <t>LN200925</t>
        </is>
      </c>
      <c r="C6512" t="n">
        <v>4</v>
      </c>
      <c r="D6512" s="8" t="n">
        <v>46012</v>
      </c>
      <c r="E6512" s="9" t="n">
        <v>11667.5</v>
      </c>
      <c r="F6512" s="8" t="n">
        <v>46015</v>
      </c>
      <c r="G6512" s="9" t="n">
        <v>11667.5</v>
      </c>
      <c r="H6512" t="inlineStr">
        <is>
          <t>PAID_ON_TIME</t>
        </is>
      </c>
      <c r="I6512">
        <f>IF(H6512="UNPAID", AsOfDate-D6512, 0)</f>
        <v/>
      </c>
      <c r="J6512">
        <f>IF(F6512&lt;&gt;"", TEXT(F6512, "yyyy-mm"), "")</f>
        <v/>
      </c>
    </row>
    <row r="6513">
      <c r="A6513" t="inlineStr">
        <is>
          <t>RP0006512</t>
        </is>
      </c>
      <c r="B6513" t="inlineStr">
        <is>
          <t>LN200925</t>
        </is>
      </c>
      <c r="C6513" t="n">
        <v>5</v>
      </c>
      <c r="D6513" s="8" t="n">
        <v>46043</v>
      </c>
      <c r="E6513" s="9" t="n">
        <v>11667.5</v>
      </c>
      <c r="F6513" s="8" t="n">
        <v>46042</v>
      </c>
      <c r="G6513" s="9" t="n">
        <v>11667.5</v>
      </c>
      <c r="H6513" t="inlineStr">
        <is>
          <t>PAID_ON_TIME</t>
        </is>
      </c>
      <c r="I6513">
        <f>IF(H6513="UNPAID", AsOfDate-D6513, 0)</f>
        <v/>
      </c>
      <c r="J6513">
        <f>IF(F6513&lt;&gt;"", TEXT(F6513, "yyyy-mm"), "")</f>
        <v/>
      </c>
    </row>
    <row r="6514">
      <c r="A6514" t="inlineStr">
        <is>
          <t>RP0006513</t>
        </is>
      </c>
      <c r="B6514" t="inlineStr">
        <is>
          <t>LN200925</t>
        </is>
      </c>
      <c r="C6514" t="n">
        <v>6</v>
      </c>
      <c r="D6514" s="8" t="n">
        <v>46074</v>
      </c>
      <c r="E6514" s="9" t="n">
        <v>11667.5</v>
      </c>
      <c r="F6514" s="8" t="n">
        <v>46188</v>
      </c>
      <c r="G6514" s="9" t="n">
        <v>11667.5</v>
      </c>
      <c r="H6514" t="inlineStr">
        <is>
          <t>PAID_LATE</t>
        </is>
      </c>
      <c r="I6514">
        <f>IF(H6514="UNPAID", AsOfDate-D6514, 0)</f>
        <v/>
      </c>
      <c r="J6514">
        <f>IF(F6514&lt;&gt;"", TEXT(F6514, "yyyy-mm"), "")</f>
        <v/>
      </c>
    </row>
    <row r="6515">
      <c r="A6515" t="inlineStr">
        <is>
          <t>RP0006514</t>
        </is>
      </c>
      <c r="B6515" t="inlineStr">
        <is>
          <t>LN200926</t>
        </is>
      </c>
      <c r="C6515" t="n">
        <v>1</v>
      </c>
      <c r="D6515" s="8" t="n">
        <v>46134</v>
      </c>
      <c r="E6515" s="9" t="n">
        <v>10680</v>
      </c>
      <c r="F6515" s="8" t="n">
        <v>46138</v>
      </c>
      <c r="G6515" s="9" t="n">
        <v>10680</v>
      </c>
      <c r="H6515" t="inlineStr">
        <is>
          <t>PAID_ON_TIME</t>
        </is>
      </c>
      <c r="I6515">
        <f>IF(H6515="UNPAID", AsOfDate-D6515, 0)</f>
        <v/>
      </c>
      <c r="J6515">
        <f>IF(F6515&lt;&gt;"", TEXT(F6515, "yyyy-mm"), "")</f>
        <v/>
      </c>
    </row>
    <row r="6516">
      <c r="A6516" t="inlineStr">
        <is>
          <t>RP0006515</t>
        </is>
      </c>
      <c r="B6516" t="inlineStr">
        <is>
          <t>LN200926</t>
        </is>
      </c>
      <c r="C6516" t="n">
        <v>2</v>
      </c>
      <c r="D6516" s="8" t="n">
        <v>46164</v>
      </c>
      <c r="E6516" s="9" t="n">
        <v>10680</v>
      </c>
      <c r="F6516" s="8" t="n">
        <v>46249</v>
      </c>
      <c r="G6516" s="9" t="n">
        <v>10680</v>
      </c>
      <c r="H6516" t="inlineStr">
        <is>
          <t>PAID_LATE</t>
        </is>
      </c>
      <c r="I6516">
        <f>IF(H6516="UNPAID", AsOfDate-D6516, 0)</f>
        <v/>
      </c>
      <c r="J6516">
        <f>IF(F6516&lt;&gt;"", TEXT(F6516, "yyyy-mm"), "")</f>
        <v/>
      </c>
    </row>
    <row r="6517">
      <c r="A6517" t="inlineStr">
        <is>
          <t>RP0006516</t>
        </is>
      </c>
      <c r="B6517" t="inlineStr">
        <is>
          <t>LN200926</t>
        </is>
      </c>
      <c r="C6517" t="n">
        <v>3</v>
      </c>
      <c r="D6517" s="8" t="n">
        <v>46195</v>
      </c>
      <c r="E6517" s="9" t="n">
        <v>10680</v>
      </c>
      <c r="F6517" s="8" t="n">
        <v>46192</v>
      </c>
      <c r="G6517" s="9" t="n">
        <v>10680</v>
      </c>
      <c r="H6517" t="inlineStr">
        <is>
          <t>PAID_ON_TIME</t>
        </is>
      </c>
      <c r="I6517">
        <f>IF(H6517="UNPAID", AsOfDate-D6517, 0)</f>
        <v/>
      </c>
      <c r="J6517">
        <f>IF(F6517&lt;&gt;"", TEXT(F6517, "yyyy-mm"), "")</f>
        <v/>
      </c>
    </row>
    <row r="6518">
      <c r="A6518" t="inlineStr">
        <is>
          <t>RP0006517</t>
        </is>
      </c>
      <c r="B6518" t="inlineStr">
        <is>
          <t>LN200926</t>
        </is>
      </c>
      <c r="C6518" t="n">
        <v>4</v>
      </c>
      <c r="D6518" s="8" t="n">
        <v>46225</v>
      </c>
      <c r="E6518" s="9" t="n">
        <v>10680</v>
      </c>
      <c r="F6518" s="8" t="n">
        <v>46223</v>
      </c>
      <c r="G6518" s="9" t="n">
        <v>10680</v>
      </c>
      <c r="H6518" t="inlineStr">
        <is>
          <t>PAID_ON_TIME</t>
        </is>
      </c>
      <c r="I6518">
        <f>IF(H6518="UNPAID", AsOfDate-D6518, 0)</f>
        <v/>
      </c>
      <c r="J6518">
        <f>IF(F6518&lt;&gt;"", TEXT(F6518, "yyyy-mm"), "")</f>
        <v/>
      </c>
    </row>
    <row r="6519">
      <c r="A6519" t="inlineStr">
        <is>
          <t>RP0006518</t>
        </is>
      </c>
      <c r="B6519" t="inlineStr">
        <is>
          <t>LN200926</t>
        </is>
      </c>
      <c r="C6519" t="n">
        <v>5</v>
      </c>
      <c r="D6519" s="8" t="n">
        <v>46256</v>
      </c>
      <c r="E6519" s="9" t="n">
        <v>10680</v>
      </c>
      <c r="F6519" s="8" t="n">
        <v>46258</v>
      </c>
      <c r="G6519" s="9" t="n">
        <v>10680</v>
      </c>
      <c r="H6519" t="inlineStr">
        <is>
          <t>PAID_ON_TIME</t>
        </is>
      </c>
      <c r="I6519">
        <f>IF(H6519="UNPAID", AsOfDate-D6519, 0)</f>
        <v/>
      </c>
      <c r="J6519">
        <f>IF(F6519&lt;&gt;"", TEXT(F6519, "yyyy-mm"), "")</f>
        <v/>
      </c>
    </row>
    <row r="6520">
      <c r="A6520" t="inlineStr">
        <is>
          <t>RP0006519</t>
        </is>
      </c>
      <c r="B6520" t="inlineStr">
        <is>
          <t>LN200926</t>
        </is>
      </c>
      <c r="C6520" t="n">
        <v>6</v>
      </c>
      <c r="D6520" s="8" t="n">
        <v>46287</v>
      </c>
      <c r="E6520" s="9" t="n">
        <v>10680</v>
      </c>
      <c r="F6520" s="8" t="n"/>
      <c r="G6520" s="9" t="n">
        <v>0</v>
      </c>
      <c r="H6520" t="inlineStr">
        <is>
          <t>NOT_DUE</t>
        </is>
      </c>
      <c r="I6520">
        <f>IF(H6520="UNPAID", AsOfDate-D6520, 0)</f>
        <v/>
      </c>
      <c r="J6520">
        <f>IF(F6520&lt;&gt;"", TEXT(F6520, "yyyy-mm"), "")</f>
        <v/>
      </c>
    </row>
    <row r="6521">
      <c r="A6521" t="inlineStr">
        <is>
          <t>RP0006520</t>
        </is>
      </c>
      <c r="B6521" t="inlineStr">
        <is>
          <t>LN200927</t>
        </is>
      </c>
      <c r="C6521" t="n">
        <v>1</v>
      </c>
      <c r="D6521" s="8" t="n">
        <v>46262</v>
      </c>
      <c r="E6521" s="9" t="n">
        <v>20208.17</v>
      </c>
      <c r="F6521" s="8" t="n">
        <v>46265</v>
      </c>
      <c r="G6521" s="9" t="n">
        <v>20208.17</v>
      </c>
      <c r="H6521" t="inlineStr">
        <is>
          <t>PAID_ON_TIME</t>
        </is>
      </c>
      <c r="I6521">
        <f>IF(H6521="UNPAID", AsOfDate-D6521, 0)</f>
        <v/>
      </c>
      <c r="J6521">
        <f>IF(F6521&lt;&gt;"", TEXT(F6521, "yyyy-mm"), "")</f>
        <v/>
      </c>
    </row>
    <row r="6522">
      <c r="A6522" t="inlineStr">
        <is>
          <t>RP0006521</t>
        </is>
      </c>
      <c r="B6522" t="inlineStr">
        <is>
          <t>LN200927</t>
        </is>
      </c>
      <c r="C6522" t="n">
        <v>2</v>
      </c>
      <c r="D6522" s="8" t="n">
        <v>46293</v>
      </c>
      <c r="E6522" s="9" t="n">
        <v>20208.17</v>
      </c>
      <c r="F6522" s="8" t="n"/>
      <c r="G6522" s="9" t="n">
        <v>0</v>
      </c>
      <c r="H6522" t="inlineStr">
        <is>
          <t>NOT_DUE</t>
        </is>
      </c>
      <c r="I6522">
        <f>IF(H6522="UNPAID", AsOfDate-D6522, 0)</f>
        <v/>
      </c>
      <c r="J6522">
        <f>IF(F6522&lt;&gt;"", TEXT(F6522, "yyyy-mm"), "")</f>
        <v/>
      </c>
    </row>
    <row r="6523">
      <c r="A6523" t="inlineStr">
        <is>
          <t>RP0006522</t>
        </is>
      </c>
      <c r="B6523" t="inlineStr">
        <is>
          <t>LN200927</t>
        </is>
      </c>
      <c r="C6523" t="n">
        <v>3</v>
      </c>
      <c r="D6523" s="8" t="n">
        <v>46323</v>
      </c>
      <c r="E6523" s="9" t="n">
        <v>20208.17</v>
      </c>
      <c r="F6523" s="8" t="n"/>
      <c r="G6523" s="9" t="n">
        <v>0</v>
      </c>
      <c r="H6523" t="inlineStr">
        <is>
          <t>NOT_DUE</t>
        </is>
      </c>
      <c r="I6523">
        <f>IF(H6523="UNPAID", AsOfDate-D6523, 0)</f>
        <v/>
      </c>
      <c r="J6523">
        <f>IF(F6523&lt;&gt;"", TEXT(F6523, "yyyy-mm"), "")</f>
        <v/>
      </c>
    </row>
    <row r="6524">
      <c r="A6524" t="inlineStr">
        <is>
          <t>RP0006523</t>
        </is>
      </c>
      <c r="B6524" t="inlineStr">
        <is>
          <t>LN200927</t>
        </is>
      </c>
      <c r="C6524" t="n">
        <v>4</v>
      </c>
      <c r="D6524" s="8" t="n">
        <v>46354</v>
      </c>
      <c r="E6524" s="9" t="n">
        <v>20208.17</v>
      </c>
      <c r="F6524" s="8" t="n"/>
      <c r="G6524" s="9" t="n">
        <v>0</v>
      </c>
      <c r="H6524" t="inlineStr">
        <is>
          <t>NOT_DUE</t>
        </is>
      </c>
      <c r="I6524">
        <f>IF(H6524="UNPAID", AsOfDate-D6524, 0)</f>
        <v/>
      </c>
      <c r="J6524">
        <f>IF(F6524&lt;&gt;"", TEXT(F6524, "yyyy-mm"), "")</f>
        <v/>
      </c>
    </row>
    <row r="6525">
      <c r="A6525" t="inlineStr">
        <is>
          <t>RP0006524</t>
        </is>
      </c>
      <c r="B6525" t="inlineStr">
        <is>
          <t>LN200927</t>
        </is>
      </c>
      <c r="C6525" t="n">
        <v>5</v>
      </c>
      <c r="D6525" s="8" t="n">
        <v>46384</v>
      </c>
      <c r="E6525" s="9" t="n">
        <v>20208.17</v>
      </c>
      <c r="F6525" s="8" t="n"/>
      <c r="G6525" s="9" t="n">
        <v>0</v>
      </c>
      <c r="H6525" t="inlineStr">
        <is>
          <t>NOT_DUE</t>
        </is>
      </c>
      <c r="I6525">
        <f>IF(H6525="UNPAID", AsOfDate-D6525, 0)</f>
        <v/>
      </c>
      <c r="J6525">
        <f>IF(F6525&lt;&gt;"", TEXT(F6525, "yyyy-mm"), "")</f>
        <v/>
      </c>
    </row>
    <row r="6526">
      <c r="A6526" t="inlineStr">
        <is>
          <t>RP0006525</t>
        </is>
      </c>
      <c r="B6526" t="inlineStr">
        <is>
          <t>LN200927</t>
        </is>
      </c>
      <c r="C6526" t="n">
        <v>6</v>
      </c>
      <c r="D6526" s="8" t="n">
        <v>46415</v>
      </c>
      <c r="E6526" s="9" t="n">
        <v>20208.17</v>
      </c>
      <c r="F6526" s="8" t="n"/>
      <c r="G6526" s="9" t="n">
        <v>0</v>
      </c>
      <c r="H6526" t="inlineStr">
        <is>
          <t>NOT_DUE</t>
        </is>
      </c>
      <c r="I6526">
        <f>IF(H6526="UNPAID", AsOfDate-D6526, 0)</f>
        <v/>
      </c>
      <c r="J6526">
        <f>IF(F6526&lt;&gt;"", TEXT(F6526, "yyyy-mm"), "")</f>
        <v/>
      </c>
    </row>
    <row r="6527">
      <c r="A6527" t="inlineStr">
        <is>
          <t>RP0006526</t>
        </is>
      </c>
      <c r="B6527" t="inlineStr">
        <is>
          <t>LN200928</t>
        </is>
      </c>
      <c r="C6527" t="n">
        <v>1</v>
      </c>
      <c r="D6527" s="8" t="n">
        <v>45837</v>
      </c>
      <c r="E6527" s="9" t="n">
        <v>4957.78</v>
      </c>
      <c r="F6527" s="8" t="n">
        <v>45841</v>
      </c>
      <c r="G6527" s="9" t="n">
        <v>4957.78</v>
      </c>
      <c r="H6527" t="inlineStr">
        <is>
          <t>PAID_ON_TIME</t>
        </is>
      </c>
      <c r="I6527">
        <f>IF(H6527="UNPAID", AsOfDate-D6527, 0)</f>
        <v/>
      </c>
      <c r="J6527">
        <f>IF(F6527&lt;&gt;"", TEXT(F6527, "yyyy-mm"), "")</f>
        <v/>
      </c>
    </row>
    <row r="6528">
      <c r="A6528" t="inlineStr">
        <is>
          <t>RP0006527</t>
        </is>
      </c>
      <c r="B6528" t="inlineStr">
        <is>
          <t>LN200928</t>
        </is>
      </c>
      <c r="C6528" t="n">
        <v>2</v>
      </c>
      <c r="D6528" s="8" t="n">
        <v>45867</v>
      </c>
      <c r="E6528" s="9" t="n">
        <v>4957.78</v>
      </c>
      <c r="F6528" s="8" t="n">
        <v>45865</v>
      </c>
      <c r="G6528" s="9" t="n">
        <v>4957.78</v>
      </c>
      <c r="H6528" t="inlineStr">
        <is>
          <t>PAID_ON_TIME</t>
        </is>
      </c>
      <c r="I6528">
        <f>IF(H6528="UNPAID", AsOfDate-D6528, 0)</f>
        <v/>
      </c>
      <c r="J6528">
        <f>IF(F6528&lt;&gt;"", TEXT(F6528, "yyyy-mm"), "")</f>
        <v/>
      </c>
    </row>
    <row r="6529">
      <c r="A6529" t="inlineStr">
        <is>
          <t>RP0006528</t>
        </is>
      </c>
      <c r="B6529" t="inlineStr">
        <is>
          <t>LN200928</t>
        </is>
      </c>
      <c r="C6529" t="n">
        <v>3</v>
      </c>
      <c r="D6529" s="8" t="n">
        <v>45898</v>
      </c>
      <c r="E6529" s="9" t="n">
        <v>4957.78</v>
      </c>
      <c r="F6529" s="8" t="n">
        <v>45901</v>
      </c>
      <c r="G6529" s="9" t="n">
        <v>4957.78</v>
      </c>
      <c r="H6529" t="inlineStr">
        <is>
          <t>PAID_ON_TIME</t>
        </is>
      </c>
      <c r="I6529">
        <f>IF(H6529="UNPAID", AsOfDate-D6529, 0)</f>
        <v/>
      </c>
      <c r="J6529">
        <f>IF(F6529&lt;&gt;"", TEXT(F6529, "yyyy-mm"), "")</f>
        <v/>
      </c>
    </row>
    <row r="6530">
      <c r="A6530" t="inlineStr">
        <is>
          <t>RP0006529</t>
        </is>
      </c>
      <c r="B6530" t="inlineStr">
        <is>
          <t>LN200928</t>
        </is>
      </c>
      <c r="C6530" t="n">
        <v>4</v>
      </c>
      <c r="D6530" s="8" t="n">
        <v>45929</v>
      </c>
      <c r="E6530" s="9" t="n">
        <v>4957.78</v>
      </c>
      <c r="F6530" s="8" t="n">
        <v>45926</v>
      </c>
      <c r="G6530" s="9" t="n">
        <v>4957.78</v>
      </c>
      <c r="H6530" t="inlineStr">
        <is>
          <t>PAID_ON_TIME</t>
        </is>
      </c>
      <c r="I6530">
        <f>IF(H6530="UNPAID", AsOfDate-D6530, 0)</f>
        <v/>
      </c>
      <c r="J6530">
        <f>IF(F6530&lt;&gt;"", TEXT(F6530, "yyyy-mm"), "")</f>
        <v/>
      </c>
    </row>
    <row r="6531">
      <c r="A6531" t="inlineStr">
        <is>
          <t>RP0006530</t>
        </is>
      </c>
      <c r="B6531" t="inlineStr">
        <is>
          <t>LN200928</t>
        </is>
      </c>
      <c r="C6531" t="n">
        <v>5</v>
      </c>
      <c r="D6531" s="8" t="n">
        <v>45959</v>
      </c>
      <c r="E6531" s="9" t="n">
        <v>4957.78</v>
      </c>
      <c r="F6531" s="8" t="n">
        <v>45961</v>
      </c>
      <c r="G6531" s="9" t="n">
        <v>4957.78</v>
      </c>
      <c r="H6531" t="inlineStr">
        <is>
          <t>PAID_LATE</t>
        </is>
      </c>
      <c r="I6531">
        <f>IF(H6531="UNPAID", AsOfDate-D6531, 0)</f>
        <v/>
      </c>
      <c r="J6531">
        <f>IF(F6531&lt;&gt;"", TEXT(F6531, "yyyy-mm"), "")</f>
        <v/>
      </c>
    </row>
    <row r="6532">
      <c r="A6532" t="inlineStr">
        <is>
          <t>RP0006531</t>
        </is>
      </c>
      <c r="B6532" t="inlineStr">
        <is>
          <t>LN200928</t>
        </is>
      </c>
      <c r="C6532" t="n">
        <v>6</v>
      </c>
      <c r="D6532" s="8" t="n">
        <v>45990</v>
      </c>
      <c r="E6532" s="9" t="n">
        <v>4957.78</v>
      </c>
      <c r="F6532" s="8" t="n"/>
      <c r="G6532" s="9" t="n">
        <v>0</v>
      </c>
      <c r="H6532" t="inlineStr">
        <is>
          <t>UNPAID</t>
        </is>
      </c>
      <c r="I6532">
        <f>IF(H6532="UNPAID", AsOfDate-D6532, 0)</f>
        <v/>
      </c>
      <c r="J6532">
        <f>IF(F6532&lt;&gt;"", TEXT(F6532, "yyyy-mm"), "")</f>
        <v/>
      </c>
    </row>
    <row r="6533">
      <c r="A6533" t="inlineStr">
        <is>
          <t>RP0006532</t>
        </is>
      </c>
      <c r="B6533" t="inlineStr">
        <is>
          <t>LN200928</t>
        </is>
      </c>
      <c r="C6533" t="n">
        <v>7</v>
      </c>
      <c r="D6533" s="8" t="n">
        <v>46020</v>
      </c>
      <c r="E6533" s="9" t="n">
        <v>4957.78</v>
      </c>
      <c r="F6533" s="8" t="n">
        <v>46023</v>
      </c>
      <c r="G6533" s="9" t="n">
        <v>4957.78</v>
      </c>
      <c r="H6533" t="inlineStr">
        <is>
          <t>PAID_ON_TIME</t>
        </is>
      </c>
      <c r="I6533">
        <f>IF(H6533="UNPAID", AsOfDate-D6533, 0)</f>
        <v/>
      </c>
      <c r="J6533">
        <f>IF(F6533&lt;&gt;"", TEXT(F6533, "yyyy-mm"), "")</f>
        <v/>
      </c>
    </row>
    <row r="6534">
      <c r="A6534" t="inlineStr">
        <is>
          <t>RP0006533</t>
        </is>
      </c>
      <c r="B6534" t="inlineStr">
        <is>
          <t>LN200928</t>
        </is>
      </c>
      <c r="C6534" t="n">
        <v>8</v>
      </c>
      <c r="D6534" s="8" t="n">
        <v>46051</v>
      </c>
      <c r="E6534" s="9" t="n">
        <v>4957.78</v>
      </c>
      <c r="F6534" s="8" t="n">
        <v>46086</v>
      </c>
      <c r="G6534" s="9" t="n">
        <v>4957.78</v>
      </c>
      <c r="H6534" t="inlineStr">
        <is>
          <t>PAID_LATE</t>
        </is>
      </c>
      <c r="I6534">
        <f>IF(H6534="UNPAID", AsOfDate-D6534, 0)</f>
        <v/>
      </c>
      <c r="J6534">
        <f>IF(F6534&lt;&gt;"", TEXT(F6534, "yyyy-mm"), "")</f>
        <v/>
      </c>
    </row>
    <row r="6535">
      <c r="A6535" t="inlineStr">
        <is>
          <t>RP0006534</t>
        </is>
      </c>
      <c r="B6535" t="inlineStr">
        <is>
          <t>LN200928</t>
        </is>
      </c>
      <c r="C6535" t="n">
        <v>9</v>
      </c>
      <c r="D6535" s="8" t="n">
        <v>46081</v>
      </c>
      <c r="E6535" s="9" t="n">
        <v>4957.78</v>
      </c>
      <c r="F6535" s="8" t="n">
        <v>46080</v>
      </c>
      <c r="G6535" s="9" t="n">
        <v>4957.78</v>
      </c>
      <c r="H6535" t="inlineStr">
        <is>
          <t>PAID_ON_TIME</t>
        </is>
      </c>
      <c r="I6535">
        <f>IF(H6535="UNPAID", AsOfDate-D6535, 0)</f>
        <v/>
      </c>
      <c r="J6535">
        <f>IF(F6535&lt;&gt;"", TEXT(F6535, "yyyy-mm"), "")</f>
        <v/>
      </c>
    </row>
    <row r="6536">
      <c r="A6536" t="inlineStr">
        <is>
          <t>RP0006535</t>
        </is>
      </c>
      <c r="B6536" t="inlineStr">
        <is>
          <t>LN200929</t>
        </is>
      </c>
      <c r="C6536" t="n">
        <v>1</v>
      </c>
      <c r="D6536" s="8" t="n">
        <v>45817</v>
      </c>
      <c r="E6536" s="9" t="n">
        <v>45092.67</v>
      </c>
      <c r="F6536" s="8" t="n">
        <v>45814</v>
      </c>
      <c r="G6536" s="9" t="n">
        <v>45092.67</v>
      </c>
      <c r="H6536" t="inlineStr">
        <is>
          <t>PAID_ON_TIME</t>
        </is>
      </c>
      <c r="I6536">
        <f>IF(H6536="UNPAID", AsOfDate-D6536, 0)</f>
        <v/>
      </c>
      <c r="J6536">
        <f>IF(F6536&lt;&gt;"", TEXT(F6536, "yyyy-mm"), "")</f>
        <v/>
      </c>
    </row>
    <row r="6537">
      <c r="A6537" t="inlineStr">
        <is>
          <t>RP0006536</t>
        </is>
      </c>
      <c r="B6537" t="inlineStr">
        <is>
          <t>LN200929</t>
        </is>
      </c>
      <c r="C6537" t="n">
        <v>2</v>
      </c>
      <c r="D6537" s="8" t="n">
        <v>45847</v>
      </c>
      <c r="E6537" s="9" t="n">
        <v>45092.67</v>
      </c>
      <c r="F6537" s="8" t="n">
        <v>45846</v>
      </c>
      <c r="G6537" s="9" t="n">
        <v>45092.67</v>
      </c>
      <c r="H6537" t="inlineStr">
        <is>
          <t>PAID_ON_TIME</t>
        </is>
      </c>
      <c r="I6537">
        <f>IF(H6537="UNPAID", AsOfDate-D6537, 0)</f>
        <v/>
      </c>
      <c r="J6537">
        <f>IF(F6537&lt;&gt;"", TEXT(F6537, "yyyy-mm"), "")</f>
        <v/>
      </c>
    </row>
    <row r="6538">
      <c r="A6538" t="inlineStr">
        <is>
          <t>RP0006537</t>
        </is>
      </c>
      <c r="B6538" t="inlineStr">
        <is>
          <t>LN200929</t>
        </is>
      </c>
      <c r="C6538" t="n">
        <v>3</v>
      </c>
      <c r="D6538" s="8" t="n">
        <v>45878</v>
      </c>
      <c r="E6538" s="9" t="n">
        <v>45092.67</v>
      </c>
      <c r="F6538" s="8" t="n">
        <v>45880</v>
      </c>
      <c r="G6538" s="9" t="n">
        <v>45092.67</v>
      </c>
      <c r="H6538" t="inlineStr">
        <is>
          <t>PAID_ON_TIME</t>
        </is>
      </c>
      <c r="I6538">
        <f>IF(H6538="UNPAID", AsOfDate-D6538, 0)</f>
        <v/>
      </c>
      <c r="J6538">
        <f>IF(F6538&lt;&gt;"", TEXT(F6538, "yyyy-mm"), "")</f>
        <v/>
      </c>
    </row>
    <row r="6539">
      <c r="A6539" t="inlineStr">
        <is>
          <t>RP0006538</t>
        </is>
      </c>
      <c r="B6539" t="inlineStr">
        <is>
          <t>LN200929</t>
        </is>
      </c>
      <c r="C6539" t="n">
        <v>4</v>
      </c>
      <c r="D6539" s="8" t="n">
        <v>45909</v>
      </c>
      <c r="E6539" s="9" t="n">
        <v>45092.67</v>
      </c>
      <c r="F6539" s="8" t="n">
        <v>45911</v>
      </c>
      <c r="G6539" s="9" t="n">
        <v>45092.67</v>
      </c>
      <c r="H6539" t="inlineStr">
        <is>
          <t>PAID_ON_TIME</t>
        </is>
      </c>
      <c r="I6539">
        <f>IF(H6539="UNPAID", AsOfDate-D6539, 0)</f>
        <v/>
      </c>
      <c r="J6539">
        <f>IF(F6539&lt;&gt;"", TEXT(F6539, "yyyy-mm"), "")</f>
        <v/>
      </c>
    </row>
    <row r="6540">
      <c r="A6540" t="inlineStr">
        <is>
          <t>RP0006539</t>
        </is>
      </c>
      <c r="B6540" t="inlineStr">
        <is>
          <t>LN200929</t>
        </is>
      </c>
      <c r="C6540" t="n">
        <v>5</v>
      </c>
      <c r="D6540" s="8" t="n">
        <v>45939</v>
      </c>
      <c r="E6540" s="9" t="n">
        <v>45092.67</v>
      </c>
      <c r="F6540" s="8" t="n">
        <v>45941</v>
      </c>
      <c r="G6540" s="9" t="n">
        <v>45092.67</v>
      </c>
      <c r="H6540" t="inlineStr">
        <is>
          <t>PAID_ON_TIME</t>
        </is>
      </c>
      <c r="I6540">
        <f>IF(H6540="UNPAID", AsOfDate-D6540, 0)</f>
        <v/>
      </c>
      <c r="J6540">
        <f>IF(F6540&lt;&gt;"", TEXT(F6540, "yyyy-mm"), "")</f>
        <v/>
      </c>
    </row>
    <row r="6541">
      <c r="A6541" t="inlineStr">
        <is>
          <t>RP0006540</t>
        </is>
      </c>
      <c r="B6541" t="inlineStr">
        <is>
          <t>LN200929</t>
        </is>
      </c>
      <c r="C6541" t="n">
        <v>6</v>
      </c>
      <c r="D6541" s="8" t="n">
        <v>45970</v>
      </c>
      <c r="E6541" s="9" t="n">
        <v>45092.67</v>
      </c>
      <c r="F6541" s="8" t="n"/>
      <c r="G6541" s="9" t="n">
        <v>0</v>
      </c>
      <c r="H6541" t="inlineStr">
        <is>
          <t>UNPAID</t>
        </is>
      </c>
      <c r="I6541">
        <f>IF(H6541="UNPAID", AsOfDate-D6541, 0)</f>
        <v/>
      </c>
      <c r="J6541">
        <f>IF(F6541&lt;&gt;"", TEXT(F6541, "yyyy-mm"), "")</f>
        <v/>
      </c>
    </row>
    <row r="6542">
      <c r="A6542" t="inlineStr">
        <is>
          <t>RP0006541</t>
        </is>
      </c>
      <c r="B6542" t="inlineStr">
        <is>
          <t>LN200930</t>
        </is>
      </c>
      <c r="C6542" t="n">
        <v>1</v>
      </c>
      <c r="D6542" s="8" t="n">
        <v>46051</v>
      </c>
      <c r="E6542" s="9" t="n">
        <v>24365.67</v>
      </c>
      <c r="F6542" s="8" t="n">
        <v>46052</v>
      </c>
      <c r="G6542" s="9" t="n">
        <v>24365.67</v>
      </c>
      <c r="H6542" t="inlineStr">
        <is>
          <t>PAID_ON_TIME</t>
        </is>
      </c>
      <c r="I6542">
        <f>IF(H6542="UNPAID", AsOfDate-D6542, 0)</f>
        <v/>
      </c>
      <c r="J6542">
        <f>IF(F6542&lt;&gt;"", TEXT(F6542, "yyyy-mm"), "")</f>
        <v/>
      </c>
    </row>
    <row r="6543">
      <c r="A6543" t="inlineStr">
        <is>
          <t>RP0006542</t>
        </is>
      </c>
      <c r="B6543" t="inlineStr">
        <is>
          <t>LN200930</t>
        </is>
      </c>
      <c r="C6543" t="n">
        <v>2</v>
      </c>
      <c r="D6543" s="8" t="n">
        <v>46081</v>
      </c>
      <c r="E6543" s="9" t="n">
        <v>24365.67</v>
      </c>
      <c r="F6543" s="8" t="n">
        <v>46080</v>
      </c>
      <c r="G6543" s="9" t="n">
        <v>24365.67</v>
      </c>
      <c r="H6543" t="inlineStr">
        <is>
          <t>PAID_ON_TIME</t>
        </is>
      </c>
      <c r="I6543">
        <f>IF(H6543="UNPAID", AsOfDate-D6543, 0)</f>
        <v/>
      </c>
      <c r="J6543">
        <f>IF(F6543&lt;&gt;"", TEXT(F6543, "yyyy-mm"), "")</f>
        <v/>
      </c>
    </row>
    <row r="6544">
      <c r="A6544" t="inlineStr">
        <is>
          <t>RP0006543</t>
        </is>
      </c>
      <c r="B6544" t="inlineStr">
        <is>
          <t>LN200930</t>
        </is>
      </c>
      <c r="C6544" t="n">
        <v>3</v>
      </c>
      <c r="D6544" s="8" t="n">
        <v>46110</v>
      </c>
      <c r="E6544" s="9" t="n">
        <v>24365.67</v>
      </c>
      <c r="F6544" s="8" t="n">
        <v>46107</v>
      </c>
      <c r="G6544" s="9" t="n">
        <v>24365.67</v>
      </c>
      <c r="H6544" t="inlineStr">
        <is>
          <t>PAID_ON_TIME</t>
        </is>
      </c>
      <c r="I6544">
        <f>IF(H6544="UNPAID", AsOfDate-D6544, 0)</f>
        <v/>
      </c>
      <c r="J6544">
        <f>IF(F6544&lt;&gt;"", TEXT(F6544, "yyyy-mm"), "")</f>
        <v/>
      </c>
    </row>
    <row r="6545">
      <c r="A6545" t="inlineStr">
        <is>
          <t>RP0006544</t>
        </is>
      </c>
      <c r="B6545" t="inlineStr">
        <is>
          <t>LN200930</t>
        </is>
      </c>
      <c r="C6545" t="n">
        <v>4</v>
      </c>
      <c r="D6545" s="8" t="n">
        <v>46141</v>
      </c>
      <c r="E6545" s="9" t="n">
        <v>24365.67</v>
      </c>
      <c r="F6545" s="8" t="n">
        <v>46141</v>
      </c>
      <c r="G6545" s="9" t="n">
        <v>24365.67</v>
      </c>
      <c r="H6545" t="inlineStr">
        <is>
          <t>PAID_ON_TIME</t>
        </is>
      </c>
      <c r="I6545">
        <f>IF(H6545="UNPAID", AsOfDate-D6545, 0)</f>
        <v/>
      </c>
      <c r="J6545">
        <f>IF(F6545&lt;&gt;"", TEXT(F6545, "yyyy-mm"), "")</f>
        <v/>
      </c>
    </row>
    <row r="6546">
      <c r="A6546" t="inlineStr">
        <is>
          <t>RP0006545</t>
        </is>
      </c>
      <c r="B6546" t="inlineStr">
        <is>
          <t>LN200930</t>
        </is>
      </c>
      <c r="C6546" t="n">
        <v>5</v>
      </c>
      <c r="D6546" s="8" t="n">
        <v>46171</v>
      </c>
      <c r="E6546" s="9" t="n">
        <v>24365.67</v>
      </c>
      <c r="F6546" s="8" t="n"/>
      <c r="G6546" s="9" t="n">
        <v>0</v>
      </c>
      <c r="H6546" t="inlineStr">
        <is>
          <t>UNPAID</t>
        </is>
      </c>
      <c r="I6546">
        <f>IF(H6546="UNPAID", AsOfDate-D6546, 0)</f>
        <v/>
      </c>
      <c r="J6546">
        <f>IF(F6546&lt;&gt;"", TEXT(F6546, "yyyy-mm"), "")</f>
        <v/>
      </c>
    </row>
    <row r="6547">
      <c r="A6547" t="inlineStr">
        <is>
          <t>RP0006546</t>
        </is>
      </c>
      <c r="B6547" t="inlineStr">
        <is>
          <t>LN200930</t>
        </is>
      </c>
      <c r="C6547" t="n">
        <v>6</v>
      </c>
      <c r="D6547" s="8" t="n">
        <v>46202</v>
      </c>
      <c r="E6547" s="9" t="n">
        <v>24365.67</v>
      </c>
      <c r="F6547" s="8" t="n">
        <v>46252</v>
      </c>
      <c r="G6547" s="9" t="n">
        <v>24365.67</v>
      </c>
      <c r="H6547" t="inlineStr">
        <is>
          <t>PAID_LATE</t>
        </is>
      </c>
      <c r="I6547">
        <f>IF(H6547="UNPAID", AsOfDate-D6547, 0)</f>
        <v/>
      </c>
      <c r="J6547">
        <f>IF(F6547&lt;&gt;"", TEXT(F6547, "yyyy-mm"), "")</f>
        <v/>
      </c>
    </row>
    <row r="6548">
      <c r="A6548" t="inlineStr">
        <is>
          <t>RP0006547</t>
        </is>
      </c>
      <c r="B6548" t="inlineStr">
        <is>
          <t>LN200931</t>
        </is>
      </c>
      <c r="C6548" t="n">
        <v>1</v>
      </c>
      <c r="D6548" s="8" t="n">
        <v>45801</v>
      </c>
      <c r="E6548" s="9" t="n">
        <v>73093.92</v>
      </c>
      <c r="F6548" s="8" t="n">
        <v>45801</v>
      </c>
      <c r="G6548" s="9" t="n">
        <v>73093.92</v>
      </c>
      <c r="H6548" t="inlineStr">
        <is>
          <t>PAID_ON_TIME</t>
        </is>
      </c>
      <c r="I6548">
        <f>IF(H6548="UNPAID", AsOfDate-D6548, 0)</f>
        <v/>
      </c>
      <c r="J6548">
        <f>IF(F6548&lt;&gt;"", TEXT(F6548, "yyyy-mm"), "")</f>
        <v/>
      </c>
    </row>
    <row r="6549">
      <c r="A6549" t="inlineStr">
        <is>
          <t>RP0006548</t>
        </is>
      </c>
      <c r="B6549" t="inlineStr">
        <is>
          <t>LN200931</t>
        </is>
      </c>
      <c r="C6549" t="n">
        <v>2</v>
      </c>
      <c r="D6549" s="8" t="n">
        <v>45832</v>
      </c>
      <c r="E6549" s="9" t="n">
        <v>73093.92</v>
      </c>
      <c r="F6549" s="8" t="n">
        <v>45836</v>
      </c>
      <c r="G6549" s="9" t="n">
        <v>73093.92</v>
      </c>
      <c r="H6549" t="inlineStr">
        <is>
          <t>PAID_ON_TIME</t>
        </is>
      </c>
      <c r="I6549">
        <f>IF(H6549="UNPAID", AsOfDate-D6549, 0)</f>
        <v/>
      </c>
      <c r="J6549">
        <f>IF(F6549&lt;&gt;"", TEXT(F6549, "yyyy-mm"), "")</f>
        <v/>
      </c>
    </row>
    <row r="6550">
      <c r="A6550" t="inlineStr">
        <is>
          <t>RP0006549</t>
        </is>
      </c>
      <c r="B6550" t="inlineStr">
        <is>
          <t>LN200931</t>
        </is>
      </c>
      <c r="C6550" t="n">
        <v>3</v>
      </c>
      <c r="D6550" s="8" t="n">
        <v>45862</v>
      </c>
      <c r="E6550" s="9" t="n">
        <v>73093.92</v>
      </c>
      <c r="F6550" s="8" t="n">
        <v>45865</v>
      </c>
      <c r="G6550" s="9" t="n">
        <v>73093.92</v>
      </c>
      <c r="H6550" t="inlineStr">
        <is>
          <t>PAID_ON_TIME</t>
        </is>
      </c>
      <c r="I6550">
        <f>IF(H6550="UNPAID", AsOfDate-D6550, 0)</f>
        <v/>
      </c>
      <c r="J6550">
        <f>IF(F6550&lt;&gt;"", TEXT(F6550, "yyyy-mm"), "")</f>
        <v/>
      </c>
    </row>
    <row r="6551">
      <c r="A6551" t="inlineStr">
        <is>
          <t>RP0006550</t>
        </is>
      </c>
      <c r="B6551" t="inlineStr">
        <is>
          <t>LN200932</t>
        </is>
      </c>
      <c r="C6551" t="n">
        <v>1</v>
      </c>
      <c r="D6551" s="8" t="n">
        <v>46165</v>
      </c>
      <c r="E6551" s="9" t="n">
        <v>18383</v>
      </c>
      <c r="F6551" s="8" t="n">
        <v>46169</v>
      </c>
      <c r="G6551" s="9" t="n">
        <v>18383</v>
      </c>
      <c r="H6551" t="inlineStr">
        <is>
          <t>PAID_ON_TIME</t>
        </is>
      </c>
      <c r="I6551">
        <f>IF(H6551="UNPAID", AsOfDate-D6551, 0)</f>
        <v/>
      </c>
      <c r="J6551">
        <f>IF(F6551&lt;&gt;"", TEXT(F6551, "yyyy-mm"), "")</f>
        <v/>
      </c>
    </row>
    <row r="6552">
      <c r="A6552" t="inlineStr">
        <is>
          <t>RP0006551</t>
        </is>
      </c>
      <c r="B6552" t="inlineStr">
        <is>
          <t>LN200932</t>
        </is>
      </c>
      <c r="C6552" t="n">
        <v>2</v>
      </c>
      <c r="D6552" s="8" t="n">
        <v>46196</v>
      </c>
      <c r="E6552" s="9" t="n">
        <v>18383</v>
      </c>
      <c r="F6552" s="8" t="n"/>
      <c r="G6552" s="9" t="n">
        <v>0</v>
      </c>
      <c r="H6552" t="inlineStr">
        <is>
          <t>UNPAID</t>
        </is>
      </c>
      <c r="I6552">
        <f>IF(H6552="UNPAID", AsOfDate-D6552, 0)</f>
        <v/>
      </c>
      <c r="J6552">
        <f>IF(F6552&lt;&gt;"", TEXT(F6552, "yyyy-mm"), "")</f>
        <v/>
      </c>
    </row>
    <row r="6553">
      <c r="A6553" t="inlineStr">
        <is>
          <t>RP0006552</t>
        </is>
      </c>
      <c r="B6553" t="inlineStr">
        <is>
          <t>LN200932</t>
        </is>
      </c>
      <c r="C6553" t="n">
        <v>3</v>
      </c>
      <c r="D6553" s="8" t="n">
        <v>46226</v>
      </c>
      <c r="E6553" s="9" t="n">
        <v>18383</v>
      </c>
      <c r="F6553" s="8" t="n"/>
      <c r="G6553" s="9" t="n">
        <v>0</v>
      </c>
      <c r="H6553" t="inlineStr">
        <is>
          <t>UNPAID</t>
        </is>
      </c>
      <c r="I6553">
        <f>IF(H6553="UNPAID", AsOfDate-D6553, 0)</f>
        <v/>
      </c>
      <c r="J6553">
        <f>IF(F6553&lt;&gt;"", TEXT(F6553, "yyyy-mm"), "")</f>
        <v/>
      </c>
    </row>
    <row r="6554">
      <c r="A6554" t="inlineStr">
        <is>
          <t>RP0006553</t>
        </is>
      </c>
      <c r="B6554" t="inlineStr">
        <is>
          <t>LN200932</t>
        </is>
      </c>
      <c r="C6554" t="n">
        <v>4</v>
      </c>
      <c r="D6554" s="8" t="n">
        <v>46257</v>
      </c>
      <c r="E6554" s="9" t="n">
        <v>18383</v>
      </c>
      <c r="F6554" s="8" t="n">
        <v>46256</v>
      </c>
      <c r="G6554" s="9" t="n">
        <v>18383</v>
      </c>
      <c r="H6554" t="inlineStr">
        <is>
          <t>PAID_ON_TIME</t>
        </is>
      </c>
      <c r="I6554">
        <f>IF(H6554="UNPAID", AsOfDate-D6554, 0)</f>
        <v/>
      </c>
      <c r="J6554">
        <f>IF(F6554&lt;&gt;"", TEXT(F6554, "yyyy-mm"), "")</f>
        <v/>
      </c>
    </row>
    <row r="6555">
      <c r="A6555" t="inlineStr">
        <is>
          <t>RP0006554</t>
        </is>
      </c>
      <c r="B6555" t="inlineStr">
        <is>
          <t>LN200932</t>
        </is>
      </c>
      <c r="C6555" t="n">
        <v>5</v>
      </c>
      <c r="D6555" s="8" t="n">
        <v>46288</v>
      </c>
      <c r="E6555" s="9" t="n">
        <v>18383</v>
      </c>
      <c r="F6555" s="8" t="n"/>
      <c r="G6555" s="9" t="n">
        <v>0</v>
      </c>
      <c r="H6555" t="inlineStr">
        <is>
          <t>NOT_DUE</t>
        </is>
      </c>
      <c r="I6555">
        <f>IF(H6555="UNPAID", AsOfDate-D6555, 0)</f>
        <v/>
      </c>
      <c r="J6555">
        <f>IF(F6555&lt;&gt;"", TEXT(F6555, "yyyy-mm"), "")</f>
        <v/>
      </c>
    </row>
    <row r="6556">
      <c r="A6556" t="inlineStr">
        <is>
          <t>RP0006555</t>
        </is>
      </c>
      <c r="B6556" t="inlineStr">
        <is>
          <t>LN200932</t>
        </is>
      </c>
      <c r="C6556" t="n">
        <v>6</v>
      </c>
      <c r="D6556" s="8" t="n">
        <v>46318</v>
      </c>
      <c r="E6556" s="9" t="n">
        <v>18383</v>
      </c>
      <c r="F6556" s="8" t="n"/>
      <c r="G6556" s="9" t="n">
        <v>0</v>
      </c>
      <c r="H6556" t="inlineStr">
        <is>
          <t>NOT_DUE</t>
        </is>
      </c>
      <c r="I6556">
        <f>IF(H6556="UNPAID", AsOfDate-D6556, 0)</f>
        <v/>
      </c>
      <c r="J6556">
        <f>IF(F6556&lt;&gt;"", TEXT(F6556, "yyyy-mm"), "")</f>
        <v/>
      </c>
    </row>
    <row r="6557">
      <c r="A6557" t="inlineStr">
        <is>
          <t>RP0006556</t>
        </is>
      </c>
      <c r="B6557" t="inlineStr">
        <is>
          <t>LN200932</t>
        </is>
      </c>
      <c r="C6557" t="n">
        <v>7</v>
      </c>
      <c r="D6557" s="8" t="n">
        <v>46349</v>
      </c>
      <c r="E6557" s="9" t="n">
        <v>18383</v>
      </c>
      <c r="F6557" s="8" t="n"/>
      <c r="G6557" s="9" t="n">
        <v>0</v>
      </c>
      <c r="H6557" t="inlineStr">
        <is>
          <t>NOT_DUE</t>
        </is>
      </c>
      <c r="I6557">
        <f>IF(H6557="UNPAID", AsOfDate-D6557, 0)</f>
        <v/>
      </c>
      <c r="J6557">
        <f>IF(F6557&lt;&gt;"", TEXT(F6557, "yyyy-mm"), "")</f>
        <v/>
      </c>
    </row>
    <row r="6558">
      <c r="A6558" t="inlineStr">
        <is>
          <t>RP0006557</t>
        </is>
      </c>
      <c r="B6558" t="inlineStr">
        <is>
          <t>LN200932</t>
        </is>
      </c>
      <c r="C6558" t="n">
        <v>8</v>
      </c>
      <c r="D6558" s="8" t="n">
        <v>46379</v>
      </c>
      <c r="E6558" s="9" t="n">
        <v>18383</v>
      </c>
      <c r="F6558" s="8" t="n"/>
      <c r="G6558" s="9" t="n">
        <v>0</v>
      </c>
      <c r="H6558" t="inlineStr">
        <is>
          <t>NOT_DUE</t>
        </is>
      </c>
      <c r="I6558">
        <f>IF(H6558="UNPAID", AsOfDate-D6558, 0)</f>
        <v/>
      </c>
      <c r="J6558">
        <f>IF(F6558&lt;&gt;"", TEXT(F6558, "yyyy-mm"), "")</f>
        <v/>
      </c>
    </row>
    <row r="6559">
      <c r="A6559" t="inlineStr">
        <is>
          <t>RP0006558</t>
        </is>
      </c>
      <c r="B6559" t="inlineStr">
        <is>
          <t>LN200932</t>
        </is>
      </c>
      <c r="C6559" t="n">
        <v>9</v>
      </c>
      <c r="D6559" s="8" t="n">
        <v>46410</v>
      </c>
      <c r="E6559" s="9" t="n">
        <v>18383</v>
      </c>
      <c r="F6559" s="8" t="n"/>
      <c r="G6559" s="9" t="n">
        <v>0</v>
      </c>
      <c r="H6559" t="inlineStr">
        <is>
          <t>NOT_DUE</t>
        </is>
      </c>
      <c r="I6559">
        <f>IF(H6559="UNPAID", AsOfDate-D6559, 0)</f>
        <v/>
      </c>
      <c r="J6559">
        <f>IF(F6559&lt;&gt;"", TEXT(F6559, "yyyy-mm"), "")</f>
        <v/>
      </c>
    </row>
    <row r="6560">
      <c r="A6560" t="inlineStr">
        <is>
          <t>RP0006559</t>
        </is>
      </c>
      <c r="B6560" t="inlineStr">
        <is>
          <t>LN200932</t>
        </is>
      </c>
      <c r="C6560" t="n">
        <v>10</v>
      </c>
      <c r="D6560" s="8" t="n">
        <v>46441</v>
      </c>
      <c r="E6560" s="9" t="n">
        <v>18383</v>
      </c>
      <c r="F6560" s="8" t="n"/>
      <c r="G6560" s="9" t="n">
        <v>0</v>
      </c>
      <c r="H6560" t="inlineStr">
        <is>
          <t>NOT_DUE</t>
        </is>
      </c>
      <c r="I6560">
        <f>IF(H6560="UNPAID", AsOfDate-D6560, 0)</f>
        <v/>
      </c>
      <c r="J6560">
        <f>IF(F6560&lt;&gt;"", TEXT(F6560, "yyyy-mm"), "")</f>
        <v/>
      </c>
    </row>
    <row r="6561">
      <c r="A6561" t="inlineStr">
        <is>
          <t>RP0006560</t>
        </is>
      </c>
      <c r="B6561" t="inlineStr">
        <is>
          <t>LN200932</t>
        </is>
      </c>
      <c r="C6561" t="n">
        <v>11</v>
      </c>
      <c r="D6561" s="8" t="n">
        <v>46469</v>
      </c>
      <c r="E6561" s="9" t="n">
        <v>18383</v>
      </c>
      <c r="F6561" s="8" t="n"/>
      <c r="G6561" s="9" t="n">
        <v>0</v>
      </c>
      <c r="H6561" t="inlineStr">
        <is>
          <t>NOT_DUE</t>
        </is>
      </c>
      <c r="I6561">
        <f>IF(H6561="UNPAID", AsOfDate-D6561, 0)</f>
        <v/>
      </c>
      <c r="J6561">
        <f>IF(F6561&lt;&gt;"", TEXT(F6561, "yyyy-mm"), "")</f>
        <v/>
      </c>
    </row>
    <row r="6562">
      <c r="A6562" t="inlineStr">
        <is>
          <t>RP0006561</t>
        </is>
      </c>
      <c r="B6562" t="inlineStr">
        <is>
          <t>LN200932</t>
        </is>
      </c>
      <c r="C6562" t="n">
        <v>12</v>
      </c>
      <c r="D6562" s="8" t="n">
        <v>46500</v>
      </c>
      <c r="E6562" s="9" t="n">
        <v>18383</v>
      </c>
      <c r="F6562" s="8" t="n"/>
      <c r="G6562" s="9" t="n">
        <v>0</v>
      </c>
      <c r="H6562" t="inlineStr">
        <is>
          <t>NOT_DUE</t>
        </is>
      </c>
      <c r="I6562">
        <f>IF(H6562="UNPAID", AsOfDate-D6562, 0)</f>
        <v/>
      </c>
      <c r="J6562">
        <f>IF(F6562&lt;&gt;"", TEXT(F6562, "yyyy-mm"), "")</f>
        <v/>
      </c>
    </row>
    <row r="6563">
      <c r="A6563" t="inlineStr">
        <is>
          <t>RP0006562</t>
        </is>
      </c>
      <c r="B6563" t="inlineStr">
        <is>
          <t>LN200933</t>
        </is>
      </c>
      <c r="C6563" t="n">
        <v>1</v>
      </c>
      <c r="D6563" s="8" t="n">
        <v>45826</v>
      </c>
      <c r="E6563" s="9" t="n">
        <v>6805.67</v>
      </c>
      <c r="F6563" s="8" t="n">
        <v>45829</v>
      </c>
      <c r="G6563" s="9" t="n">
        <v>6805.67</v>
      </c>
      <c r="H6563" t="inlineStr">
        <is>
          <t>PAID_ON_TIME</t>
        </is>
      </c>
      <c r="I6563">
        <f>IF(H6563="UNPAID", AsOfDate-D6563, 0)</f>
        <v/>
      </c>
      <c r="J6563">
        <f>IF(F6563&lt;&gt;"", TEXT(F6563, "yyyy-mm"), "")</f>
        <v/>
      </c>
    </row>
    <row r="6564">
      <c r="A6564" t="inlineStr">
        <is>
          <t>RP0006563</t>
        </is>
      </c>
      <c r="B6564" t="inlineStr">
        <is>
          <t>LN200933</t>
        </is>
      </c>
      <c r="C6564" t="n">
        <v>2</v>
      </c>
      <c r="D6564" s="8" t="n">
        <v>45856</v>
      </c>
      <c r="E6564" s="9" t="n">
        <v>6805.67</v>
      </c>
      <c r="F6564" s="8" t="n">
        <v>45858</v>
      </c>
      <c r="G6564" s="9" t="n">
        <v>6805.67</v>
      </c>
      <c r="H6564" t="inlineStr">
        <is>
          <t>PAID_ON_TIME</t>
        </is>
      </c>
      <c r="I6564">
        <f>IF(H6564="UNPAID", AsOfDate-D6564, 0)</f>
        <v/>
      </c>
      <c r="J6564">
        <f>IF(F6564&lt;&gt;"", TEXT(F6564, "yyyy-mm"), "")</f>
        <v/>
      </c>
    </row>
    <row r="6565">
      <c r="A6565" t="inlineStr">
        <is>
          <t>RP0006564</t>
        </is>
      </c>
      <c r="B6565" t="inlineStr">
        <is>
          <t>LN200933</t>
        </is>
      </c>
      <c r="C6565" t="n">
        <v>3</v>
      </c>
      <c r="D6565" s="8" t="n">
        <v>45887</v>
      </c>
      <c r="E6565" s="9" t="n">
        <v>6805.67</v>
      </c>
      <c r="F6565" s="8" t="n"/>
      <c r="G6565" s="9" t="n">
        <v>0</v>
      </c>
      <c r="H6565" t="inlineStr">
        <is>
          <t>UNPAID</t>
        </is>
      </c>
      <c r="I6565">
        <f>IF(H6565="UNPAID", AsOfDate-D6565, 0)</f>
        <v/>
      </c>
      <c r="J6565">
        <f>IF(F6565&lt;&gt;"", TEXT(F6565, "yyyy-mm"), "")</f>
        <v/>
      </c>
    </row>
    <row r="6566">
      <c r="A6566" t="inlineStr">
        <is>
          <t>RP0006565</t>
        </is>
      </c>
      <c r="B6566" t="inlineStr">
        <is>
          <t>LN200933</t>
        </is>
      </c>
      <c r="C6566" t="n">
        <v>4</v>
      </c>
      <c r="D6566" s="8" t="n">
        <v>45918</v>
      </c>
      <c r="E6566" s="9" t="n">
        <v>6805.67</v>
      </c>
      <c r="F6566" s="8" t="n">
        <v>46019</v>
      </c>
      <c r="G6566" s="9" t="n">
        <v>6805.67</v>
      </c>
      <c r="H6566" t="inlineStr">
        <is>
          <t>PAID_LATE</t>
        </is>
      </c>
      <c r="I6566">
        <f>IF(H6566="UNPAID", AsOfDate-D6566, 0)</f>
        <v/>
      </c>
      <c r="J6566">
        <f>IF(F6566&lt;&gt;"", TEXT(F6566, "yyyy-mm"), "")</f>
        <v/>
      </c>
    </row>
    <row r="6567">
      <c r="A6567" t="inlineStr">
        <is>
          <t>RP0006566</t>
        </is>
      </c>
      <c r="B6567" t="inlineStr">
        <is>
          <t>LN200933</t>
        </is>
      </c>
      <c r="C6567" t="n">
        <v>5</v>
      </c>
      <c r="D6567" s="8" t="n">
        <v>45948</v>
      </c>
      <c r="E6567" s="9" t="n">
        <v>6805.67</v>
      </c>
      <c r="F6567" s="8" t="n">
        <v>45949</v>
      </c>
      <c r="G6567" s="9" t="n">
        <v>6805.67</v>
      </c>
      <c r="H6567" t="inlineStr">
        <is>
          <t>PAID_ON_TIME</t>
        </is>
      </c>
      <c r="I6567">
        <f>IF(H6567="UNPAID", AsOfDate-D6567, 0)</f>
        <v/>
      </c>
      <c r="J6567">
        <f>IF(F6567&lt;&gt;"", TEXT(F6567, "yyyy-mm"), "")</f>
        <v/>
      </c>
    </row>
    <row r="6568">
      <c r="A6568" t="inlineStr">
        <is>
          <t>RP0006567</t>
        </is>
      </c>
      <c r="B6568" t="inlineStr">
        <is>
          <t>LN200933</t>
        </is>
      </c>
      <c r="C6568" t="n">
        <v>6</v>
      </c>
      <c r="D6568" s="8" t="n">
        <v>45979</v>
      </c>
      <c r="E6568" s="9" t="n">
        <v>6805.67</v>
      </c>
      <c r="F6568" s="8" t="n">
        <v>45980</v>
      </c>
      <c r="G6568" s="9" t="n">
        <v>6805.67</v>
      </c>
      <c r="H6568" t="inlineStr">
        <is>
          <t>PAID_ON_TIME</t>
        </is>
      </c>
      <c r="I6568">
        <f>IF(H6568="UNPAID", AsOfDate-D6568, 0)</f>
        <v/>
      </c>
      <c r="J6568">
        <f>IF(F6568&lt;&gt;"", TEXT(F6568, "yyyy-mm"), "")</f>
        <v/>
      </c>
    </row>
    <row r="6569">
      <c r="A6569" t="inlineStr">
        <is>
          <t>RP0006568</t>
        </is>
      </c>
      <c r="B6569" t="inlineStr">
        <is>
          <t>LN200933</t>
        </is>
      </c>
      <c r="C6569" t="n">
        <v>7</v>
      </c>
      <c r="D6569" s="8" t="n">
        <v>46009</v>
      </c>
      <c r="E6569" s="9" t="n">
        <v>6805.67</v>
      </c>
      <c r="F6569" s="8" t="n">
        <v>46006</v>
      </c>
      <c r="G6569" s="9" t="n">
        <v>6805.67</v>
      </c>
      <c r="H6569" t="inlineStr">
        <is>
          <t>PAID_ON_TIME</t>
        </is>
      </c>
      <c r="I6569">
        <f>IF(H6569="UNPAID", AsOfDate-D6569, 0)</f>
        <v/>
      </c>
      <c r="J6569">
        <f>IF(F6569&lt;&gt;"", TEXT(F6569, "yyyy-mm"), "")</f>
        <v/>
      </c>
    </row>
    <row r="6570">
      <c r="A6570" t="inlineStr">
        <is>
          <t>RP0006569</t>
        </is>
      </c>
      <c r="B6570" t="inlineStr">
        <is>
          <t>LN200933</t>
        </is>
      </c>
      <c r="C6570" t="n">
        <v>8</v>
      </c>
      <c r="D6570" s="8" t="n">
        <v>46040</v>
      </c>
      <c r="E6570" s="9" t="n">
        <v>6805.67</v>
      </c>
      <c r="F6570" s="8" t="n">
        <v>46044</v>
      </c>
      <c r="G6570" s="9" t="n">
        <v>6805.67</v>
      </c>
      <c r="H6570" t="inlineStr">
        <is>
          <t>PAID_ON_TIME</t>
        </is>
      </c>
      <c r="I6570">
        <f>IF(H6570="UNPAID", AsOfDate-D6570, 0)</f>
        <v/>
      </c>
      <c r="J6570">
        <f>IF(F6570&lt;&gt;"", TEXT(F6570, "yyyy-mm"), "")</f>
        <v/>
      </c>
    </row>
    <row r="6571">
      <c r="A6571" t="inlineStr">
        <is>
          <t>RP0006570</t>
        </is>
      </c>
      <c r="B6571" t="inlineStr">
        <is>
          <t>LN200933</t>
        </is>
      </c>
      <c r="C6571" t="n">
        <v>9</v>
      </c>
      <c r="D6571" s="8" t="n">
        <v>46071</v>
      </c>
      <c r="E6571" s="9" t="n">
        <v>6805.67</v>
      </c>
      <c r="F6571" s="8" t="n">
        <v>46068</v>
      </c>
      <c r="G6571" s="9" t="n">
        <v>6805.67</v>
      </c>
      <c r="H6571" t="inlineStr">
        <is>
          <t>PAID_ON_TIME</t>
        </is>
      </c>
      <c r="I6571">
        <f>IF(H6571="UNPAID", AsOfDate-D6571, 0)</f>
        <v/>
      </c>
      <c r="J6571">
        <f>IF(F6571&lt;&gt;"", TEXT(F6571, "yyyy-mm"), "")</f>
        <v/>
      </c>
    </row>
    <row r="6572">
      <c r="A6572" t="inlineStr">
        <is>
          <t>RP0006571</t>
        </is>
      </c>
      <c r="B6572" t="inlineStr">
        <is>
          <t>LN200933</t>
        </is>
      </c>
      <c r="C6572" t="n">
        <v>10</v>
      </c>
      <c r="D6572" s="8" t="n">
        <v>46099</v>
      </c>
      <c r="E6572" s="9" t="n">
        <v>6805.67</v>
      </c>
      <c r="F6572" s="8" t="n">
        <v>46102</v>
      </c>
      <c r="G6572" s="9" t="n">
        <v>6805.67</v>
      </c>
      <c r="H6572" t="inlineStr">
        <is>
          <t>PAID_ON_TIME</t>
        </is>
      </c>
      <c r="I6572">
        <f>IF(H6572="UNPAID", AsOfDate-D6572, 0)</f>
        <v/>
      </c>
      <c r="J6572">
        <f>IF(F6572&lt;&gt;"", TEXT(F6572, "yyyy-mm"), "")</f>
        <v/>
      </c>
    </row>
    <row r="6573">
      <c r="A6573" t="inlineStr">
        <is>
          <t>RP0006572</t>
        </is>
      </c>
      <c r="B6573" t="inlineStr">
        <is>
          <t>LN200933</t>
        </is>
      </c>
      <c r="C6573" t="n">
        <v>11</v>
      </c>
      <c r="D6573" s="8" t="n">
        <v>46130</v>
      </c>
      <c r="E6573" s="9" t="n">
        <v>6805.67</v>
      </c>
      <c r="F6573" s="8" t="n">
        <v>46188</v>
      </c>
      <c r="G6573" s="9" t="n">
        <v>6805.67</v>
      </c>
      <c r="H6573" t="inlineStr">
        <is>
          <t>PAID_LATE</t>
        </is>
      </c>
      <c r="I6573">
        <f>IF(H6573="UNPAID", AsOfDate-D6573, 0)</f>
        <v/>
      </c>
      <c r="J6573">
        <f>IF(F6573&lt;&gt;"", TEXT(F6573, "yyyy-mm"), "")</f>
        <v/>
      </c>
    </row>
    <row r="6574">
      <c r="A6574" t="inlineStr">
        <is>
          <t>RP0006573</t>
        </is>
      </c>
      <c r="B6574" t="inlineStr">
        <is>
          <t>LN200933</t>
        </is>
      </c>
      <c r="C6574" t="n">
        <v>12</v>
      </c>
      <c r="D6574" s="8" t="n">
        <v>46160</v>
      </c>
      <c r="E6574" s="9" t="n">
        <v>6805.67</v>
      </c>
      <c r="F6574" s="8" t="n">
        <v>46158</v>
      </c>
      <c r="G6574" s="9" t="n">
        <v>6805.67</v>
      </c>
      <c r="H6574" t="inlineStr">
        <is>
          <t>PAID_ON_TIME</t>
        </is>
      </c>
      <c r="I6574">
        <f>IF(H6574="UNPAID", AsOfDate-D6574, 0)</f>
        <v/>
      </c>
      <c r="J6574">
        <f>IF(F6574&lt;&gt;"", TEXT(F6574, "yyyy-mm"), "")</f>
        <v/>
      </c>
    </row>
    <row r="6575">
      <c r="A6575" t="inlineStr">
        <is>
          <t>RP0006574</t>
        </is>
      </c>
      <c r="B6575" t="inlineStr">
        <is>
          <t>LN200934</t>
        </is>
      </c>
      <c r="C6575" t="n">
        <v>1</v>
      </c>
      <c r="D6575" s="8" t="n">
        <v>45778</v>
      </c>
      <c r="E6575" s="9" t="n">
        <v>22581.33</v>
      </c>
      <c r="F6575" s="8" t="n">
        <v>45778</v>
      </c>
      <c r="G6575" s="9" t="n">
        <v>22581.33</v>
      </c>
      <c r="H6575" t="inlineStr">
        <is>
          <t>PAID_ON_TIME</t>
        </is>
      </c>
      <c r="I6575">
        <f>IF(H6575="UNPAID", AsOfDate-D6575, 0)</f>
        <v/>
      </c>
      <c r="J6575">
        <f>IF(F6575&lt;&gt;"", TEXT(F6575, "yyyy-mm"), "")</f>
        <v/>
      </c>
    </row>
    <row r="6576">
      <c r="A6576" t="inlineStr">
        <is>
          <t>RP0006575</t>
        </is>
      </c>
      <c r="B6576" t="inlineStr">
        <is>
          <t>LN200934</t>
        </is>
      </c>
      <c r="C6576" t="n">
        <v>2</v>
      </c>
      <c r="D6576" s="8" t="n">
        <v>45809</v>
      </c>
      <c r="E6576" s="9" t="n">
        <v>22581.33</v>
      </c>
      <c r="F6576" s="8" t="n">
        <v>45812</v>
      </c>
      <c r="G6576" s="9" t="n">
        <v>22581.33</v>
      </c>
      <c r="H6576" t="inlineStr">
        <is>
          <t>PAID_ON_TIME</t>
        </is>
      </c>
      <c r="I6576">
        <f>IF(H6576="UNPAID", AsOfDate-D6576, 0)</f>
        <v/>
      </c>
      <c r="J6576">
        <f>IF(F6576&lt;&gt;"", TEXT(F6576, "yyyy-mm"), "")</f>
        <v/>
      </c>
    </row>
    <row r="6577">
      <c r="A6577" t="inlineStr">
        <is>
          <t>RP0006576</t>
        </is>
      </c>
      <c r="B6577" t="inlineStr">
        <is>
          <t>LN200934</t>
        </is>
      </c>
      <c r="C6577" t="n">
        <v>3</v>
      </c>
      <c r="D6577" s="8" t="n">
        <v>45839</v>
      </c>
      <c r="E6577" s="9" t="n">
        <v>22581.33</v>
      </c>
      <c r="F6577" s="8" t="n">
        <v>45841</v>
      </c>
      <c r="G6577" s="9" t="n">
        <v>22581.33</v>
      </c>
      <c r="H6577" t="inlineStr">
        <is>
          <t>PAID_ON_TIME</t>
        </is>
      </c>
      <c r="I6577">
        <f>IF(H6577="UNPAID", AsOfDate-D6577, 0)</f>
        <v/>
      </c>
      <c r="J6577">
        <f>IF(F6577&lt;&gt;"", TEXT(F6577, "yyyy-mm"), "")</f>
        <v/>
      </c>
    </row>
    <row r="6578">
      <c r="A6578" t="inlineStr">
        <is>
          <t>RP0006577</t>
        </is>
      </c>
      <c r="B6578" t="inlineStr">
        <is>
          <t>LN200934</t>
        </is>
      </c>
      <c r="C6578" t="n">
        <v>4</v>
      </c>
      <c r="D6578" s="8" t="n">
        <v>45870</v>
      </c>
      <c r="E6578" s="9" t="n">
        <v>22581.33</v>
      </c>
      <c r="F6578" s="8" t="n">
        <v>45881</v>
      </c>
      <c r="G6578" s="9" t="n">
        <v>22581.33</v>
      </c>
      <c r="H6578" t="inlineStr">
        <is>
          <t>PAID_LATE</t>
        </is>
      </c>
      <c r="I6578">
        <f>IF(H6578="UNPAID", AsOfDate-D6578, 0)</f>
        <v/>
      </c>
      <c r="J6578">
        <f>IF(F6578&lt;&gt;"", TEXT(F6578, "yyyy-mm"), "")</f>
        <v/>
      </c>
    </row>
    <row r="6579">
      <c r="A6579" t="inlineStr">
        <is>
          <t>RP0006578</t>
        </is>
      </c>
      <c r="B6579" t="inlineStr">
        <is>
          <t>LN200934</t>
        </is>
      </c>
      <c r="C6579" t="n">
        <v>5</v>
      </c>
      <c r="D6579" s="8" t="n">
        <v>45901</v>
      </c>
      <c r="E6579" s="9" t="n">
        <v>22581.33</v>
      </c>
      <c r="F6579" s="8" t="n">
        <v>45904</v>
      </c>
      <c r="G6579" s="9" t="n">
        <v>22581.33</v>
      </c>
      <c r="H6579" t="inlineStr">
        <is>
          <t>PAID_ON_TIME</t>
        </is>
      </c>
      <c r="I6579">
        <f>IF(H6579="UNPAID", AsOfDate-D6579, 0)</f>
        <v/>
      </c>
      <c r="J6579">
        <f>IF(F6579&lt;&gt;"", TEXT(F6579, "yyyy-mm"), "")</f>
        <v/>
      </c>
    </row>
    <row r="6580">
      <c r="A6580" t="inlineStr">
        <is>
          <t>RP0006579</t>
        </is>
      </c>
      <c r="B6580" t="inlineStr">
        <is>
          <t>LN200934</t>
        </is>
      </c>
      <c r="C6580" t="n">
        <v>6</v>
      </c>
      <c r="D6580" s="8" t="n">
        <v>45931</v>
      </c>
      <c r="E6580" s="9" t="n">
        <v>22581.33</v>
      </c>
      <c r="F6580" s="8" t="n">
        <v>45930</v>
      </c>
      <c r="G6580" s="9" t="n">
        <v>22581.33</v>
      </c>
      <c r="H6580" t="inlineStr">
        <is>
          <t>PAID_ON_TIME</t>
        </is>
      </c>
      <c r="I6580">
        <f>IF(H6580="UNPAID", AsOfDate-D6580, 0)</f>
        <v/>
      </c>
      <c r="J6580">
        <f>IF(F6580&lt;&gt;"", TEXT(F6580, "yyyy-mm"), "")</f>
        <v/>
      </c>
    </row>
    <row r="6581">
      <c r="A6581" t="inlineStr">
        <is>
          <t>RP0006580</t>
        </is>
      </c>
      <c r="B6581" t="inlineStr">
        <is>
          <t>LN200934</t>
        </is>
      </c>
      <c r="C6581" t="n">
        <v>7</v>
      </c>
      <c r="D6581" s="8" t="n">
        <v>45962</v>
      </c>
      <c r="E6581" s="9" t="n">
        <v>22581.33</v>
      </c>
      <c r="F6581" s="8" t="n">
        <v>46007</v>
      </c>
      <c r="G6581" s="9" t="n">
        <v>22581.33</v>
      </c>
      <c r="H6581" t="inlineStr">
        <is>
          <t>PAID_LATE</t>
        </is>
      </c>
      <c r="I6581">
        <f>IF(H6581="UNPAID", AsOfDate-D6581, 0)</f>
        <v/>
      </c>
      <c r="J6581">
        <f>IF(F6581&lt;&gt;"", TEXT(F6581, "yyyy-mm"), "")</f>
        <v/>
      </c>
    </row>
    <row r="6582">
      <c r="A6582" t="inlineStr">
        <is>
          <t>RP0006581</t>
        </is>
      </c>
      <c r="B6582" t="inlineStr">
        <is>
          <t>LN200934</t>
        </is>
      </c>
      <c r="C6582" t="n">
        <v>8</v>
      </c>
      <c r="D6582" s="8" t="n">
        <v>45992</v>
      </c>
      <c r="E6582" s="9" t="n">
        <v>22581.33</v>
      </c>
      <c r="F6582" s="8" t="n">
        <v>45989</v>
      </c>
      <c r="G6582" s="9" t="n">
        <v>22581.33</v>
      </c>
      <c r="H6582" t="inlineStr">
        <is>
          <t>PAID_ON_TIME</t>
        </is>
      </c>
      <c r="I6582">
        <f>IF(H6582="UNPAID", AsOfDate-D6582, 0)</f>
        <v/>
      </c>
      <c r="J6582">
        <f>IF(F6582&lt;&gt;"", TEXT(F6582, "yyyy-mm"), "")</f>
        <v/>
      </c>
    </row>
    <row r="6583">
      <c r="A6583" t="inlineStr">
        <is>
          <t>RP0006582</t>
        </is>
      </c>
      <c r="B6583" t="inlineStr">
        <is>
          <t>LN200934</t>
        </is>
      </c>
      <c r="C6583" t="n">
        <v>9</v>
      </c>
      <c r="D6583" s="8" t="n">
        <v>46023</v>
      </c>
      <c r="E6583" s="9" t="n">
        <v>22581.33</v>
      </c>
      <c r="F6583" s="8" t="n">
        <v>46026</v>
      </c>
      <c r="G6583" s="9" t="n">
        <v>22581.33</v>
      </c>
      <c r="H6583" t="inlineStr">
        <is>
          <t>PAID_ON_TIME</t>
        </is>
      </c>
      <c r="I6583">
        <f>IF(H6583="UNPAID", AsOfDate-D6583, 0)</f>
        <v/>
      </c>
      <c r="J6583">
        <f>IF(F6583&lt;&gt;"", TEXT(F6583, "yyyy-mm"), "")</f>
        <v/>
      </c>
    </row>
    <row r="6584">
      <c r="A6584" t="inlineStr">
        <is>
          <t>RP0006583</t>
        </is>
      </c>
      <c r="B6584" t="inlineStr">
        <is>
          <t>LN200935</t>
        </is>
      </c>
      <c r="C6584" t="n">
        <v>1</v>
      </c>
      <c r="D6584" s="8" t="n">
        <v>45965</v>
      </c>
      <c r="E6584" s="9" t="n">
        <v>23820.17</v>
      </c>
      <c r="F6584" s="8" t="n"/>
      <c r="G6584" s="9" t="n">
        <v>0</v>
      </c>
      <c r="H6584" t="inlineStr">
        <is>
          <t>UNPAID</t>
        </is>
      </c>
      <c r="I6584">
        <f>IF(H6584="UNPAID", AsOfDate-D6584, 0)</f>
        <v/>
      </c>
      <c r="J6584">
        <f>IF(F6584&lt;&gt;"", TEXT(F6584, "yyyy-mm"), "")</f>
        <v/>
      </c>
    </row>
    <row r="6585">
      <c r="A6585" t="inlineStr">
        <is>
          <t>RP0006584</t>
        </is>
      </c>
      <c r="B6585" t="inlineStr">
        <is>
          <t>LN200935</t>
        </is>
      </c>
      <c r="C6585" t="n">
        <v>2</v>
      </c>
      <c r="D6585" s="8" t="n">
        <v>45995</v>
      </c>
      <c r="E6585" s="9" t="n">
        <v>23820.17</v>
      </c>
      <c r="F6585" s="8" t="n">
        <v>45996</v>
      </c>
      <c r="G6585" s="9" t="n">
        <v>23820.17</v>
      </c>
      <c r="H6585" t="inlineStr">
        <is>
          <t>PAID_ON_TIME</t>
        </is>
      </c>
      <c r="I6585">
        <f>IF(H6585="UNPAID", AsOfDate-D6585, 0)</f>
        <v/>
      </c>
      <c r="J6585">
        <f>IF(F6585&lt;&gt;"", TEXT(F6585, "yyyy-mm"), "")</f>
        <v/>
      </c>
    </row>
    <row r="6586">
      <c r="A6586" t="inlineStr">
        <is>
          <t>RP0006585</t>
        </is>
      </c>
      <c r="B6586" t="inlineStr">
        <is>
          <t>LN200935</t>
        </is>
      </c>
      <c r="C6586" t="n">
        <v>3</v>
      </c>
      <c r="D6586" s="8" t="n">
        <v>46026</v>
      </c>
      <c r="E6586" s="9" t="n">
        <v>23820.17</v>
      </c>
      <c r="F6586" s="8" t="n">
        <v>46027</v>
      </c>
      <c r="G6586" s="9" t="n">
        <v>23820.17</v>
      </c>
      <c r="H6586" t="inlineStr">
        <is>
          <t>PAID_ON_TIME</t>
        </is>
      </c>
      <c r="I6586">
        <f>IF(H6586="UNPAID", AsOfDate-D6586, 0)</f>
        <v/>
      </c>
      <c r="J6586">
        <f>IF(F6586&lt;&gt;"", TEXT(F6586, "yyyy-mm"), "")</f>
        <v/>
      </c>
    </row>
    <row r="6587">
      <c r="A6587" t="inlineStr">
        <is>
          <t>RP0006586</t>
        </is>
      </c>
      <c r="B6587" t="inlineStr">
        <is>
          <t>LN200935</t>
        </is>
      </c>
      <c r="C6587" t="n">
        <v>4</v>
      </c>
      <c r="D6587" s="8" t="n">
        <v>46057</v>
      </c>
      <c r="E6587" s="9" t="n">
        <v>23820.17</v>
      </c>
      <c r="F6587" s="8" t="n">
        <v>46061</v>
      </c>
      <c r="G6587" s="9" t="n">
        <v>23820.17</v>
      </c>
      <c r="H6587" t="inlineStr">
        <is>
          <t>PAID_ON_TIME</t>
        </is>
      </c>
      <c r="I6587">
        <f>IF(H6587="UNPAID", AsOfDate-D6587, 0)</f>
        <v/>
      </c>
      <c r="J6587">
        <f>IF(F6587&lt;&gt;"", TEXT(F6587, "yyyy-mm"), "")</f>
        <v/>
      </c>
    </row>
    <row r="6588">
      <c r="A6588" t="inlineStr">
        <is>
          <t>RP0006587</t>
        </is>
      </c>
      <c r="B6588" t="inlineStr">
        <is>
          <t>LN200935</t>
        </is>
      </c>
      <c r="C6588" t="n">
        <v>5</v>
      </c>
      <c r="D6588" s="8" t="n">
        <v>46085</v>
      </c>
      <c r="E6588" s="9" t="n">
        <v>23820.17</v>
      </c>
      <c r="F6588" s="8" t="n">
        <v>46089</v>
      </c>
      <c r="G6588" s="9" t="n">
        <v>23820.17</v>
      </c>
      <c r="H6588" t="inlineStr">
        <is>
          <t>PAID_ON_TIME</t>
        </is>
      </c>
      <c r="I6588">
        <f>IF(H6588="UNPAID", AsOfDate-D6588, 0)</f>
        <v/>
      </c>
      <c r="J6588">
        <f>IF(F6588&lt;&gt;"", TEXT(F6588, "yyyy-mm"), "")</f>
        <v/>
      </c>
    </row>
    <row r="6589">
      <c r="A6589" t="inlineStr">
        <is>
          <t>RP0006588</t>
        </is>
      </c>
      <c r="B6589" t="inlineStr">
        <is>
          <t>LN200935</t>
        </is>
      </c>
      <c r="C6589" t="n">
        <v>6</v>
      </c>
      <c r="D6589" s="8" t="n">
        <v>46116</v>
      </c>
      <c r="E6589" s="9" t="n">
        <v>23820.17</v>
      </c>
      <c r="F6589" s="8" t="n">
        <v>46118</v>
      </c>
      <c r="G6589" s="9" t="n">
        <v>23820.17</v>
      </c>
      <c r="H6589" t="inlineStr">
        <is>
          <t>PAID_ON_TIME</t>
        </is>
      </c>
      <c r="I6589">
        <f>IF(H6589="UNPAID", AsOfDate-D6589, 0)</f>
        <v/>
      </c>
      <c r="J6589">
        <f>IF(F6589&lt;&gt;"", TEXT(F6589, "yyyy-mm"), "")</f>
        <v/>
      </c>
    </row>
    <row r="6590">
      <c r="A6590" t="inlineStr">
        <is>
          <t>RP0006589</t>
        </is>
      </c>
      <c r="B6590" t="inlineStr">
        <is>
          <t>LN200936</t>
        </is>
      </c>
      <c r="C6590" t="n">
        <v>1</v>
      </c>
      <c r="D6590" s="8" t="n">
        <v>45853</v>
      </c>
      <c r="E6590" s="9" t="n">
        <v>27820</v>
      </c>
      <c r="F6590" s="8" t="n">
        <v>45854</v>
      </c>
      <c r="G6590" s="9" t="n">
        <v>27820</v>
      </c>
      <c r="H6590" t="inlineStr">
        <is>
          <t>PAID_ON_TIME</t>
        </is>
      </c>
      <c r="I6590">
        <f>IF(H6590="UNPAID", AsOfDate-D6590, 0)</f>
        <v/>
      </c>
      <c r="J6590">
        <f>IF(F6590&lt;&gt;"", TEXT(F6590, "yyyy-mm"), "")</f>
        <v/>
      </c>
    </row>
    <row r="6591">
      <c r="A6591" t="inlineStr">
        <is>
          <t>RP0006590</t>
        </is>
      </c>
      <c r="B6591" t="inlineStr">
        <is>
          <t>LN200936</t>
        </is>
      </c>
      <c r="C6591" t="n">
        <v>2</v>
      </c>
      <c r="D6591" s="8" t="n">
        <v>45884</v>
      </c>
      <c r="E6591" s="9" t="n">
        <v>27820</v>
      </c>
      <c r="F6591" s="8" t="n">
        <v>45882</v>
      </c>
      <c r="G6591" s="9" t="n">
        <v>27820</v>
      </c>
      <c r="H6591" t="inlineStr">
        <is>
          <t>PAID_ON_TIME</t>
        </is>
      </c>
      <c r="I6591">
        <f>IF(H6591="UNPAID", AsOfDate-D6591, 0)</f>
        <v/>
      </c>
      <c r="J6591">
        <f>IF(F6591&lt;&gt;"", TEXT(F6591, "yyyy-mm"), "")</f>
        <v/>
      </c>
    </row>
    <row r="6592">
      <c r="A6592" t="inlineStr">
        <is>
          <t>RP0006591</t>
        </is>
      </c>
      <c r="B6592" t="inlineStr">
        <is>
          <t>LN200936</t>
        </is>
      </c>
      <c r="C6592" t="n">
        <v>3</v>
      </c>
      <c r="D6592" s="8" t="n">
        <v>45915</v>
      </c>
      <c r="E6592" s="9" t="n">
        <v>27820</v>
      </c>
      <c r="F6592" s="8" t="n">
        <v>45914</v>
      </c>
      <c r="G6592" s="9" t="n">
        <v>27820</v>
      </c>
      <c r="H6592" t="inlineStr">
        <is>
          <t>PAID_ON_TIME</t>
        </is>
      </c>
      <c r="I6592">
        <f>IF(H6592="UNPAID", AsOfDate-D6592, 0)</f>
        <v/>
      </c>
      <c r="J6592">
        <f>IF(F6592&lt;&gt;"", TEXT(F6592, "yyyy-mm"), "")</f>
        <v/>
      </c>
    </row>
    <row r="6593">
      <c r="A6593" t="inlineStr">
        <is>
          <t>RP0006592</t>
        </is>
      </c>
      <c r="B6593" t="inlineStr">
        <is>
          <t>LN200937</t>
        </is>
      </c>
      <c r="C6593" t="n">
        <v>1</v>
      </c>
      <c r="D6593" s="8" t="n">
        <v>45734</v>
      </c>
      <c r="E6593" s="9" t="n">
        <v>61677</v>
      </c>
      <c r="F6593" s="8" t="n">
        <v>45735</v>
      </c>
      <c r="G6593" s="9" t="n">
        <v>61677</v>
      </c>
      <c r="H6593" t="inlineStr">
        <is>
          <t>PAID_ON_TIME</t>
        </is>
      </c>
      <c r="I6593">
        <f>IF(H6593="UNPAID", AsOfDate-D6593, 0)</f>
        <v/>
      </c>
      <c r="J6593">
        <f>IF(F6593&lt;&gt;"", TEXT(F6593, "yyyy-mm"), "")</f>
        <v/>
      </c>
    </row>
    <row r="6594">
      <c r="A6594" t="inlineStr">
        <is>
          <t>RP0006593</t>
        </is>
      </c>
      <c r="B6594" t="inlineStr">
        <is>
          <t>LN200937</t>
        </is>
      </c>
      <c r="C6594" t="n">
        <v>2</v>
      </c>
      <c r="D6594" s="8" t="n">
        <v>45765</v>
      </c>
      <c r="E6594" s="9" t="n">
        <v>61677</v>
      </c>
      <c r="F6594" s="8" t="n">
        <v>45769</v>
      </c>
      <c r="G6594" s="9" t="n">
        <v>61677</v>
      </c>
      <c r="H6594" t="inlineStr">
        <is>
          <t>PAID_ON_TIME</t>
        </is>
      </c>
      <c r="I6594">
        <f>IF(H6594="UNPAID", AsOfDate-D6594, 0)</f>
        <v/>
      </c>
      <c r="J6594">
        <f>IF(F6594&lt;&gt;"", TEXT(F6594, "yyyy-mm"), "")</f>
        <v/>
      </c>
    </row>
    <row r="6595">
      <c r="A6595" t="inlineStr">
        <is>
          <t>RP0006594</t>
        </is>
      </c>
      <c r="B6595" t="inlineStr">
        <is>
          <t>LN200937</t>
        </is>
      </c>
      <c r="C6595" t="n">
        <v>3</v>
      </c>
      <c r="D6595" s="8" t="n">
        <v>45795</v>
      </c>
      <c r="E6595" s="9" t="n">
        <v>61677</v>
      </c>
      <c r="F6595" s="8" t="n">
        <v>45794</v>
      </c>
      <c r="G6595" s="9" t="n">
        <v>61677</v>
      </c>
      <c r="H6595" t="inlineStr">
        <is>
          <t>PAID_ON_TIME</t>
        </is>
      </c>
      <c r="I6595">
        <f>IF(H6595="UNPAID", AsOfDate-D6595, 0)</f>
        <v/>
      </c>
      <c r="J6595">
        <f>IF(F6595&lt;&gt;"", TEXT(F6595, "yyyy-mm"), "")</f>
        <v/>
      </c>
    </row>
    <row r="6596">
      <c r="A6596" t="inlineStr">
        <is>
          <t>RP0006595</t>
        </is>
      </c>
      <c r="B6596" t="inlineStr">
        <is>
          <t>LN200938</t>
        </is>
      </c>
      <c r="C6596" t="n">
        <v>1</v>
      </c>
      <c r="D6596" s="8" t="n">
        <v>45901</v>
      </c>
      <c r="E6596" s="9" t="n">
        <v>7308.67</v>
      </c>
      <c r="F6596" s="8" t="n">
        <v>45904</v>
      </c>
      <c r="G6596" s="9" t="n">
        <v>7308.67</v>
      </c>
      <c r="H6596" t="inlineStr">
        <is>
          <t>PAID_ON_TIME</t>
        </is>
      </c>
      <c r="I6596">
        <f>IF(H6596="UNPAID", AsOfDate-D6596, 0)</f>
        <v/>
      </c>
      <c r="J6596">
        <f>IF(F6596&lt;&gt;"", TEXT(F6596, "yyyy-mm"), "")</f>
        <v/>
      </c>
    </row>
    <row r="6597">
      <c r="A6597" t="inlineStr">
        <is>
          <t>RP0006596</t>
        </is>
      </c>
      <c r="B6597" t="inlineStr">
        <is>
          <t>LN200938</t>
        </is>
      </c>
      <c r="C6597" t="n">
        <v>2</v>
      </c>
      <c r="D6597" s="8" t="n">
        <v>45931</v>
      </c>
      <c r="E6597" s="9" t="n">
        <v>7308.67</v>
      </c>
      <c r="F6597" s="8" t="n">
        <v>45928</v>
      </c>
      <c r="G6597" s="9" t="n">
        <v>7308.67</v>
      </c>
      <c r="H6597" t="inlineStr">
        <is>
          <t>PAID_ON_TIME</t>
        </is>
      </c>
      <c r="I6597">
        <f>IF(H6597="UNPAID", AsOfDate-D6597, 0)</f>
        <v/>
      </c>
      <c r="J6597">
        <f>IF(F6597&lt;&gt;"", TEXT(F6597, "yyyy-mm"), "")</f>
        <v/>
      </c>
    </row>
    <row r="6598">
      <c r="A6598" t="inlineStr">
        <is>
          <t>RP0006597</t>
        </is>
      </c>
      <c r="B6598" t="inlineStr">
        <is>
          <t>LN200938</t>
        </is>
      </c>
      <c r="C6598" t="n">
        <v>3</v>
      </c>
      <c r="D6598" s="8" t="n">
        <v>45962</v>
      </c>
      <c r="E6598" s="9" t="n">
        <v>7308.67</v>
      </c>
      <c r="F6598" s="8" t="n">
        <v>45962</v>
      </c>
      <c r="G6598" s="9" t="n">
        <v>7308.67</v>
      </c>
      <c r="H6598" t="inlineStr">
        <is>
          <t>PAID_ON_TIME</t>
        </is>
      </c>
      <c r="I6598">
        <f>IF(H6598="UNPAID", AsOfDate-D6598, 0)</f>
        <v/>
      </c>
      <c r="J6598">
        <f>IF(F6598&lt;&gt;"", TEXT(F6598, "yyyy-mm"), "")</f>
        <v/>
      </c>
    </row>
    <row r="6599">
      <c r="A6599" t="inlineStr">
        <is>
          <t>RP0006598</t>
        </is>
      </c>
      <c r="B6599" t="inlineStr">
        <is>
          <t>LN200938</t>
        </is>
      </c>
      <c r="C6599" t="n">
        <v>4</v>
      </c>
      <c r="D6599" s="8" t="n">
        <v>45992</v>
      </c>
      <c r="E6599" s="9" t="n">
        <v>7308.67</v>
      </c>
      <c r="F6599" s="8" t="n">
        <v>45994</v>
      </c>
      <c r="G6599" s="9" t="n">
        <v>7308.67</v>
      </c>
      <c r="H6599" t="inlineStr">
        <is>
          <t>PAID_ON_TIME</t>
        </is>
      </c>
      <c r="I6599">
        <f>IF(H6599="UNPAID", AsOfDate-D6599, 0)</f>
        <v/>
      </c>
      <c r="J6599">
        <f>IF(F6599&lt;&gt;"", TEXT(F6599, "yyyy-mm"), "")</f>
        <v/>
      </c>
    </row>
    <row r="6600">
      <c r="A6600" t="inlineStr">
        <is>
          <t>RP0006599</t>
        </is>
      </c>
      <c r="B6600" t="inlineStr">
        <is>
          <t>LN200938</t>
        </is>
      </c>
      <c r="C6600" t="n">
        <v>5</v>
      </c>
      <c r="D6600" s="8" t="n">
        <v>46023</v>
      </c>
      <c r="E6600" s="9" t="n">
        <v>7308.67</v>
      </c>
      <c r="F6600" s="8" t="n">
        <v>46025</v>
      </c>
      <c r="G6600" s="9" t="n">
        <v>7308.67</v>
      </c>
      <c r="H6600" t="inlineStr">
        <is>
          <t>PAID_ON_TIME</t>
        </is>
      </c>
      <c r="I6600">
        <f>IF(H6600="UNPAID", AsOfDate-D6600, 0)</f>
        <v/>
      </c>
      <c r="J6600">
        <f>IF(F6600&lt;&gt;"", TEXT(F6600, "yyyy-mm"), "")</f>
        <v/>
      </c>
    </row>
    <row r="6601">
      <c r="A6601" t="inlineStr">
        <is>
          <t>RP0006600</t>
        </is>
      </c>
      <c r="B6601" t="inlineStr">
        <is>
          <t>LN200938</t>
        </is>
      </c>
      <c r="C6601" t="n">
        <v>6</v>
      </c>
      <c r="D6601" s="8" t="n">
        <v>46054</v>
      </c>
      <c r="E6601" s="9" t="n">
        <v>7308.67</v>
      </c>
      <c r="F6601" s="8" t="n">
        <v>46052</v>
      </c>
      <c r="G6601" s="9" t="n">
        <v>7308.67</v>
      </c>
      <c r="H6601" t="inlineStr">
        <is>
          <t>PAID_ON_TIME</t>
        </is>
      </c>
      <c r="I6601">
        <f>IF(H6601="UNPAID", AsOfDate-D6601, 0)</f>
        <v/>
      </c>
      <c r="J6601">
        <f>IF(F6601&lt;&gt;"", TEXT(F6601, "yyyy-mm"), "")</f>
        <v/>
      </c>
    </row>
    <row r="6602">
      <c r="A6602" t="inlineStr">
        <is>
          <t>RP0006601</t>
        </is>
      </c>
      <c r="B6602" t="inlineStr">
        <is>
          <t>LN200938</t>
        </is>
      </c>
      <c r="C6602" t="n">
        <v>7</v>
      </c>
      <c r="D6602" s="8" t="n">
        <v>46082</v>
      </c>
      <c r="E6602" s="9" t="n">
        <v>7308.67</v>
      </c>
      <c r="F6602" s="8" t="n">
        <v>46084</v>
      </c>
      <c r="G6602" s="9" t="n">
        <v>7308.67</v>
      </c>
      <c r="H6602" t="inlineStr">
        <is>
          <t>PAID_ON_TIME</t>
        </is>
      </c>
      <c r="I6602">
        <f>IF(H6602="UNPAID", AsOfDate-D6602, 0)</f>
        <v/>
      </c>
      <c r="J6602">
        <f>IF(F6602&lt;&gt;"", TEXT(F6602, "yyyy-mm"), "")</f>
        <v/>
      </c>
    </row>
    <row r="6603">
      <c r="A6603" t="inlineStr">
        <is>
          <t>RP0006602</t>
        </is>
      </c>
      <c r="B6603" t="inlineStr">
        <is>
          <t>LN200938</t>
        </is>
      </c>
      <c r="C6603" t="n">
        <v>8</v>
      </c>
      <c r="D6603" s="8" t="n">
        <v>46113</v>
      </c>
      <c r="E6603" s="9" t="n">
        <v>7308.67</v>
      </c>
      <c r="F6603" s="8" t="n">
        <v>46156</v>
      </c>
      <c r="G6603" s="9" t="n">
        <v>7308.67</v>
      </c>
      <c r="H6603" t="inlineStr">
        <is>
          <t>PAID_LATE</t>
        </is>
      </c>
      <c r="I6603">
        <f>IF(H6603="UNPAID", AsOfDate-D6603, 0)</f>
        <v/>
      </c>
      <c r="J6603">
        <f>IF(F6603&lt;&gt;"", TEXT(F6603, "yyyy-mm"), "")</f>
        <v/>
      </c>
    </row>
    <row r="6604">
      <c r="A6604" t="inlineStr">
        <is>
          <t>RP0006603</t>
        </is>
      </c>
      <c r="B6604" t="inlineStr">
        <is>
          <t>LN200938</t>
        </is>
      </c>
      <c r="C6604" t="n">
        <v>9</v>
      </c>
      <c r="D6604" s="8" t="n">
        <v>46143</v>
      </c>
      <c r="E6604" s="9" t="n">
        <v>7308.67</v>
      </c>
      <c r="F6604" s="8" t="n">
        <v>46144</v>
      </c>
      <c r="G6604" s="9" t="n">
        <v>7308.67</v>
      </c>
      <c r="H6604" t="inlineStr">
        <is>
          <t>PAID_ON_TIME</t>
        </is>
      </c>
      <c r="I6604">
        <f>IF(H6604="UNPAID", AsOfDate-D6604, 0)</f>
        <v/>
      </c>
      <c r="J6604">
        <f>IF(F6604&lt;&gt;"", TEXT(F6604, "yyyy-mm"), "")</f>
        <v/>
      </c>
    </row>
    <row r="6605">
      <c r="A6605" t="inlineStr">
        <is>
          <t>RP0006604</t>
        </is>
      </c>
      <c r="B6605" t="inlineStr">
        <is>
          <t>LN200938</t>
        </is>
      </c>
      <c r="C6605" t="n">
        <v>10</v>
      </c>
      <c r="D6605" s="8" t="n">
        <v>46174</v>
      </c>
      <c r="E6605" s="9" t="n">
        <v>7308.67</v>
      </c>
      <c r="F6605" s="8" t="n">
        <v>46172</v>
      </c>
      <c r="G6605" s="9" t="n">
        <v>7308.67</v>
      </c>
      <c r="H6605" t="inlineStr">
        <is>
          <t>PAID_ON_TIME</t>
        </is>
      </c>
      <c r="I6605">
        <f>IF(H6605="UNPAID", AsOfDate-D6605, 0)</f>
        <v/>
      </c>
      <c r="J6605">
        <f>IF(F6605&lt;&gt;"", TEXT(F6605, "yyyy-mm"), "")</f>
        <v/>
      </c>
    </row>
    <row r="6606">
      <c r="A6606" t="inlineStr">
        <is>
          <t>RP0006605</t>
        </is>
      </c>
      <c r="B6606" t="inlineStr">
        <is>
          <t>LN200938</t>
        </is>
      </c>
      <c r="C6606" t="n">
        <v>11</v>
      </c>
      <c r="D6606" s="8" t="n">
        <v>46204</v>
      </c>
      <c r="E6606" s="9" t="n">
        <v>7308.67</v>
      </c>
      <c r="F6606" s="8" t="n">
        <v>46202</v>
      </c>
      <c r="G6606" s="9" t="n">
        <v>7308.67</v>
      </c>
      <c r="H6606" t="inlineStr">
        <is>
          <t>PAID_ON_TIME</t>
        </is>
      </c>
      <c r="I6606">
        <f>IF(H6606="UNPAID", AsOfDate-D6606, 0)</f>
        <v/>
      </c>
      <c r="J6606">
        <f>IF(F6606&lt;&gt;"", TEXT(F6606, "yyyy-mm"), "")</f>
        <v/>
      </c>
    </row>
    <row r="6607">
      <c r="A6607" t="inlineStr">
        <is>
          <t>RP0006606</t>
        </is>
      </c>
      <c r="B6607" t="inlineStr">
        <is>
          <t>LN200938</t>
        </is>
      </c>
      <c r="C6607" t="n">
        <v>12</v>
      </c>
      <c r="D6607" s="8" t="n">
        <v>46235</v>
      </c>
      <c r="E6607" s="9" t="n">
        <v>7308.67</v>
      </c>
      <c r="F6607" s="8" t="n">
        <v>46236</v>
      </c>
      <c r="G6607" s="9" t="n">
        <v>7308.67</v>
      </c>
      <c r="H6607" t="inlineStr">
        <is>
          <t>PAID_ON_TIME</t>
        </is>
      </c>
      <c r="I6607">
        <f>IF(H6607="UNPAID", AsOfDate-D6607, 0)</f>
        <v/>
      </c>
      <c r="J6607">
        <f>IF(F6607&lt;&gt;"", TEXT(F6607, "yyyy-mm"), "")</f>
        <v/>
      </c>
    </row>
    <row r="6608">
      <c r="A6608" t="inlineStr">
        <is>
          <t>RP0006607</t>
        </is>
      </c>
      <c r="B6608" t="inlineStr">
        <is>
          <t>LN200939</t>
        </is>
      </c>
      <c r="C6608" t="n">
        <v>1</v>
      </c>
      <c r="D6608" s="8" t="n">
        <v>45793</v>
      </c>
      <c r="E6608" s="9" t="n">
        <v>6375.42</v>
      </c>
      <c r="F6608" s="8" t="n">
        <v>45794</v>
      </c>
      <c r="G6608" s="9" t="n">
        <v>6375.42</v>
      </c>
      <c r="H6608" t="inlineStr">
        <is>
          <t>PAID_ON_TIME</t>
        </is>
      </c>
      <c r="I6608">
        <f>IF(H6608="UNPAID", AsOfDate-D6608, 0)</f>
        <v/>
      </c>
      <c r="J6608">
        <f>IF(F6608&lt;&gt;"", TEXT(F6608, "yyyy-mm"), "")</f>
        <v/>
      </c>
    </row>
    <row r="6609">
      <c r="A6609" t="inlineStr">
        <is>
          <t>RP0006608</t>
        </is>
      </c>
      <c r="B6609" t="inlineStr">
        <is>
          <t>LN200939</t>
        </is>
      </c>
      <c r="C6609" t="n">
        <v>2</v>
      </c>
      <c r="D6609" s="8" t="n">
        <v>45824</v>
      </c>
      <c r="E6609" s="9" t="n">
        <v>6375.42</v>
      </c>
      <c r="F6609" s="8" t="n">
        <v>45826</v>
      </c>
      <c r="G6609" s="9" t="n">
        <v>6375.42</v>
      </c>
      <c r="H6609" t="inlineStr">
        <is>
          <t>PAID_ON_TIME</t>
        </is>
      </c>
      <c r="I6609">
        <f>IF(H6609="UNPAID", AsOfDate-D6609, 0)</f>
        <v/>
      </c>
      <c r="J6609">
        <f>IF(F6609&lt;&gt;"", TEXT(F6609, "yyyy-mm"), "")</f>
        <v/>
      </c>
    </row>
    <row r="6610">
      <c r="A6610" t="inlineStr">
        <is>
          <t>RP0006609</t>
        </is>
      </c>
      <c r="B6610" t="inlineStr">
        <is>
          <t>LN200939</t>
        </is>
      </c>
      <c r="C6610" t="n">
        <v>3</v>
      </c>
      <c r="D6610" s="8" t="n">
        <v>45854</v>
      </c>
      <c r="E6610" s="9" t="n">
        <v>6375.42</v>
      </c>
      <c r="F6610" s="8" t="n">
        <v>45852</v>
      </c>
      <c r="G6610" s="9" t="n">
        <v>6375.42</v>
      </c>
      <c r="H6610" t="inlineStr">
        <is>
          <t>PAID_ON_TIME</t>
        </is>
      </c>
      <c r="I6610">
        <f>IF(H6610="UNPAID", AsOfDate-D6610, 0)</f>
        <v/>
      </c>
      <c r="J6610">
        <f>IF(F6610&lt;&gt;"", TEXT(F6610, "yyyy-mm"), "")</f>
        <v/>
      </c>
    </row>
    <row r="6611">
      <c r="A6611" t="inlineStr">
        <is>
          <t>RP0006610</t>
        </is>
      </c>
      <c r="B6611" t="inlineStr">
        <is>
          <t>LN200939</t>
        </is>
      </c>
      <c r="C6611" t="n">
        <v>4</v>
      </c>
      <c r="D6611" s="8" t="n">
        <v>45885</v>
      </c>
      <c r="E6611" s="9" t="n">
        <v>6375.42</v>
      </c>
      <c r="F6611" s="8" t="n">
        <v>45885</v>
      </c>
      <c r="G6611" s="9" t="n">
        <v>6375.42</v>
      </c>
      <c r="H6611" t="inlineStr">
        <is>
          <t>PAID_ON_TIME</t>
        </is>
      </c>
      <c r="I6611">
        <f>IF(H6611="UNPAID", AsOfDate-D6611, 0)</f>
        <v/>
      </c>
      <c r="J6611">
        <f>IF(F6611&lt;&gt;"", TEXT(F6611, "yyyy-mm"), "")</f>
        <v/>
      </c>
    </row>
    <row r="6612">
      <c r="A6612" t="inlineStr">
        <is>
          <t>RP0006611</t>
        </is>
      </c>
      <c r="B6612" t="inlineStr">
        <is>
          <t>LN200939</t>
        </is>
      </c>
      <c r="C6612" t="n">
        <v>5</v>
      </c>
      <c r="D6612" s="8" t="n">
        <v>45916</v>
      </c>
      <c r="E6612" s="9" t="n">
        <v>6375.42</v>
      </c>
      <c r="F6612" s="8" t="n">
        <v>45999</v>
      </c>
      <c r="G6612" s="9" t="n">
        <v>6375.42</v>
      </c>
      <c r="H6612" t="inlineStr">
        <is>
          <t>PAID_LATE</t>
        </is>
      </c>
      <c r="I6612">
        <f>IF(H6612="UNPAID", AsOfDate-D6612, 0)</f>
        <v/>
      </c>
      <c r="J6612">
        <f>IF(F6612&lt;&gt;"", TEXT(F6612, "yyyy-mm"), "")</f>
        <v/>
      </c>
    </row>
    <row r="6613">
      <c r="A6613" t="inlineStr">
        <is>
          <t>RP0006612</t>
        </is>
      </c>
      <c r="B6613" t="inlineStr">
        <is>
          <t>LN200939</t>
        </is>
      </c>
      <c r="C6613" t="n">
        <v>6</v>
      </c>
      <c r="D6613" s="8" t="n">
        <v>45946</v>
      </c>
      <c r="E6613" s="9" t="n">
        <v>6375.42</v>
      </c>
      <c r="F6613" s="8" t="n">
        <v>45943</v>
      </c>
      <c r="G6613" s="9" t="n">
        <v>6375.42</v>
      </c>
      <c r="H6613" t="inlineStr">
        <is>
          <t>PAID_ON_TIME</t>
        </is>
      </c>
      <c r="I6613">
        <f>IF(H6613="UNPAID", AsOfDate-D6613, 0)</f>
        <v/>
      </c>
      <c r="J6613">
        <f>IF(F6613&lt;&gt;"", TEXT(F6613, "yyyy-mm"), "")</f>
        <v/>
      </c>
    </row>
    <row r="6614">
      <c r="A6614" t="inlineStr">
        <is>
          <t>RP0006613</t>
        </is>
      </c>
      <c r="B6614" t="inlineStr">
        <is>
          <t>LN200939</t>
        </is>
      </c>
      <c r="C6614" t="n">
        <v>7</v>
      </c>
      <c r="D6614" s="8" t="n">
        <v>45977</v>
      </c>
      <c r="E6614" s="9" t="n">
        <v>6375.42</v>
      </c>
      <c r="F6614" s="8" t="n">
        <v>45980</v>
      </c>
      <c r="G6614" s="9" t="n">
        <v>6375.42</v>
      </c>
      <c r="H6614" t="inlineStr">
        <is>
          <t>PAID_ON_TIME</t>
        </is>
      </c>
      <c r="I6614">
        <f>IF(H6614="UNPAID", AsOfDate-D6614, 0)</f>
        <v/>
      </c>
      <c r="J6614">
        <f>IF(F6614&lt;&gt;"", TEXT(F6614, "yyyy-mm"), "")</f>
        <v/>
      </c>
    </row>
    <row r="6615">
      <c r="A6615" t="inlineStr">
        <is>
          <t>RP0006614</t>
        </is>
      </c>
      <c r="B6615" t="inlineStr">
        <is>
          <t>LN200939</t>
        </is>
      </c>
      <c r="C6615" t="n">
        <v>8</v>
      </c>
      <c r="D6615" s="8" t="n">
        <v>46007</v>
      </c>
      <c r="E6615" s="9" t="n">
        <v>6375.42</v>
      </c>
      <c r="F6615" s="8" t="n">
        <v>46009</v>
      </c>
      <c r="G6615" s="9" t="n">
        <v>6375.42</v>
      </c>
      <c r="H6615" t="inlineStr">
        <is>
          <t>PAID_ON_TIME</t>
        </is>
      </c>
      <c r="I6615">
        <f>IF(H6615="UNPAID", AsOfDate-D6615, 0)</f>
        <v/>
      </c>
      <c r="J6615">
        <f>IF(F6615&lt;&gt;"", TEXT(F6615, "yyyy-mm"), "")</f>
        <v/>
      </c>
    </row>
    <row r="6616">
      <c r="A6616" t="inlineStr">
        <is>
          <t>RP0006615</t>
        </is>
      </c>
      <c r="B6616" t="inlineStr">
        <is>
          <t>LN200939</t>
        </is>
      </c>
      <c r="C6616" t="n">
        <v>9</v>
      </c>
      <c r="D6616" s="8" t="n">
        <v>46038</v>
      </c>
      <c r="E6616" s="9" t="n">
        <v>6375.42</v>
      </c>
      <c r="F6616" s="8" t="n">
        <v>46040</v>
      </c>
      <c r="G6616" s="9" t="n">
        <v>6375.42</v>
      </c>
      <c r="H6616" t="inlineStr">
        <is>
          <t>PAID_ON_TIME</t>
        </is>
      </c>
      <c r="I6616">
        <f>IF(H6616="UNPAID", AsOfDate-D6616, 0)</f>
        <v/>
      </c>
      <c r="J6616">
        <f>IF(F6616&lt;&gt;"", TEXT(F6616, "yyyy-mm"), "")</f>
        <v/>
      </c>
    </row>
    <row r="6617">
      <c r="A6617" t="inlineStr">
        <is>
          <t>RP0006616</t>
        </is>
      </c>
      <c r="B6617" t="inlineStr">
        <is>
          <t>LN200939</t>
        </is>
      </c>
      <c r="C6617" t="n">
        <v>10</v>
      </c>
      <c r="D6617" s="8" t="n">
        <v>46069</v>
      </c>
      <c r="E6617" s="9" t="n">
        <v>6375.42</v>
      </c>
      <c r="F6617" s="8" t="n">
        <v>46070</v>
      </c>
      <c r="G6617" s="9" t="n">
        <v>6375.42</v>
      </c>
      <c r="H6617" t="inlineStr">
        <is>
          <t>PAID_ON_TIME</t>
        </is>
      </c>
      <c r="I6617">
        <f>IF(H6617="UNPAID", AsOfDate-D6617, 0)</f>
        <v/>
      </c>
      <c r="J6617">
        <f>IF(F6617&lt;&gt;"", TEXT(F6617, "yyyy-mm"), "")</f>
        <v/>
      </c>
    </row>
    <row r="6618">
      <c r="A6618" t="inlineStr">
        <is>
          <t>RP0006617</t>
        </is>
      </c>
      <c r="B6618" t="inlineStr">
        <is>
          <t>LN200939</t>
        </is>
      </c>
      <c r="C6618" t="n">
        <v>11</v>
      </c>
      <c r="D6618" s="8" t="n">
        <v>46097</v>
      </c>
      <c r="E6618" s="9" t="n">
        <v>6375.42</v>
      </c>
      <c r="F6618" s="8" t="n">
        <v>46094</v>
      </c>
      <c r="G6618" s="9" t="n">
        <v>6375.42</v>
      </c>
      <c r="H6618" t="inlineStr">
        <is>
          <t>PAID_ON_TIME</t>
        </is>
      </c>
      <c r="I6618">
        <f>IF(H6618="UNPAID", AsOfDate-D6618, 0)</f>
        <v/>
      </c>
      <c r="J6618">
        <f>IF(F6618&lt;&gt;"", TEXT(F6618, "yyyy-mm"), "")</f>
        <v/>
      </c>
    </row>
    <row r="6619">
      <c r="A6619" t="inlineStr">
        <is>
          <t>RP0006618</t>
        </is>
      </c>
      <c r="B6619" t="inlineStr">
        <is>
          <t>LN200939</t>
        </is>
      </c>
      <c r="C6619" t="n">
        <v>12</v>
      </c>
      <c r="D6619" s="8" t="n">
        <v>46128</v>
      </c>
      <c r="E6619" s="9" t="n">
        <v>6375.42</v>
      </c>
      <c r="F6619" s="8" t="n">
        <v>46126</v>
      </c>
      <c r="G6619" s="9" t="n">
        <v>6375.42</v>
      </c>
      <c r="H6619" t="inlineStr">
        <is>
          <t>PAID_ON_TIME</t>
        </is>
      </c>
      <c r="I6619">
        <f>IF(H6619="UNPAID", AsOfDate-D6619, 0)</f>
        <v/>
      </c>
      <c r="J6619">
        <f>IF(F6619&lt;&gt;"", TEXT(F6619, "yyyy-mm"), "")</f>
        <v/>
      </c>
    </row>
    <row r="6620">
      <c r="A6620" t="inlineStr">
        <is>
          <t>RP0006619</t>
        </is>
      </c>
      <c r="B6620" t="inlineStr">
        <is>
          <t>LN200940</t>
        </is>
      </c>
      <c r="C6620" t="n">
        <v>1</v>
      </c>
      <c r="D6620" s="8" t="n">
        <v>45923</v>
      </c>
      <c r="E6620" s="9" t="n">
        <v>8404</v>
      </c>
      <c r="F6620" s="8" t="n">
        <v>45926</v>
      </c>
      <c r="G6620" s="9" t="n">
        <v>8404</v>
      </c>
      <c r="H6620" t="inlineStr">
        <is>
          <t>PAID_ON_TIME</t>
        </is>
      </c>
      <c r="I6620">
        <f>IF(H6620="UNPAID", AsOfDate-D6620, 0)</f>
        <v/>
      </c>
      <c r="J6620">
        <f>IF(F6620&lt;&gt;"", TEXT(F6620, "yyyy-mm"), "")</f>
        <v/>
      </c>
    </row>
    <row r="6621">
      <c r="A6621" t="inlineStr">
        <is>
          <t>RP0006620</t>
        </is>
      </c>
      <c r="B6621" t="inlineStr">
        <is>
          <t>LN200940</t>
        </is>
      </c>
      <c r="C6621" t="n">
        <v>2</v>
      </c>
      <c r="D6621" s="8" t="n">
        <v>45953</v>
      </c>
      <c r="E6621" s="9" t="n">
        <v>8404</v>
      </c>
      <c r="F6621" s="8" t="n">
        <v>45953</v>
      </c>
      <c r="G6621" s="9" t="n">
        <v>8404</v>
      </c>
      <c r="H6621" t="inlineStr">
        <is>
          <t>PAID_ON_TIME</t>
        </is>
      </c>
      <c r="I6621">
        <f>IF(H6621="UNPAID", AsOfDate-D6621, 0)</f>
        <v/>
      </c>
      <c r="J6621">
        <f>IF(F6621&lt;&gt;"", TEXT(F6621, "yyyy-mm"), "")</f>
        <v/>
      </c>
    </row>
    <row r="6622">
      <c r="A6622" t="inlineStr">
        <is>
          <t>RP0006621</t>
        </is>
      </c>
      <c r="B6622" t="inlineStr">
        <is>
          <t>LN200940</t>
        </is>
      </c>
      <c r="C6622" t="n">
        <v>3</v>
      </c>
      <c r="D6622" s="8" t="n">
        <v>45984</v>
      </c>
      <c r="E6622" s="9" t="n">
        <v>8404</v>
      </c>
      <c r="F6622" s="8" t="n">
        <v>45987</v>
      </c>
      <c r="G6622" s="9" t="n">
        <v>8404</v>
      </c>
      <c r="H6622" t="inlineStr">
        <is>
          <t>PAID_ON_TIME</t>
        </is>
      </c>
      <c r="I6622">
        <f>IF(H6622="UNPAID", AsOfDate-D6622, 0)</f>
        <v/>
      </c>
      <c r="J6622">
        <f>IF(F6622&lt;&gt;"", TEXT(F6622, "yyyy-mm"), "")</f>
        <v/>
      </c>
    </row>
    <row r="6623">
      <c r="A6623" t="inlineStr">
        <is>
          <t>RP0006622</t>
        </is>
      </c>
      <c r="B6623" t="inlineStr">
        <is>
          <t>LN200941</t>
        </is>
      </c>
      <c r="C6623" t="n">
        <v>1</v>
      </c>
      <c r="D6623" s="8" t="n">
        <v>45823</v>
      </c>
      <c r="E6623" s="9" t="n">
        <v>6913.33</v>
      </c>
      <c r="F6623" s="8" t="n">
        <v>45910</v>
      </c>
      <c r="G6623" s="9" t="n">
        <v>6913.33</v>
      </c>
      <c r="H6623" t="inlineStr">
        <is>
          <t>PAID_LATE</t>
        </is>
      </c>
      <c r="I6623">
        <f>IF(H6623="UNPAID", AsOfDate-D6623, 0)</f>
        <v/>
      </c>
      <c r="J6623">
        <f>IF(F6623&lt;&gt;"", TEXT(F6623, "yyyy-mm"), "")</f>
        <v/>
      </c>
    </row>
    <row r="6624">
      <c r="A6624" t="inlineStr">
        <is>
          <t>RP0006623</t>
        </is>
      </c>
      <c r="B6624" t="inlineStr">
        <is>
          <t>LN200941</t>
        </is>
      </c>
      <c r="C6624" t="n">
        <v>2</v>
      </c>
      <c r="D6624" s="8" t="n">
        <v>45853</v>
      </c>
      <c r="E6624" s="9" t="n">
        <v>6913.33</v>
      </c>
      <c r="F6624" s="8" t="n">
        <v>45856</v>
      </c>
      <c r="G6624" s="9" t="n">
        <v>6913.33</v>
      </c>
      <c r="H6624" t="inlineStr">
        <is>
          <t>PAID_ON_TIME</t>
        </is>
      </c>
      <c r="I6624">
        <f>IF(H6624="UNPAID", AsOfDate-D6624, 0)</f>
        <v/>
      </c>
      <c r="J6624">
        <f>IF(F6624&lt;&gt;"", TEXT(F6624, "yyyy-mm"), "")</f>
        <v/>
      </c>
    </row>
    <row r="6625">
      <c r="A6625" t="inlineStr">
        <is>
          <t>RP0006624</t>
        </is>
      </c>
      <c r="B6625" t="inlineStr">
        <is>
          <t>LN200941</t>
        </is>
      </c>
      <c r="C6625" t="n">
        <v>3</v>
      </c>
      <c r="D6625" s="8" t="n">
        <v>45884</v>
      </c>
      <c r="E6625" s="9" t="n">
        <v>6913.33</v>
      </c>
      <c r="F6625" s="8" t="n">
        <v>45882</v>
      </c>
      <c r="G6625" s="9" t="n">
        <v>6913.33</v>
      </c>
      <c r="H6625" t="inlineStr">
        <is>
          <t>PAID_ON_TIME</t>
        </is>
      </c>
      <c r="I6625">
        <f>IF(H6625="UNPAID", AsOfDate-D6625, 0)</f>
        <v/>
      </c>
      <c r="J6625">
        <f>IF(F6625&lt;&gt;"", TEXT(F6625, "yyyy-mm"), "")</f>
        <v/>
      </c>
    </row>
    <row r="6626">
      <c r="A6626" t="inlineStr">
        <is>
          <t>RP0006625</t>
        </is>
      </c>
      <c r="B6626" t="inlineStr">
        <is>
          <t>LN200942</t>
        </is>
      </c>
      <c r="C6626" t="n">
        <v>1</v>
      </c>
      <c r="D6626" s="8" t="n">
        <v>45696</v>
      </c>
      <c r="E6626" s="9" t="n">
        <v>6336</v>
      </c>
      <c r="F6626" s="8" t="n">
        <v>45694</v>
      </c>
      <c r="G6626" s="9" t="n">
        <v>6336</v>
      </c>
      <c r="H6626" t="inlineStr">
        <is>
          <t>PAID_ON_TIME</t>
        </is>
      </c>
      <c r="I6626">
        <f>IF(H6626="UNPAID", AsOfDate-D6626, 0)</f>
        <v/>
      </c>
      <c r="J6626">
        <f>IF(F6626&lt;&gt;"", TEXT(F6626, "yyyy-mm"), "")</f>
        <v/>
      </c>
    </row>
    <row r="6627">
      <c r="A6627" t="inlineStr">
        <is>
          <t>RP0006626</t>
        </is>
      </c>
      <c r="B6627" t="inlineStr">
        <is>
          <t>LN200942</t>
        </is>
      </c>
      <c r="C6627" t="n">
        <v>2</v>
      </c>
      <c r="D6627" s="8" t="n">
        <v>45724</v>
      </c>
      <c r="E6627" s="9" t="n">
        <v>6336</v>
      </c>
      <c r="F6627" s="8" t="n">
        <v>45725</v>
      </c>
      <c r="G6627" s="9" t="n">
        <v>6336</v>
      </c>
      <c r="H6627" t="inlineStr">
        <is>
          <t>PAID_ON_TIME</t>
        </is>
      </c>
      <c r="I6627">
        <f>IF(H6627="UNPAID", AsOfDate-D6627, 0)</f>
        <v/>
      </c>
      <c r="J6627">
        <f>IF(F6627&lt;&gt;"", TEXT(F6627, "yyyy-mm"), "")</f>
        <v/>
      </c>
    </row>
    <row r="6628">
      <c r="A6628" t="inlineStr">
        <is>
          <t>RP0006627</t>
        </is>
      </c>
      <c r="B6628" t="inlineStr">
        <is>
          <t>LN200942</t>
        </is>
      </c>
      <c r="C6628" t="n">
        <v>3</v>
      </c>
      <c r="D6628" s="8" t="n">
        <v>45755</v>
      </c>
      <c r="E6628" s="9" t="n">
        <v>6336</v>
      </c>
      <c r="F6628" s="8" t="n">
        <v>45758</v>
      </c>
      <c r="G6628" s="9" t="n">
        <v>6336</v>
      </c>
      <c r="H6628" t="inlineStr">
        <is>
          <t>PAID_ON_TIME</t>
        </is>
      </c>
      <c r="I6628">
        <f>IF(H6628="UNPAID", AsOfDate-D6628, 0)</f>
        <v/>
      </c>
      <c r="J6628">
        <f>IF(F6628&lt;&gt;"", TEXT(F6628, "yyyy-mm"), "")</f>
        <v/>
      </c>
    </row>
    <row r="6629">
      <c r="A6629" t="inlineStr">
        <is>
          <t>RP0006628</t>
        </is>
      </c>
      <c r="B6629" t="inlineStr">
        <is>
          <t>LN200942</t>
        </is>
      </c>
      <c r="C6629" t="n">
        <v>4</v>
      </c>
      <c r="D6629" s="8" t="n">
        <v>45785</v>
      </c>
      <c r="E6629" s="9" t="n">
        <v>6336</v>
      </c>
      <c r="F6629" s="8" t="n">
        <v>45787</v>
      </c>
      <c r="G6629" s="9" t="n">
        <v>6336</v>
      </c>
      <c r="H6629" t="inlineStr">
        <is>
          <t>PAID_ON_TIME</t>
        </is>
      </c>
      <c r="I6629">
        <f>IF(H6629="UNPAID", AsOfDate-D6629, 0)</f>
        <v/>
      </c>
      <c r="J6629">
        <f>IF(F6629&lt;&gt;"", TEXT(F6629, "yyyy-mm"), "")</f>
        <v/>
      </c>
    </row>
    <row r="6630">
      <c r="A6630" t="inlineStr">
        <is>
          <t>RP0006629</t>
        </is>
      </c>
      <c r="B6630" t="inlineStr">
        <is>
          <t>LN200942</t>
        </is>
      </c>
      <c r="C6630" t="n">
        <v>5</v>
      </c>
      <c r="D6630" s="8" t="n">
        <v>45816</v>
      </c>
      <c r="E6630" s="9" t="n">
        <v>6336</v>
      </c>
      <c r="F6630" s="8" t="n">
        <v>45836</v>
      </c>
      <c r="G6630" s="9" t="n">
        <v>6336</v>
      </c>
      <c r="H6630" t="inlineStr">
        <is>
          <t>PAID_LATE</t>
        </is>
      </c>
      <c r="I6630">
        <f>IF(H6630="UNPAID", AsOfDate-D6630, 0)</f>
        <v/>
      </c>
      <c r="J6630">
        <f>IF(F6630&lt;&gt;"", TEXT(F6630, "yyyy-mm"), "")</f>
        <v/>
      </c>
    </row>
    <row r="6631">
      <c r="A6631" t="inlineStr">
        <is>
          <t>RP0006630</t>
        </is>
      </c>
      <c r="B6631" t="inlineStr">
        <is>
          <t>LN200942</t>
        </is>
      </c>
      <c r="C6631" t="n">
        <v>6</v>
      </c>
      <c r="D6631" s="8" t="n">
        <v>45846</v>
      </c>
      <c r="E6631" s="9" t="n">
        <v>6336</v>
      </c>
      <c r="F6631" s="8" t="n">
        <v>45844</v>
      </c>
      <c r="G6631" s="9" t="n">
        <v>6336</v>
      </c>
      <c r="H6631" t="inlineStr">
        <is>
          <t>PAID_ON_TIME</t>
        </is>
      </c>
      <c r="I6631">
        <f>IF(H6631="UNPAID", AsOfDate-D6631, 0)</f>
        <v/>
      </c>
      <c r="J6631">
        <f>IF(F6631&lt;&gt;"", TEXT(F6631, "yyyy-mm"), "")</f>
        <v/>
      </c>
    </row>
    <row r="6632">
      <c r="A6632" t="inlineStr">
        <is>
          <t>RP0006631</t>
        </is>
      </c>
      <c r="B6632" t="inlineStr">
        <is>
          <t>LN200942</t>
        </is>
      </c>
      <c r="C6632" t="n">
        <v>7</v>
      </c>
      <c r="D6632" s="8" t="n">
        <v>45877</v>
      </c>
      <c r="E6632" s="9" t="n">
        <v>6336</v>
      </c>
      <c r="F6632" s="8" t="n">
        <v>45964</v>
      </c>
      <c r="G6632" s="9" t="n">
        <v>6336</v>
      </c>
      <c r="H6632" t="inlineStr">
        <is>
          <t>PAID_LATE</t>
        </is>
      </c>
      <c r="I6632">
        <f>IF(H6632="UNPAID", AsOfDate-D6632, 0)</f>
        <v/>
      </c>
      <c r="J6632">
        <f>IF(F6632&lt;&gt;"", TEXT(F6632, "yyyy-mm"), "")</f>
        <v/>
      </c>
    </row>
    <row r="6633">
      <c r="A6633" t="inlineStr">
        <is>
          <t>RP0006632</t>
        </is>
      </c>
      <c r="B6633" t="inlineStr">
        <is>
          <t>LN200942</t>
        </is>
      </c>
      <c r="C6633" t="n">
        <v>8</v>
      </c>
      <c r="D6633" s="8" t="n">
        <v>45908</v>
      </c>
      <c r="E6633" s="9" t="n">
        <v>6336</v>
      </c>
      <c r="F6633" s="8" t="n">
        <v>45905</v>
      </c>
      <c r="G6633" s="9" t="n">
        <v>6336</v>
      </c>
      <c r="H6633" t="inlineStr">
        <is>
          <t>PAID_ON_TIME</t>
        </is>
      </c>
      <c r="I6633">
        <f>IF(H6633="UNPAID", AsOfDate-D6633, 0)</f>
        <v/>
      </c>
      <c r="J6633">
        <f>IF(F6633&lt;&gt;"", TEXT(F6633, "yyyy-mm"), "")</f>
        <v/>
      </c>
    </row>
    <row r="6634">
      <c r="A6634" t="inlineStr">
        <is>
          <t>RP0006633</t>
        </is>
      </c>
      <c r="B6634" t="inlineStr">
        <is>
          <t>LN200942</t>
        </is>
      </c>
      <c r="C6634" t="n">
        <v>9</v>
      </c>
      <c r="D6634" s="8" t="n">
        <v>45938</v>
      </c>
      <c r="E6634" s="9" t="n">
        <v>6336</v>
      </c>
      <c r="F6634" s="8" t="n">
        <v>46002</v>
      </c>
      <c r="G6634" s="9" t="n">
        <v>6336</v>
      </c>
      <c r="H6634" t="inlineStr">
        <is>
          <t>PAID_LATE</t>
        </is>
      </c>
      <c r="I6634">
        <f>IF(H6634="UNPAID", AsOfDate-D6634, 0)</f>
        <v/>
      </c>
      <c r="J6634">
        <f>IF(F6634&lt;&gt;"", TEXT(F6634, "yyyy-mm"), "")</f>
        <v/>
      </c>
    </row>
    <row r="6635">
      <c r="A6635" t="inlineStr">
        <is>
          <t>RP0006634</t>
        </is>
      </c>
      <c r="B6635" t="inlineStr">
        <is>
          <t>LN200942</t>
        </is>
      </c>
      <c r="C6635" t="n">
        <v>10</v>
      </c>
      <c r="D6635" s="8" t="n">
        <v>45969</v>
      </c>
      <c r="E6635" s="9" t="n">
        <v>6336</v>
      </c>
      <c r="F6635" s="8" t="n">
        <v>45972</v>
      </c>
      <c r="G6635" s="9" t="n">
        <v>6336</v>
      </c>
      <c r="H6635" t="inlineStr">
        <is>
          <t>PAID_ON_TIME</t>
        </is>
      </c>
      <c r="I6635">
        <f>IF(H6635="UNPAID", AsOfDate-D6635, 0)</f>
        <v/>
      </c>
      <c r="J6635">
        <f>IF(F6635&lt;&gt;"", TEXT(F6635, "yyyy-mm"), "")</f>
        <v/>
      </c>
    </row>
    <row r="6636">
      <c r="A6636" t="inlineStr">
        <is>
          <t>RP0006635</t>
        </is>
      </c>
      <c r="B6636" t="inlineStr">
        <is>
          <t>LN200942</t>
        </is>
      </c>
      <c r="C6636" t="n">
        <v>11</v>
      </c>
      <c r="D6636" s="8" t="n">
        <v>45999</v>
      </c>
      <c r="E6636" s="9" t="n">
        <v>6336</v>
      </c>
      <c r="F6636" s="8" t="n">
        <v>45999</v>
      </c>
      <c r="G6636" s="9" t="n">
        <v>6336</v>
      </c>
      <c r="H6636" t="inlineStr">
        <is>
          <t>PAID_ON_TIME</t>
        </is>
      </c>
      <c r="I6636">
        <f>IF(H6636="UNPAID", AsOfDate-D6636, 0)</f>
        <v/>
      </c>
      <c r="J6636">
        <f>IF(F6636&lt;&gt;"", TEXT(F6636, "yyyy-mm"), "")</f>
        <v/>
      </c>
    </row>
    <row r="6637">
      <c r="A6637" t="inlineStr">
        <is>
          <t>RP0006636</t>
        </is>
      </c>
      <c r="B6637" t="inlineStr">
        <is>
          <t>LN200942</t>
        </is>
      </c>
      <c r="C6637" t="n">
        <v>12</v>
      </c>
      <c r="D6637" s="8" t="n">
        <v>46030</v>
      </c>
      <c r="E6637" s="9" t="n">
        <v>6336</v>
      </c>
      <c r="F6637" s="8" t="n">
        <v>46029</v>
      </c>
      <c r="G6637" s="9" t="n">
        <v>6336</v>
      </c>
      <c r="H6637" t="inlineStr">
        <is>
          <t>PAID_ON_TIME</t>
        </is>
      </c>
      <c r="I6637">
        <f>IF(H6637="UNPAID", AsOfDate-D6637, 0)</f>
        <v/>
      </c>
      <c r="J6637">
        <f>IF(F6637&lt;&gt;"", TEXT(F6637, "yyyy-mm"), "")</f>
        <v/>
      </c>
    </row>
    <row r="6638">
      <c r="A6638" t="inlineStr">
        <is>
          <t>RP0006637</t>
        </is>
      </c>
      <c r="B6638" t="inlineStr">
        <is>
          <t>LN200943</t>
        </is>
      </c>
      <c r="C6638" t="n">
        <v>1</v>
      </c>
      <c r="D6638" s="8" t="n">
        <v>45862</v>
      </c>
      <c r="E6638" s="9" t="n">
        <v>12891.5</v>
      </c>
      <c r="F6638" s="8" t="n">
        <v>45883</v>
      </c>
      <c r="G6638" s="9" t="n">
        <v>12891.5</v>
      </c>
      <c r="H6638" t="inlineStr">
        <is>
          <t>PAID_LATE</t>
        </is>
      </c>
      <c r="I6638">
        <f>IF(H6638="UNPAID", AsOfDate-D6638, 0)</f>
        <v/>
      </c>
      <c r="J6638">
        <f>IF(F6638&lt;&gt;"", TEXT(F6638, "yyyy-mm"), "")</f>
        <v/>
      </c>
    </row>
    <row r="6639">
      <c r="A6639" t="inlineStr">
        <is>
          <t>RP0006638</t>
        </is>
      </c>
      <c r="B6639" t="inlineStr">
        <is>
          <t>LN200943</t>
        </is>
      </c>
      <c r="C6639" t="n">
        <v>2</v>
      </c>
      <c r="D6639" s="8" t="n">
        <v>45893</v>
      </c>
      <c r="E6639" s="9" t="n">
        <v>12891.5</v>
      </c>
      <c r="F6639" s="8" t="n">
        <v>45893</v>
      </c>
      <c r="G6639" s="9" t="n">
        <v>12891.5</v>
      </c>
      <c r="H6639" t="inlineStr">
        <is>
          <t>PAID_ON_TIME</t>
        </is>
      </c>
      <c r="I6639">
        <f>IF(H6639="UNPAID", AsOfDate-D6639, 0)</f>
        <v/>
      </c>
      <c r="J6639">
        <f>IF(F6639&lt;&gt;"", TEXT(F6639, "yyyy-mm"), "")</f>
        <v/>
      </c>
    </row>
    <row r="6640">
      <c r="A6640" t="inlineStr">
        <is>
          <t>RP0006639</t>
        </is>
      </c>
      <c r="B6640" t="inlineStr">
        <is>
          <t>LN200943</t>
        </is>
      </c>
      <c r="C6640" t="n">
        <v>3</v>
      </c>
      <c r="D6640" s="8" t="n">
        <v>45924</v>
      </c>
      <c r="E6640" s="9" t="n">
        <v>12891.5</v>
      </c>
      <c r="F6640" s="8" t="n">
        <v>45924</v>
      </c>
      <c r="G6640" s="9" t="n">
        <v>12891.5</v>
      </c>
      <c r="H6640" t="inlineStr">
        <is>
          <t>PAID_ON_TIME</t>
        </is>
      </c>
      <c r="I6640">
        <f>IF(H6640="UNPAID", AsOfDate-D6640, 0)</f>
        <v/>
      </c>
      <c r="J6640">
        <f>IF(F6640&lt;&gt;"", TEXT(F6640, "yyyy-mm"), "")</f>
        <v/>
      </c>
    </row>
    <row r="6641">
      <c r="A6641" t="inlineStr">
        <is>
          <t>RP0006640</t>
        </is>
      </c>
      <c r="B6641" t="inlineStr">
        <is>
          <t>LN200943</t>
        </is>
      </c>
      <c r="C6641" t="n">
        <v>4</v>
      </c>
      <c r="D6641" s="8" t="n">
        <v>45954</v>
      </c>
      <c r="E6641" s="9" t="n">
        <v>12891.5</v>
      </c>
      <c r="F6641" s="8" t="n">
        <v>45951</v>
      </c>
      <c r="G6641" s="9" t="n">
        <v>12891.5</v>
      </c>
      <c r="H6641" t="inlineStr">
        <is>
          <t>PAID_ON_TIME</t>
        </is>
      </c>
      <c r="I6641">
        <f>IF(H6641="UNPAID", AsOfDate-D6641, 0)</f>
        <v/>
      </c>
      <c r="J6641">
        <f>IF(F6641&lt;&gt;"", TEXT(F6641, "yyyy-mm"), "")</f>
        <v/>
      </c>
    </row>
    <row r="6642">
      <c r="A6642" t="inlineStr">
        <is>
          <t>RP0006641</t>
        </is>
      </c>
      <c r="B6642" t="inlineStr">
        <is>
          <t>LN200943</t>
        </is>
      </c>
      <c r="C6642" t="n">
        <v>5</v>
      </c>
      <c r="D6642" s="8" t="n">
        <v>45985</v>
      </c>
      <c r="E6642" s="9" t="n">
        <v>12891.5</v>
      </c>
      <c r="F6642" s="8" t="n">
        <v>46079</v>
      </c>
      <c r="G6642" s="9" t="n">
        <v>12891.5</v>
      </c>
      <c r="H6642" t="inlineStr">
        <is>
          <t>PAID_LATE</t>
        </is>
      </c>
      <c r="I6642">
        <f>IF(H6642="UNPAID", AsOfDate-D6642, 0)</f>
        <v/>
      </c>
      <c r="J6642">
        <f>IF(F6642&lt;&gt;"", TEXT(F6642, "yyyy-mm"), "")</f>
        <v/>
      </c>
    </row>
    <row r="6643">
      <c r="A6643" t="inlineStr">
        <is>
          <t>RP0006642</t>
        </is>
      </c>
      <c r="B6643" t="inlineStr">
        <is>
          <t>LN200943</t>
        </is>
      </c>
      <c r="C6643" t="n">
        <v>6</v>
      </c>
      <c r="D6643" s="8" t="n">
        <v>46015</v>
      </c>
      <c r="E6643" s="9" t="n">
        <v>12891.5</v>
      </c>
      <c r="F6643" s="8" t="n">
        <v>46014</v>
      </c>
      <c r="G6643" s="9" t="n">
        <v>12891.5</v>
      </c>
      <c r="H6643" t="inlineStr">
        <is>
          <t>PAID_ON_TIME</t>
        </is>
      </c>
      <c r="I6643">
        <f>IF(H6643="UNPAID", AsOfDate-D6643, 0)</f>
        <v/>
      </c>
      <c r="J6643">
        <f>IF(F6643&lt;&gt;"", TEXT(F6643, "yyyy-mm"), "")</f>
        <v/>
      </c>
    </row>
    <row r="6644">
      <c r="A6644" t="inlineStr">
        <is>
          <t>RP0006643</t>
        </is>
      </c>
      <c r="B6644" t="inlineStr">
        <is>
          <t>LN200943</t>
        </is>
      </c>
      <c r="C6644" t="n">
        <v>7</v>
      </c>
      <c r="D6644" s="8" t="n">
        <v>46046</v>
      </c>
      <c r="E6644" s="9" t="n">
        <v>12891.5</v>
      </c>
      <c r="F6644" s="8" t="n">
        <v>46049</v>
      </c>
      <c r="G6644" s="9" t="n">
        <v>12891.5</v>
      </c>
      <c r="H6644" t="inlineStr">
        <is>
          <t>PAID_ON_TIME</t>
        </is>
      </c>
      <c r="I6644">
        <f>IF(H6644="UNPAID", AsOfDate-D6644, 0)</f>
        <v/>
      </c>
      <c r="J6644">
        <f>IF(F6644&lt;&gt;"", TEXT(F6644, "yyyy-mm"), "")</f>
        <v/>
      </c>
    </row>
    <row r="6645">
      <c r="A6645" t="inlineStr">
        <is>
          <t>RP0006644</t>
        </is>
      </c>
      <c r="B6645" t="inlineStr">
        <is>
          <t>LN200943</t>
        </is>
      </c>
      <c r="C6645" t="n">
        <v>8</v>
      </c>
      <c r="D6645" s="8" t="n">
        <v>46077</v>
      </c>
      <c r="E6645" s="9" t="n">
        <v>12891.5</v>
      </c>
      <c r="F6645" s="8" t="n">
        <v>46080</v>
      </c>
      <c r="G6645" s="9" t="n">
        <v>12891.5</v>
      </c>
      <c r="H6645" t="inlineStr">
        <is>
          <t>PAID_ON_TIME</t>
        </is>
      </c>
      <c r="I6645">
        <f>IF(H6645="UNPAID", AsOfDate-D6645, 0)</f>
        <v/>
      </c>
      <c r="J6645">
        <f>IF(F6645&lt;&gt;"", TEXT(F6645, "yyyy-mm"), "")</f>
        <v/>
      </c>
    </row>
    <row r="6646">
      <c r="A6646" t="inlineStr">
        <is>
          <t>RP0006645</t>
        </is>
      </c>
      <c r="B6646" t="inlineStr">
        <is>
          <t>LN200943</t>
        </is>
      </c>
      <c r="C6646" t="n">
        <v>9</v>
      </c>
      <c r="D6646" s="8" t="n">
        <v>46105</v>
      </c>
      <c r="E6646" s="9" t="n">
        <v>12891.5</v>
      </c>
      <c r="F6646" s="8" t="n">
        <v>46102</v>
      </c>
      <c r="G6646" s="9" t="n">
        <v>12891.5</v>
      </c>
      <c r="H6646" t="inlineStr">
        <is>
          <t>PAID_ON_TIME</t>
        </is>
      </c>
      <c r="I6646">
        <f>IF(H6646="UNPAID", AsOfDate-D6646, 0)</f>
        <v/>
      </c>
      <c r="J6646">
        <f>IF(F6646&lt;&gt;"", TEXT(F6646, "yyyy-mm"), "")</f>
        <v/>
      </c>
    </row>
    <row r="6647">
      <c r="A6647" t="inlineStr">
        <is>
          <t>RP0006646</t>
        </is>
      </c>
      <c r="B6647" t="inlineStr">
        <is>
          <t>LN200943</t>
        </is>
      </c>
      <c r="C6647" t="n">
        <v>10</v>
      </c>
      <c r="D6647" s="8" t="n">
        <v>46136</v>
      </c>
      <c r="E6647" s="9" t="n">
        <v>12891.5</v>
      </c>
      <c r="F6647" s="8" t="n">
        <v>46209</v>
      </c>
      <c r="G6647" s="9" t="n">
        <v>12891.5</v>
      </c>
      <c r="H6647" t="inlineStr">
        <is>
          <t>PAID_LATE</t>
        </is>
      </c>
      <c r="I6647">
        <f>IF(H6647="UNPAID", AsOfDate-D6647, 0)</f>
        <v/>
      </c>
      <c r="J6647">
        <f>IF(F6647&lt;&gt;"", TEXT(F6647, "yyyy-mm"), "")</f>
        <v/>
      </c>
    </row>
    <row r="6648">
      <c r="A6648" t="inlineStr">
        <is>
          <t>RP0006647</t>
        </is>
      </c>
      <c r="B6648" t="inlineStr">
        <is>
          <t>LN200943</t>
        </is>
      </c>
      <c r="C6648" t="n">
        <v>11</v>
      </c>
      <c r="D6648" s="8" t="n">
        <v>46166</v>
      </c>
      <c r="E6648" s="9" t="n">
        <v>12891.5</v>
      </c>
      <c r="F6648" s="8" t="n">
        <v>46165</v>
      </c>
      <c r="G6648" s="9" t="n">
        <v>12891.5</v>
      </c>
      <c r="H6648" t="inlineStr">
        <is>
          <t>PAID_ON_TIME</t>
        </is>
      </c>
      <c r="I6648">
        <f>IF(H6648="UNPAID", AsOfDate-D6648, 0)</f>
        <v/>
      </c>
      <c r="J6648">
        <f>IF(F6648&lt;&gt;"", TEXT(F6648, "yyyy-mm"), "")</f>
        <v/>
      </c>
    </row>
    <row r="6649">
      <c r="A6649" t="inlineStr">
        <is>
          <t>RP0006648</t>
        </is>
      </c>
      <c r="B6649" t="inlineStr">
        <is>
          <t>LN200943</t>
        </is>
      </c>
      <c r="C6649" t="n">
        <v>12</v>
      </c>
      <c r="D6649" s="8" t="n">
        <v>46197</v>
      </c>
      <c r="E6649" s="9" t="n">
        <v>12891.5</v>
      </c>
      <c r="F6649" s="8" t="n">
        <v>46195</v>
      </c>
      <c r="G6649" s="9" t="n">
        <v>12891.5</v>
      </c>
      <c r="H6649" t="inlineStr">
        <is>
          <t>PAID_ON_TIME</t>
        </is>
      </c>
      <c r="I6649">
        <f>IF(H6649="UNPAID", AsOfDate-D6649, 0)</f>
        <v/>
      </c>
      <c r="J6649">
        <f>IF(F6649&lt;&gt;"", TEXT(F6649, "yyyy-mm"), "")</f>
        <v/>
      </c>
    </row>
    <row r="6650">
      <c r="A6650" t="inlineStr">
        <is>
          <t>RP0006649</t>
        </is>
      </c>
      <c r="B6650" t="inlineStr">
        <is>
          <t>LN200944</t>
        </is>
      </c>
      <c r="C6650" t="n">
        <v>1</v>
      </c>
      <c r="D6650" s="8" t="n">
        <v>46180</v>
      </c>
      <c r="E6650" s="9" t="n">
        <v>54821</v>
      </c>
      <c r="F6650" s="8" t="n">
        <v>46177</v>
      </c>
      <c r="G6650" s="9" t="n">
        <v>54821</v>
      </c>
      <c r="H6650" t="inlineStr">
        <is>
          <t>PAID_ON_TIME</t>
        </is>
      </c>
      <c r="I6650">
        <f>IF(H6650="UNPAID", AsOfDate-D6650, 0)</f>
        <v/>
      </c>
      <c r="J6650">
        <f>IF(F6650&lt;&gt;"", TEXT(F6650, "yyyy-mm"), "")</f>
        <v/>
      </c>
    </row>
    <row r="6651">
      <c r="A6651" t="inlineStr">
        <is>
          <t>RP0006650</t>
        </is>
      </c>
      <c r="B6651" t="inlineStr">
        <is>
          <t>LN200944</t>
        </is>
      </c>
      <c r="C6651" t="n">
        <v>2</v>
      </c>
      <c r="D6651" s="8" t="n">
        <v>46210</v>
      </c>
      <c r="E6651" s="9" t="n">
        <v>54821</v>
      </c>
      <c r="F6651" s="8" t="n">
        <v>46234</v>
      </c>
      <c r="G6651" s="9" t="n">
        <v>54821</v>
      </c>
      <c r="H6651" t="inlineStr">
        <is>
          <t>PAID_LATE</t>
        </is>
      </c>
      <c r="I6651">
        <f>IF(H6651="UNPAID", AsOfDate-D6651, 0)</f>
        <v/>
      </c>
      <c r="J6651">
        <f>IF(F6651&lt;&gt;"", TEXT(F6651, "yyyy-mm"), "")</f>
        <v/>
      </c>
    </row>
    <row r="6652">
      <c r="A6652" t="inlineStr">
        <is>
          <t>RP0006651</t>
        </is>
      </c>
      <c r="B6652" t="inlineStr">
        <is>
          <t>LN200944</t>
        </is>
      </c>
      <c r="C6652" t="n">
        <v>3</v>
      </c>
      <c r="D6652" s="8" t="n">
        <v>46241</v>
      </c>
      <c r="E6652" s="9" t="n">
        <v>54821</v>
      </c>
      <c r="F6652" s="8" t="n"/>
      <c r="G6652" s="9" t="n">
        <v>0</v>
      </c>
      <c r="H6652" t="inlineStr">
        <is>
          <t>UNPAID</t>
        </is>
      </c>
      <c r="I6652">
        <f>IF(H6652="UNPAID", AsOfDate-D6652, 0)</f>
        <v/>
      </c>
      <c r="J6652">
        <f>IF(F6652&lt;&gt;"", TEXT(F6652, "yyyy-mm"), "")</f>
        <v/>
      </c>
    </row>
    <row r="6653">
      <c r="A6653" t="inlineStr">
        <is>
          <t>RP0006652</t>
        </is>
      </c>
      <c r="B6653" t="inlineStr">
        <is>
          <t>LN200945</t>
        </is>
      </c>
      <c r="C6653" t="n">
        <v>1</v>
      </c>
      <c r="D6653" s="8" t="n">
        <v>46241</v>
      </c>
      <c r="E6653" s="9" t="n">
        <v>44743.11</v>
      </c>
      <c r="F6653" s="8" t="n">
        <v>46238</v>
      </c>
      <c r="G6653" s="9" t="n">
        <v>44743.11</v>
      </c>
      <c r="H6653" t="inlineStr">
        <is>
          <t>PAID_ON_TIME</t>
        </is>
      </c>
      <c r="I6653">
        <f>IF(H6653="UNPAID", AsOfDate-D6653, 0)</f>
        <v/>
      </c>
      <c r="J6653">
        <f>IF(F6653&lt;&gt;"", TEXT(F6653, "yyyy-mm"), "")</f>
        <v/>
      </c>
    </row>
    <row r="6654">
      <c r="A6654" t="inlineStr">
        <is>
          <t>RP0006653</t>
        </is>
      </c>
      <c r="B6654" t="inlineStr">
        <is>
          <t>LN200945</t>
        </is>
      </c>
      <c r="C6654" t="n">
        <v>2</v>
      </c>
      <c r="D6654" s="8" t="n">
        <v>46272</v>
      </c>
      <c r="E6654" s="9" t="n">
        <v>44743.11</v>
      </c>
      <c r="F6654" s="8" t="n"/>
      <c r="G6654" s="9" t="n">
        <v>0</v>
      </c>
      <c r="H6654" t="inlineStr">
        <is>
          <t>NOT_DUE</t>
        </is>
      </c>
      <c r="I6654">
        <f>IF(H6654="UNPAID", AsOfDate-D6654, 0)</f>
        <v/>
      </c>
      <c r="J6654">
        <f>IF(F6654&lt;&gt;"", TEXT(F6654, "yyyy-mm"), "")</f>
        <v/>
      </c>
    </row>
    <row r="6655">
      <c r="A6655" t="inlineStr">
        <is>
          <t>RP0006654</t>
        </is>
      </c>
      <c r="B6655" t="inlineStr">
        <is>
          <t>LN200945</t>
        </is>
      </c>
      <c r="C6655" t="n">
        <v>3</v>
      </c>
      <c r="D6655" s="8" t="n">
        <v>46302</v>
      </c>
      <c r="E6655" s="9" t="n">
        <v>44743.11</v>
      </c>
      <c r="F6655" s="8" t="n"/>
      <c r="G6655" s="9" t="n">
        <v>0</v>
      </c>
      <c r="H6655" t="inlineStr">
        <is>
          <t>NOT_DUE</t>
        </is>
      </c>
      <c r="I6655">
        <f>IF(H6655="UNPAID", AsOfDate-D6655, 0)</f>
        <v/>
      </c>
      <c r="J6655">
        <f>IF(F6655&lt;&gt;"", TEXT(F6655, "yyyy-mm"), "")</f>
        <v/>
      </c>
    </row>
    <row r="6656">
      <c r="A6656" t="inlineStr">
        <is>
          <t>RP0006655</t>
        </is>
      </c>
      <c r="B6656" t="inlineStr">
        <is>
          <t>LN200945</t>
        </is>
      </c>
      <c r="C6656" t="n">
        <v>4</v>
      </c>
      <c r="D6656" s="8" t="n">
        <v>46333</v>
      </c>
      <c r="E6656" s="9" t="n">
        <v>44743.11</v>
      </c>
      <c r="F6656" s="8" t="n"/>
      <c r="G6656" s="9" t="n">
        <v>0</v>
      </c>
      <c r="H6656" t="inlineStr">
        <is>
          <t>NOT_DUE</t>
        </is>
      </c>
      <c r="I6656">
        <f>IF(H6656="UNPAID", AsOfDate-D6656, 0)</f>
        <v/>
      </c>
      <c r="J6656">
        <f>IF(F6656&lt;&gt;"", TEXT(F6656, "yyyy-mm"), "")</f>
        <v/>
      </c>
    </row>
    <row r="6657">
      <c r="A6657" t="inlineStr">
        <is>
          <t>RP0006656</t>
        </is>
      </c>
      <c r="B6657" t="inlineStr">
        <is>
          <t>LN200945</t>
        </is>
      </c>
      <c r="C6657" t="n">
        <v>5</v>
      </c>
      <c r="D6657" s="8" t="n">
        <v>46363</v>
      </c>
      <c r="E6657" s="9" t="n">
        <v>44743.11</v>
      </c>
      <c r="F6657" s="8" t="n"/>
      <c r="G6657" s="9" t="n">
        <v>0</v>
      </c>
      <c r="H6657" t="inlineStr">
        <is>
          <t>NOT_DUE</t>
        </is>
      </c>
      <c r="I6657">
        <f>IF(H6657="UNPAID", AsOfDate-D6657, 0)</f>
        <v/>
      </c>
      <c r="J6657">
        <f>IF(F6657&lt;&gt;"", TEXT(F6657, "yyyy-mm"), "")</f>
        <v/>
      </c>
    </row>
    <row r="6658">
      <c r="A6658" t="inlineStr">
        <is>
          <t>RP0006657</t>
        </is>
      </c>
      <c r="B6658" t="inlineStr">
        <is>
          <t>LN200945</t>
        </is>
      </c>
      <c r="C6658" t="n">
        <v>6</v>
      </c>
      <c r="D6658" s="8" t="n">
        <v>46394</v>
      </c>
      <c r="E6658" s="9" t="n">
        <v>44743.11</v>
      </c>
      <c r="F6658" s="8" t="n"/>
      <c r="G6658" s="9" t="n">
        <v>0</v>
      </c>
      <c r="H6658" t="inlineStr">
        <is>
          <t>NOT_DUE</t>
        </is>
      </c>
      <c r="I6658">
        <f>IF(H6658="UNPAID", AsOfDate-D6658, 0)</f>
        <v/>
      </c>
      <c r="J6658">
        <f>IF(F6658&lt;&gt;"", TEXT(F6658, "yyyy-mm"), "")</f>
        <v/>
      </c>
    </row>
    <row r="6659">
      <c r="A6659" t="inlineStr">
        <is>
          <t>RP0006658</t>
        </is>
      </c>
      <c r="B6659" t="inlineStr">
        <is>
          <t>LN200945</t>
        </is>
      </c>
      <c r="C6659" t="n">
        <v>7</v>
      </c>
      <c r="D6659" s="8" t="n">
        <v>46425</v>
      </c>
      <c r="E6659" s="9" t="n">
        <v>44743.11</v>
      </c>
      <c r="F6659" s="8" t="n"/>
      <c r="G6659" s="9" t="n">
        <v>0</v>
      </c>
      <c r="H6659" t="inlineStr">
        <is>
          <t>NOT_DUE</t>
        </is>
      </c>
      <c r="I6659">
        <f>IF(H6659="UNPAID", AsOfDate-D6659, 0)</f>
        <v/>
      </c>
      <c r="J6659">
        <f>IF(F6659&lt;&gt;"", TEXT(F6659, "yyyy-mm"), "")</f>
        <v/>
      </c>
    </row>
    <row r="6660">
      <c r="A6660" t="inlineStr">
        <is>
          <t>RP0006659</t>
        </is>
      </c>
      <c r="B6660" t="inlineStr">
        <is>
          <t>LN200945</t>
        </is>
      </c>
      <c r="C6660" t="n">
        <v>8</v>
      </c>
      <c r="D6660" s="8" t="n">
        <v>46453</v>
      </c>
      <c r="E6660" s="9" t="n">
        <v>44743.11</v>
      </c>
      <c r="F6660" s="8" t="n"/>
      <c r="G6660" s="9" t="n">
        <v>0</v>
      </c>
      <c r="H6660" t="inlineStr">
        <is>
          <t>NOT_DUE</t>
        </is>
      </c>
      <c r="I6660">
        <f>IF(H6660="UNPAID", AsOfDate-D6660, 0)</f>
        <v/>
      </c>
      <c r="J6660">
        <f>IF(F6660&lt;&gt;"", TEXT(F6660, "yyyy-mm"), "")</f>
        <v/>
      </c>
    </row>
    <row r="6661">
      <c r="A6661" t="inlineStr">
        <is>
          <t>RP0006660</t>
        </is>
      </c>
      <c r="B6661" t="inlineStr">
        <is>
          <t>LN200945</t>
        </is>
      </c>
      <c r="C6661" t="n">
        <v>9</v>
      </c>
      <c r="D6661" s="8" t="n">
        <v>46484</v>
      </c>
      <c r="E6661" s="9" t="n">
        <v>44743.11</v>
      </c>
      <c r="F6661" s="8" t="n"/>
      <c r="G6661" s="9" t="n">
        <v>0</v>
      </c>
      <c r="H6661" t="inlineStr">
        <is>
          <t>NOT_DUE</t>
        </is>
      </c>
      <c r="I6661">
        <f>IF(H6661="UNPAID", AsOfDate-D6661, 0)</f>
        <v/>
      </c>
      <c r="J6661">
        <f>IF(F6661&lt;&gt;"", TEXT(F6661, "yyyy-mm"), "")</f>
        <v/>
      </c>
    </row>
    <row r="6662">
      <c r="A6662" t="inlineStr">
        <is>
          <t>RP0006661</t>
        </is>
      </c>
      <c r="B6662" t="inlineStr">
        <is>
          <t>LN200946</t>
        </is>
      </c>
      <c r="C6662" t="n">
        <v>1</v>
      </c>
      <c r="D6662" s="8" t="n">
        <v>45820</v>
      </c>
      <c r="E6662" s="9" t="n">
        <v>91009.5</v>
      </c>
      <c r="F6662" s="8" t="n">
        <v>45817</v>
      </c>
      <c r="G6662" s="9" t="n">
        <v>91009.5</v>
      </c>
      <c r="H6662" t="inlineStr">
        <is>
          <t>PAID_ON_TIME</t>
        </is>
      </c>
      <c r="I6662">
        <f>IF(H6662="UNPAID", AsOfDate-D6662, 0)</f>
        <v/>
      </c>
      <c r="J6662">
        <f>IF(F6662&lt;&gt;"", TEXT(F6662, "yyyy-mm"), "")</f>
        <v/>
      </c>
    </row>
    <row r="6663">
      <c r="A6663" t="inlineStr">
        <is>
          <t>RP0006662</t>
        </is>
      </c>
      <c r="B6663" t="inlineStr">
        <is>
          <t>LN200946</t>
        </is>
      </c>
      <c r="C6663" t="n">
        <v>2</v>
      </c>
      <c r="D6663" s="8" t="n">
        <v>45850</v>
      </c>
      <c r="E6663" s="9" t="n">
        <v>91009.5</v>
      </c>
      <c r="F6663" s="8" t="n">
        <v>45892</v>
      </c>
      <c r="G6663" s="9" t="n">
        <v>91009.5</v>
      </c>
      <c r="H6663" t="inlineStr">
        <is>
          <t>PAID_LATE</t>
        </is>
      </c>
      <c r="I6663">
        <f>IF(H6663="UNPAID", AsOfDate-D6663, 0)</f>
        <v/>
      </c>
      <c r="J6663">
        <f>IF(F6663&lt;&gt;"", TEXT(F6663, "yyyy-mm"), "")</f>
        <v/>
      </c>
    </row>
    <row r="6664">
      <c r="A6664" t="inlineStr">
        <is>
          <t>RP0006663</t>
        </is>
      </c>
      <c r="B6664" t="inlineStr">
        <is>
          <t>LN200946</t>
        </is>
      </c>
      <c r="C6664" t="n">
        <v>3</v>
      </c>
      <c r="D6664" s="8" t="n">
        <v>45881</v>
      </c>
      <c r="E6664" s="9" t="n">
        <v>91009.5</v>
      </c>
      <c r="F6664" s="8" t="n">
        <v>45883</v>
      </c>
      <c r="G6664" s="9" t="n">
        <v>91009.5</v>
      </c>
      <c r="H6664" t="inlineStr">
        <is>
          <t>PAID_ON_TIME</t>
        </is>
      </c>
      <c r="I6664">
        <f>IF(H6664="UNPAID", AsOfDate-D6664, 0)</f>
        <v/>
      </c>
      <c r="J6664">
        <f>IF(F6664&lt;&gt;"", TEXT(F6664, "yyyy-mm"), "")</f>
        <v/>
      </c>
    </row>
    <row r="6665">
      <c r="A6665" t="inlineStr">
        <is>
          <t>RP0006664</t>
        </is>
      </c>
      <c r="B6665" t="inlineStr">
        <is>
          <t>LN200947</t>
        </is>
      </c>
      <c r="C6665" t="n">
        <v>1</v>
      </c>
      <c r="D6665" s="8" t="n">
        <v>45978</v>
      </c>
      <c r="E6665" s="9" t="n">
        <v>124333</v>
      </c>
      <c r="F6665" s="8" t="n">
        <v>45982</v>
      </c>
      <c r="G6665" s="9" t="n">
        <v>124333</v>
      </c>
      <c r="H6665" t="inlineStr">
        <is>
          <t>PAID_ON_TIME</t>
        </is>
      </c>
      <c r="I6665">
        <f>IF(H6665="UNPAID", AsOfDate-D6665, 0)</f>
        <v/>
      </c>
      <c r="J6665">
        <f>IF(F6665&lt;&gt;"", TEXT(F6665, "yyyy-mm"), "")</f>
        <v/>
      </c>
    </row>
    <row r="6666">
      <c r="A6666" t="inlineStr">
        <is>
          <t>RP0006665</t>
        </is>
      </c>
      <c r="B6666" t="inlineStr">
        <is>
          <t>LN200947</t>
        </is>
      </c>
      <c r="C6666" t="n">
        <v>2</v>
      </c>
      <c r="D6666" s="8" t="n">
        <v>46008</v>
      </c>
      <c r="E6666" s="9" t="n">
        <v>124333</v>
      </c>
      <c r="F6666" s="8" t="n">
        <v>46011</v>
      </c>
      <c r="G6666" s="9" t="n">
        <v>124333</v>
      </c>
      <c r="H6666" t="inlineStr">
        <is>
          <t>PAID_ON_TIME</t>
        </is>
      </c>
      <c r="I6666">
        <f>IF(H6666="UNPAID", AsOfDate-D6666, 0)</f>
        <v/>
      </c>
      <c r="J6666">
        <f>IF(F6666&lt;&gt;"", TEXT(F6666, "yyyy-mm"), "")</f>
        <v/>
      </c>
    </row>
    <row r="6667">
      <c r="A6667" t="inlineStr">
        <is>
          <t>RP0006666</t>
        </is>
      </c>
      <c r="B6667" t="inlineStr">
        <is>
          <t>LN200947</t>
        </is>
      </c>
      <c r="C6667" t="n">
        <v>3</v>
      </c>
      <c r="D6667" s="8" t="n">
        <v>46039</v>
      </c>
      <c r="E6667" s="9" t="n">
        <v>124333</v>
      </c>
      <c r="F6667" s="8" t="n">
        <v>46038</v>
      </c>
      <c r="G6667" s="9" t="n">
        <v>124333</v>
      </c>
      <c r="H6667" t="inlineStr">
        <is>
          <t>PAID_ON_TIME</t>
        </is>
      </c>
      <c r="I6667">
        <f>IF(H6667="UNPAID", AsOfDate-D6667, 0)</f>
        <v/>
      </c>
      <c r="J6667">
        <f>IF(F6667&lt;&gt;"", TEXT(F6667, "yyyy-mm"), "")</f>
        <v/>
      </c>
    </row>
    <row r="6668">
      <c r="A6668" t="inlineStr">
        <is>
          <t>RP0006667</t>
        </is>
      </c>
      <c r="B6668" t="inlineStr">
        <is>
          <t>LN200948</t>
        </is>
      </c>
      <c r="C6668" t="n">
        <v>1</v>
      </c>
      <c r="D6668" s="8" t="n">
        <v>46063</v>
      </c>
      <c r="E6668" s="9" t="n">
        <v>8416</v>
      </c>
      <c r="F6668" s="8" t="n">
        <v>46065</v>
      </c>
      <c r="G6668" s="9" t="n">
        <v>8416</v>
      </c>
      <c r="H6668" t="inlineStr">
        <is>
          <t>PAID_ON_TIME</t>
        </is>
      </c>
      <c r="I6668">
        <f>IF(H6668="UNPAID", AsOfDate-D6668, 0)</f>
        <v/>
      </c>
      <c r="J6668">
        <f>IF(F6668&lt;&gt;"", TEXT(F6668, "yyyy-mm"), "")</f>
        <v/>
      </c>
    </row>
    <row r="6669">
      <c r="A6669" t="inlineStr">
        <is>
          <t>RP0006668</t>
        </is>
      </c>
      <c r="B6669" t="inlineStr">
        <is>
          <t>LN200948</t>
        </is>
      </c>
      <c r="C6669" t="n">
        <v>2</v>
      </c>
      <c r="D6669" s="8" t="n">
        <v>46091</v>
      </c>
      <c r="E6669" s="9" t="n">
        <v>8416</v>
      </c>
      <c r="F6669" s="8" t="n">
        <v>46088</v>
      </c>
      <c r="G6669" s="9" t="n">
        <v>8416</v>
      </c>
      <c r="H6669" t="inlineStr">
        <is>
          <t>PAID_ON_TIME</t>
        </is>
      </c>
      <c r="I6669">
        <f>IF(H6669="UNPAID", AsOfDate-D6669, 0)</f>
        <v/>
      </c>
      <c r="J6669">
        <f>IF(F6669&lt;&gt;"", TEXT(F6669, "yyyy-mm"), "")</f>
        <v/>
      </c>
    </row>
    <row r="6670">
      <c r="A6670" t="inlineStr">
        <is>
          <t>RP0006669</t>
        </is>
      </c>
      <c r="B6670" t="inlineStr">
        <is>
          <t>LN200948</t>
        </is>
      </c>
      <c r="C6670" t="n">
        <v>3</v>
      </c>
      <c r="D6670" s="8" t="n">
        <v>46122</v>
      </c>
      <c r="E6670" s="9" t="n">
        <v>8416</v>
      </c>
      <c r="F6670" s="8" t="n">
        <v>46121</v>
      </c>
      <c r="G6670" s="9" t="n">
        <v>8416</v>
      </c>
      <c r="H6670" t="inlineStr">
        <is>
          <t>PAID_ON_TIME</t>
        </is>
      </c>
      <c r="I6670">
        <f>IF(H6670="UNPAID", AsOfDate-D6670, 0)</f>
        <v/>
      </c>
      <c r="J6670">
        <f>IF(F6670&lt;&gt;"", TEXT(F6670, "yyyy-mm"), "")</f>
        <v/>
      </c>
    </row>
    <row r="6671">
      <c r="A6671" t="inlineStr">
        <is>
          <t>RP0006670</t>
        </is>
      </c>
      <c r="B6671" t="inlineStr">
        <is>
          <t>LN200949</t>
        </is>
      </c>
      <c r="C6671" t="n">
        <v>1</v>
      </c>
      <c r="D6671" s="8" t="n">
        <v>45758</v>
      </c>
      <c r="E6671" s="9" t="n">
        <v>27280.5</v>
      </c>
      <c r="F6671" s="8" t="n">
        <v>45755</v>
      </c>
      <c r="G6671" s="9" t="n">
        <v>27280.5</v>
      </c>
      <c r="H6671" t="inlineStr">
        <is>
          <t>PAID_ON_TIME</t>
        </is>
      </c>
      <c r="I6671">
        <f>IF(H6671="UNPAID", AsOfDate-D6671, 0)</f>
        <v/>
      </c>
      <c r="J6671">
        <f>IF(F6671&lt;&gt;"", TEXT(F6671, "yyyy-mm"), "")</f>
        <v/>
      </c>
    </row>
    <row r="6672">
      <c r="A6672" t="inlineStr">
        <is>
          <t>RP0006671</t>
        </is>
      </c>
      <c r="B6672" t="inlineStr">
        <is>
          <t>LN200949</t>
        </is>
      </c>
      <c r="C6672" t="n">
        <v>2</v>
      </c>
      <c r="D6672" s="8" t="n">
        <v>45788</v>
      </c>
      <c r="E6672" s="9" t="n">
        <v>27280.5</v>
      </c>
      <c r="F6672" s="8" t="n">
        <v>45786</v>
      </c>
      <c r="G6672" s="9" t="n">
        <v>27280.5</v>
      </c>
      <c r="H6672" t="inlineStr">
        <is>
          <t>PAID_ON_TIME</t>
        </is>
      </c>
      <c r="I6672">
        <f>IF(H6672="UNPAID", AsOfDate-D6672, 0)</f>
        <v/>
      </c>
      <c r="J6672">
        <f>IF(F6672&lt;&gt;"", TEXT(F6672, "yyyy-mm"), "")</f>
        <v/>
      </c>
    </row>
    <row r="6673">
      <c r="A6673" t="inlineStr">
        <is>
          <t>RP0006672</t>
        </is>
      </c>
      <c r="B6673" t="inlineStr">
        <is>
          <t>LN200949</t>
        </is>
      </c>
      <c r="C6673" t="n">
        <v>3</v>
      </c>
      <c r="D6673" s="8" t="n">
        <v>45819</v>
      </c>
      <c r="E6673" s="9" t="n">
        <v>27280.5</v>
      </c>
      <c r="F6673" s="8" t="n">
        <v>45821</v>
      </c>
      <c r="G6673" s="9" t="n">
        <v>27280.5</v>
      </c>
      <c r="H6673" t="inlineStr">
        <is>
          <t>PAID_ON_TIME</t>
        </is>
      </c>
      <c r="I6673">
        <f>IF(H6673="UNPAID", AsOfDate-D6673, 0)</f>
        <v/>
      </c>
      <c r="J6673">
        <f>IF(F6673&lt;&gt;"", TEXT(F6673, "yyyy-mm"), "")</f>
        <v/>
      </c>
    </row>
    <row r="6674">
      <c r="A6674" t="inlineStr">
        <is>
          <t>RP0006673</t>
        </is>
      </c>
      <c r="B6674" t="inlineStr">
        <is>
          <t>LN200950</t>
        </is>
      </c>
      <c r="C6674" t="n">
        <v>1</v>
      </c>
      <c r="D6674" s="8" t="n">
        <v>46157</v>
      </c>
      <c r="E6674" s="9" t="n">
        <v>11586.25</v>
      </c>
      <c r="F6674" s="8" t="n">
        <v>46157</v>
      </c>
      <c r="G6674" s="9" t="n">
        <v>11586.25</v>
      </c>
      <c r="H6674" t="inlineStr">
        <is>
          <t>PAID_ON_TIME</t>
        </is>
      </c>
      <c r="I6674">
        <f>IF(H6674="UNPAID", AsOfDate-D6674, 0)</f>
        <v/>
      </c>
      <c r="J6674">
        <f>IF(F6674&lt;&gt;"", TEXT(F6674, "yyyy-mm"), "")</f>
        <v/>
      </c>
    </row>
    <row r="6675">
      <c r="A6675" t="inlineStr">
        <is>
          <t>RP0006674</t>
        </is>
      </c>
      <c r="B6675" t="inlineStr">
        <is>
          <t>LN200950</t>
        </is>
      </c>
      <c r="C6675" t="n">
        <v>2</v>
      </c>
      <c r="D6675" s="8" t="n">
        <v>46188</v>
      </c>
      <c r="E6675" s="9" t="n">
        <v>11586.25</v>
      </c>
      <c r="F6675" s="8" t="n">
        <v>46185</v>
      </c>
      <c r="G6675" s="9" t="n">
        <v>11586.25</v>
      </c>
      <c r="H6675" t="inlineStr">
        <is>
          <t>PAID_ON_TIME</t>
        </is>
      </c>
      <c r="I6675">
        <f>IF(H6675="UNPAID", AsOfDate-D6675, 0)</f>
        <v/>
      </c>
      <c r="J6675">
        <f>IF(F6675&lt;&gt;"", TEXT(F6675, "yyyy-mm"), "")</f>
        <v/>
      </c>
    </row>
    <row r="6676">
      <c r="A6676" t="inlineStr">
        <is>
          <t>RP0006675</t>
        </is>
      </c>
      <c r="B6676" t="inlineStr">
        <is>
          <t>LN200950</t>
        </is>
      </c>
      <c r="C6676" t="n">
        <v>3</v>
      </c>
      <c r="D6676" s="8" t="n">
        <v>46218</v>
      </c>
      <c r="E6676" s="9" t="n">
        <v>11586.25</v>
      </c>
      <c r="F6676" s="8" t="n">
        <v>46216</v>
      </c>
      <c r="G6676" s="9" t="n">
        <v>11586.25</v>
      </c>
      <c r="H6676" t="inlineStr">
        <is>
          <t>PAID_ON_TIME</t>
        </is>
      </c>
      <c r="I6676">
        <f>IF(H6676="UNPAID", AsOfDate-D6676, 0)</f>
        <v/>
      </c>
      <c r="J6676">
        <f>IF(F6676&lt;&gt;"", TEXT(F6676, "yyyy-mm"), "")</f>
        <v/>
      </c>
    </row>
    <row r="6677">
      <c r="A6677" t="inlineStr">
        <is>
          <t>RP0006676</t>
        </is>
      </c>
      <c r="B6677" t="inlineStr">
        <is>
          <t>LN200950</t>
        </is>
      </c>
      <c r="C6677" t="n">
        <v>4</v>
      </c>
      <c r="D6677" s="8" t="n">
        <v>46249</v>
      </c>
      <c r="E6677" s="9" t="n">
        <v>11586.25</v>
      </c>
      <c r="F6677" s="8" t="n">
        <v>46250</v>
      </c>
      <c r="G6677" s="9" t="n">
        <v>11586.25</v>
      </c>
      <c r="H6677" t="inlineStr">
        <is>
          <t>PAID_ON_TIME</t>
        </is>
      </c>
      <c r="I6677">
        <f>IF(H6677="UNPAID", AsOfDate-D6677, 0)</f>
        <v/>
      </c>
      <c r="J6677">
        <f>IF(F6677&lt;&gt;"", TEXT(F6677, "yyyy-mm"), "")</f>
        <v/>
      </c>
    </row>
    <row r="6678">
      <c r="A6678" t="inlineStr">
        <is>
          <t>RP0006677</t>
        </is>
      </c>
      <c r="B6678" t="inlineStr">
        <is>
          <t>LN200950</t>
        </is>
      </c>
      <c r="C6678" t="n">
        <v>5</v>
      </c>
      <c r="D6678" s="8" t="n">
        <v>46280</v>
      </c>
      <c r="E6678" s="9" t="n">
        <v>11586.25</v>
      </c>
      <c r="F6678" s="8" t="n"/>
      <c r="G6678" s="9" t="n">
        <v>0</v>
      </c>
      <c r="H6678" t="inlineStr">
        <is>
          <t>NOT_DUE</t>
        </is>
      </c>
      <c r="I6678">
        <f>IF(H6678="UNPAID", AsOfDate-D6678, 0)</f>
        <v/>
      </c>
      <c r="J6678">
        <f>IF(F6678&lt;&gt;"", TEXT(F6678, "yyyy-mm"), "")</f>
        <v/>
      </c>
    </row>
    <row r="6679">
      <c r="A6679" t="inlineStr">
        <is>
          <t>RP0006678</t>
        </is>
      </c>
      <c r="B6679" t="inlineStr">
        <is>
          <t>LN200950</t>
        </is>
      </c>
      <c r="C6679" t="n">
        <v>6</v>
      </c>
      <c r="D6679" s="8" t="n">
        <v>46310</v>
      </c>
      <c r="E6679" s="9" t="n">
        <v>11586.25</v>
      </c>
      <c r="F6679" s="8" t="n"/>
      <c r="G6679" s="9" t="n">
        <v>0</v>
      </c>
      <c r="H6679" t="inlineStr">
        <is>
          <t>NOT_DUE</t>
        </is>
      </c>
      <c r="I6679">
        <f>IF(H6679="UNPAID", AsOfDate-D6679, 0)</f>
        <v/>
      </c>
      <c r="J6679">
        <f>IF(F6679&lt;&gt;"", TEXT(F6679, "yyyy-mm"), "")</f>
        <v/>
      </c>
    </row>
    <row r="6680">
      <c r="A6680" t="inlineStr">
        <is>
          <t>RP0006679</t>
        </is>
      </c>
      <c r="B6680" t="inlineStr">
        <is>
          <t>LN200951</t>
        </is>
      </c>
      <c r="C6680" t="n">
        <v>1</v>
      </c>
      <c r="D6680" s="8" t="n">
        <v>45738</v>
      </c>
      <c r="E6680" s="9" t="n">
        <v>48618.83</v>
      </c>
      <c r="F6680" s="8" t="n">
        <v>45736</v>
      </c>
      <c r="G6680" s="9" t="n">
        <v>48618.83</v>
      </c>
      <c r="H6680" t="inlineStr">
        <is>
          <t>PAID_ON_TIME</t>
        </is>
      </c>
      <c r="I6680">
        <f>IF(H6680="UNPAID", AsOfDate-D6680, 0)</f>
        <v/>
      </c>
      <c r="J6680">
        <f>IF(F6680&lt;&gt;"", TEXT(F6680, "yyyy-mm"), "")</f>
        <v/>
      </c>
    </row>
    <row r="6681">
      <c r="A6681" t="inlineStr">
        <is>
          <t>RP0006680</t>
        </is>
      </c>
      <c r="B6681" t="inlineStr">
        <is>
          <t>LN200951</t>
        </is>
      </c>
      <c r="C6681" t="n">
        <v>2</v>
      </c>
      <c r="D6681" s="8" t="n">
        <v>45769</v>
      </c>
      <c r="E6681" s="9" t="n">
        <v>48618.83</v>
      </c>
      <c r="F6681" s="8" t="n">
        <v>45770</v>
      </c>
      <c r="G6681" s="9" t="n">
        <v>48618.83</v>
      </c>
      <c r="H6681" t="inlineStr">
        <is>
          <t>PAID_ON_TIME</t>
        </is>
      </c>
      <c r="I6681">
        <f>IF(H6681="UNPAID", AsOfDate-D6681, 0)</f>
        <v/>
      </c>
      <c r="J6681">
        <f>IF(F6681&lt;&gt;"", TEXT(F6681, "yyyy-mm"), "")</f>
        <v/>
      </c>
    </row>
    <row r="6682">
      <c r="A6682" t="inlineStr">
        <is>
          <t>RP0006681</t>
        </is>
      </c>
      <c r="B6682" t="inlineStr">
        <is>
          <t>LN200951</t>
        </is>
      </c>
      <c r="C6682" t="n">
        <v>3</v>
      </c>
      <c r="D6682" s="8" t="n">
        <v>45799</v>
      </c>
      <c r="E6682" s="9" t="n">
        <v>48618.83</v>
      </c>
      <c r="F6682" s="8" t="n">
        <v>45799</v>
      </c>
      <c r="G6682" s="9" t="n">
        <v>48618.83</v>
      </c>
      <c r="H6682" t="inlineStr">
        <is>
          <t>PAID_ON_TIME</t>
        </is>
      </c>
      <c r="I6682">
        <f>IF(H6682="UNPAID", AsOfDate-D6682, 0)</f>
        <v/>
      </c>
      <c r="J6682">
        <f>IF(F6682&lt;&gt;"", TEXT(F6682, "yyyy-mm"), "")</f>
        <v/>
      </c>
    </row>
    <row r="6683">
      <c r="A6683" t="inlineStr">
        <is>
          <t>RP0006682</t>
        </is>
      </c>
      <c r="B6683" t="inlineStr">
        <is>
          <t>LN200951</t>
        </is>
      </c>
      <c r="C6683" t="n">
        <v>4</v>
      </c>
      <c r="D6683" s="8" t="n">
        <v>45830</v>
      </c>
      <c r="E6683" s="9" t="n">
        <v>48618.83</v>
      </c>
      <c r="F6683" s="8" t="n">
        <v>45834</v>
      </c>
      <c r="G6683" s="9" t="n">
        <v>48618.83</v>
      </c>
      <c r="H6683" t="inlineStr">
        <is>
          <t>PAID_ON_TIME</t>
        </is>
      </c>
      <c r="I6683">
        <f>IF(H6683="UNPAID", AsOfDate-D6683, 0)</f>
        <v/>
      </c>
      <c r="J6683">
        <f>IF(F6683&lt;&gt;"", TEXT(F6683, "yyyy-mm"), "")</f>
        <v/>
      </c>
    </row>
    <row r="6684">
      <c r="A6684" t="inlineStr">
        <is>
          <t>RP0006683</t>
        </is>
      </c>
      <c r="B6684" t="inlineStr">
        <is>
          <t>LN200951</t>
        </is>
      </c>
      <c r="C6684" t="n">
        <v>5</v>
      </c>
      <c r="D6684" s="8" t="n">
        <v>45860</v>
      </c>
      <c r="E6684" s="9" t="n">
        <v>48618.83</v>
      </c>
      <c r="F6684" s="8" t="n">
        <v>45864</v>
      </c>
      <c r="G6684" s="9" t="n">
        <v>48618.83</v>
      </c>
      <c r="H6684" t="inlineStr">
        <is>
          <t>PAID_ON_TIME</t>
        </is>
      </c>
      <c r="I6684">
        <f>IF(H6684="UNPAID", AsOfDate-D6684, 0)</f>
        <v/>
      </c>
      <c r="J6684">
        <f>IF(F6684&lt;&gt;"", TEXT(F6684, "yyyy-mm"), "")</f>
        <v/>
      </c>
    </row>
    <row r="6685">
      <c r="A6685" t="inlineStr">
        <is>
          <t>RP0006684</t>
        </is>
      </c>
      <c r="B6685" t="inlineStr">
        <is>
          <t>LN200951</t>
        </is>
      </c>
      <c r="C6685" t="n">
        <v>6</v>
      </c>
      <c r="D6685" s="8" t="n">
        <v>45891</v>
      </c>
      <c r="E6685" s="9" t="n">
        <v>48618.83</v>
      </c>
      <c r="F6685" s="8" t="n">
        <v>45889</v>
      </c>
      <c r="G6685" s="9" t="n">
        <v>48618.83</v>
      </c>
      <c r="H6685" t="inlineStr">
        <is>
          <t>PAID_ON_TIME</t>
        </is>
      </c>
      <c r="I6685">
        <f>IF(H6685="UNPAID", AsOfDate-D6685, 0)</f>
        <v/>
      </c>
      <c r="J6685">
        <f>IF(F6685&lt;&gt;"", TEXT(F6685, "yyyy-mm"), "")</f>
        <v/>
      </c>
    </row>
    <row r="6686">
      <c r="A6686" t="inlineStr">
        <is>
          <t>RP0006685</t>
        </is>
      </c>
      <c r="B6686" t="inlineStr">
        <is>
          <t>LN200951</t>
        </is>
      </c>
      <c r="C6686" t="n">
        <v>7</v>
      </c>
      <c r="D6686" s="8" t="n">
        <v>45922</v>
      </c>
      <c r="E6686" s="9" t="n">
        <v>48618.83</v>
      </c>
      <c r="F6686" s="8" t="n">
        <v>45920</v>
      </c>
      <c r="G6686" s="9" t="n">
        <v>48618.83</v>
      </c>
      <c r="H6686" t="inlineStr">
        <is>
          <t>PAID_ON_TIME</t>
        </is>
      </c>
      <c r="I6686">
        <f>IF(H6686="UNPAID", AsOfDate-D6686, 0)</f>
        <v/>
      </c>
      <c r="J6686">
        <f>IF(F6686&lt;&gt;"", TEXT(F6686, "yyyy-mm"), "")</f>
        <v/>
      </c>
    </row>
    <row r="6687">
      <c r="A6687" t="inlineStr">
        <is>
          <t>RP0006686</t>
        </is>
      </c>
      <c r="B6687" t="inlineStr">
        <is>
          <t>LN200951</t>
        </is>
      </c>
      <c r="C6687" t="n">
        <v>8</v>
      </c>
      <c r="D6687" s="8" t="n">
        <v>45952</v>
      </c>
      <c r="E6687" s="9" t="n">
        <v>48618.83</v>
      </c>
      <c r="F6687" s="8" t="n">
        <v>45953</v>
      </c>
      <c r="G6687" s="9" t="n">
        <v>48618.83</v>
      </c>
      <c r="H6687" t="inlineStr">
        <is>
          <t>PAID_ON_TIME</t>
        </is>
      </c>
      <c r="I6687">
        <f>IF(H6687="UNPAID", AsOfDate-D6687, 0)</f>
        <v/>
      </c>
      <c r="J6687">
        <f>IF(F6687&lt;&gt;"", TEXT(F6687, "yyyy-mm"), "")</f>
        <v/>
      </c>
    </row>
    <row r="6688">
      <c r="A6688" t="inlineStr">
        <is>
          <t>RP0006687</t>
        </is>
      </c>
      <c r="B6688" t="inlineStr">
        <is>
          <t>LN200951</t>
        </is>
      </c>
      <c r="C6688" t="n">
        <v>9</v>
      </c>
      <c r="D6688" s="8" t="n">
        <v>45983</v>
      </c>
      <c r="E6688" s="9" t="n">
        <v>48618.83</v>
      </c>
      <c r="F6688" s="8" t="n">
        <v>45986</v>
      </c>
      <c r="G6688" s="9" t="n">
        <v>48618.83</v>
      </c>
      <c r="H6688" t="inlineStr">
        <is>
          <t>PAID_ON_TIME</t>
        </is>
      </c>
      <c r="I6688">
        <f>IF(H6688="UNPAID", AsOfDate-D6688, 0)</f>
        <v/>
      </c>
      <c r="J6688">
        <f>IF(F6688&lt;&gt;"", TEXT(F6688, "yyyy-mm"), "")</f>
        <v/>
      </c>
    </row>
    <row r="6689">
      <c r="A6689" t="inlineStr">
        <is>
          <t>RP0006688</t>
        </is>
      </c>
      <c r="B6689" t="inlineStr">
        <is>
          <t>LN200951</t>
        </is>
      </c>
      <c r="C6689" t="n">
        <v>10</v>
      </c>
      <c r="D6689" s="8" t="n">
        <v>46013</v>
      </c>
      <c r="E6689" s="9" t="n">
        <v>48618.83</v>
      </c>
      <c r="F6689" s="8" t="n">
        <v>46012</v>
      </c>
      <c r="G6689" s="9" t="n">
        <v>48618.83</v>
      </c>
      <c r="H6689" t="inlineStr">
        <is>
          <t>PAID_ON_TIME</t>
        </is>
      </c>
      <c r="I6689">
        <f>IF(H6689="UNPAID", AsOfDate-D6689, 0)</f>
        <v/>
      </c>
      <c r="J6689">
        <f>IF(F6689&lt;&gt;"", TEXT(F6689, "yyyy-mm"), "")</f>
        <v/>
      </c>
    </row>
    <row r="6690">
      <c r="A6690" t="inlineStr">
        <is>
          <t>RP0006689</t>
        </is>
      </c>
      <c r="B6690" t="inlineStr">
        <is>
          <t>LN200951</t>
        </is>
      </c>
      <c r="C6690" t="n">
        <v>11</v>
      </c>
      <c r="D6690" s="8" t="n">
        <v>46044</v>
      </c>
      <c r="E6690" s="9" t="n">
        <v>48618.83</v>
      </c>
      <c r="F6690" s="8" t="n">
        <v>46142</v>
      </c>
      <c r="G6690" s="9" t="n">
        <v>48618.83</v>
      </c>
      <c r="H6690" t="inlineStr">
        <is>
          <t>PAID_LATE</t>
        </is>
      </c>
      <c r="I6690">
        <f>IF(H6690="UNPAID", AsOfDate-D6690, 0)</f>
        <v/>
      </c>
      <c r="J6690">
        <f>IF(F6690&lt;&gt;"", TEXT(F6690, "yyyy-mm"), "")</f>
        <v/>
      </c>
    </row>
    <row r="6691">
      <c r="A6691" t="inlineStr">
        <is>
          <t>RP0006690</t>
        </is>
      </c>
      <c r="B6691" t="inlineStr">
        <is>
          <t>LN200951</t>
        </is>
      </c>
      <c r="C6691" t="n">
        <v>12</v>
      </c>
      <c r="D6691" s="8" t="n">
        <v>46075</v>
      </c>
      <c r="E6691" s="9" t="n">
        <v>48618.83</v>
      </c>
      <c r="F6691" s="8" t="n">
        <v>46076</v>
      </c>
      <c r="G6691" s="9" t="n">
        <v>48618.83</v>
      </c>
      <c r="H6691" t="inlineStr">
        <is>
          <t>PAID_ON_TIME</t>
        </is>
      </c>
      <c r="I6691">
        <f>IF(H6691="UNPAID", AsOfDate-D6691, 0)</f>
        <v/>
      </c>
      <c r="J6691">
        <f>IF(F6691&lt;&gt;"", TEXT(F6691, "yyyy-mm"), "")</f>
        <v/>
      </c>
    </row>
    <row r="6692">
      <c r="A6692" t="inlineStr">
        <is>
          <t>RP0006691</t>
        </is>
      </c>
      <c r="B6692" t="inlineStr">
        <is>
          <t>LN200952</t>
        </is>
      </c>
      <c r="C6692" t="n">
        <v>1</v>
      </c>
      <c r="D6692" s="8" t="n">
        <v>45730</v>
      </c>
      <c r="E6692" s="9" t="n">
        <v>64929.5</v>
      </c>
      <c r="F6692" s="8" t="n">
        <v>45826</v>
      </c>
      <c r="G6692" s="9" t="n">
        <v>64929.5</v>
      </c>
      <c r="H6692" t="inlineStr">
        <is>
          <t>PAID_LATE</t>
        </is>
      </c>
      <c r="I6692">
        <f>IF(H6692="UNPAID", AsOfDate-D6692, 0)</f>
        <v/>
      </c>
      <c r="J6692">
        <f>IF(F6692&lt;&gt;"", TEXT(F6692, "yyyy-mm"), "")</f>
        <v/>
      </c>
    </row>
    <row r="6693">
      <c r="A6693" t="inlineStr">
        <is>
          <t>RP0006692</t>
        </is>
      </c>
      <c r="B6693" t="inlineStr">
        <is>
          <t>LN200952</t>
        </is>
      </c>
      <c r="C6693" t="n">
        <v>2</v>
      </c>
      <c r="D6693" s="8" t="n">
        <v>45761</v>
      </c>
      <c r="E6693" s="9" t="n">
        <v>64929.5</v>
      </c>
      <c r="F6693" s="8" t="n">
        <v>45763</v>
      </c>
      <c r="G6693" s="9" t="n">
        <v>64929.5</v>
      </c>
      <c r="H6693" t="inlineStr">
        <is>
          <t>PAID_ON_TIME</t>
        </is>
      </c>
      <c r="I6693">
        <f>IF(H6693="UNPAID", AsOfDate-D6693, 0)</f>
        <v/>
      </c>
      <c r="J6693">
        <f>IF(F6693&lt;&gt;"", TEXT(F6693, "yyyy-mm"), "")</f>
        <v/>
      </c>
    </row>
    <row r="6694">
      <c r="A6694" t="inlineStr">
        <is>
          <t>RP0006693</t>
        </is>
      </c>
      <c r="B6694" t="inlineStr">
        <is>
          <t>LN200952</t>
        </is>
      </c>
      <c r="C6694" t="n">
        <v>3</v>
      </c>
      <c r="D6694" s="8" t="n">
        <v>45791</v>
      </c>
      <c r="E6694" s="9" t="n">
        <v>64929.5</v>
      </c>
      <c r="F6694" s="8" t="n">
        <v>45791</v>
      </c>
      <c r="G6694" s="9" t="n">
        <v>64929.5</v>
      </c>
      <c r="H6694" t="inlineStr">
        <is>
          <t>PAID_ON_TIME</t>
        </is>
      </c>
      <c r="I6694">
        <f>IF(H6694="UNPAID", AsOfDate-D6694, 0)</f>
        <v/>
      </c>
      <c r="J6694">
        <f>IF(F6694&lt;&gt;"", TEXT(F6694, "yyyy-mm"), "")</f>
        <v/>
      </c>
    </row>
    <row r="6695">
      <c r="A6695" t="inlineStr">
        <is>
          <t>RP0006694</t>
        </is>
      </c>
      <c r="B6695" t="inlineStr">
        <is>
          <t>LN200952</t>
        </is>
      </c>
      <c r="C6695" t="n">
        <v>4</v>
      </c>
      <c r="D6695" s="8" t="n">
        <v>45822</v>
      </c>
      <c r="E6695" s="9" t="n">
        <v>64929.5</v>
      </c>
      <c r="F6695" s="8" t="n">
        <v>45835</v>
      </c>
      <c r="G6695" s="9" t="n">
        <v>64929.5</v>
      </c>
      <c r="H6695" t="inlineStr">
        <is>
          <t>PAID_LATE</t>
        </is>
      </c>
      <c r="I6695">
        <f>IF(H6695="UNPAID", AsOfDate-D6695, 0)</f>
        <v/>
      </c>
      <c r="J6695">
        <f>IF(F6695&lt;&gt;"", TEXT(F6695, "yyyy-mm"), "")</f>
        <v/>
      </c>
    </row>
    <row r="6696">
      <c r="A6696" t="inlineStr">
        <is>
          <t>RP0006695</t>
        </is>
      </c>
      <c r="B6696" t="inlineStr">
        <is>
          <t>LN200952</t>
        </is>
      </c>
      <c r="C6696" t="n">
        <v>5</v>
      </c>
      <c r="D6696" s="8" t="n">
        <v>45852</v>
      </c>
      <c r="E6696" s="9" t="n">
        <v>64929.5</v>
      </c>
      <c r="F6696" s="8" t="n">
        <v>45854</v>
      </c>
      <c r="G6696" s="9" t="n">
        <v>64929.5</v>
      </c>
      <c r="H6696" t="inlineStr">
        <is>
          <t>PAID_ON_TIME</t>
        </is>
      </c>
      <c r="I6696">
        <f>IF(H6696="UNPAID", AsOfDate-D6696, 0)</f>
        <v/>
      </c>
      <c r="J6696">
        <f>IF(F6696&lt;&gt;"", TEXT(F6696, "yyyy-mm"), "")</f>
        <v/>
      </c>
    </row>
    <row r="6697">
      <c r="A6697" t="inlineStr">
        <is>
          <t>RP0006696</t>
        </is>
      </c>
      <c r="B6697" t="inlineStr">
        <is>
          <t>LN200952</t>
        </is>
      </c>
      <c r="C6697" t="n">
        <v>6</v>
      </c>
      <c r="D6697" s="8" t="n">
        <v>45883</v>
      </c>
      <c r="E6697" s="9" t="n">
        <v>64929.5</v>
      </c>
      <c r="F6697" s="8" t="n">
        <v>45887</v>
      </c>
      <c r="G6697" s="9" t="n">
        <v>64929.5</v>
      </c>
      <c r="H6697" t="inlineStr">
        <is>
          <t>PAID_ON_TIME</t>
        </is>
      </c>
      <c r="I6697">
        <f>IF(H6697="UNPAID", AsOfDate-D6697, 0)</f>
        <v/>
      </c>
      <c r="J6697">
        <f>IF(F6697&lt;&gt;"", TEXT(F6697, "yyyy-mm"), "")</f>
        <v/>
      </c>
    </row>
    <row r="6698">
      <c r="A6698" t="inlineStr">
        <is>
          <t>RP0006697</t>
        </is>
      </c>
      <c r="B6698" t="inlineStr">
        <is>
          <t>LN200953</t>
        </is>
      </c>
      <c r="C6698" t="n">
        <v>1</v>
      </c>
      <c r="D6698" s="8" t="n">
        <v>46120</v>
      </c>
      <c r="E6698" s="9" t="n">
        <v>27988.5</v>
      </c>
      <c r="F6698" s="8" t="n">
        <v>46121</v>
      </c>
      <c r="G6698" s="9" t="n">
        <v>27988.5</v>
      </c>
      <c r="H6698" t="inlineStr">
        <is>
          <t>PAID_ON_TIME</t>
        </is>
      </c>
      <c r="I6698">
        <f>IF(H6698="UNPAID", AsOfDate-D6698, 0)</f>
        <v/>
      </c>
      <c r="J6698">
        <f>IF(F6698&lt;&gt;"", TEXT(F6698, "yyyy-mm"), "")</f>
        <v/>
      </c>
    </row>
    <row r="6699">
      <c r="A6699" t="inlineStr">
        <is>
          <t>RP0006698</t>
        </is>
      </c>
      <c r="B6699" t="inlineStr">
        <is>
          <t>LN200953</t>
        </is>
      </c>
      <c r="C6699" t="n">
        <v>2</v>
      </c>
      <c r="D6699" s="8" t="n">
        <v>46150</v>
      </c>
      <c r="E6699" s="9" t="n">
        <v>27988.5</v>
      </c>
      <c r="F6699" s="8" t="n">
        <v>46153</v>
      </c>
      <c r="G6699" s="9" t="n">
        <v>27988.5</v>
      </c>
      <c r="H6699" t="inlineStr">
        <is>
          <t>PAID_ON_TIME</t>
        </is>
      </c>
      <c r="I6699">
        <f>IF(H6699="UNPAID", AsOfDate-D6699, 0)</f>
        <v/>
      </c>
      <c r="J6699">
        <f>IF(F6699&lt;&gt;"", TEXT(F6699, "yyyy-mm"), "")</f>
        <v/>
      </c>
    </row>
    <row r="6700">
      <c r="A6700" t="inlineStr">
        <is>
          <t>RP0006699</t>
        </is>
      </c>
      <c r="B6700" t="inlineStr">
        <is>
          <t>LN200953</t>
        </is>
      </c>
      <c r="C6700" t="n">
        <v>3</v>
      </c>
      <c r="D6700" s="8" t="n">
        <v>46181</v>
      </c>
      <c r="E6700" s="9" t="n">
        <v>27988.5</v>
      </c>
      <c r="F6700" s="8" t="n">
        <v>46185</v>
      </c>
      <c r="G6700" s="9" t="n">
        <v>27988.5</v>
      </c>
      <c r="H6700" t="inlineStr">
        <is>
          <t>PAID_ON_TIME</t>
        </is>
      </c>
      <c r="I6700">
        <f>IF(H6700="UNPAID", AsOfDate-D6700, 0)</f>
        <v/>
      </c>
      <c r="J6700">
        <f>IF(F6700&lt;&gt;"", TEXT(F6700, "yyyy-mm"), "")</f>
        <v/>
      </c>
    </row>
    <row r="6701">
      <c r="A6701" t="inlineStr">
        <is>
          <t>RP0006700</t>
        </is>
      </c>
      <c r="B6701" t="inlineStr">
        <is>
          <t>LN200953</t>
        </is>
      </c>
      <c r="C6701" t="n">
        <v>4</v>
      </c>
      <c r="D6701" s="8" t="n">
        <v>46211</v>
      </c>
      <c r="E6701" s="9" t="n">
        <v>27988.5</v>
      </c>
      <c r="F6701" s="8" t="n">
        <v>46212</v>
      </c>
      <c r="G6701" s="9" t="n">
        <v>27988.5</v>
      </c>
      <c r="H6701" t="inlineStr">
        <is>
          <t>PAID_ON_TIME</t>
        </is>
      </c>
      <c r="I6701">
        <f>IF(H6701="UNPAID", AsOfDate-D6701, 0)</f>
        <v/>
      </c>
      <c r="J6701">
        <f>IF(F6701&lt;&gt;"", TEXT(F6701, "yyyy-mm"), "")</f>
        <v/>
      </c>
    </row>
    <row r="6702">
      <c r="A6702" t="inlineStr">
        <is>
          <t>RP0006701</t>
        </is>
      </c>
      <c r="B6702" t="inlineStr">
        <is>
          <t>LN200953</t>
        </is>
      </c>
      <c r="C6702" t="n">
        <v>5</v>
      </c>
      <c r="D6702" s="8" t="n">
        <v>46242</v>
      </c>
      <c r="E6702" s="9" t="n">
        <v>27988.5</v>
      </c>
      <c r="F6702" s="8" t="n">
        <v>46246</v>
      </c>
      <c r="G6702" s="9" t="n">
        <v>27988.5</v>
      </c>
      <c r="H6702" t="inlineStr">
        <is>
          <t>PAID_ON_TIME</t>
        </is>
      </c>
      <c r="I6702">
        <f>IF(H6702="UNPAID", AsOfDate-D6702, 0)</f>
        <v/>
      </c>
      <c r="J6702">
        <f>IF(F6702&lt;&gt;"", TEXT(F6702, "yyyy-mm"), "")</f>
        <v/>
      </c>
    </row>
    <row r="6703">
      <c r="A6703" t="inlineStr">
        <is>
          <t>RP0006702</t>
        </is>
      </c>
      <c r="B6703" t="inlineStr">
        <is>
          <t>LN200953</t>
        </is>
      </c>
      <c r="C6703" t="n">
        <v>6</v>
      </c>
      <c r="D6703" s="8" t="n">
        <v>46273</v>
      </c>
      <c r="E6703" s="9" t="n">
        <v>27988.5</v>
      </c>
      <c r="F6703" s="8" t="n"/>
      <c r="G6703" s="9" t="n">
        <v>0</v>
      </c>
      <c r="H6703" t="inlineStr">
        <is>
          <t>NOT_DUE</t>
        </is>
      </c>
      <c r="I6703">
        <f>IF(H6703="UNPAID", AsOfDate-D6703, 0)</f>
        <v/>
      </c>
      <c r="J6703">
        <f>IF(F6703&lt;&gt;"", TEXT(F6703, "yyyy-mm"), "")</f>
        <v/>
      </c>
    </row>
    <row r="6704">
      <c r="A6704" t="inlineStr">
        <is>
          <t>RP0006703</t>
        </is>
      </c>
      <c r="B6704" t="inlineStr">
        <is>
          <t>LN200953</t>
        </is>
      </c>
      <c r="C6704" t="n">
        <v>7</v>
      </c>
      <c r="D6704" s="8" t="n">
        <v>46303</v>
      </c>
      <c r="E6704" s="9" t="n">
        <v>27988.5</v>
      </c>
      <c r="F6704" s="8" t="n"/>
      <c r="G6704" s="9" t="n">
        <v>0</v>
      </c>
      <c r="H6704" t="inlineStr">
        <is>
          <t>NOT_DUE</t>
        </is>
      </c>
      <c r="I6704">
        <f>IF(H6704="UNPAID", AsOfDate-D6704, 0)</f>
        <v/>
      </c>
      <c r="J6704">
        <f>IF(F6704&lt;&gt;"", TEXT(F6704, "yyyy-mm"), "")</f>
        <v/>
      </c>
    </row>
    <row r="6705">
      <c r="A6705" t="inlineStr">
        <is>
          <t>RP0006704</t>
        </is>
      </c>
      <c r="B6705" t="inlineStr">
        <is>
          <t>LN200953</t>
        </is>
      </c>
      <c r="C6705" t="n">
        <v>8</v>
      </c>
      <c r="D6705" s="8" t="n">
        <v>46334</v>
      </c>
      <c r="E6705" s="9" t="n">
        <v>27988.5</v>
      </c>
      <c r="F6705" s="8" t="n"/>
      <c r="G6705" s="9" t="n">
        <v>0</v>
      </c>
      <c r="H6705" t="inlineStr">
        <is>
          <t>NOT_DUE</t>
        </is>
      </c>
      <c r="I6705">
        <f>IF(H6705="UNPAID", AsOfDate-D6705, 0)</f>
        <v/>
      </c>
      <c r="J6705">
        <f>IF(F6705&lt;&gt;"", TEXT(F6705, "yyyy-mm"), "")</f>
        <v/>
      </c>
    </row>
    <row r="6706">
      <c r="A6706" t="inlineStr">
        <is>
          <t>RP0006705</t>
        </is>
      </c>
      <c r="B6706" t="inlineStr">
        <is>
          <t>LN200953</t>
        </is>
      </c>
      <c r="C6706" t="n">
        <v>9</v>
      </c>
      <c r="D6706" s="8" t="n">
        <v>46364</v>
      </c>
      <c r="E6706" s="9" t="n">
        <v>27988.5</v>
      </c>
      <c r="F6706" s="8" t="n"/>
      <c r="G6706" s="9" t="n">
        <v>0</v>
      </c>
      <c r="H6706" t="inlineStr">
        <is>
          <t>NOT_DUE</t>
        </is>
      </c>
      <c r="I6706">
        <f>IF(H6706="UNPAID", AsOfDate-D6706, 0)</f>
        <v/>
      </c>
      <c r="J6706">
        <f>IF(F6706&lt;&gt;"", TEXT(F6706, "yyyy-mm"), "")</f>
        <v/>
      </c>
    </row>
    <row r="6707">
      <c r="A6707" t="inlineStr">
        <is>
          <t>RP0006706</t>
        </is>
      </c>
      <c r="B6707" t="inlineStr">
        <is>
          <t>LN200953</t>
        </is>
      </c>
      <c r="C6707" t="n">
        <v>10</v>
      </c>
      <c r="D6707" s="8" t="n">
        <v>46395</v>
      </c>
      <c r="E6707" s="9" t="n">
        <v>27988.5</v>
      </c>
      <c r="F6707" s="8" t="n"/>
      <c r="G6707" s="9" t="n">
        <v>0</v>
      </c>
      <c r="H6707" t="inlineStr">
        <is>
          <t>NOT_DUE</t>
        </is>
      </c>
      <c r="I6707">
        <f>IF(H6707="UNPAID", AsOfDate-D6707, 0)</f>
        <v/>
      </c>
      <c r="J6707">
        <f>IF(F6707&lt;&gt;"", TEXT(F6707, "yyyy-mm"), "")</f>
        <v/>
      </c>
    </row>
    <row r="6708">
      <c r="A6708" t="inlineStr">
        <is>
          <t>RP0006707</t>
        </is>
      </c>
      <c r="B6708" t="inlineStr">
        <is>
          <t>LN200953</t>
        </is>
      </c>
      <c r="C6708" t="n">
        <v>11</v>
      </c>
      <c r="D6708" s="8" t="n">
        <v>46426</v>
      </c>
      <c r="E6708" s="9" t="n">
        <v>27988.5</v>
      </c>
      <c r="F6708" s="8" t="n"/>
      <c r="G6708" s="9" t="n">
        <v>0</v>
      </c>
      <c r="H6708" t="inlineStr">
        <is>
          <t>NOT_DUE</t>
        </is>
      </c>
      <c r="I6708">
        <f>IF(H6708="UNPAID", AsOfDate-D6708, 0)</f>
        <v/>
      </c>
      <c r="J6708">
        <f>IF(F6708&lt;&gt;"", TEXT(F6708, "yyyy-mm"), "")</f>
        <v/>
      </c>
    </row>
    <row r="6709">
      <c r="A6709" t="inlineStr">
        <is>
          <t>RP0006708</t>
        </is>
      </c>
      <c r="B6709" t="inlineStr">
        <is>
          <t>LN200953</t>
        </is>
      </c>
      <c r="C6709" t="n">
        <v>12</v>
      </c>
      <c r="D6709" s="8" t="n">
        <v>46454</v>
      </c>
      <c r="E6709" s="9" t="n">
        <v>27988.5</v>
      </c>
      <c r="F6709" s="8" t="n"/>
      <c r="G6709" s="9" t="n">
        <v>0</v>
      </c>
      <c r="H6709" t="inlineStr">
        <is>
          <t>NOT_DUE</t>
        </is>
      </c>
      <c r="I6709">
        <f>IF(H6709="UNPAID", AsOfDate-D6709, 0)</f>
        <v/>
      </c>
      <c r="J6709">
        <f>IF(F6709&lt;&gt;"", TEXT(F6709, "yyyy-mm"), "")</f>
        <v/>
      </c>
    </row>
    <row r="6710">
      <c r="A6710" t="inlineStr">
        <is>
          <t>RP0006709</t>
        </is>
      </c>
      <c r="B6710" t="inlineStr">
        <is>
          <t>LN200954</t>
        </is>
      </c>
      <c r="C6710" t="n">
        <v>1</v>
      </c>
      <c r="D6710" s="8" t="n">
        <v>46264</v>
      </c>
      <c r="E6710" s="9" t="n">
        <v>9931.67</v>
      </c>
      <c r="F6710" s="8" t="n">
        <v>46262</v>
      </c>
      <c r="G6710" s="9" t="n">
        <v>9931.67</v>
      </c>
      <c r="H6710" t="inlineStr">
        <is>
          <t>PAID_ON_TIME</t>
        </is>
      </c>
      <c r="I6710">
        <f>IF(H6710="UNPAID", AsOfDate-D6710, 0)</f>
        <v/>
      </c>
      <c r="J6710">
        <f>IF(F6710&lt;&gt;"", TEXT(F6710, "yyyy-mm"), "")</f>
        <v/>
      </c>
    </row>
    <row r="6711">
      <c r="A6711" t="inlineStr">
        <is>
          <t>RP0006710</t>
        </is>
      </c>
      <c r="B6711" t="inlineStr">
        <is>
          <t>LN200954</t>
        </is>
      </c>
      <c r="C6711" t="n">
        <v>2</v>
      </c>
      <c r="D6711" s="8" t="n">
        <v>46295</v>
      </c>
      <c r="E6711" s="9" t="n">
        <v>9931.67</v>
      </c>
      <c r="F6711" s="8" t="n"/>
      <c r="G6711" s="9" t="n">
        <v>0</v>
      </c>
      <c r="H6711" t="inlineStr">
        <is>
          <t>NOT_DUE</t>
        </is>
      </c>
      <c r="I6711">
        <f>IF(H6711="UNPAID", AsOfDate-D6711, 0)</f>
        <v/>
      </c>
      <c r="J6711">
        <f>IF(F6711&lt;&gt;"", TEXT(F6711, "yyyy-mm"), "")</f>
        <v/>
      </c>
    </row>
    <row r="6712">
      <c r="A6712" t="inlineStr">
        <is>
          <t>RP0006711</t>
        </is>
      </c>
      <c r="B6712" t="inlineStr">
        <is>
          <t>LN200954</t>
        </is>
      </c>
      <c r="C6712" t="n">
        <v>3</v>
      </c>
      <c r="D6712" s="8" t="n">
        <v>46325</v>
      </c>
      <c r="E6712" s="9" t="n">
        <v>9931.67</v>
      </c>
      <c r="F6712" s="8" t="n"/>
      <c r="G6712" s="9" t="n">
        <v>0</v>
      </c>
      <c r="H6712" t="inlineStr">
        <is>
          <t>NOT_DUE</t>
        </is>
      </c>
      <c r="I6712">
        <f>IF(H6712="UNPAID", AsOfDate-D6712, 0)</f>
        <v/>
      </c>
      <c r="J6712">
        <f>IF(F6712&lt;&gt;"", TEXT(F6712, "yyyy-mm"), "")</f>
        <v/>
      </c>
    </row>
    <row r="6713">
      <c r="A6713" t="inlineStr">
        <is>
          <t>RP0006712</t>
        </is>
      </c>
      <c r="B6713" t="inlineStr">
        <is>
          <t>LN200954</t>
        </is>
      </c>
      <c r="C6713" t="n">
        <v>4</v>
      </c>
      <c r="D6713" s="8" t="n">
        <v>46356</v>
      </c>
      <c r="E6713" s="9" t="n">
        <v>9931.67</v>
      </c>
      <c r="F6713" s="8" t="n"/>
      <c r="G6713" s="9" t="n">
        <v>0</v>
      </c>
      <c r="H6713" t="inlineStr">
        <is>
          <t>NOT_DUE</t>
        </is>
      </c>
      <c r="I6713">
        <f>IF(H6713="UNPAID", AsOfDate-D6713, 0)</f>
        <v/>
      </c>
      <c r="J6713">
        <f>IF(F6713&lt;&gt;"", TEXT(F6713, "yyyy-mm"), "")</f>
        <v/>
      </c>
    </row>
    <row r="6714">
      <c r="A6714" t="inlineStr">
        <is>
          <t>RP0006713</t>
        </is>
      </c>
      <c r="B6714" t="inlineStr">
        <is>
          <t>LN200954</t>
        </is>
      </c>
      <c r="C6714" t="n">
        <v>5</v>
      </c>
      <c r="D6714" s="8" t="n">
        <v>46386</v>
      </c>
      <c r="E6714" s="9" t="n">
        <v>9931.67</v>
      </c>
      <c r="F6714" s="8" t="n"/>
      <c r="G6714" s="9" t="n">
        <v>0</v>
      </c>
      <c r="H6714" t="inlineStr">
        <is>
          <t>NOT_DUE</t>
        </is>
      </c>
      <c r="I6714">
        <f>IF(H6714="UNPAID", AsOfDate-D6714, 0)</f>
        <v/>
      </c>
      <c r="J6714">
        <f>IF(F6714&lt;&gt;"", TEXT(F6714, "yyyy-mm"), "")</f>
        <v/>
      </c>
    </row>
    <row r="6715">
      <c r="A6715" t="inlineStr">
        <is>
          <t>RP0006714</t>
        </is>
      </c>
      <c r="B6715" t="inlineStr">
        <is>
          <t>LN200954</t>
        </is>
      </c>
      <c r="C6715" t="n">
        <v>6</v>
      </c>
      <c r="D6715" s="8" t="n">
        <v>46417</v>
      </c>
      <c r="E6715" s="9" t="n">
        <v>9931.67</v>
      </c>
      <c r="F6715" s="8" t="n"/>
      <c r="G6715" s="9" t="n">
        <v>0</v>
      </c>
      <c r="H6715" t="inlineStr">
        <is>
          <t>NOT_DUE</t>
        </is>
      </c>
      <c r="I6715">
        <f>IF(H6715="UNPAID", AsOfDate-D6715, 0)</f>
        <v/>
      </c>
      <c r="J6715">
        <f>IF(F6715&lt;&gt;"", TEXT(F6715, "yyyy-mm"), "")</f>
        <v/>
      </c>
    </row>
    <row r="6716">
      <c r="A6716" t="inlineStr">
        <is>
          <t>RP0006715</t>
        </is>
      </c>
      <c r="B6716" t="inlineStr">
        <is>
          <t>LN200954</t>
        </is>
      </c>
      <c r="C6716" t="n">
        <v>7</v>
      </c>
      <c r="D6716" s="8" t="n">
        <v>46446</v>
      </c>
      <c r="E6716" s="9" t="n">
        <v>9931.67</v>
      </c>
      <c r="F6716" s="8" t="n"/>
      <c r="G6716" s="9" t="n">
        <v>0</v>
      </c>
      <c r="H6716" t="inlineStr">
        <is>
          <t>NOT_DUE</t>
        </is>
      </c>
      <c r="I6716">
        <f>IF(H6716="UNPAID", AsOfDate-D6716, 0)</f>
        <v/>
      </c>
      <c r="J6716">
        <f>IF(F6716&lt;&gt;"", TEXT(F6716, "yyyy-mm"), "")</f>
        <v/>
      </c>
    </row>
    <row r="6717">
      <c r="A6717" t="inlineStr">
        <is>
          <t>RP0006716</t>
        </is>
      </c>
      <c r="B6717" t="inlineStr">
        <is>
          <t>LN200954</t>
        </is>
      </c>
      <c r="C6717" t="n">
        <v>8</v>
      </c>
      <c r="D6717" s="8" t="n">
        <v>46476</v>
      </c>
      <c r="E6717" s="9" t="n">
        <v>9931.67</v>
      </c>
      <c r="F6717" s="8" t="n"/>
      <c r="G6717" s="9" t="n">
        <v>0</v>
      </c>
      <c r="H6717" t="inlineStr">
        <is>
          <t>NOT_DUE</t>
        </is>
      </c>
      <c r="I6717">
        <f>IF(H6717="UNPAID", AsOfDate-D6717, 0)</f>
        <v/>
      </c>
      <c r="J6717">
        <f>IF(F6717&lt;&gt;"", TEXT(F6717, "yyyy-mm"), "")</f>
        <v/>
      </c>
    </row>
    <row r="6718">
      <c r="A6718" t="inlineStr">
        <is>
          <t>RP0006717</t>
        </is>
      </c>
      <c r="B6718" t="inlineStr">
        <is>
          <t>LN200954</t>
        </is>
      </c>
      <c r="C6718" t="n">
        <v>9</v>
      </c>
      <c r="D6718" s="8" t="n">
        <v>46507</v>
      </c>
      <c r="E6718" s="9" t="n">
        <v>9931.67</v>
      </c>
      <c r="F6718" s="8" t="n"/>
      <c r="G6718" s="9" t="n">
        <v>0</v>
      </c>
      <c r="H6718" t="inlineStr">
        <is>
          <t>NOT_DUE</t>
        </is>
      </c>
      <c r="I6718">
        <f>IF(H6718="UNPAID", AsOfDate-D6718, 0)</f>
        <v/>
      </c>
      <c r="J6718">
        <f>IF(F6718&lt;&gt;"", TEXT(F6718, "yyyy-mm"), "")</f>
        <v/>
      </c>
    </row>
    <row r="6719">
      <c r="A6719" t="inlineStr">
        <is>
          <t>RP0006718</t>
        </is>
      </c>
      <c r="B6719" t="inlineStr">
        <is>
          <t>LN200954</t>
        </is>
      </c>
      <c r="C6719" t="n">
        <v>10</v>
      </c>
      <c r="D6719" s="8" t="n">
        <v>46537</v>
      </c>
      <c r="E6719" s="9" t="n">
        <v>9931.67</v>
      </c>
      <c r="F6719" s="8" t="n"/>
      <c r="G6719" s="9" t="n">
        <v>0</v>
      </c>
      <c r="H6719" t="inlineStr">
        <is>
          <t>NOT_DUE</t>
        </is>
      </c>
      <c r="I6719">
        <f>IF(H6719="UNPAID", AsOfDate-D6719, 0)</f>
        <v/>
      </c>
      <c r="J6719">
        <f>IF(F6719&lt;&gt;"", TEXT(F6719, "yyyy-mm"), "")</f>
        <v/>
      </c>
    </row>
    <row r="6720">
      <c r="A6720" t="inlineStr">
        <is>
          <t>RP0006719</t>
        </is>
      </c>
      <c r="B6720" t="inlineStr">
        <is>
          <t>LN200954</t>
        </is>
      </c>
      <c r="C6720" t="n">
        <v>11</v>
      </c>
      <c r="D6720" s="8" t="n">
        <v>46568</v>
      </c>
      <c r="E6720" s="9" t="n">
        <v>9931.67</v>
      </c>
      <c r="F6720" s="8" t="n"/>
      <c r="G6720" s="9" t="n">
        <v>0</v>
      </c>
      <c r="H6720" t="inlineStr">
        <is>
          <t>NOT_DUE</t>
        </is>
      </c>
      <c r="I6720">
        <f>IF(H6720="UNPAID", AsOfDate-D6720, 0)</f>
        <v/>
      </c>
      <c r="J6720">
        <f>IF(F6720&lt;&gt;"", TEXT(F6720, "yyyy-mm"), "")</f>
        <v/>
      </c>
    </row>
    <row r="6721">
      <c r="A6721" t="inlineStr">
        <is>
          <t>RP0006720</t>
        </is>
      </c>
      <c r="B6721" t="inlineStr">
        <is>
          <t>LN200954</t>
        </is>
      </c>
      <c r="C6721" t="n">
        <v>12</v>
      </c>
      <c r="D6721" s="8" t="n">
        <v>46598</v>
      </c>
      <c r="E6721" s="9" t="n">
        <v>9931.67</v>
      </c>
      <c r="F6721" s="8" t="n"/>
      <c r="G6721" s="9" t="n">
        <v>0</v>
      </c>
      <c r="H6721" t="inlineStr">
        <is>
          <t>NOT_DUE</t>
        </is>
      </c>
      <c r="I6721">
        <f>IF(H6721="UNPAID", AsOfDate-D6721, 0)</f>
        <v/>
      </c>
      <c r="J6721">
        <f>IF(F6721&lt;&gt;"", TEXT(F6721, "yyyy-mm"), "")</f>
        <v/>
      </c>
    </row>
    <row r="6722">
      <c r="A6722" t="inlineStr">
        <is>
          <t>RP0006721</t>
        </is>
      </c>
      <c r="B6722" t="inlineStr">
        <is>
          <t>LN200956</t>
        </is>
      </c>
      <c r="C6722" t="n">
        <v>1</v>
      </c>
      <c r="D6722" s="8" t="n">
        <v>46162</v>
      </c>
      <c r="E6722" s="9" t="n">
        <v>9459.67</v>
      </c>
      <c r="F6722" s="8" t="n">
        <v>46159</v>
      </c>
      <c r="G6722" s="9" t="n">
        <v>9459.67</v>
      </c>
      <c r="H6722" t="inlineStr">
        <is>
          <t>PAID_ON_TIME</t>
        </is>
      </c>
      <c r="I6722">
        <f>IF(H6722="UNPAID", AsOfDate-D6722, 0)</f>
        <v/>
      </c>
      <c r="J6722">
        <f>IF(F6722&lt;&gt;"", TEXT(F6722, "yyyy-mm"), "")</f>
        <v/>
      </c>
    </row>
    <row r="6723">
      <c r="A6723" t="inlineStr">
        <is>
          <t>RP0006722</t>
        </is>
      </c>
      <c r="B6723" t="inlineStr">
        <is>
          <t>LN200956</t>
        </is>
      </c>
      <c r="C6723" t="n">
        <v>2</v>
      </c>
      <c r="D6723" s="8" t="n">
        <v>46193</v>
      </c>
      <c r="E6723" s="9" t="n">
        <v>9459.67</v>
      </c>
      <c r="F6723" s="8" t="n">
        <v>46197</v>
      </c>
      <c r="G6723" s="9" t="n">
        <v>9459.67</v>
      </c>
      <c r="H6723" t="inlineStr">
        <is>
          <t>PAID_ON_TIME</t>
        </is>
      </c>
      <c r="I6723">
        <f>IF(H6723="UNPAID", AsOfDate-D6723, 0)</f>
        <v/>
      </c>
      <c r="J6723">
        <f>IF(F6723&lt;&gt;"", TEXT(F6723, "yyyy-mm"), "")</f>
        <v/>
      </c>
    </row>
    <row r="6724">
      <c r="A6724" t="inlineStr">
        <is>
          <t>RP0006723</t>
        </is>
      </c>
      <c r="B6724" t="inlineStr">
        <is>
          <t>LN200956</t>
        </is>
      </c>
      <c r="C6724" t="n">
        <v>3</v>
      </c>
      <c r="D6724" s="8" t="n">
        <v>46223</v>
      </c>
      <c r="E6724" s="9" t="n">
        <v>9459.67</v>
      </c>
      <c r="F6724" s="8" t="n">
        <v>46230</v>
      </c>
      <c r="G6724" s="9" t="n">
        <v>9459.67</v>
      </c>
      <c r="H6724" t="inlineStr">
        <is>
          <t>PAID_LATE</t>
        </is>
      </c>
      <c r="I6724">
        <f>IF(H6724="UNPAID", AsOfDate-D6724, 0)</f>
        <v/>
      </c>
      <c r="J6724">
        <f>IF(F6724&lt;&gt;"", TEXT(F6724, "yyyy-mm"), "")</f>
        <v/>
      </c>
    </row>
    <row r="6725">
      <c r="A6725" t="inlineStr">
        <is>
          <t>RP0006724</t>
        </is>
      </c>
      <c r="B6725" t="inlineStr">
        <is>
          <t>LN200956</t>
        </is>
      </c>
      <c r="C6725" t="n">
        <v>4</v>
      </c>
      <c r="D6725" s="8" t="n">
        <v>46254</v>
      </c>
      <c r="E6725" s="9" t="n">
        <v>9459.67</v>
      </c>
      <c r="F6725" s="8" t="n">
        <v>46258</v>
      </c>
      <c r="G6725" s="9" t="n">
        <v>9459.67</v>
      </c>
      <c r="H6725" t="inlineStr">
        <is>
          <t>PAID_ON_TIME</t>
        </is>
      </c>
      <c r="I6725">
        <f>IF(H6725="UNPAID", AsOfDate-D6725, 0)</f>
        <v/>
      </c>
      <c r="J6725">
        <f>IF(F6725&lt;&gt;"", TEXT(F6725, "yyyy-mm"), "")</f>
        <v/>
      </c>
    </row>
    <row r="6726">
      <c r="A6726" t="inlineStr">
        <is>
          <t>RP0006725</t>
        </is>
      </c>
      <c r="B6726" t="inlineStr">
        <is>
          <t>LN200956</t>
        </is>
      </c>
      <c r="C6726" t="n">
        <v>5</v>
      </c>
      <c r="D6726" s="8" t="n">
        <v>46285</v>
      </c>
      <c r="E6726" s="9" t="n">
        <v>9459.67</v>
      </c>
      <c r="F6726" s="8" t="n"/>
      <c r="G6726" s="9" t="n">
        <v>0</v>
      </c>
      <c r="H6726" t="inlineStr">
        <is>
          <t>NOT_DUE</t>
        </is>
      </c>
      <c r="I6726">
        <f>IF(H6726="UNPAID", AsOfDate-D6726, 0)</f>
        <v/>
      </c>
      <c r="J6726">
        <f>IF(F6726&lt;&gt;"", TEXT(F6726, "yyyy-mm"), "")</f>
        <v/>
      </c>
    </row>
    <row r="6727">
      <c r="A6727" t="inlineStr">
        <is>
          <t>RP0006726</t>
        </is>
      </c>
      <c r="B6727" t="inlineStr">
        <is>
          <t>LN200956</t>
        </is>
      </c>
      <c r="C6727" t="n">
        <v>6</v>
      </c>
      <c r="D6727" s="8" t="n">
        <v>46315</v>
      </c>
      <c r="E6727" s="9" t="n">
        <v>9459.67</v>
      </c>
      <c r="F6727" s="8" t="n"/>
      <c r="G6727" s="9" t="n">
        <v>0</v>
      </c>
      <c r="H6727" t="inlineStr">
        <is>
          <t>NOT_DUE</t>
        </is>
      </c>
      <c r="I6727">
        <f>IF(H6727="UNPAID", AsOfDate-D6727, 0)</f>
        <v/>
      </c>
      <c r="J6727">
        <f>IF(F6727&lt;&gt;"", TEXT(F6727, "yyyy-mm"), "")</f>
        <v/>
      </c>
    </row>
    <row r="6728">
      <c r="A6728" t="inlineStr">
        <is>
          <t>RP0006727</t>
        </is>
      </c>
      <c r="B6728" t="inlineStr">
        <is>
          <t>LN200957</t>
        </is>
      </c>
      <c r="C6728" t="n">
        <v>1</v>
      </c>
      <c r="D6728" s="8" t="n">
        <v>45955</v>
      </c>
      <c r="E6728" s="9" t="n">
        <v>4117</v>
      </c>
      <c r="F6728" s="8" t="n">
        <v>45953</v>
      </c>
      <c r="G6728" s="9" t="n">
        <v>4117</v>
      </c>
      <c r="H6728" t="inlineStr">
        <is>
          <t>PAID_ON_TIME</t>
        </is>
      </c>
      <c r="I6728">
        <f>IF(H6728="UNPAID", AsOfDate-D6728, 0)</f>
        <v/>
      </c>
      <c r="J6728">
        <f>IF(F6728&lt;&gt;"", TEXT(F6728, "yyyy-mm"), "")</f>
        <v/>
      </c>
    </row>
    <row r="6729">
      <c r="A6729" t="inlineStr">
        <is>
          <t>RP0006728</t>
        </is>
      </c>
      <c r="B6729" t="inlineStr">
        <is>
          <t>LN200957</t>
        </is>
      </c>
      <c r="C6729" t="n">
        <v>2</v>
      </c>
      <c r="D6729" s="8" t="n">
        <v>45986</v>
      </c>
      <c r="E6729" s="9" t="n">
        <v>4117</v>
      </c>
      <c r="F6729" s="8" t="n">
        <v>45990</v>
      </c>
      <c r="G6729" s="9" t="n">
        <v>4117</v>
      </c>
      <c r="H6729" t="inlineStr">
        <is>
          <t>PAID_ON_TIME</t>
        </is>
      </c>
      <c r="I6729">
        <f>IF(H6729="UNPAID", AsOfDate-D6729, 0)</f>
        <v/>
      </c>
      <c r="J6729">
        <f>IF(F6729&lt;&gt;"", TEXT(F6729, "yyyy-mm"), "")</f>
        <v/>
      </c>
    </row>
    <row r="6730">
      <c r="A6730" t="inlineStr">
        <is>
          <t>RP0006729</t>
        </is>
      </c>
      <c r="B6730" t="inlineStr">
        <is>
          <t>LN200957</t>
        </is>
      </c>
      <c r="C6730" t="n">
        <v>3</v>
      </c>
      <c r="D6730" s="8" t="n">
        <v>46016</v>
      </c>
      <c r="E6730" s="9" t="n">
        <v>4117</v>
      </c>
      <c r="F6730" s="8" t="n">
        <v>46013</v>
      </c>
      <c r="G6730" s="9" t="n">
        <v>4117</v>
      </c>
      <c r="H6730" t="inlineStr">
        <is>
          <t>PAID_ON_TIME</t>
        </is>
      </c>
      <c r="I6730">
        <f>IF(H6730="UNPAID", AsOfDate-D6730, 0)</f>
        <v/>
      </c>
      <c r="J6730">
        <f>IF(F6730&lt;&gt;"", TEXT(F6730, "yyyy-mm"), "")</f>
        <v/>
      </c>
    </row>
    <row r="6731">
      <c r="A6731" t="inlineStr">
        <is>
          <t>RP0006730</t>
        </is>
      </c>
      <c r="B6731" t="inlineStr">
        <is>
          <t>LN200957</t>
        </is>
      </c>
      <c r="C6731" t="n">
        <v>4</v>
      </c>
      <c r="D6731" s="8" t="n">
        <v>46047</v>
      </c>
      <c r="E6731" s="9" t="n">
        <v>4117</v>
      </c>
      <c r="F6731" s="8" t="n">
        <v>46051</v>
      </c>
      <c r="G6731" s="9" t="n">
        <v>4117</v>
      </c>
      <c r="H6731" t="inlineStr">
        <is>
          <t>PAID_ON_TIME</t>
        </is>
      </c>
      <c r="I6731">
        <f>IF(H6731="UNPAID", AsOfDate-D6731, 0)</f>
        <v/>
      </c>
      <c r="J6731">
        <f>IF(F6731&lt;&gt;"", TEXT(F6731, "yyyy-mm"), "")</f>
        <v/>
      </c>
    </row>
    <row r="6732">
      <c r="A6732" t="inlineStr">
        <is>
          <t>RP0006731</t>
        </is>
      </c>
      <c r="B6732" t="inlineStr">
        <is>
          <t>LN200957</t>
        </is>
      </c>
      <c r="C6732" t="n">
        <v>5</v>
      </c>
      <c r="D6732" s="8" t="n">
        <v>46078</v>
      </c>
      <c r="E6732" s="9" t="n">
        <v>4117</v>
      </c>
      <c r="F6732" s="8" t="n">
        <v>46076</v>
      </c>
      <c r="G6732" s="9" t="n">
        <v>4117</v>
      </c>
      <c r="H6732" t="inlineStr">
        <is>
          <t>PAID_ON_TIME</t>
        </is>
      </c>
      <c r="I6732">
        <f>IF(H6732="UNPAID", AsOfDate-D6732, 0)</f>
        <v/>
      </c>
      <c r="J6732">
        <f>IF(F6732&lt;&gt;"", TEXT(F6732, "yyyy-mm"), "")</f>
        <v/>
      </c>
    </row>
    <row r="6733">
      <c r="A6733" t="inlineStr">
        <is>
          <t>RP0006732</t>
        </is>
      </c>
      <c r="B6733" t="inlineStr">
        <is>
          <t>LN200957</t>
        </is>
      </c>
      <c r="C6733" t="n">
        <v>6</v>
      </c>
      <c r="D6733" s="8" t="n">
        <v>46106</v>
      </c>
      <c r="E6733" s="9" t="n">
        <v>4117</v>
      </c>
      <c r="F6733" s="8" t="n">
        <v>46105</v>
      </c>
      <c r="G6733" s="9" t="n">
        <v>4117</v>
      </c>
      <c r="H6733" t="inlineStr">
        <is>
          <t>PAID_ON_TIME</t>
        </is>
      </c>
      <c r="I6733">
        <f>IF(H6733="UNPAID", AsOfDate-D6733, 0)</f>
        <v/>
      </c>
      <c r="J6733">
        <f>IF(F6733&lt;&gt;"", TEXT(F6733, "yyyy-mm"), "")</f>
        <v/>
      </c>
    </row>
    <row r="6734">
      <c r="A6734" t="inlineStr">
        <is>
          <t>RP0006733</t>
        </is>
      </c>
      <c r="B6734" t="inlineStr">
        <is>
          <t>LN200958</t>
        </is>
      </c>
      <c r="C6734" t="n">
        <v>1</v>
      </c>
      <c r="D6734" s="8" t="n">
        <v>45893</v>
      </c>
      <c r="E6734" s="9" t="n">
        <v>17406.17</v>
      </c>
      <c r="F6734" s="8" t="n">
        <v>45890</v>
      </c>
      <c r="G6734" s="9" t="n">
        <v>17406.17</v>
      </c>
      <c r="H6734" t="inlineStr">
        <is>
          <t>PAID_ON_TIME</t>
        </is>
      </c>
      <c r="I6734">
        <f>IF(H6734="UNPAID", AsOfDate-D6734, 0)</f>
        <v/>
      </c>
      <c r="J6734">
        <f>IF(F6734&lt;&gt;"", TEXT(F6734, "yyyy-mm"), "")</f>
        <v/>
      </c>
    </row>
    <row r="6735">
      <c r="A6735" t="inlineStr">
        <is>
          <t>RP0006734</t>
        </is>
      </c>
      <c r="B6735" t="inlineStr">
        <is>
          <t>LN200958</t>
        </is>
      </c>
      <c r="C6735" t="n">
        <v>2</v>
      </c>
      <c r="D6735" s="8" t="n">
        <v>45924</v>
      </c>
      <c r="E6735" s="9" t="n">
        <v>17406.17</v>
      </c>
      <c r="F6735" s="8" t="n">
        <v>45926</v>
      </c>
      <c r="G6735" s="9" t="n">
        <v>17406.17</v>
      </c>
      <c r="H6735" t="inlineStr">
        <is>
          <t>PAID_ON_TIME</t>
        </is>
      </c>
      <c r="I6735">
        <f>IF(H6735="UNPAID", AsOfDate-D6735, 0)</f>
        <v/>
      </c>
      <c r="J6735">
        <f>IF(F6735&lt;&gt;"", TEXT(F6735, "yyyy-mm"), "")</f>
        <v/>
      </c>
    </row>
    <row r="6736">
      <c r="A6736" t="inlineStr">
        <is>
          <t>RP0006735</t>
        </is>
      </c>
      <c r="B6736" t="inlineStr">
        <is>
          <t>LN200958</t>
        </is>
      </c>
      <c r="C6736" t="n">
        <v>3</v>
      </c>
      <c r="D6736" s="8" t="n">
        <v>45954</v>
      </c>
      <c r="E6736" s="9" t="n">
        <v>17406.17</v>
      </c>
      <c r="F6736" s="8" t="n">
        <v>46033</v>
      </c>
      <c r="G6736" s="9" t="n">
        <v>17406.17</v>
      </c>
      <c r="H6736" t="inlineStr">
        <is>
          <t>PAID_LATE</t>
        </is>
      </c>
      <c r="I6736">
        <f>IF(H6736="UNPAID", AsOfDate-D6736, 0)</f>
        <v/>
      </c>
      <c r="J6736">
        <f>IF(F6736&lt;&gt;"", TEXT(F6736, "yyyy-mm"), "")</f>
        <v/>
      </c>
    </row>
    <row r="6737">
      <c r="A6737" t="inlineStr">
        <is>
          <t>RP0006736</t>
        </is>
      </c>
      <c r="B6737" t="inlineStr">
        <is>
          <t>LN200958</t>
        </is>
      </c>
      <c r="C6737" t="n">
        <v>4</v>
      </c>
      <c r="D6737" s="8" t="n">
        <v>45985</v>
      </c>
      <c r="E6737" s="9" t="n">
        <v>17406.17</v>
      </c>
      <c r="F6737" s="8" t="n">
        <v>45982</v>
      </c>
      <c r="G6737" s="9" t="n">
        <v>17406.17</v>
      </c>
      <c r="H6737" t="inlineStr">
        <is>
          <t>PAID_ON_TIME</t>
        </is>
      </c>
      <c r="I6737">
        <f>IF(H6737="UNPAID", AsOfDate-D6737, 0)</f>
        <v/>
      </c>
      <c r="J6737">
        <f>IF(F6737&lt;&gt;"", TEXT(F6737, "yyyy-mm"), "")</f>
        <v/>
      </c>
    </row>
    <row r="6738">
      <c r="A6738" t="inlineStr">
        <is>
          <t>RP0006737</t>
        </is>
      </c>
      <c r="B6738" t="inlineStr">
        <is>
          <t>LN200958</t>
        </is>
      </c>
      <c r="C6738" t="n">
        <v>5</v>
      </c>
      <c r="D6738" s="8" t="n">
        <v>46015</v>
      </c>
      <c r="E6738" s="9" t="n">
        <v>17406.17</v>
      </c>
      <c r="F6738" s="8" t="n">
        <v>46015</v>
      </c>
      <c r="G6738" s="9" t="n">
        <v>17406.17</v>
      </c>
      <c r="H6738" t="inlineStr">
        <is>
          <t>PAID_ON_TIME</t>
        </is>
      </c>
      <c r="I6738">
        <f>IF(H6738="UNPAID", AsOfDate-D6738, 0)</f>
        <v/>
      </c>
      <c r="J6738">
        <f>IF(F6738&lt;&gt;"", TEXT(F6738, "yyyy-mm"), "")</f>
        <v/>
      </c>
    </row>
    <row r="6739">
      <c r="A6739" t="inlineStr">
        <is>
          <t>RP0006738</t>
        </is>
      </c>
      <c r="B6739" t="inlineStr">
        <is>
          <t>LN200958</t>
        </is>
      </c>
      <c r="C6739" t="n">
        <v>6</v>
      </c>
      <c r="D6739" s="8" t="n">
        <v>46046</v>
      </c>
      <c r="E6739" s="9" t="n">
        <v>17406.17</v>
      </c>
      <c r="F6739" s="8" t="n">
        <v>46048</v>
      </c>
      <c r="G6739" s="9" t="n">
        <v>17406.17</v>
      </c>
      <c r="H6739" t="inlineStr">
        <is>
          <t>PAID_ON_TIME</t>
        </is>
      </c>
      <c r="I6739">
        <f>IF(H6739="UNPAID", AsOfDate-D6739, 0)</f>
        <v/>
      </c>
      <c r="J6739">
        <f>IF(F6739&lt;&gt;"", TEXT(F6739, "yyyy-mm"), "")</f>
        <v/>
      </c>
    </row>
    <row r="6740">
      <c r="A6740" t="inlineStr">
        <is>
          <t>RP0006739</t>
        </is>
      </c>
      <c r="B6740" t="inlineStr">
        <is>
          <t>LN200958</t>
        </is>
      </c>
      <c r="C6740" t="n">
        <v>7</v>
      </c>
      <c r="D6740" s="8" t="n">
        <v>46077</v>
      </c>
      <c r="E6740" s="9" t="n">
        <v>17406.17</v>
      </c>
      <c r="F6740" s="8" t="n">
        <v>46081</v>
      </c>
      <c r="G6740" s="9" t="n">
        <v>17406.17</v>
      </c>
      <c r="H6740" t="inlineStr">
        <is>
          <t>PAID_ON_TIME</t>
        </is>
      </c>
      <c r="I6740">
        <f>IF(H6740="UNPAID", AsOfDate-D6740, 0)</f>
        <v/>
      </c>
      <c r="J6740">
        <f>IF(F6740&lt;&gt;"", TEXT(F6740, "yyyy-mm"), "")</f>
        <v/>
      </c>
    </row>
    <row r="6741">
      <c r="A6741" t="inlineStr">
        <is>
          <t>RP0006740</t>
        </is>
      </c>
      <c r="B6741" t="inlineStr">
        <is>
          <t>LN200958</t>
        </is>
      </c>
      <c r="C6741" t="n">
        <v>8</v>
      </c>
      <c r="D6741" s="8" t="n">
        <v>46105</v>
      </c>
      <c r="E6741" s="9" t="n">
        <v>17406.17</v>
      </c>
      <c r="F6741" s="8" t="n">
        <v>46108</v>
      </c>
      <c r="G6741" s="9" t="n">
        <v>17406.17</v>
      </c>
      <c r="H6741" t="inlineStr">
        <is>
          <t>PAID_ON_TIME</t>
        </is>
      </c>
      <c r="I6741">
        <f>IF(H6741="UNPAID", AsOfDate-D6741, 0)</f>
        <v/>
      </c>
      <c r="J6741">
        <f>IF(F6741&lt;&gt;"", TEXT(F6741, "yyyy-mm"), "")</f>
        <v/>
      </c>
    </row>
    <row r="6742">
      <c r="A6742" t="inlineStr">
        <is>
          <t>RP0006741</t>
        </is>
      </c>
      <c r="B6742" t="inlineStr">
        <is>
          <t>LN200958</t>
        </is>
      </c>
      <c r="C6742" t="n">
        <v>9</v>
      </c>
      <c r="D6742" s="8" t="n">
        <v>46136</v>
      </c>
      <c r="E6742" s="9" t="n">
        <v>17406.17</v>
      </c>
      <c r="F6742" s="8" t="n">
        <v>46136</v>
      </c>
      <c r="G6742" s="9" t="n">
        <v>17406.17</v>
      </c>
      <c r="H6742" t="inlineStr">
        <is>
          <t>PAID_ON_TIME</t>
        </is>
      </c>
      <c r="I6742">
        <f>IF(H6742="UNPAID", AsOfDate-D6742, 0)</f>
        <v/>
      </c>
      <c r="J6742">
        <f>IF(F6742&lt;&gt;"", TEXT(F6742, "yyyy-mm"), "")</f>
        <v/>
      </c>
    </row>
    <row r="6743">
      <c r="A6743" t="inlineStr">
        <is>
          <t>RP0006742</t>
        </is>
      </c>
      <c r="B6743" t="inlineStr">
        <is>
          <t>LN200958</t>
        </is>
      </c>
      <c r="C6743" t="n">
        <v>10</v>
      </c>
      <c r="D6743" s="8" t="n">
        <v>46166</v>
      </c>
      <c r="E6743" s="9" t="n">
        <v>17406.17</v>
      </c>
      <c r="F6743" s="8" t="n">
        <v>46169</v>
      </c>
      <c r="G6743" s="9" t="n">
        <v>17406.17</v>
      </c>
      <c r="H6743" t="inlineStr">
        <is>
          <t>PAID_ON_TIME</t>
        </is>
      </c>
      <c r="I6743">
        <f>IF(H6743="UNPAID", AsOfDate-D6743, 0)</f>
        <v/>
      </c>
      <c r="J6743">
        <f>IF(F6743&lt;&gt;"", TEXT(F6743, "yyyy-mm"), "")</f>
        <v/>
      </c>
    </row>
    <row r="6744">
      <c r="A6744" t="inlineStr">
        <is>
          <t>RP0006743</t>
        </is>
      </c>
      <c r="B6744" t="inlineStr">
        <is>
          <t>LN200958</t>
        </is>
      </c>
      <c r="C6744" t="n">
        <v>11</v>
      </c>
      <c r="D6744" s="8" t="n">
        <v>46197</v>
      </c>
      <c r="E6744" s="9" t="n">
        <v>17406.17</v>
      </c>
      <c r="F6744" s="8" t="n">
        <v>46195</v>
      </c>
      <c r="G6744" s="9" t="n">
        <v>17406.17</v>
      </c>
      <c r="H6744" t="inlineStr">
        <is>
          <t>PAID_ON_TIME</t>
        </is>
      </c>
      <c r="I6744">
        <f>IF(H6744="UNPAID", AsOfDate-D6744, 0)</f>
        <v/>
      </c>
      <c r="J6744">
        <f>IF(F6744&lt;&gt;"", TEXT(F6744, "yyyy-mm"), "")</f>
        <v/>
      </c>
    </row>
    <row r="6745">
      <c r="A6745" t="inlineStr">
        <is>
          <t>RP0006744</t>
        </is>
      </c>
      <c r="B6745" t="inlineStr">
        <is>
          <t>LN200958</t>
        </is>
      </c>
      <c r="C6745" t="n">
        <v>12</v>
      </c>
      <c r="D6745" s="8" t="n">
        <v>46227</v>
      </c>
      <c r="E6745" s="9" t="n">
        <v>17406.17</v>
      </c>
      <c r="F6745" s="8" t="n">
        <v>46229</v>
      </c>
      <c r="G6745" s="9" t="n">
        <v>17406.17</v>
      </c>
      <c r="H6745" t="inlineStr">
        <is>
          <t>PAID_ON_TIME</t>
        </is>
      </c>
      <c r="I6745">
        <f>IF(H6745="UNPAID", AsOfDate-D6745, 0)</f>
        <v/>
      </c>
      <c r="J6745">
        <f>IF(F6745&lt;&gt;"", TEXT(F6745, "yyyy-mm"), "")</f>
        <v/>
      </c>
    </row>
    <row r="6746">
      <c r="A6746" t="inlineStr">
        <is>
          <t>RP0006745</t>
        </is>
      </c>
      <c r="B6746" t="inlineStr">
        <is>
          <t>LN200959</t>
        </is>
      </c>
      <c r="C6746" t="n">
        <v>1</v>
      </c>
      <c r="D6746" s="8" t="n">
        <v>45721</v>
      </c>
      <c r="E6746" s="9" t="n">
        <v>9702</v>
      </c>
      <c r="F6746" s="8" t="n">
        <v>45833</v>
      </c>
      <c r="G6746" s="9" t="n">
        <v>9702</v>
      </c>
      <c r="H6746" t="inlineStr">
        <is>
          <t>PAID_LATE</t>
        </is>
      </c>
      <c r="I6746">
        <f>IF(H6746="UNPAID", AsOfDate-D6746, 0)</f>
        <v/>
      </c>
      <c r="J6746">
        <f>IF(F6746&lt;&gt;"", TEXT(F6746, "yyyy-mm"), "")</f>
        <v/>
      </c>
    </row>
    <row r="6747">
      <c r="A6747" t="inlineStr">
        <is>
          <t>RP0006746</t>
        </is>
      </c>
      <c r="B6747" t="inlineStr">
        <is>
          <t>LN200959</t>
        </is>
      </c>
      <c r="C6747" t="n">
        <v>2</v>
      </c>
      <c r="D6747" s="8" t="n">
        <v>45752</v>
      </c>
      <c r="E6747" s="9" t="n">
        <v>9702</v>
      </c>
      <c r="F6747" s="8" t="n">
        <v>45751</v>
      </c>
      <c r="G6747" s="9" t="n">
        <v>9702</v>
      </c>
      <c r="H6747" t="inlineStr">
        <is>
          <t>PAID_ON_TIME</t>
        </is>
      </c>
      <c r="I6747">
        <f>IF(H6747="UNPAID", AsOfDate-D6747, 0)</f>
        <v/>
      </c>
      <c r="J6747">
        <f>IF(F6747&lt;&gt;"", TEXT(F6747, "yyyy-mm"), "")</f>
        <v/>
      </c>
    </row>
    <row r="6748">
      <c r="A6748" t="inlineStr">
        <is>
          <t>RP0006747</t>
        </is>
      </c>
      <c r="B6748" t="inlineStr">
        <is>
          <t>LN200959</t>
        </is>
      </c>
      <c r="C6748" t="n">
        <v>3</v>
      </c>
      <c r="D6748" s="8" t="n">
        <v>45782</v>
      </c>
      <c r="E6748" s="9" t="n">
        <v>9702</v>
      </c>
      <c r="F6748" s="8" t="n">
        <v>45783</v>
      </c>
      <c r="G6748" s="9" t="n">
        <v>9702</v>
      </c>
      <c r="H6748" t="inlineStr">
        <is>
          <t>PAID_ON_TIME</t>
        </is>
      </c>
      <c r="I6748">
        <f>IF(H6748="UNPAID", AsOfDate-D6748, 0)</f>
        <v/>
      </c>
      <c r="J6748">
        <f>IF(F6748&lt;&gt;"", TEXT(F6748, "yyyy-mm"), "")</f>
        <v/>
      </c>
    </row>
    <row r="6749">
      <c r="A6749" t="inlineStr">
        <is>
          <t>RP0006748</t>
        </is>
      </c>
      <c r="B6749" t="inlineStr">
        <is>
          <t>LN200960</t>
        </is>
      </c>
      <c r="C6749" t="n">
        <v>1</v>
      </c>
      <c r="D6749" s="8" t="n">
        <v>45873</v>
      </c>
      <c r="E6749" s="9" t="n">
        <v>8006.25</v>
      </c>
      <c r="F6749" s="8" t="n">
        <v>45874</v>
      </c>
      <c r="G6749" s="9" t="n">
        <v>8006.25</v>
      </c>
      <c r="H6749" t="inlineStr">
        <is>
          <t>PAID_ON_TIME</t>
        </is>
      </c>
      <c r="I6749">
        <f>IF(H6749="UNPAID", AsOfDate-D6749, 0)</f>
        <v/>
      </c>
      <c r="J6749">
        <f>IF(F6749&lt;&gt;"", TEXT(F6749, "yyyy-mm"), "")</f>
        <v/>
      </c>
    </row>
    <row r="6750">
      <c r="A6750" t="inlineStr">
        <is>
          <t>RP0006749</t>
        </is>
      </c>
      <c r="B6750" t="inlineStr">
        <is>
          <t>LN200960</t>
        </is>
      </c>
      <c r="C6750" t="n">
        <v>2</v>
      </c>
      <c r="D6750" s="8" t="n">
        <v>45904</v>
      </c>
      <c r="E6750" s="9" t="n">
        <v>8006.25</v>
      </c>
      <c r="F6750" s="8" t="n">
        <v>45905</v>
      </c>
      <c r="G6750" s="9" t="n">
        <v>8006.25</v>
      </c>
      <c r="H6750" t="inlineStr">
        <is>
          <t>PAID_ON_TIME</t>
        </is>
      </c>
      <c r="I6750">
        <f>IF(H6750="UNPAID", AsOfDate-D6750, 0)</f>
        <v/>
      </c>
      <c r="J6750">
        <f>IF(F6750&lt;&gt;"", TEXT(F6750, "yyyy-mm"), "")</f>
        <v/>
      </c>
    </row>
    <row r="6751">
      <c r="A6751" t="inlineStr">
        <is>
          <t>RP0006750</t>
        </is>
      </c>
      <c r="B6751" t="inlineStr">
        <is>
          <t>LN200960</t>
        </is>
      </c>
      <c r="C6751" t="n">
        <v>3</v>
      </c>
      <c r="D6751" s="8" t="n">
        <v>45934</v>
      </c>
      <c r="E6751" s="9" t="n">
        <v>8006.25</v>
      </c>
      <c r="F6751" s="8" t="n">
        <v>45936</v>
      </c>
      <c r="G6751" s="9" t="n">
        <v>8006.25</v>
      </c>
      <c r="H6751" t="inlineStr">
        <is>
          <t>PAID_ON_TIME</t>
        </is>
      </c>
      <c r="I6751">
        <f>IF(H6751="UNPAID", AsOfDate-D6751, 0)</f>
        <v/>
      </c>
      <c r="J6751">
        <f>IF(F6751&lt;&gt;"", TEXT(F6751, "yyyy-mm"), "")</f>
        <v/>
      </c>
    </row>
    <row r="6752">
      <c r="A6752" t="inlineStr">
        <is>
          <t>RP0006751</t>
        </is>
      </c>
      <c r="B6752" t="inlineStr">
        <is>
          <t>LN200960</t>
        </is>
      </c>
      <c r="C6752" t="n">
        <v>4</v>
      </c>
      <c r="D6752" s="8" t="n">
        <v>45965</v>
      </c>
      <c r="E6752" s="9" t="n">
        <v>8006.25</v>
      </c>
      <c r="F6752" s="8" t="n">
        <v>45962</v>
      </c>
      <c r="G6752" s="9" t="n">
        <v>8006.25</v>
      </c>
      <c r="H6752" t="inlineStr">
        <is>
          <t>PAID_ON_TIME</t>
        </is>
      </c>
      <c r="I6752">
        <f>IF(H6752="UNPAID", AsOfDate-D6752, 0)</f>
        <v/>
      </c>
      <c r="J6752">
        <f>IF(F6752&lt;&gt;"", TEXT(F6752, "yyyy-mm"), "")</f>
        <v/>
      </c>
    </row>
    <row r="6753">
      <c r="A6753" t="inlineStr">
        <is>
          <t>RP0006752</t>
        </is>
      </c>
      <c r="B6753" t="inlineStr">
        <is>
          <t>LN200960</t>
        </is>
      </c>
      <c r="C6753" t="n">
        <v>5</v>
      </c>
      <c r="D6753" s="8" t="n">
        <v>45995</v>
      </c>
      <c r="E6753" s="9" t="n">
        <v>8006.25</v>
      </c>
      <c r="F6753" s="8" t="n">
        <v>45992</v>
      </c>
      <c r="G6753" s="9" t="n">
        <v>8006.25</v>
      </c>
      <c r="H6753" t="inlineStr">
        <is>
          <t>PAID_ON_TIME</t>
        </is>
      </c>
      <c r="I6753">
        <f>IF(H6753="UNPAID", AsOfDate-D6753, 0)</f>
        <v/>
      </c>
      <c r="J6753">
        <f>IF(F6753&lt;&gt;"", TEXT(F6753, "yyyy-mm"), "")</f>
        <v/>
      </c>
    </row>
    <row r="6754">
      <c r="A6754" t="inlineStr">
        <is>
          <t>RP0006753</t>
        </is>
      </c>
      <c r="B6754" t="inlineStr">
        <is>
          <t>LN200960</t>
        </is>
      </c>
      <c r="C6754" t="n">
        <v>6</v>
      </c>
      <c r="D6754" s="8" t="n">
        <v>46026</v>
      </c>
      <c r="E6754" s="9" t="n">
        <v>8006.25</v>
      </c>
      <c r="F6754" s="8" t="n">
        <v>46027</v>
      </c>
      <c r="G6754" s="9" t="n">
        <v>8006.25</v>
      </c>
      <c r="H6754" t="inlineStr">
        <is>
          <t>PAID_ON_TIME</t>
        </is>
      </c>
      <c r="I6754">
        <f>IF(H6754="UNPAID", AsOfDate-D6754, 0)</f>
        <v/>
      </c>
      <c r="J6754">
        <f>IF(F6754&lt;&gt;"", TEXT(F6754, "yyyy-mm"), "")</f>
        <v/>
      </c>
    </row>
    <row r="6755">
      <c r="A6755" t="inlineStr">
        <is>
          <t>RP0006754</t>
        </is>
      </c>
      <c r="B6755" t="inlineStr">
        <is>
          <t>LN200961</t>
        </is>
      </c>
      <c r="C6755" t="n">
        <v>1</v>
      </c>
      <c r="D6755" s="8" t="n">
        <v>45924</v>
      </c>
      <c r="E6755" s="9" t="n">
        <v>7969.33</v>
      </c>
      <c r="F6755" s="8" t="n">
        <v>45931</v>
      </c>
      <c r="G6755" s="9" t="n">
        <v>7969.33</v>
      </c>
      <c r="H6755" t="inlineStr">
        <is>
          <t>PAID_LATE</t>
        </is>
      </c>
      <c r="I6755">
        <f>IF(H6755="UNPAID", AsOfDate-D6755, 0)</f>
        <v/>
      </c>
      <c r="J6755">
        <f>IF(F6755&lt;&gt;"", TEXT(F6755, "yyyy-mm"), "")</f>
        <v/>
      </c>
    </row>
    <row r="6756">
      <c r="A6756" t="inlineStr">
        <is>
          <t>RP0006755</t>
        </is>
      </c>
      <c r="B6756" t="inlineStr">
        <is>
          <t>LN200961</t>
        </is>
      </c>
      <c r="C6756" t="n">
        <v>2</v>
      </c>
      <c r="D6756" s="8" t="n">
        <v>45954</v>
      </c>
      <c r="E6756" s="9" t="n">
        <v>7969.33</v>
      </c>
      <c r="F6756" s="8" t="n">
        <v>45952</v>
      </c>
      <c r="G6756" s="9" t="n">
        <v>7969.33</v>
      </c>
      <c r="H6756" t="inlineStr">
        <is>
          <t>PAID_ON_TIME</t>
        </is>
      </c>
      <c r="I6756">
        <f>IF(H6756="UNPAID", AsOfDate-D6756, 0)</f>
        <v/>
      </c>
      <c r="J6756">
        <f>IF(F6756&lt;&gt;"", TEXT(F6756, "yyyy-mm"), "")</f>
        <v/>
      </c>
    </row>
    <row r="6757">
      <c r="A6757" t="inlineStr">
        <is>
          <t>RP0006756</t>
        </is>
      </c>
      <c r="B6757" t="inlineStr">
        <is>
          <t>LN200961</t>
        </is>
      </c>
      <c r="C6757" t="n">
        <v>3</v>
      </c>
      <c r="D6757" s="8" t="n">
        <v>45985</v>
      </c>
      <c r="E6757" s="9" t="n">
        <v>7969.33</v>
      </c>
      <c r="F6757" s="8" t="n">
        <v>45987</v>
      </c>
      <c r="G6757" s="9" t="n">
        <v>7969.33</v>
      </c>
      <c r="H6757" t="inlineStr">
        <is>
          <t>PAID_ON_TIME</t>
        </is>
      </c>
      <c r="I6757">
        <f>IF(H6757="UNPAID", AsOfDate-D6757, 0)</f>
        <v/>
      </c>
      <c r="J6757">
        <f>IF(F6757&lt;&gt;"", TEXT(F6757, "yyyy-mm"), "")</f>
        <v/>
      </c>
    </row>
    <row r="6758">
      <c r="A6758" t="inlineStr">
        <is>
          <t>RP0006757</t>
        </is>
      </c>
      <c r="B6758" t="inlineStr">
        <is>
          <t>LN200961</t>
        </is>
      </c>
      <c r="C6758" t="n">
        <v>4</v>
      </c>
      <c r="D6758" s="8" t="n">
        <v>46015</v>
      </c>
      <c r="E6758" s="9" t="n">
        <v>7969.33</v>
      </c>
      <c r="F6758" s="8" t="n">
        <v>46016</v>
      </c>
      <c r="G6758" s="9" t="n">
        <v>7969.33</v>
      </c>
      <c r="H6758" t="inlineStr">
        <is>
          <t>PAID_ON_TIME</t>
        </is>
      </c>
      <c r="I6758">
        <f>IF(H6758="UNPAID", AsOfDate-D6758, 0)</f>
        <v/>
      </c>
      <c r="J6758">
        <f>IF(F6758&lt;&gt;"", TEXT(F6758, "yyyy-mm"), "")</f>
        <v/>
      </c>
    </row>
    <row r="6759">
      <c r="A6759" t="inlineStr">
        <is>
          <t>RP0006758</t>
        </is>
      </c>
      <c r="B6759" t="inlineStr">
        <is>
          <t>LN200961</t>
        </is>
      </c>
      <c r="C6759" t="n">
        <v>5</v>
      </c>
      <c r="D6759" s="8" t="n">
        <v>46046</v>
      </c>
      <c r="E6759" s="9" t="n">
        <v>7969.33</v>
      </c>
      <c r="F6759" s="8" t="n">
        <v>46045</v>
      </c>
      <c r="G6759" s="9" t="n">
        <v>7969.33</v>
      </c>
      <c r="H6759" t="inlineStr">
        <is>
          <t>PAID_ON_TIME</t>
        </is>
      </c>
      <c r="I6759">
        <f>IF(H6759="UNPAID", AsOfDate-D6759, 0)</f>
        <v/>
      </c>
      <c r="J6759">
        <f>IF(F6759&lt;&gt;"", TEXT(F6759, "yyyy-mm"), "")</f>
        <v/>
      </c>
    </row>
    <row r="6760">
      <c r="A6760" t="inlineStr">
        <is>
          <t>RP0006759</t>
        </is>
      </c>
      <c r="B6760" t="inlineStr">
        <is>
          <t>LN200961</t>
        </is>
      </c>
      <c r="C6760" t="n">
        <v>6</v>
      </c>
      <c r="D6760" s="8" t="n">
        <v>46077</v>
      </c>
      <c r="E6760" s="9" t="n">
        <v>7969.33</v>
      </c>
      <c r="F6760" s="8" t="n"/>
      <c r="G6760" s="9" t="n">
        <v>0</v>
      </c>
      <c r="H6760" t="inlineStr">
        <is>
          <t>UNPAID</t>
        </is>
      </c>
      <c r="I6760">
        <f>IF(H6760="UNPAID", AsOfDate-D6760, 0)</f>
        <v/>
      </c>
      <c r="J6760">
        <f>IF(F6760&lt;&gt;"", TEXT(F6760, "yyyy-mm"), "")</f>
        <v/>
      </c>
    </row>
    <row r="6761">
      <c r="A6761" t="inlineStr">
        <is>
          <t>RP0006760</t>
        </is>
      </c>
      <c r="B6761" t="inlineStr">
        <is>
          <t>LN200962</t>
        </is>
      </c>
      <c r="C6761" t="n">
        <v>1</v>
      </c>
      <c r="D6761" s="8" t="n">
        <v>45852</v>
      </c>
      <c r="E6761" s="9" t="n">
        <v>148480.33</v>
      </c>
      <c r="F6761" s="8" t="n">
        <v>45852</v>
      </c>
      <c r="G6761" s="9" t="n">
        <v>148480.33</v>
      </c>
      <c r="H6761" t="inlineStr">
        <is>
          <t>PAID_ON_TIME</t>
        </is>
      </c>
      <c r="I6761">
        <f>IF(H6761="UNPAID", AsOfDate-D6761, 0)</f>
        <v/>
      </c>
      <c r="J6761">
        <f>IF(F6761&lt;&gt;"", TEXT(F6761, "yyyy-mm"), "")</f>
        <v/>
      </c>
    </row>
    <row r="6762">
      <c r="A6762" t="inlineStr">
        <is>
          <t>RP0006761</t>
        </is>
      </c>
      <c r="B6762" t="inlineStr">
        <is>
          <t>LN200962</t>
        </is>
      </c>
      <c r="C6762" t="n">
        <v>2</v>
      </c>
      <c r="D6762" s="8" t="n">
        <v>45883</v>
      </c>
      <c r="E6762" s="9" t="n">
        <v>148480.33</v>
      </c>
      <c r="F6762" s="8" t="n">
        <v>45884</v>
      </c>
      <c r="G6762" s="9" t="n">
        <v>148480.33</v>
      </c>
      <c r="H6762" t="inlineStr">
        <is>
          <t>PAID_ON_TIME</t>
        </is>
      </c>
      <c r="I6762">
        <f>IF(H6762="UNPAID", AsOfDate-D6762, 0)</f>
        <v/>
      </c>
      <c r="J6762">
        <f>IF(F6762&lt;&gt;"", TEXT(F6762, "yyyy-mm"), "")</f>
        <v/>
      </c>
    </row>
    <row r="6763">
      <c r="A6763" t="inlineStr">
        <is>
          <t>RP0006762</t>
        </is>
      </c>
      <c r="B6763" t="inlineStr">
        <is>
          <t>LN200962</t>
        </is>
      </c>
      <c r="C6763" t="n">
        <v>3</v>
      </c>
      <c r="D6763" s="8" t="n">
        <v>45914</v>
      </c>
      <c r="E6763" s="9" t="n">
        <v>148480.33</v>
      </c>
      <c r="F6763" s="8" t="n">
        <v>45912</v>
      </c>
      <c r="G6763" s="9" t="n">
        <v>148480.33</v>
      </c>
      <c r="H6763" t="inlineStr">
        <is>
          <t>PAID_ON_TIME</t>
        </is>
      </c>
      <c r="I6763">
        <f>IF(H6763="UNPAID", AsOfDate-D6763, 0)</f>
        <v/>
      </c>
      <c r="J6763">
        <f>IF(F6763&lt;&gt;"", TEXT(F6763, "yyyy-mm"), "")</f>
        <v/>
      </c>
    </row>
    <row r="6764">
      <c r="A6764" t="inlineStr">
        <is>
          <t>RP0006763</t>
        </is>
      </c>
      <c r="B6764" t="inlineStr">
        <is>
          <t>LN200963</t>
        </is>
      </c>
      <c r="C6764" t="n">
        <v>1</v>
      </c>
      <c r="D6764" s="8" t="n">
        <v>46261</v>
      </c>
      <c r="E6764" s="9" t="n">
        <v>57029.33</v>
      </c>
      <c r="F6764" s="8" t="n">
        <v>46261</v>
      </c>
      <c r="G6764" s="9" t="n">
        <v>57029.33</v>
      </c>
      <c r="H6764" t="inlineStr">
        <is>
          <t>PAID_ON_TIME</t>
        </is>
      </c>
      <c r="I6764">
        <f>IF(H6764="UNPAID", AsOfDate-D6764, 0)</f>
        <v/>
      </c>
      <c r="J6764">
        <f>IF(F6764&lt;&gt;"", TEXT(F6764, "yyyy-mm"), "")</f>
        <v/>
      </c>
    </row>
    <row r="6765">
      <c r="A6765" t="inlineStr">
        <is>
          <t>RP0006764</t>
        </is>
      </c>
      <c r="B6765" t="inlineStr">
        <is>
          <t>LN200963</t>
        </is>
      </c>
      <c r="C6765" t="n">
        <v>2</v>
      </c>
      <c r="D6765" s="8" t="n">
        <v>46292</v>
      </c>
      <c r="E6765" s="9" t="n">
        <v>57029.33</v>
      </c>
      <c r="F6765" s="8" t="n"/>
      <c r="G6765" s="9" t="n">
        <v>0</v>
      </c>
      <c r="H6765" t="inlineStr">
        <is>
          <t>NOT_DUE</t>
        </is>
      </c>
      <c r="I6765">
        <f>IF(H6765="UNPAID", AsOfDate-D6765, 0)</f>
        <v/>
      </c>
      <c r="J6765">
        <f>IF(F6765&lt;&gt;"", TEXT(F6765, "yyyy-mm"), "")</f>
        <v/>
      </c>
    </row>
    <row r="6766">
      <c r="A6766" t="inlineStr">
        <is>
          <t>RP0006765</t>
        </is>
      </c>
      <c r="B6766" t="inlineStr">
        <is>
          <t>LN200963</t>
        </is>
      </c>
      <c r="C6766" t="n">
        <v>3</v>
      </c>
      <c r="D6766" s="8" t="n">
        <v>46322</v>
      </c>
      <c r="E6766" s="9" t="n">
        <v>57029.33</v>
      </c>
      <c r="F6766" s="8" t="n"/>
      <c r="G6766" s="9" t="n">
        <v>0</v>
      </c>
      <c r="H6766" t="inlineStr">
        <is>
          <t>NOT_DUE</t>
        </is>
      </c>
      <c r="I6766">
        <f>IF(H6766="UNPAID", AsOfDate-D6766, 0)</f>
        <v/>
      </c>
      <c r="J6766">
        <f>IF(F6766&lt;&gt;"", TEXT(F6766, "yyyy-mm"), "")</f>
        <v/>
      </c>
    </row>
    <row r="6767">
      <c r="A6767" t="inlineStr">
        <is>
          <t>RP0006766</t>
        </is>
      </c>
      <c r="B6767" t="inlineStr">
        <is>
          <t>LN200963</t>
        </is>
      </c>
      <c r="C6767" t="n">
        <v>4</v>
      </c>
      <c r="D6767" s="8" t="n">
        <v>46353</v>
      </c>
      <c r="E6767" s="9" t="n">
        <v>57029.33</v>
      </c>
      <c r="F6767" s="8" t="n"/>
      <c r="G6767" s="9" t="n">
        <v>0</v>
      </c>
      <c r="H6767" t="inlineStr">
        <is>
          <t>NOT_DUE</t>
        </is>
      </c>
      <c r="I6767">
        <f>IF(H6767="UNPAID", AsOfDate-D6767, 0)</f>
        <v/>
      </c>
      <c r="J6767">
        <f>IF(F6767&lt;&gt;"", TEXT(F6767, "yyyy-mm"), "")</f>
        <v/>
      </c>
    </row>
    <row r="6768">
      <c r="A6768" t="inlineStr">
        <is>
          <t>RP0006767</t>
        </is>
      </c>
      <c r="B6768" t="inlineStr">
        <is>
          <t>LN200963</t>
        </is>
      </c>
      <c r="C6768" t="n">
        <v>5</v>
      </c>
      <c r="D6768" s="8" t="n">
        <v>46383</v>
      </c>
      <c r="E6768" s="9" t="n">
        <v>57029.33</v>
      </c>
      <c r="F6768" s="8" t="n"/>
      <c r="G6768" s="9" t="n">
        <v>0</v>
      </c>
      <c r="H6768" t="inlineStr">
        <is>
          <t>NOT_DUE</t>
        </is>
      </c>
      <c r="I6768">
        <f>IF(H6768="UNPAID", AsOfDate-D6768, 0)</f>
        <v/>
      </c>
      <c r="J6768">
        <f>IF(F6768&lt;&gt;"", TEXT(F6768, "yyyy-mm"), "")</f>
        <v/>
      </c>
    </row>
    <row r="6769">
      <c r="A6769" t="inlineStr">
        <is>
          <t>RP0006768</t>
        </is>
      </c>
      <c r="B6769" t="inlineStr">
        <is>
          <t>LN200963</t>
        </is>
      </c>
      <c r="C6769" t="n">
        <v>6</v>
      </c>
      <c r="D6769" s="8" t="n">
        <v>46414</v>
      </c>
      <c r="E6769" s="9" t="n">
        <v>57029.33</v>
      </c>
      <c r="F6769" s="8" t="n"/>
      <c r="G6769" s="9" t="n">
        <v>0</v>
      </c>
      <c r="H6769" t="inlineStr">
        <is>
          <t>NOT_DUE</t>
        </is>
      </c>
      <c r="I6769">
        <f>IF(H6769="UNPAID", AsOfDate-D6769, 0)</f>
        <v/>
      </c>
      <c r="J6769">
        <f>IF(F6769&lt;&gt;"", TEXT(F6769, "yyyy-mm"), "")</f>
        <v/>
      </c>
    </row>
    <row r="6770">
      <c r="A6770" t="inlineStr">
        <is>
          <t>RP0006769</t>
        </is>
      </c>
      <c r="B6770" t="inlineStr">
        <is>
          <t>LN200963</t>
        </is>
      </c>
      <c r="C6770" t="n">
        <v>7</v>
      </c>
      <c r="D6770" s="8" t="n">
        <v>46445</v>
      </c>
      <c r="E6770" s="9" t="n">
        <v>57029.33</v>
      </c>
      <c r="F6770" s="8" t="n"/>
      <c r="G6770" s="9" t="n">
        <v>0</v>
      </c>
      <c r="H6770" t="inlineStr">
        <is>
          <t>NOT_DUE</t>
        </is>
      </c>
      <c r="I6770">
        <f>IF(H6770="UNPAID", AsOfDate-D6770, 0)</f>
        <v/>
      </c>
      <c r="J6770">
        <f>IF(F6770&lt;&gt;"", TEXT(F6770, "yyyy-mm"), "")</f>
        <v/>
      </c>
    </row>
    <row r="6771">
      <c r="A6771" t="inlineStr">
        <is>
          <t>RP0006770</t>
        </is>
      </c>
      <c r="B6771" t="inlineStr">
        <is>
          <t>LN200963</t>
        </is>
      </c>
      <c r="C6771" t="n">
        <v>8</v>
      </c>
      <c r="D6771" s="8" t="n">
        <v>46473</v>
      </c>
      <c r="E6771" s="9" t="n">
        <v>57029.33</v>
      </c>
      <c r="F6771" s="8" t="n"/>
      <c r="G6771" s="9" t="n">
        <v>0</v>
      </c>
      <c r="H6771" t="inlineStr">
        <is>
          <t>NOT_DUE</t>
        </is>
      </c>
      <c r="I6771">
        <f>IF(H6771="UNPAID", AsOfDate-D6771, 0)</f>
        <v/>
      </c>
      <c r="J6771">
        <f>IF(F6771&lt;&gt;"", TEXT(F6771, "yyyy-mm"), "")</f>
        <v/>
      </c>
    </row>
    <row r="6772">
      <c r="A6772" t="inlineStr">
        <is>
          <t>RP0006771</t>
        </is>
      </c>
      <c r="B6772" t="inlineStr">
        <is>
          <t>LN200963</t>
        </is>
      </c>
      <c r="C6772" t="n">
        <v>9</v>
      </c>
      <c r="D6772" s="8" t="n">
        <v>46504</v>
      </c>
      <c r="E6772" s="9" t="n">
        <v>57029.33</v>
      </c>
      <c r="F6772" s="8" t="n"/>
      <c r="G6772" s="9" t="n">
        <v>0</v>
      </c>
      <c r="H6772" t="inlineStr">
        <is>
          <t>NOT_DUE</t>
        </is>
      </c>
      <c r="I6772">
        <f>IF(H6772="UNPAID", AsOfDate-D6772, 0)</f>
        <v/>
      </c>
      <c r="J6772">
        <f>IF(F6772&lt;&gt;"", TEXT(F6772, "yyyy-mm"), "")</f>
        <v/>
      </c>
    </row>
    <row r="6773">
      <c r="A6773" t="inlineStr">
        <is>
          <t>RP0006772</t>
        </is>
      </c>
      <c r="B6773" t="inlineStr">
        <is>
          <t>LN200964</t>
        </is>
      </c>
      <c r="C6773" t="n">
        <v>1</v>
      </c>
      <c r="D6773" s="8" t="n">
        <v>45944</v>
      </c>
      <c r="E6773" s="9" t="n">
        <v>10304.67</v>
      </c>
      <c r="F6773" s="8" t="n">
        <v>45943</v>
      </c>
      <c r="G6773" s="9" t="n">
        <v>10304.67</v>
      </c>
      <c r="H6773" t="inlineStr">
        <is>
          <t>PAID_ON_TIME</t>
        </is>
      </c>
      <c r="I6773">
        <f>IF(H6773="UNPAID", AsOfDate-D6773, 0)</f>
        <v/>
      </c>
      <c r="J6773">
        <f>IF(F6773&lt;&gt;"", TEXT(F6773, "yyyy-mm"), "")</f>
        <v/>
      </c>
    </row>
    <row r="6774">
      <c r="A6774" t="inlineStr">
        <is>
          <t>RP0006773</t>
        </is>
      </c>
      <c r="B6774" t="inlineStr">
        <is>
          <t>LN200964</t>
        </is>
      </c>
      <c r="C6774" t="n">
        <v>2</v>
      </c>
      <c r="D6774" s="8" t="n">
        <v>45975</v>
      </c>
      <c r="E6774" s="9" t="n">
        <v>10304.67</v>
      </c>
      <c r="F6774" s="8" t="n">
        <v>45974</v>
      </c>
      <c r="G6774" s="9" t="n">
        <v>10304.67</v>
      </c>
      <c r="H6774" t="inlineStr">
        <is>
          <t>PAID_ON_TIME</t>
        </is>
      </c>
      <c r="I6774">
        <f>IF(H6774="UNPAID", AsOfDate-D6774, 0)</f>
        <v/>
      </c>
      <c r="J6774">
        <f>IF(F6774&lt;&gt;"", TEXT(F6774, "yyyy-mm"), "")</f>
        <v/>
      </c>
    </row>
    <row r="6775">
      <c r="A6775" t="inlineStr">
        <is>
          <t>RP0006774</t>
        </is>
      </c>
      <c r="B6775" t="inlineStr">
        <is>
          <t>LN200964</t>
        </is>
      </c>
      <c r="C6775" t="n">
        <v>3</v>
      </c>
      <c r="D6775" s="8" t="n">
        <v>46005</v>
      </c>
      <c r="E6775" s="9" t="n">
        <v>10304.67</v>
      </c>
      <c r="F6775" s="8" t="n">
        <v>46008</v>
      </c>
      <c r="G6775" s="9" t="n">
        <v>10304.67</v>
      </c>
      <c r="H6775" t="inlineStr">
        <is>
          <t>PAID_ON_TIME</t>
        </is>
      </c>
      <c r="I6775">
        <f>IF(H6775="UNPAID", AsOfDate-D6775, 0)</f>
        <v/>
      </c>
      <c r="J6775">
        <f>IF(F6775&lt;&gt;"", TEXT(F6775, "yyyy-mm"), "")</f>
        <v/>
      </c>
    </row>
    <row r="6776">
      <c r="A6776" t="inlineStr">
        <is>
          <t>RP0006775</t>
        </is>
      </c>
      <c r="B6776" t="inlineStr">
        <is>
          <t>LN200964</t>
        </is>
      </c>
      <c r="C6776" t="n">
        <v>4</v>
      </c>
      <c r="D6776" s="8" t="n">
        <v>46036</v>
      </c>
      <c r="E6776" s="9" t="n">
        <v>10304.67</v>
      </c>
      <c r="F6776" s="8" t="n">
        <v>46034</v>
      </c>
      <c r="G6776" s="9" t="n">
        <v>10304.67</v>
      </c>
      <c r="H6776" t="inlineStr">
        <is>
          <t>PAID_ON_TIME</t>
        </is>
      </c>
      <c r="I6776">
        <f>IF(H6776="UNPAID", AsOfDate-D6776, 0)</f>
        <v/>
      </c>
      <c r="J6776">
        <f>IF(F6776&lt;&gt;"", TEXT(F6776, "yyyy-mm"), "")</f>
        <v/>
      </c>
    </row>
    <row r="6777">
      <c r="A6777" t="inlineStr">
        <is>
          <t>RP0006776</t>
        </is>
      </c>
      <c r="B6777" t="inlineStr">
        <is>
          <t>LN200964</t>
        </is>
      </c>
      <c r="C6777" t="n">
        <v>5</v>
      </c>
      <c r="D6777" s="8" t="n">
        <v>46067</v>
      </c>
      <c r="E6777" s="9" t="n">
        <v>10304.67</v>
      </c>
      <c r="F6777" s="8" t="n">
        <v>46069</v>
      </c>
      <c r="G6777" s="9" t="n">
        <v>10304.67</v>
      </c>
      <c r="H6777" t="inlineStr">
        <is>
          <t>PAID_ON_TIME</t>
        </is>
      </c>
      <c r="I6777">
        <f>IF(H6777="UNPAID", AsOfDate-D6777, 0)</f>
        <v/>
      </c>
      <c r="J6777">
        <f>IF(F6777&lt;&gt;"", TEXT(F6777, "yyyy-mm"), "")</f>
        <v/>
      </c>
    </row>
    <row r="6778">
      <c r="A6778" t="inlineStr">
        <is>
          <t>RP0006777</t>
        </is>
      </c>
      <c r="B6778" t="inlineStr">
        <is>
          <t>LN200964</t>
        </is>
      </c>
      <c r="C6778" t="n">
        <v>6</v>
      </c>
      <c r="D6778" s="8" t="n">
        <v>46095</v>
      </c>
      <c r="E6778" s="9" t="n">
        <v>10304.67</v>
      </c>
      <c r="F6778" s="8" t="n">
        <v>46092</v>
      </c>
      <c r="G6778" s="9" t="n">
        <v>10304.67</v>
      </c>
      <c r="H6778" t="inlineStr">
        <is>
          <t>PAID_ON_TIME</t>
        </is>
      </c>
      <c r="I6778">
        <f>IF(H6778="UNPAID", AsOfDate-D6778, 0)</f>
        <v/>
      </c>
      <c r="J6778">
        <f>IF(F6778&lt;&gt;"", TEXT(F6778, "yyyy-mm"), "")</f>
        <v/>
      </c>
    </row>
    <row r="6779">
      <c r="A6779" t="inlineStr">
        <is>
          <t>RP0006778</t>
        </is>
      </c>
      <c r="B6779" t="inlineStr">
        <is>
          <t>LN200964</t>
        </is>
      </c>
      <c r="C6779" t="n">
        <v>7</v>
      </c>
      <c r="D6779" s="8" t="n">
        <v>46126</v>
      </c>
      <c r="E6779" s="9" t="n">
        <v>10304.67</v>
      </c>
      <c r="F6779" s="8" t="n">
        <v>46127</v>
      </c>
      <c r="G6779" s="9" t="n">
        <v>10304.67</v>
      </c>
      <c r="H6779" t="inlineStr">
        <is>
          <t>PAID_ON_TIME</t>
        </is>
      </c>
      <c r="I6779">
        <f>IF(H6779="UNPAID", AsOfDate-D6779, 0)</f>
        <v/>
      </c>
      <c r="J6779">
        <f>IF(F6779&lt;&gt;"", TEXT(F6779, "yyyy-mm"), "")</f>
        <v/>
      </c>
    </row>
    <row r="6780">
      <c r="A6780" t="inlineStr">
        <is>
          <t>RP0006779</t>
        </is>
      </c>
      <c r="B6780" t="inlineStr">
        <is>
          <t>LN200964</t>
        </is>
      </c>
      <c r="C6780" t="n">
        <v>8</v>
      </c>
      <c r="D6780" s="8" t="n">
        <v>46156</v>
      </c>
      <c r="E6780" s="9" t="n">
        <v>10304.67</v>
      </c>
      <c r="F6780" s="8" t="n">
        <v>46159</v>
      </c>
      <c r="G6780" s="9" t="n">
        <v>10304.67</v>
      </c>
      <c r="H6780" t="inlineStr">
        <is>
          <t>PAID_ON_TIME</t>
        </is>
      </c>
      <c r="I6780">
        <f>IF(H6780="UNPAID", AsOfDate-D6780, 0)</f>
        <v/>
      </c>
      <c r="J6780">
        <f>IF(F6780&lt;&gt;"", TEXT(F6780, "yyyy-mm"), "")</f>
        <v/>
      </c>
    </row>
    <row r="6781">
      <c r="A6781" t="inlineStr">
        <is>
          <t>RP0006780</t>
        </is>
      </c>
      <c r="B6781" t="inlineStr">
        <is>
          <t>LN200964</t>
        </is>
      </c>
      <c r="C6781" t="n">
        <v>9</v>
      </c>
      <c r="D6781" s="8" t="n">
        <v>46187</v>
      </c>
      <c r="E6781" s="9" t="n">
        <v>10304.67</v>
      </c>
      <c r="F6781" s="8" t="n">
        <v>46191</v>
      </c>
      <c r="G6781" s="9" t="n">
        <v>10304.67</v>
      </c>
      <c r="H6781" t="inlineStr">
        <is>
          <t>PAID_ON_TIME</t>
        </is>
      </c>
      <c r="I6781">
        <f>IF(H6781="UNPAID", AsOfDate-D6781, 0)</f>
        <v/>
      </c>
      <c r="J6781">
        <f>IF(F6781&lt;&gt;"", TEXT(F6781, "yyyy-mm"), "")</f>
        <v/>
      </c>
    </row>
    <row r="6782">
      <c r="A6782" t="inlineStr">
        <is>
          <t>RP0006781</t>
        </is>
      </c>
      <c r="B6782" t="inlineStr">
        <is>
          <t>LN200964</t>
        </is>
      </c>
      <c r="C6782" t="n">
        <v>10</v>
      </c>
      <c r="D6782" s="8" t="n">
        <v>46217</v>
      </c>
      <c r="E6782" s="9" t="n">
        <v>10304.67</v>
      </c>
      <c r="F6782" s="8" t="n">
        <v>46219</v>
      </c>
      <c r="G6782" s="9" t="n">
        <v>10304.67</v>
      </c>
      <c r="H6782" t="inlineStr">
        <is>
          <t>PAID_ON_TIME</t>
        </is>
      </c>
      <c r="I6782">
        <f>IF(H6782="UNPAID", AsOfDate-D6782, 0)</f>
        <v/>
      </c>
      <c r="J6782">
        <f>IF(F6782&lt;&gt;"", TEXT(F6782, "yyyy-mm"), "")</f>
        <v/>
      </c>
    </row>
    <row r="6783">
      <c r="A6783" t="inlineStr">
        <is>
          <t>RP0006782</t>
        </is>
      </c>
      <c r="B6783" t="inlineStr">
        <is>
          <t>LN200964</t>
        </is>
      </c>
      <c r="C6783" t="n">
        <v>11</v>
      </c>
      <c r="D6783" s="8" t="n">
        <v>46248</v>
      </c>
      <c r="E6783" s="9" t="n">
        <v>10304.67</v>
      </c>
      <c r="F6783" s="8" t="n">
        <v>46248</v>
      </c>
      <c r="G6783" s="9" t="n">
        <v>10304.67</v>
      </c>
      <c r="H6783" t="inlineStr">
        <is>
          <t>PAID_ON_TIME</t>
        </is>
      </c>
      <c r="I6783">
        <f>IF(H6783="UNPAID", AsOfDate-D6783, 0)</f>
        <v/>
      </c>
      <c r="J6783">
        <f>IF(F6783&lt;&gt;"", TEXT(F6783, "yyyy-mm"), "")</f>
        <v/>
      </c>
    </row>
    <row r="6784">
      <c r="A6784" t="inlineStr">
        <is>
          <t>RP0006783</t>
        </is>
      </c>
      <c r="B6784" t="inlineStr">
        <is>
          <t>LN200964</t>
        </is>
      </c>
      <c r="C6784" t="n">
        <v>12</v>
      </c>
      <c r="D6784" s="8" t="n">
        <v>46279</v>
      </c>
      <c r="E6784" s="9" t="n">
        <v>10304.67</v>
      </c>
      <c r="F6784" s="8" t="n"/>
      <c r="G6784" s="9" t="n">
        <v>0</v>
      </c>
      <c r="H6784" t="inlineStr">
        <is>
          <t>NOT_DUE</t>
        </is>
      </c>
      <c r="I6784">
        <f>IF(H6784="UNPAID", AsOfDate-D6784, 0)</f>
        <v/>
      </c>
      <c r="J6784">
        <f>IF(F6784&lt;&gt;"", TEXT(F6784, "yyyy-mm"), "")</f>
        <v/>
      </c>
    </row>
    <row r="6785">
      <c r="A6785" t="inlineStr">
        <is>
          <t>RP0006784</t>
        </is>
      </c>
      <c r="B6785" t="inlineStr">
        <is>
          <t>LN200965</t>
        </is>
      </c>
      <c r="C6785" t="n">
        <v>1</v>
      </c>
      <c r="D6785" s="8" t="n">
        <v>46019</v>
      </c>
      <c r="E6785" s="9" t="n">
        <v>4009.5</v>
      </c>
      <c r="F6785" s="8" t="n">
        <v>46016</v>
      </c>
      <c r="G6785" s="9" t="n">
        <v>4009.5</v>
      </c>
      <c r="H6785" t="inlineStr">
        <is>
          <t>PAID_ON_TIME</t>
        </is>
      </c>
      <c r="I6785">
        <f>IF(H6785="UNPAID", AsOfDate-D6785, 0)</f>
        <v/>
      </c>
      <c r="J6785">
        <f>IF(F6785&lt;&gt;"", TEXT(F6785, "yyyy-mm"), "")</f>
        <v/>
      </c>
    </row>
    <row r="6786">
      <c r="A6786" t="inlineStr">
        <is>
          <t>RP0006785</t>
        </is>
      </c>
      <c r="B6786" t="inlineStr">
        <is>
          <t>LN200965</t>
        </is>
      </c>
      <c r="C6786" t="n">
        <v>2</v>
      </c>
      <c r="D6786" s="8" t="n">
        <v>46050</v>
      </c>
      <c r="E6786" s="9" t="n">
        <v>4009.5</v>
      </c>
      <c r="F6786" s="8" t="n"/>
      <c r="G6786" s="9" t="n">
        <v>0</v>
      </c>
      <c r="H6786" t="inlineStr">
        <is>
          <t>UNPAID</t>
        </is>
      </c>
      <c r="I6786">
        <f>IF(H6786="UNPAID", AsOfDate-D6786, 0)</f>
        <v/>
      </c>
      <c r="J6786">
        <f>IF(F6786&lt;&gt;"", TEXT(F6786, "yyyy-mm"), "")</f>
        <v/>
      </c>
    </row>
    <row r="6787">
      <c r="A6787" t="inlineStr">
        <is>
          <t>RP0006786</t>
        </is>
      </c>
      <c r="B6787" t="inlineStr">
        <is>
          <t>LN200965</t>
        </is>
      </c>
      <c r="C6787" t="n">
        <v>3</v>
      </c>
      <c r="D6787" s="8" t="n">
        <v>46081</v>
      </c>
      <c r="E6787" s="9" t="n">
        <v>4009.5</v>
      </c>
      <c r="F6787" s="8" t="n">
        <v>46081</v>
      </c>
      <c r="G6787" s="9" t="n">
        <v>4009.5</v>
      </c>
      <c r="H6787" t="inlineStr">
        <is>
          <t>PAID_ON_TIME</t>
        </is>
      </c>
      <c r="I6787">
        <f>IF(H6787="UNPAID", AsOfDate-D6787, 0)</f>
        <v/>
      </c>
      <c r="J6787">
        <f>IF(F6787&lt;&gt;"", TEXT(F6787, "yyyy-mm"), "")</f>
        <v/>
      </c>
    </row>
    <row r="6788">
      <c r="A6788" t="inlineStr">
        <is>
          <t>RP0006787</t>
        </is>
      </c>
      <c r="B6788" t="inlineStr">
        <is>
          <t>LN200965</t>
        </is>
      </c>
      <c r="C6788" t="n">
        <v>4</v>
      </c>
      <c r="D6788" s="8" t="n">
        <v>46109</v>
      </c>
      <c r="E6788" s="9" t="n">
        <v>4009.5</v>
      </c>
      <c r="F6788" s="8" t="n">
        <v>46110</v>
      </c>
      <c r="G6788" s="9" t="n">
        <v>4009.5</v>
      </c>
      <c r="H6788" t="inlineStr">
        <is>
          <t>PAID_ON_TIME</t>
        </is>
      </c>
      <c r="I6788">
        <f>IF(H6788="UNPAID", AsOfDate-D6788, 0)</f>
        <v/>
      </c>
      <c r="J6788">
        <f>IF(F6788&lt;&gt;"", TEXT(F6788, "yyyy-mm"), "")</f>
        <v/>
      </c>
    </row>
    <row r="6789">
      <c r="A6789" t="inlineStr">
        <is>
          <t>RP0006788</t>
        </is>
      </c>
      <c r="B6789" t="inlineStr">
        <is>
          <t>LN200965</t>
        </is>
      </c>
      <c r="C6789" t="n">
        <v>5</v>
      </c>
      <c r="D6789" s="8" t="n">
        <v>46140</v>
      </c>
      <c r="E6789" s="9" t="n">
        <v>4009.5</v>
      </c>
      <c r="F6789" s="8" t="n">
        <v>46140</v>
      </c>
      <c r="G6789" s="9" t="n">
        <v>4009.5</v>
      </c>
      <c r="H6789" t="inlineStr">
        <is>
          <t>PAID_ON_TIME</t>
        </is>
      </c>
      <c r="I6789">
        <f>IF(H6789="UNPAID", AsOfDate-D6789, 0)</f>
        <v/>
      </c>
      <c r="J6789">
        <f>IF(F6789&lt;&gt;"", TEXT(F6789, "yyyy-mm"), "")</f>
        <v/>
      </c>
    </row>
    <row r="6790">
      <c r="A6790" t="inlineStr">
        <is>
          <t>RP0006789</t>
        </is>
      </c>
      <c r="B6790" t="inlineStr">
        <is>
          <t>LN200965</t>
        </is>
      </c>
      <c r="C6790" t="n">
        <v>6</v>
      </c>
      <c r="D6790" s="8" t="n">
        <v>46170</v>
      </c>
      <c r="E6790" s="9" t="n">
        <v>4009.5</v>
      </c>
      <c r="F6790" s="8" t="n">
        <v>46229</v>
      </c>
      <c r="G6790" s="9" t="n">
        <v>4009.5</v>
      </c>
      <c r="H6790" t="inlineStr">
        <is>
          <t>PAID_LATE</t>
        </is>
      </c>
      <c r="I6790">
        <f>IF(H6790="UNPAID", AsOfDate-D6790, 0)</f>
        <v/>
      </c>
      <c r="J6790">
        <f>IF(F6790&lt;&gt;"", TEXT(F6790, "yyyy-mm"), "")</f>
        <v/>
      </c>
    </row>
    <row r="6791">
      <c r="A6791" t="inlineStr">
        <is>
          <t>RP0006790</t>
        </is>
      </c>
      <c r="B6791" t="inlineStr">
        <is>
          <t>LN200966</t>
        </is>
      </c>
      <c r="C6791" t="n">
        <v>1</v>
      </c>
      <c r="D6791" s="8" t="n">
        <v>46241</v>
      </c>
      <c r="E6791" s="9" t="n">
        <v>3671.67</v>
      </c>
      <c r="F6791" s="8" t="n">
        <v>46241</v>
      </c>
      <c r="G6791" s="9" t="n">
        <v>3671.67</v>
      </c>
      <c r="H6791" t="inlineStr">
        <is>
          <t>PAID_ON_TIME</t>
        </is>
      </c>
      <c r="I6791">
        <f>IF(H6791="UNPAID", AsOfDate-D6791, 0)</f>
        <v/>
      </c>
      <c r="J6791">
        <f>IF(F6791&lt;&gt;"", TEXT(F6791, "yyyy-mm"), "")</f>
        <v/>
      </c>
    </row>
    <row r="6792">
      <c r="A6792" t="inlineStr">
        <is>
          <t>RP0006791</t>
        </is>
      </c>
      <c r="B6792" t="inlineStr">
        <is>
          <t>LN200966</t>
        </is>
      </c>
      <c r="C6792" t="n">
        <v>2</v>
      </c>
      <c r="D6792" s="8" t="n">
        <v>46272</v>
      </c>
      <c r="E6792" s="9" t="n">
        <v>3671.67</v>
      </c>
      <c r="F6792" s="8" t="n"/>
      <c r="G6792" s="9" t="n">
        <v>0</v>
      </c>
      <c r="H6792" t="inlineStr">
        <is>
          <t>NOT_DUE</t>
        </is>
      </c>
      <c r="I6792">
        <f>IF(H6792="UNPAID", AsOfDate-D6792, 0)</f>
        <v/>
      </c>
      <c r="J6792">
        <f>IF(F6792&lt;&gt;"", TEXT(F6792, "yyyy-mm"), "")</f>
        <v/>
      </c>
    </row>
    <row r="6793">
      <c r="A6793" t="inlineStr">
        <is>
          <t>RP0006792</t>
        </is>
      </c>
      <c r="B6793" t="inlineStr">
        <is>
          <t>LN200966</t>
        </is>
      </c>
      <c r="C6793" t="n">
        <v>3</v>
      </c>
      <c r="D6793" s="8" t="n">
        <v>46302</v>
      </c>
      <c r="E6793" s="9" t="n">
        <v>3671.67</v>
      </c>
      <c r="F6793" s="8" t="n"/>
      <c r="G6793" s="9" t="n">
        <v>0</v>
      </c>
      <c r="H6793" t="inlineStr">
        <is>
          <t>NOT_DUE</t>
        </is>
      </c>
      <c r="I6793">
        <f>IF(H6793="UNPAID", AsOfDate-D6793, 0)</f>
        <v/>
      </c>
      <c r="J6793">
        <f>IF(F6793&lt;&gt;"", TEXT(F6793, "yyyy-mm"), "")</f>
        <v/>
      </c>
    </row>
    <row r="6794">
      <c r="A6794" t="inlineStr">
        <is>
          <t>RP0006793</t>
        </is>
      </c>
      <c r="B6794" t="inlineStr">
        <is>
          <t>LN200966</t>
        </is>
      </c>
      <c r="C6794" t="n">
        <v>4</v>
      </c>
      <c r="D6794" s="8" t="n">
        <v>46333</v>
      </c>
      <c r="E6794" s="9" t="n">
        <v>3671.67</v>
      </c>
      <c r="F6794" s="8" t="n"/>
      <c r="G6794" s="9" t="n">
        <v>0</v>
      </c>
      <c r="H6794" t="inlineStr">
        <is>
          <t>NOT_DUE</t>
        </is>
      </c>
      <c r="I6794">
        <f>IF(H6794="UNPAID", AsOfDate-D6794, 0)</f>
        <v/>
      </c>
      <c r="J6794">
        <f>IF(F6794&lt;&gt;"", TEXT(F6794, "yyyy-mm"), "")</f>
        <v/>
      </c>
    </row>
    <row r="6795">
      <c r="A6795" t="inlineStr">
        <is>
          <t>RP0006794</t>
        </is>
      </c>
      <c r="B6795" t="inlineStr">
        <is>
          <t>LN200966</t>
        </is>
      </c>
      <c r="C6795" t="n">
        <v>5</v>
      </c>
      <c r="D6795" s="8" t="n">
        <v>46363</v>
      </c>
      <c r="E6795" s="9" t="n">
        <v>3671.67</v>
      </c>
      <c r="F6795" s="8" t="n"/>
      <c r="G6795" s="9" t="n">
        <v>0</v>
      </c>
      <c r="H6795" t="inlineStr">
        <is>
          <t>NOT_DUE</t>
        </is>
      </c>
      <c r="I6795">
        <f>IF(H6795="UNPAID", AsOfDate-D6795, 0)</f>
        <v/>
      </c>
      <c r="J6795">
        <f>IF(F6795&lt;&gt;"", TEXT(F6795, "yyyy-mm"), "")</f>
        <v/>
      </c>
    </row>
    <row r="6796">
      <c r="A6796" t="inlineStr">
        <is>
          <t>RP0006795</t>
        </is>
      </c>
      <c r="B6796" t="inlineStr">
        <is>
          <t>LN200966</t>
        </is>
      </c>
      <c r="C6796" t="n">
        <v>6</v>
      </c>
      <c r="D6796" s="8" t="n">
        <v>46394</v>
      </c>
      <c r="E6796" s="9" t="n">
        <v>3671.67</v>
      </c>
      <c r="F6796" s="8" t="n"/>
      <c r="G6796" s="9" t="n">
        <v>0</v>
      </c>
      <c r="H6796" t="inlineStr">
        <is>
          <t>NOT_DUE</t>
        </is>
      </c>
      <c r="I6796">
        <f>IF(H6796="UNPAID", AsOfDate-D6796, 0)</f>
        <v/>
      </c>
      <c r="J6796">
        <f>IF(F6796&lt;&gt;"", TEXT(F6796, "yyyy-mm"), "")</f>
        <v/>
      </c>
    </row>
    <row r="6797">
      <c r="A6797" t="inlineStr">
        <is>
          <t>RP0006796</t>
        </is>
      </c>
      <c r="B6797" t="inlineStr">
        <is>
          <t>LN200967</t>
        </is>
      </c>
      <c r="C6797" t="n">
        <v>1</v>
      </c>
      <c r="D6797" s="8" t="n">
        <v>45832</v>
      </c>
      <c r="E6797" s="9" t="n">
        <v>7546.5</v>
      </c>
      <c r="F6797" s="8" t="n">
        <v>45831</v>
      </c>
      <c r="G6797" s="9" t="n">
        <v>7546.5</v>
      </c>
      <c r="H6797" t="inlineStr">
        <is>
          <t>PAID_ON_TIME</t>
        </is>
      </c>
      <c r="I6797">
        <f>IF(H6797="UNPAID", AsOfDate-D6797, 0)</f>
        <v/>
      </c>
      <c r="J6797">
        <f>IF(F6797&lt;&gt;"", TEXT(F6797, "yyyy-mm"), "")</f>
        <v/>
      </c>
    </row>
    <row r="6798">
      <c r="A6798" t="inlineStr">
        <is>
          <t>RP0006797</t>
        </is>
      </c>
      <c r="B6798" t="inlineStr">
        <is>
          <t>LN200967</t>
        </is>
      </c>
      <c r="C6798" t="n">
        <v>2</v>
      </c>
      <c r="D6798" s="8" t="n">
        <v>45862</v>
      </c>
      <c r="E6798" s="9" t="n">
        <v>7546.5</v>
      </c>
      <c r="F6798" s="8" t="n">
        <v>45865</v>
      </c>
      <c r="G6798" s="9" t="n">
        <v>7546.5</v>
      </c>
      <c r="H6798" t="inlineStr">
        <is>
          <t>PAID_ON_TIME</t>
        </is>
      </c>
      <c r="I6798">
        <f>IF(H6798="UNPAID", AsOfDate-D6798, 0)</f>
        <v/>
      </c>
      <c r="J6798">
        <f>IF(F6798&lt;&gt;"", TEXT(F6798, "yyyy-mm"), "")</f>
        <v/>
      </c>
    </row>
    <row r="6799">
      <c r="A6799" t="inlineStr">
        <is>
          <t>RP0006798</t>
        </is>
      </c>
      <c r="B6799" t="inlineStr">
        <is>
          <t>LN200967</t>
        </is>
      </c>
      <c r="C6799" t="n">
        <v>3</v>
      </c>
      <c r="D6799" s="8" t="n">
        <v>45893</v>
      </c>
      <c r="E6799" s="9" t="n">
        <v>7546.5</v>
      </c>
      <c r="F6799" s="8" t="n">
        <v>45974</v>
      </c>
      <c r="G6799" s="9" t="n">
        <v>7546.5</v>
      </c>
      <c r="H6799" t="inlineStr">
        <is>
          <t>PAID_LATE</t>
        </is>
      </c>
      <c r="I6799">
        <f>IF(H6799="UNPAID", AsOfDate-D6799, 0)</f>
        <v/>
      </c>
      <c r="J6799">
        <f>IF(F6799&lt;&gt;"", TEXT(F6799, "yyyy-mm"), "")</f>
        <v/>
      </c>
    </row>
    <row r="6800">
      <c r="A6800" t="inlineStr">
        <is>
          <t>RP0006799</t>
        </is>
      </c>
      <c r="B6800" t="inlineStr">
        <is>
          <t>LN200967</t>
        </is>
      </c>
      <c r="C6800" t="n">
        <v>4</v>
      </c>
      <c r="D6800" s="8" t="n">
        <v>45924</v>
      </c>
      <c r="E6800" s="9" t="n">
        <v>7546.5</v>
      </c>
      <c r="F6800" s="8" t="n">
        <v>45923</v>
      </c>
      <c r="G6800" s="9" t="n">
        <v>7546.5</v>
      </c>
      <c r="H6800" t="inlineStr">
        <is>
          <t>PAID_ON_TIME</t>
        </is>
      </c>
      <c r="I6800">
        <f>IF(H6800="UNPAID", AsOfDate-D6800, 0)</f>
        <v/>
      </c>
      <c r="J6800">
        <f>IF(F6800&lt;&gt;"", TEXT(F6800, "yyyy-mm"), "")</f>
        <v/>
      </c>
    </row>
    <row r="6801">
      <c r="A6801" t="inlineStr">
        <is>
          <t>RP0006800</t>
        </is>
      </c>
      <c r="B6801" t="inlineStr">
        <is>
          <t>LN200967</t>
        </is>
      </c>
      <c r="C6801" t="n">
        <v>5</v>
      </c>
      <c r="D6801" s="8" t="n">
        <v>45954</v>
      </c>
      <c r="E6801" s="9" t="n">
        <v>7546.5</v>
      </c>
      <c r="F6801" s="8" t="n">
        <v>45957</v>
      </c>
      <c r="G6801" s="9" t="n">
        <v>7546.5</v>
      </c>
      <c r="H6801" t="inlineStr">
        <is>
          <t>PAID_ON_TIME</t>
        </is>
      </c>
      <c r="I6801">
        <f>IF(H6801="UNPAID", AsOfDate-D6801, 0)</f>
        <v/>
      </c>
      <c r="J6801">
        <f>IF(F6801&lt;&gt;"", TEXT(F6801, "yyyy-mm"), "")</f>
        <v/>
      </c>
    </row>
    <row r="6802">
      <c r="A6802" t="inlineStr">
        <is>
          <t>RP0006801</t>
        </is>
      </c>
      <c r="B6802" t="inlineStr">
        <is>
          <t>LN200967</t>
        </is>
      </c>
      <c r="C6802" t="n">
        <v>6</v>
      </c>
      <c r="D6802" s="8" t="n">
        <v>45985</v>
      </c>
      <c r="E6802" s="9" t="n">
        <v>7546.5</v>
      </c>
      <c r="F6802" s="8" t="n">
        <v>45989</v>
      </c>
      <c r="G6802" s="9" t="n">
        <v>7546.5</v>
      </c>
      <c r="H6802" t="inlineStr">
        <is>
          <t>PAID_ON_TIME</t>
        </is>
      </c>
      <c r="I6802">
        <f>IF(H6802="UNPAID", AsOfDate-D6802, 0)</f>
        <v/>
      </c>
      <c r="J6802">
        <f>IF(F6802&lt;&gt;"", TEXT(F6802, "yyyy-mm"), "")</f>
        <v/>
      </c>
    </row>
    <row r="6803">
      <c r="A6803" t="inlineStr">
        <is>
          <t>RP0006802</t>
        </is>
      </c>
      <c r="B6803" t="inlineStr">
        <is>
          <t>LN200967</t>
        </is>
      </c>
      <c r="C6803" t="n">
        <v>7</v>
      </c>
      <c r="D6803" s="8" t="n">
        <v>46015</v>
      </c>
      <c r="E6803" s="9" t="n">
        <v>7546.5</v>
      </c>
      <c r="F6803" s="8" t="n">
        <v>46016</v>
      </c>
      <c r="G6803" s="9" t="n">
        <v>7546.5</v>
      </c>
      <c r="H6803" t="inlineStr">
        <is>
          <t>PAID_ON_TIME</t>
        </is>
      </c>
      <c r="I6803">
        <f>IF(H6803="UNPAID", AsOfDate-D6803, 0)</f>
        <v/>
      </c>
      <c r="J6803">
        <f>IF(F6803&lt;&gt;"", TEXT(F6803, "yyyy-mm"), "")</f>
        <v/>
      </c>
    </row>
    <row r="6804">
      <c r="A6804" t="inlineStr">
        <is>
          <t>RP0006803</t>
        </is>
      </c>
      <c r="B6804" t="inlineStr">
        <is>
          <t>LN200967</t>
        </is>
      </c>
      <c r="C6804" t="n">
        <v>8</v>
      </c>
      <c r="D6804" s="8" t="n">
        <v>46046</v>
      </c>
      <c r="E6804" s="9" t="n">
        <v>7546.5</v>
      </c>
      <c r="F6804" s="8" t="n">
        <v>46049</v>
      </c>
      <c r="G6804" s="9" t="n">
        <v>7546.5</v>
      </c>
      <c r="H6804" t="inlineStr">
        <is>
          <t>PAID_ON_TIME</t>
        </is>
      </c>
      <c r="I6804">
        <f>IF(H6804="UNPAID", AsOfDate-D6804, 0)</f>
        <v/>
      </c>
      <c r="J6804">
        <f>IF(F6804&lt;&gt;"", TEXT(F6804, "yyyy-mm"), "")</f>
        <v/>
      </c>
    </row>
    <row r="6805">
      <c r="A6805" t="inlineStr">
        <is>
          <t>RP0006804</t>
        </is>
      </c>
      <c r="B6805" t="inlineStr">
        <is>
          <t>LN200967</t>
        </is>
      </c>
      <c r="C6805" t="n">
        <v>9</v>
      </c>
      <c r="D6805" s="8" t="n">
        <v>46077</v>
      </c>
      <c r="E6805" s="9" t="n">
        <v>7546.5</v>
      </c>
      <c r="F6805" s="8" t="n">
        <v>46078</v>
      </c>
      <c r="G6805" s="9" t="n">
        <v>7546.5</v>
      </c>
      <c r="H6805" t="inlineStr">
        <is>
          <t>PAID_ON_TIME</t>
        </is>
      </c>
      <c r="I6805">
        <f>IF(H6805="UNPAID", AsOfDate-D6805, 0)</f>
        <v/>
      </c>
      <c r="J6805">
        <f>IF(F6805&lt;&gt;"", TEXT(F6805, "yyyy-mm"), "")</f>
        <v/>
      </c>
    </row>
    <row r="6806">
      <c r="A6806" t="inlineStr">
        <is>
          <t>RP0006805</t>
        </is>
      </c>
      <c r="B6806" t="inlineStr">
        <is>
          <t>LN200967</t>
        </is>
      </c>
      <c r="C6806" t="n">
        <v>10</v>
      </c>
      <c r="D6806" s="8" t="n">
        <v>46105</v>
      </c>
      <c r="E6806" s="9" t="n">
        <v>7546.5</v>
      </c>
      <c r="F6806" s="8" t="n">
        <v>46107</v>
      </c>
      <c r="G6806" s="9" t="n">
        <v>7546.5</v>
      </c>
      <c r="H6806" t="inlineStr">
        <is>
          <t>PAID_ON_TIME</t>
        </is>
      </c>
      <c r="I6806">
        <f>IF(H6806="UNPAID", AsOfDate-D6806, 0)</f>
        <v/>
      </c>
      <c r="J6806">
        <f>IF(F6806&lt;&gt;"", TEXT(F6806, "yyyy-mm"), "")</f>
        <v/>
      </c>
    </row>
    <row r="6807">
      <c r="A6807" t="inlineStr">
        <is>
          <t>RP0006806</t>
        </is>
      </c>
      <c r="B6807" t="inlineStr">
        <is>
          <t>LN200967</t>
        </is>
      </c>
      <c r="C6807" t="n">
        <v>11</v>
      </c>
      <c r="D6807" s="8" t="n">
        <v>46136</v>
      </c>
      <c r="E6807" s="9" t="n">
        <v>7546.5</v>
      </c>
      <c r="F6807" s="8" t="n">
        <v>46223</v>
      </c>
      <c r="G6807" s="9" t="n">
        <v>7546.5</v>
      </c>
      <c r="H6807" t="inlineStr">
        <is>
          <t>PAID_LATE</t>
        </is>
      </c>
      <c r="I6807">
        <f>IF(H6807="UNPAID", AsOfDate-D6807, 0)</f>
        <v/>
      </c>
      <c r="J6807">
        <f>IF(F6807&lt;&gt;"", TEXT(F6807, "yyyy-mm"), "")</f>
        <v/>
      </c>
    </row>
    <row r="6808">
      <c r="A6808" t="inlineStr">
        <is>
          <t>RP0006807</t>
        </is>
      </c>
      <c r="B6808" t="inlineStr">
        <is>
          <t>LN200967</t>
        </is>
      </c>
      <c r="C6808" t="n">
        <v>12</v>
      </c>
      <c r="D6808" s="8" t="n">
        <v>46166</v>
      </c>
      <c r="E6808" s="9" t="n">
        <v>7546.5</v>
      </c>
      <c r="F6808" s="8" t="n">
        <v>46168</v>
      </c>
      <c r="G6808" s="9" t="n">
        <v>7546.5</v>
      </c>
      <c r="H6808" t="inlineStr">
        <is>
          <t>PAID_ON_TIME</t>
        </is>
      </c>
      <c r="I6808">
        <f>IF(H6808="UNPAID", AsOfDate-D6808, 0)</f>
        <v/>
      </c>
      <c r="J6808">
        <f>IF(F6808&lt;&gt;"", TEXT(F6808, "yyyy-mm"), "")</f>
        <v/>
      </c>
    </row>
    <row r="6809">
      <c r="A6809" t="inlineStr">
        <is>
          <t>RP0006808</t>
        </is>
      </c>
      <c r="B6809" t="inlineStr">
        <is>
          <t>LN200968</t>
        </is>
      </c>
      <c r="C6809" t="n">
        <v>1</v>
      </c>
      <c r="D6809" s="8" t="n">
        <v>46085</v>
      </c>
      <c r="E6809" s="9" t="n">
        <v>11901.39</v>
      </c>
      <c r="F6809" s="8" t="n">
        <v>46088</v>
      </c>
      <c r="G6809" s="9" t="n">
        <v>11901.39</v>
      </c>
      <c r="H6809" t="inlineStr">
        <is>
          <t>PAID_ON_TIME</t>
        </is>
      </c>
      <c r="I6809">
        <f>IF(H6809="UNPAID", AsOfDate-D6809, 0)</f>
        <v/>
      </c>
      <c r="J6809">
        <f>IF(F6809&lt;&gt;"", TEXT(F6809, "yyyy-mm"), "")</f>
        <v/>
      </c>
    </row>
    <row r="6810">
      <c r="A6810" t="inlineStr">
        <is>
          <t>RP0006809</t>
        </is>
      </c>
      <c r="B6810" t="inlineStr">
        <is>
          <t>LN200968</t>
        </is>
      </c>
      <c r="C6810" t="n">
        <v>2</v>
      </c>
      <c r="D6810" s="8" t="n">
        <v>46116</v>
      </c>
      <c r="E6810" s="9" t="n">
        <v>11901.39</v>
      </c>
      <c r="F6810" s="8" t="n">
        <v>46113</v>
      </c>
      <c r="G6810" s="9" t="n">
        <v>11901.39</v>
      </c>
      <c r="H6810" t="inlineStr">
        <is>
          <t>PAID_ON_TIME</t>
        </is>
      </c>
      <c r="I6810">
        <f>IF(H6810="UNPAID", AsOfDate-D6810, 0)</f>
        <v/>
      </c>
      <c r="J6810">
        <f>IF(F6810&lt;&gt;"", TEXT(F6810, "yyyy-mm"), "")</f>
        <v/>
      </c>
    </row>
    <row r="6811">
      <c r="A6811" t="inlineStr">
        <is>
          <t>RP0006810</t>
        </is>
      </c>
      <c r="B6811" t="inlineStr">
        <is>
          <t>LN200968</t>
        </is>
      </c>
      <c r="C6811" t="n">
        <v>3</v>
      </c>
      <c r="D6811" s="8" t="n">
        <v>46146</v>
      </c>
      <c r="E6811" s="9" t="n">
        <v>11901.39</v>
      </c>
      <c r="F6811" s="8" t="n">
        <v>46149</v>
      </c>
      <c r="G6811" s="9" t="n">
        <v>11901.39</v>
      </c>
      <c r="H6811" t="inlineStr">
        <is>
          <t>PAID_ON_TIME</t>
        </is>
      </c>
      <c r="I6811">
        <f>IF(H6811="UNPAID", AsOfDate-D6811, 0)</f>
        <v/>
      </c>
      <c r="J6811">
        <f>IF(F6811&lt;&gt;"", TEXT(F6811, "yyyy-mm"), "")</f>
        <v/>
      </c>
    </row>
    <row r="6812">
      <c r="A6812" t="inlineStr">
        <is>
          <t>RP0006811</t>
        </is>
      </c>
      <c r="B6812" t="inlineStr">
        <is>
          <t>LN200968</t>
        </is>
      </c>
      <c r="C6812" t="n">
        <v>4</v>
      </c>
      <c r="D6812" s="8" t="n">
        <v>46177</v>
      </c>
      <c r="E6812" s="9" t="n">
        <v>11901.39</v>
      </c>
      <c r="F6812" s="8" t="n">
        <v>46176</v>
      </c>
      <c r="G6812" s="9" t="n">
        <v>11901.39</v>
      </c>
      <c r="H6812" t="inlineStr">
        <is>
          <t>PAID_ON_TIME</t>
        </is>
      </c>
      <c r="I6812">
        <f>IF(H6812="UNPAID", AsOfDate-D6812, 0)</f>
        <v/>
      </c>
      <c r="J6812">
        <f>IF(F6812&lt;&gt;"", TEXT(F6812, "yyyy-mm"), "")</f>
        <v/>
      </c>
    </row>
    <row r="6813">
      <c r="A6813" t="inlineStr">
        <is>
          <t>RP0006812</t>
        </is>
      </c>
      <c r="B6813" t="inlineStr">
        <is>
          <t>LN200968</t>
        </is>
      </c>
      <c r="C6813" t="n">
        <v>5</v>
      </c>
      <c r="D6813" s="8" t="n">
        <v>46207</v>
      </c>
      <c r="E6813" s="9" t="n">
        <v>11901.39</v>
      </c>
      <c r="F6813" s="8" t="n">
        <v>46211</v>
      </c>
      <c r="G6813" s="9" t="n">
        <v>11901.39</v>
      </c>
      <c r="H6813" t="inlineStr">
        <is>
          <t>PAID_ON_TIME</t>
        </is>
      </c>
      <c r="I6813">
        <f>IF(H6813="UNPAID", AsOfDate-D6813, 0)</f>
        <v/>
      </c>
      <c r="J6813">
        <f>IF(F6813&lt;&gt;"", TEXT(F6813, "yyyy-mm"), "")</f>
        <v/>
      </c>
    </row>
    <row r="6814">
      <c r="A6814" t="inlineStr">
        <is>
          <t>RP0006813</t>
        </is>
      </c>
      <c r="B6814" t="inlineStr">
        <is>
          <t>LN200968</t>
        </is>
      </c>
      <c r="C6814" t="n">
        <v>6</v>
      </c>
      <c r="D6814" s="8" t="n">
        <v>46238</v>
      </c>
      <c r="E6814" s="9" t="n">
        <v>11901.39</v>
      </c>
      <c r="F6814" s="8" t="n">
        <v>46240</v>
      </c>
      <c r="G6814" s="9" t="n">
        <v>11901.39</v>
      </c>
      <c r="H6814" t="inlineStr">
        <is>
          <t>PAID_ON_TIME</t>
        </is>
      </c>
      <c r="I6814">
        <f>IF(H6814="UNPAID", AsOfDate-D6814, 0)</f>
        <v/>
      </c>
      <c r="J6814">
        <f>IF(F6814&lt;&gt;"", TEXT(F6814, "yyyy-mm"), "")</f>
        <v/>
      </c>
    </row>
    <row r="6815">
      <c r="A6815" t="inlineStr">
        <is>
          <t>RP0006814</t>
        </is>
      </c>
      <c r="B6815" t="inlineStr">
        <is>
          <t>LN200968</t>
        </is>
      </c>
      <c r="C6815" t="n">
        <v>7</v>
      </c>
      <c r="D6815" s="8" t="n">
        <v>46269</v>
      </c>
      <c r="E6815" s="9" t="n">
        <v>11901.39</v>
      </c>
      <c r="F6815" s="8" t="n"/>
      <c r="G6815" s="9" t="n">
        <v>0</v>
      </c>
      <c r="H6815" t="inlineStr">
        <is>
          <t>NOT_DUE</t>
        </is>
      </c>
      <c r="I6815">
        <f>IF(H6815="UNPAID", AsOfDate-D6815, 0)</f>
        <v/>
      </c>
      <c r="J6815">
        <f>IF(F6815&lt;&gt;"", TEXT(F6815, "yyyy-mm"), "")</f>
        <v/>
      </c>
    </row>
    <row r="6816">
      <c r="A6816" t="inlineStr">
        <is>
          <t>RP0006815</t>
        </is>
      </c>
      <c r="B6816" t="inlineStr">
        <is>
          <t>LN200968</t>
        </is>
      </c>
      <c r="C6816" t="n">
        <v>8</v>
      </c>
      <c r="D6816" s="8" t="n">
        <v>46299</v>
      </c>
      <c r="E6816" s="9" t="n">
        <v>11901.39</v>
      </c>
      <c r="F6816" s="8" t="n"/>
      <c r="G6816" s="9" t="n">
        <v>0</v>
      </c>
      <c r="H6816" t="inlineStr">
        <is>
          <t>NOT_DUE</t>
        </is>
      </c>
      <c r="I6816">
        <f>IF(H6816="UNPAID", AsOfDate-D6816, 0)</f>
        <v/>
      </c>
      <c r="J6816">
        <f>IF(F6816&lt;&gt;"", TEXT(F6816, "yyyy-mm"), "")</f>
        <v/>
      </c>
    </row>
    <row r="6817">
      <c r="A6817" t="inlineStr">
        <is>
          <t>RP0006816</t>
        </is>
      </c>
      <c r="B6817" t="inlineStr">
        <is>
          <t>LN200968</t>
        </is>
      </c>
      <c r="C6817" t="n">
        <v>9</v>
      </c>
      <c r="D6817" s="8" t="n">
        <v>46330</v>
      </c>
      <c r="E6817" s="9" t="n">
        <v>11901.39</v>
      </c>
      <c r="F6817" s="8" t="n"/>
      <c r="G6817" s="9" t="n">
        <v>0</v>
      </c>
      <c r="H6817" t="inlineStr">
        <is>
          <t>NOT_DUE</t>
        </is>
      </c>
      <c r="I6817">
        <f>IF(H6817="UNPAID", AsOfDate-D6817, 0)</f>
        <v/>
      </c>
      <c r="J6817">
        <f>IF(F6817&lt;&gt;"", TEXT(F6817, "yyyy-mm"), "")</f>
        <v/>
      </c>
    </row>
    <row r="6818">
      <c r="A6818" t="inlineStr">
        <is>
          <t>RP0006817</t>
        </is>
      </c>
      <c r="B6818" t="inlineStr">
        <is>
          <t>LN200969</t>
        </is>
      </c>
      <c r="C6818" t="n">
        <v>1</v>
      </c>
      <c r="D6818" s="8" t="n">
        <v>46247</v>
      </c>
      <c r="E6818" s="9" t="n">
        <v>10908.83</v>
      </c>
      <c r="F6818" s="8" t="n">
        <v>46245</v>
      </c>
      <c r="G6818" s="9" t="n">
        <v>10908.83</v>
      </c>
      <c r="H6818" t="inlineStr">
        <is>
          <t>PAID_ON_TIME</t>
        </is>
      </c>
      <c r="I6818">
        <f>IF(H6818="UNPAID", AsOfDate-D6818, 0)</f>
        <v/>
      </c>
      <c r="J6818">
        <f>IF(F6818&lt;&gt;"", TEXT(F6818, "yyyy-mm"), "")</f>
        <v/>
      </c>
    </row>
    <row r="6819">
      <c r="A6819" t="inlineStr">
        <is>
          <t>RP0006818</t>
        </is>
      </c>
      <c r="B6819" t="inlineStr">
        <is>
          <t>LN200969</t>
        </is>
      </c>
      <c r="C6819" t="n">
        <v>2</v>
      </c>
      <c r="D6819" s="8" t="n">
        <v>46278</v>
      </c>
      <c r="E6819" s="9" t="n">
        <v>10908.83</v>
      </c>
      <c r="F6819" s="8" t="n"/>
      <c r="G6819" s="9" t="n">
        <v>0</v>
      </c>
      <c r="H6819" t="inlineStr">
        <is>
          <t>NOT_DUE</t>
        </is>
      </c>
      <c r="I6819">
        <f>IF(H6819="UNPAID", AsOfDate-D6819, 0)</f>
        <v/>
      </c>
      <c r="J6819">
        <f>IF(F6819&lt;&gt;"", TEXT(F6819, "yyyy-mm"), "")</f>
        <v/>
      </c>
    </row>
    <row r="6820">
      <c r="A6820" t="inlineStr">
        <is>
          <t>RP0006819</t>
        </is>
      </c>
      <c r="B6820" t="inlineStr">
        <is>
          <t>LN200969</t>
        </is>
      </c>
      <c r="C6820" t="n">
        <v>3</v>
      </c>
      <c r="D6820" s="8" t="n">
        <v>46308</v>
      </c>
      <c r="E6820" s="9" t="n">
        <v>10908.83</v>
      </c>
      <c r="F6820" s="8" t="n"/>
      <c r="G6820" s="9" t="n">
        <v>0</v>
      </c>
      <c r="H6820" t="inlineStr">
        <is>
          <t>NOT_DUE</t>
        </is>
      </c>
      <c r="I6820">
        <f>IF(H6820="UNPAID", AsOfDate-D6820, 0)</f>
        <v/>
      </c>
      <c r="J6820">
        <f>IF(F6820&lt;&gt;"", TEXT(F6820, "yyyy-mm"), "")</f>
        <v/>
      </c>
    </row>
    <row r="6821">
      <c r="A6821" t="inlineStr">
        <is>
          <t>RP0006820</t>
        </is>
      </c>
      <c r="B6821" t="inlineStr">
        <is>
          <t>LN200969</t>
        </is>
      </c>
      <c r="C6821" t="n">
        <v>4</v>
      </c>
      <c r="D6821" s="8" t="n">
        <v>46339</v>
      </c>
      <c r="E6821" s="9" t="n">
        <v>10908.83</v>
      </c>
      <c r="F6821" s="8" t="n"/>
      <c r="G6821" s="9" t="n">
        <v>0</v>
      </c>
      <c r="H6821" t="inlineStr">
        <is>
          <t>NOT_DUE</t>
        </is>
      </c>
      <c r="I6821">
        <f>IF(H6821="UNPAID", AsOfDate-D6821, 0)</f>
        <v/>
      </c>
      <c r="J6821">
        <f>IF(F6821&lt;&gt;"", TEXT(F6821, "yyyy-mm"), "")</f>
        <v/>
      </c>
    </row>
    <row r="6822">
      <c r="A6822" t="inlineStr">
        <is>
          <t>RP0006821</t>
        </is>
      </c>
      <c r="B6822" t="inlineStr">
        <is>
          <t>LN200969</t>
        </is>
      </c>
      <c r="C6822" t="n">
        <v>5</v>
      </c>
      <c r="D6822" s="8" t="n">
        <v>46369</v>
      </c>
      <c r="E6822" s="9" t="n">
        <v>10908.83</v>
      </c>
      <c r="F6822" s="8" t="n"/>
      <c r="G6822" s="9" t="n">
        <v>0</v>
      </c>
      <c r="H6822" t="inlineStr">
        <is>
          <t>NOT_DUE</t>
        </is>
      </c>
      <c r="I6822">
        <f>IF(H6822="UNPAID", AsOfDate-D6822, 0)</f>
        <v/>
      </c>
      <c r="J6822">
        <f>IF(F6822&lt;&gt;"", TEXT(F6822, "yyyy-mm"), "")</f>
        <v/>
      </c>
    </row>
    <row r="6823">
      <c r="A6823" t="inlineStr">
        <is>
          <t>RP0006822</t>
        </is>
      </c>
      <c r="B6823" t="inlineStr">
        <is>
          <t>LN200969</t>
        </is>
      </c>
      <c r="C6823" t="n">
        <v>6</v>
      </c>
      <c r="D6823" s="8" t="n">
        <v>46400</v>
      </c>
      <c r="E6823" s="9" t="n">
        <v>10908.83</v>
      </c>
      <c r="F6823" s="8" t="n"/>
      <c r="G6823" s="9" t="n">
        <v>0</v>
      </c>
      <c r="H6823" t="inlineStr">
        <is>
          <t>NOT_DUE</t>
        </is>
      </c>
      <c r="I6823">
        <f>IF(H6823="UNPAID", AsOfDate-D6823, 0)</f>
        <v/>
      </c>
      <c r="J6823">
        <f>IF(F6823&lt;&gt;"", TEXT(F6823, "yyyy-mm"), "")</f>
        <v/>
      </c>
    </row>
    <row r="6824">
      <c r="A6824" t="inlineStr">
        <is>
          <t>RP0006823</t>
        </is>
      </c>
      <c r="B6824" t="inlineStr">
        <is>
          <t>LN200970</t>
        </is>
      </c>
      <c r="C6824" t="n">
        <v>1</v>
      </c>
      <c r="D6824" s="8" t="n">
        <v>45715</v>
      </c>
      <c r="E6824" s="9" t="n">
        <v>13358.22</v>
      </c>
      <c r="F6824" s="8" t="n">
        <v>45717</v>
      </c>
      <c r="G6824" s="9" t="n">
        <v>13358.22</v>
      </c>
      <c r="H6824" t="inlineStr">
        <is>
          <t>PAID_ON_TIME</t>
        </is>
      </c>
      <c r="I6824">
        <f>IF(H6824="UNPAID", AsOfDate-D6824, 0)</f>
        <v/>
      </c>
      <c r="J6824">
        <f>IF(F6824&lt;&gt;"", TEXT(F6824, "yyyy-mm"), "")</f>
        <v/>
      </c>
    </row>
    <row r="6825">
      <c r="A6825" t="inlineStr">
        <is>
          <t>RP0006824</t>
        </is>
      </c>
      <c r="B6825" t="inlineStr">
        <is>
          <t>LN200970</t>
        </is>
      </c>
      <c r="C6825" t="n">
        <v>2</v>
      </c>
      <c r="D6825" s="8" t="n">
        <v>45743</v>
      </c>
      <c r="E6825" s="9" t="n">
        <v>13358.22</v>
      </c>
      <c r="F6825" s="8" t="n">
        <v>45747</v>
      </c>
      <c r="G6825" s="9" t="n">
        <v>13358.22</v>
      </c>
      <c r="H6825" t="inlineStr">
        <is>
          <t>PAID_ON_TIME</t>
        </is>
      </c>
      <c r="I6825">
        <f>IF(H6825="UNPAID", AsOfDate-D6825, 0)</f>
        <v/>
      </c>
      <c r="J6825">
        <f>IF(F6825&lt;&gt;"", TEXT(F6825, "yyyy-mm"), "")</f>
        <v/>
      </c>
    </row>
    <row r="6826">
      <c r="A6826" t="inlineStr">
        <is>
          <t>RP0006825</t>
        </is>
      </c>
      <c r="B6826" t="inlineStr">
        <is>
          <t>LN200970</t>
        </is>
      </c>
      <c r="C6826" t="n">
        <v>3</v>
      </c>
      <c r="D6826" s="8" t="n">
        <v>45774</v>
      </c>
      <c r="E6826" s="9" t="n">
        <v>13358.22</v>
      </c>
      <c r="F6826" s="8" t="n">
        <v>45774</v>
      </c>
      <c r="G6826" s="9" t="n">
        <v>13358.22</v>
      </c>
      <c r="H6826" t="inlineStr">
        <is>
          <t>PAID_ON_TIME</t>
        </is>
      </c>
      <c r="I6826">
        <f>IF(H6826="UNPAID", AsOfDate-D6826, 0)</f>
        <v/>
      </c>
      <c r="J6826">
        <f>IF(F6826&lt;&gt;"", TEXT(F6826, "yyyy-mm"), "")</f>
        <v/>
      </c>
    </row>
    <row r="6827">
      <c r="A6827" t="inlineStr">
        <is>
          <t>RP0006826</t>
        </is>
      </c>
      <c r="B6827" t="inlineStr">
        <is>
          <t>LN200970</t>
        </is>
      </c>
      <c r="C6827" t="n">
        <v>4</v>
      </c>
      <c r="D6827" s="8" t="n">
        <v>45804</v>
      </c>
      <c r="E6827" s="9" t="n">
        <v>13358.22</v>
      </c>
      <c r="F6827" s="8" t="n">
        <v>45805</v>
      </c>
      <c r="G6827" s="9" t="n">
        <v>13358.22</v>
      </c>
      <c r="H6827" t="inlineStr">
        <is>
          <t>PAID_ON_TIME</t>
        </is>
      </c>
      <c r="I6827">
        <f>IF(H6827="UNPAID", AsOfDate-D6827, 0)</f>
        <v/>
      </c>
      <c r="J6827">
        <f>IF(F6827&lt;&gt;"", TEXT(F6827, "yyyy-mm"), "")</f>
        <v/>
      </c>
    </row>
    <row r="6828">
      <c r="A6828" t="inlineStr">
        <is>
          <t>RP0006827</t>
        </is>
      </c>
      <c r="B6828" t="inlineStr">
        <is>
          <t>LN200970</t>
        </is>
      </c>
      <c r="C6828" t="n">
        <v>5</v>
      </c>
      <c r="D6828" s="8" t="n">
        <v>45835</v>
      </c>
      <c r="E6828" s="9" t="n">
        <v>13358.22</v>
      </c>
      <c r="F6828" s="8" t="n">
        <v>45839</v>
      </c>
      <c r="G6828" s="9" t="n">
        <v>13358.22</v>
      </c>
      <c r="H6828" t="inlineStr">
        <is>
          <t>PAID_ON_TIME</t>
        </is>
      </c>
      <c r="I6828">
        <f>IF(H6828="UNPAID", AsOfDate-D6828, 0)</f>
        <v/>
      </c>
      <c r="J6828">
        <f>IF(F6828&lt;&gt;"", TEXT(F6828, "yyyy-mm"), "")</f>
        <v/>
      </c>
    </row>
    <row r="6829">
      <c r="A6829" t="inlineStr">
        <is>
          <t>RP0006828</t>
        </is>
      </c>
      <c r="B6829" t="inlineStr">
        <is>
          <t>LN200970</t>
        </is>
      </c>
      <c r="C6829" t="n">
        <v>6</v>
      </c>
      <c r="D6829" s="8" t="n">
        <v>45865</v>
      </c>
      <c r="E6829" s="9" t="n">
        <v>13358.22</v>
      </c>
      <c r="F6829" s="8" t="n">
        <v>45869</v>
      </c>
      <c r="G6829" s="9" t="n">
        <v>13358.22</v>
      </c>
      <c r="H6829" t="inlineStr">
        <is>
          <t>PAID_ON_TIME</t>
        </is>
      </c>
      <c r="I6829">
        <f>IF(H6829="UNPAID", AsOfDate-D6829, 0)</f>
        <v/>
      </c>
      <c r="J6829">
        <f>IF(F6829&lt;&gt;"", TEXT(F6829, "yyyy-mm"), "")</f>
        <v/>
      </c>
    </row>
    <row r="6830">
      <c r="A6830" t="inlineStr">
        <is>
          <t>RP0006829</t>
        </is>
      </c>
      <c r="B6830" t="inlineStr">
        <is>
          <t>LN200970</t>
        </is>
      </c>
      <c r="C6830" t="n">
        <v>7</v>
      </c>
      <c r="D6830" s="8" t="n">
        <v>45896</v>
      </c>
      <c r="E6830" s="9" t="n">
        <v>13358.22</v>
      </c>
      <c r="F6830" s="8" t="n">
        <v>45897</v>
      </c>
      <c r="G6830" s="9" t="n">
        <v>13358.22</v>
      </c>
      <c r="H6830" t="inlineStr">
        <is>
          <t>PAID_ON_TIME</t>
        </is>
      </c>
      <c r="I6830">
        <f>IF(H6830="UNPAID", AsOfDate-D6830, 0)</f>
        <v/>
      </c>
      <c r="J6830">
        <f>IF(F6830&lt;&gt;"", TEXT(F6830, "yyyy-mm"), "")</f>
        <v/>
      </c>
    </row>
    <row r="6831">
      <c r="A6831" t="inlineStr">
        <is>
          <t>RP0006830</t>
        </is>
      </c>
      <c r="B6831" t="inlineStr">
        <is>
          <t>LN200970</t>
        </is>
      </c>
      <c r="C6831" t="n">
        <v>8</v>
      </c>
      <c r="D6831" s="8" t="n">
        <v>45927</v>
      </c>
      <c r="E6831" s="9" t="n">
        <v>13358.22</v>
      </c>
      <c r="F6831" s="8" t="n">
        <v>45926</v>
      </c>
      <c r="G6831" s="9" t="n">
        <v>13358.22</v>
      </c>
      <c r="H6831" t="inlineStr">
        <is>
          <t>PAID_ON_TIME</t>
        </is>
      </c>
      <c r="I6831">
        <f>IF(H6831="UNPAID", AsOfDate-D6831, 0)</f>
        <v/>
      </c>
      <c r="J6831">
        <f>IF(F6831&lt;&gt;"", TEXT(F6831, "yyyy-mm"), "")</f>
        <v/>
      </c>
    </row>
    <row r="6832">
      <c r="A6832" t="inlineStr">
        <is>
          <t>RP0006831</t>
        </is>
      </c>
      <c r="B6832" t="inlineStr">
        <is>
          <t>LN200970</t>
        </is>
      </c>
      <c r="C6832" t="n">
        <v>9</v>
      </c>
      <c r="D6832" s="8" t="n">
        <v>45957</v>
      </c>
      <c r="E6832" s="9" t="n">
        <v>13358.22</v>
      </c>
      <c r="F6832" s="8" t="n">
        <v>45956</v>
      </c>
      <c r="G6832" s="9" t="n">
        <v>13358.22</v>
      </c>
      <c r="H6832" t="inlineStr">
        <is>
          <t>PAID_ON_TIME</t>
        </is>
      </c>
      <c r="I6832">
        <f>IF(H6832="UNPAID", AsOfDate-D6832, 0)</f>
        <v/>
      </c>
      <c r="J6832">
        <f>IF(F6832&lt;&gt;"", TEXT(F6832, "yyyy-mm"), "")</f>
        <v/>
      </c>
    </row>
    <row r="6833">
      <c r="A6833" t="inlineStr">
        <is>
          <t>RP0006832</t>
        </is>
      </c>
      <c r="B6833" t="inlineStr">
        <is>
          <t>LN200971</t>
        </is>
      </c>
      <c r="C6833" t="n">
        <v>1</v>
      </c>
      <c r="D6833" s="8" t="n">
        <v>45868</v>
      </c>
      <c r="E6833" s="9" t="n">
        <v>6948.5</v>
      </c>
      <c r="F6833" s="8" t="n">
        <v>45871</v>
      </c>
      <c r="G6833" s="9" t="n">
        <v>6948.5</v>
      </c>
      <c r="H6833" t="inlineStr">
        <is>
          <t>PAID_ON_TIME</t>
        </is>
      </c>
      <c r="I6833">
        <f>IF(H6833="UNPAID", AsOfDate-D6833, 0)</f>
        <v/>
      </c>
      <c r="J6833">
        <f>IF(F6833&lt;&gt;"", TEXT(F6833, "yyyy-mm"), "")</f>
        <v/>
      </c>
    </row>
    <row r="6834">
      <c r="A6834" t="inlineStr">
        <is>
          <t>RP0006833</t>
        </is>
      </c>
      <c r="B6834" t="inlineStr">
        <is>
          <t>LN200971</t>
        </is>
      </c>
      <c r="C6834" t="n">
        <v>2</v>
      </c>
      <c r="D6834" s="8" t="n">
        <v>45899</v>
      </c>
      <c r="E6834" s="9" t="n">
        <v>6948.5</v>
      </c>
      <c r="F6834" s="8" t="n">
        <v>45903</v>
      </c>
      <c r="G6834" s="9" t="n">
        <v>6948.5</v>
      </c>
      <c r="H6834" t="inlineStr">
        <is>
          <t>PAID_ON_TIME</t>
        </is>
      </c>
      <c r="I6834">
        <f>IF(H6834="UNPAID", AsOfDate-D6834, 0)</f>
        <v/>
      </c>
      <c r="J6834">
        <f>IF(F6834&lt;&gt;"", TEXT(F6834, "yyyy-mm"), "")</f>
        <v/>
      </c>
    </row>
    <row r="6835">
      <c r="A6835" t="inlineStr">
        <is>
          <t>RP0006834</t>
        </is>
      </c>
      <c r="B6835" t="inlineStr">
        <is>
          <t>LN200971</t>
        </is>
      </c>
      <c r="C6835" t="n">
        <v>3</v>
      </c>
      <c r="D6835" s="8" t="n">
        <v>45930</v>
      </c>
      <c r="E6835" s="9" t="n">
        <v>6948.5</v>
      </c>
      <c r="F6835" s="8" t="n">
        <v>45931</v>
      </c>
      <c r="G6835" s="9" t="n">
        <v>6948.5</v>
      </c>
      <c r="H6835" t="inlineStr">
        <is>
          <t>PAID_ON_TIME</t>
        </is>
      </c>
      <c r="I6835">
        <f>IF(H6835="UNPAID", AsOfDate-D6835, 0)</f>
        <v/>
      </c>
      <c r="J6835">
        <f>IF(F6835&lt;&gt;"", TEXT(F6835, "yyyy-mm"), "")</f>
        <v/>
      </c>
    </row>
    <row r="6836">
      <c r="A6836" t="inlineStr">
        <is>
          <t>RP0006835</t>
        </is>
      </c>
      <c r="B6836" t="inlineStr">
        <is>
          <t>LN200971</t>
        </is>
      </c>
      <c r="C6836" t="n">
        <v>4</v>
      </c>
      <c r="D6836" s="8" t="n">
        <v>45960</v>
      </c>
      <c r="E6836" s="9" t="n">
        <v>6948.5</v>
      </c>
      <c r="F6836" s="8" t="n">
        <v>45959</v>
      </c>
      <c r="G6836" s="9" t="n">
        <v>6948.5</v>
      </c>
      <c r="H6836" t="inlineStr">
        <is>
          <t>PAID_ON_TIME</t>
        </is>
      </c>
      <c r="I6836">
        <f>IF(H6836="UNPAID", AsOfDate-D6836, 0)</f>
        <v/>
      </c>
      <c r="J6836">
        <f>IF(F6836&lt;&gt;"", TEXT(F6836, "yyyy-mm"), "")</f>
        <v/>
      </c>
    </row>
    <row r="6837">
      <c r="A6837" t="inlineStr">
        <is>
          <t>RP0006836</t>
        </is>
      </c>
      <c r="B6837" t="inlineStr">
        <is>
          <t>LN200971</t>
        </is>
      </c>
      <c r="C6837" t="n">
        <v>5</v>
      </c>
      <c r="D6837" s="8" t="n">
        <v>45991</v>
      </c>
      <c r="E6837" s="9" t="n">
        <v>6948.5</v>
      </c>
      <c r="F6837" s="8" t="n">
        <v>46023</v>
      </c>
      <c r="G6837" s="9" t="n">
        <v>6948.5</v>
      </c>
      <c r="H6837" t="inlineStr">
        <is>
          <t>PAID_LATE</t>
        </is>
      </c>
      <c r="I6837">
        <f>IF(H6837="UNPAID", AsOfDate-D6837, 0)</f>
        <v/>
      </c>
      <c r="J6837">
        <f>IF(F6837&lt;&gt;"", TEXT(F6837, "yyyy-mm"), "")</f>
        <v/>
      </c>
    </row>
    <row r="6838">
      <c r="A6838" t="inlineStr">
        <is>
          <t>RP0006837</t>
        </is>
      </c>
      <c r="B6838" t="inlineStr">
        <is>
          <t>LN200971</t>
        </is>
      </c>
      <c r="C6838" t="n">
        <v>6</v>
      </c>
      <c r="D6838" s="8" t="n">
        <v>46021</v>
      </c>
      <c r="E6838" s="9" t="n">
        <v>6948.5</v>
      </c>
      <c r="F6838" s="8" t="n">
        <v>46018</v>
      </c>
      <c r="G6838" s="9" t="n">
        <v>6948.5</v>
      </c>
      <c r="H6838" t="inlineStr">
        <is>
          <t>PAID_ON_TIME</t>
        </is>
      </c>
      <c r="I6838">
        <f>IF(H6838="UNPAID", AsOfDate-D6838, 0)</f>
        <v/>
      </c>
      <c r="J6838">
        <f>IF(F6838&lt;&gt;"", TEXT(F6838, "yyyy-mm"), "")</f>
        <v/>
      </c>
    </row>
    <row r="6839">
      <c r="A6839" t="inlineStr">
        <is>
          <t>RP0006838</t>
        </is>
      </c>
      <c r="B6839" t="inlineStr">
        <is>
          <t>LN200972</t>
        </is>
      </c>
      <c r="C6839" t="n">
        <v>1</v>
      </c>
      <c r="D6839" s="8" t="n">
        <v>46175</v>
      </c>
      <c r="E6839" s="9" t="n">
        <v>14414.92</v>
      </c>
      <c r="F6839" s="8" t="n">
        <v>46177</v>
      </c>
      <c r="G6839" s="9" t="n">
        <v>14414.92</v>
      </c>
      <c r="H6839" t="inlineStr">
        <is>
          <t>PAID_ON_TIME</t>
        </is>
      </c>
      <c r="I6839">
        <f>IF(H6839="UNPAID", AsOfDate-D6839, 0)</f>
        <v/>
      </c>
      <c r="J6839">
        <f>IF(F6839&lt;&gt;"", TEXT(F6839, "yyyy-mm"), "")</f>
        <v/>
      </c>
    </row>
    <row r="6840">
      <c r="A6840" t="inlineStr">
        <is>
          <t>RP0006839</t>
        </is>
      </c>
      <c r="B6840" t="inlineStr">
        <is>
          <t>LN200972</t>
        </is>
      </c>
      <c r="C6840" t="n">
        <v>2</v>
      </c>
      <c r="D6840" s="8" t="n">
        <v>46205</v>
      </c>
      <c r="E6840" s="9" t="n">
        <v>14414.92</v>
      </c>
      <c r="F6840" s="8" t="n">
        <v>46203</v>
      </c>
      <c r="G6840" s="9" t="n">
        <v>14414.92</v>
      </c>
      <c r="H6840" t="inlineStr">
        <is>
          <t>PAID_ON_TIME</t>
        </is>
      </c>
      <c r="I6840">
        <f>IF(H6840="UNPAID", AsOfDate-D6840, 0)</f>
        <v/>
      </c>
      <c r="J6840">
        <f>IF(F6840&lt;&gt;"", TEXT(F6840, "yyyy-mm"), "")</f>
        <v/>
      </c>
    </row>
    <row r="6841">
      <c r="A6841" t="inlineStr">
        <is>
          <t>RP0006840</t>
        </is>
      </c>
      <c r="B6841" t="inlineStr">
        <is>
          <t>LN200972</t>
        </is>
      </c>
      <c r="C6841" t="n">
        <v>3</v>
      </c>
      <c r="D6841" s="8" t="n">
        <v>46236</v>
      </c>
      <c r="E6841" s="9" t="n">
        <v>14414.92</v>
      </c>
      <c r="F6841" s="8" t="n">
        <v>46235</v>
      </c>
      <c r="G6841" s="9" t="n">
        <v>14414.92</v>
      </c>
      <c r="H6841" t="inlineStr">
        <is>
          <t>PAID_ON_TIME</t>
        </is>
      </c>
      <c r="I6841">
        <f>IF(H6841="UNPAID", AsOfDate-D6841, 0)</f>
        <v/>
      </c>
      <c r="J6841">
        <f>IF(F6841&lt;&gt;"", TEXT(F6841, "yyyy-mm"), "")</f>
        <v/>
      </c>
    </row>
    <row r="6842">
      <c r="A6842" t="inlineStr">
        <is>
          <t>RP0006841</t>
        </is>
      </c>
      <c r="B6842" t="inlineStr">
        <is>
          <t>LN200973</t>
        </is>
      </c>
      <c r="C6842" t="n">
        <v>1</v>
      </c>
      <c r="D6842" s="8" t="n">
        <v>45765</v>
      </c>
      <c r="E6842" s="9" t="n">
        <v>7429.11</v>
      </c>
      <c r="F6842" s="8" t="n">
        <v>45805</v>
      </c>
      <c r="G6842" s="9" t="n">
        <v>7429.11</v>
      </c>
      <c r="H6842" t="inlineStr">
        <is>
          <t>PAID_LATE</t>
        </is>
      </c>
      <c r="I6842">
        <f>IF(H6842="UNPAID", AsOfDate-D6842, 0)</f>
        <v/>
      </c>
      <c r="J6842">
        <f>IF(F6842&lt;&gt;"", TEXT(F6842, "yyyy-mm"), "")</f>
        <v/>
      </c>
    </row>
    <row r="6843">
      <c r="A6843" t="inlineStr">
        <is>
          <t>RP0006842</t>
        </is>
      </c>
      <c r="B6843" t="inlineStr">
        <is>
          <t>LN200973</t>
        </is>
      </c>
      <c r="C6843" t="n">
        <v>2</v>
      </c>
      <c r="D6843" s="8" t="n">
        <v>45795</v>
      </c>
      <c r="E6843" s="9" t="n">
        <v>7429.11</v>
      </c>
      <c r="F6843" s="8" t="n">
        <v>45799</v>
      </c>
      <c r="G6843" s="9" t="n">
        <v>7429.11</v>
      </c>
      <c r="H6843" t="inlineStr">
        <is>
          <t>PAID_ON_TIME</t>
        </is>
      </c>
      <c r="I6843">
        <f>IF(H6843="UNPAID", AsOfDate-D6843, 0)</f>
        <v/>
      </c>
      <c r="J6843">
        <f>IF(F6843&lt;&gt;"", TEXT(F6843, "yyyy-mm"), "")</f>
        <v/>
      </c>
    </row>
    <row r="6844">
      <c r="A6844" t="inlineStr">
        <is>
          <t>RP0006843</t>
        </is>
      </c>
      <c r="B6844" t="inlineStr">
        <is>
          <t>LN200973</t>
        </is>
      </c>
      <c r="C6844" t="n">
        <v>3</v>
      </c>
      <c r="D6844" s="8" t="n">
        <v>45826</v>
      </c>
      <c r="E6844" s="9" t="n">
        <v>7429.11</v>
      </c>
      <c r="F6844" s="8" t="n">
        <v>45825</v>
      </c>
      <c r="G6844" s="9" t="n">
        <v>7429.11</v>
      </c>
      <c r="H6844" t="inlineStr">
        <is>
          <t>PAID_ON_TIME</t>
        </is>
      </c>
      <c r="I6844">
        <f>IF(H6844="UNPAID", AsOfDate-D6844, 0)</f>
        <v/>
      </c>
      <c r="J6844">
        <f>IF(F6844&lt;&gt;"", TEXT(F6844, "yyyy-mm"), "")</f>
        <v/>
      </c>
    </row>
    <row r="6845">
      <c r="A6845" t="inlineStr">
        <is>
          <t>RP0006844</t>
        </is>
      </c>
      <c r="B6845" t="inlineStr">
        <is>
          <t>LN200973</t>
        </is>
      </c>
      <c r="C6845" t="n">
        <v>4</v>
      </c>
      <c r="D6845" s="8" t="n">
        <v>45856</v>
      </c>
      <c r="E6845" s="9" t="n">
        <v>7429.11</v>
      </c>
      <c r="F6845" s="8" t="n">
        <v>45854</v>
      </c>
      <c r="G6845" s="9" t="n">
        <v>7429.11</v>
      </c>
      <c r="H6845" t="inlineStr">
        <is>
          <t>PAID_ON_TIME</t>
        </is>
      </c>
      <c r="I6845">
        <f>IF(H6845="UNPAID", AsOfDate-D6845, 0)</f>
        <v/>
      </c>
      <c r="J6845">
        <f>IF(F6845&lt;&gt;"", TEXT(F6845, "yyyy-mm"), "")</f>
        <v/>
      </c>
    </row>
    <row r="6846">
      <c r="A6846" t="inlineStr">
        <is>
          <t>RP0006845</t>
        </is>
      </c>
      <c r="B6846" t="inlineStr">
        <is>
          <t>LN200973</t>
        </is>
      </c>
      <c r="C6846" t="n">
        <v>5</v>
      </c>
      <c r="D6846" s="8" t="n">
        <v>45887</v>
      </c>
      <c r="E6846" s="9" t="n">
        <v>7429.11</v>
      </c>
      <c r="F6846" s="8" t="n">
        <v>45885</v>
      </c>
      <c r="G6846" s="9" t="n">
        <v>7429.11</v>
      </c>
      <c r="H6846" t="inlineStr">
        <is>
          <t>PAID_ON_TIME</t>
        </is>
      </c>
      <c r="I6846">
        <f>IF(H6846="UNPAID", AsOfDate-D6846, 0)</f>
        <v/>
      </c>
      <c r="J6846">
        <f>IF(F6846&lt;&gt;"", TEXT(F6846, "yyyy-mm"), "")</f>
        <v/>
      </c>
    </row>
    <row r="6847">
      <c r="A6847" t="inlineStr">
        <is>
          <t>RP0006846</t>
        </is>
      </c>
      <c r="B6847" t="inlineStr">
        <is>
          <t>LN200973</t>
        </is>
      </c>
      <c r="C6847" t="n">
        <v>6</v>
      </c>
      <c r="D6847" s="8" t="n">
        <v>45918</v>
      </c>
      <c r="E6847" s="9" t="n">
        <v>7429.11</v>
      </c>
      <c r="F6847" s="8" t="n">
        <v>45921</v>
      </c>
      <c r="G6847" s="9" t="n">
        <v>7429.11</v>
      </c>
      <c r="H6847" t="inlineStr">
        <is>
          <t>PAID_ON_TIME</t>
        </is>
      </c>
      <c r="I6847">
        <f>IF(H6847="UNPAID", AsOfDate-D6847, 0)</f>
        <v/>
      </c>
      <c r="J6847">
        <f>IF(F6847&lt;&gt;"", TEXT(F6847, "yyyy-mm"), "")</f>
        <v/>
      </c>
    </row>
    <row r="6848">
      <c r="A6848" t="inlineStr">
        <is>
          <t>RP0006847</t>
        </is>
      </c>
      <c r="B6848" t="inlineStr">
        <is>
          <t>LN200973</t>
        </is>
      </c>
      <c r="C6848" t="n">
        <v>7</v>
      </c>
      <c r="D6848" s="8" t="n">
        <v>45948</v>
      </c>
      <c r="E6848" s="9" t="n">
        <v>7429.11</v>
      </c>
      <c r="F6848" s="8" t="n">
        <v>45950</v>
      </c>
      <c r="G6848" s="9" t="n">
        <v>7429.11</v>
      </c>
      <c r="H6848" t="inlineStr">
        <is>
          <t>PAID_ON_TIME</t>
        </is>
      </c>
      <c r="I6848">
        <f>IF(H6848="UNPAID", AsOfDate-D6848, 0)</f>
        <v/>
      </c>
      <c r="J6848">
        <f>IF(F6848&lt;&gt;"", TEXT(F6848, "yyyy-mm"), "")</f>
        <v/>
      </c>
    </row>
    <row r="6849">
      <c r="A6849" t="inlineStr">
        <is>
          <t>RP0006848</t>
        </is>
      </c>
      <c r="B6849" t="inlineStr">
        <is>
          <t>LN200973</t>
        </is>
      </c>
      <c r="C6849" t="n">
        <v>8</v>
      </c>
      <c r="D6849" s="8" t="n">
        <v>45979</v>
      </c>
      <c r="E6849" s="9" t="n">
        <v>7429.11</v>
      </c>
      <c r="F6849" s="8" t="n">
        <v>45980</v>
      </c>
      <c r="G6849" s="9" t="n">
        <v>7429.11</v>
      </c>
      <c r="H6849" t="inlineStr">
        <is>
          <t>PAID_ON_TIME</t>
        </is>
      </c>
      <c r="I6849">
        <f>IF(H6849="UNPAID", AsOfDate-D6849, 0)</f>
        <v/>
      </c>
      <c r="J6849">
        <f>IF(F6849&lt;&gt;"", TEXT(F6849, "yyyy-mm"), "")</f>
        <v/>
      </c>
    </row>
    <row r="6850">
      <c r="A6850" t="inlineStr">
        <is>
          <t>RP0006849</t>
        </is>
      </c>
      <c r="B6850" t="inlineStr">
        <is>
          <t>LN200973</t>
        </is>
      </c>
      <c r="C6850" t="n">
        <v>9</v>
      </c>
      <c r="D6850" s="8" t="n">
        <v>46009</v>
      </c>
      <c r="E6850" s="9" t="n">
        <v>7429.11</v>
      </c>
      <c r="F6850" s="8" t="n">
        <v>46009</v>
      </c>
      <c r="G6850" s="9" t="n">
        <v>7429.11</v>
      </c>
      <c r="H6850" t="inlineStr">
        <is>
          <t>PAID_ON_TIME</t>
        </is>
      </c>
      <c r="I6850">
        <f>IF(H6850="UNPAID", AsOfDate-D6850, 0)</f>
        <v/>
      </c>
      <c r="J6850">
        <f>IF(F6850&lt;&gt;"", TEXT(F6850, "yyyy-mm"), "")</f>
        <v/>
      </c>
    </row>
    <row r="6851">
      <c r="A6851" t="inlineStr">
        <is>
          <t>RP0006850</t>
        </is>
      </c>
      <c r="B6851" t="inlineStr">
        <is>
          <t>LN200973</t>
        </is>
      </c>
      <c r="C6851" t="n">
        <v>10</v>
      </c>
      <c r="D6851" s="8" t="n">
        <v>46040</v>
      </c>
      <c r="E6851" s="9" t="n">
        <v>7429.11</v>
      </c>
      <c r="F6851" s="8" t="n">
        <v>46044</v>
      </c>
      <c r="G6851" s="9" t="n">
        <v>7429.11</v>
      </c>
      <c r="H6851" t="inlineStr">
        <is>
          <t>PAID_ON_TIME</t>
        </is>
      </c>
      <c r="I6851">
        <f>IF(H6851="UNPAID", AsOfDate-D6851, 0)</f>
        <v/>
      </c>
      <c r="J6851">
        <f>IF(F6851&lt;&gt;"", TEXT(F6851, "yyyy-mm"), "")</f>
        <v/>
      </c>
    </row>
    <row r="6852">
      <c r="A6852" t="inlineStr">
        <is>
          <t>RP0006851</t>
        </is>
      </c>
      <c r="B6852" t="inlineStr">
        <is>
          <t>LN200973</t>
        </is>
      </c>
      <c r="C6852" t="n">
        <v>11</v>
      </c>
      <c r="D6852" s="8" t="n">
        <v>46071</v>
      </c>
      <c r="E6852" s="9" t="n">
        <v>7429.11</v>
      </c>
      <c r="F6852" s="8" t="n">
        <v>46074</v>
      </c>
      <c r="G6852" s="9" t="n">
        <v>7429.11</v>
      </c>
      <c r="H6852" t="inlineStr">
        <is>
          <t>PAID_ON_TIME</t>
        </is>
      </c>
      <c r="I6852">
        <f>IF(H6852="UNPAID", AsOfDate-D6852, 0)</f>
        <v/>
      </c>
      <c r="J6852">
        <f>IF(F6852&lt;&gt;"", TEXT(F6852, "yyyy-mm"), "")</f>
        <v/>
      </c>
    </row>
    <row r="6853">
      <c r="A6853" t="inlineStr">
        <is>
          <t>RP0006852</t>
        </is>
      </c>
      <c r="B6853" t="inlineStr">
        <is>
          <t>LN200973</t>
        </is>
      </c>
      <c r="C6853" t="n">
        <v>12</v>
      </c>
      <c r="D6853" s="8" t="n">
        <v>46099</v>
      </c>
      <c r="E6853" s="9" t="n">
        <v>7429.11</v>
      </c>
      <c r="F6853" s="8" t="n"/>
      <c r="G6853" s="9" t="n">
        <v>0</v>
      </c>
      <c r="H6853" t="inlineStr">
        <is>
          <t>UNPAID</t>
        </is>
      </c>
      <c r="I6853">
        <f>IF(H6853="UNPAID", AsOfDate-D6853, 0)</f>
        <v/>
      </c>
      <c r="J6853">
        <f>IF(F6853&lt;&gt;"", TEXT(F6853, "yyyy-mm"), "")</f>
        <v/>
      </c>
    </row>
    <row r="6854">
      <c r="A6854" t="inlineStr">
        <is>
          <t>RP0006853</t>
        </is>
      </c>
      <c r="B6854" t="inlineStr">
        <is>
          <t>LN200973</t>
        </is>
      </c>
      <c r="C6854" t="n">
        <v>13</v>
      </c>
      <c r="D6854" s="8" t="n">
        <v>46130</v>
      </c>
      <c r="E6854" s="9" t="n">
        <v>7429.11</v>
      </c>
      <c r="F6854" s="8" t="n">
        <v>46128</v>
      </c>
      <c r="G6854" s="9" t="n">
        <v>7429.11</v>
      </c>
      <c r="H6854" t="inlineStr">
        <is>
          <t>PAID_ON_TIME</t>
        </is>
      </c>
      <c r="I6854">
        <f>IF(H6854="UNPAID", AsOfDate-D6854, 0)</f>
        <v/>
      </c>
      <c r="J6854">
        <f>IF(F6854&lt;&gt;"", TEXT(F6854, "yyyy-mm"), "")</f>
        <v/>
      </c>
    </row>
    <row r="6855">
      <c r="A6855" t="inlineStr">
        <is>
          <t>RP0006854</t>
        </is>
      </c>
      <c r="B6855" t="inlineStr">
        <is>
          <t>LN200973</t>
        </is>
      </c>
      <c r="C6855" t="n">
        <v>14</v>
      </c>
      <c r="D6855" s="8" t="n">
        <v>46160</v>
      </c>
      <c r="E6855" s="9" t="n">
        <v>7429.11</v>
      </c>
      <c r="F6855" s="8" t="n">
        <v>46164</v>
      </c>
      <c r="G6855" s="9" t="n">
        <v>7429.11</v>
      </c>
      <c r="H6855" t="inlineStr">
        <is>
          <t>PAID_ON_TIME</t>
        </is>
      </c>
      <c r="I6855">
        <f>IF(H6855="UNPAID", AsOfDate-D6855, 0)</f>
        <v/>
      </c>
      <c r="J6855">
        <f>IF(F6855&lt;&gt;"", TEXT(F6855, "yyyy-mm"), "")</f>
        <v/>
      </c>
    </row>
    <row r="6856">
      <c r="A6856" t="inlineStr">
        <is>
          <t>RP0006855</t>
        </is>
      </c>
      <c r="B6856" t="inlineStr">
        <is>
          <t>LN200973</t>
        </is>
      </c>
      <c r="C6856" t="n">
        <v>15</v>
      </c>
      <c r="D6856" s="8" t="n">
        <v>46191</v>
      </c>
      <c r="E6856" s="9" t="n">
        <v>7429.11</v>
      </c>
      <c r="F6856" s="8" t="n">
        <v>46189</v>
      </c>
      <c r="G6856" s="9" t="n">
        <v>7429.11</v>
      </c>
      <c r="H6856" t="inlineStr">
        <is>
          <t>PAID_ON_TIME</t>
        </is>
      </c>
      <c r="I6856">
        <f>IF(H6856="UNPAID", AsOfDate-D6856, 0)</f>
        <v/>
      </c>
      <c r="J6856">
        <f>IF(F6856&lt;&gt;"", TEXT(F6856, "yyyy-mm"), "")</f>
        <v/>
      </c>
    </row>
    <row r="6857">
      <c r="A6857" t="inlineStr">
        <is>
          <t>RP0006856</t>
        </is>
      </c>
      <c r="B6857" t="inlineStr">
        <is>
          <t>LN200973</t>
        </is>
      </c>
      <c r="C6857" t="n">
        <v>16</v>
      </c>
      <c r="D6857" s="8" t="n">
        <v>46221</v>
      </c>
      <c r="E6857" s="9" t="n">
        <v>7429.11</v>
      </c>
      <c r="F6857" s="8" t="n">
        <v>46221</v>
      </c>
      <c r="G6857" s="9" t="n">
        <v>7429.11</v>
      </c>
      <c r="H6857" t="inlineStr">
        <is>
          <t>PAID_ON_TIME</t>
        </is>
      </c>
      <c r="I6857">
        <f>IF(H6857="UNPAID", AsOfDate-D6857, 0)</f>
        <v/>
      </c>
      <c r="J6857">
        <f>IF(F6857&lt;&gt;"", TEXT(F6857, "yyyy-mm"), "")</f>
        <v/>
      </c>
    </row>
    <row r="6858">
      <c r="A6858" t="inlineStr">
        <is>
          <t>RP0006857</t>
        </is>
      </c>
      <c r="B6858" t="inlineStr">
        <is>
          <t>LN200973</t>
        </is>
      </c>
      <c r="C6858" t="n">
        <v>17</v>
      </c>
      <c r="D6858" s="8" t="n">
        <v>46252</v>
      </c>
      <c r="E6858" s="9" t="n">
        <v>7429.11</v>
      </c>
      <c r="F6858" s="8" t="n">
        <v>46255</v>
      </c>
      <c r="G6858" s="9" t="n">
        <v>7429.11</v>
      </c>
      <c r="H6858" t="inlineStr">
        <is>
          <t>PAID_ON_TIME</t>
        </is>
      </c>
      <c r="I6858">
        <f>IF(H6858="UNPAID", AsOfDate-D6858, 0)</f>
        <v/>
      </c>
      <c r="J6858">
        <f>IF(F6858&lt;&gt;"", TEXT(F6858, "yyyy-mm"), "")</f>
        <v/>
      </c>
    </row>
    <row r="6859">
      <c r="A6859" t="inlineStr">
        <is>
          <t>RP0006858</t>
        </is>
      </c>
      <c r="B6859" t="inlineStr">
        <is>
          <t>LN200973</t>
        </is>
      </c>
      <c r="C6859" t="n">
        <v>18</v>
      </c>
      <c r="D6859" s="8" t="n">
        <v>46283</v>
      </c>
      <c r="E6859" s="9" t="n">
        <v>7429.11</v>
      </c>
      <c r="F6859" s="8" t="n"/>
      <c r="G6859" s="9" t="n">
        <v>0</v>
      </c>
      <c r="H6859" t="inlineStr">
        <is>
          <t>NOT_DUE</t>
        </is>
      </c>
      <c r="I6859">
        <f>IF(H6859="UNPAID", AsOfDate-D6859, 0)</f>
        <v/>
      </c>
      <c r="J6859">
        <f>IF(F6859&lt;&gt;"", TEXT(F6859, "yyyy-mm"), "")</f>
        <v/>
      </c>
    </row>
    <row r="6860">
      <c r="A6860" t="inlineStr">
        <is>
          <t>RP0006859</t>
        </is>
      </c>
      <c r="B6860" t="inlineStr">
        <is>
          <t>LN200974</t>
        </is>
      </c>
      <c r="C6860" t="n">
        <v>1</v>
      </c>
      <c r="D6860" s="8" t="n">
        <v>46203</v>
      </c>
      <c r="E6860" s="9" t="n">
        <v>16948.75</v>
      </c>
      <c r="F6860" s="8" t="n">
        <v>46203</v>
      </c>
      <c r="G6860" s="9" t="n">
        <v>16948.75</v>
      </c>
      <c r="H6860" t="inlineStr">
        <is>
          <t>PAID_ON_TIME</t>
        </is>
      </c>
      <c r="I6860">
        <f>IF(H6860="UNPAID", AsOfDate-D6860, 0)</f>
        <v/>
      </c>
      <c r="J6860">
        <f>IF(F6860&lt;&gt;"", TEXT(F6860, "yyyy-mm"), "")</f>
        <v/>
      </c>
    </row>
    <row r="6861">
      <c r="A6861" t="inlineStr">
        <is>
          <t>RP0006860</t>
        </is>
      </c>
      <c r="B6861" t="inlineStr">
        <is>
          <t>LN200974</t>
        </is>
      </c>
      <c r="C6861" t="n">
        <v>2</v>
      </c>
      <c r="D6861" s="8" t="n">
        <v>46233</v>
      </c>
      <c r="E6861" s="9" t="n">
        <v>16948.75</v>
      </c>
      <c r="F6861" s="8" t="n">
        <v>46232</v>
      </c>
      <c r="G6861" s="9" t="n">
        <v>16948.75</v>
      </c>
      <c r="H6861" t="inlineStr">
        <is>
          <t>PAID_ON_TIME</t>
        </is>
      </c>
      <c r="I6861">
        <f>IF(H6861="UNPAID", AsOfDate-D6861, 0)</f>
        <v/>
      </c>
      <c r="J6861">
        <f>IF(F6861&lt;&gt;"", TEXT(F6861, "yyyy-mm"), "")</f>
        <v/>
      </c>
    </row>
    <row r="6862">
      <c r="A6862" t="inlineStr">
        <is>
          <t>RP0006861</t>
        </is>
      </c>
      <c r="B6862" t="inlineStr">
        <is>
          <t>LN200974</t>
        </is>
      </c>
      <c r="C6862" t="n">
        <v>3</v>
      </c>
      <c r="D6862" s="8" t="n">
        <v>46264</v>
      </c>
      <c r="E6862" s="9" t="n">
        <v>16948.75</v>
      </c>
      <c r="F6862" s="8" t="n"/>
      <c r="G6862" s="9" t="n">
        <v>0</v>
      </c>
      <c r="H6862" t="inlineStr">
        <is>
          <t>UNPAID</t>
        </is>
      </c>
      <c r="I6862">
        <f>IF(H6862="UNPAID", AsOfDate-D6862, 0)</f>
        <v/>
      </c>
      <c r="J6862">
        <f>IF(F6862&lt;&gt;"", TEXT(F6862, "yyyy-mm"), "")</f>
        <v/>
      </c>
    </row>
    <row r="6863">
      <c r="A6863" t="inlineStr">
        <is>
          <t>RP0006862</t>
        </is>
      </c>
      <c r="B6863" t="inlineStr">
        <is>
          <t>LN200974</t>
        </is>
      </c>
      <c r="C6863" t="n">
        <v>4</v>
      </c>
      <c r="D6863" s="8" t="n">
        <v>46295</v>
      </c>
      <c r="E6863" s="9" t="n">
        <v>16948.75</v>
      </c>
      <c r="F6863" s="8" t="n"/>
      <c r="G6863" s="9" t="n">
        <v>0</v>
      </c>
      <c r="H6863" t="inlineStr">
        <is>
          <t>NOT_DUE</t>
        </is>
      </c>
      <c r="I6863">
        <f>IF(H6863="UNPAID", AsOfDate-D6863, 0)</f>
        <v/>
      </c>
      <c r="J6863">
        <f>IF(F6863&lt;&gt;"", TEXT(F6863, "yyyy-mm"), "")</f>
        <v/>
      </c>
    </row>
    <row r="6864">
      <c r="A6864" t="inlineStr">
        <is>
          <t>RP0006863</t>
        </is>
      </c>
      <c r="B6864" t="inlineStr">
        <is>
          <t>LN200974</t>
        </is>
      </c>
      <c r="C6864" t="n">
        <v>5</v>
      </c>
      <c r="D6864" s="8" t="n">
        <v>46325</v>
      </c>
      <c r="E6864" s="9" t="n">
        <v>16948.75</v>
      </c>
      <c r="F6864" s="8" t="n"/>
      <c r="G6864" s="9" t="n">
        <v>0</v>
      </c>
      <c r="H6864" t="inlineStr">
        <is>
          <t>NOT_DUE</t>
        </is>
      </c>
      <c r="I6864">
        <f>IF(H6864="UNPAID", AsOfDate-D6864, 0)</f>
        <v/>
      </c>
      <c r="J6864">
        <f>IF(F6864&lt;&gt;"", TEXT(F6864, "yyyy-mm"), "")</f>
        <v/>
      </c>
    </row>
    <row r="6865">
      <c r="A6865" t="inlineStr">
        <is>
          <t>RP0006864</t>
        </is>
      </c>
      <c r="B6865" t="inlineStr">
        <is>
          <t>LN200974</t>
        </is>
      </c>
      <c r="C6865" t="n">
        <v>6</v>
      </c>
      <c r="D6865" s="8" t="n">
        <v>46356</v>
      </c>
      <c r="E6865" s="9" t="n">
        <v>16948.75</v>
      </c>
      <c r="F6865" s="8" t="n"/>
      <c r="G6865" s="9" t="n">
        <v>0</v>
      </c>
      <c r="H6865" t="inlineStr">
        <is>
          <t>NOT_DUE</t>
        </is>
      </c>
      <c r="I6865">
        <f>IF(H6865="UNPAID", AsOfDate-D6865, 0)</f>
        <v/>
      </c>
      <c r="J6865">
        <f>IF(F6865&lt;&gt;"", TEXT(F6865, "yyyy-mm"), "")</f>
        <v/>
      </c>
    </row>
    <row r="6866">
      <c r="A6866" t="inlineStr">
        <is>
          <t>RP0006865</t>
        </is>
      </c>
      <c r="B6866" t="inlineStr">
        <is>
          <t>LN200975</t>
        </is>
      </c>
      <c r="C6866" t="n">
        <v>1</v>
      </c>
      <c r="D6866" s="8" t="n">
        <v>45722</v>
      </c>
      <c r="E6866" s="9" t="n">
        <v>3190.28</v>
      </c>
      <c r="F6866" s="8" t="n">
        <v>45724</v>
      </c>
      <c r="G6866" s="9" t="n">
        <v>3190.28</v>
      </c>
      <c r="H6866" t="inlineStr">
        <is>
          <t>PAID_ON_TIME</t>
        </is>
      </c>
      <c r="I6866">
        <f>IF(H6866="UNPAID", AsOfDate-D6866, 0)</f>
        <v/>
      </c>
      <c r="J6866">
        <f>IF(F6866&lt;&gt;"", TEXT(F6866, "yyyy-mm"), "")</f>
        <v/>
      </c>
    </row>
    <row r="6867">
      <c r="A6867" t="inlineStr">
        <is>
          <t>RP0006866</t>
        </is>
      </c>
      <c r="B6867" t="inlineStr">
        <is>
          <t>LN200975</t>
        </is>
      </c>
      <c r="C6867" t="n">
        <v>2</v>
      </c>
      <c r="D6867" s="8" t="n">
        <v>45753</v>
      </c>
      <c r="E6867" s="9" t="n">
        <v>3190.28</v>
      </c>
      <c r="F6867" s="8" t="n">
        <v>45756</v>
      </c>
      <c r="G6867" s="9" t="n">
        <v>3190.28</v>
      </c>
      <c r="H6867" t="inlineStr">
        <is>
          <t>PAID_ON_TIME</t>
        </is>
      </c>
      <c r="I6867">
        <f>IF(H6867="UNPAID", AsOfDate-D6867, 0)</f>
        <v/>
      </c>
      <c r="J6867">
        <f>IF(F6867&lt;&gt;"", TEXT(F6867, "yyyy-mm"), "")</f>
        <v/>
      </c>
    </row>
    <row r="6868">
      <c r="A6868" t="inlineStr">
        <is>
          <t>RP0006867</t>
        </is>
      </c>
      <c r="B6868" t="inlineStr">
        <is>
          <t>LN200975</t>
        </is>
      </c>
      <c r="C6868" t="n">
        <v>3</v>
      </c>
      <c r="D6868" s="8" t="n">
        <v>45783</v>
      </c>
      <c r="E6868" s="9" t="n">
        <v>3190.28</v>
      </c>
      <c r="F6868" s="8" t="n">
        <v>45783</v>
      </c>
      <c r="G6868" s="9" t="n">
        <v>3190.28</v>
      </c>
      <c r="H6868" t="inlineStr">
        <is>
          <t>PAID_ON_TIME</t>
        </is>
      </c>
      <c r="I6868">
        <f>IF(H6868="UNPAID", AsOfDate-D6868, 0)</f>
        <v/>
      </c>
      <c r="J6868">
        <f>IF(F6868&lt;&gt;"", TEXT(F6868, "yyyy-mm"), "")</f>
        <v/>
      </c>
    </row>
    <row r="6869">
      <c r="A6869" t="inlineStr">
        <is>
          <t>RP0006868</t>
        </is>
      </c>
      <c r="B6869" t="inlineStr">
        <is>
          <t>LN200975</t>
        </is>
      </c>
      <c r="C6869" t="n">
        <v>4</v>
      </c>
      <c r="D6869" s="8" t="n">
        <v>45814</v>
      </c>
      <c r="E6869" s="9" t="n">
        <v>3190.28</v>
      </c>
      <c r="F6869" s="8" t="n">
        <v>45815</v>
      </c>
      <c r="G6869" s="9" t="n">
        <v>3190.28</v>
      </c>
      <c r="H6869" t="inlineStr">
        <is>
          <t>PAID_ON_TIME</t>
        </is>
      </c>
      <c r="I6869">
        <f>IF(H6869="UNPAID", AsOfDate-D6869, 0)</f>
        <v/>
      </c>
      <c r="J6869">
        <f>IF(F6869&lt;&gt;"", TEXT(F6869, "yyyy-mm"), "")</f>
        <v/>
      </c>
    </row>
    <row r="6870">
      <c r="A6870" t="inlineStr">
        <is>
          <t>RP0006869</t>
        </is>
      </c>
      <c r="B6870" t="inlineStr">
        <is>
          <t>LN200975</t>
        </is>
      </c>
      <c r="C6870" t="n">
        <v>5</v>
      </c>
      <c r="D6870" s="8" t="n">
        <v>45844</v>
      </c>
      <c r="E6870" s="9" t="n">
        <v>3190.28</v>
      </c>
      <c r="F6870" s="8" t="n">
        <v>45845</v>
      </c>
      <c r="G6870" s="9" t="n">
        <v>3190.28</v>
      </c>
      <c r="H6870" t="inlineStr">
        <is>
          <t>PAID_ON_TIME</t>
        </is>
      </c>
      <c r="I6870">
        <f>IF(H6870="UNPAID", AsOfDate-D6870, 0)</f>
        <v/>
      </c>
      <c r="J6870">
        <f>IF(F6870&lt;&gt;"", TEXT(F6870, "yyyy-mm"), "")</f>
        <v/>
      </c>
    </row>
    <row r="6871">
      <c r="A6871" t="inlineStr">
        <is>
          <t>RP0006870</t>
        </is>
      </c>
      <c r="B6871" t="inlineStr">
        <is>
          <t>LN200975</t>
        </is>
      </c>
      <c r="C6871" t="n">
        <v>6</v>
      </c>
      <c r="D6871" s="8" t="n">
        <v>45875</v>
      </c>
      <c r="E6871" s="9" t="n">
        <v>3190.28</v>
      </c>
      <c r="F6871" s="8" t="n">
        <v>45994</v>
      </c>
      <c r="G6871" s="9" t="n">
        <v>3190.28</v>
      </c>
      <c r="H6871" t="inlineStr">
        <is>
          <t>PAID_LATE</t>
        </is>
      </c>
      <c r="I6871">
        <f>IF(H6871="UNPAID", AsOfDate-D6871, 0)</f>
        <v/>
      </c>
      <c r="J6871">
        <f>IF(F6871&lt;&gt;"", TEXT(F6871, "yyyy-mm"), "")</f>
        <v/>
      </c>
    </row>
    <row r="6872">
      <c r="A6872" t="inlineStr">
        <is>
          <t>RP0006871</t>
        </is>
      </c>
      <c r="B6872" t="inlineStr">
        <is>
          <t>LN200975</t>
        </is>
      </c>
      <c r="C6872" t="n">
        <v>7</v>
      </c>
      <c r="D6872" s="8" t="n">
        <v>45906</v>
      </c>
      <c r="E6872" s="9" t="n">
        <v>3190.28</v>
      </c>
      <c r="F6872" s="8" t="n">
        <v>45909</v>
      </c>
      <c r="G6872" s="9" t="n">
        <v>3190.28</v>
      </c>
      <c r="H6872" t="inlineStr">
        <is>
          <t>PAID_ON_TIME</t>
        </is>
      </c>
      <c r="I6872">
        <f>IF(H6872="UNPAID", AsOfDate-D6872, 0)</f>
        <v/>
      </c>
      <c r="J6872">
        <f>IF(F6872&lt;&gt;"", TEXT(F6872, "yyyy-mm"), "")</f>
        <v/>
      </c>
    </row>
    <row r="6873">
      <c r="A6873" t="inlineStr">
        <is>
          <t>RP0006872</t>
        </is>
      </c>
      <c r="B6873" t="inlineStr">
        <is>
          <t>LN200975</t>
        </is>
      </c>
      <c r="C6873" t="n">
        <v>8</v>
      </c>
      <c r="D6873" s="8" t="n">
        <v>45936</v>
      </c>
      <c r="E6873" s="9" t="n">
        <v>3190.28</v>
      </c>
      <c r="F6873" s="8" t="n">
        <v>45937</v>
      </c>
      <c r="G6873" s="9" t="n">
        <v>3190.28</v>
      </c>
      <c r="H6873" t="inlineStr">
        <is>
          <t>PAID_ON_TIME</t>
        </is>
      </c>
      <c r="I6873">
        <f>IF(H6873="UNPAID", AsOfDate-D6873, 0)</f>
        <v/>
      </c>
      <c r="J6873">
        <f>IF(F6873&lt;&gt;"", TEXT(F6873, "yyyy-mm"), "")</f>
        <v/>
      </c>
    </row>
    <row r="6874">
      <c r="A6874" t="inlineStr">
        <is>
          <t>RP0006873</t>
        </is>
      </c>
      <c r="B6874" t="inlineStr">
        <is>
          <t>LN200975</t>
        </is>
      </c>
      <c r="C6874" t="n">
        <v>9</v>
      </c>
      <c r="D6874" s="8" t="n">
        <v>45967</v>
      </c>
      <c r="E6874" s="9" t="n">
        <v>3190.28</v>
      </c>
      <c r="F6874" s="8" t="n">
        <v>45967</v>
      </c>
      <c r="G6874" s="9" t="n">
        <v>3190.28</v>
      </c>
      <c r="H6874" t="inlineStr">
        <is>
          <t>PAID_ON_TIME</t>
        </is>
      </c>
      <c r="I6874">
        <f>IF(H6874="UNPAID", AsOfDate-D6874, 0)</f>
        <v/>
      </c>
      <c r="J6874">
        <f>IF(F6874&lt;&gt;"", TEXT(F6874, "yyyy-mm"), "")</f>
        <v/>
      </c>
    </row>
    <row r="6875">
      <c r="A6875" t="inlineStr">
        <is>
          <t>RP0006874</t>
        </is>
      </c>
      <c r="B6875" t="inlineStr">
        <is>
          <t>LN200976</t>
        </is>
      </c>
      <c r="C6875" t="n">
        <v>1</v>
      </c>
      <c r="D6875" s="8" t="n">
        <v>45977</v>
      </c>
      <c r="E6875" s="9" t="n">
        <v>3675</v>
      </c>
      <c r="F6875" s="8" t="n">
        <v>45979</v>
      </c>
      <c r="G6875" s="9" t="n">
        <v>3675</v>
      </c>
      <c r="H6875" t="inlineStr">
        <is>
          <t>PAID_ON_TIME</t>
        </is>
      </c>
      <c r="I6875">
        <f>IF(H6875="UNPAID", AsOfDate-D6875, 0)</f>
        <v/>
      </c>
      <c r="J6875">
        <f>IF(F6875&lt;&gt;"", TEXT(F6875, "yyyy-mm"), "")</f>
        <v/>
      </c>
    </row>
    <row r="6876">
      <c r="A6876" t="inlineStr">
        <is>
          <t>RP0006875</t>
        </is>
      </c>
      <c r="B6876" t="inlineStr">
        <is>
          <t>LN200976</t>
        </is>
      </c>
      <c r="C6876" t="n">
        <v>2</v>
      </c>
      <c r="D6876" s="8" t="n">
        <v>46007</v>
      </c>
      <c r="E6876" s="9" t="n">
        <v>3675</v>
      </c>
      <c r="F6876" s="8" t="n">
        <v>46009</v>
      </c>
      <c r="G6876" s="9" t="n">
        <v>3675</v>
      </c>
      <c r="H6876" t="inlineStr">
        <is>
          <t>PAID_ON_TIME</t>
        </is>
      </c>
      <c r="I6876">
        <f>IF(H6876="UNPAID", AsOfDate-D6876, 0)</f>
        <v/>
      </c>
      <c r="J6876">
        <f>IF(F6876&lt;&gt;"", TEXT(F6876, "yyyy-mm"), "")</f>
        <v/>
      </c>
    </row>
    <row r="6877">
      <c r="A6877" t="inlineStr">
        <is>
          <t>RP0006876</t>
        </is>
      </c>
      <c r="B6877" t="inlineStr">
        <is>
          <t>LN200976</t>
        </is>
      </c>
      <c r="C6877" t="n">
        <v>3</v>
      </c>
      <c r="D6877" s="8" t="n">
        <v>46038</v>
      </c>
      <c r="E6877" s="9" t="n">
        <v>3675</v>
      </c>
      <c r="F6877" s="8" t="n">
        <v>46037</v>
      </c>
      <c r="G6877" s="9" t="n">
        <v>3675</v>
      </c>
      <c r="H6877" t="inlineStr">
        <is>
          <t>PAID_ON_TIME</t>
        </is>
      </c>
      <c r="I6877">
        <f>IF(H6877="UNPAID", AsOfDate-D6877, 0)</f>
        <v/>
      </c>
      <c r="J6877">
        <f>IF(F6877&lt;&gt;"", TEXT(F6877, "yyyy-mm"), "")</f>
        <v/>
      </c>
    </row>
    <row r="6878">
      <c r="A6878" t="inlineStr">
        <is>
          <t>RP0006877</t>
        </is>
      </c>
      <c r="B6878" t="inlineStr">
        <is>
          <t>LN200976</t>
        </is>
      </c>
      <c r="C6878" t="n">
        <v>4</v>
      </c>
      <c r="D6878" s="8" t="n">
        <v>46069</v>
      </c>
      <c r="E6878" s="9" t="n">
        <v>3675</v>
      </c>
      <c r="F6878" s="8" t="n">
        <v>46070</v>
      </c>
      <c r="G6878" s="9" t="n">
        <v>3675</v>
      </c>
      <c r="H6878" t="inlineStr">
        <is>
          <t>PAID_ON_TIME</t>
        </is>
      </c>
      <c r="I6878">
        <f>IF(H6878="UNPAID", AsOfDate-D6878, 0)</f>
        <v/>
      </c>
      <c r="J6878">
        <f>IF(F6878&lt;&gt;"", TEXT(F6878, "yyyy-mm"), "")</f>
        <v/>
      </c>
    </row>
    <row r="6879">
      <c r="A6879" t="inlineStr">
        <is>
          <t>RP0006878</t>
        </is>
      </c>
      <c r="B6879" t="inlineStr">
        <is>
          <t>LN200976</t>
        </is>
      </c>
      <c r="C6879" t="n">
        <v>5</v>
      </c>
      <c r="D6879" s="8" t="n">
        <v>46097</v>
      </c>
      <c r="E6879" s="9" t="n">
        <v>3675</v>
      </c>
      <c r="F6879" s="8" t="n">
        <v>46098</v>
      </c>
      <c r="G6879" s="9" t="n">
        <v>3675</v>
      </c>
      <c r="H6879" t="inlineStr">
        <is>
          <t>PAID_ON_TIME</t>
        </is>
      </c>
      <c r="I6879">
        <f>IF(H6879="UNPAID", AsOfDate-D6879, 0)</f>
        <v/>
      </c>
      <c r="J6879">
        <f>IF(F6879&lt;&gt;"", TEXT(F6879, "yyyy-mm"), "")</f>
        <v/>
      </c>
    </row>
    <row r="6880">
      <c r="A6880" t="inlineStr">
        <is>
          <t>RP0006879</t>
        </is>
      </c>
      <c r="B6880" t="inlineStr">
        <is>
          <t>LN200976</t>
        </is>
      </c>
      <c r="C6880" t="n">
        <v>6</v>
      </c>
      <c r="D6880" s="8" t="n">
        <v>46128</v>
      </c>
      <c r="E6880" s="9" t="n">
        <v>3675</v>
      </c>
      <c r="F6880" s="8" t="n">
        <v>46131</v>
      </c>
      <c r="G6880" s="9" t="n">
        <v>3675</v>
      </c>
      <c r="H6880" t="inlineStr">
        <is>
          <t>PAID_ON_TIME</t>
        </is>
      </c>
      <c r="I6880">
        <f>IF(H6880="UNPAID", AsOfDate-D6880, 0)</f>
        <v/>
      </c>
      <c r="J6880">
        <f>IF(F6880&lt;&gt;"", TEXT(F6880, "yyyy-mm"), "")</f>
        <v/>
      </c>
    </row>
    <row r="6881">
      <c r="A6881" t="inlineStr">
        <is>
          <t>RP0006880</t>
        </is>
      </c>
      <c r="B6881" t="inlineStr">
        <is>
          <t>LN200977</t>
        </is>
      </c>
      <c r="C6881" t="n">
        <v>1</v>
      </c>
      <c r="D6881" s="8" t="n">
        <v>46130</v>
      </c>
      <c r="E6881" s="9" t="n">
        <v>8051.39</v>
      </c>
      <c r="F6881" s="8" t="n">
        <v>46128</v>
      </c>
      <c r="G6881" s="9" t="n">
        <v>8051.39</v>
      </c>
      <c r="H6881" t="inlineStr">
        <is>
          <t>PAID_ON_TIME</t>
        </is>
      </c>
      <c r="I6881">
        <f>IF(H6881="UNPAID", AsOfDate-D6881, 0)</f>
        <v/>
      </c>
      <c r="J6881">
        <f>IF(F6881&lt;&gt;"", TEXT(F6881, "yyyy-mm"), "")</f>
        <v/>
      </c>
    </row>
    <row r="6882">
      <c r="A6882" t="inlineStr">
        <is>
          <t>RP0006881</t>
        </is>
      </c>
      <c r="B6882" t="inlineStr">
        <is>
          <t>LN200977</t>
        </is>
      </c>
      <c r="C6882" t="n">
        <v>2</v>
      </c>
      <c r="D6882" s="8" t="n">
        <v>46160</v>
      </c>
      <c r="E6882" s="9" t="n">
        <v>8051.39</v>
      </c>
      <c r="F6882" s="8" t="n">
        <v>46159</v>
      </c>
      <c r="G6882" s="9" t="n">
        <v>8051.39</v>
      </c>
      <c r="H6882" t="inlineStr">
        <is>
          <t>PAID_ON_TIME</t>
        </is>
      </c>
      <c r="I6882">
        <f>IF(H6882="UNPAID", AsOfDate-D6882, 0)</f>
        <v/>
      </c>
      <c r="J6882">
        <f>IF(F6882&lt;&gt;"", TEXT(F6882, "yyyy-mm"), "")</f>
        <v/>
      </c>
    </row>
    <row r="6883">
      <c r="A6883" t="inlineStr">
        <is>
          <t>RP0006882</t>
        </is>
      </c>
      <c r="B6883" t="inlineStr">
        <is>
          <t>LN200977</t>
        </is>
      </c>
      <c r="C6883" t="n">
        <v>3</v>
      </c>
      <c r="D6883" s="8" t="n">
        <v>46191</v>
      </c>
      <c r="E6883" s="9" t="n">
        <v>8051.39</v>
      </c>
      <c r="F6883" s="8" t="n">
        <v>46195</v>
      </c>
      <c r="G6883" s="9" t="n">
        <v>8051.39</v>
      </c>
      <c r="H6883" t="inlineStr">
        <is>
          <t>PAID_ON_TIME</t>
        </is>
      </c>
      <c r="I6883">
        <f>IF(H6883="UNPAID", AsOfDate-D6883, 0)</f>
        <v/>
      </c>
      <c r="J6883">
        <f>IF(F6883&lt;&gt;"", TEXT(F6883, "yyyy-mm"), "")</f>
        <v/>
      </c>
    </row>
    <row r="6884">
      <c r="A6884" t="inlineStr">
        <is>
          <t>RP0006883</t>
        </is>
      </c>
      <c r="B6884" t="inlineStr">
        <is>
          <t>LN200977</t>
        </is>
      </c>
      <c r="C6884" t="n">
        <v>4</v>
      </c>
      <c r="D6884" s="8" t="n">
        <v>46221</v>
      </c>
      <c r="E6884" s="9" t="n">
        <v>8051.39</v>
      </c>
      <c r="F6884" s="8" t="n"/>
      <c r="G6884" s="9" t="n">
        <v>0</v>
      </c>
      <c r="H6884" t="inlineStr">
        <is>
          <t>UNPAID</t>
        </is>
      </c>
      <c r="I6884">
        <f>IF(H6884="UNPAID", AsOfDate-D6884, 0)</f>
        <v/>
      </c>
      <c r="J6884">
        <f>IF(F6884&lt;&gt;"", TEXT(F6884, "yyyy-mm"), "")</f>
        <v/>
      </c>
    </row>
    <row r="6885">
      <c r="A6885" t="inlineStr">
        <is>
          <t>RP0006884</t>
        </is>
      </c>
      <c r="B6885" t="inlineStr">
        <is>
          <t>LN200977</t>
        </is>
      </c>
      <c r="C6885" t="n">
        <v>5</v>
      </c>
      <c r="D6885" s="8" t="n">
        <v>46252</v>
      </c>
      <c r="E6885" s="9" t="n">
        <v>8051.39</v>
      </c>
      <c r="F6885" s="8" t="n">
        <v>46252</v>
      </c>
      <c r="G6885" s="9" t="n">
        <v>8051.39</v>
      </c>
      <c r="H6885" t="inlineStr">
        <is>
          <t>PAID_ON_TIME</t>
        </is>
      </c>
      <c r="I6885">
        <f>IF(H6885="UNPAID", AsOfDate-D6885, 0)</f>
        <v/>
      </c>
      <c r="J6885">
        <f>IF(F6885&lt;&gt;"", TEXT(F6885, "yyyy-mm"), "")</f>
        <v/>
      </c>
    </row>
    <row r="6886">
      <c r="A6886" t="inlineStr">
        <is>
          <t>RP0006885</t>
        </is>
      </c>
      <c r="B6886" t="inlineStr">
        <is>
          <t>LN200977</t>
        </is>
      </c>
      <c r="C6886" t="n">
        <v>6</v>
      </c>
      <c r="D6886" s="8" t="n">
        <v>46283</v>
      </c>
      <c r="E6886" s="9" t="n">
        <v>8051.39</v>
      </c>
      <c r="F6886" s="8" t="n"/>
      <c r="G6886" s="9" t="n">
        <v>0</v>
      </c>
      <c r="H6886" t="inlineStr">
        <is>
          <t>NOT_DUE</t>
        </is>
      </c>
      <c r="I6886">
        <f>IF(H6886="UNPAID", AsOfDate-D6886, 0)</f>
        <v/>
      </c>
      <c r="J6886">
        <f>IF(F6886&lt;&gt;"", TEXT(F6886, "yyyy-mm"), "")</f>
        <v/>
      </c>
    </row>
    <row r="6887">
      <c r="A6887" t="inlineStr">
        <is>
          <t>RP0006886</t>
        </is>
      </c>
      <c r="B6887" t="inlineStr">
        <is>
          <t>LN200977</t>
        </is>
      </c>
      <c r="C6887" t="n">
        <v>7</v>
      </c>
      <c r="D6887" s="8" t="n">
        <v>46313</v>
      </c>
      <c r="E6887" s="9" t="n">
        <v>8051.39</v>
      </c>
      <c r="F6887" s="8" t="n"/>
      <c r="G6887" s="9" t="n">
        <v>0</v>
      </c>
      <c r="H6887" t="inlineStr">
        <is>
          <t>NOT_DUE</t>
        </is>
      </c>
      <c r="I6887">
        <f>IF(H6887="UNPAID", AsOfDate-D6887, 0)</f>
        <v/>
      </c>
      <c r="J6887">
        <f>IF(F6887&lt;&gt;"", TEXT(F6887, "yyyy-mm"), "")</f>
        <v/>
      </c>
    </row>
    <row r="6888">
      <c r="A6888" t="inlineStr">
        <is>
          <t>RP0006887</t>
        </is>
      </c>
      <c r="B6888" t="inlineStr">
        <is>
          <t>LN200977</t>
        </is>
      </c>
      <c r="C6888" t="n">
        <v>8</v>
      </c>
      <c r="D6888" s="8" t="n">
        <v>46344</v>
      </c>
      <c r="E6888" s="9" t="n">
        <v>8051.39</v>
      </c>
      <c r="F6888" s="8" t="n"/>
      <c r="G6888" s="9" t="n">
        <v>0</v>
      </c>
      <c r="H6888" t="inlineStr">
        <is>
          <t>NOT_DUE</t>
        </is>
      </c>
      <c r="I6888">
        <f>IF(H6888="UNPAID", AsOfDate-D6888, 0)</f>
        <v/>
      </c>
      <c r="J6888">
        <f>IF(F6888&lt;&gt;"", TEXT(F6888, "yyyy-mm"), "")</f>
        <v/>
      </c>
    </row>
    <row r="6889">
      <c r="A6889" t="inlineStr">
        <is>
          <t>RP0006888</t>
        </is>
      </c>
      <c r="B6889" t="inlineStr">
        <is>
          <t>LN200977</t>
        </is>
      </c>
      <c r="C6889" t="n">
        <v>9</v>
      </c>
      <c r="D6889" s="8" t="n">
        <v>46374</v>
      </c>
      <c r="E6889" s="9" t="n">
        <v>8051.39</v>
      </c>
      <c r="F6889" s="8" t="n"/>
      <c r="G6889" s="9" t="n">
        <v>0</v>
      </c>
      <c r="H6889" t="inlineStr">
        <is>
          <t>NOT_DUE</t>
        </is>
      </c>
      <c r="I6889">
        <f>IF(H6889="UNPAID", AsOfDate-D6889, 0)</f>
        <v/>
      </c>
      <c r="J6889">
        <f>IF(F6889&lt;&gt;"", TEXT(F6889, "yyyy-mm"), "")</f>
        <v/>
      </c>
    </row>
    <row r="6890">
      <c r="A6890" t="inlineStr">
        <is>
          <t>RP0006889</t>
        </is>
      </c>
      <c r="B6890" t="inlineStr">
        <is>
          <t>LN200978</t>
        </is>
      </c>
      <c r="C6890" t="n">
        <v>1</v>
      </c>
      <c r="D6890" s="8" t="n">
        <v>45847</v>
      </c>
      <c r="E6890" s="9" t="n">
        <v>15473.31</v>
      </c>
      <c r="F6890" s="8" t="n">
        <v>45945</v>
      </c>
      <c r="G6890" s="9" t="n">
        <v>15473.31</v>
      </c>
      <c r="H6890" t="inlineStr">
        <is>
          <t>PAID_LATE</t>
        </is>
      </c>
      <c r="I6890">
        <f>IF(H6890="UNPAID", AsOfDate-D6890, 0)</f>
        <v/>
      </c>
      <c r="J6890">
        <f>IF(F6890&lt;&gt;"", TEXT(F6890, "yyyy-mm"), "")</f>
        <v/>
      </c>
    </row>
    <row r="6891">
      <c r="A6891" t="inlineStr">
        <is>
          <t>RP0006890</t>
        </is>
      </c>
      <c r="B6891" t="inlineStr">
        <is>
          <t>LN200978</t>
        </is>
      </c>
      <c r="C6891" t="n">
        <v>2</v>
      </c>
      <c r="D6891" s="8" t="n">
        <v>45878</v>
      </c>
      <c r="E6891" s="9" t="n">
        <v>15473.31</v>
      </c>
      <c r="F6891" s="8" t="n">
        <v>45877</v>
      </c>
      <c r="G6891" s="9" t="n">
        <v>15473.31</v>
      </c>
      <c r="H6891" t="inlineStr">
        <is>
          <t>PAID_ON_TIME</t>
        </is>
      </c>
      <c r="I6891">
        <f>IF(H6891="UNPAID", AsOfDate-D6891, 0)</f>
        <v/>
      </c>
      <c r="J6891">
        <f>IF(F6891&lt;&gt;"", TEXT(F6891, "yyyy-mm"), "")</f>
        <v/>
      </c>
    </row>
    <row r="6892">
      <c r="A6892" t="inlineStr">
        <is>
          <t>RP0006891</t>
        </is>
      </c>
      <c r="B6892" t="inlineStr">
        <is>
          <t>LN200978</t>
        </is>
      </c>
      <c r="C6892" t="n">
        <v>3</v>
      </c>
      <c r="D6892" s="8" t="n">
        <v>45909</v>
      </c>
      <c r="E6892" s="9" t="n">
        <v>15473.31</v>
      </c>
      <c r="F6892" s="8" t="n">
        <v>45912</v>
      </c>
      <c r="G6892" s="9" t="n">
        <v>15473.31</v>
      </c>
      <c r="H6892" t="inlineStr">
        <is>
          <t>PAID_ON_TIME</t>
        </is>
      </c>
      <c r="I6892">
        <f>IF(H6892="UNPAID", AsOfDate-D6892, 0)</f>
        <v/>
      </c>
      <c r="J6892">
        <f>IF(F6892&lt;&gt;"", TEXT(F6892, "yyyy-mm"), "")</f>
        <v/>
      </c>
    </row>
    <row r="6893">
      <c r="A6893" t="inlineStr">
        <is>
          <t>RP0006892</t>
        </is>
      </c>
      <c r="B6893" t="inlineStr">
        <is>
          <t>LN200978</t>
        </is>
      </c>
      <c r="C6893" t="n">
        <v>4</v>
      </c>
      <c r="D6893" s="8" t="n">
        <v>45939</v>
      </c>
      <c r="E6893" s="9" t="n">
        <v>15473.31</v>
      </c>
      <c r="F6893" s="8" t="n">
        <v>45939</v>
      </c>
      <c r="G6893" s="9" t="n">
        <v>15473.31</v>
      </c>
      <c r="H6893" t="inlineStr">
        <is>
          <t>PAID_ON_TIME</t>
        </is>
      </c>
      <c r="I6893">
        <f>IF(H6893="UNPAID", AsOfDate-D6893, 0)</f>
        <v/>
      </c>
      <c r="J6893">
        <f>IF(F6893&lt;&gt;"", TEXT(F6893, "yyyy-mm"), "")</f>
        <v/>
      </c>
    </row>
    <row r="6894">
      <c r="A6894" t="inlineStr">
        <is>
          <t>RP0006893</t>
        </is>
      </c>
      <c r="B6894" t="inlineStr">
        <is>
          <t>LN200978</t>
        </is>
      </c>
      <c r="C6894" t="n">
        <v>5</v>
      </c>
      <c r="D6894" s="8" t="n">
        <v>45970</v>
      </c>
      <c r="E6894" s="9" t="n">
        <v>15473.31</v>
      </c>
      <c r="F6894" s="8" t="n">
        <v>45967</v>
      </c>
      <c r="G6894" s="9" t="n">
        <v>15473.31</v>
      </c>
      <c r="H6894" t="inlineStr">
        <is>
          <t>PAID_ON_TIME</t>
        </is>
      </c>
      <c r="I6894">
        <f>IF(H6894="UNPAID", AsOfDate-D6894, 0)</f>
        <v/>
      </c>
      <c r="J6894">
        <f>IF(F6894&lt;&gt;"", TEXT(F6894, "yyyy-mm"), "")</f>
        <v/>
      </c>
    </row>
    <row r="6895">
      <c r="A6895" t="inlineStr">
        <is>
          <t>RP0006894</t>
        </is>
      </c>
      <c r="B6895" t="inlineStr">
        <is>
          <t>LN200978</t>
        </is>
      </c>
      <c r="C6895" t="n">
        <v>6</v>
      </c>
      <c r="D6895" s="8" t="n">
        <v>46000</v>
      </c>
      <c r="E6895" s="9" t="n">
        <v>15473.31</v>
      </c>
      <c r="F6895" s="8" t="n">
        <v>45998</v>
      </c>
      <c r="G6895" s="9" t="n">
        <v>15473.31</v>
      </c>
      <c r="H6895" t="inlineStr">
        <is>
          <t>PAID_ON_TIME</t>
        </is>
      </c>
      <c r="I6895">
        <f>IF(H6895="UNPAID", AsOfDate-D6895, 0)</f>
        <v/>
      </c>
      <c r="J6895">
        <f>IF(F6895&lt;&gt;"", TEXT(F6895, "yyyy-mm"), "")</f>
        <v/>
      </c>
    </row>
    <row r="6896">
      <c r="A6896" t="inlineStr">
        <is>
          <t>RP0006895</t>
        </is>
      </c>
      <c r="B6896" t="inlineStr">
        <is>
          <t>LN200978</t>
        </is>
      </c>
      <c r="C6896" t="n">
        <v>7</v>
      </c>
      <c r="D6896" s="8" t="n">
        <v>46031</v>
      </c>
      <c r="E6896" s="9" t="n">
        <v>15473.31</v>
      </c>
      <c r="F6896" s="8" t="n">
        <v>46035</v>
      </c>
      <c r="G6896" s="9" t="n">
        <v>15473.31</v>
      </c>
      <c r="H6896" t="inlineStr">
        <is>
          <t>PAID_ON_TIME</t>
        </is>
      </c>
      <c r="I6896">
        <f>IF(H6896="UNPAID", AsOfDate-D6896, 0)</f>
        <v/>
      </c>
      <c r="J6896">
        <f>IF(F6896&lt;&gt;"", TEXT(F6896, "yyyy-mm"), "")</f>
        <v/>
      </c>
    </row>
    <row r="6897">
      <c r="A6897" t="inlineStr">
        <is>
          <t>RP0006896</t>
        </is>
      </c>
      <c r="B6897" t="inlineStr">
        <is>
          <t>LN200978</t>
        </is>
      </c>
      <c r="C6897" t="n">
        <v>8</v>
      </c>
      <c r="D6897" s="8" t="n">
        <v>46062</v>
      </c>
      <c r="E6897" s="9" t="n">
        <v>15473.31</v>
      </c>
      <c r="F6897" s="8" t="n">
        <v>46060</v>
      </c>
      <c r="G6897" s="9" t="n">
        <v>15473.31</v>
      </c>
      <c r="H6897" t="inlineStr">
        <is>
          <t>PAID_ON_TIME</t>
        </is>
      </c>
      <c r="I6897">
        <f>IF(H6897="UNPAID", AsOfDate-D6897, 0)</f>
        <v/>
      </c>
      <c r="J6897">
        <f>IF(F6897&lt;&gt;"", TEXT(F6897, "yyyy-mm"), "")</f>
        <v/>
      </c>
    </row>
    <row r="6898">
      <c r="A6898" t="inlineStr">
        <is>
          <t>RP0006897</t>
        </is>
      </c>
      <c r="B6898" t="inlineStr">
        <is>
          <t>LN200978</t>
        </is>
      </c>
      <c r="C6898" t="n">
        <v>9</v>
      </c>
      <c r="D6898" s="8" t="n">
        <v>46090</v>
      </c>
      <c r="E6898" s="9" t="n">
        <v>15473.31</v>
      </c>
      <c r="F6898" s="8" t="n">
        <v>46094</v>
      </c>
      <c r="G6898" s="9" t="n">
        <v>15473.31</v>
      </c>
      <c r="H6898" t="inlineStr">
        <is>
          <t>PAID_ON_TIME</t>
        </is>
      </c>
      <c r="I6898">
        <f>IF(H6898="UNPAID", AsOfDate-D6898, 0)</f>
        <v/>
      </c>
      <c r="J6898">
        <f>IF(F6898&lt;&gt;"", TEXT(F6898, "yyyy-mm"), "")</f>
        <v/>
      </c>
    </row>
    <row r="6899">
      <c r="A6899" t="inlineStr">
        <is>
          <t>RP0006898</t>
        </is>
      </c>
      <c r="B6899" t="inlineStr">
        <is>
          <t>LN200978</t>
        </is>
      </c>
      <c r="C6899" t="n">
        <v>10</v>
      </c>
      <c r="D6899" s="8" t="n">
        <v>46121</v>
      </c>
      <c r="E6899" s="9" t="n">
        <v>15473.31</v>
      </c>
      <c r="F6899" s="8" t="n">
        <v>46127</v>
      </c>
      <c r="G6899" s="9" t="n">
        <v>15473.31</v>
      </c>
      <c r="H6899" t="inlineStr">
        <is>
          <t>PAID_LATE</t>
        </is>
      </c>
      <c r="I6899">
        <f>IF(H6899="UNPAID", AsOfDate-D6899, 0)</f>
        <v/>
      </c>
      <c r="J6899">
        <f>IF(F6899&lt;&gt;"", TEXT(F6899, "yyyy-mm"), "")</f>
        <v/>
      </c>
    </row>
    <row r="6900">
      <c r="A6900" t="inlineStr">
        <is>
          <t>RP0006899</t>
        </is>
      </c>
      <c r="B6900" t="inlineStr">
        <is>
          <t>LN200978</t>
        </is>
      </c>
      <c r="C6900" t="n">
        <v>11</v>
      </c>
      <c r="D6900" s="8" t="n">
        <v>46151</v>
      </c>
      <c r="E6900" s="9" t="n">
        <v>15473.31</v>
      </c>
      <c r="F6900" s="8" t="n">
        <v>46150</v>
      </c>
      <c r="G6900" s="9" t="n">
        <v>15473.31</v>
      </c>
      <c r="H6900" t="inlineStr">
        <is>
          <t>PAID_ON_TIME</t>
        </is>
      </c>
      <c r="I6900">
        <f>IF(H6900="UNPAID", AsOfDate-D6900, 0)</f>
        <v/>
      </c>
      <c r="J6900">
        <f>IF(F6900&lt;&gt;"", TEXT(F6900, "yyyy-mm"), "")</f>
        <v/>
      </c>
    </row>
    <row r="6901">
      <c r="A6901" t="inlineStr">
        <is>
          <t>RP0006900</t>
        </is>
      </c>
      <c r="B6901" t="inlineStr">
        <is>
          <t>LN200978</t>
        </is>
      </c>
      <c r="C6901" t="n">
        <v>12</v>
      </c>
      <c r="D6901" s="8" t="n">
        <v>46182</v>
      </c>
      <c r="E6901" s="9" t="n">
        <v>15473.31</v>
      </c>
      <c r="F6901" s="8" t="n">
        <v>46181</v>
      </c>
      <c r="G6901" s="9" t="n">
        <v>15473.31</v>
      </c>
      <c r="H6901" t="inlineStr">
        <is>
          <t>PAID_ON_TIME</t>
        </is>
      </c>
      <c r="I6901">
        <f>IF(H6901="UNPAID", AsOfDate-D6901, 0)</f>
        <v/>
      </c>
      <c r="J6901">
        <f>IF(F6901&lt;&gt;"", TEXT(F6901, "yyyy-mm"), "")</f>
        <v/>
      </c>
    </row>
    <row r="6902">
      <c r="A6902" t="inlineStr">
        <is>
          <t>RP0006901</t>
        </is>
      </c>
      <c r="B6902" t="inlineStr">
        <is>
          <t>LN200978</t>
        </is>
      </c>
      <c r="C6902" t="n">
        <v>13</v>
      </c>
      <c r="D6902" s="8" t="n">
        <v>46212</v>
      </c>
      <c r="E6902" s="9" t="n">
        <v>15473.31</v>
      </c>
      <c r="F6902" s="8" t="n">
        <v>46215</v>
      </c>
      <c r="G6902" s="9" t="n">
        <v>15473.31</v>
      </c>
      <c r="H6902" t="inlineStr">
        <is>
          <t>PAID_ON_TIME</t>
        </is>
      </c>
      <c r="I6902">
        <f>IF(H6902="UNPAID", AsOfDate-D6902, 0)</f>
        <v/>
      </c>
      <c r="J6902">
        <f>IF(F6902&lt;&gt;"", TEXT(F6902, "yyyy-mm"), "")</f>
        <v/>
      </c>
    </row>
    <row r="6903">
      <c r="A6903" t="inlineStr">
        <is>
          <t>RP0006902</t>
        </is>
      </c>
      <c r="B6903" t="inlineStr">
        <is>
          <t>LN200978</t>
        </is>
      </c>
      <c r="C6903" t="n">
        <v>14</v>
      </c>
      <c r="D6903" s="8" t="n">
        <v>46243</v>
      </c>
      <c r="E6903" s="9" t="n">
        <v>15473.31</v>
      </c>
      <c r="F6903" s="8" t="n">
        <v>46243</v>
      </c>
      <c r="G6903" s="9" t="n">
        <v>15473.31</v>
      </c>
      <c r="H6903" t="inlineStr">
        <is>
          <t>PAID_ON_TIME</t>
        </is>
      </c>
      <c r="I6903">
        <f>IF(H6903="UNPAID", AsOfDate-D6903, 0)</f>
        <v/>
      </c>
      <c r="J6903">
        <f>IF(F6903&lt;&gt;"", TEXT(F6903, "yyyy-mm"), "")</f>
        <v/>
      </c>
    </row>
    <row r="6904">
      <c r="A6904" t="inlineStr">
        <is>
          <t>RP0006903</t>
        </is>
      </c>
      <c r="B6904" t="inlineStr">
        <is>
          <t>LN200978</t>
        </is>
      </c>
      <c r="C6904" t="n">
        <v>15</v>
      </c>
      <c r="D6904" s="8" t="n">
        <v>46274</v>
      </c>
      <c r="E6904" s="9" t="n">
        <v>15473.31</v>
      </c>
      <c r="F6904" s="8" t="n"/>
      <c r="G6904" s="9" t="n">
        <v>0</v>
      </c>
      <c r="H6904" t="inlineStr">
        <is>
          <t>NOT_DUE</t>
        </is>
      </c>
      <c r="I6904">
        <f>IF(H6904="UNPAID", AsOfDate-D6904, 0)</f>
        <v/>
      </c>
      <c r="J6904">
        <f>IF(F6904&lt;&gt;"", TEXT(F6904, "yyyy-mm"), "")</f>
        <v/>
      </c>
    </row>
    <row r="6905">
      <c r="A6905" t="inlineStr">
        <is>
          <t>RP0006904</t>
        </is>
      </c>
      <c r="B6905" t="inlineStr">
        <is>
          <t>LN200978</t>
        </is>
      </c>
      <c r="C6905" t="n">
        <v>16</v>
      </c>
      <c r="D6905" s="8" t="n">
        <v>46304</v>
      </c>
      <c r="E6905" s="9" t="n">
        <v>15473.31</v>
      </c>
      <c r="F6905" s="8" t="n"/>
      <c r="G6905" s="9" t="n">
        <v>0</v>
      </c>
      <c r="H6905" t="inlineStr">
        <is>
          <t>NOT_DUE</t>
        </is>
      </c>
      <c r="I6905">
        <f>IF(H6905="UNPAID", AsOfDate-D6905, 0)</f>
        <v/>
      </c>
      <c r="J6905">
        <f>IF(F6905&lt;&gt;"", TEXT(F6905, "yyyy-mm"), "")</f>
        <v/>
      </c>
    </row>
    <row r="6906">
      <c r="A6906" t="inlineStr">
        <is>
          <t>RP0006905</t>
        </is>
      </c>
      <c r="B6906" t="inlineStr">
        <is>
          <t>LN200978</t>
        </is>
      </c>
      <c r="C6906" t="n">
        <v>17</v>
      </c>
      <c r="D6906" s="8" t="n">
        <v>46335</v>
      </c>
      <c r="E6906" s="9" t="n">
        <v>15473.31</v>
      </c>
      <c r="F6906" s="8" t="n"/>
      <c r="G6906" s="9" t="n">
        <v>0</v>
      </c>
      <c r="H6906" t="inlineStr">
        <is>
          <t>NOT_DUE</t>
        </is>
      </c>
      <c r="I6906">
        <f>IF(H6906="UNPAID", AsOfDate-D6906, 0)</f>
        <v/>
      </c>
      <c r="J6906">
        <f>IF(F6906&lt;&gt;"", TEXT(F6906, "yyyy-mm"), "")</f>
        <v/>
      </c>
    </row>
    <row r="6907">
      <c r="A6907" t="inlineStr">
        <is>
          <t>RP0006906</t>
        </is>
      </c>
      <c r="B6907" t="inlineStr">
        <is>
          <t>LN200978</t>
        </is>
      </c>
      <c r="C6907" t="n">
        <v>18</v>
      </c>
      <c r="D6907" s="8" t="n">
        <v>46365</v>
      </c>
      <c r="E6907" s="9" t="n">
        <v>15473.31</v>
      </c>
      <c r="F6907" s="8" t="n"/>
      <c r="G6907" s="9" t="n">
        <v>0</v>
      </c>
      <c r="H6907" t="inlineStr">
        <is>
          <t>NOT_DUE</t>
        </is>
      </c>
      <c r="I6907">
        <f>IF(H6907="UNPAID", AsOfDate-D6907, 0)</f>
        <v/>
      </c>
      <c r="J6907">
        <f>IF(F6907&lt;&gt;"", TEXT(F6907, "yyyy-mm"), "")</f>
        <v/>
      </c>
    </row>
    <row r="6908">
      <c r="A6908" t="inlineStr">
        <is>
          <t>RP0006907</t>
        </is>
      </c>
      <c r="B6908" t="inlineStr">
        <is>
          <t>LN200979</t>
        </is>
      </c>
      <c r="C6908" t="n">
        <v>1</v>
      </c>
      <c r="D6908" s="8" t="n">
        <v>46012</v>
      </c>
      <c r="E6908" s="9" t="n">
        <v>35181.25</v>
      </c>
      <c r="F6908" s="8" t="n">
        <v>46013</v>
      </c>
      <c r="G6908" s="9" t="n">
        <v>35181.25</v>
      </c>
      <c r="H6908" t="inlineStr">
        <is>
          <t>PAID_ON_TIME</t>
        </is>
      </c>
      <c r="I6908">
        <f>IF(H6908="UNPAID", AsOfDate-D6908, 0)</f>
        <v/>
      </c>
      <c r="J6908">
        <f>IF(F6908&lt;&gt;"", TEXT(F6908, "yyyy-mm"), "")</f>
        <v/>
      </c>
    </row>
    <row r="6909">
      <c r="A6909" t="inlineStr">
        <is>
          <t>RP0006908</t>
        </is>
      </c>
      <c r="B6909" t="inlineStr">
        <is>
          <t>LN200979</t>
        </is>
      </c>
      <c r="C6909" t="n">
        <v>2</v>
      </c>
      <c r="D6909" s="8" t="n">
        <v>46043</v>
      </c>
      <c r="E6909" s="9" t="n">
        <v>35181.25</v>
      </c>
      <c r="F6909" s="8" t="n">
        <v>46046</v>
      </c>
      <c r="G6909" s="9" t="n">
        <v>35181.25</v>
      </c>
      <c r="H6909" t="inlineStr">
        <is>
          <t>PAID_ON_TIME</t>
        </is>
      </c>
      <c r="I6909">
        <f>IF(H6909="UNPAID", AsOfDate-D6909, 0)</f>
        <v/>
      </c>
      <c r="J6909">
        <f>IF(F6909&lt;&gt;"", TEXT(F6909, "yyyy-mm"), "")</f>
        <v/>
      </c>
    </row>
    <row r="6910">
      <c r="A6910" t="inlineStr">
        <is>
          <t>RP0006909</t>
        </is>
      </c>
      <c r="B6910" t="inlineStr">
        <is>
          <t>LN200979</t>
        </is>
      </c>
      <c r="C6910" t="n">
        <v>3</v>
      </c>
      <c r="D6910" s="8" t="n">
        <v>46074</v>
      </c>
      <c r="E6910" s="9" t="n">
        <v>35181.25</v>
      </c>
      <c r="F6910" s="8" t="n">
        <v>46074</v>
      </c>
      <c r="G6910" s="9" t="n">
        <v>35181.25</v>
      </c>
      <c r="H6910" t="inlineStr">
        <is>
          <t>PAID_ON_TIME</t>
        </is>
      </c>
      <c r="I6910">
        <f>IF(H6910="UNPAID", AsOfDate-D6910, 0)</f>
        <v/>
      </c>
      <c r="J6910">
        <f>IF(F6910&lt;&gt;"", TEXT(F6910, "yyyy-mm"), "")</f>
        <v/>
      </c>
    </row>
    <row r="6911">
      <c r="A6911" t="inlineStr">
        <is>
          <t>RP0006910</t>
        </is>
      </c>
      <c r="B6911" t="inlineStr">
        <is>
          <t>LN200979</t>
        </is>
      </c>
      <c r="C6911" t="n">
        <v>4</v>
      </c>
      <c r="D6911" s="8" t="n">
        <v>46102</v>
      </c>
      <c r="E6911" s="9" t="n">
        <v>35181.25</v>
      </c>
      <c r="F6911" s="8" t="n"/>
      <c r="G6911" s="9" t="n">
        <v>0</v>
      </c>
      <c r="H6911" t="inlineStr">
        <is>
          <t>UNPAID</t>
        </is>
      </c>
      <c r="I6911">
        <f>IF(H6911="UNPAID", AsOfDate-D6911, 0)</f>
        <v/>
      </c>
      <c r="J6911">
        <f>IF(F6911&lt;&gt;"", TEXT(F6911, "yyyy-mm"), "")</f>
        <v/>
      </c>
    </row>
    <row r="6912">
      <c r="A6912" t="inlineStr">
        <is>
          <t>RP0006911</t>
        </is>
      </c>
      <c r="B6912" t="inlineStr">
        <is>
          <t>LN200979</t>
        </is>
      </c>
      <c r="C6912" t="n">
        <v>5</v>
      </c>
      <c r="D6912" s="8" t="n">
        <v>46133</v>
      </c>
      <c r="E6912" s="9" t="n">
        <v>35181.25</v>
      </c>
      <c r="F6912" s="8" t="n">
        <v>46137</v>
      </c>
      <c r="G6912" s="9" t="n">
        <v>35181.25</v>
      </c>
      <c r="H6912" t="inlineStr">
        <is>
          <t>PAID_ON_TIME</t>
        </is>
      </c>
      <c r="I6912">
        <f>IF(H6912="UNPAID", AsOfDate-D6912, 0)</f>
        <v/>
      </c>
      <c r="J6912">
        <f>IF(F6912&lt;&gt;"", TEXT(F6912, "yyyy-mm"), "")</f>
        <v/>
      </c>
    </row>
    <row r="6913">
      <c r="A6913" t="inlineStr">
        <is>
          <t>RP0006912</t>
        </is>
      </c>
      <c r="B6913" t="inlineStr">
        <is>
          <t>LN200979</t>
        </is>
      </c>
      <c r="C6913" t="n">
        <v>6</v>
      </c>
      <c r="D6913" s="8" t="n">
        <v>46163</v>
      </c>
      <c r="E6913" s="9" t="n">
        <v>35181.25</v>
      </c>
      <c r="F6913" s="8" t="n">
        <v>46162</v>
      </c>
      <c r="G6913" s="9" t="n">
        <v>35181.25</v>
      </c>
      <c r="H6913" t="inlineStr">
        <is>
          <t>PAID_ON_TIME</t>
        </is>
      </c>
      <c r="I6913">
        <f>IF(H6913="UNPAID", AsOfDate-D6913, 0)</f>
        <v/>
      </c>
      <c r="J6913">
        <f>IF(F6913&lt;&gt;"", TEXT(F6913, "yyyy-mm"), "")</f>
        <v/>
      </c>
    </row>
    <row r="6914">
      <c r="A6914" t="inlineStr">
        <is>
          <t>RP0006913</t>
        </is>
      </c>
      <c r="B6914" t="inlineStr">
        <is>
          <t>LN200980</t>
        </is>
      </c>
      <c r="C6914" t="n">
        <v>1</v>
      </c>
      <c r="D6914" s="8" t="n">
        <v>45985</v>
      </c>
      <c r="E6914" s="9" t="n">
        <v>7095.5</v>
      </c>
      <c r="F6914" s="8" t="n">
        <v>45986</v>
      </c>
      <c r="G6914" s="9" t="n">
        <v>7095.5</v>
      </c>
      <c r="H6914" t="inlineStr">
        <is>
          <t>PAID_ON_TIME</t>
        </is>
      </c>
      <c r="I6914">
        <f>IF(H6914="UNPAID", AsOfDate-D6914, 0)</f>
        <v/>
      </c>
      <c r="J6914">
        <f>IF(F6914&lt;&gt;"", TEXT(F6914, "yyyy-mm"), "")</f>
        <v/>
      </c>
    </row>
    <row r="6915">
      <c r="A6915" t="inlineStr">
        <is>
          <t>RP0006914</t>
        </is>
      </c>
      <c r="B6915" t="inlineStr">
        <is>
          <t>LN200980</t>
        </is>
      </c>
      <c r="C6915" t="n">
        <v>2</v>
      </c>
      <c r="D6915" s="8" t="n">
        <v>46015</v>
      </c>
      <c r="E6915" s="9" t="n">
        <v>7095.5</v>
      </c>
      <c r="F6915" s="8" t="n">
        <v>46115</v>
      </c>
      <c r="G6915" s="9" t="n">
        <v>7095.5</v>
      </c>
      <c r="H6915" t="inlineStr">
        <is>
          <t>PAID_LATE</t>
        </is>
      </c>
      <c r="I6915">
        <f>IF(H6915="UNPAID", AsOfDate-D6915, 0)</f>
        <v/>
      </c>
      <c r="J6915">
        <f>IF(F6915&lt;&gt;"", TEXT(F6915, "yyyy-mm"), "")</f>
        <v/>
      </c>
    </row>
    <row r="6916">
      <c r="A6916" t="inlineStr">
        <is>
          <t>RP0006915</t>
        </is>
      </c>
      <c r="B6916" t="inlineStr">
        <is>
          <t>LN200980</t>
        </is>
      </c>
      <c r="C6916" t="n">
        <v>3</v>
      </c>
      <c r="D6916" s="8" t="n">
        <v>46046</v>
      </c>
      <c r="E6916" s="9" t="n">
        <v>7095.5</v>
      </c>
      <c r="F6916" s="8" t="n">
        <v>46050</v>
      </c>
      <c r="G6916" s="9" t="n">
        <v>7095.5</v>
      </c>
      <c r="H6916" t="inlineStr">
        <is>
          <t>PAID_ON_TIME</t>
        </is>
      </c>
      <c r="I6916">
        <f>IF(H6916="UNPAID", AsOfDate-D6916, 0)</f>
        <v/>
      </c>
      <c r="J6916">
        <f>IF(F6916&lt;&gt;"", TEXT(F6916, "yyyy-mm"), "")</f>
        <v/>
      </c>
    </row>
    <row r="6917">
      <c r="A6917" t="inlineStr">
        <is>
          <t>RP0006916</t>
        </is>
      </c>
      <c r="B6917" t="inlineStr">
        <is>
          <t>LN200980</t>
        </is>
      </c>
      <c r="C6917" t="n">
        <v>4</v>
      </c>
      <c r="D6917" s="8" t="n">
        <v>46077</v>
      </c>
      <c r="E6917" s="9" t="n">
        <v>7095.5</v>
      </c>
      <c r="F6917" s="8" t="n">
        <v>46075</v>
      </c>
      <c r="G6917" s="9" t="n">
        <v>7095.5</v>
      </c>
      <c r="H6917" t="inlineStr">
        <is>
          <t>PAID_ON_TIME</t>
        </is>
      </c>
      <c r="I6917">
        <f>IF(H6917="UNPAID", AsOfDate-D6917, 0)</f>
        <v/>
      </c>
      <c r="J6917">
        <f>IF(F6917&lt;&gt;"", TEXT(F6917, "yyyy-mm"), "")</f>
        <v/>
      </c>
    </row>
    <row r="6918">
      <c r="A6918" t="inlineStr">
        <is>
          <t>RP0006917</t>
        </is>
      </c>
      <c r="B6918" t="inlineStr">
        <is>
          <t>LN200980</t>
        </is>
      </c>
      <c r="C6918" t="n">
        <v>5</v>
      </c>
      <c r="D6918" s="8" t="n">
        <v>46105</v>
      </c>
      <c r="E6918" s="9" t="n">
        <v>7095.5</v>
      </c>
      <c r="F6918" s="8" t="n">
        <v>46104</v>
      </c>
      <c r="G6918" s="9" t="n">
        <v>7095.5</v>
      </c>
      <c r="H6918" t="inlineStr">
        <is>
          <t>PAID_ON_TIME</t>
        </is>
      </c>
      <c r="I6918">
        <f>IF(H6918="UNPAID", AsOfDate-D6918, 0)</f>
        <v/>
      </c>
      <c r="J6918">
        <f>IF(F6918&lt;&gt;"", TEXT(F6918, "yyyy-mm"), "")</f>
        <v/>
      </c>
    </row>
    <row r="6919">
      <c r="A6919" t="inlineStr">
        <is>
          <t>RP0006918</t>
        </is>
      </c>
      <c r="B6919" t="inlineStr">
        <is>
          <t>LN200980</t>
        </is>
      </c>
      <c r="C6919" t="n">
        <v>6</v>
      </c>
      <c r="D6919" s="8" t="n">
        <v>46136</v>
      </c>
      <c r="E6919" s="9" t="n">
        <v>7095.5</v>
      </c>
      <c r="F6919" s="8" t="n">
        <v>46136</v>
      </c>
      <c r="G6919" s="9" t="n">
        <v>7095.5</v>
      </c>
      <c r="H6919" t="inlineStr">
        <is>
          <t>PAID_ON_TIME</t>
        </is>
      </c>
      <c r="I6919">
        <f>IF(H6919="UNPAID", AsOfDate-D6919, 0)</f>
        <v/>
      </c>
      <c r="J6919">
        <f>IF(F6919&lt;&gt;"", TEXT(F6919, "yyyy-mm"), "")</f>
        <v/>
      </c>
    </row>
    <row r="6920">
      <c r="A6920" t="inlineStr">
        <is>
          <t>RP0006919</t>
        </is>
      </c>
      <c r="B6920" t="inlineStr">
        <is>
          <t>LN200980</t>
        </is>
      </c>
      <c r="C6920" t="n">
        <v>7</v>
      </c>
      <c r="D6920" s="8" t="n">
        <v>46166</v>
      </c>
      <c r="E6920" s="9" t="n">
        <v>7095.5</v>
      </c>
      <c r="F6920" s="8" t="n">
        <v>46164</v>
      </c>
      <c r="G6920" s="9" t="n">
        <v>7095.5</v>
      </c>
      <c r="H6920" t="inlineStr">
        <is>
          <t>PAID_ON_TIME</t>
        </is>
      </c>
      <c r="I6920">
        <f>IF(H6920="UNPAID", AsOfDate-D6920, 0)</f>
        <v/>
      </c>
      <c r="J6920">
        <f>IF(F6920&lt;&gt;"", TEXT(F6920, "yyyy-mm"), "")</f>
        <v/>
      </c>
    </row>
    <row r="6921">
      <c r="A6921" t="inlineStr">
        <is>
          <t>RP0006920</t>
        </is>
      </c>
      <c r="B6921" t="inlineStr">
        <is>
          <t>LN200980</t>
        </is>
      </c>
      <c r="C6921" t="n">
        <v>8</v>
      </c>
      <c r="D6921" s="8" t="n">
        <v>46197</v>
      </c>
      <c r="E6921" s="9" t="n">
        <v>7095.5</v>
      </c>
      <c r="F6921" s="8" t="n">
        <v>46201</v>
      </c>
      <c r="G6921" s="9" t="n">
        <v>7095.5</v>
      </c>
      <c r="H6921" t="inlineStr">
        <is>
          <t>PAID_ON_TIME</t>
        </is>
      </c>
      <c r="I6921">
        <f>IF(H6921="UNPAID", AsOfDate-D6921, 0)</f>
        <v/>
      </c>
      <c r="J6921">
        <f>IF(F6921&lt;&gt;"", TEXT(F6921, "yyyy-mm"), "")</f>
        <v/>
      </c>
    </row>
    <row r="6922">
      <c r="A6922" t="inlineStr">
        <is>
          <t>RP0006921</t>
        </is>
      </c>
      <c r="B6922" t="inlineStr">
        <is>
          <t>LN200980</t>
        </is>
      </c>
      <c r="C6922" t="n">
        <v>9</v>
      </c>
      <c r="D6922" s="8" t="n">
        <v>46227</v>
      </c>
      <c r="E6922" s="9" t="n">
        <v>7095.5</v>
      </c>
      <c r="F6922" s="8" t="n">
        <v>46231</v>
      </c>
      <c r="G6922" s="9" t="n">
        <v>7095.5</v>
      </c>
      <c r="H6922" t="inlineStr">
        <is>
          <t>PAID_ON_TIME</t>
        </is>
      </c>
      <c r="I6922">
        <f>IF(H6922="UNPAID", AsOfDate-D6922, 0)</f>
        <v/>
      </c>
      <c r="J6922">
        <f>IF(F6922&lt;&gt;"", TEXT(F6922, "yyyy-mm"), "")</f>
        <v/>
      </c>
    </row>
    <row r="6923">
      <c r="A6923" t="inlineStr">
        <is>
          <t>RP0006922</t>
        </is>
      </c>
      <c r="B6923" t="inlineStr">
        <is>
          <t>LN200980</t>
        </is>
      </c>
      <c r="C6923" t="n">
        <v>10</v>
      </c>
      <c r="D6923" s="8" t="n">
        <v>46258</v>
      </c>
      <c r="E6923" s="9" t="n">
        <v>7095.5</v>
      </c>
      <c r="F6923" s="8" t="n">
        <v>46256</v>
      </c>
      <c r="G6923" s="9" t="n">
        <v>7095.5</v>
      </c>
      <c r="H6923" t="inlineStr">
        <is>
          <t>PAID_ON_TIME</t>
        </is>
      </c>
      <c r="I6923">
        <f>IF(H6923="UNPAID", AsOfDate-D6923, 0)</f>
        <v/>
      </c>
      <c r="J6923">
        <f>IF(F6923&lt;&gt;"", TEXT(F6923, "yyyy-mm"), "")</f>
        <v/>
      </c>
    </row>
    <row r="6924">
      <c r="A6924" t="inlineStr">
        <is>
          <t>RP0006923</t>
        </is>
      </c>
      <c r="B6924" t="inlineStr">
        <is>
          <t>LN200980</t>
        </is>
      </c>
      <c r="C6924" t="n">
        <v>11</v>
      </c>
      <c r="D6924" s="8" t="n">
        <v>46289</v>
      </c>
      <c r="E6924" s="9" t="n">
        <v>7095.5</v>
      </c>
      <c r="F6924" s="8" t="n"/>
      <c r="G6924" s="9" t="n">
        <v>0</v>
      </c>
      <c r="H6924" t="inlineStr">
        <is>
          <t>NOT_DUE</t>
        </is>
      </c>
      <c r="I6924">
        <f>IF(H6924="UNPAID", AsOfDate-D6924, 0)</f>
        <v/>
      </c>
      <c r="J6924">
        <f>IF(F6924&lt;&gt;"", TEXT(F6924, "yyyy-mm"), "")</f>
        <v/>
      </c>
    </row>
    <row r="6925">
      <c r="A6925" t="inlineStr">
        <is>
          <t>RP0006924</t>
        </is>
      </c>
      <c r="B6925" t="inlineStr">
        <is>
          <t>LN200980</t>
        </is>
      </c>
      <c r="C6925" t="n">
        <v>12</v>
      </c>
      <c r="D6925" s="8" t="n">
        <v>46319</v>
      </c>
      <c r="E6925" s="9" t="n">
        <v>7095.5</v>
      </c>
      <c r="F6925" s="8" t="n"/>
      <c r="G6925" s="9" t="n">
        <v>0</v>
      </c>
      <c r="H6925" t="inlineStr">
        <is>
          <t>NOT_DUE</t>
        </is>
      </c>
      <c r="I6925">
        <f>IF(H6925="UNPAID", AsOfDate-D6925, 0)</f>
        <v/>
      </c>
      <c r="J6925">
        <f>IF(F6925&lt;&gt;"", TEXT(F6925, "yyyy-mm"), "")</f>
        <v/>
      </c>
    </row>
    <row r="6926">
      <c r="A6926" t="inlineStr">
        <is>
          <t>RP0006925</t>
        </is>
      </c>
      <c r="B6926" t="inlineStr">
        <is>
          <t>LN200981</t>
        </is>
      </c>
      <c r="C6926" t="n">
        <v>1</v>
      </c>
      <c r="D6926" s="8" t="n">
        <v>46122</v>
      </c>
      <c r="E6926" s="9" t="n">
        <v>2732.19</v>
      </c>
      <c r="F6926" s="8" t="n">
        <v>46123</v>
      </c>
      <c r="G6926" s="9" t="n">
        <v>2732.19</v>
      </c>
      <c r="H6926" t="inlineStr">
        <is>
          <t>PAID_ON_TIME</t>
        </is>
      </c>
      <c r="I6926">
        <f>IF(H6926="UNPAID", AsOfDate-D6926, 0)</f>
        <v/>
      </c>
      <c r="J6926">
        <f>IF(F6926&lt;&gt;"", TEXT(F6926, "yyyy-mm"), "")</f>
        <v/>
      </c>
    </row>
    <row r="6927">
      <c r="A6927" t="inlineStr">
        <is>
          <t>RP0006926</t>
        </is>
      </c>
      <c r="B6927" t="inlineStr">
        <is>
          <t>LN200981</t>
        </is>
      </c>
      <c r="C6927" t="n">
        <v>2</v>
      </c>
      <c r="D6927" s="8" t="n">
        <v>46152</v>
      </c>
      <c r="E6927" s="9" t="n">
        <v>2732.19</v>
      </c>
      <c r="F6927" s="8" t="n">
        <v>46153</v>
      </c>
      <c r="G6927" s="9" t="n">
        <v>2732.19</v>
      </c>
      <c r="H6927" t="inlineStr">
        <is>
          <t>PAID_ON_TIME</t>
        </is>
      </c>
      <c r="I6927">
        <f>IF(H6927="UNPAID", AsOfDate-D6927, 0)</f>
        <v/>
      </c>
      <c r="J6927">
        <f>IF(F6927&lt;&gt;"", TEXT(F6927, "yyyy-mm"), "")</f>
        <v/>
      </c>
    </row>
    <row r="6928">
      <c r="A6928" t="inlineStr">
        <is>
          <t>RP0006927</t>
        </is>
      </c>
      <c r="B6928" t="inlineStr">
        <is>
          <t>LN200981</t>
        </is>
      </c>
      <c r="C6928" t="n">
        <v>3</v>
      </c>
      <c r="D6928" s="8" t="n">
        <v>46183</v>
      </c>
      <c r="E6928" s="9" t="n">
        <v>2732.19</v>
      </c>
      <c r="F6928" s="8" t="n">
        <v>46187</v>
      </c>
      <c r="G6928" s="9" t="n">
        <v>2732.19</v>
      </c>
      <c r="H6928" t="inlineStr">
        <is>
          <t>PAID_LATE</t>
        </is>
      </c>
      <c r="I6928">
        <f>IF(H6928="UNPAID", AsOfDate-D6928, 0)</f>
        <v/>
      </c>
      <c r="J6928">
        <f>IF(F6928&lt;&gt;"", TEXT(F6928, "yyyy-mm"), "")</f>
        <v/>
      </c>
    </row>
    <row r="6929">
      <c r="A6929" t="inlineStr">
        <is>
          <t>RP0006928</t>
        </is>
      </c>
      <c r="B6929" t="inlineStr">
        <is>
          <t>LN200981</t>
        </is>
      </c>
      <c r="C6929" t="n">
        <v>4</v>
      </c>
      <c r="D6929" s="8" t="n">
        <v>46213</v>
      </c>
      <c r="E6929" s="9" t="n">
        <v>2732.19</v>
      </c>
      <c r="F6929" s="8" t="n">
        <v>46215</v>
      </c>
      <c r="G6929" s="9" t="n">
        <v>2732.19</v>
      </c>
      <c r="H6929" t="inlineStr">
        <is>
          <t>PAID_ON_TIME</t>
        </is>
      </c>
      <c r="I6929">
        <f>IF(H6929="UNPAID", AsOfDate-D6929, 0)</f>
        <v/>
      </c>
      <c r="J6929">
        <f>IF(F6929&lt;&gt;"", TEXT(F6929, "yyyy-mm"), "")</f>
        <v/>
      </c>
    </row>
    <row r="6930">
      <c r="A6930" t="inlineStr">
        <is>
          <t>RP0006929</t>
        </is>
      </c>
      <c r="B6930" t="inlineStr">
        <is>
          <t>LN200981</t>
        </is>
      </c>
      <c r="C6930" t="n">
        <v>5</v>
      </c>
      <c r="D6930" s="8" t="n">
        <v>46244</v>
      </c>
      <c r="E6930" s="9" t="n">
        <v>2732.19</v>
      </c>
      <c r="F6930" s="8" t="n">
        <v>46246</v>
      </c>
      <c r="G6930" s="9" t="n">
        <v>2732.19</v>
      </c>
      <c r="H6930" t="inlineStr">
        <is>
          <t>PAID_ON_TIME</t>
        </is>
      </c>
      <c r="I6930">
        <f>IF(H6930="UNPAID", AsOfDate-D6930, 0)</f>
        <v/>
      </c>
      <c r="J6930">
        <f>IF(F6930&lt;&gt;"", TEXT(F6930, "yyyy-mm"), "")</f>
        <v/>
      </c>
    </row>
    <row r="6931">
      <c r="A6931" t="inlineStr">
        <is>
          <t>RP0006930</t>
        </is>
      </c>
      <c r="B6931" t="inlineStr">
        <is>
          <t>LN200981</t>
        </is>
      </c>
      <c r="C6931" t="n">
        <v>6</v>
      </c>
      <c r="D6931" s="8" t="n">
        <v>46275</v>
      </c>
      <c r="E6931" s="9" t="n">
        <v>2732.19</v>
      </c>
      <c r="F6931" s="8" t="n"/>
      <c r="G6931" s="9" t="n">
        <v>0</v>
      </c>
      <c r="H6931" t="inlineStr">
        <is>
          <t>NOT_DUE</t>
        </is>
      </c>
      <c r="I6931">
        <f>IF(H6931="UNPAID", AsOfDate-D6931, 0)</f>
        <v/>
      </c>
      <c r="J6931">
        <f>IF(F6931&lt;&gt;"", TEXT(F6931, "yyyy-mm"), "")</f>
        <v/>
      </c>
    </row>
    <row r="6932">
      <c r="A6932" t="inlineStr">
        <is>
          <t>RP0006931</t>
        </is>
      </c>
      <c r="B6932" t="inlineStr">
        <is>
          <t>LN200981</t>
        </is>
      </c>
      <c r="C6932" t="n">
        <v>7</v>
      </c>
      <c r="D6932" s="8" t="n">
        <v>46305</v>
      </c>
      <c r="E6932" s="9" t="n">
        <v>2732.19</v>
      </c>
      <c r="F6932" s="8" t="n"/>
      <c r="G6932" s="9" t="n">
        <v>0</v>
      </c>
      <c r="H6932" t="inlineStr">
        <is>
          <t>NOT_DUE</t>
        </is>
      </c>
      <c r="I6932">
        <f>IF(H6932="UNPAID", AsOfDate-D6932, 0)</f>
        <v/>
      </c>
      <c r="J6932">
        <f>IF(F6932&lt;&gt;"", TEXT(F6932, "yyyy-mm"), "")</f>
        <v/>
      </c>
    </row>
    <row r="6933">
      <c r="A6933" t="inlineStr">
        <is>
          <t>RP0006932</t>
        </is>
      </c>
      <c r="B6933" t="inlineStr">
        <is>
          <t>LN200981</t>
        </is>
      </c>
      <c r="C6933" t="n">
        <v>8</v>
      </c>
      <c r="D6933" s="8" t="n">
        <v>46336</v>
      </c>
      <c r="E6933" s="9" t="n">
        <v>2732.19</v>
      </c>
      <c r="F6933" s="8" t="n"/>
      <c r="G6933" s="9" t="n">
        <v>0</v>
      </c>
      <c r="H6933" t="inlineStr">
        <is>
          <t>NOT_DUE</t>
        </is>
      </c>
      <c r="I6933">
        <f>IF(H6933="UNPAID", AsOfDate-D6933, 0)</f>
        <v/>
      </c>
      <c r="J6933">
        <f>IF(F6933&lt;&gt;"", TEXT(F6933, "yyyy-mm"), "")</f>
        <v/>
      </c>
    </row>
    <row r="6934">
      <c r="A6934" t="inlineStr">
        <is>
          <t>RP0006933</t>
        </is>
      </c>
      <c r="B6934" t="inlineStr">
        <is>
          <t>LN200981</t>
        </is>
      </c>
      <c r="C6934" t="n">
        <v>9</v>
      </c>
      <c r="D6934" s="8" t="n">
        <v>46366</v>
      </c>
      <c r="E6934" s="9" t="n">
        <v>2732.19</v>
      </c>
      <c r="F6934" s="8" t="n"/>
      <c r="G6934" s="9" t="n">
        <v>0</v>
      </c>
      <c r="H6934" t="inlineStr">
        <is>
          <t>NOT_DUE</t>
        </is>
      </c>
      <c r="I6934">
        <f>IF(H6934="UNPAID", AsOfDate-D6934, 0)</f>
        <v/>
      </c>
      <c r="J6934">
        <f>IF(F6934&lt;&gt;"", TEXT(F6934, "yyyy-mm"), "")</f>
        <v/>
      </c>
    </row>
    <row r="6935">
      <c r="A6935" t="inlineStr">
        <is>
          <t>RP0006934</t>
        </is>
      </c>
      <c r="B6935" t="inlineStr">
        <is>
          <t>LN200981</t>
        </is>
      </c>
      <c r="C6935" t="n">
        <v>10</v>
      </c>
      <c r="D6935" s="8" t="n">
        <v>46397</v>
      </c>
      <c r="E6935" s="9" t="n">
        <v>2732.19</v>
      </c>
      <c r="F6935" s="8" t="n"/>
      <c r="G6935" s="9" t="n">
        <v>0</v>
      </c>
      <c r="H6935" t="inlineStr">
        <is>
          <t>NOT_DUE</t>
        </is>
      </c>
      <c r="I6935">
        <f>IF(H6935="UNPAID", AsOfDate-D6935, 0)</f>
        <v/>
      </c>
      <c r="J6935">
        <f>IF(F6935&lt;&gt;"", TEXT(F6935, "yyyy-mm"), "")</f>
        <v/>
      </c>
    </row>
    <row r="6936">
      <c r="A6936" t="inlineStr">
        <is>
          <t>RP0006935</t>
        </is>
      </c>
      <c r="B6936" t="inlineStr">
        <is>
          <t>LN200981</t>
        </is>
      </c>
      <c r="C6936" t="n">
        <v>11</v>
      </c>
      <c r="D6936" s="8" t="n">
        <v>46428</v>
      </c>
      <c r="E6936" s="9" t="n">
        <v>2732.19</v>
      </c>
      <c r="F6936" s="8" t="n"/>
      <c r="G6936" s="9" t="n">
        <v>0</v>
      </c>
      <c r="H6936" t="inlineStr">
        <is>
          <t>NOT_DUE</t>
        </is>
      </c>
      <c r="I6936">
        <f>IF(H6936="UNPAID", AsOfDate-D6936, 0)</f>
        <v/>
      </c>
      <c r="J6936">
        <f>IF(F6936&lt;&gt;"", TEXT(F6936, "yyyy-mm"), "")</f>
        <v/>
      </c>
    </row>
    <row r="6937">
      <c r="A6937" t="inlineStr">
        <is>
          <t>RP0006936</t>
        </is>
      </c>
      <c r="B6937" t="inlineStr">
        <is>
          <t>LN200981</t>
        </is>
      </c>
      <c r="C6937" t="n">
        <v>12</v>
      </c>
      <c r="D6937" s="8" t="n">
        <v>46456</v>
      </c>
      <c r="E6937" s="9" t="n">
        <v>2732.19</v>
      </c>
      <c r="F6937" s="8" t="n"/>
      <c r="G6937" s="9" t="n">
        <v>0</v>
      </c>
      <c r="H6937" t="inlineStr">
        <is>
          <t>NOT_DUE</t>
        </is>
      </c>
      <c r="I6937">
        <f>IF(H6937="UNPAID", AsOfDate-D6937, 0)</f>
        <v/>
      </c>
      <c r="J6937">
        <f>IF(F6937&lt;&gt;"", TEXT(F6937, "yyyy-mm"), "")</f>
        <v/>
      </c>
    </row>
    <row r="6938">
      <c r="A6938" t="inlineStr">
        <is>
          <t>RP0006937</t>
        </is>
      </c>
      <c r="B6938" t="inlineStr">
        <is>
          <t>LN200981</t>
        </is>
      </c>
      <c r="C6938" t="n">
        <v>13</v>
      </c>
      <c r="D6938" s="8" t="n">
        <v>46487</v>
      </c>
      <c r="E6938" s="9" t="n">
        <v>2732.19</v>
      </c>
      <c r="F6938" s="8" t="n"/>
      <c r="G6938" s="9" t="n">
        <v>0</v>
      </c>
      <c r="H6938" t="inlineStr">
        <is>
          <t>NOT_DUE</t>
        </is>
      </c>
      <c r="I6938">
        <f>IF(H6938="UNPAID", AsOfDate-D6938, 0)</f>
        <v/>
      </c>
      <c r="J6938">
        <f>IF(F6938&lt;&gt;"", TEXT(F6938, "yyyy-mm"), "")</f>
        <v/>
      </c>
    </row>
    <row r="6939">
      <c r="A6939" t="inlineStr">
        <is>
          <t>RP0006938</t>
        </is>
      </c>
      <c r="B6939" t="inlineStr">
        <is>
          <t>LN200981</t>
        </is>
      </c>
      <c r="C6939" t="n">
        <v>14</v>
      </c>
      <c r="D6939" s="8" t="n">
        <v>46517</v>
      </c>
      <c r="E6939" s="9" t="n">
        <v>2732.19</v>
      </c>
      <c r="F6939" s="8" t="n"/>
      <c r="G6939" s="9" t="n">
        <v>0</v>
      </c>
      <c r="H6939" t="inlineStr">
        <is>
          <t>NOT_DUE</t>
        </is>
      </c>
      <c r="I6939">
        <f>IF(H6939="UNPAID", AsOfDate-D6939, 0)</f>
        <v/>
      </c>
      <c r="J6939">
        <f>IF(F6939&lt;&gt;"", TEXT(F6939, "yyyy-mm"), "")</f>
        <v/>
      </c>
    </row>
    <row r="6940">
      <c r="A6940" t="inlineStr">
        <is>
          <t>RP0006939</t>
        </is>
      </c>
      <c r="B6940" t="inlineStr">
        <is>
          <t>LN200981</t>
        </is>
      </c>
      <c r="C6940" t="n">
        <v>15</v>
      </c>
      <c r="D6940" s="8" t="n">
        <v>46548</v>
      </c>
      <c r="E6940" s="9" t="n">
        <v>2732.19</v>
      </c>
      <c r="F6940" s="8" t="n"/>
      <c r="G6940" s="9" t="n">
        <v>0</v>
      </c>
      <c r="H6940" t="inlineStr">
        <is>
          <t>NOT_DUE</t>
        </is>
      </c>
      <c r="I6940">
        <f>IF(H6940="UNPAID", AsOfDate-D6940, 0)</f>
        <v/>
      </c>
      <c r="J6940">
        <f>IF(F6940&lt;&gt;"", TEXT(F6940, "yyyy-mm"), "")</f>
        <v/>
      </c>
    </row>
    <row r="6941">
      <c r="A6941" t="inlineStr">
        <is>
          <t>RP0006940</t>
        </is>
      </c>
      <c r="B6941" t="inlineStr">
        <is>
          <t>LN200981</t>
        </is>
      </c>
      <c r="C6941" t="n">
        <v>16</v>
      </c>
      <c r="D6941" s="8" t="n">
        <v>46578</v>
      </c>
      <c r="E6941" s="9" t="n">
        <v>2732.19</v>
      </c>
      <c r="F6941" s="8" t="n"/>
      <c r="G6941" s="9" t="n">
        <v>0</v>
      </c>
      <c r="H6941" t="inlineStr">
        <is>
          <t>NOT_DUE</t>
        </is>
      </c>
      <c r="I6941">
        <f>IF(H6941="UNPAID", AsOfDate-D6941, 0)</f>
        <v/>
      </c>
      <c r="J6941">
        <f>IF(F6941&lt;&gt;"", TEXT(F6941, "yyyy-mm"), "")</f>
        <v/>
      </c>
    </row>
    <row r="6942">
      <c r="A6942" t="inlineStr">
        <is>
          <t>RP0006941</t>
        </is>
      </c>
      <c r="B6942" t="inlineStr">
        <is>
          <t>LN200981</t>
        </is>
      </c>
      <c r="C6942" t="n">
        <v>17</v>
      </c>
      <c r="D6942" s="8" t="n">
        <v>46609</v>
      </c>
      <c r="E6942" s="9" t="n">
        <v>2732.19</v>
      </c>
      <c r="F6942" s="8" t="n"/>
      <c r="G6942" s="9" t="n">
        <v>0</v>
      </c>
      <c r="H6942" t="inlineStr">
        <is>
          <t>NOT_DUE</t>
        </is>
      </c>
      <c r="I6942">
        <f>IF(H6942="UNPAID", AsOfDate-D6942, 0)</f>
        <v/>
      </c>
      <c r="J6942">
        <f>IF(F6942&lt;&gt;"", TEXT(F6942, "yyyy-mm"), "")</f>
        <v/>
      </c>
    </row>
    <row r="6943">
      <c r="A6943" t="inlineStr">
        <is>
          <t>RP0006942</t>
        </is>
      </c>
      <c r="B6943" t="inlineStr">
        <is>
          <t>LN200981</t>
        </is>
      </c>
      <c r="C6943" t="n">
        <v>18</v>
      </c>
      <c r="D6943" s="8" t="n">
        <v>46640</v>
      </c>
      <c r="E6943" s="9" t="n">
        <v>2732.19</v>
      </c>
      <c r="F6943" s="8" t="n"/>
      <c r="G6943" s="9" t="n">
        <v>0</v>
      </c>
      <c r="H6943" t="inlineStr">
        <is>
          <t>NOT_DUE</t>
        </is>
      </c>
      <c r="I6943">
        <f>IF(H6943="UNPAID", AsOfDate-D6943, 0)</f>
        <v/>
      </c>
      <c r="J6943">
        <f>IF(F6943&lt;&gt;"", TEXT(F6943, "yyyy-mm"), "")</f>
        <v/>
      </c>
    </row>
    <row r="6944">
      <c r="A6944" t="inlineStr">
        <is>
          <t>RP0006943</t>
        </is>
      </c>
      <c r="B6944" t="inlineStr">
        <is>
          <t>LN200982</t>
        </is>
      </c>
      <c r="C6944" t="n">
        <v>1</v>
      </c>
      <c r="D6944" s="8" t="n">
        <v>46065</v>
      </c>
      <c r="E6944" s="9" t="n">
        <v>8467.5</v>
      </c>
      <c r="F6944" s="8" t="n">
        <v>46064</v>
      </c>
      <c r="G6944" s="9" t="n">
        <v>8467.5</v>
      </c>
      <c r="H6944" t="inlineStr">
        <is>
          <t>PAID_ON_TIME</t>
        </is>
      </c>
      <c r="I6944">
        <f>IF(H6944="UNPAID", AsOfDate-D6944, 0)</f>
        <v/>
      </c>
      <c r="J6944">
        <f>IF(F6944&lt;&gt;"", TEXT(F6944, "yyyy-mm"), "")</f>
        <v/>
      </c>
    </row>
    <row r="6945">
      <c r="A6945" t="inlineStr">
        <is>
          <t>RP0006944</t>
        </is>
      </c>
      <c r="B6945" t="inlineStr">
        <is>
          <t>LN200982</t>
        </is>
      </c>
      <c r="C6945" t="n">
        <v>2</v>
      </c>
      <c r="D6945" s="8" t="n">
        <v>46093</v>
      </c>
      <c r="E6945" s="9" t="n">
        <v>8467.5</v>
      </c>
      <c r="F6945" s="8" t="n">
        <v>46092</v>
      </c>
      <c r="G6945" s="9" t="n">
        <v>8467.5</v>
      </c>
      <c r="H6945" t="inlineStr">
        <is>
          <t>PAID_ON_TIME</t>
        </is>
      </c>
      <c r="I6945">
        <f>IF(H6945="UNPAID", AsOfDate-D6945, 0)</f>
        <v/>
      </c>
      <c r="J6945">
        <f>IF(F6945&lt;&gt;"", TEXT(F6945, "yyyy-mm"), "")</f>
        <v/>
      </c>
    </row>
    <row r="6946">
      <c r="A6946" t="inlineStr">
        <is>
          <t>RP0006945</t>
        </is>
      </c>
      <c r="B6946" t="inlineStr">
        <is>
          <t>LN200982</t>
        </is>
      </c>
      <c r="C6946" t="n">
        <v>3</v>
      </c>
      <c r="D6946" s="8" t="n">
        <v>46124</v>
      </c>
      <c r="E6946" s="9" t="n">
        <v>8467.5</v>
      </c>
      <c r="F6946" s="8" t="n">
        <v>46126</v>
      </c>
      <c r="G6946" s="9" t="n">
        <v>8467.5</v>
      </c>
      <c r="H6946" t="inlineStr">
        <is>
          <t>PAID_ON_TIME</t>
        </is>
      </c>
      <c r="I6946">
        <f>IF(H6946="UNPAID", AsOfDate-D6946, 0)</f>
        <v/>
      </c>
      <c r="J6946">
        <f>IF(F6946&lt;&gt;"", TEXT(F6946, "yyyy-mm"), "")</f>
        <v/>
      </c>
    </row>
    <row r="6947">
      <c r="A6947" t="inlineStr">
        <is>
          <t>RP0006946</t>
        </is>
      </c>
      <c r="B6947" t="inlineStr">
        <is>
          <t>LN200982</t>
        </is>
      </c>
      <c r="C6947" t="n">
        <v>4</v>
      </c>
      <c r="D6947" s="8" t="n">
        <v>46154</v>
      </c>
      <c r="E6947" s="9" t="n">
        <v>8467.5</v>
      </c>
      <c r="F6947" s="8" t="n">
        <v>46156</v>
      </c>
      <c r="G6947" s="9" t="n">
        <v>8467.5</v>
      </c>
      <c r="H6947" t="inlineStr">
        <is>
          <t>PAID_ON_TIME</t>
        </is>
      </c>
      <c r="I6947">
        <f>IF(H6947="UNPAID", AsOfDate-D6947, 0)</f>
        <v/>
      </c>
      <c r="J6947">
        <f>IF(F6947&lt;&gt;"", TEXT(F6947, "yyyy-mm"), "")</f>
        <v/>
      </c>
    </row>
    <row r="6948">
      <c r="A6948" t="inlineStr">
        <is>
          <t>RP0006947</t>
        </is>
      </c>
      <c r="B6948" t="inlineStr">
        <is>
          <t>LN200982</t>
        </is>
      </c>
      <c r="C6948" t="n">
        <v>5</v>
      </c>
      <c r="D6948" s="8" t="n">
        <v>46185</v>
      </c>
      <c r="E6948" s="9" t="n">
        <v>8467.5</v>
      </c>
      <c r="F6948" s="8" t="n">
        <v>46188</v>
      </c>
      <c r="G6948" s="9" t="n">
        <v>8467.5</v>
      </c>
      <c r="H6948" t="inlineStr">
        <is>
          <t>PAID_ON_TIME</t>
        </is>
      </c>
      <c r="I6948">
        <f>IF(H6948="UNPAID", AsOfDate-D6948, 0)</f>
        <v/>
      </c>
      <c r="J6948">
        <f>IF(F6948&lt;&gt;"", TEXT(F6948, "yyyy-mm"), "")</f>
        <v/>
      </c>
    </row>
    <row r="6949">
      <c r="A6949" t="inlineStr">
        <is>
          <t>RP0006948</t>
        </is>
      </c>
      <c r="B6949" t="inlineStr">
        <is>
          <t>LN200982</t>
        </is>
      </c>
      <c r="C6949" t="n">
        <v>6</v>
      </c>
      <c r="D6949" s="8" t="n">
        <v>46215</v>
      </c>
      <c r="E6949" s="9" t="n">
        <v>8467.5</v>
      </c>
      <c r="F6949" s="8" t="n">
        <v>46213</v>
      </c>
      <c r="G6949" s="9" t="n">
        <v>8467.5</v>
      </c>
      <c r="H6949" t="inlineStr">
        <is>
          <t>PAID_ON_TIME</t>
        </is>
      </c>
      <c r="I6949">
        <f>IF(H6949="UNPAID", AsOfDate-D6949, 0)</f>
        <v/>
      </c>
      <c r="J6949">
        <f>IF(F6949&lt;&gt;"", TEXT(F6949, "yyyy-mm"), "")</f>
        <v/>
      </c>
    </row>
    <row r="6950">
      <c r="A6950" t="inlineStr">
        <is>
          <t>RP0006949</t>
        </is>
      </c>
      <c r="B6950" t="inlineStr">
        <is>
          <t>LN200982</t>
        </is>
      </c>
      <c r="C6950" t="n">
        <v>7</v>
      </c>
      <c r="D6950" s="8" t="n">
        <v>46246</v>
      </c>
      <c r="E6950" s="9" t="n">
        <v>8467.5</v>
      </c>
      <c r="F6950" s="8" t="n">
        <v>46244</v>
      </c>
      <c r="G6950" s="9" t="n">
        <v>8467.5</v>
      </c>
      <c r="H6950" t="inlineStr">
        <is>
          <t>PAID_ON_TIME</t>
        </is>
      </c>
      <c r="I6950">
        <f>IF(H6950="UNPAID", AsOfDate-D6950, 0)</f>
        <v/>
      </c>
      <c r="J6950">
        <f>IF(F6950&lt;&gt;"", TEXT(F6950, "yyyy-mm"), "")</f>
        <v/>
      </c>
    </row>
    <row r="6951">
      <c r="A6951" t="inlineStr">
        <is>
          <t>RP0006950</t>
        </is>
      </c>
      <c r="B6951" t="inlineStr">
        <is>
          <t>LN200982</t>
        </is>
      </c>
      <c r="C6951" t="n">
        <v>8</v>
      </c>
      <c r="D6951" s="8" t="n">
        <v>46277</v>
      </c>
      <c r="E6951" s="9" t="n">
        <v>8467.5</v>
      </c>
      <c r="F6951" s="8" t="n"/>
      <c r="G6951" s="9" t="n">
        <v>0</v>
      </c>
      <c r="H6951" t="inlineStr">
        <is>
          <t>NOT_DUE</t>
        </is>
      </c>
      <c r="I6951">
        <f>IF(H6951="UNPAID", AsOfDate-D6951, 0)</f>
        <v/>
      </c>
      <c r="J6951">
        <f>IF(F6951&lt;&gt;"", TEXT(F6951, "yyyy-mm"), "")</f>
        <v/>
      </c>
    </row>
    <row r="6952">
      <c r="A6952" t="inlineStr">
        <is>
          <t>RP0006951</t>
        </is>
      </c>
      <c r="B6952" t="inlineStr">
        <is>
          <t>LN200982</t>
        </is>
      </c>
      <c r="C6952" t="n">
        <v>9</v>
      </c>
      <c r="D6952" s="8" t="n">
        <v>46307</v>
      </c>
      <c r="E6952" s="9" t="n">
        <v>8467.5</v>
      </c>
      <c r="F6952" s="8" t="n"/>
      <c r="G6952" s="9" t="n">
        <v>0</v>
      </c>
      <c r="H6952" t="inlineStr">
        <is>
          <t>NOT_DUE</t>
        </is>
      </c>
      <c r="I6952">
        <f>IF(H6952="UNPAID", AsOfDate-D6952, 0)</f>
        <v/>
      </c>
      <c r="J6952">
        <f>IF(F6952&lt;&gt;"", TEXT(F6952, "yyyy-mm"), "")</f>
        <v/>
      </c>
    </row>
    <row r="6953">
      <c r="A6953" t="inlineStr">
        <is>
          <t>RP0006952</t>
        </is>
      </c>
      <c r="B6953" t="inlineStr">
        <is>
          <t>LN200982</t>
        </is>
      </c>
      <c r="C6953" t="n">
        <v>10</v>
      </c>
      <c r="D6953" s="8" t="n">
        <v>46338</v>
      </c>
      <c r="E6953" s="9" t="n">
        <v>8467.5</v>
      </c>
      <c r="F6953" s="8" t="n"/>
      <c r="G6953" s="9" t="n">
        <v>0</v>
      </c>
      <c r="H6953" t="inlineStr">
        <is>
          <t>NOT_DUE</t>
        </is>
      </c>
      <c r="I6953">
        <f>IF(H6953="UNPAID", AsOfDate-D6953, 0)</f>
        <v/>
      </c>
      <c r="J6953">
        <f>IF(F6953&lt;&gt;"", TEXT(F6953, "yyyy-mm"), "")</f>
        <v/>
      </c>
    </row>
    <row r="6954">
      <c r="A6954" t="inlineStr">
        <is>
          <t>RP0006953</t>
        </is>
      </c>
      <c r="B6954" t="inlineStr">
        <is>
          <t>LN200982</t>
        </is>
      </c>
      <c r="C6954" t="n">
        <v>11</v>
      </c>
      <c r="D6954" s="8" t="n">
        <v>46368</v>
      </c>
      <c r="E6954" s="9" t="n">
        <v>8467.5</v>
      </c>
      <c r="F6954" s="8" t="n"/>
      <c r="G6954" s="9" t="n">
        <v>0</v>
      </c>
      <c r="H6954" t="inlineStr">
        <is>
          <t>NOT_DUE</t>
        </is>
      </c>
      <c r="I6954">
        <f>IF(H6954="UNPAID", AsOfDate-D6954, 0)</f>
        <v/>
      </c>
      <c r="J6954">
        <f>IF(F6954&lt;&gt;"", TEXT(F6954, "yyyy-mm"), "")</f>
        <v/>
      </c>
    </row>
    <row r="6955">
      <c r="A6955" t="inlineStr">
        <is>
          <t>RP0006954</t>
        </is>
      </c>
      <c r="B6955" t="inlineStr">
        <is>
          <t>LN200982</t>
        </is>
      </c>
      <c r="C6955" t="n">
        <v>12</v>
      </c>
      <c r="D6955" s="8" t="n">
        <v>46399</v>
      </c>
      <c r="E6955" s="9" t="n">
        <v>8467.5</v>
      </c>
      <c r="F6955" s="8" t="n"/>
      <c r="G6955" s="9" t="n">
        <v>0</v>
      </c>
      <c r="H6955" t="inlineStr">
        <is>
          <t>NOT_DUE</t>
        </is>
      </c>
      <c r="I6955">
        <f>IF(H6955="UNPAID", AsOfDate-D6955, 0)</f>
        <v/>
      </c>
      <c r="J6955">
        <f>IF(F6955&lt;&gt;"", TEXT(F6955, "yyyy-mm"), "")</f>
        <v/>
      </c>
    </row>
    <row r="6956">
      <c r="A6956" t="inlineStr">
        <is>
          <t>RP0006955</t>
        </is>
      </c>
      <c r="B6956" t="inlineStr">
        <is>
          <t>LN200983</t>
        </is>
      </c>
      <c r="C6956" t="n">
        <v>1</v>
      </c>
      <c r="D6956" s="8" t="n">
        <v>46201</v>
      </c>
      <c r="E6956" s="9" t="n">
        <v>21823.75</v>
      </c>
      <c r="F6956" s="8" t="n">
        <v>46205</v>
      </c>
      <c r="G6956" s="9" t="n">
        <v>21823.75</v>
      </c>
      <c r="H6956" t="inlineStr">
        <is>
          <t>PAID_ON_TIME</t>
        </is>
      </c>
      <c r="I6956">
        <f>IF(H6956="UNPAID", AsOfDate-D6956, 0)</f>
        <v/>
      </c>
      <c r="J6956">
        <f>IF(F6956&lt;&gt;"", TEXT(F6956, "yyyy-mm"), "")</f>
        <v/>
      </c>
    </row>
    <row r="6957">
      <c r="A6957" t="inlineStr">
        <is>
          <t>RP0006956</t>
        </is>
      </c>
      <c r="B6957" t="inlineStr">
        <is>
          <t>LN200983</t>
        </is>
      </c>
      <c r="C6957" t="n">
        <v>2</v>
      </c>
      <c r="D6957" s="8" t="n">
        <v>46231</v>
      </c>
      <c r="E6957" s="9" t="n">
        <v>21823.75</v>
      </c>
      <c r="F6957" s="8" t="n">
        <v>46230</v>
      </c>
      <c r="G6957" s="9" t="n">
        <v>21823.75</v>
      </c>
      <c r="H6957" t="inlineStr">
        <is>
          <t>PAID_ON_TIME</t>
        </is>
      </c>
      <c r="I6957">
        <f>IF(H6957="UNPAID", AsOfDate-D6957, 0)</f>
        <v/>
      </c>
      <c r="J6957">
        <f>IF(F6957&lt;&gt;"", TEXT(F6957, "yyyy-mm"), "")</f>
        <v/>
      </c>
    </row>
    <row r="6958">
      <c r="A6958" t="inlineStr">
        <is>
          <t>RP0006957</t>
        </is>
      </c>
      <c r="B6958" t="inlineStr">
        <is>
          <t>LN200983</t>
        </is>
      </c>
      <c r="C6958" t="n">
        <v>3</v>
      </c>
      <c r="D6958" s="8" t="n">
        <v>46262</v>
      </c>
      <c r="E6958" s="9" t="n">
        <v>21823.75</v>
      </c>
      <c r="F6958" s="8" t="n">
        <v>46259</v>
      </c>
      <c r="G6958" s="9" t="n">
        <v>21823.75</v>
      </c>
      <c r="H6958" t="inlineStr">
        <is>
          <t>PAID_ON_TIME</t>
        </is>
      </c>
      <c r="I6958">
        <f>IF(H6958="UNPAID", AsOfDate-D6958, 0)</f>
        <v/>
      </c>
      <c r="J6958">
        <f>IF(F6958&lt;&gt;"", TEXT(F6958, "yyyy-mm"), "")</f>
        <v/>
      </c>
    </row>
    <row r="6959">
      <c r="A6959" t="inlineStr">
        <is>
          <t>RP0006958</t>
        </is>
      </c>
      <c r="B6959" t="inlineStr">
        <is>
          <t>LN200983</t>
        </is>
      </c>
      <c r="C6959" t="n">
        <v>4</v>
      </c>
      <c r="D6959" s="8" t="n">
        <v>46293</v>
      </c>
      <c r="E6959" s="9" t="n">
        <v>21823.75</v>
      </c>
      <c r="F6959" s="8" t="n"/>
      <c r="G6959" s="9" t="n">
        <v>0</v>
      </c>
      <c r="H6959" t="inlineStr">
        <is>
          <t>NOT_DUE</t>
        </is>
      </c>
      <c r="I6959">
        <f>IF(H6959="UNPAID", AsOfDate-D6959, 0)</f>
        <v/>
      </c>
      <c r="J6959">
        <f>IF(F6959&lt;&gt;"", TEXT(F6959, "yyyy-mm"), "")</f>
        <v/>
      </c>
    </row>
    <row r="6960">
      <c r="A6960" t="inlineStr">
        <is>
          <t>RP0006959</t>
        </is>
      </c>
      <c r="B6960" t="inlineStr">
        <is>
          <t>LN200983</t>
        </is>
      </c>
      <c r="C6960" t="n">
        <v>5</v>
      </c>
      <c r="D6960" s="8" t="n">
        <v>46323</v>
      </c>
      <c r="E6960" s="9" t="n">
        <v>21823.75</v>
      </c>
      <c r="F6960" s="8" t="n"/>
      <c r="G6960" s="9" t="n">
        <v>0</v>
      </c>
      <c r="H6960" t="inlineStr">
        <is>
          <t>NOT_DUE</t>
        </is>
      </c>
      <c r="I6960">
        <f>IF(H6960="UNPAID", AsOfDate-D6960, 0)</f>
        <v/>
      </c>
      <c r="J6960">
        <f>IF(F6960&lt;&gt;"", TEXT(F6960, "yyyy-mm"), "")</f>
        <v/>
      </c>
    </row>
    <row r="6961">
      <c r="A6961" t="inlineStr">
        <is>
          <t>RP0006960</t>
        </is>
      </c>
      <c r="B6961" t="inlineStr">
        <is>
          <t>LN200983</t>
        </is>
      </c>
      <c r="C6961" t="n">
        <v>6</v>
      </c>
      <c r="D6961" s="8" t="n">
        <v>46354</v>
      </c>
      <c r="E6961" s="9" t="n">
        <v>21823.75</v>
      </c>
      <c r="F6961" s="8" t="n"/>
      <c r="G6961" s="9" t="n">
        <v>0</v>
      </c>
      <c r="H6961" t="inlineStr">
        <is>
          <t>NOT_DUE</t>
        </is>
      </c>
      <c r="I6961">
        <f>IF(H6961="UNPAID", AsOfDate-D6961, 0)</f>
        <v/>
      </c>
      <c r="J6961">
        <f>IF(F6961&lt;&gt;"", TEXT(F6961, "yyyy-mm"), "")</f>
        <v/>
      </c>
    </row>
    <row r="6962">
      <c r="A6962" t="inlineStr">
        <is>
          <t>RP0006961</t>
        </is>
      </c>
      <c r="B6962" t="inlineStr">
        <is>
          <t>LN200983</t>
        </is>
      </c>
      <c r="C6962" t="n">
        <v>7</v>
      </c>
      <c r="D6962" s="8" t="n">
        <v>46384</v>
      </c>
      <c r="E6962" s="9" t="n">
        <v>21823.75</v>
      </c>
      <c r="F6962" s="8" t="n"/>
      <c r="G6962" s="9" t="n">
        <v>0</v>
      </c>
      <c r="H6962" t="inlineStr">
        <is>
          <t>NOT_DUE</t>
        </is>
      </c>
      <c r="I6962">
        <f>IF(H6962="UNPAID", AsOfDate-D6962, 0)</f>
        <v/>
      </c>
      <c r="J6962">
        <f>IF(F6962&lt;&gt;"", TEXT(F6962, "yyyy-mm"), "")</f>
        <v/>
      </c>
    </row>
    <row r="6963">
      <c r="A6963" t="inlineStr">
        <is>
          <t>RP0006962</t>
        </is>
      </c>
      <c r="B6963" t="inlineStr">
        <is>
          <t>LN200983</t>
        </is>
      </c>
      <c r="C6963" t="n">
        <v>8</v>
      </c>
      <c r="D6963" s="8" t="n">
        <v>46415</v>
      </c>
      <c r="E6963" s="9" t="n">
        <v>21823.75</v>
      </c>
      <c r="F6963" s="8" t="n"/>
      <c r="G6963" s="9" t="n">
        <v>0</v>
      </c>
      <c r="H6963" t="inlineStr">
        <is>
          <t>NOT_DUE</t>
        </is>
      </c>
      <c r="I6963">
        <f>IF(H6963="UNPAID", AsOfDate-D6963, 0)</f>
        <v/>
      </c>
      <c r="J6963">
        <f>IF(F6963&lt;&gt;"", TEXT(F6963, "yyyy-mm"), "")</f>
        <v/>
      </c>
    </row>
    <row r="6964">
      <c r="A6964" t="inlineStr">
        <is>
          <t>RP0006963</t>
        </is>
      </c>
      <c r="B6964" t="inlineStr">
        <is>
          <t>LN200983</t>
        </is>
      </c>
      <c r="C6964" t="n">
        <v>9</v>
      </c>
      <c r="D6964" s="8" t="n">
        <v>46446</v>
      </c>
      <c r="E6964" s="9" t="n">
        <v>21823.75</v>
      </c>
      <c r="F6964" s="8" t="n"/>
      <c r="G6964" s="9" t="n">
        <v>0</v>
      </c>
      <c r="H6964" t="inlineStr">
        <is>
          <t>NOT_DUE</t>
        </is>
      </c>
      <c r="I6964">
        <f>IF(H6964="UNPAID", AsOfDate-D6964, 0)</f>
        <v/>
      </c>
      <c r="J6964">
        <f>IF(F6964&lt;&gt;"", TEXT(F6964, "yyyy-mm"), "")</f>
        <v/>
      </c>
    </row>
    <row r="6965">
      <c r="A6965" t="inlineStr">
        <is>
          <t>RP0006964</t>
        </is>
      </c>
      <c r="B6965" t="inlineStr">
        <is>
          <t>LN200983</t>
        </is>
      </c>
      <c r="C6965" t="n">
        <v>10</v>
      </c>
      <c r="D6965" s="8" t="n">
        <v>46474</v>
      </c>
      <c r="E6965" s="9" t="n">
        <v>21823.75</v>
      </c>
      <c r="F6965" s="8" t="n"/>
      <c r="G6965" s="9" t="n">
        <v>0</v>
      </c>
      <c r="H6965" t="inlineStr">
        <is>
          <t>NOT_DUE</t>
        </is>
      </c>
      <c r="I6965">
        <f>IF(H6965="UNPAID", AsOfDate-D6965, 0)</f>
        <v/>
      </c>
      <c r="J6965">
        <f>IF(F6965&lt;&gt;"", TEXT(F6965, "yyyy-mm"), "")</f>
        <v/>
      </c>
    </row>
    <row r="6966">
      <c r="A6966" t="inlineStr">
        <is>
          <t>RP0006965</t>
        </is>
      </c>
      <c r="B6966" t="inlineStr">
        <is>
          <t>LN200983</t>
        </is>
      </c>
      <c r="C6966" t="n">
        <v>11</v>
      </c>
      <c r="D6966" s="8" t="n">
        <v>46505</v>
      </c>
      <c r="E6966" s="9" t="n">
        <v>21823.75</v>
      </c>
      <c r="F6966" s="8" t="n"/>
      <c r="G6966" s="9" t="n">
        <v>0</v>
      </c>
      <c r="H6966" t="inlineStr">
        <is>
          <t>NOT_DUE</t>
        </is>
      </c>
      <c r="I6966">
        <f>IF(H6966="UNPAID", AsOfDate-D6966, 0)</f>
        <v/>
      </c>
      <c r="J6966">
        <f>IF(F6966&lt;&gt;"", TEXT(F6966, "yyyy-mm"), "")</f>
        <v/>
      </c>
    </row>
    <row r="6967">
      <c r="A6967" t="inlineStr">
        <is>
          <t>RP0006966</t>
        </is>
      </c>
      <c r="B6967" t="inlineStr">
        <is>
          <t>LN200983</t>
        </is>
      </c>
      <c r="C6967" t="n">
        <v>12</v>
      </c>
      <c r="D6967" s="8" t="n">
        <v>46535</v>
      </c>
      <c r="E6967" s="9" t="n">
        <v>21823.75</v>
      </c>
      <c r="F6967" s="8" t="n"/>
      <c r="G6967" s="9" t="n">
        <v>0</v>
      </c>
      <c r="H6967" t="inlineStr">
        <is>
          <t>NOT_DUE</t>
        </is>
      </c>
      <c r="I6967">
        <f>IF(H6967="UNPAID", AsOfDate-D6967, 0)</f>
        <v/>
      </c>
      <c r="J6967">
        <f>IF(F6967&lt;&gt;"", TEXT(F6967, "yyyy-mm"), "")</f>
        <v/>
      </c>
    </row>
    <row r="6968">
      <c r="A6968" t="inlineStr">
        <is>
          <t>RP0006967</t>
        </is>
      </c>
      <c r="B6968" t="inlineStr">
        <is>
          <t>LN200984</t>
        </is>
      </c>
      <c r="C6968" t="n">
        <v>1</v>
      </c>
      <c r="D6968" s="8" t="n">
        <v>45883</v>
      </c>
      <c r="E6968" s="9" t="n">
        <v>12194.67</v>
      </c>
      <c r="F6968" s="8" t="n">
        <v>45880</v>
      </c>
      <c r="G6968" s="9" t="n">
        <v>12194.67</v>
      </c>
      <c r="H6968" t="inlineStr">
        <is>
          <t>PAID_ON_TIME</t>
        </is>
      </c>
      <c r="I6968">
        <f>IF(H6968="UNPAID", AsOfDate-D6968, 0)</f>
        <v/>
      </c>
      <c r="J6968">
        <f>IF(F6968&lt;&gt;"", TEXT(F6968, "yyyy-mm"), "")</f>
        <v/>
      </c>
    </row>
    <row r="6969">
      <c r="A6969" t="inlineStr">
        <is>
          <t>RP0006968</t>
        </is>
      </c>
      <c r="B6969" t="inlineStr">
        <is>
          <t>LN200984</t>
        </is>
      </c>
      <c r="C6969" t="n">
        <v>2</v>
      </c>
      <c r="D6969" s="8" t="n">
        <v>45914</v>
      </c>
      <c r="E6969" s="9" t="n">
        <v>12194.67</v>
      </c>
      <c r="F6969" s="8" t="n">
        <v>45911</v>
      </c>
      <c r="G6969" s="9" t="n">
        <v>12194.67</v>
      </c>
      <c r="H6969" t="inlineStr">
        <is>
          <t>PAID_ON_TIME</t>
        </is>
      </c>
      <c r="I6969">
        <f>IF(H6969="UNPAID", AsOfDate-D6969, 0)</f>
        <v/>
      </c>
      <c r="J6969">
        <f>IF(F6969&lt;&gt;"", TEXT(F6969, "yyyy-mm"), "")</f>
        <v/>
      </c>
    </row>
    <row r="6970">
      <c r="A6970" t="inlineStr">
        <is>
          <t>RP0006969</t>
        </is>
      </c>
      <c r="B6970" t="inlineStr">
        <is>
          <t>LN200984</t>
        </is>
      </c>
      <c r="C6970" t="n">
        <v>3</v>
      </c>
      <c r="D6970" s="8" t="n">
        <v>45944</v>
      </c>
      <c r="E6970" s="9" t="n">
        <v>12194.67</v>
      </c>
      <c r="F6970" s="8" t="n">
        <v>45946</v>
      </c>
      <c r="G6970" s="9" t="n">
        <v>12194.67</v>
      </c>
      <c r="H6970" t="inlineStr">
        <is>
          <t>PAID_ON_TIME</t>
        </is>
      </c>
      <c r="I6970">
        <f>IF(H6970="UNPAID", AsOfDate-D6970, 0)</f>
        <v/>
      </c>
      <c r="J6970">
        <f>IF(F6970&lt;&gt;"", TEXT(F6970, "yyyy-mm"), "")</f>
        <v/>
      </c>
    </row>
    <row r="6971">
      <c r="A6971" t="inlineStr">
        <is>
          <t>RP0006970</t>
        </is>
      </c>
      <c r="B6971" t="inlineStr">
        <is>
          <t>LN200984</t>
        </is>
      </c>
      <c r="C6971" t="n">
        <v>4</v>
      </c>
      <c r="D6971" s="8" t="n">
        <v>45975</v>
      </c>
      <c r="E6971" s="9" t="n">
        <v>12194.67</v>
      </c>
      <c r="F6971" s="8" t="n">
        <v>45979</v>
      </c>
      <c r="G6971" s="9" t="n">
        <v>12194.67</v>
      </c>
      <c r="H6971" t="inlineStr">
        <is>
          <t>PAID_ON_TIME</t>
        </is>
      </c>
      <c r="I6971">
        <f>IF(H6971="UNPAID", AsOfDate-D6971, 0)</f>
        <v/>
      </c>
      <c r="J6971">
        <f>IF(F6971&lt;&gt;"", TEXT(F6971, "yyyy-mm"), "")</f>
        <v/>
      </c>
    </row>
    <row r="6972">
      <c r="A6972" t="inlineStr">
        <is>
          <t>RP0006971</t>
        </is>
      </c>
      <c r="B6972" t="inlineStr">
        <is>
          <t>LN200984</t>
        </is>
      </c>
      <c r="C6972" t="n">
        <v>5</v>
      </c>
      <c r="D6972" s="8" t="n">
        <v>46005</v>
      </c>
      <c r="E6972" s="9" t="n">
        <v>12194.67</v>
      </c>
      <c r="F6972" s="8" t="n">
        <v>46003</v>
      </c>
      <c r="G6972" s="9" t="n">
        <v>12194.67</v>
      </c>
      <c r="H6972" t="inlineStr">
        <is>
          <t>PAID_ON_TIME</t>
        </is>
      </c>
      <c r="I6972">
        <f>IF(H6972="UNPAID", AsOfDate-D6972, 0)</f>
        <v/>
      </c>
      <c r="J6972">
        <f>IF(F6972&lt;&gt;"", TEXT(F6972, "yyyy-mm"), "")</f>
        <v/>
      </c>
    </row>
    <row r="6973">
      <c r="A6973" t="inlineStr">
        <is>
          <t>RP0006972</t>
        </is>
      </c>
      <c r="B6973" t="inlineStr">
        <is>
          <t>LN200984</t>
        </is>
      </c>
      <c r="C6973" t="n">
        <v>6</v>
      </c>
      <c r="D6973" s="8" t="n">
        <v>46036</v>
      </c>
      <c r="E6973" s="9" t="n">
        <v>12194.67</v>
      </c>
      <c r="F6973" s="8" t="n">
        <v>46036</v>
      </c>
      <c r="G6973" s="9" t="n">
        <v>12194.67</v>
      </c>
      <c r="H6973" t="inlineStr">
        <is>
          <t>PAID_ON_TIME</t>
        </is>
      </c>
      <c r="I6973">
        <f>IF(H6973="UNPAID", AsOfDate-D6973, 0)</f>
        <v/>
      </c>
      <c r="J6973">
        <f>IF(F6973&lt;&gt;"", TEXT(F6973, "yyyy-mm"), "")</f>
        <v/>
      </c>
    </row>
    <row r="6974">
      <c r="A6974" t="inlineStr">
        <is>
          <t>RP0006973</t>
        </is>
      </c>
      <c r="B6974" t="inlineStr">
        <is>
          <t>LN200985</t>
        </is>
      </c>
      <c r="C6974" t="n">
        <v>1</v>
      </c>
      <c r="D6974" s="8" t="n">
        <v>46104</v>
      </c>
      <c r="E6974" s="9" t="n">
        <v>21667.92</v>
      </c>
      <c r="F6974" s="8" t="n">
        <v>46215</v>
      </c>
      <c r="G6974" s="9" t="n">
        <v>21667.92</v>
      </c>
      <c r="H6974" t="inlineStr">
        <is>
          <t>PAID_LATE</t>
        </is>
      </c>
      <c r="I6974">
        <f>IF(H6974="UNPAID", AsOfDate-D6974, 0)</f>
        <v/>
      </c>
      <c r="J6974">
        <f>IF(F6974&lt;&gt;"", TEXT(F6974, "yyyy-mm"), "")</f>
        <v/>
      </c>
    </row>
    <row r="6975">
      <c r="A6975" t="inlineStr">
        <is>
          <t>RP0006974</t>
        </is>
      </c>
      <c r="B6975" t="inlineStr">
        <is>
          <t>LN200985</t>
        </is>
      </c>
      <c r="C6975" t="n">
        <v>2</v>
      </c>
      <c r="D6975" s="8" t="n">
        <v>46135</v>
      </c>
      <c r="E6975" s="9" t="n">
        <v>21667.92</v>
      </c>
      <c r="F6975" s="8" t="n">
        <v>46137</v>
      </c>
      <c r="G6975" s="9" t="n">
        <v>21667.92</v>
      </c>
      <c r="H6975" t="inlineStr">
        <is>
          <t>PAID_ON_TIME</t>
        </is>
      </c>
      <c r="I6975">
        <f>IF(H6975="UNPAID", AsOfDate-D6975, 0)</f>
        <v/>
      </c>
      <c r="J6975">
        <f>IF(F6975&lt;&gt;"", TEXT(F6975, "yyyy-mm"), "")</f>
        <v/>
      </c>
    </row>
    <row r="6976">
      <c r="A6976" t="inlineStr">
        <is>
          <t>RP0006975</t>
        </is>
      </c>
      <c r="B6976" t="inlineStr">
        <is>
          <t>LN200985</t>
        </is>
      </c>
      <c r="C6976" t="n">
        <v>3</v>
      </c>
      <c r="D6976" s="8" t="n">
        <v>46165</v>
      </c>
      <c r="E6976" s="9" t="n">
        <v>21667.92</v>
      </c>
      <c r="F6976" s="8" t="n">
        <v>46162</v>
      </c>
      <c r="G6976" s="9" t="n">
        <v>21667.92</v>
      </c>
      <c r="H6976" t="inlineStr">
        <is>
          <t>PAID_ON_TIME</t>
        </is>
      </c>
      <c r="I6976">
        <f>IF(H6976="UNPAID", AsOfDate-D6976, 0)</f>
        <v/>
      </c>
      <c r="J6976">
        <f>IF(F6976&lt;&gt;"", TEXT(F6976, "yyyy-mm"), "")</f>
        <v/>
      </c>
    </row>
    <row r="6977">
      <c r="A6977" t="inlineStr">
        <is>
          <t>RP0006976</t>
        </is>
      </c>
      <c r="B6977" t="inlineStr">
        <is>
          <t>LN200985</t>
        </is>
      </c>
      <c r="C6977" t="n">
        <v>4</v>
      </c>
      <c r="D6977" s="8" t="n">
        <v>46196</v>
      </c>
      <c r="E6977" s="9" t="n">
        <v>21667.92</v>
      </c>
      <c r="F6977" s="8" t="n">
        <v>46196</v>
      </c>
      <c r="G6977" s="9" t="n">
        <v>21667.92</v>
      </c>
      <c r="H6977" t="inlineStr">
        <is>
          <t>PAID_ON_TIME</t>
        </is>
      </c>
      <c r="I6977">
        <f>IF(H6977="UNPAID", AsOfDate-D6977, 0)</f>
        <v/>
      </c>
      <c r="J6977">
        <f>IF(F6977&lt;&gt;"", TEXT(F6977, "yyyy-mm"), "")</f>
        <v/>
      </c>
    </row>
    <row r="6978">
      <c r="A6978" t="inlineStr">
        <is>
          <t>RP0006977</t>
        </is>
      </c>
      <c r="B6978" t="inlineStr">
        <is>
          <t>LN200985</t>
        </is>
      </c>
      <c r="C6978" t="n">
        <v>5</v>
      </c>
      <c r="D6978" s="8" t="n">
        <v>46226</v>
      </c>
      <c r="E6978" s="9" t="n">
        <v>21667.92</v>
      </c>
      <c r="F6978" s="8" t="n">
        <v>46230</v>
      </c>
      <c r="G6978" s="9" t="n">
        <v>21667.92</v>
      </c>
      <c r="H6978" t="inlineStr">
        <is>
          <t>PAID_ON_TIME</t>
        </is>
      </c>
      <c r="I6978">
        <f>IF(H6978="UNPAID", AsOfDate-D6978, 0)</f>
        <v/>
      </c>
      <c r="J6978">
        <f>IF(F6978&lt;&gt;"", TEXT(F6978, "yyyy-mm"), "")</f>
        <v/>
      </c>
    </row>
    <row r="6979">
      <c r="A6979" t="inlineStr">
        <is>
          <t>RP0006978</t>
        </is>
      </c>
      <c r="B6979" t="inlineStr">
        <is>
          <t>LN200985</t>
        </is>
      </c>
      <c r="C6979" t="n">
        <v>6</v>
      </c>
      <c r="D6979" s="8" t="n">
        <v>46257</v>
      </c>
      <c r="E6979" s="9" t="n">
        <v>21667.92</v>
      </c>
      <c r="F6979" s="8" t="n">
        <v>46260</v>
      </c>
      <c r="G6979" s="9" t="n">
        <v>21667.92</v>
      </c>
      <c r="H6979" t="inlineStr">
        <is>
          <t>PAID_ON_TIME</t>
        </is>
      </c>
      <c r="I6979">
        <f>IF(H6979="UNPAID", AsOfDate-D6979, 0)</f>
        <v/>
      </c>
      <c r="J6979">
        <f>IF(F6979&lt;&gt;"", TEXT(F6979, "yyyy-mm"), "")</f>
        <v/>
      </c>
    </row>
    <row r="6980">
      <c r="A6980" t="inlineStr">
        <is>
          <t>RP0006979</t>
        </is>
      </c>
      <c r="B6980" t="inlineStr">
        <is>
          <t>LN200986</t>
        </is>
      </c>
      <c r="C6980" t="n">
        <v>1</v>
      </c>
      <c r="D6980" s="8" t="n">
        <v>46139</v>
      </c>
      <c r="E6980" s="9" t="n">
        <v>2467.22</v>
      </c>
      <c r="F6980" s="8" t="n">
        <v>46139</v>
      </c>
      <c r="G6980" s="9" t="n">
        <v>2467.22</v>
      </c>
      <c r="H6980" t="inlineStr">
        <is>
          <t>PAID_ON_TIME</t>
        </is>
      </c>
      <c r="I6980">
        <f>IF(H6980="UNPAID", AsOfDate-D6980, 0)</f>
        <v/>
      </c>
      <c r="J6980">
        <f>IF(F6980&lt;&gt;"", TEXT(F6980, "yyyy-mm"), "")</f>
        <v/>
      </c>
    </row>
    <row r="6981">
      <c r="A6981" t="inlineStr">
        <is>
          <t>RP0006980</t>
        </is>
      </c>
      <c r="B6981" t="inlineStr">
        <is>
          <t>LN200986</t>
        </is>
      </c>
      <c r="C6981" t="n">
        <v>2</v>
      </c>
      <c r="D6981" s="8" t="n">
        <v>46169</v>
      </c>
      <c r="E6981" s="9" t="n">
        <v>2467.22</v>
      </c>
      <c r="F6981" s="8" t="n">
        <v>46169</v>
      </c>
      <c r="G6981" s="9" t="n">
        <v>2467.22</v>
      </c>
      <c r="H6981" t="inlineStr">
        <is>
          <t>PAID_ON_TIME</t>
        </is>
      </c>
      <c r="I6981">
        <f>IF(H6981="UNPAID", AsOfDate-D6981, 0)</f>
        <v/>
      </c>
      <c r="J6981">
        <f>IF(F6981&lt;&gt;"", TEXT(F6981, "yyyy-mm"), "")</f>
        <v/>
      </c>
    </row>
    <row r="6982">
      <c r="A6982" t="inlineStr">
        <is>
          <t>RP0006981</t>
        </is>
      </c>
      <c r="B6982" t="inlineStr">
        <is>
          <t>LN200986</t>
        </is>
      </c>
      <c r="C6982" t="n">
        <v>3</v>
      </c>
      <c r="D6982" s="8" t="n">
        <v>46200</v>
      </c>
      <c r="E6982" s="9" t="n">
        <v>2467.22</v>
      </c>
      <c r="F6982" s="8" t="n"/>
      <c r="G6982" s="9" t="n">
        <v>0</v>
      </c>
      <c r="H6982" t="inlineStr">
        <is>
          <t>UNPAID</t>
        </is>
      </c>
      <c r="I6982">
        <f>IF(H6982="UNPAID", AsOfDate-D6982, 0)</f>
        <v/>
      </c>
      <c r="J6982">
        <f>IF(F6982&lt;&gt;"", TEXT(F6982, "yyyy-mm"), "")</f>
        <v/>
      </c>
    </row>
    <row r="6983">
      <c r="A6983" t="inlineStr">
        <is>
          <t>RP0006982</t>
        </is>
      </c>
      <c r="B6983" t="inlineStr">
        <is>
          <t>LN200986</t>
        </is>
      </c>
      <c r="C6983" t="n">
        <v>4</v>
      </c>
      <c r="D6983" s="8" t="n">
        <v>46230</v>
      </c>
      <c r="E6983" s="9" t="n">
        <v>2467.22</v>
      </c>
      <c r="F6983" s="8" t="n">
        <v>46233</v>
      </c>
      <c r="G6983" s="9" t="n">
        <v>2467.22</v>
      </c>
      <c r="H6983" t="inlineStr">
        <is>
          <t>PAID_ON_TIME</t>
        </is>
      </c>
      <c r="I6983">
        <f>IF(H6983="UNPAID", AsOfDate-D6983, 0)</f>
        <v/>
      </c>
      <c r="J6983">
        <f>IF(F6983&lt;&gt;"", TEXT(F6983, "yyyy-mm"), "")</f>
        <v/>
      </c>
    </row>
    <row r="6984">
      <c r="A6984" t="inlineStr">
        <is>
          <t>RP0006983</t>
        </is>
      </c>
      <c r="B6984" t="inlineStr">
        <is>
          <t>LN200986</t>
        </is>
      </c>
      <c r="C6984" t="n">
        <v>5</v>
      </c>
      <c r="D6984" s="8" t="n">
        <v>46261</v>
      </c>
      <c r="E6984" s="9" t="n">
        <v>2467.22</v>
      </c>
      <c r="F6984" s="8" t="n">
        <v>46258</v>
      </c>
      <c r="G6984" s="9" t="n">
        <v>2467.22</v>
      </c>
      <c r="H6984" t="inlineStr">
        <is>
          <t>PAID_ON_TIME</t>
        </is>
      </c>
      <c r="I6984">
        <f>IF(H6984="UNPAID", AsOfDate-D6984, 0)</f>
        <v/>
      </c>
      <c r="J6984">
        <f>IF(F6984&lt;&gt;"", TEXT(F6984, "yyyy-mm"), "")</f>
        <v/>
      </c>
    </row>
    <row r="6985">
      <c r="A6985" t="inlineStr">
        <is>
          <t>RP0006984</t>
        </is>
      </c>
      <c r="B6985" t="inlineStr">
        <is>
          <t>LN200986</t>
        </is>
      </c>
      <c r="C6985" t="n">
        <v>6</v>
      </c>
      <c r="D6985" s="8" t="n">
        <v>46292</v>
      </c>
      <c r="E6985" s="9" t="n">
        <v>2467.22</v>
      </c>
      <c r="F6985" s="8" t="n"/>
      <c r="G6985" s="9" t="n">
        <v>0</v>
      </c>
      <c r="H6985" t="inlineStr">
        <is>
          <t>NOT_DUE</t>
        </is>
      </c>
      <c r="I6985">
        <f>IF(H6985="UNPAID", AsOfDate-D6985, 0)</f>
        <v/>
      </c>
      <c r="J6985">
        <f>IF(F6985&lt;&gt;"", TEXT(F6985, "yyyy-mm"), "")</f>
        <v/>
      </c>
    </row>
    <row r="6986">
      <c r="A6986" t="inlineStr">
        <is>
          <t>RP0006985</t>
        </is>
      </c>
      <c r="B6986" t="inlineStr">
        <is>
          <t>LN200986</t>
        </is>
      </c>
      <c r="C6986" t="n">
        <v>7</v>
      </c>
      <c r="D6986" s="8" t="n">
        <v>46322</v>
      </c>
      <c r="E6986" s="9" t="n">
        <v>2467.22</v>
      </c>
      <c r="F6986" s="8" t="n"/>
      <c r="G6986" s="9" t="n">
        <v>0</v>
      </c>
      <c r="H6986" t="inlineStr">
        <is>
          <t>NOT_DUE</t>
        </is>
      </c>
      <c r="I6986">
        <f>IF(H6986="UNPAID", AsOfDate-D6986, 0)</f>
        <v/>
      </c>
      <c r="J6986">
        <f>IF(F6986&lt;&gt;"", TEXT(F6986, "yyyy-mm"), "")</f>
        <v/>
      </c>
    </row>
    <row r="6987">
      <c r="A6987" t="inlineStr">
        <is>
          <t>RP0006986</t>
        </is>
      </c>
      <c r="B6987" t="inlineStr">
        <is>
          <t>LN200986</t>
        </is>
      </c>
      <c r="C6987" t="n">
        <v>8</v>
      </c>
      <c r="D6987" s="8" t="n">
        <v>46353</v>
      </c>
      <c r="E6987" s="9" t="n">
        <v>2467.22</v>
      </c>
      <c r="F6987" s="8" t="n"/>
      <c r="G6987" s="9" t="n">
        <v>0</v>
      </c>
      <c r="H6987" t="inlineStr">
        <is>
          <t>NOT_DUE</t>
        </is>
      </c>
      <c r="I6987">
        <f>IF(H6987="UNPAID", AsOfDate-D6987, 0)</f>
        <v/>
      </c>
      <c r="J6987">
        <f>IF(F6987&lt;&gt;"", TEXT(F6987, "yyyy-mm"), "")</f>
        <v/>
      </c>
    </row>
    <row r="6988">
      <c r="A6988" t="inlineStr">
        <is>
          <t>RP0006987</t>
        </is>
      </c>
      <c r="B6988" t="inlineStr">
        <is>
          <t>LN200986</t>
        </is>
      </c>
      <c r="C6988" t="n">
        <v>9</v>
      </c>
      <c r="D6988" s="8" t="n">
        <v>46383</v>
      </c>
      <c r="E6988" s="9" t="n">
        <v>2467.22</v>
      </c>
      <c r="F6988" s="8" t="n"/>
      <c r="G6988" s="9" t="n">
        <v>0</v>
      </c>
      <c r="H6988" t="inlineStr">
        <is>
          <t>NOT_DUE</t>
        </is>
      </c>
      <c r="I6988">
        <f>IF(H6988="UNPAID", AsOfDate-D6988, 0)</f>
        <v/>
      </c>
      <c r="J6988">
        <f>IF(F6988&lt;&gt;"", TEXT(F6988, "yyyy-mm"), "")</f>
        <v/>
      </c>
    </row>
    <row r="6989">
      <c r="A6989" t="inlineStr">
        <is>
          <t>RP0006988</t>
        </is>
      </c>
      <c r="B6989" t="inlineStr">
        <is>
          <t>LN200987</t>
        </is>
      </c>
      <c r="C6989" t="n">
        <v>1</v>
      </c>
      <c r="D6989" s="8" t="n">
        <v>46261</v>
      </c>
      <c r="E6989" s="9" t="n">
        <v>4212.83</v>
      </c>
      <c r="F6989" s="8" t="n">
        <v>46265</v>
      </c>
      <c r="G6989" s="9" t="n">
        <v>4212.83</v>
      </c>
      <c r="H6989" t="inlineStr">
        <is>
          <t>PAID_ON_TIME</t>
        </is>
      </c>
      <c r="I6989">
        <f>IF(H6989="UNPAID", AsOfDate-D6989, 0)</f>
        <v/>
      </c>
      <c r="J6989">
        <f>IF(F6989&lt;&gt;"", TEXT(F6989, "yyyy-mm"), "")</f>
        <v/>
      </c>
    </row>
    <row r="6990">
      <c r="A6990" t="inlineStr">
        <is>
          <t>RP0006989</t>
        </is>
      </c>
      <c r="B6990" t="inlineStr">
        <is>
          <t>LN200987</t>
        </is>
      </c>
      <c r="C6990" t="n">
        <v>2</v>
      </c>
      <c r="D6990" s="8" t="n">
        <v>46292</v>
      </c>
      <c r="E6990" s="9" t="n">
        <v>4212.83</v>
      </c>
      <c r="F6990" s="8" t="n"/>
      <c r="G6990" s="9" t="n">
        <v>0</v>
      </c>
      <c r="H6990" t="inlineStr">
        <is>
          <t>NOT_DUE</t>
        </is>
      </c>
      <c r="I6990">
        <f>IF(H6990="UNPAID", AsOfDate-D6990, 0)</f>
        <v/>
      </c>
      <c r="J6990">
        <f>IF(F6990&lt;&gt;"", TEXT(F6990, "yyyy-mm"), "")</f>
        <v/>
      </c>
    </row>
    <row r="6991">
      <c r="A6991" t="inlineStr">
        <is>
          <t>RP0006990</t>
        </is>
      </c>
      <c r="B6991" t="inlineStr">
        <is>
          <t>LN200987</t>
        </is>
      </c>
      <c r="C6991" t="n">
        <v>3</v>
      </c>
      <c r="D6991" s="8" t="n">
        <v>46322</v>
      </c>
      <c r="E6991" s="9" t="n">
        <v>4212.83</v>
      </c>
      <c r="F6991" s="8" t="n"/>
      <c r="G6991" s="9" t="n">
        <v>0</v>
      </c>
      <c r="H6991" t="inlineStr">
        <is>
          <t>NOT_DUE</t>
        </is>
      </c>
      <c r="I6991">
        <f>IF(H6991="UNPAID", AsOfDate-D6991, 0)</f>
        <v/>
      </c>
      <c r="J6991">
        <f>IF(F6991&lt;&gt;"", TEXT(F6991, "yyyy-mm"), "")</f>
        <v/>
      </c>
    </row>
    <row r="6992">
      <c r="A6992" t="inlineStr">
        <is>
          <t>RP0006991</t>
        </is>
      </c>
      <c r="B6992" t="inlineStr">
        <is>
          <t>LN200987</t>
        </is>
      </c>
      <c r="C6992" t="n">
        <v>4</v>
      </c>
      <c r="D6992" s="8" t="n">
        <v>46353</v>
      </c>
      <c r="E6992" s="9" t="n">
        <v>4212.83</v>
      </c>
      <c r="F6992" s="8" t="n"/>
      <c r="G6992" s="9" t="n">
        <v>0</v>
      </c>
      <c r="H6992" t="inlineStr">
        <is>
          <t>NOT_DUE</t>
        </is>
      </c>
      <c r="I6992">
        <f>IF(H6992="UNPAID", AsOfDate-D6992, 0)</f>
        <v/>
      </c>
      <c r="J6992">
        <f>IF(F6992&lt;&gt;"", TEXT(F6992, "yyyy-mm"), "")</f>
        <v/>
      </c>
    </row>
    <row r="6993">
      <c r="A6993" t="inlineStr">
        <is>
          <t>RP0006992</t>
        </is>
      </c>
      <c r="B6993" t="inlineStr">
        <is>
          <t>LN200987</t>
        </is>
      </c>
      <c r="C6993" t="n">
        <v>5</v>
      </c>
      <c r="D6993" s="8" t="n">
        <v>46383</v>
      </c>
      <c r="E6993" s="9" t="n">
        <v>4212.83</v>
      </c>
      <c r="F6993" s="8" t="n"/>
      <c r="G6993" s="9" t="n">
        <v>0</v>
      </c>
      <c r="H6993" t="inlineStr">
        <is>
          <t>NOT_DUE</t>
        </is>
      </c>
      <c r="I6993">
        <f>IF(H6993="UNPAID", AsOfDate-D6993, 0)</f>
        <v/>
      </c>
      <c r="J6993">
        <f>IF(F6993&lt;&gt;"", TEXT(F6993, "yyyy-mm"), "")</f>
        <v/>
      </c>
    </row>
    <row r="6994">
      <c r="A6994" t="inlineStr">
        <is>
          <t>RP0006993</t>
        </is>
      </c>
      <c r="B6994" t="inlineStr">
        <is>
          <t>LN200987</t>
        </is>
      </c>
      <c r="C6994" t="n">
        <v>6</v>
      </c>
      <c r="D6994" s="8" t="n">
        <v>46414</v>
      </c>
      <c r="E6994" s="9" t="n">
        <v>4212.83</v>
      </c>
      <c r="F6994" s="8" t="n"/>
      <c r="G6994" s="9" t="n">
        <v>0</v>
      </c>
      <c r="H6994" t="inlineStr">
        <is>
          <t>NOT_DUE</t>
        </is>
      </c>
      <c r="I6994">
        <f>IF(H6994="UNPAID", AsOfDate-D6994, 0)</f>
        <v/>
      </c>
      <c r="J6994">
        <f>IF(F6994&lt;&gt;"", TEXT(F6994, "yyyy-mm"), "")</f>
        <v/>
      </c>
    </row>
    <row r="6995">
      <c r="A6995" t="inlineStr">
        <is>
          <t>RP0006994</t>
        </is>
      </c>
      <c r="B6995" t="inlineStr">
        <is>
          <t>LN200989</t>
        </is>
      </c>
      <c r="C6995" t="n">
        <v>1</v>
      </c>
      <c r="D6995" s="8" t="n">
        <v>46197</v>
      </c>
      <c r="E6995" s="9" t="n">
        <v>20829.33</v>
      </c>
      <c r="F6995" s="8" t="n">
        <v>46199</v>
      </c>
      <c r="G6995" s="9" t="n">
        <v>20829.33</v>
      </c>
      <c r="H6995" t="inlineStr">
        <is>
          <t>PAID_ON_TIME</t>
        </is>
      </c>
      <c r="I6995">
        <f>IF(H6995="UNPAID", AsOfDate-D6995, 0)</f>
        <v/>
      </c>
      <c r="J6995">
        <f>IF(F6995&lt;&gt;"", TEXT(F6995, "yyyy-mm"), "")</f>
        <v/>
      </c>
    </row>
    <row r="6996">
      <c r="A6996" t="inlineStr">
        <is>
          <t>RP0006995</t>
        </is>
      </c>
      <c r="B6996" t="inlineStr">
        <is>
          <t>LN200989</t>
        </is>
      </c>
      <c r="C6996" t="n">
        <v>2</v>
      </c>
      <c r="D6996" s="8" t="n">
        <v>46227</v>
      </c>
      <c r="E6996" s="9" t="n">
        <v>20829.33</v>
      </c>
      <c r="F6996" s="8" t="n">
        <v>46224</v>
      </c>
      <c r="G6996" s="9" t="n">
        <v>20829.33</v>
      </c>
      <c r="H6996" t="inlineStr">
        <is>
          <t>PAID_ON_TIME</t>
        </is>
      </c>
      <c r="I6996">
        <f>IF(H6996="UNPAID", AsOfDate-D6996, 0)</f>
        <v/>
      </c>
      <c r="J6996">
        <f>IF(F6996&lt;&gt;"", TEXT(F6996, "yyyy-mm"), "")</f>
        <v/>
      </c>
    </row>
    <row r="6997">
      <c r="A6997" t="inlineStr">
        <is>
          <t>RP0006996</t>
        </is>
      </c>
      <c r="B6997" t="inlineStr">
        <is>
          <t>LN200989</t>
        </is>
      </c>
      <c r="C6997" t="n">
        <v>3</v>
      </c>
      <c r="D6997" s="8" t="n">
        <v>46258</v>
      </c>
      <c r="E6997" s="9" t="n">
        <v>20829.33</v>
      </c>
      <c r="F6997" s="8" t="n">
        <v>46260</v>
      </c>
      <c r="G6997" s="9" t="n">
        <v>20829.33</v>
      </c>
      <c r="H6997" t="inlineStr">
        <is>
          <t>PAID_ON_TIME</t>
        </is>
      </c>
      <c r="I6997">
        <f>IF(H6997="UNPAID", AsOfDate-D6997, 0)</f>
        <v/>
      </c>
      <c r="J6997">
        <f>IF(F6997&lt;&gt;"", TEXT(F6997, "yyyy-mm"), "")</f>
        <v/>
      </c>
    </row>
    <row r="6998">
      <c r="A6998" t="inlineStr">
        <is>
          <t>RP0006997</t>
        </is>
      </c>
      <c r="B6998" t="inlineStr">
        <is>
          <t>LN200989</t>
        </is>
      </c>
      <c r="C6998" t="n">
        <v>4</v>
      </c>
      <c r="D6998" s="8" t="n">
        <v>46289</v>
      </c>
      <c r="E6998" s="9" t="n">
        <v>20829.33</v>
      </c>
      <c r="F6998" s="8" t="n"/>
      <c r="G6998" s="9" t="n">
        <v>0</v>
      </c>
      <c r="H6998" t="inlineStr">
        <is>
          <t>NOT_DUE</t>
        </is>
      </c>
      <c r="I6998">
        <f>IF(H6998="UNPAID", AsOfDate-D6998, 0)</f>
        <v/>
      </c>
      <c r="J6998">
        <f>IF(F6998&lt;&gt;"", TEXT(F6998, "yyyy-mm"), "")</f>
        <v/>
      </c>
    </row>
    <row r="6999">
      <c r="A6999" t="inlineStr">
        <is>
          <t>RP0006998</t>
        </is>
      </c>
      <c r="B6999" t="inlineStr">
        <is>
          <t>LN200989</t>
        </is>
      </c>
      <c r="C6999" t="n">
        <v>5</v>
      </c>
      <c r="D6999" s="8" t="n">
        <v>46319</v>
      </c>
      <c r="E6999" s="9" t="n">
        <v>20829.33</v>
      </c>
      <c r="F6999" s="8" t="n"/>
      <c r="G6999" s="9" t="n">
        <v>0</v>
      </c>
      <c r="H6999" t="inlineStr">
        <is>
          <t>NOT_DUE</t>
        </is>
      </c>
      <c r="I6999">
        <f>IF(H6999="UNPAID", AsOfDate-D6999, 0)</f>
        <v/>
      </c>
      <c r="J6999">
        <f>IF(F6999&lt;&gt;"", TEXT(F6999, "yyyy-mm"), "")</f>
        <v/>
      </c>
    </row>
    <row r="7000">
      <c r="A7000" t="inlineStr">
        <is>
          <t>RP0006999</t>
        </is>
      </c>
      <c r="B7000" t="inlineStr">
        <is>
          <t>LN200989</t>
        </is>
      </c>
      <c r="C7000" t="n">
        <v>6</v>
      </c>
      <c r="D7000" s="8" t="n">
        <v>46350</v>
      </c>
      <c r="E7000" s="9" t="n">
        <v>20829.33</v>
      </c>
      <c r="F7000" s="8" t="n"/>
      <c r="G7000" s="9" t="n">
        <v>0</v>
      </c>
      <c r="H7000" t="inlineStr">
        <is>
          <t>NOT_DUE</t>
        </is>
      </c>
      <c r="I7000">
        <f>IF(H7000="UNPAID", AsOfDate-D7000, 0)</f>
        <v/>
      </c>
      <c r="J7000">
        <f>IF(F7000&lt;&gt;"", TEXT(F7000, "yyyy-mm"), "")</f>
        <v/>
      </c>
    </row>
    <row r="7001">
      <c r="A7001" t="inlineStr">
        <is>
          <t>RP0007000</t>
        </is>
      </c>
      <c r="B7001" t="inlineStr">
        <is>
          <t>LN200989</t>
        </is>
      </c>
      <c r="C7001" t="n">
        <v>7</v>
      </c>
      <c r="D7001" s="8" t="n">
        <v>46380</v>
      </c>
      <c r="E7001" s="9" t="n">
        <v>20829.33</v>
      </c>
      <c r="F7001" s="8" t="n"/>
      <c r="G7001" s="9" t="n">
        <v>0</v>
      </c>
      <c r="H7001" t="inlineStr">
        <is>
          <t>NOT_DUE</t>
        </is>
      </c>
      <c r="I7001">
        <f>IF(H7001="UNPAID", AsOfDate-D7001, 0)</f>
        <v/>
      </c>
      <c r="J7001">
        <f>IF(F7001&lt;&gt;"", TEXT(F7001, "yyyy-mm"), "")</f>
        <v/>
      </c>
    </row>
    <row r="7002">
      <c r="A7002" t="inlineStr">
        <is>
          <t>RP0007001</t>
        </is>
      </c>
      <c r="B7002" t="inlineStr">
        <is>
          <t>LN200989</t>
        </is>
      </c>
      <c r="C7002" t="n">
        <v>8</v>
      </c>
      <c r="D7002" s="8" t="n">
        <v>46411</v>
      </c>
      <c r="E7002" s="9" t="n">
        <v>20829.33</v>
      </c>
      <c r="F7002" s="8" t="n"/>
      <c r="G7002" s="9" t="n">
        <v>0</v>
      </c>
      <c r="H7002" t="inlineStr">
        <is>
          <t>NOT_DUE</t>
        </is>
      </c>
      <c r="I7002">
        <f>IF(H7002="UNPAID", AsOfDate-D7002, 0)</f>
        <v/>
      </c>
      <c r="J7002">
        <f>IF(F7002&lt;&gt;"", TEXT(F7002, "yyyy-mm"), "")</f>
        <v/>
      </c>
    </row>
    <row r="7003">
      <c r="A7003" t="inlineStr">
        <is>
          <t>RP0007002</t>
        </is>
      </c>
      <c r="B7003" t="inlineStr">
        <is>
          <t>LN200989</t>
        </is>
      </c>
      <c r="C7003" t="n">
        <v>9</v>
      </c>
      <c r="D7003" s="8" t="n">
        <v>46442</v>
      </c>
      <c r="E7003" s="9" t="n">
        <v>20829.33</v>
      </c>
      <c r="F7003" s="8" t="n"/>
      <c r="G7003" s="9" t="n">
        <v>0</v>
      </c>
      <c r="H7003" t="inlineStr">
        <is>
          <t>NOT_DUE</t>
        </is>
      </c>
      <c r="I7003">
        <f>IF(H7003="UNPAID", AsOfDate-D7003, 0)</f>
        <v/>
      </c>
      <c r="J7003">
        <f>IF(F7003&lt;&gt;"", TEXT(F7003, "yyyy-mm"), "")</f>
        <v/>
      </c>
    </row>
    <row r="7004">
      <c r="A7004" t="inlineStr">
        <is>
          <t>RP0007003</t>
        </is>
      </c>
      <c r="B7004" t="inlineStr">
        <is>
          <t>LN200989</t>
        </is>
      </c>
      <c r="C7004" t="n">
        <v>10</v>
      </c>
      <c r="D7004" s="8" t="n">
        <v>46470</v>
      </c>
      <c r="E7004" s="9" t="n">
        <v>20829.33</v>
      </c>
      <c r="F7004" s="8" t="n"/>
      <c r="G7004" s="9" t="n">
        <v>0</v>
      </c>
      <c r="H7004" t="inlineStr">
        <is>
          <t>NOT_DUE</t>
        </is>
      </c>
      <c r="I7004">
        <f>IF(H7004="UNPAID", AsOfDate-D7004, 0)</f>
        <v/>
      </c>
      <c r="J7004">
        <f>IF(F7004&lt;&gt;"", TEXT(F7004, "yyyy-mm"), "")</f>
        <v/>
      </c>
    </row>
    <row r="7005">
      <c r="A7005" t="inlineStr">
        <is>
          <t>RP0007004</t>
        </is>
      </c>
      <c r="B7005" t="inlineStr">
        <is>
          <t>LN200989</t>
        </is>
      </c>
      <c r="C7005" t="n">
        <v>11</v>
      </c>
      <c r="D7005" s="8" t="n">
        <v>46501</v>
      </c>
      <c r="E7005" s="9" t="n">
        <v>20829.33</v>
      </c>
      <c r="F7005" s="8" t="n"/>
      <c r="G7005" s="9" t="n">
        <v>0</v>
      </c>
      <c r="H7005" t="inlineStr">
        <is>
          <t>NOT_DUE</t>
        </is>
      </c>
      <c r="I7005">
        <f>IF(H7005="UNPAID", AsOfDate-D7005, 0)</f>
        <v/>
      </c>
      <c r="J7005">
        <f>IF(F7005&lt;&gt;"", TEXT(F7005, "yyyy-mm"), "")</f>
        <v/>
      </c>
    </row>
    <row r="7006">
      <c r="A7006" t="inlineStr">
        <is>
          <t>RP0007005</t>
        </is>
      </c>
      <c r="B7006" t="inlineStr">
        <is>
          <t>LN200989</t>
        </is>
      </c>
      <c r="C7006" t="n">
        <v>12</v>
      </c>
      <c r="D7006" s="8" t="n">
        <v>46531</v>
      </c>
      <c r="E7006" s="9" t="n">
        <v>20829.33</v>
      </c>
      <c r="F7006" s="8" t="n"/>
      <c r="G7006" s="9" t="n">
        <v>0</v>
      </c>
      <c r="H7006" t="inlineStr">
        <is>
          <t>NOT_DUE</t>
        </is>
      </c>
      <c r="I7006">
        <f>IF(H7006="UNPAID", AsOfDate-D7006, 0)</f>
        <v/>
      </c>
      <c r="J7006">
        <f>IF(F7006&lt;&gt;"", TEXT(F7006, "yyyy-mm"), "")</f>
        <v/>
      </c>
    </row>
    <row r="7007">
      <c r="A7007" t="inlineStr">
        <is>
          <t>RP0007006</t>
        </is>
      </c>
      <c r="B7007" t="inlineStr">
        <is>
          <t>LN200991</t>
        </is>
      </c>
      <c r="C7007" t="n">
        <v>1</v>
      </c>
      <c r="D7007" s="8" t="n">
        <v>45711</v>
      </c>
      <c r="E7007" s="9" t="n">
        <v>7038.33</v>
      </c>
      <c r="F7007" s="8" t="n">
        <v>45814</v>
      </c>
      <c r="G7007" s="9" t="n">
        <v>7038.33</v>
      </c>
      <c r="H7007" t="inlineStr">
        <is>
          <t>PAID_LATE</t>
        </is>
      </c>
      <c r="I7007">
        <f>IF(H7007="UNPAID", AsOfDate-D7007, 0)</f>
        <v/>
      </c>
      <c r="J7007">
        <f>IF(F7007&lt;&gt;"", TEXT(F7007, "yyyy-mm"), "")</f>
        <v/>
      </c>
    </row>
    <row r="7008">
      <c r="A7008" t="inlineStr">
        <is>
          <t>RP0007007</t>
        </is>
      </c>
      <c r="B7008" t="inlineStr">
        <is>
          <t>LN200991</t>
        </is>
      </c>
      <c r="C7008" t="n">
        <v>2</v>
      </c>
      <c r="D7008" s="8" t="n">
        <v>45739</v>
      </c>
      <c r="E7008" s="9" t="n">
        <v>7038.33</v>
      </c>
      <c r="F7008" s="8" t="n">
        <v>45738</v>
      </c>
      <c r="G7008" s="9" t="n">
        <v>7038.33</v>
      </c>
      <c r="H7008" t="inlineStr">
        <is>
          <t>PAID_ON_TIME</t>
        </is>
      </c>
      <c r="I7008">
        <f>IF(H7008="UNPAID", AsOfDate-D7008, 0)</f>
        <v/>
      </c>
      <c r="J7008">
        <f>IF(F7008&lt;&gt;"", TEXT(F7008, "yyyy-mm"), "")</f>
        <v/>
      </c>
    </row>
    <row r="7009">
      <c r="A7009" t="inlineStr">
        <is>
          <t>RP0007008</t>
        </is>
      </c>
      <c r="B7009" t="inlineStr">
        <is>
          <t>LN200991</t>
        </is>
      </c>
      <c r="C7009" t="n">
        <v>3</v>
      </c>
      <c r="D7009" s="8" t="n">
        <v>45770</v>
      </c>
      <c r="E7009" s="9" t="n">
        <v>7038.33</v>
      </c>
      <c r="F7009" s="8" t="n">
        <v>45768</v>
      </c>
      <c r="G7009" s="9" t="n">
        <v>7038.33</v>
      </c>
      <c r="H7009" t="inlineStr">
        <is>
          <t>PAID_ON_TIME</t>
        </is>
      </c>
      <c r="I7009">
        <f>IF(H7009="UNPAID", AsOfDate-D7009, 0)</f>
        <v/>
      </c>
      <c r="J7009">
        <f>IF(F7009&lt;&gt;"", TEXT(F7009, "yyyy-mm"), "")</f>
        <v/>
      </c>
    </row>
    <row r="7010">
      <c r="A7010" t="inlineStr">
        <is>
          <t>RP0007009</t>
        </is>
      </c>
      <c r="B7010" t="inlineStr">
        <is>
          <t>LN200992</t>
        </is>
      </c>
      <c r="C7010" t="n">
        <v>1</v>
      </c>
      <c r="D7010" s="8" t="n">
        <v>46149</v>
      </c>
      <c r="E7010" s="9" t="n">
        <v>52963.5</v>
      </c>
      <c r="F7010" s="8" t="n">
        <v>46150</v>
      </c>
      <c r="G7010" s="9" t="n">
        <v>52963.5</v>
      </c>
      <c r="H7010" t="inlineStr">
        <is>
          <t>PAID_ON_TIME</t>
        </is>
      </c>
      <c r="I7010">
        <f>IF(H7010="UNPAID", AsOfDate-D7010, 0)</f>
        <v/>
      </c>
      <c r="J7010">
        <f>IF(F7010&lt;&gt;"", TEXT(F7010, "yyyy-mm"), "")</f>
        <v/>
      </c>
    </row>
    <row r="7011">
      <c r="A7011" t="inlineStr">
        <is>
          <t>RP0007010</t>
        </is>
      </c>
      <c r="B7011" t="inlineStr">
        <is>
          <t>LN200992</t>
        </is>
      </c>
      <c r="C7011" t="n">
        <v>2</v>
      </c>
      <c r="D7011" s="8" t="n">
        <v>46180</v>
      </c>
      <c r="E7011" s="9" t="n">
        <v>52963.5</v>
      </c>
      <c r="F7011" s="8" t="n">
        <v>46205</v>
      </c>
      <c r="G7011" s="9" t="n">
        <v>52963.5</v>
      </c>
      <c r="H7011" t="inlineStr">
        <is>
          <t>PAID_LATE</t>
        </is>
      </c>
      <c r="I7011">
        <f>IF(H7011="UNPAID", AsOfDate-D7011, 0)</f>
        <v/>
      </c>
      <c r="J7011">
        <f>IF(F7011&lt;&gt;"", TEXT(F7011, "yyyy-mm"), "")</f>
        <v/>
      </c>
    </row>
    <row r="7012">
      <c r="A7012" t="inlineStr">
        <is>
          <t>RP0007011</t>
        </is>
      </c>
      <c r="B7012" t="inlineStr">
        <is>
          <t>LN200992</t>
        </is>
      </c>
      <c r="C7012" t="n">
        <v>3</v>
      </c>
      <c r="D7012" s="8" t="n">
        <v>46210</v>
      </c>
      <c r="E7012" s="9" t="n">
        <v>52963.5</v>
      </c>
      <c r="F7012" s="8" t="n">
        <v>46209</v>
      </c>
      <c r="G7012" s="9" t="n">
        <v>52963.5</v>
      </c>
      <c r="H7012" t="inlineStr">
        <is>
          <t>PAID_ON_TIME</t>
        </is>
      </c>
      <c r="I7012">
        <f>IF(H7012="UNPAID", AsOfDate-D7012, 0)</f>
        <v/>
      </c>
      <c r="J7012">
        <f>IF(F7012&lt;&gt;"", TEXT(F7012, "yyyy-mm"), "")</f>
        <v/>
      </c>
    </row>
    <row r="7013">
      <c r="A7013" t="inlineStr">
        <is>
          <t>RP0007012</t>
        </is>
      </c>
      <c r="B7013" t="inlineStr">
        <is>
          <t>LN200993</t>
        </is>
      </c>
      <c r="C7013" t="n">
        <v>1</v>
      </c>
      <c r="D7013" s="8" t="n">
        <v>45989</v>
      </c>
      <c r="E7013" s="9" t="n">
        <v>3276.75</v>
      </c>
      <c r="F7013" s="8" t="n">
        <v>45992</v>
      </c>
      <c r="G7013" s="9" t="n">
        <v>3276.75</v>
      </c>
      <c r="H7013" t="inlineStr">
        <is>
          <t>PAID_ON_TIME</t>
        </is>
      </c>
      <c r="I7013">
        <f>IF(H7013="UNPAID", AsOfDate-D7013, 0)</f>
        <v/>
      </c>
      <c r="J7013">
        <f>IF(F7013&lt;&gt;"", TEXT(F7013, "yyyy-mm"), "")</f>
        <v/>
      </c>
    </row>
    <row r="7014">
      <c r="A7014" t="inlineStr">
        <is>
          <t>RP0007013</t>
        </is>
      </c>
      <c r="B7014" t="inlineStr">
        <is>
          <t>LN200993</t>
        </is>
      </c>
      <c r="C7014" t="n">
        <v>2</v>
      </c>
      <c r="D7014" s="8" t="n">
        <v>46019</v>
      </c>
      <c r="E7014" s="9" t="n">
        <v>3276.75</v>
      </c>
      <c r="F7014" s="8" t="n">
        <v>46019</v>
      </c>
      <c r="G7014" s="9" t="n">
        <v>3276.75</v>
      </c>
      <c r="H7014" t="inlineStr">
        <is>
          <t>PAID_ON_TIME</t>
        </is>
      </c>
      <c r="I7014">
        <f>IF(H7014="UNPAID", AsOfDate-D7014, 0)</f>
        <v/>
      </c>
      <c r="J7014">
        <f>IF(F7014&lt;&gt;"", TEXT(F7014, "yyyy-mm"), "")</f>
        <v/>
      </c>
    </row>
    <row r="7015">
      <c r="A7015" t="inlineStr">
        <is>
          <t>RP0007014</t>
        </is>
      </c>
      <c r="B7015" t="inlineStr">
        <is>
          <t>LN200993</t>
        </is>
      </c>
      <c r="C7015" t="n">
        <v>3</v>
      </c>
      <c r="D7015" s="8" t="n">
        <v>46050</v>
      </c>
      <c r="E7015" s="9" t="n">
        <v>3276.75</v>
      </c>
      <c r="F7015" s="8" t="n">
        <v>46051</v>
      </c>
      <c r="G7015" s="9" t="n">
        <v>3276.75</v>
      </c>
      <c r="H7015" t="inlineStr">
        <is>
          <t>PAID_ON_TIME</t>
        </is>
      </c>
      <c r="I7015">
        <f>IF(H7015="UNPAID", AsOfDate-D7015, 0)</f>
        <v/>
      </c>
      <c r="J7015">
        <f>IF(F7015&lt;&gt;"", TEXT(F7015, "yyyy-mm"), "")</f>
        <v/>
      </c>
    </row>
    <row r="7016">
      <c r="A7016" t="inlineStr">
        <is>
          <t>RP0007015</t>
        </is>
      </c>
      <c r="B7016" t="inlineStr">
        <is>
          <t>LN200993</t>
        </is>
      </c>
      <c r="C7016" t="n">
        <v>4</v>
      </c>
      <c r="D7016" s="8" t="n">
        <v>46081</v>
      </c>
      <c r="E7016" s="9" t="n">
        <v>3276.75</v>
      </c>
      <c r="F7016" s="8" t="n">
        <v>46083</v>
      </c>
      <c r="G7016" s="9" t="n">
        <v>3276.75</v>
      </c>
      <c r="H7016" t="inlineStr">
        <is>
          <t>PAID_ON_TIME</t>
        </is>
      </c>
      <c r="I7016">
        <f>IF(H7016="UNPAID", AsOfDate-D7016, 0)</f>
        <v/>
      </c>
      <c r="J7016">
        <f>IF(F7016&lt;&gt;"", TEXT(F7016, "yyyy-mm"), "")</f>
        <v/>
      </c>
    </row>
    <row r="7017">
      <c r="A7017" t="inlineStr">
        <is>
          <t>RP0007016</t>
        </is>
      </c>
      <c r="B7017" t="inlineStr">
        <is>
          <t>LN200993</t>
        </is>
      </c>
      <c r="C7017" t="n">
        <v>5</v>
      </c>
      <c r="D7017" s="8" t="n">
        <v>46109</v>
      </c>
      <c r="E7017" s="9" t="n">
        <v>3276.75</v>
      </c>
      <c r="F7017" s="8" t="n">
        <v>46112</v>
      </c>
      <c r="G7017" s="9" t="n">
        <v>3276.75</v>
      </c>
      <c r="H7017" t="inlineStr">
        <is>
          <t>PAID_ON_TIME</t>
        </is>
      </c>
      <c r="I7017">
        <f>IF(H7017="UNPAID", AsOfDate-D7017, 0)</f>
        <v/>
      </c>
      <c r="J7017">
        <f>IF(F7017&lt;&gt;"", TEXT(F7017, "yyyy-mm"), "")</f>
        <v/>
      </c>
    </row>
    <row r="7018">
      <c r="A7018" t="inlineStr">
        <is>
          <t>RP0007017</t>
        </is>
      </c>
      <c r="B7018" t="inlineStr">
        <is>
          <t>LN200993</t>
        </is>
      </c>
      <c r="C7018" t="n">
        <v>6</v>
      </c>
      <c r="D7018" s="8" t="n">
        <v>46140</v>
      </c>
      <c r="E7018" s="9" t="n">
        <v>3276.75</v>
      </c>
      <c r="F7018" s="8" t="n">
        <v>46141</v>
      </c>
      <c r="G7018" s="9" t="n">
        <v>3276.75</v>
      </c>
      <c r="H7018" t="inlineStr">
        <is>
          <t>PAID_ON_TIME</t>
        </is>
      </c>
      <c r="I7018">
        <f>IF(H7018="UNPAID", AsOfDate-D7018, 0)</f>
        <v/>
      </c>
      <c r="J7018">
        <f>IF(F7018&lt;&gt;"", TEXT(F7018, "yyyy-mm"), "")</f>
        <v/>
      </c>
    </row>
    <row r="7019">
      <c r="A7019" t="inlineStr">
        <is>
          <t>RP0007018</t>
        </is>
      </c>
      <c r="B7019" t="inlineStr">
        <is>
          <t>LN200993</t>
        </is>
      </c>
      <c r="C7019" t="n">
        <v>7</v>
      </c>
      <c r="D7019" s="8" t="n">
        <v>46170</v>
      </c>
      <c r="E7019" s="9" t="n">
        <v>3276.75</v>
      </c>
      <c r="F7019" s="8" t="n">
        <v>46168</v>
      </c>
      <c r="G7019" s="9" t="n">
        <v>3276.75</v>
      </c>
      <c r="H7019" t="inlineStr">
        <is>
          <t>PAID_ON_TIME</t>
        </is>
      </c>
      <c r="I7019">
        <f>IF(H7019="UNPAID", AsOfDate-D7019, 0)</f>
        <v/>
      </c>
      <c r="J7019">
        <f>IF(F7019&lt;&gt;"", TEXT(F7019, "yyyy-mm"), "")</f>
        <v/>
      </c>
    </row>
    <row r="7020">
      <c r="A7020" t="inlineStr">
        <is>
          <t>RP0007019</t>
        </is>
      </c>
      <c r="B7020" t="inlineStr">
        <is>
          <t>LN200993</t>
        </is>
      </c>
      <c r="C7020" t="n">
        <v>8</v>
      </c>
      <c r="D7020" s="8" t="n">
        <v>46201</v>
      </c>
      <c r="E7020" s="9" t="n">
        <v>3276.75</v>
      </c>
      <c r="F7020" s="8" t="n">
        <v>46204</v>
      </c>
      <c r="G7020" s="9" t="n">
        <v>3276.75</v>
      </c>
      <c r="H7020" t="inlineStr">
        <is>
          <t>PAID_ON_TIME</t>
        </is>
      </c>
      <c r="I7020">
        <f>IF(H7020="UNPAID", AsOfDate-D7020, 0)</f>
        <v/>
      </c>
      <c r="J7020">
        <f>IF(F7020&lt;&gt;"", TEXT(F7020, "yyyy-mm"), "")</f>
        <v/>
      </c>
    </row>
    <row r="7021">
      <c r="A7021" t="inlineStr">
        <is>
          <t>RP0007020</t>
        </is>
      </c>
      <c r="B7021" t="inlineStr">
        <is>
          <t>LN200993</t>
        </is>
      </c>
      <c r="C7021" t="n">
        <v>9</v>
      </c>
      <c r="D7021" s="8" t="n">
        <v>46231</v>
      </c>
      <c r="E7021" s="9" t="n">
        <v>3276.75</v>
      </c>
      <c r="F7021" s="8" t="n"/>
      <c r="G7021" s="9" t="n">
        <v>0</v>
      </c>
      <c r="H7021" t="inlineStr">
        <is>
          <t>UNPAID</t>
        </is>
      </c>
      <c r="I7021">
        <f>IF(H7021="UNPAID", AsOfDate-D7021, 0)</f>
        <v/>
      </c>
      <c r="J7021">
        <f>IF(F7021&lt;&gt;"", TEXT(F7021, "yyyy-mm"), "")</f>
        <v/>
      </c>
    </row>
    <row r="7022">
      <c r="A7022" t="inlineStr">
        <is>
          <t>RP0007021</t>
        </is>
      </c>
      <c r="B7022" t="inlineStr">
        <is>
          <t>LN200994</t>
        </is>
      </c>
      <c r="C7022" t="n">
        <v>1</v>
      </c>
      <c r="D7022" s="8" t="n">
        <v>46139</v>
      </c>
      <c r="E7022" s="9" t="n">
        <v>29985.33</v>
      </c>
      <c r="F7022" s="8" t="n">
        <v>46143</v>
      </c>
      <c r="G7022" s="9" t="n">
        <v>29985.33</v>
      </c>
      <c r="H7022" t="inlineStr">
        <is>
          <t>PAID_ON_TIME</t>
        </is>
      </c>
      <c r="I7022">
        <f>IF(H7022="UNPAID", AsOfDate-D7022, 0)</f>
        <v/>
      </c>
      <c r="J7022">
        <f>IF(F7022&lt;&gt;"", TEXT(F7022, "yyyy-mm"), "")</f>
        <v/>
      </c>
    </row>
    <row r="7023">
      <c r="A7023" t="inlineStr">
        <is>
          <t>RP0007022</t>
        </is>
      </c>
      <c r="B7023" t="inlineStr">
        <is>
          <t>LN200994</t>
        </is>
      </c>
      <c r="C7023" t="n">
        <v>2</v>
      </c>
      <c r="D7023" s="8" t="n">
        <v>46169</v>
      </c>
      <c r="E7023" s="9" t="n">
        <v>29985.33</v>
      </c>
      <c r="F7023" s="8" t="n">
        <v>46166</v>
      </c>
      <c r="G7023" s="9" t="n">
        <v>29985.33</v>
      </c>
      <c r="H7023" t="inlineStr">
        <is>
          <t>PAID_ON_TIME</t>
        </is>
      </c>
      <c r="I7023">
        <f>IF(H7023="UNPAID", AsOfDate-D7023, 0)</f>
        <v/>
      </c>
      <c r="J7023">
        <f>IF(F7023&lt;&gt;"", TEXT(F7023, "yyyy-mm"), "")</f>
        <v/>
      </c>
    </row>
    <row r="7024">
      <c r="A7024" t="inlineStr">
        <is>
          <t>RP0007023</t>
        </is>
      </c>
      <c r="B7024" t="inlineStr">
        <is>
          <t>LN200994</t>
        </is>
      </c>
      <c r="C7024" t="n">
        <v>3</v>
      </c>
      <c r="D7024" s="8" t="n">
        <v>46200</v>
      </c>
      <c r="E7024" s="9" t="n">
        <v>29985.33</v>
      </c>
      <c r="F7024" s="8" t="n">
        <v>46200</v>
      </c>
      <c r="G7024" s="9" t="n">
        <v>29985.33</v>
      </c>
      <c r="H7024" t="inlineStr">
        <is>
          <t>PAID_ON_TIME</t>
        </is>
      </c>
      <c r="I7024">
        <f>IF(H7024="UNPAID", AsOfDate-D7024, 0)</f>
        <v/>
      </c>
      <c r="J7024">
        <f>IF(F7024&lt;&gt;"", TEXT(F7024, "yyyy-mm"), "")</f>
        <v/>
      </c>
    </row>
    <row r="7025">
      <c r="A7025" t="inlineStr">
        <is>
          <t>RP0007024</t>
        </is>
      </c>
      <c r="B7025" t="inlineStr">
        <is>
          <t>LN200995</t>
        </is>
      </c>
      <c r="C7025" t="n">
        <v>1</v>
      </c>
      <c r="D7025" s="8" t="n">
        <v>46098</v>
      </c>
      <c r="E7025" s="9" t="n">
        <v>8067.22</v>
      </c>
      <c r="F7025" s="8" t="n">
        <v>46129</v>
      </c>
      <c r="G7025" s="9" t="n">
        <v>8067.22</v>
      </c>
      <c r="H7025" t="inlineStr">
        <is>
          <t>PAID_LATE</t>
        </is>
      </c>
      <c r="I7025">
        <f>IF(H7025="UNPAID", AsOfDate-D7025, 0)</f>
        <v/>
      </c>
      <c r="J7025">
        <f>IF(F7025&lt;&gt;"", TEXT(F7025, "yyyy-mm"), "")</f>
        <v/>
      </c>
    </row>
    <row r="7026">
      <c r="A7026" t="inlineStr">
        <is>
          <t>RP0007025</t>
        </is>
      </c>
      <c r="B7026" t="inlineStr">
        <is>
          <t>LN200995</t>
        </is>
      </c>
      <c r="C7026" t="n">
        <v>2</v>
      </c>
      <c r="D7026" s="8" t="n">
        <v>46129</v>
      </c>
      <c r="E7026" s="9" t="n">
        <v>8067.22</v>
      </c>
      <c r="F7026" s="8" t="n">
        <v>46129</v>
      </c>
      <c r="G7026" s="9" t="n">
        <v>8067.22</v>
      </c>
      <c r="H7026" t="inlineStr">
        <is>
          <t>PAID_ON_TIME</t>
        </is>
      </c>
      <c r="I7026">
        <f>IF(H7026="UNPAID", AsOfDate-D7026, 0)</f>
        <v/>
      </c>
      <c r="J7026">
        <f>IF(F7026&lt;&gt;"", TEXT(F7026, "yyyy-mm"), "")</f>
        <v/>
      </c>
    </row>
    <row r="7027">
      <c r="A7027" t="inlineStr">
        <is>
          <t>RP0007026</t>
        </is>
      </c>
      <c r="B7027" t="inlineStr">
        <is>
          <t>LN200995</t>
        </is>
      </c>
      <c r="C7027" t="n">
        <v>3</v>
      </c>
      <c r="D7027" s="8" t="n">
        <v>46159</v>
      </c>
      <c r="E7027" s="9" t="n">
        <v>8067.22</v>
      </c>
      <c r="F7027" s="8" t="n">
        <v>46157</v>
      </c>
      <c r="G7027" s="9" t="n">
        <v>8067.22</v>
      </c>
      <c r="H7027" t="inlineStr">
        <is>
          <t>PAID_ON_TIME</t>
        </is>
      </c>
      <c r="I7027">
        <f>IF(H7027="UNPAID", AsOfDate-D7027, 0)</f>
        <v/>
      </c>
      <c r="J7027">
        <f>IF(F7027&lt;&gt;"", TEXT(F7027, "yyyy-mm"), "")</f>
        <v/>
      </c>
    </row>
    <row r="7028">
      <c r="A7028" t="inlineStr">
        <is>
          <t>RP0007027</t>
        </is>
      </c>
      <c r="B7028" t="inlineStr">
        <is>
          <t>LN200995</t>
        </is>
      </c>
      <c r="C7028" t="n">
        <v>4</v>
      </c>
      <c r="D7028" s="8" t="n">
        <v>46190</v>
      </c>
      <c r="E7028" s="9" t="n">
        <v>8067.22</v>
      </c>
      <c r="F7028" s="8" t="n">
        <v>46187</v>
      </c>
      <c r="G7028" s="9" t="n">
        <v>8067.22</v>
      </c>
      <c r="H7028" t="inlineStr">
        <is>
          <t>PAID_ON_TIME</t>
        </is>
      </c>
      <c r="I7028">
        <f>IF(H7028="UNPAID", AsOfDate-D7028, 0)</f>
        <v/>
      </c>
      <c r="J7028">
        <f>IF(F7028&lt;&gt;"", TEXT(F7028, "yyyy-mm"), "")</f>
        <v/>
      </c>
    </row>
    <row r="7029">
      <c r="A7029" t="inlineStr">
        <is>
          <t>RP0007028</t>
        </is>
      </c>
      <c r="B7029" t="inlineStr">
        <is>
          <t>LN200995</t>
        </is>
      </c>
      <c r="C7029" t="n">
        <v>5</v>
      </c>
      <c r="D7029" s="8" t="n">
        <v>46220</v>
      </c>
      <c r="E7029" s="9" t="n">
        <v>8067.22</v>
      </c>
      <c r="F7029" s="8" t="n">
        <v>46217</v>
      </c>
      <c r="G7029" s="9" t="n">
        <v>8067.22</v>
      </c>
      <c r="H7029" t="inlineStr">
        <is>
          <t>PAID_ON_TIME</t>
        </is>
      </c>
      <c r="I7029">
        <f>IF(H7029="UNPAID", AsOfDate-D7029, 0)</f>
        <v/>
      </c>
      <c r="J7029">
        <f>IF(F7029&lt;&gt;"", TEXT(F7029, "yyyy-mm"), "")</f>
        <v/>
      </c>
    </row>
    <row r="7030">
      <c r="A7030" t="inlineStr">
        <is>
          <t>RP0007029</t>
        </is>
      </c>
      <c r="B7030" t="inlineStr">
        <is>
          <t>LN200995</t>
        </is>
      </c>
      <c r="C7030" t="n">
        <v>6</v>
      </c>
      <c r="D7030" s="8" t="n">
        <v>46251</v>
      </c>
      <c r="E7030" s="9" t="n">
        <v>8067.22</v>
      </c>
      <c r="F7030" s="8" t="n"/>
      <c r="G7030" s="9" t="n">
        <v>0</v>
      </c>
      <c r="H7030" t="inlineStr">
        <is>
          <t>UNPAID</t>
        </is>
      </c>
      <c r="I7030">
        <f>IF(H7030="UNPAID", AsOfDate-D7030, 0)</f>
        <v/>
      </c>
      <c r="J7030">
        <f>IF(F7030&lt;&gt;"", TEXT(F7030, "yyyy-mm"), "")</f>
        <v/>
      </c>
    </row>
    <row r="7031">
      <c r="A7031" t="inlineStr">
        <is>
          <t>RP0007030</t>
        </is>
      </c>
      <c r="B7031" t="inlineStr">
        <is>
          <t>LN200995</t>
        </is>
      </c>
      <c r="C7031" t="n">
        <v>7</v>
      </c>
      <c r="D7031" s="8" t="n">
        <v>46282</v>
      </c>
      <c r="E7031" s="9" t="n">
        <v>8067.22</v>
      </c>
      <c r="F7031" s="8" t="n"/>
      <c r="G7031" s="9" t="n">
        <v>0</v>
      </c>
      <c r="H7031" t="inlineStr">
        <is>
          <t>NOT_DUE</t>
        </is>
      </c>
      <c r="I7031">
        <f>IF(H7031="UNPAID", AsOfDate-D7031, 0)</f>
        <v/>
      </c>
      <c r="J7031">
        <f>IF(F7031&lt;&gt;"", TEXT(F7031, "yyyy-mm"), "")</f>
        <v/>
      </c>
    </row>
    <row r="7032">
      <c r="A7032" t="inlineStr">
        <is>
          <t>RP0007031</t>
        </is>
      </c>
      <c r="B7032" t="inlineStr">
        <is>
          <t>LN200995</t>
        </is>
      </c>
      <c r="C7032" t="n">
        <v>8</v>
      </c>
      <c r="D7032" s="8" t="n">
        <v>46312</v>
      </c>
      <c r="E7032" s="9" t="n">
        <v>8067.22</v>
      </c>
      <c r="F7032" s="8" t="n"/>
      <c r="G7032" s="9" t="n">
        <v>0</v>
      </c>
      <c r="H7032" t="inlineStr">
        <is>
          <t>NOT_DUE</t>
        </is>
      </c>
      <c r="I7032">
        <f>IF(H7032="UNPAID", AsOfDate-D7032, 0)</f>
        <v/>
      </c>
      <c r="J7032">
        <f>IF(F7032&lt;&gt;"", TEXT(F7032, "yyyy-mm"), "")</f>
        <v/>
      </c>
    </row>
    <row r="7033">
      <c r="A7033" t="inlineStr">
        <is>
          <t>RP0007032</t>
        </is>
      </c>
      <c r="B7033" t="inlineStr">
        <is>
          <t>LN200995</t>
        </is>
      </c>
      <c r="C7033" t="n">
        <v>9</v>
      </c>
      <c r="D7033" s="8" t="n">
        <v>46343</v>
      </c>
      <c r="E7033" s="9" t="n">
        <v>8067.22</v>
      </c>
      <c r="F7033" s="8" t="n"/>
      <c r="G7033" s="9" t="n">
        <v>0</v>
      </c>
      <c r="H7033" t="inlineStr">
        <is>
          <t>NOT_DUE</t>
        </is>
      </c>
      <c r="I7033">
        <f>IF(H7033="UNPAID", AsOfDate-D7033, 0)</f>
        <v/>
      </c>
      <c r="J7033">
        <f>IF(F7033&lt;&gt;"", TEXT(F7033, "yyyy-mm"), "")</f>
        <v/>
      </c>
    </row>
    <row r="7034">
      <c r="A7034" t="inlineStr">
        <is>
          <t>RP0007033</t>
        </is>
      </c>
      <c r="B7034" t="inlineStr">
        <is>
          <t>LN200996</t>
        </is>
      </c>
      <c r="C7034" t="n">
        <v>1</v>
      </c>
      <c r="D7034" s="8" t="n">
        <v>46205</v>
      </c>
      <c r="E7034" s="9" t="n">
        <v>21535</v>
      </c>
      <c r="F7034" s="8" t="n">
        <v>46203</v>
      </c>
      <c r="G7034" s="9" t="n">
        <v>21535</v>
      </c>
      <c r="H7034" t="inlineStr">
        <is>
          <t>PAID_ON_TIME</t>
        </is>
      </c>
      <c r="I7034">
        <f>IF(H7034="UNPAID", AsOfDate-D7034, 0)</f>
        <v/>
      </c>
      <c r="J7034">
        <f>IF(F7034&lt;&gt;"", TEXT(F7034, "yyyy-mm"), "")</f>
        <v/>
      </c>
    </row>
    <row r="7035">
      <c r="A7035" t="inlineStr">
        <is>
          <t>RP0007034</t>
        </is>
      </c>
      <c r="B7035" t="inlineStr">
        <is>
          <t>LN200996</t>
        </is>
      </c>
      <c r="C7035" t="n">
        <v>2</v>
      </c>
      <c r="D7035" s="8" t="n">
        <v>46236</v>
      </c>
      <c r="E7035" s="9" t="n">
        <v>21535</v>
      </c>
      <c r="F7035" s="8" t="n">
        <v>46239</v>
      </c>
      <c r="G7035" s="9" t="n">
        <v>21535</v>
      </c>
      <c r="H7035" t="inlineStr">
        <is>
          <t>PAID_ON_TIME</t>
        </is>
      </c>
      <c r="I7035">
        <f>IF(H7035="UNPAID", AsOfDate-D7035, 0)</f>
        <v/>
      </c>
      <c r="J7035">
        <f>IF(F7035&lt;&gt;"", TEXT(F7035, "yyyy-mm"), "")</f>
        <v/>
      </c>
    </row>
    <row r="7036">
      <c r="A7036" t="inlineStr">
        <is>
          <t>RP0007035</t>
        </is>
      </c>
      <c r="B7036" t="inlineStr">
        <is>
          <t>LN200996</t>
        </is>
      </c>
      <c r="C7036" t="n">
        <v>3</v>
      </c>
      <c r="D7036" s="8" t="n">
        <v>46267</v>
      </c>
      <c r="E7036" s="9" t="n">
        <v>21535</v>
      </c>
      <c r="F7036" s="8" t="n"/>
      <c r="G7036" s="9" t="n">
        <v>0</v>
      </c>
      <c r="H7036" t="inlineStr">
        <is>
          <t>NOT_DUE</t>
        </is>
      </c>
      <c r="I7036">
        <f>IF(H7036="UNPAID", AsOfDate-D7036, 0)</f>
        <v/>
      </c>
      <c r="J7036">
        <f>IF(F7036&lt;&gt;"", TEXT(F7036, "yyyy-mm"), "")</f>
        <v/>
      </c>
    </row>
    <row r="7037">
      <c r="A7037" t="inlineStr">
        <is>
          <t>RP0007036</t>
        </is>
      </c>
      <c r="B7037" t="inlineStr">
        <is>
          <t>LN200996</t>
        </is>
      </c>
      <c r="C7037" t="n">
        <v>4</v>
      </c>
      <c r="D7037" s="8" t="n">
        <v>46297</v>
      </c>
      <c r="E7037" s="9" t="n">
        <v>21535</v>
      </c>
      <c r="F7037" s="8" t="n"/>
      <c r="G7037" s="9" t="n">
        <v>0</v>
      </c>
      <c r="H7037" t="inlineStr">
        <is>
          <t>NOT_DUE</t>
        </is>
      </c>
      <c r="I7037">
        <f>IF(H7037="UNPAID", AsOfDate-D7037, 0)</f>
        <v/>
      </c>
      <c r="J7037">
        <f>IF(F7037&lt;&gt;"", TEXT(F7037, "yyyy-mm"), "")</f>
        <v/>
      </c>
    </row>
    <row r="7038">
      <c r="A7038" t="inlineStr">
        <is>
          <t>RP0007037</t>
        </is>
      </c>
      <c r="B7038" t="inlineStr">
        <is>
          <t>LN200996</t>
        </is>
      </c>
      <c r="C7038" t="n">
        <v>5</v>
      </c>
      <c r="D7038" s="8" t="n">
        <v>46328</v>
      </c>
      <c r="E7038" s="9" t="n">
        <v>21535</v>
      </c>
      <c r="F7038" s="8" t="n"/>
      <c r="G7038" s="9" t="n">
        <v>0</v>
      </c>
      <c r="H7038" t="inlineStr">
        <is>
          <t>NOT_DUE</t>
        </is>
      </c>
      <c r="I7038">
        <f>IF(H7038="UNPAID", AsOfDate-D7038, 0)</f>
        <v/>
      </c>
      <c r="J7038">
        <f>IF(F7038&lt;&gt;"", TEXT(F7038, "yyyy-mm"), "")</f>
        <v/>
      </c>
    </row>
    <row r="7039">
      <c r="A7039" t="inlineStr">
        <is>
          <t>RP0007038</t>
        </is>
      </c>
      <c r="B7039" t="inlineStr">
        <is>
          <t>LN200996</t>
        </is>
      </c>
      <c r="C7039" t="n">
        <v>6</v>
      </c>
      <c r="D7039" s="8" t="n">
        <v>46358</v>
      </c>
      <c r="E7039" s="9" t="n">
        <v>21535</v>
      </c>
      <c r="F7039" s="8" t="n"/>
      <c r="G7039" s="9" t="n">
        <v>0</v>
      </c>
      <c r="H7039" t="inlineStr">
        <is>
          <t>NOT_DUE</t>
        </is>
      </c>
      <c r="I7039">
        <f>IF(H7039="UNPAID", AsOfDate-D7039, 0)</f>
        <v/>
      </c>
      <c r="J7039">
        <f>IF(F7039&lt;&gt;"", TEXT(F7039, "yyyy-mm"), "")</f>
        <v/>
      </c>
    </row>
    <row r="7040">
      <c r="A7040" t="inlineStr">
        <is>
          <t>RP0007039</t>
        </is>
      </c>
      <c r="B7040" t="inlineStr">
        <is>
          <t>LN200997</t>
        </is>
      </c>
      <c r="C7040" t="n">
        <v>1</v>
      </c>
      <c r="D7040" s="8" t="n">
        <v>46081</v>
      </c>
      <c r="E7040" s="9" t="n">
        <v>10393</v>
      </c>
      <c r="F7040" s="8" t="n">
        <v>46080</v>
      </c>
      <c r="G7040" s="9" t="n">
        <v>10393</v>
      </c>
      <c r="H7040" t="inlineStr">
        <is>
          <t>PAID_ON_TIME</t>
        </is>
      </c>
      <c r="I7040">
        <f>IF(H7040="UNPAID", AsOfDate-D7040, 0)</f>
        <v/>
      </c>
      <c r="J7040">
        <f>IF(F7040&lt;&gt;"", TEXT(F7040, "yyyy-mm"), "")</f>
        <v/>
      </c>
    </row>
    <row r="7041">
      <c r="A7041" t="inlineStr">
        <is>
          <t>RP0007040</t>
        </is>
      </c>
      <c r="B7041" t="inlineStr">
        <is>
          <t>LN200997</t>
        </is>
      </c>
      <c r="C7041" t="n">
        <v>2</v>
      </c>
      <c r="D7041" s="8" t="n">
        <v>46110</v>
      </c>
      <c r="E7041" s="9" t="n">
        <v>10393</v>
      </c>
      <c r="F7041" s="8" t="n">
        <v>46113</v>
      </c>
      <c r="G7041" s="9" t="n">
        <v>10393</v>
      </c>
      <c r="H7041" t="inlineStr">
        <is>
          <t>PAID_ON_TIME</t>
        </is>
      </c>
      <c r="I7041">
        <f>IF(H7041="UNPAID", AsOfDate-D7041, 0)</f>
        <v/>
      </c>
      <c r="J7041">
        <f>IF(F7041&lt;&gt;"", TEXT(F7041, "yyyy-mm"), "")</f>
        <v/>
      </c>
    </row>
    <row r="7042">
      <c r="A7042" t="inlineStr">
        <is>
          <t>RP0007041</t>
        </is>
      </c>
      <c r="B7042" t="inlineStr">
        <is>
          <t>LN200997</t>
        </is>
      </c>
      <c r="C7042" t="n">
        <v>3</v>
      </c>
      <c r="D7042" s="8" t="n">
        <v>46141</v>
      </c>
      <c r="E7042" s="9" t="n">
        <v>10393</v>
      </c>
      <c r="F7042" s="8" t="n">
        <v>46140</v>
      </c>
      <c r="G7042" s="9" t="n">
        <v>10393</v>
      </c>
      <c r="H7042" t="inlineStr">
        <is>
          <t>PAID_ON_TIME</t>
        </is>
      </c>
      <c r="I7042">
        <f>IF(H7042="UNPAID", AsOfDate-D7042, 0)</f>
        <v/>
      </c>
      <c r="J7042">
        <f>IF(F7042&lt;&gt;"", TEXT(F7042, "yyyy-mm"), "")</f>
        <v/>
      </c>
    </row>
    <row r="7043">
      <c r="A7043" t="inlineStr">
        <is>
          <t>RP0007042</t>
        </is>
      </c>
      <c r="B7043" t="inlineStr">
        <is>
          <t>LN200997</t>
        </is>
      </c>
      <c r="C7043" t="n">
        <v>4</v>
      </c>
      <c r="D7043" s="8" t="n">
        <v>46171</v>
      </c>
      <c r="E7043" s="9" t="n">
        <v>10393</v>
      </c>
      <c r="F7043" s="8" t="n">
        <v>46173</v>
      </c>
      <c r="G7043" s="9" t="n">
        <v>10393</v>
      </c>
      <c r="H7043" t="inlineStr">
        <is>
          <t>PAID_ON_TIME</t>
        </is>
      </c>
      <c r="I7043">
        <f>IF(H7043="UNPAID", AsOfDate-D7043, 0)</f>
        <v/>
      </c>
      <c r="J7043">
        <f>IF(F7043&lt;&gt;"", TEXT(F7043, "yyyy-mm"), "")</f>
        <v/>
      </c>
    </row>
    <row r="7044">
      <c r="A7044" t="inlineStr">
        <is>
          <t>RP0007043</t>
        </is>
      </c>
      <c r="B7044" t="inlineStr">
        <is>
          <t>LN200997</t>
        </is>
      </c>
      <c r="C7044" t="n">
        <v>5</v>
      </c>
      <c r="D7044" s="8" t="n">
        <v>46202</v>
      </c>
      <c r="E7044" s="9" t="n">
        <v>10393</v>
      </c>
      <c r="F7044" s="8" t="n">
        <v>46201</v>
      </c>
      <c r="G7044" s="9" t="n">
        <v>10393</v>
      </c>
      <c r="H7044" t="inlineStr">
        <is>
          <t>PAID_ON_TIME</t>
        </is>
      </c>
      <c r="I7044">
        <f>IF(H7044="UNPAID", AsOfDate-D7044, 0)</f>
        <v/>
      </c>
      <c r="J7044">
        <f>IF(F7044&lt;&gt;"", TEXT(F7044, "yyyy-mm"), "")</f>
        <v/>
      </c>
    </row>
    <row r="7045">
      <c r="A7045" t="inlineStr">
        <is>
          <t>RP0007044</t>
        </is>
      </c>
      <c r="B7045" t="inlineStr">
        <is>
          <t>LN200997</t>
        </is>
      </c>
      <c r="C7045" t="n">
        <v>6</v>
      </c>
      <c r="D7045" s="8" t="n">
        <v>46232</v>
      </c>
      <c r="E7045" s="9" t="n">
        <v>10393</v>
      </c>
      <c r="F7045" s="8" t="n">
        <v>46233</v>
      </c>
      <c r="G7045" s="9" t="n">
        <v>10393</v>
      </c>
      <c r="H7045" t="inlineStr">
        <is>
          <t>PAID_ON_TIME</t>
        </is>
      </c>
      <c r="I7045">
        <f>IF(H7045="UNPAID", AsOfDate-D7045, 0)</f>
        <v/>
      </c>
      <c r="J7045">
        <f>IF(F7045&lt;&gt;"", TEXT(F7045, "yyyy-mm"), "")</f>
        <v/>
      </c>
    </row>
    <row r="7046">
      <c r="A7046" t="inlineStr">
        <is>
          <t>RP0007045</t>
        </is>
      </c>
      <c r="B7046" t="inlineStr">
        <is>
          <t>LN200998</t>
        </is>
      </c>
      <c r="C7046" t="n">
        <v>1</v>
      </c>
      <c r="D7046" s="8" t="n">
        <v>46253</v>
      </c>
      <c r="E7046" s="9" t="n">
        <v>8091.17</v>
      </c>
      <c r="F7046" s="8" t="n">
        <v>46253</v>
      </c>
      <c r="G7046" s="9" t="n">
        <v>8091.17</v>
      </c>
      <c r="H7046" t="inlineStr">
        <is>
          <t>PAID_ON_TIME</t>
        </is>
      </c>
      <c r="I7046">
        <f>IF(H7046="UNPAID", AsOfDate-D7046, 0)</f>
        <v/>
      </c>
      <c r="J7046">
        <f>IF(F7046&lt;&gt;"", TEXT(F7046, "yyyy-mm"), "")</f>
        <v/>
      </c>
    </row>
    <row r="7047">
      <c r="A7047" t="inlineStr">
        <is>
          <t>RP0007046</t>
        </is>
      </c>
      <c r="B7047" t="inlineStr">
        <is>
          <t>LN200998</t>
        </is>
      </c>
      <c r="C7047" t="n">
        <v>2</v>
      </c>
      <c r="D7047" s="8" t="n">
        <v>46284</v>
      </c>
      <c r="E7047" s="9" t="n">
        <v>8091.17</v>
      </c>
      <c r="F7047" s="8" t="n"/>
      <c r="G7047" s="9" t="n">
        <v>0</v>
      </c>
      <c r="H7047" t="inlineStr">
        <is>
          <t>NOT_DUE</t>
        </is>
      </c>
      <c r="I7047">
        <f>IF(H7047="UNPAID", AsOfDate-D7047, 0)</f>
        <v/>
      </c>
      <c r="J7047">
        <f>IF(F7047&lt;&gt;"", TEXT(F7047, "yyyy-mm"), "")</f>
        <v/>
      </c>
    </row>
    <row r="7048">
      <c r="A7048" t="inlineStr">
        <is>
          <t>RP0007047</t>
        </is>
      </c>
      <c r="B7048" t="inlineStr">
        <is>
          <t>LN200998</t>
        </is>
      </c>
      <c r="C7048" t="n">
        <v>3</v>
      </c>
      <c r="D7048" s="8" t="n">
        <v>46314</v>
      </c>
      <c r="E7048" s="9" t="n">
        <v>8091.17</v>
      </c>
      <c r="F7048" s="8" t="n"/>
      <c r="G7048" s="9" t="n">
        <v>0</v>
      </c>
      <c r="H7048" t="inlineStr">
        <is>
          <t>NOT_DUE</t>
        </is>
      </c>
      <c r="I7048">
        <f>IF(H7048="UNPAID", AsOfDate-D7048, 0)</f>
        <v/>
      </c>
      <c r="J7048">
        <f>IF(F7048&lt;&gt;"", TEXT(F7048, "yyyy-mm"), "")</f>
        <v/>
      </c>
    </row>
    <row r="7049">
      <c r="A7049" t="inlineStr">
        <is>
          <t>RP0007048</t>
        </is>
      </c>
      <c r="B7049" t="inlineStr">
        <is>
          <t>LN200998</t>
        </is>
      </c>
      <c r="C7049" t="n">
        <v>4</v>
      </c>
      <c r="D7049" s="8" t="n">
        <v>46345</v>
      </c>
      <c r="E7049" s="9" t="n">
        <v>8091.17</v>
      </c>
      <c r="F7049" s="8" t="n"/>
      <c r="G7049" s="9" t="n">
        <v>0</v>
      </c>
      <c r="H7049" t="inlineStr">
        <is>
          <t>NOT_DUE</t>
        </is>
      </c>
      <c r="I7049">
        <f>IF(H7049="UNPAID", AsOfDate-D7049, 0)</f>
        <v/>
      </c>
      <c r="J7049">
        <f>IF(F7049&lt;&gt;"", TEXT(F7049, "yyyy-mm"), "")</f>
        <v/>
      </c>
    </row>
    <row r="7050">
      <c r="A7050" t="inlineStr">
        <is>
          <t>RP0007049</t>
        </is>
      </c>
      <c r="B7050" t="inlineStr">
        <is>
          <t>LN200998</t>
        </is>
      </c>
      <c r="C7050" t="n">
        <v>5</v>
      </c>
      <c r="D7050" s="8" t="n">
        <v>46375</v>
      </c>
      <c r="E7050" s="9" t="n">
        <v>8091.17</v>
      </c>
      <c r="F7050" s="8" t="n"/>
      <c r="G7050" s="9" t="n">
        <v>0</v>
      </c>
      <c r="H7050" t="inlineStr">
        <is>
          <t>NOT_DUE</t>
        </is>
      </c>
      <c r="I7050">
        <f>IF(H7050="UNPAID", AsOfDate-D7050, 0)</f>
        <v/>
      </c>
      <c r="J7050">
        <f>IF(F7050&lt;&gt;"", TEXT(F7050, "yyyy-mm"), "")</f>
        <v/>
      </c>
    </row>
    <row r="7051">
      <c r="A7051" t="inlineStr">
        <is>
          <t>RP0007050</t>
        </is>
      </c>
      <c r="B7051" t="inlineStr">
        <is>
          <t>LN200998</t>
        </is>
      </c>
      <c r="C7051" t="n">
        <v>6</v>
      </c>
      <c r="D7051" s="8" t="n">
        <v>46406</v>
      </c>
      <c r="E7051" s="9" t="n">
        <v>8091.17</v>
      </c>
      <c r="F7051" s="8" t="n"/>
      <c r="G7051" s="9" t="n">
        <v>0</v>
      </c>
      <c r="H7051" t="inlineStr">
        <is>
          <t>NOT_DUE</t>
        </is>
      </c>
      <c r="I7051">
        <f>IF(H7051="UNPAID", AsOfDate-D7051, 0)</f>
        <v/>
      </c>
      <c r="J7051">
        <f>IF(F7051&lt;&gt;"", TEXT(F7051, "yyyy-mm"), "")</f>
        <v/>
      </c>
    </row>
    <row r="7052">
      <c r="A7052" t="inlineStr">
        <is>
          <t>RP0007051</t>
        </is>
      </c>
      <c r="B7052" t="inlineStr">
        <is>
          <t>LN200998</t>
        </is>
      </c>
      <c r="C7052" t="n">
        <v>7</v>
      </c>
      <c r="D7052" s="8" t="n">
        <v>46437</v>
      </c>
      <c r="E7052" s="9" t="n">
        <v>8091.17</v>
      </c>
      <c r="F7052" s="8" t="n"/>
      <c r="G7052" s="9" t="n">
        <v>0</v>
      </c>
      <c r="H7052" t="inlineStr">
        <is>
          <t>NOT_DUE</t>
        </is>
      </c>
      <c r="I7052">
        <f>IF(H7052="UNPAID", AsOfDate-D7052, 0)</f>
        <v/>
      </c>
      <c r="J7052">
        <f>IF(F7052&lt;&gt;"", TEXT(F7052, "yyyy-mm"), "")</f>
        <v/>
      </c>
    </row>
    <row r="7053">
      <c r="A7053" t="inlineStr">
        <is>
          <t>RP0007052</t>
        </is>
      </c>
      <c r="B7053" t="inlineStr">
        <is>
          <t>LN200998</t>
        </is>
      </c>
      <c r="C7053" t="n">
        <v>8</v>
      </c>
      <c r="D7053" s="8" t="n">
        <v>46465</v>
      </c>
      <c r="E7053" s="9" t="n">
        <v>8091.17</v>
      </c>
      <c r="F7053" s="8" t="n"/>
      <c r="G7053" s="9" t="n">
        <v>0</v>
      </c>
      <c r="H7053" t="inlineStr">
        <is>
          <t>NOT_DUE</t>
        </is>
      </c>
      <c r="I7053">
        <f>IF(H7053="UNPAID", AsOfDate-D7053, 0)</f>
        <v/>
      </c>
      <c r="J7053">
        <f>IF(F7053&lt;&gt;"", TEXT(F7053, "yyyy-mm"), "")</f>
        <v/>
      </c>
    </row>
    <row r="7054">
      <c r="A7054" t="inlineStr">
        <is>
          <t>RP0007053</t>
        </is>
      </c>
      <c r="B7054" t="inlineStr">
        <is>
          <t>LN200998</t>
        </is>
      </c>
      <c r="C7054" t="n">
        <v>9</v>
      </c>
      <c r="D7054" s="8" t="n">
        <v>46496</v>
      </c>
      <c r="E7054" s="9" t="n">
        <v>8091.17</v>
      </c>
      <c r="F7054" s="8" t="n"/>
      <c r="G7054" s="9" t="n">
        <v>0</v>
      </c>
      <c r="H7054" t="inlineStr">
        <is>
          <t>NOT_DUE</t>
        </is>
      </c>
      <c r="I7054">
        <f>IF(H7054="UNPAID", AsOfDate-D7054, 0)</f>
        <v/>
      </c>
      <c r="J7054">
        <f>IF(F7054&lt;&gt;"", TEXT(F7054, "yyyy-mm"), "")</f>
        <v/>
      </c>
    </row>
    <row r="7055">
      <c r="A7055" t="inlineStr">
        <is>
          <t>RP0007054</t>
        </is>
      </c>
      <c r="B7055" t="inlineStr">
        <is>
          <t>LN200998</t>
        </is>
      </c>
      <c r="C7055" t="n">
        <v>10</v>
      </c>
      <c r="D7055" s="8" t="n">
        <v>46526</v>
      </c>
      <c r="E7055" s="9" t="n">
        <v>8091.17</v>
      </c>
      <c r="F7055" s="8" t="n"/>
      <c r="G7055" s="9" t="n">
        <v>0</v>
      </c>
      <c r="H7055" t="inlineStr">
        <is>
          <t>NOT_DUE</t>
        </is>
      </c>
      <c r="I7055">
        <f>IF(H7055="UNPAID", AsOfDate-D7055, 0)</f>
        <v/>
      </c>
      <c r="J7055">
        <f>IF(F7055&lt;&gt;"", TEXT(F7055, "yyyy-mm"), "")</f>
        <v/>
      </c>
    </row>
    <row r="7056">
      <c r="A7056" t="inlineStr">
        <is>
          <t>RP0007055</t>
        </is>
      </c>
      <c r="B7056" t="inlineStr">
        <is>
          <t>LN200998</t>
        </is>
      </c>
      <c r="C7056" t="n">
        <v>11</v>
      </c>
      <c r="D7056" s="8" t="n">
        <v>46557</v>
      </c>
      <c r="E7056" s="9" t="n">
        <v>8091.17</v>
      </c>
      <c r="F7056" s="8" t="n"/>
      <c r="G7056" s="9" t="n">
        <v>0</v>
      </c>
      <c r="H7056" t="inlineStr">
        <is>
          <t>NOT_DUE</t>
        </is>
      </c>
      <c r="I7056">
        <f>IF(H7056="UNPAID", AsOfDate-D7056, 0)</f>
        <v/>
      </c>
      <c r="J7056">
        <f>IF(F7056&lt;&gt;"", TEXT(F7056, "yyyy-mm"), "")</f>
        <v/>
      </c>
    </row>
    <row r="7057">
      <c r="A7057" t="inlineStr">
        <is>
          <t>RP0007056</t>
        </is>
      </c>
      <c r="B7057" t="inlineStr">
        <is>
          <t>LN200998</t>
        </is>
      </c>
      <c r="C7057" t="n">
        <v>12</v>
      </c>
      <c r="D7057" s="8" t="n">
        <v>46587</v>
      </c>
      <c r="E7057" s="9" t="n">
        <v>8091.17</v>
      </c>
      <c r="F7057" s="8" t="n"/>
      <c r="G7057" s="9" t="n">
        <v>0</v>
      </c>
      <c r="H7057" t="inlineStr">
        <is>
          <t>NOT_DUE</t>
        </is>
      </c>
      <c r="I7057">
        <f>IF(H7057="UNPAID", AsOfDate-D7057, 0)</f>
        <v/>
      </c>
      <c r="J7057">
        <f>IF(F7057&lt;&gt;"", TEXT(F7057, "yyyy-mm"), "")</f>
        <v/>
      </c>
    </row>
    <row r="7058">
      <c r="A7058" t="inlineStr">
        <is>
          <t>RP0007057</t>
        </is>
      </c>
      <c r="B7058" t="inlineStr">
        <is>
          <t>LN200999</t>
        </is>
      </c>
      <c r="C7058" t="n">
        <v>1</v>
      </c>
      <c r="D7058" s="8" t="n">
        <v>45991</v>
      </c>
      <c r="E7058" s="9" t="n">
        <v>23138.5</v>
      </c>
      <c r="F7058" s="8" t="n">
        <v>45990</v>
      </c>
      <c r="G7058" s="9" t="n">
        <v>23138.5</v>
      </c>
      <c r="H7058" t="inlineStr">
        <is>
          <t>PAID_ON_TIME</t>
        </is>
      </c>
      <c r="I7058">
        <f>IF(H7058="UNPAID", AsOfDate-D7058, 0)</f>
        <v/>
      </c>
      <c r="J7058">
        <f>IF(F7058&lt;&gt;"", TEXT(F7058, "yyyy-mm"), "")</f>
        <v/>
      </c>
    </row>
    <row r="7059">
      <c r="A7059" t="inlineStr">
        <is>
          <t>RP0007058</t>
        </is>
      </c>
      <c r="B7059" t="inlineStr">
        <is>
          <t>LN200999</t>
        </is>
      </c>
      <c r="C7059" t="n">
        <v>2</v>
      </c>
      <c r="D7059" s="8" t="n">
        <v>46022</v>
      </c>
      <c r="E7059" s="9" t="n">
        <v>23138.5</v>
      </c>
      <c r="F7059" s="8" t="n">
        <v>46044</v>
      </c>
      <c r="G7059" s="9" t="n">
        <v>23138.5</v>
      </c>
      <c r="H7059" t="inlineStr">
        <is>
          <t>PAID_LATE</t>
        </is>
      </c>
      <c r="I7059">
        <f>IF(H7059="UNPAID", AsOfDate-D7059, 0)</f>
        <v/>
      </c>
      <c r="J7059">
        <f>IF(F7059&lt;&gt;"", TEXT(F7059, "yyyy-mm"), "")</f>
        <v/>
      </c>
    </row>
    <row r="7060">
      <c r="A7060" t="inlineStr">
        <is>
          <t>RP0007059</t>
        </is>
      </c>
      <c r="B7060" t="inlineStr">
        <is>
          <t>LN200999</t>
        </is>
      </c>
      <c r="C7060" t="n">
        <v>3</v>
      </c>
      <c r="D7060" s="8" t="n">
        <v>46053</v>
      </c>
      <c r="E7060" s="9" t="n">
        <v>23138.5</v>
      </c>
      <c r="F7060" s="8" t="n">
        <v>46097</v>
      </c>
      <c r="G7060" s="9" t="n">
        <v>23138.5</v>
      </c>
      <c r="H7060" t="inlineStr">
        <is>
          <t>PAID_LATE</t>
        </is>
      </c>
      <c r="I7060">
        <f>IF(H7060="UNPAID", AsOfDate-D7060, 0)</f>
        <v/>
      </c>
      <c r="J7060">
        <f>IF(F7060&lt;&gt;"", TEXT(F7060, "yyyy-mm"), "")</f>
        <v/>
      </c>
    </row>
    <row r="7061">
      <c r="A7061" t="inlineStr">
        <is>
          <t>RP0007060</t>
        </is>
      </c>
      <c r="B7061" t="inlineStr">
        <is>
          <t>LN201000</t>
        </is>
      </c>
      <c r="C7061" t="n">
        <v>1</v>
      </c>
      <c r="D7061" s="8" t="n">
        <v>46139</v>
      </c>
      <c r="E7061" s="9" t="n">
        <v>71337.58</v>
      </c>
      <c r="F7061" s="8" t="n">
        <v>46258</v>
      </c>
      <c r="G7061" s="9" t="n">
        <v>71337.58</v>
      </c>
      <c r="H7061" t="inlineStr">
        <is>
          <t>PAID_LATE</t>
        </is>
      </c>
      <c r="I7061">
        <f>IF(H7061="UNPAID", AsOfDate-D7061, 0)</f>
        <v/>
      </c>
      <c r="J7061">
        <f>IF(F7061&lt;&gt;"", TEXT(F7061, "yyyy-mm"), "")</f>
        <v/>
      </c>
    </row>
    <row r="7062">
      <c r="A7062" t="inlineStr">
        <is>
          <t>RP0007061</t>
        </is>
      </c>
      <c r="B7062" t="inlineStr">
        <is>
          <t>LN201000</t>
        </is>
      </c>
      <c r="C7062" t="n">
        <v>2</v>
      </c>
      <c r="D7062" s="8" t="n">
        <v>46169</v>
      </c>
      <c r="E7062" s="9" t="n">
        <v>71337.58</v>
      </c>
      <c r="F7062" s="8" t="n">
        <v>46173</v>
      </c>
      <c r="G7062" s="9" t="n">
        <v>71337.58</v>
      </c>
      <c r="H7062" t="inlineStr">
        <is>
          <t>PAID_ON_TIME</t>
        </is>
      </c>
      <c r="I7062">
        <f>IF(H7062="UNPAID", AsOfDate-D7062, 0)</f>
        <v/>
      </c>
      <c r="J7062">
        <f>IF(F7062&lt;&gt;"", TEXT(F7062, "yyyy-mm"), "")</f>
        <v/>
      </c>
    </row>
    <row r="7063">
      <c r="A7063" t="inlineStr">
        <is>
          <t>RP0007062</t>
        </is>
      </c>
      <c r="B7063" t="inlineStr">
        <is>
          <t>LN201000</t>
        </is>
      </c>
      <c r="C7063" t="n">
        <v>3</v>
      </c>
      <c r="D7063" s="8" t="n">
        <v>46200</v>
      </c>
      <c r="E7063" s="9" t="n">
        <v>71337.58</v>
      </c>
      <c r="F7063" s="8" t="n">
        <v>46203</v>
      </c>
      <c r="G7063" s="9" t="n">
        <v>71337.58</v>
      </c>
      <c r="H7063" t="inlineStr">
        <is>
          <t>PAID_ON_TIME</t>
        </is>
      </c>
      <c r="I7063">
        <f>IF(H7063="UNPAID", AsOfDate-D7063, 0)</f>
        <v/>
      </c>
      <c r="J7063">
        <f>IF(F7063&lt;&gt;"", TEXT(F7063, "yyyy-mm"), "")</f>
        <v/>
      </c>
    </row>
    <row r="7064">
      <c r="A7064" t="inlineStr">
        <is>
          <t>RP0007063</t>
        </is>
      </c>
      <c r="B7064" t="inlineStr">
        <is>
          <t>LN201001</t>
        </is>
      </c>
      <c r="C7064" t="n">
        <v>1</v>
      </c>
      <c r="D7064" s="8" t="n">
        <v>46175</v>
      </c>
      <c r="E7064" s="9" t="n">
        <v>16432.5</v>
      </c>
      <c r="F7064" s="8" t="n"/>
      <c r="G7064" s="9" t="n">
        <v>0</v>
      </c>
      <c r="H7064" t="inlineStr">
        <is>
          <t>UNPAID</t>
        </is>
      </c>
      <c r="I7064">
        <f>IF(H7064="UNPAID", AsOfDate-D7064, 0)</f>
        <v/>
      </c>
      <c r="J7064">
        <f>IF(F7064&lt;&gt;"", TEXT(F7064, "yyyy-mm"), "")</f>
        <v/>
      </c>
    </row>
    <row r="7065">
      <c r="A7065" t="inlineStr">
        <is>
          <t>RP0007064</t>
        </is>
      </c>
      <c r="B7065" t="inlineStr">
        <is>
          <t>LN201001</t>
        </is>
      </c>
      <c r="C7065" t="n">
        <v>2</v>
      </c>
      <c r="D7065" s="8" t="n">
        <v>46205</v>
      </c>
      <c r="E7065" s="9" t="n">
        <v>16432.5</v>
      </c>
      <c r="F7065" s="8" t="n">
        <v>46208</v>
      </c>
      <c r="G7065" s="9" t="n">
        <v>16432.5</v>
      </c>
      <c r="H7065" t="inlineStr">
        <is>
          <t>PAID_ON_TIME</t>
        </is>
      </c>
      <c r="I7065">
        <f>IF(H7065="UNPAID", AsOfDate-D7065, 0)</f>
        <v/>
      </c>
      <c r="J7065">
        <f>IF(F7065&lt;&gt;"", TEXT(F7065, "yyyy-mm"), "")</f>
        <v/>
      </c>
    </row>
    <row r="7066">
      <c r="A7066" t="inlineStr">
        <is>
          <t>RP0007065</t>
        </is>
      </c>
      <c r="B7066" t="inlineStr">
        <is>
          <t>LN201001</t>
        </is>
      </c>
      <c r="C7066" t="n">
        <v>3</v>
      </c>
      <c r="D7066" s="8" t="n">
        <v>46236</v>
      </c>
      <c r="E7066" s="9" t="n">
        <v>16432.5</v>
      </c>
      <c r="F7066" s="8" t="n">
        <v>46237</v>
      </c>
      <c r="G7066" s="9" t="n">
        <v>16432.5</v>
      </c>
      <c r="H7066" t="inlineStr">
        <is>
          <t>PAID_ON_TIME</t>
        </is>
      </c>
      <c r="I7066">
        <f>IF(H7066="UNPAID", AsOfDate-D7066, 0)</f>
        <v/>
      </c>
      <c r="J7066">
        <f>IF(F7066&lt;&gt;"", TEXT(F7066, "yyyy-mm"), "")</f>
        <v/>
      </c>
    </row>
    <row r="7067">
      <c r="A7067" t="inlineStr">
        <is>
          <t>RP0007066</t>
        </is>
      </c>
      <c r="B7067" t="inlineStr">
        <is>
          <t>LN201001</t>
        </is>
      </c>
      <c r="C7067" t="n">
        <v>4</v>
      </c>
      <c r="D7067" s="8" t="n">
        <v>46267</v>
      </c>
      <c r="E7067" s="9" t="n">
        <v>16432.5</v>
      </c>
      <c r="F7067" s="8" t="n"/>
      <c r="G7067" s="9" t="n">
        <v>0</v>
      </c>
      <c r="H7067" t="inlineStr">
        <is>
          <t>NOT_DUE</t>
        </is>
      </c>
      <c r="I7067">
        <f>IF(H7067="UNPAID", AsOfDate-D7067, 0)</f>
        <v/>
      </c>
      <c r="J7067">
        <f>IF(F7067&lt;&gt;"", TEXT(F7067, "yyyy-mm"), "")</f>
        <v/>
      </c>
    </row>
    <row r="7068">
      <c r="A7068" t="inlineStr">
        <is>
          <t>RP0007067</t>
        </is>
      </c>
      <c r="B7068" t="inlineStr">
        <is>
          <t>LN201001</t>
        </is>
      </c>
      <c r="C7068" t="n">
        <v>5</v>
      </c>
      <c r="D7068" s="8" t="n">
        <v>46297</v>
      </c>
      <c r="E7068" s="9" t="n">
        <v>16432.5</v>
      </c>
      <c r="F7068" s="8" t="n"/>
      <c r="G7068" s="9" t="n">
        <v>0</v>
      </c>
      <c r="H7068" t="inlineStr">
        <is>
          <t>NOT_DUE</t>
        </is>
      </c>
      <c r="I7068">
        <f>IF(H7068="UNPAID", AsOfDate-D7068, 0)</f>
        <v/>
      </c>
      <c r="J7068">
        <f>IF(F7068&lt;&gt;"", TEXT(F7068, "yyyy-mm"), "")</f>
        <v/>
      </c>
    </row>
    <row r="7069">
      <c r="A7069" t="inlineStr">
        <is>
          <t>RP0007068</t>
        </is>
      </c>
      <c r="B7069" t="inlineStr">
        <is>
          <t>LN201001</t>
        </is>
      </c>
      <c r="C7069" t="n">
        <v>6</v>
      </c>
      <c r="D7069" s="8" t="n">
        <v>46328</v>
      </c>
      <c r="E7069" s="9" t="n">
        <v>16432.5</v>
      </c>
      <c r="F7069" s="8" t="n"/>
      <c r="G7069" s="9" t="n">
        <v>0</v>
      </c>
      <c r="H7069" t="inlineStr">
        <is>
          <t>NOT_DUE</t>
        </is>
      </c>
      <c r="I7069">
        <f>IF(H7069="UNPAID", AsOfDate-D7069, 0)</f>
        <v/>
      </c>
      <c r="J7069">
        <f>IF(F7069&lt;&gt;"", TEXT(F7069, "yyyy-mm"), "")</f>
        <v/>
      </c>
    </row>
    <row r="7070">
      <c r="A7070" t="inlineStr">
        <is>
          <t>RP0007069</t>
        </is>
      </c>
      <c r="B7070" t="inlineStr">
        <is>
          <t>LN201002</t>
        </is>
      </c>
      <c r="C7070" t="n">
        <v>1</v>
      </c>
      <c r="D7070" s="8" t="n">
        <v>45889</v>
      </c>
      <c r="E7070" s="9" t="n">
        <v>20299.58</v>
      </c>
      <c r="F7070" s="8" t="n">
        <v>45889</v>
      </c>
      <c r="G7070" s="9" t="n">
        <v>20299.58</v>
      </c>
      <c r="H7070" t="inlineStr">
        <is>
          <t>PAID_ON_TIME</t>
        </is>
      </c>
      <c r="I7070">
        <f>IF(H7070="UNPAID", AsOfDate-D7070, 0)</f>
        <v/>
      </c>
      <c r="J7070">
        <f>IF(F7070&lt;&gt;"", TEXT(F7070, "yyyy-mm"), "")</f>
        <v/>
      </c>
    </row>
    <row r="7071">
      <c r="A7071" t="inlineStr">
        <is>
          <t>RP0007070</t>
        </is>
      </c>
      <c r="B7071" t="inlineStr">
        <is>
          <t>LN201002</t>
        </is>
      </c>
      <c r="C7071" t="n">
        <v>2</v>
      </c>
      <c r="D7071" s="8" t="n">
        <v>45920</v>
      </c>
      <c r="E7071" s="9" t="n">
        <v>20299.58</v>
      </c>
      <c r="F7071" s="8" t="n">
        <v>45950</v>
      </c>
      <c r="G7071" s="9" t="n">
        <v>20299.58</v>
      </c>
      <c r="H7071" t="inlineStr">
        <is>
          <t>PAID_LATE</t>
        </is>
      </c>
      <c r="I7071">
        <f>IF(H7071="UNPAID", AsOfDate-D7071, 0)</f>
        <v/>
      </c>
      <c r="J7071">
        <f>IF(F7071&lt;&gt;"", TEXT(F7071, "yyyy-mm"), "")</f>
        <v/>
      </c>
    </row>
    <row r="7072">
      <c r="A7072" t="inlineStr">
        <is>
          <t>RP0007071</t>
        </is>
      </c>
      <c r="B7072" t="inlineStr">
        <is>
          <t>LN201002</t>
        </is>
      </c>
      <c r="C7072" t="n">
        <v>3</v>
      </c>
      <c r="D7072" s="8" t="n">
        <v>45950</v>
      </c>
      <c r="E7072" s="9" t="n">
        <v>20299.58</v>
      </c>
      <c r="F7072" s="8" t="n">
        <v>46007</v>
      </c>
      <c r="G7072" s="9" t="n">
        <v>20299.58</v>
      </c>
      <c r="H7072" t="inlineStr">
        <is>
          <t>PAID_LATE</t>
        </is>
      </c>
      <c r="I7072">
        <f>IF(H7072="UNPAID", AsOfDate-D7072, 0)</f>
        <v/>
      </c>
      <c r="J7072">
        <f>IF(F7072&lt;&gt;"", TEXT(F7072, "yyyy-mm"), "")</f>
        <v/>
      </c>
    </row>
    <row r="7073">
      <c r="A7073" t="inlineStr">
        <is>
          <t>RP0007072</t>
        </is>
      </c>
      <c r="B7073" t="inlineStr">
        <is>
          <t>LN201002</t>
        </is>
      </c>
      <c r="C7073" t="n">
        <v>4</v>
      </c>
      <c r="D7073" s="8" t="n">
        <v>45981</v>
      </c>
      <c r="E7073" s="9" t="n">
        <v>20299.58</v>
      </c>
      <c r="F7073" s="8" t="n">
        <v>45985</v>
      </c>
      <c r="G7073" s="9" t="n">
        <v>20299.58</v>
      </c>
      <c r="H7073" t="inlineStr">
        <is>
          <t>PAID_ON_TIME</t>
        </is>
      </c>
      <c r="I7073">
        <f>IF(H7073="UNPAID", AsOfDate-D7073, 0)</f>
        <v/>
      </c>
      <c r="J7073">
        <f>IF(F7073&lt;&gt;"", TEXT(F7073, "yyyy-mm"), "")</f>
        <v/>
      </c>
    </row>
    <row r="7074">
      <c r="A7074" t="inlineStr">
        <is>
          <t>RP0007073</t>
        </is>
      </c>
      <c r="B7074" t="inlineStr">
        <is>
          <t>LN201002</t>
        </is>
      </c>
      <c r="C7074" t="n">
        <v>5</v>
      </c>
      <c r="D7074" s="8" t="n">
        <v>46011</v>
      </c>
      <c r="E7074" s="9" t="n">
        <v>20299.58</v>
      </c>
      <c r="F7074" s="8" t="n">
        <v>46015</v>
      </c>
      <c r="G7074" s="9" t="n">
        <v>20299.58</v>
      </c>
      <c r="H7074" t="inlineStr">
        <is>
          <t>PAID_ON_TIME</t>
        </is>
      </c>
      <c r="I7074">
        <f>IF(H7074="UNPAID", AsOfDate-D7074, 0)</f>
        <v/>
      </c>
      <c r="J7074">
        <f>IF(F7074&lt;&gt;"", TEXT(F7074, "yyyy-mm"), "")</f>
        <v/>
      </c>
    </row>
    <row r="7075">
      <c r="A7075" t="inlineStr">
        <is>
          <t>RP0007074</t>
        </is>
      </c>
      <c r="B7075" t="inlineStr">
        <is>
          <t>LN201002</t>
        </is>
      </c>
      <c r="C7075" t="n">
        <v>6</v>
      </c>
      <c r="D7075" s="8" t="n">
        <v>46042</v>
      </c>
      <c r="E7075" s="9" t="n">
        <v>20299.58</v>
      </c>
      <c r="F7075" s="8" t="n">
        <v>46039</v>
      </c>
      <c r="G7075" s="9" t="n">
        <v>20299.58</v>
      </c>
      <c r="H7075" t="inlineStr">
        <is>
          <t>PAID_ON_TIME</t>
        </is>
      </c>
      <c r="I7075">
        <f>IF(H7075="UNPAID", AsOfDate-D7075, 0)</f>
        <v/>
      </c>
      <c r="J7075">
        <f>IF(F7075&lt;&gt;"", TEXT(F7075, "yyyy-mm"), "")</f>
        <v/>
      </c>
    </row>
    <row r="7076">
      <c r="A7076" t="inlineStr">
        <is>
          <t>RP0007075</t>
        </is>
      </c>
      <c r="B7076" t="inlineStr">
        <is>
          <t>LN201002</t>
        </is>
      </c>
      <c r="C7076" t="n">
        <v>7</v>
      </c>
      <c r="D7076" s="8" t="n">
        <v>46073</v>
      </c>
      <c r="E7076" s="9" t="n">
        <v>20299.58</v>
      </c>
      <c r="F7076" s="8" t="n">
        <v>46070</v>
      </c>
      <c r="G7076" s="9" t="n">
        <v>20299.58</v>
      </c>
      <c r="H7076" t="inlineStr">
        <is>
          <t>PAID_ON_TIME</t>
        </is>
      </c>
      <c r="I7076">
        <f>IF(H7076="UNPAID", AsOfDate-D7076, 0)</f>
        <v/>
      </c>
      <c r="J7076">
        <f>IF(F7076&lt;&gt;"", TEXT(F7076, "yyyy-mm"), "")</f>
        <v/>
      </c>
    </row>
    <row r="7077">
      <c r="A7077" t="inlineStr">
        <is>
          <t>RP0007076</t>
        </is>
      </c>
      <c r="B7077" t="inlineStr">
        <is>
          <t>LN201002</t>
        </is>
      </c>
      <c r="C7077" t="n">
        <v>8</v>
      </c>
      <c r="D7077" s="8" t="n">
        <v>46101</v>
      </c>
      <c r="E7077" s="9" t="n">
        <v>20299.58</v>
      </c>
      <c r="F7077" s="8" t="n">
        <v>46115</v>
      </c>
      <c r="G7077" s="9" t="n">
        <v>20299.58</v>
      </c>
      <c r="H7077" t="inlineStr">
        <is>
          <t>PAID_LATE</t>
        </is>
      </c>
      <c r="I7077">
        <f>IF(H7077="UNPAID", AsOfDate-D7077, 0)</f>
        <v/>
      </c>
      <c r="J7077">
        <f>IF(F7077&lt;&gt;"", TEXT(F7077, "yyyy-mm"), "")</f>
        <v/>
      </c>
    </row>
    <row r="7078">
      <c r="A7078" t="inlineStr">
        <is>
          <t>RP0007077</t>
        </is>
      </c>
      <c r="B7078" t="inlineStr">
        <is>
          <t>LN201002</t>
        </is>
      </c>
      <c r="C7078" t="n">
        <v>9</v>
      </c>
      <c r="D7078" s="8" t="n">
        <v>46132</v>
      </c>
      <c r="E7078" s="9" t="n">
        <v>20299.58</v>
      </c>
      <c r="F7078" s="8" t="n">
        <v>46132</v>
      </c>
      <c r="G7078" s="9" t="n">
        <v>20299.58</v>
      </c>
      <c r="H7078" t="inlineStr">
        <is>
          <t>PAID_ON_TIME</t>
        </is>
      </c>
      <c r="I7078">
        <f>IF(H7078="UNPAID", AsOfDate-D7078, 0)</f>
        <v/>
      </c>
      <c r="J7078">
        <f>IF(F7078&lt;&gt;"", TEXT(F7078, "yyyy-mm"), "")</f>
        <v/>
      </c>
    </row>
    <row r="7079">
      <c r="A7079" t="inlineStr">
        <is>
          <t>RP0007078</t>
        </is>
      </c>
      <c r="B7079" t="inlineStr">
        <is>
          <t>LN201002</t>
        </is>
      </c>
      <c r="C7079" t="n">
        <v>10</v>
      </c>
      <c r="D7079" s="8" t="n">
        <v>46162</v>
      </c>
      <c r="E7079" s="9" t="n">
        <v>20299.58</v>
      </c>
      <c r="F7079" s="8" t="n">
        <v>46159</v>
      </c>
      <c r="G7079" s="9" t="n">
        <v>20299.58</v>
      </c>
      <c r="H7079" t="inlineStr">
        <is>
          <t>PAID_ON_TIME</t>
        </is>
      </c>
      <c r="I7079">
        <f>IF(H7079="UNPAID", AsOfDate-D7079, 0)</f>
        <v/>
      </c>
      <c r="J7079">
        <f>IF(F7079&lt;&gt;"", TEXT(F7079, "yyyy-mm"), "")</f>
        <v/>
      </c>
    </row>
    <row r="7080">
      <c r="A7080" t="inlineStr">
        <is>
          <t>RP0007079</t>
        </is>
      </c>
      <c r="B7080" t="inlineStr">
        <is>
          <t>LN201002</t>
        </is>
      </c>
      <c r="C7080" t="n">
        <v>11</v>
      </c>
      <c r="D7080" s="8" t="n">
        <v>46193</v>
      </c>
      <c r="E7080" s="9" t="n">
        <v>20299.58</v>
      </c>
      <c r="F7080" s="8" t="n">
        <v>46194</v>
      </c>
      <c r="G7080" s="9" t="n">
        <v>20299.58</v>
      </c>
      <c r="H7080" t="inlineStr">
        <is>
          <t>PAID_ON_TIME</t>
        </is>
      </c>
      <c r="I7080">
        <f>IF(H7080="UNPAID", AsOfDate-D7080, 0)</f>
        <v/>
      </c>
      <c r="J7080">
        <f>IF(F7080&lt;&gt;"", TEXT(F7080, "yyyy-mm"), "")</f>
        <v/>
      </c>
    </row>
    <row r="7081">
      <c r="A7081" t="inlineStr">
        <is>
          <t>RP0007080</t>
        </is>
      </c>
      <c r="B7081" t="inlineStr">
        <is>
          <t>LN201002</t>
        </is>
      </c>
      <c r="C7081" t="n">
        <v>12</v>
      </c>
      <c r="D7081" s="8" t="n">
        <v>46223</v>
      </c>
      <c r="E7081" s="9" t="n">
        <v>20299.58</v>
      </c>
      <c r="F7081" s="8" t="n">
        <v>46227</v>
      </c>
      <c r="G7081" s="9" t="n">
        <v>20299.58</v>
      </c>
      <c r="H7081" t="inlineStr">
        <is>
          <t>PAID_ON_TIME</t>
        </is>
      </c>
      <c r="I7081">
        <f>IF(H7081="UNPAID", AsOfDate-D7081, 0)</f>
        <v/>
      </c>
      <c r="J7081">
        <f>IF(F7081&lt;&gt;"", TEXT(F7081, "yyyy-mm"), "")</f>
        <v/>
      </c>
    </row>
    <row r="7082">
      <c r="A7082" t="inlineStr">
        <is>
          <t>RP0007081</t>
        </is>
      </c>
      <c r="B7082" t="inlineStr">
        <is>
          <t>LN201003</t>
        </is>
      </c>
      <c r="C7082" t="n">
        <v>1</v>
      </c>
      <c r="D7082" s="8" t="n">
        <v>46092</v>
      </c>
      <c r="E7082" s="9" t="n">
        <v>17367.89</v>
      </c>
      <c r="F7082" s="8" t="n">
        <v>46093</v>
      </c>
      <c r="G7082" s="9" t="n">
        <v>17367.89</v>
      </c>
      <c r="H7082" t="inlineStr">
        <is>
          <t>PAID_ON_TIME</t>
        </is>
      </c>
      <c r="I7082">
        <f>IF(H7082="UNPAID", AsOfDate-D7082, 0)</f>
        <v/>
      </c>
      <c r="J7082">
        <f>IF(F7082&lt;&gt;"", TEXT(F7082, "yyyy-mm"), "")</f>
        <v/>
      </c>
    </row>
    <row r="7083">
      <c r="A7083" t="inlineStr">
        <is>
          <t>RP0007082</t>
        </is>
      </c>
      <c r="B7083" t="inlineStr">
        <is>
          <t>LN201003</t>
        </is>
      </c>
      <c r="C7083" t="n">
        <v>2</v>
      </c>
      <c r="D7083" s="8" t="n">
        <v>46123</v>
      </c>
      <c r="E7083" s="9" t="n">
        <v>17367.89</v>
      </c>
      <c r="F7083" s="8" t="n">
        <v>46126</v>
      </c>
      <c r="G7083" s="9" t="n">
        <v>17367.89</v>
      </c>
      <c r="H7083" t="inlineStr">
        <is>
          <t>PAID_ON_TIME</t>
        </is>
      </c>
      <c r="I7083">
        <f>IF(H7083="UNPAID", AsOfDate-D7083, 0)</f>
        <v/>
      </c>
      <c r="J7083">
        <f>IF(F7083&lt;&gt;"", TEXT(F7083, "yyyy-mm"), "")</f>
        <v/>
      </c>
    </row>
    <row r="7084">
      <c r="A7084" t="inlineStr">
        <is>
          <t>RP0007083</t>
        </is>
      </c>
      <c r="B7084" t="inlineStr">
        <is>
          <t>LN201003</t>
        </is>
      </c>
      <c r="C7084" t="n">
        <v>3</v>
      </c>
      <c r="D7084" s="8" t="n">
        <v>46153</v>
      </c>
      <c r="E7084" s="9" t="n">
        <v>17367.89</v>
      </c>
      <c r="F7084" s="8" t="n">
        <v>46151</v>
      </c>
      <c r="G7084" s="9" t="n">
        <v>17367.89</v>
      </c>
      <c r="H7084" t="inlineStr">
        <is>
          <t>PAID_ON_TIME</t>
        </is>
      </c>
      <c r="I7084">
        <f>IF(H7084="UNPAID", AsOfDate-D7084, 0)</f>
        <v/>
      </c>
      <c r="J7084">
        <f>IF(F7084&lt;&gt;"", TEXT(F7084, "yyyy-mm"), "")</f>
        <v/>
      </c>
    </row>
    <row r="7085">
      <c r="A7085" t="inlineStr">
        <is>
          <t>RP0007084</t>
        </is>
      </c>
      <c r="B7085" t="inlineStr">
        <is>
          <t>LN201003</t>
        </is>
      </c>
      <c r="C7085" t="n">
        <v>4</v>
      </c>
      <c r="D7085" s="8" t="n">
        <v>46184</v>
      </c>
      <c r="E7085" s="9" t="n">
        <v>17367.89</v>
      </c>
      <c r="F7085" s="8" t="n">
        <v>46186</v>
      </c>
      <c r="G7085" s="9" t="n">
        <v>17367.89</v>
      </c>
      <c r="H7085" t="inlineStr">
        <is>
          <t>PAID_ON_TIME</t>
        </is>
      </c>
      <c r="I7085">
        <f>IF(H7085="UNPAID", AsOfDate-D7085, 0)</f>
        <v/>
      </c>
      <c r="J7085">
        <f>IF(F7085&lt;&gt;"", TEXT(F7085, "yyyy-mm"), "")</f>
        <v/>
      </c>
    </row>
    <row r="7086">
      <c r="A7086" t="inlineStr">
        <is>
          <t>RP0007085</t>
        </is>
      </c>
      <c r="B7086" t="inlineStr">
        <is>
          <t>LN201003</t>
        </is>
      </c>
      <c r="C7086" t="n">
        <v>5</v>
      </c>
      <c r="D7086" s="8" t="n">
        <v>46214</v>
      </c>
      <c r="E7086" s="9" t="n">
        <v>17367.89</v>
      </c>
      <c r="F7086" s="8" t="n">
        <v>46216</v>
      </c>
      <c r="G7086" s="9" t="n">
        <v>17367.89</v>
      </c>
      <c r="H7086" t="inlineStr">
        <is>
          <t>PAID_ON_TIME</t>
        </is>
      </c>
      <c r="I7086">
        <f>IF(H7086="UNPAID", AsOfDate-D7086, 0)</f>
        <v/>
      </c>
      <c r="J7086">
        <f>IF(F7086&lt;&gt;"", TEXT(F7086, "yyyy-mm"), "")</f>
        <v/>
      </c>
    </row>
    <row r="7087">
      <c r="A7087" t="inlineStr">
        <is>
          <t>RP0007086</t>
        </is>
      </c>
      <c r="B7087" t="inlineStr">
        <is>
          <t>LN201003</t>
        </is>
      </c>
      <c r="C7087" t="n">
        <v>6</v>
      </c>
      <c r="D7087" s="8" t="n">
        <v>46245</v>
      </c>
      <c r="E7087" s="9" t="n">
        <v>17367.89</v>
      </c>
      <c r="F7087" s="8" t="n">
        <v>46245</v>
      </c>
      <c r="G7087" s="9" t="n">
        <v>17367.89</v>
      </c>
      <c r="H7087" t="inlineStr">
        <is>
          <t>PAID_ON_TIME</t>
        </is>
      </c>
      <c r="I7087">
        <f>IF(H7087="UNPAID", AsOfDate-D7087, 0)</f>
        <v/>
      </c>
      <c r="J7087">
        <f>IF(F7087&lt;&gt;"", TEXT(F7087, "yyyy-mm"), "")</f>
        <v/>
      </c>
    </row>
    <row r="7088">
      <c r="A7088" t="inlineStr">
        <is>
          <t>RP0007087</t>
        </is>
      </c>
      <c r="B7088" t="inlineStr">
        <is>
          <t>LN201003</t>
        </is>
      </c>
      <c r="C7088" t="n">
        <v>7</v>
      </c>
      <c r="D7088" s="8" t="n">
        <v>46276</v>
      </c>
      <c r="E7088" s="9" t="n">
        <v>17367.89</v>
      </c>
      <c r="F7088" s="8" t="n"/>
      <c r="G7088" s="9" t="n">
        <v>0</v>
      </c>
      <c r="H7088" t="inlineStr">
        <is>
          <t>NOT_DUE</t>
        </is>
      </c>
      <c r="I7088">
        <f>IF(H7088="UNPAID", AsOfDate-D7088, 0)</f>
        <v/>
      </c>
      <c r="J7088">
        <f>IF(F7088&lt;&gt;"", TEXT(F7088, "yyyy-mm"), "")</f>
        <v/>
      </c>
    </row>
    <row r="7089">
      <c r="A7089" t="inlineStr">
        <is>
          <t>RP0007088</t>
        </is>
      </c>
      <c r="B7089" t="inlineStr">
        <is>
          <t>LN201003</t>
        </is>
      </c>
      <c r="C7089" t="n">
        <v>8</v>
      </c>
      <c r="D7089" s="8" t="n">
        <v>46306</v>
      </c>
      <c r="E7089" s="9" t="n">
        <v>17367.89</v>
      </c>
      <c r="F7089" s="8" t="n"/>
      <c r="G7089" s="9" t="n">
        <v>0</v>
      </c>
      <c r="H7089" t="inlineStr">
        <is>
          <t>NOT_DUE</t>
        </is>
      </c>
      <c r="I7089">
        <f>IF(H7089="UNPAID", AsOfDate-D7089, 0)</f>
        <v/>
      </c>
      <c r="J7089">
        <f>IF(F7089&lt;&gt;"", TEXT(F7089, "yyyy-mm"), "")</f>
        <v/>
      </c>
    </row>
    <row r="7090">
      <c r="A7090" t="inlineStr">
        <is>
          <t>RP0007089</t>
        </is>
      </c>
      <c r="B7090" t="inlineStr">
        <is>
          <t>LN201003</t>
        </is>
      </c>
      <c r="C7090" t="n">
        <v>9</v>
      </c>
      <c r="D7090" s="8" t="n">
        <v>46337</v>
      </c>
      <c r="E7090" s="9" t="n">
        <v>17367.89</v>
      </c>
      <c r="F7090" s="8" t="n"/>
      <c r="G7090" s="9" t="n">
        <v>0</v>
      </c>
      <c r="H7090" t="inlineStr">
        <is>
          <t>NOT_DUE</t>
        </is>
      </c>
      <c r="I7090">
        <f>IF(H7090="UNPAID", AsOfDate-D7090, 0)</f>
        <v/>
      </c>
      <c r="J7090">
        <f>IF(F7090&lt;&gt;"", TEXT(F7090, "yyyy-mm"), "")</f>
        <v/>
      </c>
    </row>
    <row r="7091">
      <c r="A7091" t="inlineStr">
        <is>
          <t>RP0007090</t>
        </is>
      </c>
      <c r="B7091" t="inlineStr">
        <is>
          <t>LN201004</t>
        </is>
      </c>
      <c r="C7091" t="n">
        <v>1</v>
      </c>
      <c r="D7091" s="8" t="n">
        <v>46002</v>
      </c>
      <c r="E7091" s="9" t="n">
        <v>10488</v>
      </c>
      <c r="F7091" s="8" t="n">
        <v>46060</v>
      </c>
      <c r="G7091" s="9" t="n">
        <v>10488</v>
      </c>
      <c r="H7091" t="inlineStr">
        <is>
          <t>PAID_LATE</t>
        </is>
      </c>
      <c r="I7091">
        <f>IF(H7091="UNPAID", AsOfDate-D7091, 0)</f>
        <v/>
      </c>
      <c r="J7091">
        <f>IF(F7091&lt;&gt;"", TEXT(F7091, "yyyy-mm"), "")</f>
        <v/>
      </c>
    </row>
    <row r="7092">
      <c r="A7092" t="inlineStr">
        <is>
          <t>RP0007091</t>
        </is>
      </c>
      <c r="B7092" t="inlineStr">
        <is>
          <t>LN201004</t>
        </is>
      </c>
      <c r="C7092" t="n">
        <v>2</v>
      </c>
      <c r="D7092" s="8" t="n">
        <v>46033</v>
      </c>
      <c r="E7092" s="9" t="n">
        <v>10488</v>
      </c>
      <c r="F7092" s="8" t="n">
        <v>46032</v>
      </c>
      <c r="G7092" s="9" t="n">
        <v>10488</v>
      </c>
      <c r="H7092" t="inlineStr">
        <is>
          <t>PAID_ON_TIME</t>
        </is>
      </c>
      <c r="I7092">
        <f>IF(H7092="UNPAID", AsOfDate-D7092, 0)</f>
        <v/>
      </c>
      <c r="J7092">
        <f>IF(F7092&lt;&gt;"", TEXT(F7092, "yyyy-mm"), "")</f>
        <v/>
      </c>
    </row>
    <row r="7093">
      <c r="A7093" t="inlineStr">
        <is>
          <t>RP0007092</t>
        </is>
      </c>
      <c r="B7093" t="inlineStr">
        <is>
          <t>LN201004</t>
        </is>
      </c>
      <c r="C7093" t="n">
        <v>3</v>
      </c>
      <c r="D7093" s="8" t="n">
        <v>46064</v>
      </c>
      <c r="E7093" s="9" t="n">
        <v>10488</v>
      </c>
      <c r="F7093" s="8" t="n">
        <v>46063</v>
      </c>
      <c r="G7093" s="9" t="n">
        <v>10488</v>
      </c>
      <c r="H7093" t="inlineStr">
        <is>
          <t>PAID_ON_TIME</t>
        </is>
      </c>
      <c r="I7093">
        <f>IF(H7093="UNPAID", AsOfDate-D7093, 0)</f>
        <v/>
      </c>
      <c r="J7093">
        <f>IF(F7093&lt;&gt;"", TEXT(F7093, "yyyy-mm"), "")</f>
        <v/>
      </c>
    </row>
    <row r="7094">
      <c r="A7094" t="inlineStr">
        <is>
          <t>RP0007093</t>
        </is>
      </c>
      <c r="B7094" t="inlineStr">
        <is>
          <t>LN201004</t>
        </is>
      </c>
      <c r="C7094" t="n">
        <v>4</v>
      </c>
      <c r="D7094" s="8" t="n">
        <v>46092</v>
      </c>
      <c r="E7094" s="9" t="n">
        <v>10488</v>
      </c>
      <c r="F7094" s="8" t="n">
        <v>46094</v>
      </c>
      <c r="G7094" s="9" t="n">
        <v>10488</v>
      </c>
      <c r="H7094" t="inlineStr">
        <is>
          <t>PAID_ON_TIME</t>
        </is>
      </c>
      <c r="I7094">
        <f>IF(H7094="UNPAID", AsOfDate-D7094, 0)</f>
        <v/>
      </c>
      <c r="J7094">
        <f>IF(F7094&lt;&gt;"", TEXT(F7094, "yyyy-mm"), "")</f>
        <v/>
      </c>
    </row>
    <row r="7095">
      <c r="A7095" t="inlineStr">
        <is>
          <t>RP0007094</t>
        </is>
      </c>
      <c r="B7095" t="inlineStr">
        <is>
          <t>LN201004</t>
        </is>
      </c>
      <c r="C7095" t="n">
        <v>5</v>
      </c>
      <c r="D7095" s="8" t="n">
        <v>46123</v>
      </c>
      <c r="E7095" s="9" t="n">
        <v>10488</v>
      </c>
      <c r="F7095" s="8" t="n">
        <v>46126</v>
      </c>
      <c r="G7095" s="9" t="n">
        <v>10488</v>
      </c>
      <c r="H7095" t="inlineStr">
        <is>
          <t>PAID_ON_TIME</t>
        </is>
      </c>
      <c r="I7095">
        <f>IF(H7095="UNPAID", AsOfDate-D7095, 0)</f>
        <v/>
      </c>
      <c r="J7095">
        <f>IF(F7095&lt;&gt;"", TEXT(F7095, "yyyy-mm"), "")</f>
        <v/>
      </c>
    </row>
    <row r="7096">
      <c r="A7096" t="inlineStr">
        <is>
          <t>RP0007095</t>
        </is>
      </c>
      <c r="B7096" t="inlineStr">
        <is>
          <t>LN201004</t>
        </is>
      </c>
      <c r="C7096" t="n">
        <v>6</v>
      </c>
      <c r="D7096" s="8" t="n">
        <v>46153</v>
      </c>
      <c r="E7096" s="9" t="n">
        <v>10488</v>
      </c>
      <c r="F7096" s="8" t="n"/>
      <c r="G7096" s="9" t="n">
        <v>0</v>
      </c>
      <c r="H7096" t="inlineStr">
        <is>
          <t>UNPAID</t>
        </is>
      </c>
      <c r="I7096">
        <f>IF(H7096="UNPAID", AsOfDate-D7096, 0)</f>
        <v/>
      </c>
      <c r="J7096">
        <f>IF(F7096&lt;&gt;"", TEXT(F7096, "yyyy-mm"), "")</f>
        <v/>
      </c>
    </row>
    <row r="7097">
      <c r="A7097" t="inlineStr">
        <is>
          <t>RP0007096</t>
        </is>
      </c>
      <c r="B7097" t="inlineStr">
        <is>
          <t>LN201005</t>
        </is>
      </c>
      <c r="C7097" t="n">
        <v>1</v>
      </c>
      <c r="D7097" s="8" t="n">
        <v>45943</v>
      </c>
      <c r="E7097" s="9" t="n">
        <v>14964.75</v>
      </c>
      <c r="F7097" s="8" t="n">
        <v>45946</v>
      </c>
      <c r="G7097" s="9" t="n">
        <v>14964.75</v>
      </c>
      <c r="H7097" t="inlineStr">
        <is>
          <t>PAID_ON_TIME</t>
        </is>
      </c>
      <c r="I7097">
        <f>IF(H7097="UNPAID", AsOfDate-D7097, 0)</f>
        <v/>
      </c>
      <c r="J7097">
        <f>IF(F7097&lt;&gt;"", TEXT(F7097, "yyyy-mm"), "")</f>
        <v/>
      </c>
    </row>
    <row r="7098">
      <c r="A7098" t="inlineStr">
        <is>
          <t>RP0007097</t>
        </is>
      </c>
      <c r="B7098" t="inlineStr">
        <is>
          <t>LN201005</t>
        </is>
      </c>
      <c r="C7098" t="n">
        <v>2</v>
      </c>
      <c r="D7098" s="8" t="n">
        <v>45974</v>
      </c>
      <c r="E7098" s="9" t="n">
        <v>14964.75</v>
      </c>
      <c r="F7098" s="8" t="n">
        <v>45973</v>
      </c>
      <c r="G7098" s="9" t="n">
        <v>14964.75</v>
      </c>
      <c r="H7098" t="inlineStr">
        <is>
          <t>PAID_ON_TIME</t>
        </is>
      </c>
      <c r="I7098">
        <f>IF(H7098="UNPAID", AsOfDate-D7098, 0)</f>
        <v/>
      </c>
      <c r="J7098">
        <f>IF(F7098&lt;&gt;"", TEXT(F7098, "yyyy-mm"), "")</f>
        <v/>
      </c>
    </row>
    <row r="7099">
      <c r="A7099" t="inlineStr">
        <is>
          <t>RP0007098</t>
        </is>
      </c>
      <c r="B7099" t="inlineStr">
        <is>
          <t>LN201005</t>
        </is>
      </c>
      <c r="C7099" t="n">
        <v>3</v>
      </c>
      <c r="D7099" s="8" t="n">
        <v>46004</v>
      </c>
      <c r="E7099" s="9" t="n">
        <v>14964.75</v>
      </c>
      <c r="F7099" s="8" t="n">
        <v>46005</v>
      </c>
      <c r="G7099" s="9" t="n">
        <v>14964.75</v>
      </c>
      <c r="H7099" t="inlineStr">
        <is>
          <t>PAID_ON_TIME</t>
        </is>
      </c>
      <c r="I7099">
        <f>IF(H7099="UNPAID", AsOfDate-D7099, 0)</f>
        <v/>
      </c>
      <c r="J7099">
        <f>IF(F7099&lt;&gt;"", TEXT(F7099, "yyyy-mm"), "")</f>
        <v/>
      </c>
    </row>
    <row r="7100">
      <c r="A7100" t="inlineStr">
        <is>
          <t>RP0007099</t>
        </is>
      </c>
      <c r="B7100" t="inlineStr">
        <is>
          <t>LN201005</t>
        </is>
      </c>
      <c r="C7100" t="n">
        <v>4</v>
      </c>
      <c r="D7100" s="8" t="n">
        <v>46035</v>
      </c>
      <c r="E7100" s="9" t="n">
        <v>14964.75</v>
      </c>
      <c r="F7100" s="8" t="n">
        <v>46036</v>
      </c>
      <c r="G7100" s="9" t="n">
        <v>14964.75</v>
      </c>
      <c r="H7100" t="inlineStr">
        <is>
          <t>PAID_ON_TIME</t>
        </is>
      </c>
      <c r="I7100">
        <f>IF(H7100="UNPAID", AsOfDate-D7100, 0)</f>
        <v/>
      </c>
      <c r="J7100">
        <f>IF(F7100&lt;&gt;"", TEXT(F7100, "yyyy-mm"), "")</f>
        <v/>
      </c>
    </row>
    <row r="7101">
      <c r="A7101" t="inlineStr">
        <is>
          <t>RP0007100</t>
        </is>
      </c>
      <c r="B7101" t="inlineStr">
        <is>
          <t>LN201005</t>
        </is>
      </c>
      <c r="C7101" t="n">
        <v>5</v>
      </c>
      <c r="D7101" s="8" t="n">
        <v>46066</v>
      </c>
      <c r="E7101" s="9" t="n">
        <v>14964.75</v>
      </c>
      <c r="F7101" s="8" t="n">
        <v>46070</v>
      </c>
      <c r="G7101" s="9" t="n">
        <v>14964.75</v>
      </c>
      <c r="H7101" t="inlineStr">
        <is>
          <t>PAID_ON_TIME</t>
        </is>
      </c>
      <c r="I7101">
        <f>IF(H7101="UNPAID", AsOfDate-D7101, 0)</f>
        <v/>
      </c>
      <c r="J7101">
        <f>IF(F7101&lt;&gt;"", TEXT(F7101, "yyyy-mm"), "")</f>
        <v/>
      </c>
    </row>
    <row r="7102">
      <c r="A7102" t="inlineStr">
        <is>
          <t>RP0007101</t>
        </is>
      </c>
      <c r="B7102" t="inlineStr">
        <is>
          <t>LN201005</t>
        </is>
      </c>
      <c r="C7102" t="n">
        <v>6</v>
      </c>
      <c r="D7102" s="8" t="n">
        <v>46094</v>
      </c>
      <c r="E7102" s="9" t="n">
        <v>14964.75</v>
      </c>
      <c r="F7102" s="8" t="n">
        <v>46091</v>
      </c>
      <c r="G7102" s="9" t="n">
        <v>14964.75</v>
      </c>
      <c r="H7102" t="inlineStr">
        <is>
          <t>PAID_ON_TIME</t>
        </is>
      </c>
      <c r="I7102">
        <f>IF(H7102="UNPAID", AsOfDate-D7102, 0)</f>
        <v/>
      </c>
      <c r="J7102">
        <f>IF(F7102&lt;&gt;"", TEXT(F7102, "yyyy-mm"), "")</f>
        <v/>
      </c>
    </row>
    <row r="7103">
      <c r="A7103" t="inlineStr">
        <is>
          <t>RP0007102</t>
        </is>
      </c>
      <c r="B7103" t="inlineStr">
        <is>
          <t>LN201006</t>
        </is>
      </c>
      <c r="C7103" t="n">
        <v>1</v>
      </c>
      <c r="D7103" s="8" t="n">
        <v>46243</v>
      </c>
      <c r="E7103" s="9" t="n">
        <v>6954</v>
      </c>
      <c r="F7103" s="8" t="n">
        <v>46241</v>
      </c>
      <c r="G7103" s="9" t="n">
        <v>6954</v>
      </c>
      <c r="H7103" t="inlineStr">
        <is>
          <t>PAID_ON_TIME</t>
        </is>
      </c>
      <c r="I7103">
        <f>IF(H7103="UNPAID", AsOfDate-D7103, 0)</f>
        <v/>
      </c>
      <c r="J7103">
        <f>IF(F7103&lt;&gt;"", TEXT(F7103, "yyyy-mm"), "")</f>
        <v/>
      </c>
    </row>
    <row r="7104">
      <c r="A7104" t="inlineStr">
        <is>
          <t>RP0007103</t>
        </is>
      </c>
      <c r="B7104" t="inlineStr">
        <is>
          <t>LN201006</t>
        </is>
      </c>
      <c r="C7104" t="n">
        <v>2</v>
      </c>
      <c r="D7104" s="8" t="n">
        <v>46274</v>
      </c>
      <c r="E7104" s="9" t="n">
        <v>6954</v>
      </c>
      <c r="F7104" s="8" t="n"/>
      <c r="G7104" s="9" t="n">
        <v>0</v>
      </c>
      <c r="H7104" t="inlineStr">
        <is>
          <t>NOT_DUE</t>
        </is>
      </c>
      <c r="I7104">
        <f>IF(H7104="UNPAID", AsOfDate-D7104, 0)</f>
        <v/>
      </c>
      <c r="J7104">
        <f>IF(F7104&lt;&gt;"", TEXT(F7104, "yyyy-mm"), "")</f>
        <v/>
      </c>
    </row>
    <row r="7105">
      <c r="A7105" t="inlineStr">
        <is>
          <t>RP0007104</t>
        </is>
      </c>
      <c r="B7105" t="inlineStr">
        <is>
          <t>LN201006</t>
        </is>
      </c>
      <c r="C7105" t="n">
        <v>3</v>
      </c>
      <c r="D7105" s="8" t="n">
        <v>46304</v>
      </c>
      <c r="E7105" s="9" t="n">
        <v>6954</v>
      </c>
      <c r="F7105" s="8" t="n"/>
      <c r="G7105" s="9" t="n">
        <v>0</v>
      </c>
      <c r="H7105" t="inlineStr">
        <is>
          <t>NOT_DUE</t>
        </is>
      </c>
      <c r="I7105">
        <f>IF(H7105="UNPAID", AsOfDate-D7105, 0)</f>
        <v/>
      </c>
      <c r="J7105">
        <f>IF(F7105&lt;&gt;"", TEXT(F7105, "yyyy-mm"), "")</f>
        <v/>
      </c>
    </row>
    <row r="7106">
      <c r="A7106" t="inlineStr">
        <is>
          <t>RP0007105</t>
        </is>
      </c>
      <c r="B7106" t="inlineStr">
        <is>
          <t>LN201006</t>
        </is>
      </c>
      <c r="C7106" t="n">
        <v>4</v>
      </c>
      <c r="D7106" s="8" t="n">
        <v>46335</v>
      </c>
      <c r="E7106" s="9" t="n">
        <v>6954</v>
      </c>
      <c r="F7106" s="8" t="n"/>
      <c r="G7106" s="9" t="n">
        <v>0</v>
      </c>
      <c r="H7106" t="inlineStr">
        <is>
          <t>NOT_DUE</t>
        </is>
      </c>
      <c r="I7106">
        <f>IF(H7106="UNPAID", AsOfDate-D7106, 0)</f>
        <v/>
      </c>
      <c r="J7106">
        <f>IF(F7106&lt;&gt;"", TEXT(F7106, "yyyy-mm"), "")</f>
        <v/>
      </c>
    </row>
    <row r="7107">
      <c r="A7107" t="inlineStr">
        <is>
          <t>RP0007106</t>
        </is>
      </c>
      <c r="B7107" t="inlineStr">
        <is>
          <t>LN201006</t>
        </is>
      </c>
      <c r="C7107" t="n">
        <v>5</v>
      </c>
      <c r="D7107" s="8" t="n">
        <v>46365</v>
      </c>
      <c r="E7107" s="9" t="n">
        <v>6954</v>
      </c>
      <c r="F7107" s="8" t="n"/>
      <c r="G7107" s="9" t="n">
        <v>0</v>
      </c>
      <c r="H7107" t="inlineStr">
        <is>
          <t>NOT_DUE</t>
        </is>
      </c>
      <c r="I7107">
        <f>IF(H7107="UNPAID", AsOfDate-D7107, 0)</f>
        <v/>
      </c>
      <c r="J7107">
        <f>IF(F7107&lt;&gt;"", TEXT(F7107, "yyyy-mm"), "")</f>
        <v/>
      </c>
    </row>
    <row r="7108">
      <c r="A7108" t="inlineStr">
        <is>
          <t>RP0007107</t>
        </is>
      </c>
      <c r="B7108" t="inlineStr">
        <is>
          <t>LN201006</t>
        </is>
      </c>
      <c r="C7108" t="n">
        <v>6</v>
      </c>
      <c r="D7108" s="8" t="n">
        <v>46396</v>
      </c>
      <c r="E7108" s="9" t="n">
        <v>6954</v>
      </c>
      <c r="F7108" s="8" t="n"/>
      <c r="G7108" s="9" t="n">
        <v>0</v>
      </c>
      <c r="H7108" t="inlineStr">
        <is>
          <t>NOT_DUE</t>
        </is>
      </c>
      <c r="I7108">
        <f>IF(H7108="UNPAID", AsOfDate-D7108, 0)</f>
        <v/>
      </c>
      <c r="J7108">
        <f>IF(F7108&lt;&gt;"", TEXT(F7108, "yyyy-mm"), "")</f>
        <v/>
      </c>
    </row>
    <row r="7109">
      <c r="A7109" t="inlineStr">
        <is>
          <t>RP0007108</t>
        </is>
      </c>
      <c r="B7109" t="inlineStr">
        <is>
          <t>LN201006</t>
        </is>
      </c>
      <c r="C7109" t="n">
        <v>7</v>
      </c>
      <c r="D7109" s="8" t="n">
        <v>46427</v>
      </c>
      <c r="E7109" s="9" t="n">
        <v>6954</v>
      </c>
      <c r="F7109" s="8" t="n"/>
      <c r="G7109" s="9" t="n">
        <v>0</v>
      </c>
      <c r="H7109" t="inlineStr">
        <is>
          <t>NOT_DUE</t>
        </is>
      </c>
      <c r="I7109">
        <f>IF(H7109="UNPAID", AsOfDate-D7109, 0)</f>
        <v/>
      </c>
      <c r="J7109">
        <f>IF(F7109&lt;&gt;"", TEXT(F7109, "yyyy-mm"), "")</f>
        <v/>
      </c>
    </row>
    <row r="7110">
      <c r="A7110" t="inlineStr">
        <is>
          <t>RP0007109</t>
        </is>
      </c>
      <c r="B7110" t="inlineStr">
        <is>
          <t>LN201006</t>
        </is>
      </c>
      <c r="C7110" t="n">
        <v>8</v>
      </c>
      <c r="D7110" s="8" t="n">
        <v>46455</v>
      </c>
      <c r="E7110" s="9" t="n">
        <v>6954</v>
      </c>
      <c r="F7110" s="8" t="n"/>
      <c r="G7110" s="9" t="n">
        <v>0</v>
      </c>
      <c r="H7110" t="inlineStr">
        <is>
          <t>NOT_DUE</t>
        </is>
      </c>
      <c r="I7110">
        <f>IF(H7110="UNPAID", AsOfDate-D7110, 0)</f>
        <v/>
      </c>
      <c r="J7110">
        <f>IF(F7110&lt;&gt;"", TEXT(F7110, "yyyy-mm"), "")</f>
        <v/>
      </c>
    </row>
    <row r="7111">
      <c r="A7111" t="inlineStr">
        <is>
          <t>RP0007110</t>
        </is>
      </c>
      <c r="B7111" t="inlineStr">
        <is>
          <t>LN201006</t>
        </is>
      </c>
      <c r="C7111" t="n">
        <v>9</v>
      </c>
      <c r="D7111" s="8" t="n">
        <v>46486</v>
      </c>
      <c r="E7111" s="9" t="n">
        <v>6954</v>
      </c>
      <c r="F7111" s="8" t="n"/>
      <c r="G7111" s="9" t="n">
        <v>0</v>
      </c>
      <c r="H7111" t="inlineStr">
        <is>
          <t>NOT_DUE</t>
        </is>
      </c>
      <c r="I7111">
        <f>IF(H7111="UNPAID", AsOfDate-D7111, 0)</f>
        <v/>
      </c>
      <c r="J7111">
        <f>IF(F7111&lt;&gt;"", TEXT(F7111, "yyyy-mm"), "")</f>
        <v/>
      </c>
    </row>
    <row r="7112">
      <c r="A7112" t="inlineStr">
        <is>
          <t>RP0007111</t>
        </is>
      </c>
      <c r="B7112" t="inlineStr">
        <is>
          <t>LN201007</t>
        </is>
      </c>
      <c r="C7112" t="n">
        <v>1</v>
      </c>
      <c r="D7112" s="8" t="n">
        <v>46228</v>
      </c>
      <c r="E7112" s="9" t="n">
        <v>1890</v>
      </c>
      <c r="F7112" s="8" t="n"/>
      <c r="G7112" s="9" t="n">
        <v>0</v>
      </c>
      <c r="H7112" t="inlineStr">
        <is>
          <t>UNPAID</t>
        </is>
      </c>
      <c r="I7112">
        <f>IF(H7112="UNPAID", AsOfDate-D7112, 0)</f>
        <v/>
      </c>
      <c r="J7112">
        <f>IF(F7112&lt;&gt;"", TEXT(F7112, "yyyy-mm"), "")</f>
        <v/>
      </c>
    </row>
    <row r="7113">
      <c r="A7113" t="inlineStr">
        <is>
          <t>RP0007112</t>
        </is>
      </c>
      <c r="B7113" t="inlineStr">
        <is>
          <t>LN201007</t>
        </is>
      </c>
      <c r="C7113" t="n">
        <v>2</v>
      </c>
      <c r="D7113" s="8" t="n">
        <v>46259</v>
      </c>
      <c r="E7113" s="9" t="n">
        <v>1890</v>
      </c>
      <c r="F7113" s="8" t="n"/>
      <c r="G7113" s="9" t="n">
        <v>0</v>
      </c>
      <c r="H7113" t="inlineStr">
        <is>
          <t>UNPAID</t>
        </is>
      </c>
      <c r="I7113">
        <f>IF(H7113="UNPAID", AsOfDate-D7113, 0)</f>
        <v/>
      </c>
      <c r="J7113">
        <f>IF(F7113&lt;&gt;"", TEXT(F7113, "yyyy-mm"), "")</f>
        <v/>
      </c>
    </row>
    <row r="7114">
      <c r="A7114" t="inlineStr">
        <is>
          <t>RP0007113</t>
        </is>
      </c>
      <c r="B7114" t="inlineStr">
        <is>
          <t>LN201007</t>
        </is>
      </c>
      <c r="C7114" t="n">
        <v>3</v>
      </c>
      <c r="D7114" s="8" t="n">
        <v>46290</v>
      </c>
      <c r="E7114" s="9" t="n">
        <v>1890</v>
      </c>
      <c r="F7114" s="8" t="n"/>
      <c r="G7114" s="9" t="n">
        <v>0</v>
      </c>
      <c r="H7114" t="inlineStr">
        <is>
          <t>NOT_DUE</t>
        </is>
      </c>
      <c r="I7114">
        <f>IF(H7114="UNPAID", AsOfDate-D7114, 0)</f>
        <v/>
      </c>
      <c r="J7114">
        <f>IF(F7114&lt;&gt;"", TEXT(F7114, "yyyy-mm"), "")</f>
        <v/>
      </c>
    </row>
    <row r="7115">
      <c r="A7115" t="inlineStr">
        <is>
          <t>RP0007114</t>
        </is>
      </c>
      <c r="B7115" t="inlineStr">
        <is>
          <t>LN201007</t>
        </is>
      </c>
      <c r="C7115" t="n">
        <v>4</v>
      </c>
      <c r="D7115" s="8" t="n">
        <v>46320</v>
      </c>
      <c r="E7115" s="9" t="n">
        <v>1890</v>
      </c>
      <c r="F7115" s="8" t="n"/>
      <c r="G7115" s="9" t="n">
        <v>0</v>
      </c>
      <c r="H7115" t="inlineStr">
        <is>
          <t>NOT_DUE</t>
        </is>
      </c>
      <c r="I7115">
        <f>IF(H7115="UNPAID", AsOfDate-D7115, 0)</f>
        <v/>
      </c>
      <c r="J7115">
        <f>IF(F7115&lt;&gt;"", TEXT(F7115, "yyyy-mm"), "")</f>
        <v/>
      </c>
    </row>
    <row r="7116">
      <c r="A7116" t="inlineStr">
        <is>
          <t>RP0007115</t>
        </is>
      </c>
      <c r="B7116" t="inlineStr">
        <is>
          <t>LN201007</t>
        </is>
      </c>
      <c r="C7116" t="n">
        <v>5</v>
      </c>
      <c r="D7116" s="8" t="n">
        <v>46351</v>
      </c>
      <c r="E7116" s="9" t="n">
        <v>1890</v>
      </c>
      <c r="F7116" s="8" t="n"/>
      <c r="G7116" s="9" t="n">
        <v>0</v>
      </c>
      <c r="H7116" t="inlineStr">
        <is>
          <t>NOT_DUE</t>
        </is>
      </c>
      <c r="I7116">
        <f>IF(H7116="UNPAID", AsOfDate-D7116, 0)</f>
        <v/>
      </c>
      <c r="J7116">
        <f>IF(F7116&lt;&gt;"", TEXT(F7116, "yyyy-mm"), "")</f>
        <v/>
      </c>
    </row>
    <row r="7117">
      <c r="A7117" t="inlineStr">
        <is>
          <t>RP0007116</t>
        </is>
      </c>
      <c r="B7117" t="inlineStr">
        <is>
          <t>LN201007</t>
        </is>
      </c>
      <c r="C7117" t="n">
        <v>6</v>
      </c>
      <c r="D7117" s="8" t="n">
        <v>46381</v>
      </c>
      <c r="E7117" s="9" t="n">
        <v>1890</v>
      </c>
      <c r="F7117" s="8" t="n"/>
      <c r="G7117" s="9" t="n">
        <v>0</v>
      </c>
      <c r="H7117" t="inlineStr">
        <is>
          <t>NOT_DUE</t>
        </is>
      </c>
      <c r="I7117">
        <f>IF(H7117="UNPAID", AsOfDate-D7117, 0)</f>
        <v/>
      </c>
      <c r="J7117">
        <f>IF(F7117&lt;&gt;"", TEXT(F7117, "yyyy-mm"), "")</f>
        <v/>
      </c>
    </row>
    <row r="7118">
      <c r="A7118" t="inlineStr">
        <is>
          <t>RP0007117</t>
        </is>
      </c>
      <c r="B7118" t="inlineStr">
        <is>
          <t>LN201007</t>
        </is>
      </c>
      <c r="C7118" t="n">
        <v>7</v>
      </c>
      <c r="D7118" s="8" t="n">
        <v>46412</v>
      </c>
      <c r="E7118" s="9" t="n">
        <v>1890</v>
      </c>
      <c r="F7118" s="8" t="n"/>
      <c r="G7118" s="9" t="n">
        <v>0</v>
      </c>
      <c r="H7118" t="inlineStr">
        <is>
          <t>NOT_DUE</t>
        </is>
      </c>
      <c r="I7118">
        <f>IF(H7118="UNPAID", AsOfDate-D7118, 0)</f>
        <v/>
      </c>
      <c r="J7118">
        <f>IF(F7118&lt;&gt;"", TEXT(F7118, "yyyy-mm"), "")</f>
        <v/>
      </c>
    </row>
    <row r="7119">
      <c r="A7119" t="inlineStr">
        <is>
          <t>RP0007118</t>
        </is>
      </c>
      <c r="B7119" t="inlineStr">
        <is>
          <t>LN201007</t>
        </is>
      </c>
      <c r="C7119" t="n">
        <v>8</v>
      </c>
      <c r="D7119" s="8" t="n">
        <v>46443</v>
      </c>
      <c r="E7119" s="9" t="n">
        <v>1890</v>
      </c>
      <c r="F7119" s="8" t="n"/>
      <c r="G7119" s="9" t="n">
        <v>0</v>
      </c>
      <c r="H7119" t="inlineStr">
        <is>
          <t>NOT_DUE</t>
        </is>
      </c>
      <c r="I7119">
        <f>IF(H7119="UNPAID", AsOfDate-D7119, 0)</f>
        <v/>
      </c>
      <c r="J7119">
        <f>IF(F7119&lt;&gt;"", TEXT(F7119, "yyyy-mm"), "")</f>
        <v/>
      </c>
    </row>
    <row r="7120">
      <c r="A7120" t="inlineStr">
        <is>
          <t>RP0007119</t>
        </is>
      </c>
      <c r="B7120" t="inlineStr">
        <is>
          <t>LN201007</t>
        </is>
      </c>
      <c r="C7120" t="n">
        <v>9</v>
      </c>
      <c r="D7120" s="8" t="n">
        <v>46471</v>
      </c>
      <c r="E7120" s="9" t="n">
        <v>1890</v>
      </c>
      <c r="F7120" s="8" t="n"/>
      <c r="G7120" s="9" t="n">
        <v>0</v>
      </c>
      <c r="H7120" t="inlineStr">
        <is>
          <t>NOT_DUE</t>
        </is>
      </c>
      <c r="I7120">
        <f>IF(H7120="UNPAID", AsOfDate-D7120, 0)</f>
        <v/>
      </c>
      <c r="J7120">
        <f>IF(F7120&lt;&gt;"", TEXT(F7120, "yyyy-mm"), "")</f>
        <v/>
      </c>
    </row>
    <row r="7121">
      <c r="A7121" t="inlineStr">
        <is>
          <t>RP0007120</t>
        </is>
      </c>
      <c r="B7121" t="inlineStr">
        <is>
          <t>LN201007</t>
        </is>
      </c>
      <c r="C7121" t="n">
        <v>10</v>
      </c>
      <c r="D7121" s="8" t="n">
        <v>46502</v>
      </c>
      <c r="E7121" s="9" t="n">
        <v>1890</v>
      </c>
      <c r="F7121" s="8" t="n"/>
      <c r="G7121" s="9" t="n">
        <v>0</v>
      </c>
      <c r="H7121" t="inlineStr">
        <is>
          <t>NOT_DUE</t>
        </is>
      </c>
      <c r="I7121">
        <f>IF(H7121="UNPAID", AsOfDate-D7121, 0)</f>
        <v/>
      </c>
      <c r="J7121">
        <f>IF(F7121&lt;&gt;"", TEXT(F7121, "yyyy-mm"), "")</f>
        <v/>
      </c>
    </row>
    <row r="7122">
      <c r="A7122" t="inlineStr">
        <is>
          <t>RP0007121</t>
        </is>
      </c>
      <c r="B7122" t="inlineStr">
        <is>
          <t>LN201007</t>
        </is>
      </c>
      <c r="C7122" t="n">
        <v>11</v>
      </c>
      <c r="D7122" s="8" t="n">
        <v>46532</v>
      </c>
      <c r="E7122" s="9" t="n">
        <v>1890</v>
      </c>
      <c r="F7122" s="8" t="n"/>
      <c r="G7122" s="9" t="n">
        <v>0</v>
      </c>
      <c r="H7122" t="inlineStr">
        <is>
          <t>NOT_DUE</t>
        </is>
      </c>
      <c r="I7122">
        <f>IF(H7122="UNPAID", AsOfDate-D7122, 0)</f>
        <v/>
      </c>
      <c r="J7122">
        <f>IF(F7122&lt;&gt;"", TEXT(F7122, "yyyy-mm"), "")</f>
        <v/>
      </c>
    </row>
    <row r="7123">
      <c r="A7123" t="inlineStr">
        <is>
          <t>RP0007122</t>
        </is>
      </c>
      <c r="B7123" t="inlineStr">
        <is>
          <t>LN201007</t>
        </is>
      </c>
      <c r="C7123" t="n">
        <v>12</v>
      </c>
      <c r="D7123" s="8" t="n">
        <v>46563</v>
      </c>
      <c r="E7123" s="9" t="n">
        <v>1890</v>
      </c>
      <c r="F7123" s="8" t="n"/>
      <c r="G7123" s="9" t="n">
        <v>0</v>
      </c>
      <c r="H7123" t="inlineStr">
        <is>
          <t>NOT_DUE</t>
        </is>
      </c>
      <c r="I7123">
        <f>IF(H7123="UNPAID", AsOfDate-D7123, 0)</f>
        <v/>
      </c>
      <c r="J7123">
        <f>IF(F7123&lt;&gt;"", TEXT(F7123, "yyyy-mm"), "")</f>
        <v/>
      </c>
    </row>
    <row r="7124">
      <c r="A7124" t="inlineStr">
        <is>
          <t>RP0007123</t>
        </is>
      </c>
      <c r="B7124" t="inlineStr">
        <is>
          <t>LN201008</t>
        </is>
      </c>
      <c r="C7124" t="n">
        <v>1</v>
      </c>
      <c r="D7124" s="8" t="n">
        <v>45825</v>
      </c>
      <c r="E7124" s="9" t="n">
        <v>13377</v>
      </c>
      <c r="F7124" s="8" t="n">
        <v>45906</v>
      </c>
      <c r="G7124" s="9" t="n">
        <v>13377</v>
      </c>
      <c r="H7124" t="inlineStr">
        <is>
          <t>PAID_LATE</t>
        </is>
      </c>
      <c r="I7124">
        <f>IF(H7124="UNPAID", AsOfDate-D7124, 0)</f>
        <v/>
      </c>
      <c r="J7124">
        <f>IF(F7124&lt;&gt;"", TEXT(F7124, "yyyy-mm"), "")</f>
        <v/>
      </c>
    </row>
    <row r="7125">
      <c r="A7125" t="inlineStr">
        <is>
          <t>RP0007124</t>
        </is>
      </c>
      <c r="B7125" t="inlineStr">
        <is>
          <t>LN201008</t>
        </is>
      </c>
      <c r="C7125" t="n">
        <v>2</v>
      </c>
      <c r="D7125" s="8" t="n">
        <v>45855</v>
      </c>
      <c r="E7125" s="9" t="n">
        <v>13377</v>
      </c>
      <c r="F7125" s="8" t="n">
        <v>45852</v>
      </c>
      <c r="G7125" s="9" t="n">
        <v>13377</v>
      </c>
      <c r="H7125" t="inlineStr">
        <is>
          <t>PAID_ON_TIME</t>
        </is>
      </c>
      <c r="I7125">
        <f>IF(H7125="UNPAID", AsOfDate-D7125, 0)</f>
        <v/>
      </c>
      <c r="J7125">
        <f>IF(F7125&lt;&gt;"", TEXT(F7125, "yyyy-mm"), "")</f>
        <v/>
      </c>
    </row>
    <row r="7126">
      <c r="A7126" t="inlineStr">
        <is>
          <t>RP0007125</t>
        </is>
      </c>
      <c r="B7126" t="inlineStr">
        <is>
          <t>LN201008</t>
        </is>
      </c>
      <c r="C7126" t="n">
        <v>3</v>
      </c>
      <c r="D7126" s="8" t="n">
        <v>45886</v>
      </c>
      <c r="E7126" s="9" t="n">
        <v>13377</v>
      </c>
      <c r="F7126" s="8" t="n">
        <v>45887</v>
      </c>
      <c r="G7126" s="9" t="n">
        <v>13377</v>
      </c>
      <c r="H7126" t="inlineStr">
        <is>
          <t>PAID_ON_TIME</t>
        </is>
      </c>
      <c r="I7126">
        <f>IF(H7126="UNPAID", AsOfDate-D7126, 0)</f>
        <v/>
      </c>
      <c r="J7126">
        <f>IF(F7126&lt;&gt;"", TEXT(F7126, "yyyy-mm"), "")</f>
        <v/>
      </c>
    </row>
    <row r="7127">
      <c r="A7127" t="inlineStr">
        <is>
          <t>RP0007126</t>
        </is>
      </c>
      <c r="B7127" t="inlineStr">
        <is>
          <t>LN201008</t>
        </is>
      </c>
      <c r="C7127" t="n">
        <v>4</v>
      </c>
      <c r="D7127" s="8" t="n">
        <v>45917</v>
      </c>
      <c r="E7127" s="9" t="n">
        <v>13377</v>
      </c>
      <c r="F7127" s="8" t="n">
        <v>45918</v>
      </c>
      <c r="G7127" s="9" t="n">
        <v>13377</v>
      </c>
      <c r="H7127" t="inlineStr">
        <is>
          <t>PAID_ON_TIME</t>
        </is>
      </c>
      <c r="I7127">
        <f>IF(H7127="UNPAID", AsOfDate-D7127, 0)</f>
        <v/>
      </c>
      <c r="J7127">
        <f>IF(F7127&lt;&gt;"", TEXT(F7127, "yyyy-mm"), "")</f>
        <v/>
      </c>
    </row>
    <row r="7128">
      <c r="A7128" t="inlineStr">
        <is>
          <t>RP0007127</t>
        </is>
      </c>
      <c r="B7128" t="inlineStr">
        <is>
          <t>LN201008</t>
        </is>
      </c>
      <c r="C7128" t="n">
        <v>5</v>
      </c>
      <c r="D7128" s="8" t="n">
        <v>45947</v>
      </c>
      <c r="E7128" s="9" t="n">
        <v>13377</v>
      </c>
      <c r="F7128" s="8" t="n">
        <v>45951</v>
      </c>
      <c r="G7128" s="9" t="n">
        <v>13377</v>
      </c>
      <c r="H7128" t="inlineStr">
        <is>
          <t>PAID_ON_TIME</t>
        </is>
      </c>
      <c r="I7128">
        <f>IF(H7128="UNPAID", AsOfDate-D7128, 0)</f>
        <v/>
      </c>
      <c r="J7128">
        <f>IF(F7128&lt;&gt;"", TEXT(F7128, "yyyy-mm"), "")</f>
        <v/>
      </c>
    </row>
    <row r="7129">
      <c r="A7129" t="inlineStr">
        <is>
          <t>RP0007128</t>
        </is>
      </c>
      <c r="B7129" t="inlineStr">
        <is>
          <t>LN201008</t>
        </is>
      </c>
      <c r="C7129" t="n">
        <v>6</v>
      </c>
      <c r="D7129" s="8" t="n">
        <v>45978</v>
      </c>
      <c r="E7129" s="9" t="n">
        <v>13377</v>
      </c>
      <c r="F7129" s="8" t="n">
        <v>45978</v>
      </c>
      <c r="G7129" s="9" t="n">
        <v>13377</v>
      </c>
      <c r="H7129" t="inlineStr">
        <is>
          <t>PAID_ON_TIME</t>
        </is>
      </c>
      <c r="I7129">
        <f>IF(H7129="UNPAID", AsOfDate-D7129, 0)</f>
        <v/>
      </c>
      <c r="J7129">
        <f>IF(F7129&lt;&gt;"", TEXT(F7129, "yyyy-mm"), "")</f>
        <v/>
      </c>
    </row>
    <row r="7130">
      <c r="A7130" t="inlineStr">
        <is>
          <t>RP0007129</t>
        </is>
      </c>
      <c r="B7130" t="inlineStr">
        <is>
          <t>LN201008</t>
        </is>
      </c>
      <c r="C7130" t="n">
        <v>7</v>
      </c>
      <c r="D7130" s="8" t="n">
        <v>46008</v>
      </c>
      <c r="E7130" s="9" t="n">
        <v>13377</v>
      </c>
      <c r="F7130" s="8" t="n">
        <v>46069</v>
      </c>
      <c r="G7130" s="9" t="n">
        <v>13377</v>
      </c>
      <c r="H7130" t="inlineStr">
        <is>
          <t>PAID_LATE</t>
        </is>
      </c>
      <c r="I7130">
        <f>IF(H7130="UNPAID", AsOfDate-D7130, 0)</f>
        <v/>
      </c>
      <c r="J7130">
        <f>IF(F7130&lt;&gt;"", TEXT(F7130, "yyyy-mm"), "")</f>
        <v/>
      </c>
    </row>
    <row r="7131">
      <c r="A7131" t="inlineStr">
        <is>
          <t>RP0007130</t>
        </is>
      </c>
      <c r="B7131" t="inlineStr">
        <is>
          <t>LN201008</t>
        </is>
      </c>
      <c r="C7131" t="n">
        <v>8</v>
      </c>
      <c r="D7131" s="8" t="n">
        <v>46039</v>
      </c>
      <c r="E7131" s="9" t="n">
        <v>13377</v>
      </c>
      <c r="F7131" s="8" t="n">
        <v>46036</v>
      </c>
      <c r="G7131" s="9" t="n">
        <v>13377</v>
      </c>
      <c r="H7131" t="inlineStr">
        <is>
          <t>PAID_ON_TIME</t>
        </is>
      </c>
      <c r="I7131">
        <f>IF(H7131="UNPAID", AsOfDate-D7131, 0)</f>
        <v/>
      </c>
      <c r="J7131">
        <f>IF(F7131&lt;&gt;"", TEXT(F7131, "yyyy-mm"), "")</f>
        <v/>
      </c>
    </row>
    <row r="7132">
      <c r="A7132" t="inlineStr">
        <is>
          <t>RP0007131</t>
        </is>
      </c>
      <c r="B7132" t="inlineStr">
        <is>
          <t>LN201008</t>
        </is>
      </c>
      <c r="C7132" t="n">
        <v>9</v>
      </c>
      <c r="D7132" s="8" t="n">
        <v>46070</v>
      </c>
      <c r="E7132" s="9" t="n">
        <v>13377</v>
      </c>
      <c r="F7132" s="8" t="n">
        <v>46071</v>
      </c>
      <c r="G7132" s="9" t="n">
        <v>13377</v>
      </c>
      <c r="H7132" t="inlineStr">
        <is>
          <t>PAID_ON_TIME</t>
        </is>
      </c>
      <c r="I7132">
        <f>IF(H7132="UNPAID", AsOfDate-D7132, 0)</f>
        <v/>
      </c>
      <c r="J7132">
        <f>IF(F7132&lt;&gt;"", TEXT(F7132, "yyyy-mm"), "")</f>
        <v/>
      </c>
    </row>
    <row r="7133">
      <c r="A7133" t="inlineStr">
        <is>
          <t>RP0007132</t>
        </is>
      </c>
      <c r="B7133" t="inlineStr">
        <is>
          <t>LN201009</t>
        </is>
      </c>
      <c r="C7133" t="n">
        <v>1</v>
      </c>
      <c r="D7133" s="8" t="n">
        <v>46121</v>
      </c>
      <c r="E7133" s="9" t="n">
        <v>3932.58</v>
      </c>
      <c r="F7133" s="8" t="n">
        <v>46125</v>
      </c>
      <c r="G7133" s="9" t="n">
        <v>3932.58</v>
      </c>
      <c r="H7133" t="inlineStr">
        <is>
          <t>PAID_ON_TIME</t>
        </is>
      </c>
      <c r="I7133">
        <f>IF(H7133="UNPAID", AsOfDate-D7133, 0)</f>
        <v/>
      </c>
      <c r="J7133">
        <f>IF(F7133&lt;&gt;"", TEXT(F7133, "yyyy-mm"), "")</f>
        <v/>
      </c>
    </row>
    <row r="7134">
      <c r="A7134" t="inlineStr">
        <is>
          <t>RP0007133</t>
        </is>
      </c>
      <c r="B7134" t="inlineStr">
        <is>
          <t>LN201009</t>
        </is>
      </c>
      <c r="C7134" t="n">
        <v>2</v>
      </c>
      <c r="D7134" s="8" t="n">
        <v>46151</v>
      </c>
      <c r="E7134" s="9" t="n">
        <v>3932.58</v>
      </c>
      <c r="F7134" s="8" t="n">
        <v>46154</v>
      </c>
      <c r="G7134" s="9" t="n">
        <v>3932.58</v>
      </c>
      <c r="H7134" t="inlineStr">
        <is>
          <t>PAID_ON_TIME</t>
        </is>
      </c>
      <c r="I7134">
        <f>IF(H7134="UNPAID", AsOfDate-D7134, 0)</f>
        <v/>
      </c>
      <c r="J7134">
        <f>IF(F7134&lt;&gt;"", TEXT(F7134, "yyyy-mm"), "")</f>
        <v/>
      </c>
    </row>
    <row r="7135">
      <c r="A7135" t="inlineStr">
        <is>
          <t>RP0007134</t>
        </is>
      </c>
      <c r="B7135" t="inlineStr">
        <is>
          <t>LN201009</t>
        </is>
      </c>
      <c r="C7135" t="n">
        <v>3</v>
      </c>
      <c r="D7135" s="8" t="n">
        <v>46182</v>
      </c>
      <c r="E7135" s="9" t="n">
        <v>3932.58</v>
      </c>
      <c r="F7135" s="8" t="n">
        <v>46181</v>
      </c>
      <c r="G7135" s="9" t="n">
        <v>3932.58</v>
      </c>
      <c r="H7135" t="inlineStr">
        <is>
          <t>PAID_ON_TIME</t>
        </is>
      </c>
      <c r="I7135">
        <f>IF(H7135="UNPAID", AsOfDate-D7135, 0)</f>
        <v/>
      </c>
      <c r="J7135">
        <f>IF(F7135&lt;&gt;"", TEXT(F7135, "yyyy-mm"), "")</f>
        <v/>
      </c>
    </row>
    <row r="7136">
      <c r="A7136" t="inlineStr">
        <is>
          <t>RP0007135</t>
        </is>
      </c>
      <c r="B7136" t="inlineStr">
        <is>
          <t>LN201009</t>
        </is>
      </c>
      <c r="C7136" t="n">
        <v>4</v>
      </c>
      <c r="D7136" s="8" t="n">
        <v>46212</v>
      </c>
      <c r="E7136" s="9" t="n">
        <v>3932.58</v>
      </c>
      <c r="F7136" s="8" t="n">
        <v>46211</v>
      </c>
      <c r="G7136" s="9" t="n">
        <v>3932.58</v>
      </c>
      <c r="H7136" t="inlineStr">
        <is>
          <t>PAID_ON_TIME</t>
        </is>
      </c>
      <c r="I7136">
        <f>IF(H7136="UNPAID", AsOfDate-D7136, 0)</f>
        <v/>
      </c>
      <c r="J7136">
        <f>IF(F7136&lt;&gt;"", TEXT(F7136, "yyyy-mm"), "")</f>
        <v/>
      </c>
    </row>
    <row r="7137">
      <c r="A7137" t="inlineStr">
        <is>
          <t>RP0007136</t>
        </is>
      </c>
      <c r="B7137" t="inlineStr">
        <is>
          <t>LN201009</t>
        </is>
      </c>
      <c r="C7137" t="n">
        <v>5</v>
      </c>
      <c r="D7137" s="8" t="n">
        <v>46243</v>
      </c>
      <c r="E7137" s="9" t="n">
        <v>3932.58</v>
      </c>
      <c r="F7137" s="8" t="n">
        <v>46246</v>
      </c>
      <c r="G7137" s="9" t="n">
        <v>3932.58</v>
      </c>
      <c r="H7137" t="inlineStr">
        <is>
          <t>PAID_ON_TIME</t>
        </is>
      </c>
      <c r="I7137">
        <f>IF(H7137="UNPAID", AsOfDate-D7137, 0)</f>
        <v/>
      </c>
      <c r="J7137">
        <f>IF(F7137&lt;&gt;"", TEXT(F7137, "yyyy-mm"), "")</f>
        <v/>
      </c>
    </row>
    <row r="7138">
      <c r="A7138" t="inlineStr">
        <is>
          <t>RP0007137</t>
        </is>
      </c>
      <c r="B7138" t="inlineStr">
        <is>
          <t>LN201009</t>
        </is>
      </c>
      <c r="C7138" t="n">
        <v>6</v>
      </c>
      <c r="D7138" s="8" t="n">
        <v>46274</v>
      </c>
      <c r="E7138" s="9" t="n">
        <v>3932.58</v>
      </c>
      <c r="F7138" s="8" t="n"/>
      <c r="G7138" s="9" t="n">
        <v>0</v>
      </c>
      <c r="H7138" t="inlineStr">
        <is>
          <t>NOT_DUE</t>
        </is>
      </c>
      <c r="I7138">
        <f>IF(H7138="UNPAID", AsOfDate-D7138, 0)</f>
        <v/>
      </c>
      <c r="J7138">
        <f>IF(F7138&lt;&gt;"", TEXT(F7138, "yyyy-mm"), "")</f>
        <v/>
      </c>
    </row>
    <row r="7139">
      <c r="A7139" t="inlineStr">
        <is>
          <t>RP0007138</t>
        </is>
      </c>
      <c r="B7139" t="inlineStr">
        <is>
          <t>LN201009</t>
        </is>
      </c>
      <c r="C7139" t="n">
        <v>7</v>
      </c>
      <c r="D7139" s="8" t="n">
        <v>46304</v>
      </c>
      <c r="E7139" s="9" t="n">
        <v>3932.58</v>
      </c>
      <c r="F7139" s="8" t="n"/>
      <c r="G7139" s="9" t="n">
        <v>0</v>
      </c>
      <c r="H7139" t="inlineStr">
        <is>
          <t>NOT_DUE</t>
        </is>
      </c>
      <c r="I7139">
        <f>IF(H7139="UNPAID", AsOfDate-D7139, 0)</f>
        <v/>
      </c>
      <c r="J7139">
        <f>IF(F7139&lt;&gt;"", TEXT(F7139, "yyyy-mm"), "")</f>
        <v/>
      </c>
    </row>
    <row r="7140">
      <c r="A7140" t="inlineStr">
        <is>
          <t>RP0007139</t>
        </is>
      </c>
      <c r="B7140" t="inlineStr">
        <is>
          <t>LN201009</t>
        </is>
      </c>
      <c r="C7140" t="n">
        <v>8</v>
      </c>
      <c r="D7140" s="8" t="n">
        <v>46335</v>
      </c>
      <c r="E7140" s="9" t="n">
        <v>3932.58</v>
      </c>
      <c r="F7140" s="8" t="n"/>
      <c r="G7140" s="9" t="n">
        <v>0</v>
      </c>
      <c r="H7140" t="inlineStr">
        <is>
          <t>NOT_DUE</t>
        </is>
      </c>
      <c r="I7140">
        <f>IF(H7140="UNPAID", AsOfDate-D7140, 0)</f>
        <v/>
      </c>
      <c r="J7140">
        <f>IF(F7140&lt;&gt;"", TEXT(F7140, "yyyy-mm"), "")</f>
        <v/>
      </c>
    </row>
    <row r="7141">
      <c r="A7141" t="inlineStr">
        <is>
          <t>RP0007140</t>
        </is>
      </c>
      <c r="B7141" t="inlineStr">
        <is>
          <t>LN201009</t>
        </is>
      </c>
      <c r="C7141" t="n">
        <v>9</v>
      </c>
      <c r="D7141" s="8" t="n">
        <v>46365</v>
      </c>
      <c r="E7141" s="9" t="n">
        <v>3932.58</v>
      </c>
      <c r="F7141" s="8" t="n"/>
      <c r="G7141" s="9" t="n">
        <v>0</v>
      </c>
      <c r="H7141" t="inlineStr">
        <is>
          <t>NOT_DUE</t>
        </is>
      </c>
      <c r="I7141">
        <f>IF(H7141="UNPAID", AsOfDate-D7141, 0)</f>
        <v/>
      </c>
      <c r="J7141">
        <f>IF(F7141&lt;&gt;"", TEXT(F7141, "yyyy-mm"), "")</f>
        <v/>
      </c>
    </row>
    <row r="7142">
      <c r="A7142" t="inlineStr">
        <is>
          <t>RP0007141</t>
        </is>
      </c>
      <c r="B7142" t="inlineStr">
        <is>
          <t>LN201009</t>
        </is>
      </c>
      <c r="C7142" t="n">
        <v>10</v>
      </c>
      <c r="D7142" s="8" t="n">
        <v>46396</v>
      </c>
      <c r="E7142" s="9" t="n">
        <v>3932.58</v>
      </c>
      <c r="F7142" s="8" t="n"/>
      <c r="G7142" s="9" t="n">
        <v>0</v>
      </c>
      <c r="H7142" t="inlineStr">
        <is>
          <t>NOT_DUE</t>
        </is>
      </c>
      <c r="I7142">
        <f>IF(H7142="UNPAID", AsOfDate-D7142, 0)</f>
        <v/>
      </c>
      <c r="J7142">
        <f>IF(F7142&lt;&gt;"", TEXT(F7142, "yyyy-mm"), "")</f>
        <v/>
      </c>
    </row>
    <row r="7143">
      <c r="A7143" t="inlineStr">
        <is>
          <t>RP0007142</t>
        </is>
      </c>
      <c r="B7143" t="inlineStr">
        <is>
          <t>LN201009</t>
        </is>
      </c>
      <c r="C7143" t="n">
        <v>11</v>
      </c>
      <c r="D7143" s="8" t="n">
        <v>46427</v>
      </c>
      <c r="E7143" s="9" t="n">
        <v>3932.58</v>
      </c>
      <c r="F7143" s="8" t="n"/>
      <c r="G7143" s="9" t="n">
        <v>0</v>
      </c>
      <c r="H7143" t="inlineStr">
        <is>
          <t>NOT_DUE</t>
        </is>
      </c>
      <c r="I7143">
        <f>IF(H7143="UNPAID", AsOfDate-D7143, 0)</f>
        <v/>
      </c>
      <c r="J7143">
        <f>IF(F7143&lt;&gt;"", TEXT(F7143, "yyyy-mm"), "")</f>
        <v/>
      </c>
    </row>
    <row r="7144">
      <c r="A7144" t="inlineStr">
        <is>
          <t>RP0007143</t>
        </is>
      </c>
      <c r="B7144" t="inlineStr">
        <is>
          <t>LN201009</t>
        </is>
      </c>
      <c r="C7144" t="n">
        <v>12</v>
      </c>
      <c r="D7144" s="8" t="n">
        <v>46455</v>
      </c>
      <c r="E7144" s="9" t="n">
        <v>3932.58</v>
      </c>
      <c r="F7144" s="8" t="n"/>
      <c r="G7144" s="9" t="n">
        <v>0</v>
      </c>
      <c r="H7144" t="inlineStr">
        <is>
          <t>NOT_DUE</t>
        </is>
      </c>
      <c r="I7144">
        <f>IF(H7144="UNPAID", AsOfDate-D7144, 0)</f>
        <v/>
      </c>
      <c r="J7144">
        <f>IF(F7144&lt;&gt;"", TEXT(F7144, "yyyy-mm"), "")</f>
        <v/>
      </c>
    </row>
    <row r="7145">
      <c r="A7145" t="inlineStr">
        <is>
          <t>RP0007144</t>
        </is>
      </c>
      <c r="B7145" t="inlineStr">
        <is>
          <t>LN201010</t>
        </is>
      </c>
      <c r="C7145" t="n">
        <v>1</v>
      </c>
      <c r="D7145" s="8" t="n">
        <v>46143</v>
      </c>
      <c r="E7145" s="9" t="n">
        <v>3533.33</v>
      </c>
      <c r="F7145" s="8" t="n">
        <v>46143</v>
      </c>
      <c r="G7145" s="9" t="n">
        <v>3533.33</v>
      </c>
      <c r="H7145" t="inlineStr">
        <is>
          <t>PAID_ON_TIME</t>
        </is>
      </c>
      <c r="I7145">
        <f>IF(H7145="UNPAID", AsOfDate-D7145, 0)</f>
        <v/>
      </c>
      <c r="J7145">
        <f>IF(F7145&lt;&gt;"", TEXT(F7145, "yyyy-mm"), "")</f>
        <v/>
      </c>
    </row>
    <row r="7146">
      <c r="A7146" t="inlineStr">
        <is>
          <t>RP0007145</t>
        </is>
      </c>
      <c r="B7146" t="inlineStr">
        <is>
          <t>LN201010</t>
        </is>
      </c>
      <c r="C7146" t="n">
        <v>2</v>
      </c>
      <c r="D7146" s="8" t="n">
        <v>46174</v>
      </c>
      <c r="E7146" s="9" t="n">
        <v>3533.33</v>
      </c>
      <c r="F7146" s="8" t="n">
        <v>46171</v>
      </c>
      <c r="G7146" s="9" t="n">
        <v>3533.33</v>
      </c>
      <c r="H7146" t="inlineStr">
        <is>
          <t>PAID_ON_TIME</t>
        </is>
      </c>
      <c r="I7146">
        <f>IF(H7146="UNPAID", AsOfDate-D7146, 0)</f>
        <v/>
      </c>
      <c r="J7146">
        <f>IF(F7146&lt;&gt;"", TEXT(F7146, "yyyy-mm"), "")</f>
        <v/>
      </c>
    </row>
    <row r="7147">
      <c r="A7147" t="inlineStr">
        <is>
          <t>RP0007146</t>
        </is>
      </c>
      <c r="B7147" t="inlineStr">
        <is>
          <t>LN201010</t>
        </is>
      </c>
      <c r="C7147" t="n">
        <v>3</v>
      </c>
      <c r="D7147" s="8" t="n">
        <v>46204</v>
      </c>
      <c r="E7147" s="9" t="n">
        <v>3533.33</v>
      </c>
      <c r="F7147" s="8" t="n">
        <v>46205</v>
      </c>
      <c r="G7147" s="9" t="n">
        <v>3533.33</v>
      </c>
      <c r="H7147" t="inlineStr">
        <is>
          <t>PAID_ON_TIME</t>
        </is>
      </c>
      <c r="I7147">
        <f>IF(H7147="UNPAID", AsOfDate-D7147, 0)</f>
        <v/>
      </c>
      <c r="J7147">
        <f>IF(F7147&lt;&gt;"", TEXT(F7147, "yyyy-mm"), "")</f>
        <v/>
      </c>
    </row>
    <row r="7148">
      <c r="A7148" t="inlineStr">
        <is>
          <t>RP0007147</t>
        </is>
      </c>
      <c r="B7148" t="inlineStr">
        <is>
          <t>LN201010</t>
        </is>
      </c>
      <c r="C7148" t="n">
        <v>4</v>
      </c>
      <c r="D7148" s="8" t="n">
        <v>46235</v>
      </c>
      <c r="E7148" s="9" t="n">
        <v>3533.33</v>
      </c>
      <c r="F7148" s="8" t="n">
        <v>46232</v>
      </c>
      <c r="G7148" s="9" t="n">
        <v>3533.33</v>
      </c>
      <c r="H7148" t="inlineStr">
        <is>
          <t>PAID_ON_TIME</t>
        </is>
      </c>
      <c r="I7148">
        <f>IF(H7148="UNPAID", AsOfDate-D7148, 0)</f>
        <v/>
      </c>
      <c r="J7148">
        <f>IF(F7148&lt;&gt;"", TEXT(F7148, "yyyy-mm"), "")</f>
        <v/>
      </c>
    </row>
    <row r="7149">
      <c r="A7149" t="inlineStr">
        <is>
          <t>RP0007148</t>
        </is>
      </c>
      <c r="B7149" t="inlineStr">
        <is>
          <t>LN201010</t>
        </is>
      </c>
      <c r="C7149" t="n">
        <v>5</v>
      </c>
      <c r="D7149" s="8" t="n">
        <v>46266</v>
      </c>
      <c r="E7149" s="9" t="n">
        <v>3533.33</v>
      </c>
      <c r="F7149" s="8" t="n"/>
      <c r="G7149" s="9" t="n">
        <v>0</v>
      </c>
      <c r="H7149" t="inlineStr">
        <is>
          <t>UNPAID</t>
        </is>
      </c>
      <c r="I7149">
        <f>IF(H7149="UNPAID", AsOfDate-D7149, 0)</f>
        <v/>
      </c>
      <c r="J7149">
        <f>IF(F7149&lt;&gt;"", TEXT(F7149, "yyyy-mm"), "")</f>
        <v/>
      </c>
    </row>
    <row r="7150">
      <c r="A7150" t="inlineStr">
        <is>
          <t>RP0007149</t>
        </is>
      </c>
      <c r="B7150" t="inlineStr">
        <is>
          <t>LN201010</t>
        </is>
      </c>
      <c r="C7150" t="n">
        <v>6</v>
      </c>
      <c r="D7150" s="8" t="n">
        <v>46296</v>
      </c>
      <c r="E7150" s="9" t="n">
        <v>3533.33</v>
      </c>
      <c r="F7150" s="8" t="n"/>
      <c r="G7150" s="9" t="n">
        <v>0</v>
      </c>
      <c r="H7150" t="inlineStr">
        <is>
          <t>NOT_DUE</t>
        </is>
      </c>
      <c r="I7150">
        <f>IF(H7150="UNPAID", AsOfDate-D7150, 0)</f>
        <v/>
      </c>
      <c r="J7150">
        <f>IF(F7150&lt;&gt;"", TEXT(F7150, "yyyy-mm"), "")</f>
        <v/>
      </c>
    </row>
    <row r="7151">
      <c r="A7151" t="inlineStr">
        <is>
          <t>RP0007150</t>
        </is>
      </c>
      <c r="B7151" t="inlineStr">
        <is>
          <t>LN201011</t>
        </is>
      </c>
      <c r="C7151" t="n">
        <v>1</v>
      </c>
      <c r="D7151" s="8" t="n">
        <v>45812</v>
      </c>
      <c r="E7151" s="9" t="n">
        <v>3673.33</v>
      </c>
      <c r="F7151" s="8" t="n">
        <v>45812</v>
      </c>
      <c r="G7151" s="9" t="n">
        <v>3673.33</v>
      </c>
      <c r="H7151" t="inlineStr">
        <is>
          <t>PAID_ON_TIME</t>
        </is>
      </c>
      <c r="I7151">
        <f>IF(H7151="UNPAID", AsOfDate-D7151, 0)</f>
        <v/>
      </c>
      <c r="J7151">
        <f>IF(F7151&lt;&gt;"", TEXT(F7151, "yyyy-mm"), "")</f>
        <v/>
      </c>
    </row>
    <row r="7152">
      <c r="A7152" t="inlineStr">
        <is>
          <t>RP0007151</t>
        </is>
      </c>
      <c r="B7152" t="inlineStr">
        <is>
          <t>LN201011</t>
        </is>
      </c>
      <c r="C7152" t="n">
        <v>2</v>
      </c>
      <c r="D7152" s="8" t="n">
        <v>45842</v>
      </c>
      <c r="E7152" s="9" t="n">
        <v>3673.33</v>
      </c>
      <c r="F7152" s="8" t="n">
        <v>45842</v>
      </c>
      <c r="G7152" s="9" t="n">
        <v>3673.33</v>
      </c>
      <c r="H7152" t="inlineStr">
        <is>
          <t>PAID_ON_TIME</t>
        </is>
      </c>
      <c r="I7152">
        <f>IF(H7152="UNPAID", AsOfDate-D7152, 0)</f>
        <v/>
      </c>
      <c r="J7152">
        <f>IF(F7152&lt;&gt;"", TEXT(F7152, "yyyy-mm"), "")</f>
        <v/>
      </c>
    </row>
    <row r="7153">
      <c r="A7153" t="inlineStr">
        <is>
          <t>RP0007152</t>
        </is>
      </c>
      <c r="B7153" t="inlineStr">
        <is>
          <t>LN201011</t>
        </is>
      </c>
      <c r="C7153" t="n">
        <v>3</v>
      </c>
      <c r="D7153" s="8" t="n">
        <v>45873</v>
      </c>
      <c r="E7153" s="9" t="n">
        <v>3673.33</v>
      </c>
      <c r="F7153" s="8" t="n">
        <v>45876</v>
      </c>
      <c r="G7153" s="9" t="n">
        <v>3673.33</v>
      </c>
      <c r="H7153" t="inlineStr">
        <is>
          <t>PAID_ON_TIME</t>
        </is>
      </c>
      <c r="I7153">
        <f>IF(H7153="UNPAID", AsOfDate-D7153, 0)</f>
        <v/>
      </c>
      <c r="J7153">
        <f>IF(F7153&lt;&gt;"", TEXT(F7153, "yyyy-mm"), "")</f>
        <v/>
      </c>
    </row>
    <row r="7154">
      <c r="A7154" t="inlineStr">
        <is>
          <t>RP0007153</t>
        </is>
      </c>
      <c r="B7154" t="inlineStr">
        <is>
          <t>LN201011</t>
        </is>
      </c>
      <c r="C7154" t="n">
        <v>4</v>
      </c>
      <c r="D7154" s="8" t="n">
        <v>45904</v>
      </c>
      <c r="E7154" s="9" t="n">
        <v>3673.33</v>
      </c>
      <c r="F7154" s="8" t="n">
        <v>45977</v>
      </c>
      <c r="G7154" s="9" t="n">
        <v>3673.33</v>
      </c>
      <c r="H7154" t="inlineStr">
        <is>
          <t>PAID_LATE</t>
        </is>
      </c>
      <c r="I7154">
        <f>IF(H7154="UNPAID", AsOfDate-D7154, 0)</f>
        <v/>
      </c>
      <c r="J7154">
        <f>IF(F7154&lt;&gt;"", TEXT(F7154, "yyyy-mm"), "")</f>
        <v/>
      </c>
    </row>
    <row r="7155">
      <c r="A7155" t="inlineStr">
        <is>
          <t>RP0007154</t>
        </is>
      </c>
      <c r="B7155" t="inlineStr">
        <is>
          <t>LN201011</t>
        </is>
      </c>
      <c r="C7155" t="n">
        <v>5</v>
      </c>
      <c r="D7155" s="8" t="n">
        <v>45934</v>
      </c>
      <c r="E7155" s="9" t="n">
        <v>3673.33</v>
      </c>
      <c r="F7155" s="8" t="n">
        <v>45934</v>
      </c>
      <c r="G7155" s="9" t="n">
        <v>3673.33</v>
      </c>
      <c r="H7155" t="inlineStr">
        <is>
          <t>PAID_ON_TIME</t>
        </is>
      </c>
      <c r="I7155">
        <f>IF(H7155="UNPAID", AsOfDate-D7155, 0)</f>
        <v/>
      </c>
      <c r="J7155">
        <f>IF(F7155&lt;&gt;"", TEXT(F7155, "yyyy-mm"), "")</f>
        <v/>
      </c>
    </row>
    <row r="7156">
      <c r="A7156" t="inlineStr">
        <is>
          <t>RP0007155</t>
        </is>
      </c>
      <c r="B7156" t="inlineStr">
        <is>
          <t>LN201011</t>
        </is>
      </c>
      <c r="C7156" t="n">
        <v>6</v>
      </c>
      <c r="D7156" s="8" t="n">
        <v>45965</v>
      </c>
      <c r="E7156" s="9" t="n">
        <v>3673.33</v>
      </c>
      <c r="F7156" s="8" t="n">
        <v>45965</v>
      </c>
      <c r="G7156" s="9" t="n">
        <v>3673.33</v>
      </c>
      <c r="H7156" t="inlineStr">
        <is>
          <t>PAID_ON_TIME</t>
        </is>
      </c>
      <c r="I7156">
        <f>IF(H7156="UNPAID", AsOfDate-D7156, 0)</f>
        <v/>
      </c>
      <c r="J7156">
        <f>IF(F7156&lt;&gt;"", TEXT(F7156, "yyyy-mm"), "")</f>
        <v/>
      </c>
    </row>
    <row r="7157">
      <c r="A7157" t="inlineStr">
        <is>
          <t>RP0007156</t>
        </is>
      </c>
      <c r="B7157" t="inlineStr">
        <is>
          <t>LN201011</t>
        </is>
      </c>
      <c r="C7157" t="n">
        <v>7</v>
      </c>
      <c r="D7157" s="8" t="n">
        <v>45995</v>
      </c>
      <c r="E7157" s="9" t="n">
        <v>3673.33</v>
      </c>
      <c r="F7157" s="8" t="n">
        <v>45996</v>
      </c>
      <c r="G7157" s="9" t="n">
        <v>3673.33</v>
      </c>
      <c r="H7157" t="inlineStr">
        <is>
          <t>PAID_ON_TIME</t>
        </is>
      </c>
      <c r="I7157">
        <f>IF(H7157="UNPAID", AsOfDate-D7157, 0)</f>
        <v/>
      </c>
      <c r="J7157">
        <f>IF(F7157&lt;&gt;"", TEXT(F7157, "yyyy-mm"), "")</f>
        <v/>
      </c>
    </row>
    <row r="7158">
      <c r="A7158" t="inlineStr">
        <is>
          <t>RP0007157</t>
        </is>
      </c>
      <c r="B7158" t="inlineStr">
        <is>
          <t>LN201011</t>
        </is>
      </c>
      <c r="C7158" t="n">
        <v>8</v>
      </c>
      <c r="D7158" s="8" t="n">
        <v>46026</v>
      </c>
      <c r="E7158" s="9" t="n">
        <v>3673.33</v>
      </c>
      <c r="F7158" s="8" t="n">
        <v>46028</v>
      </c>
      <c r="G7158" s="9" t="n">
        <v>3673.33</v>
      </c>
      <c r="H7158" t="inlineStr">
        <is>
          <t>PAID_ON_TIME</t>
        </is>
      </c>
      <c r="I7158">
        <f>IF(H7158="UNPAID", AsOfDate-D7158, 0)</f>
        <v/>
      </c>
      <c r="J7158">
        <f>IF(F7158&lt;&gt;"", TEXT(F7158, "yyyy-mm"), "")</f>
        <v/>
      </c>
    </row>
    <row r="7159">
      <c r="A7159" t="inlineStr">
        <is>
          <t>RP0007158</t>
        </is>
      </c>
      <c r="B7159" t="inlineStr">
        <is>
          <t>LN201011</t>
        </is>
      </c>
      <c r="C7159" t="n">
        <v>9</v>
      </c>
      <c r="D7159" s="8" t="n">
        <v>46057</v>
      </c>
      <c r="E7159" s="9" t="n">
        <v>3673.33</v>
      </c>
      <c r="F7159" s="8" t="n">
        <v>46060</v>
      </c>
      <c r="G7159" s="9" t="n">
        <v>3673.33</v>
      </c>
      <c r="H7159" t="inlineStr">
        <is>
          <t>PAID_ON_TIME</t>
        </is>
      </c>
      <c r="I7159">
        <f>IF(H7159="UNPAID", AsOfDate-D7159, 0)</f>
        <v/>
      </c>
      <c r="J7159">
        <f>IF(F7159&lt;&gt;"", TEXT(F7159, "yyyy-mm"), "")</f>
        <v/>
      </c>
    </row>
    <row r="7160">
      <c r="A7160" t="inlineStr">
        <is>
          <t>RP0007159</t>
        </is>
      </c>
      <c r="B7160" t="inlineStr">
        <is>
          <t>LN201011</t>
        </is>
      </c>
      <c r="C7160" t="n">
        <v>10</v>
      </c>
      <c r="D7160" s="8" t="n">
        <v>46085</v>
      </c>
      <c r="E7160" s="9" t="n">
        <v>3673.33</v>
      </c>
      <c r="F7160" s="8" t="n">
        <v>46082</v>
      </c>
      <c r="G7160" s="9" t="n">
        <v>3673.33</v>
      </c>
      <c r="H7160" t="inlineStr">
        <is>
          <t>PAID_ON_TIME</t>
        </is>
      </c>
      <c r="I7160">
        <f>IF(H7160="UNPAID", AsOfDate-D7160, 0)</f>
        <v/>
      </c>
      <c r="J7160">
        <f>IF(F7160&lt;&gt;"", TEXT(F7160, "yyyy-mm"), "")</f>
        <v/>
      </c>
    </row>
    <row r="7161">
      <c r="A7161" t="inlineStr">
        <is>
          <t>RP0007160</t>
        </is>
      </c>
      <c r="B7161" t="inlineStr">
        <is>
          <t>LN201011</t>
        </is>
      </c>
      <c r="C7161" t="n">
        <v>11</v>
      </c>
      <c r="D7161" s="8" t="n">
        <v>46116</v>
      </c>
      <c r="E7161" s="9" t="n">
        <v>3673.33</v>
      </c>
      <c r="F7161" s="8" t="n">
        <v>46191</v>
      </c>
      <c r="G7161" s="9" t="n">
        <v>3673.33</v>
      </c>
      <c r="H7161" t="inlineStr">
        <is>
          <t>PAID_LATE</t>
        </is>
      </c>
      <c r="I7161">
        <f>IF(H7161="UNPAID", AsOfDate-D7161, 0)</f>
        <v/>
      </c>
      <c r="J7161">
        <f>IF(F7161&lt;&gt;"", TEXT(F7161, "yyyy-mm"), "")</f>
        <v/>
      </c>
    </row>
    <row r="7162">
      <c r="A7162" t="inlineStr">
        <is>
          <t>RP0007161</t>
        </is>
      </c>
      <c r="B7162" t="inlineStr">
        <is>
          <t>LN201011</t>
        </is>
      </c>
      <c r="C7162" t="n">
        <v>12</v>
      </c>
      <c r="D7162" s="8" t="n">
        <v>46146</v>
      </c>
      <c r="E7162" s="9" t="n">
        <v>3673.33</v>
      </c>
      <c r="F7162" s="8" t="n">
        <v>46143</v>
      </c>
      <c r="G7162" s="9" t="n">
        <v>3673.33</v>
      </c>
      <c r="H7162" t="inlineStr">
        <is>
          <t>PAID_ON_TIME</t>
        </is>
      </c>
      <c r="I7162">
        <f>IF(H7162="UNPAID", AsOfDate-D7162, 0)</f>
        <v/>
      </c>
      <c r="J7162">
        <f>IF(F7162&lt;&gt;"", TEXT(F7162, "yyyy-mm"), "")</f>
        <v/>
      </c>
    </row>
    <row r="7163">
      <c r="A7163" t="inlineStr">
        <is>
          <t>RP0007162</t>
        </is>
      </c>
      <c r="B7163" t="inlineStr">
        <is>
          <t>LN201012</t>
        </is>
      </c>
      <c r="C7163" t="n">
        <v>1</v>
      </c>
      <c r="D7163" s="8" t="n">
        <v>46031</v>
      </c>
      <c r="E7163" s="9" t="n">
        <v>9537.67</v>
      </c>
      <c r="F7163" s="8" t="n">
        <v>46139</v>
      </c>
      <c r="G7163" s="9" t="n">
        <v>9537.67</v>
      </c>
      <c r="H7163" t="inlineStr">
        <is>
          <t>PAID_LATE</t>
        </is>
      </c>
      <c r="I7163">
        <f>IF(H7163="UNPAID", AsOfDate-D7163, 0)</f>
        <v/>
      </c>
      <c r="J7163">
        <f>IF(F7163&lt;&gt;"", TEXT(F7163, "yyyy-mm"), "")</f>
        <v/>
      </c>
    </row>
    <row r="7164">
      <c r="A7164" t="inlineStr">
        <is>
          <t>RP0007163</t>
        </is>
      </c>
      <c r="B7164" t="inlineStr">
        <is>
          <t>LN201012</t>
        </is>
      </c>
      <c r="C7164" t="n">
        <v>2</v>
      </c>
      <c r="D7164" s="8" t="n">
        <v>46062</v>
      </c>
      <c r="E7164" s="9" t="n">
        <v>9537.67</v>
      </c>
      <c r="F7164" s="8" t="n">
        <v>46076</v>
      </c>
      <c r="G7164" s="9" t="n">
        <v>9537.67</v>
      </c>
      <c r="H7164" t="inlineStr">
        <is>
          <t>PAID_LATE</t>
        </is>
      </c>
      <c r="I7164">
        <f>IF(H7164="UNPAID", AsOfDate-D7164, 0)</f>
        <v/>
      </c>
      <c r="J7164">
        <f>IF(F7164&lt;&gt;"", TEXT(F7164, "yyyy-mm"), "")</f>
        <v/>
      </c>
    </row>
    <row r="7165">
      <c r="A7165" t="inlineStr">
        <is>
          <t>RP0007164</t>
        </is>
      </c>
      <c r="B7165" t="inlineStr">
        <is>
          <t>LN201012</t>
        </is>
      </c>
      <c r="C7165" t="n">
        <v>3</v>
      </c>
      <c r="D7165" s="8" t="n">
        <v>46090</v>
      </c>
      <c r="E7165" s="9" t="n">
        <v>9537.67</v>
      </c>
      <c r="F7165" s="8" t="n">
        <v>46094</v>
      </c>
      <c r="G7165" s="9" t="n">
        <v>9537.67</v>
      </c>
      <c r="H7165" t="inlineStr">
        <is>
          <t>PAID_ON_TIME</t>
        </is>
      </c>
      <c r="I7165">
        <f>IF(H7165="UNPAID", AsOfDate-D7165, 0)</f>
        <v/>
      </c>
      <c r="J7165">
        <f>IF(F7165&lt;&gt;"", TEXT(F7165, "yyyy-mm"), "")</f>
        <v/>
      </c>
    </row>
    <row r="7166">
      <c r="A7166" t="inlineStr">
        <is>
          <t>RP0007165</t>
        </is>
      </c>
      <c r="B7166" t="inlineStr">
        <is>
          <t>LN201012</t>
        </is>
      </c>
      <c r="C7166" t="n">
        <v>4</v>
      </c>
      <c r="D7166" s="8" t="n">
        <v>46121</v>
      </c>
      <c r="E7166" s="9" t="n">
        <v>9537.67</v>
      </c>
      <c r="F7166" s="8" t="n"/>
      <c r="G7166" s="9" t="n">
        <v>0</v>
      </c>
      <c r="H7166" t="inlineStr">
        <is>
          <t>UNPAID</t>
        </is>
      </c>
      <c r="I7166">
        <f>IF(H7166="UNPAID", AsOfDate-D7166, 0)</f>
        <v/>
      </c>
      <c r="J7166">
        <f>IF(F7166&lt;&gt;"", TEXT(F7166, "yyyy-mm"), "")</f>
        <v/>
      </c>
    </row>
    <row r="7167">
      <c r="A7167" t="inlineStr">
        <is>
          <t>RP0007166</t>
        </is>
      </c>
      <c r="B7167" t="inlineStr">
        <is>
          <t>LN201012</t>
        </is>
      </c>
      <c r="C7167" t="n">
        <v>5</v>
      </c>
      <c r="D7167" s="8" t="n">
        <v>46151</v>
      </c>
      <c r="E7167" s="9" t="n">
        <v>9537.67</v>
      </c>
      <c r="F7167" s="8" t="n">
        <v>46149</v>
      </c>
      <c r="G7167" s="9" t="n">
        <v>9537.67</v>
      </c>
      <c r="H7167" t="inlineStr">
        <is>
          <t>PAID_ON_TIME</t>
        </is>
      </c>
      <c r="I7167">
        <f>IF(H7167="UNPAID", AsOfDate-D7167, 0)</f>
        <v/>
      </c>
      <c r="J7167">
        <f>IF(F7167&lt;&gt;"", TEXT(F7167, "yyyy-mm"), "")</f>
        <v/>
      </c>
    </row>
    <row r="7168">
      <c r="A7168" t="inlineStr">
        <is>
          <t>RP0007167</t>
        </is>
      </c>
      <c r="B7168" t="inlineStr">
        <is>
          <t>LN201012</t>
        </is>
      </c>
      <c r="C7168" t="n">
        <v>6</v>
      </c>
      <c r="D7168" s="8" t="n">
        <v>46182</v>
      </c>
      <c r="E7168" s="9" t="n">
        <v>9537.67</v>
      </c>
      <c r="F7168" s="8" t="n">
        <v>46183</v>
      </c>
      <c r="G7168" s="9" t="n">
        <v>9537.67</v>
      </c>
      <c r="H7168" t="inlineStr">
        <is>
          <t>PAID_ON_TIME</t>
        </is>
      </c>
      <c r="I7168">
        <f>IF(H7168="UNPAID", AsOfDate-D7168, 0)</f>
        <v/>
      </c>
      <c r="J7168">
        <f>IF(F7168&lt;&gt;"", TEXT(F7168, "yyyy-mm"), "")</f>
        <v/>
      </c>
    </row>
    <row r="7169">
      <c r="A7169" t="inlineStr">
        <is>
          <t>RP0007168</t>
        </is>
      </c>
      <c r="B7169" t="inlineStr">
        <is>
          <t>LN201013</t>
        </is>
      </c>
      <c r="C7169" t="n">
        <v>1</v>
      </c>
      <c r="D7169" s="8" t="n">
        <v>45940</v>
      </c>
      <c r="E7169" s="9" t="n">
        <v>66396.83</v>
      </c>
      <c r="F7169" s="8" t="n">
        <v>45939</v>
      </c>
      <c r="G7169" s="9" t="n">
        <v>66396.83</v>
      </c>
      <c r="H7169" t="inlineStr">
        <is>
          <t>PAID_ON_TIME</t>
        </is>
      </c>
      <c r="I7169">
        <f>IF(H7169="UNPAID", AsOfDate-D7169, 0)</f>
        <v/>
      </c>
      <c r="J7169">
        <f>IF(F7169&lt;&gt;"", TEXT(F7169, "yyyy-mm"), "")</f>
        <v/>
      </c>
    </row>
    <row r="7170">
      <c r="A7170" t="inlineStr">
        <is>
          <t>RP0007169</t>
        </is>
      </c>
      <c r="B7170" t="inlineStr">
        <is>
          <t>LN201013</t>
        </is>
      </c>
      <c r="C7170" t="n">
        <v>2</v>
      </c>
      <c r="D7170" s="8" t="n">
        <v>45971</v>
      </c>
      <c r="E7170" s="9" t="n">
        <v>66396.83</v>
      </c>
      <c r="F7170" s="8" t="n">
        <v>45968</v>
      </c>
      <c r="G7170" s="9" t="n">
        <v>66396.83</v>
      </c>
      <c r="H7170" t="inlineStr">
        <is>
          <t>PAID_ON_TIME</t>
        </is>
      </c>
      <c r="I7170">
        <f>IF(H7170="UNPAID", AsOfDate-D7170, 0)</f>
        <v/>
      </c>
      <c r="J7170">
        <f>IF(F7170&lt;&gt;"", TEXT(F7170, "yyyy-mm"), "")</f>
        <v/>
      </c>
    </row>
    <row r="7171">
      <c r="A7171" t="inlineStr">
        <is>
          <t>RP0007170</t>
        </is>
      </c>
      <c r="B7171" t="inlineStr">
        <is>
          <t>LN201013</t>
        </is>
      </c>
      <c r="C7171" t="n">
        <v>3</v>
      </c>
      <c r="D7171" s="8" t="n">
        <v>46001</v>
      </c>
      <c r="E7171" s="9" t="n">
        <v>66396.83</v>
      </c>
      <c r="F7171" s="8" t="n">
        <v>46002</v>
      </c>
      <c r="G7171" s="9" t="n">
        <v>66396.83</v>
      </c>
      <c r="H7171" t="inlineStr">
        <is>
          <t>PAID_ON_TIME</t>
        </is>
      </c>
      <c r="I7171">
        <f>IF(H7171="UNPAID", AsOfDate-D7171, 0)</f>
        <v/>
      </c>
      <c r="J7171">
        <f>IF(F7171&lt;&gt;"", TEXT(F7171, "yyyy-mm"), "")</f>
        <v/>
      </c>
    </row>
    <row r="7172">
      <c r="A7172" t="inlineStr">
        <is>
          <t>RP0007171</t>
        </is>
      </c>
      <c r="B7172" t="inlineStr">
        <is>
          <t>LN201013</t>
        </is>
      </c>
      <c r="C7172" t="n">
        <v>4</v>
      </c>
      <c r="D7172" s="8" t="n">
        <v>46032</v>
      </c>
      <c r="E7172" s="9" t="n">
        <v>66396.83</v>
      </c>
      <c r="F7172" s="8" t="n">
        <v>46033</v>
      </c>
      <c r="G7172" s="9" t="n">
        <v>66396.83</v>
      </c>
      <c r="H7172" t="inlineStr">
        <is>
          <t>PAID_ON_TIME</t>
        </is>
      </c>
      <c r="I7172">
        <f>IF(H7172="UNPAID", AsOfDate-D7172, 0)</f>
        <v/>
      </c>
      <c r="J7172">
        <f>IF(F7172&lt;&gt;"", TEXT(F7172, "yyyy-mm"), "")</f>
        <v/>
      </c>
    </row>
    <row r="7173">
      <c r="A7173" t="inlineStr">
        <is>
          <t>RP0007172</t>
        </is>
      </c>
      <c r="B7173" t="inlineStr">
        <is>
          <t>LN201013</t>
        </is>
      </c>
      <c r="C7173" t="n">
        <v>5</v>
      </c>
      <c r="D7173" s="8" t="n">
        <v>46063</v>
      </c>
      <c r="E7173" s="9" t="n">
        <v>66396.83</v>
      </c>
      <c r="F7173" s="8" t="n">
        <v>46067</v>
      </c>
      <c r="G7173" s="9" t="n">
        <v>66396.83</v>
      </c>
      <c r="H7173" t="inlineStr">
        <is>
          <t>PAID_ON_TIME</t>
        </is>
      </c>
      <c r="I7173">
        <f>IF(H7173="UNPAID", AsOfDate-D7173, 0)</f>
        <v/>
      </c>
      <c r="J7173">
        <f>IF(F7173&lt;&gt;"", TEXT(F7173, "yyyy-mm"), "")</f>
        <v/>
      </c>
    </row>
    <row r="7174">
      <c r="A7174" t="inlineStr">
        <is>
          <t>RP0007173</t>
        </is>
      </c>
      <c r="B7174" t="inlineStr">
        <is>
          <t>LN201013</t>
        </is>
      </c>
      <c r="C7174" t="n">
        <v>6</v>
      </c>
      <c r="D7174" s="8" t="n">
        <v>46091</v>
      </c>
      <c r="E7174" s="9" t="n">
        <v>66396.83</v>
      </c>
      <c r="F7174" s="8" t="n">
        <v>46093</v>
      </c>
      <c r="G7174" s="9" t="n">
        <v>66396.83</v>
      </c>
      <c r="H7174" t="inlineStr">
        <is>
          <t>PAID_ON_TIME</t>
        </is>
      </c>
      <c r="I7174">
        <f>IF(H7174="UNPAID", AsOfDate-D7174, 0)</f>
        <v/>
      </c>
      <c r="J7174">
        <f>IF(F7174&lt;&gt;"", TEXT(F7174, "yyyy-mm"), "")</f>
        <v/>
      </c>
    </row>
    <row r="7175">
      <c r="A7175" t="inlineStr">
        <is>
          <t>RP0007174</t>
        </is>
      </c>
      <c r="B7175" t="inlineStr">
        <is>
          <t>LN201014</t>
        </is>
      </c>
      <c r="C7175" t="n">
        <v>1</v>
      </c>
      <c r="D7175" s="8" t="n">
        <v>46136</v>
      </c>
      <c r="E7175" s="9" t="n">
        <v>7350</v>
      </c>
      <c r="F7175" s="8" t="n">
        <v>46136</v>
      </c>
      <c r="G7175" s="9" t="n">
        <v>7350</v>
      </c>
      <c r="H7175" t="inlineStr">
        <is>
          <t>PAID_ON_TIME</t>
        </is>
      </c>
      <c r="I7175">
        <f>IF(H7175="UNPAID", AsOfDate-D7175, 0)</f>
        <v/>
      </c>
      <c r="J7175">
        <f>IF(F7175&lt;&gt;"", TEXT(F7175, "yyyy-mm"), "")</f>
        <v/>
      </c>
    </row>
    <row r="7176">
      <c r="A7176" t="inlineStr">
        <is>
          <t>RP0007175</t>
        </is>
      </c>
      <c r="B7176" t="inlineStr">
        <is>
          <t>LN201014</t>
        </is>
      </c>
      <c r="C7176" t="n">
        <v>2</v>
      </c>
      <c r="D7176" s="8" t="n">
        <v>46166</v>
      </c>
      <c r="E7176" s="9" t="n">
        <v>7350</v>
      </c>
      <c r="F7176" s="8" t="n">
        <v>46176</v>
      </c>
      <c r="G7176" s="9" t="n">
        <v>7350</v>
      </c>
      <c r="H7176" t="inlineStr">
        <is>
          <t>PAID_LATE</t>
        </is>
      </c>
      <c r="I7176">
        <f>IF(H7176="UNPAID", AsOfDate-D7176, 0)</f>
        <v/>
      </c>
      <c r="J7176">
        <f>IF(F7176&lt;&gt;"", TEXT(F7176, "yyyy-mm"), "")</f>
        <v/>
      </c>
    </row>
    <row r="7177">
      <c r="A7177" t="inlineStr">
        <is>
          <t>RP0007176</t>
        </is>
      </c>
      <c r="B7177" t="inlineStr">
        <is>
          <t>LN201014</t>
        </is>
      </c>
      <c r="C7177" t="n">
        <v>3</v>
      </c>
      <c r="D7177" s="8" t="n">
        <v>46197</v>
      </c>
      <c r="E7177" s="9" t="n">
        <v>7350</v>
      </c>
      <c r="F7177" s="8" t="n">
        <v>46199</v>
      </c>
      <c r="G7177" s="9" t="n">
        <v>7350</v>
      </c>
      <c r="H7177" t="inlineStr">
        <is>
          <t>PAID_ON_TIME</t>
        </is>
      </c>
      <c r="I7177">
        <f>IF(H7177="UNPAID", AsOfDate-D7177, 0)</f>
        <v/>
      </c>
      <c r="J7177">
        <f>IF(F7177&lt;&gt;"", TEXT(F7177, "yyyy-mm"), "")</f>
        <v/>
      </c>
    </row>
    <row r="7178">
      <c r="A7178" t="inlineStr">
        <is>
          <t>RP0007177</t>
        </is>
      </c>
      <c r="B7178" t="inlineStr">
        <is>
          <t>LN201014</t>
        </is>
      </c>
      <c r="C7178" t="n">
        <v>4</v>
      </c>
      <c r="D7178" s="8" t="n">
        <v>46227</v>
      </c>
      <c r="E7178" s="9" t="n">
        <v>7350</v>
      </c>
      <c r="F7178" s="8" t="n">
        <v>46227</v>
      </c>
      <c r="G7178" s="9" t="n">
        <v>7350</v>
      </c>
      <c r="H7178" t="inlineStr">
        <is>
          <t>PAID_ON_TIME</t>
        </is>
      </c>
      <c r="I7178">
        <f>IF(H7178="UNPAID", AsOfDate-D7178, 0)</f>
        <v/>
      </c>
      <c r="J7178">
        <f>IF(F7178&lt;&gt;"", TEXT(F7178, "yyyy-mm"), "")</f>
        <v/>
      </c>
    </row>
    <row r="7179">
      <c r="A7179" t="inlineStr">
        <is>
          <t>RP0007178</t>
        </is>
      </c>
      <c r="B7179" t="inlineStr">
        <is>
          <t>LN201014</t>
        </is>
      </c>
      <c r="C7179" t="n">
        <v>5</v>
      </c>
      <c r="D7179" s="8" t="n">
        <v>46258</v>
      </c>
      <c r="E7179" s="9" t="n">
        <v>7350</v>
      </c>
      <c r="F7179" s="8" t="n">
        <v>46257</v>
      </c>
      <c r="G7179" s="9" t="n">
        <v>7350</v>
      </c>
      <c r="H7179" t="inlineStr">
        <is>
          <t>PAID_ON_TIME</t>
        </is>
      </c>
      <c r="I7179">
        <f>IF(H7179="UNPAID", AsOfDate-D7179, 0)</f>
        <v/>
      </c>
      <c r="J7179">
        <f>IF(F7179&lt;&gt;"", TEXT(F7179, "yyyy-mm"), "")</f>
        <v/>
      </c>
    </row>
    <row r="7180">
      <c r="A7180" t="inlineStr">
        <is>
          <t>RP0007179</t>
        </is>
      </c>
      <c r="B7180" t="inlineStr">
        <is>
          <t>LN201014</t>
        </is>
      </c>
      <c r="C7180" t="n">
        <v>6</v>
      </c>
      <c r="D7180" s="8" t="n">
        <v>46289</v>
      </c>
      <c r="E7180" s="9" t="n">
        <v>7350</v>
      </c>
      <c r="F7180" s="8" t="n"/>
      <c r="G7180" s="9" t="n">
        <v>0</v>
      </c>
      <c r="H7180" t="inlineStr">
        <is>
          <t>NOT_DUE</t>
        </is>
      </c>
      <c r="I7180">
        <f>IF(H7180="UNPAID", AsOfDate-D7180, 0)</f>
        <v/>
      </c>
      <c r="J7180">
        <f>IF(F7180&lt;&gt;"", TEXT(F7180, "yyyy-mm"), "")</f>
        <v/>
      </c>
    </row>
    <row r="7181">
      <c r="A7181" t="inlineStr">
        <is>
          <t>RP0007180</t>
        </is>
      </c>
      <c r="B7181" t="inlineStr">
        <is>
          <t>LN201015</t>
        </is>
      </c>
      <c r="C7181" t="n">
        <v>1</v>
      </c>
      <c r="D7181" s="8" t="n">
        <v>45907</v>
      </c>
      <c r="E7181" s="9" t="n">
        <v>7485.92</v>
      </c>
      <c r="F7181" s="8" t="n">
        <v>45908</v>
      </c>
      <c r="G7181" s="9" t="n">
        <v>7485.92</v>
      </c>
      <c r="H7181" t="inlineStr">
        <is>
          <t>PAID_ON_TIME</t>
        </is>
      </c>
      <c r="I7181">
        <f>IF(H7181="UNPAID", AsOfDate-D7181, 0)</f>
        <v/>
      </c>
      <c r="J7181">
        <f>IF(F7181&lt;&gt;"", TEXT(F7181, "yyyy-mm"), "")</f>
        <v/>
      </c>
    </row>
    <row r="7182">
      <c r="A7182" t="inlineStr">
        <is>
          <t>RP0007181</t>
        </is>
      </c>
      <c r="B7182" t="inlineStr">
        <is>
          <t>LN201015</t>
        </is>
      </c>
      <c r="C7182" t="n">
        <v>2</v>
      </c>
      <c r="D7182" s="8" t="n">
        <v>45937</v>
      </c>
      <c r="E7182" s="9" t="n">
        <v>7485.92</v>
      </c>
      <c r="F7182" s="8" t="n"/>
      <c r="G7182" s="9" t="n">
        <v>0</v>
      </c>
      <c r="H7182" t="inlineStr">
        <is>
          <t>UNPAID</t>
        </is>
      </c>
      <c r="I7182">
        <f>IF(H7182="UNPAID", AsOfDate-D7182, 0)</f>
        <v/>
      </c>
      <c r="J7182">
        <f>IF(F7182&lt;&gt;"", TEXT(F7182, "yyyy-mm"), "")</f>
        <v/>
      </c>
    </row>
    <row r="7183">
      <c r="A7183" t="inlineStr">
        <is>
          <t>RP0007182</t>
        </is>
      </c>
      <c r="B7183" t="inlineStr">
        <is>
          <t>LN201015</t>
        </is>
      </c>
      <c r="C7183" t="n">
        <v>3</v>
      </c>
      <c r="D7183" s="8" t="n">
        <v>45968</v>
      </c>
      <c r="E7183" s="9" t="n">
        <v>7485.92</v>
      </c>
      <c r="F7183" s="8" t="n">
        <v>45966</v>
      </c>
      <c r="G7183" s="9" t="n">
        <v>7485.92</v>
      </c>
      <c r="H7183" t="inlineStr">
        <is>
          <t>PAID_ON_TIME</t>
        </is>
      </c>
      <c r="I7183">
        <f>IF(H7183="UNPAID", AsOfDate-D7183, 0)</f>
        <v/>
      </c>
      <c r="J7183">
        <f>IF(F7183&lt;&gt;"", TEXT(F7183, "yyyy-mm"), "")</f>
        <v/>
      </c>
    </row>
    <row r="7184">
      <c r="A7184" t="inlineStr">
        <is>
          <t>RP0007183</t>
        </is>
      </c>
      <c r="B7184" t="inlineStr">
        <is>
          <t>LN201015</t>
        </is>
      </c>
      <c r="C7184" t="n">
        <v>4</v>
      </c>
      <c r="D7184" s="8" t="n">
        <v>45998</v>
      </c>
      <c r="E7184" s="9" t="n">
        <v>7485.92</v>
      </c>
      <c r="F7184" s="8" t="n">
        <v>45996</v>
      </c>
      <c r="G7184" s="9" t="n">
        <v>7485.92</v>
      </c>
      <c r="H7184" t="inlineStr">
        <is>
          <t>PAID_ON_TIME</t>
        </is>
      </c>
      <c r="I7184">
        <f>IF(H7184="UNPAID", AsOfDate-D7184, 0)</f>
        <v/>
      </c>
      <c r="J7184">
        <f>IF(F7184&lt;&gt;"", TEXT(F7184, "yyyy-mm"), "")</f>
        <v/>
      </c>
    </row>
    <row r="7185">
      <c r="A7185" t="inlineStr">
        <is>
          <t>RP0007184</t>
        </is>
      </c>
      <c r="B7185" t="inlineStr">
        <is>
          <t>LN201015</t>
        </is>
      </c>
      <c r="C7185" t="n">
        <v>5</v>
      </c>
      <c r="D7185" s="8" t="n">
        <v>46029</v>
      </c>
      <c r="E7185" s="9" t="n">
        <v>7485.92</v>
      </c>
      <c r="F7185" s="8" t="n">
        <v>46030</v>
      </c>
      <c r="G7185" s="9" t="n">
        <v>7485.92</v>
      </c>
      <c r="H7185" t="inlineStr">
        <is>
          <t>PAID_ON_TIME</t>
        </is>
      </c>
      <c r="I7185">
        <f>IF(H7185="UNPAID", AsOfDate-D7185, 0)</f>
        <v/>
      </c>
      <c r="J7185">
        <f>IF(F7185&lt;&gt;"", TEXT(F7185, "yyyy-mm"), "")</f>
        <v/>
      </c>
    </row>
    <row r="7186">
      <c r="A7186" t="inlineStr">
        <is>
          <t>RP0007185</t>
        </is>
      </c>
      <c r="B7186" t="inlineStr">
        <is>
          <t>LN201015</t>
        </is>
      </c>
      <c r="C7186" t="n">
        <v>6</v>
      </c>
      <c r="D7186" s="8" t="n">
        <v>46060</v>
      </c>
      <c r="E7186" s="9" t="n">
        <v>7485.92</v>
      </c>
      <c r="F7186" s="8" t="n">
        <v>46063</v>
      </c>
      <c r="G7186" s="9" t="n">
        <v>7485.92</v>
      </c>
      <c r="H7186" t="inlineStr">
        <is>
          <t>PAID_ON_TIME</t>
        </is>
      </c>
      <c r="I7186">
        <f>IF(H7186="UNPAID", AsOfDate-D7186, 0)</f>
        <v/>
      </c>
      <c r="J7186">
        <f>IF(F7186&lt;&gt;"", TEXT(F7186, "yyyy-mm"), "")</f>
        <v/>
      </c>
    </row>
    <row r="7187">
      <c r="A7187" t="inlineStr">
        <is>
          <t>RP0007186</t>
        </is>
      </c>
      <c r="B7187" t="inlineStr">
        <is>
          <t>LN201016</t>
        </is>
      </c>
      <c r="C7187" t="n">
        <v>1</v>
      </c>
      <c r="D7187" s="8" t="n">
        <v>46168</v>
      </c>
      <c r="E7187" s="9" t="n">
        <v>9226.75</v>
      </c>
      <c r="F7187" s="8" t="n">
        <v>46170</v>
      </c>
      <c r="G7187" s="9" t="n">
        <v>9226.75</v>
      </c>
      <c r="H7187" t="inlineStr">
        <is>
          <t>PAID_ON_TIME</t>
        </is>
      </c>
      <c r="I7187">
        <f>IF(H7187="UNPAID", AsOfDate-D7187, 0)</f>
        <v/>
      </c>
      <c r="J7187">
        <f>IF(F7187&lt;&gt;"", TEXT(F7187, "yyyy-mm"), "")</f>
        <v/>
      </c>
    </row>
    <row r="7188">
      <c r="A7188" t="inlineStr">
        <is>
          <t>RP0007187</t>
        </is>
      </c>
      <c r="B7188" t="inlineStr">
        <is>
          <t>LN201016</t>
        </is>
      </c>
      <c r="C7188" t="n">
        <v>2</v>
      </c>
      <c r="D7188" s="8" t="n">
        <v>46199</v>
      </c>
      <c r="E7188" s="9" t="n">
        <v>9226.75</v>
      </c>
      <c r="F7188" s="8" t="n">
        <v>46202</v>
      </c>
      <c r="G7188" s="9" t="n">
        <v>9226.75</v>
      </c>
      <c r="H7188" t="inlineStr">
        <is>
          <t>PAID_ON_TIME</t>
        </is>
      </c>
      <c r="I7188">
        <f>IF(H7188="UNPAID", AsOfDate-D7188, 0)</f>
        <v/>
      </c>
      <c r="J7188">
        <f>IF(F7188&lt;&gt;"", TEXT(F7188, "yyyy-mm"), "")</f>
        <v/>
      </c>
    </row>
    <row r="7189">
      <c r="A7189" t="inlineStr">
        <is>
          <t>RP0007188</t>
        </is>
      </c>
      <c r="B7189" t="inlineStr">
        <is>
          <t>LN201016</t>
        </is>
      </c>
      <c r="C7189" t="n">
        <v>3</v>
      </c>
      <c r="D7189" s="8" t="n">
        <v>46229</v>
      </c>
      <c r="E7189" s="9" t="n">
        <v>9226.75</v>
      </c>
      <c r="F7189" s="8" t="n">
        <v>46226</v>
      </c>
      <c r="G7189" s="9" t="n">
        <v>9226.75</v>
      </c>
      <c r="H7189" t="inlineStr">
        <is>
          <t>PAID_ON_TIME</t>
        </is>
      </c>
      <c r="I7189">
        <f>IF(H7189="UNPAID", AsOfDate-D7189, 0)</f>
        <v/>
      </c>
      <c r="J7189">
        <f>IF(F7189&lt;&gt;"", TEXT(F7189, "yyyy-mm"), "")</f>
        <v/>
      </c>
    </row>
    <row r="7190">
      <c r="A7190" t="inlineStr">
        <is>
          <t>RP0007189</t>
        </is>
      </c>
      <c r="B7190" t="inlineStr">
        <is>
          <t>LN201016</t>
        </is>
      </c>
      <c r="C7190" t="n">
        <v>4</v>
      </c>
      <c r="D7190" s="8" t="n">
        <v>46260</v>
      </c>
      <c r="E7190" s="9" t="n">
        <v>9226.75</v>
      </c>
      <c r="F7190" s="8" t="n"/>
      <c r="G7190" s="9" t="n">
        <v>0</v>
      </c>
      <c r="H7190" t="inlineStr">
        <is>
          <t>UNPAID</t>
        </is>
      </c>
      <c r="I7190">
        <f>IF(H7190="UNPAID", AsOfDate-D7190, 0)</f>
        <v/>
      </c>
      <c r="J7190">
        <f>IF(F7190&lt;&gt;"", TEXT(F7190, "yyyy-mm"), "")</f>
        <v/>
      </c>
    </row>
    <row r="7191">
      <c r="A7191" t="inlineStr">
        <is>
          <t>RP0007190</t>
        </is>
      </c>
      <c r="B7191" t="inlineStr">
        <is>
          <t>LN201016</t>
        </is>
      </c>
      <c r="C7191" t="n">
        <v>5</v>
      </c>
      <c r="D7191" s="8" t="n">
        <v>46291</v>
      </c>
      <c r="E7191" s="9" t="n">
        <v>9226.75</v>
      </c>
      <c r="F7191" s="8" t="n"/>
      <c r="G7191" s="9" t="n">
        <v>0</v>
      </c>
      <c r="H7191" t="inlineStr">
        <is>
          <t>NOT_DUE</t>
        </is>
      </c>
      <c r="I7191">
        <f>IF(H7191="UNPAID", AsOfDate-D7191, 0)</f>
        <v/>
      </c>
      <c r="J7191">
        <f>IF(F7191&lt;&gt;"", TEXT(F7191, "yyyy-mm"), "")</f>
        <v/>
      </c>
    </row>
    <row r="7192">
      <c r="A7192" t="inlineStr">
        <is>
          <t>RP0007191</t>
        </is>
      </c>
      <c r="B7192" t="inlineStr">
        <is>
          <t>LN201016</t>
        </is>
      </c>
      <c r="C7192" t="n">
        <v>6</v>
      </c>
      <c r="D7192" s="8" t="n">
        <v>46321</v>
      </c>
      <c r="E7192" s="9" t="n">
        <v>9226.75</v>
      </c>
      <c r="F7192" s="8" t="n"/>
      <c r="G7192" s="9" t="n">
        <v>0</v>
      </c>
      <c r="H7192" t="inlineStr">
        <is>
          <t>NOT_DUE</t>
        </is>
      </c>
      <c r="I7192">
        <f>IF(H7192="UNPAID", AsOfDate-D7192, 0)</f>
        <v/>
      </c>
      <c r="J7192">
        <f>IF(F7192&lt;&gt;"", TEXT(F7192, "yyyy-mm"), "")</f>
        <v/>
      </c>
    </row>
    <row r="7193">
      <c r="A7193" t="inlineStr">
        <is>
          <t>RP0007192</t>
        </is>
      </c>
      <c r="B7193" t="inlineStr">
        <is>
          <t>LN201018</t>
        </is>
      </c>
      <c r="C7193" t="n">
        <v>1</v>
      </c>
      <c r="D7193" s="8" t="n">
        <v>46136</v>
      </c>
      <c r="E7193" s="9" t="n">
        <v>45767.42</v>
      </c>
      <c r="F7193" s="8" t="n">
        <v>46133</v>
      </c>
      <c r="G7193" s="9" t="n">
        <v>45767.42</v>
      </c>
      <c r="H7193" t="inlineStr">
        <is>
          <t>PAID_ON_TIME</t>
        </is>
      </c>
      <c r="I7193">
        <f>IF(H7193="UNPAID", AsOfDate-D7193, 0)</f>
        <v/>
      </c>
      <c r="J7193">
        <f>IF(F7193&lt;&gt;"", TEXT(F7193, "yyyy-mm"), "")</f>
        <v/>
      </c>
    </row>
    <row r="7194">
      <c r="A7194" t="inlineStr">
        <is>
          <t>RP0007193</t>
        </is>
      </c>
      <c r="B7194" t="inlineStr">
        <is>
          <t>LN201018</t>
        </is>
      </c>
      <c r="C7194" t="n">
        <v>2</v>
      </c>
      <c r="D7194" s="8" t="n">
        <v>46166</v>
      </c>
      <c r="E7194" s="9" t="n">
        <v>45767.42</v>
      </c>
      <c r="F7194" s="8" t="n">
        <v>46169</v>
      </c>
      <c r="G7194" s="9" t="n">
        <v>45767.42</v>
      </c>
      <c r="H7194" t="inlineStr">
        <is>
          <t>PAID_ON_TIME</t>
        </is>
      </c>
      <c r="I7194">
        <f>IF(H7194="UNPAID", AsOfDate-D7194, 0)</f>
        <v/>
      </c>
      <c r="J7194">
        <f>IF(F7194&lt;&gt;"", TEXT(F7194, "yyyy-mm"), "")</f>
        <v/>
      </c>
    </row>
    <row r="7195">
      <c r="A7195" t="inlineStr">
        <is>
          <t>RP0007194</t>
        </is>
      </c>
      <c r="B7195" t="inlineStr">
        <is>
          <t>LN201018</t>
        </is>
      </c>
      <c r="C7195" t="n">
        <v>3</v>
      </c>
      <c r="D7195" s="8" t="n">
        <v>46197</v>
      </c>
      <c r="E7195" s="9" t="n">
        <v>45767.42</v>
      </c>
      <c r="F7195" s="8" t="n"/>
      <c r="G7195" s="9" t="n">
        <v>0</v>
      </c>
      <c r="H7195" t="inlineStr">
        <is>
          <t>UNPAID</t>
        </is>
      </c>
      <c r="I7195">
        <f>IF(H7195="UNPAID", AsOfDate-D7195, 0)</f>
        <v/>
      </c>
      <c r="J7195">
        <f>IF(F7195&lt;&gt;"", TEXT(F7195, "yyyy-mm"), "")</f>
        <v/>
      </c>
    </row>
    <row r="7196">
      <c r="A7196" t="inlineStr">
        <is>
          <t>RP0007195</t>
        </is>
      </c>
      <c r="B7196" t="inlineStr">
        <is>
          <t>LN201018</t>
        </is>
      </c>
      <c r="C7196" t="n">
        <v>4</v>
      </c>
      <c r="D7196" s="8" t="n">
        <v>46227</v>
      </c>
      <c r="E7196" s="9" t="n">
        <v>45767.42</v>
      </c>
      <c r="F7196" s="8" t="n">
        <v>46229</v>
      </c>
      <c r="G7196" s="9" t="n">
        <v>45767.42</v>
      </c>
      <c r="H7196" t="inlineStr">
        <is>
          <t>PAID_ON_TIME</t>
        </is>
      </c>
      <c r="I7196">
        <f>IF(H7196="UNPAID", AsOfDate-D7196, 0)</f>
        <v/>
      </c>
      <c r="J7196">
        <f>IF(F7196&lt;&gt;"", TEXT(F7196, "yyyy-mm"), "")</f>
        <v/>
      </c>
    </row>
    <row r="7197">
      <c r="A7197" t="inlineStr">
        <is>
          <t>RP0007196</t>
        </is>
      </c>
      <c r="B7197" t="inlineStr">
        <is>
          <t>LN201018</t>
        </is>
      </c>
      <c r="C7197" t="n">
        <v>5</v>
      </c>
      <c r="D7197" s="8" t="n">
        <v>46258</v>
      </c>
      <c r="E7197" s="9" t="n">
        <v>45767.42</v>
      </c>
      <c r="F7197" s="8" t="n">
        <v>46262</v>
      </c>
      <c r="G7197" s="9" t="n">
        <v>45767.42</v>
      </c>
      <c r="H7197" t="inlineStr">
        <is>
          <t>PAID_ON_TIME</t>
        </is>
      </c>
      <c r="I7197">
        <f>IF(H7197="UNPAID", AsOfDate-D7197, 0)</f>
        <v/>
      </c>
      <c r="J7197">
        <f>IF(F7197&lt;&gt;"", TEXT(F7197, "yyyy-mm"), "")</f>
        <v/>
      </c>
    </row>
    <row r="7198">
      <c r="A7198" t="inlineStr">
        <is>
          <t>RP0007197</t>
        </is>
      </c>
      <c r="B7198" t="inlineStr">
        <is>
          <t>LN201018</t>
        </is>
      </c>
      <c r="C7198" t="n">
        <v>6</v>
      </c>
      <c r="D7198" s="8" t="n">
        <v>46289</v>
      </c>
      <c r="E7198" s="9" t="n">
        <v>45767.42</v>
      </c>
      <c r="F7198" s="8" t="n"/>
      <c r="G7198" s="9" t="n">
        <v>0</v>
      </c>
      <c r="H7198" t="inlineStr">
        <is>
          <t>NOT_DUE</t>
        </is>
      </c>
      <c r="I7198">
        <f>IF(H7198="UNPAID", AsOfDate-D7198, 0)</f>
        <v/>
      </c>
      <c r="J7198">
        <f>IF(F7198&lt;&gt;"", TEXT(F7198, "yyyy-mm"), "")</f>
        <v/>
      </c>
    </row>
    <row r="7199">
      <c r="A7199" t="inlineStr">
        <is>
          <t>RP0007198</t>
        </is>
      </c>
      <c r="B7199" t="inlineStr">
        <is>
          <t>LN201019</t>
        </is>
      </c>
      <c r="C7199" t="n">
        <v>1</v>
      </c>
      <c r="D7199" s="8" t="n">
        <v>45702</v>
      </c>
      <c r="E7199" s="9" t="n">
        <v>59739.5</v>
      </c>
      <c r="F7199" s="8" t="n">
        <v>45705</v>
      </c>
      <c r="G7199" s="9" t="n">
        <v>59739.5</v>
      </c>
      <c r="H7199" t="inlineStr">
        <is>
          <t>PAID_ON_TIME</t>
        </is>
      </c>
      <c r="I7199">
        <f>IF(H7199="UNPAID", AsOfDate-D7199, 0)</f>
        <v/>
      </c>
      <c r="J7199">
        <f>IF(F7199&lt;&gt;"", TEXT(F7199, "yyyy-mm"), "")</f>
        <v/>
      </c>
    </row>
    <row r="7200">
      <c r="A7200" t="inlineStr">
        <is>
          <t>RP0007199</t>
        </is>
      </c>
      <c r="B7200" t="inlineStr">
        <is>
          <t>LN201019</t>
        </is>
      </c>
      <c r="C7200" t="n">
        <v>2</v>
      </c>
      <c r="D7200" s="8" t="n">
        <v>45730</v>
      </c>
      <c r="E7200" s="9" t="n">
        <v>59739.5</v>
      </c>
      <c r="F7200" s="8" t="n">
        <v>45732</v>
      </c>
      <c r="G7200" s="9" t="n">
        <v>59739.5</v>
      </c>
      <c r="H7200" t="inlineStr">
        <is>
          <t>PAID_ON_TIME</t>
        </is>
      </c>
      <c r="I7200">
        <f>IF(H7200="UNPAID", AsOfDate-D7200, 0)</f>
        <v/>
      </c>
      <c r="J7200">
        <f>IF(F7200&lt;&gt;"", TEXT(F7200, "yyyy-mm"), "")</f>
        <v/>
      </c>
    </row>
    <row r="7201">
      <c r="A7201" t="inlineStr">
        <is>
          <t>RP0007200</t>
        </is>
      </c>
      <c r="B7201" t="inlineStr">
        <is>
          <t>LN201019</t>
        </is>
      </c>
      <c r="C7201" t="n">
        <v>3</v>
      </c>
      <c r="D7201" s="8" t="n">
        <v>45761</v>
      </c>
      <c r="E7201" s="9" t="n">
        <v>59739.5</v>
      </c>
      <c r="F7201" s="8" t="n">
        <v>45758</v>
      </c>
      <c r="G7201" s="9" t="n">
        <v>59739.5</v>
      </c>
      <c r="H7201" t="inlineStr">
        <is>
          <t>PAID_ON_TIME</t>
        </is>
      </c>
      <c r="I7201">
        <f>IF(H7201="UNPAID", AsOfDate-D7201, 0)</f>
        <v/>
      </c>
      <c r="J7201">
        <f>IF(F7201&lt;&gt;"", TEXT(F7201, "yyyy-mm"), "")</f>
        <v/>
      </c>
    </row>
    <row r="7202">
      <c r="A7202" t="inlineStr">
        <is>
          <t>RP0007201</t>
        </is>
      </c>
      <c r="B7202" t="inlineStr">
        <is>
          <t>LN201019</t>
        </is>
      </c>
      <c r="C7202" t="n">
        <v>4</v>
      </c>
      <c r="D7202" s="8" t="n">
        <v>45791</v>
      </c>
      <c r="E7202" s="9" t="n">
        <v>59739.5</v>
      </c>
      <c r="F7202" s="8" t="n">
        <v>45792</v>
      </c>
      <c r="G7202" s="9" t="n">
        <v>59739.5</v>
      </c>
      <c r="H7202" t="inlineStr">
        <is>
          <t>PAID_ON_TIME</t>
        </is>
      </c>
      <c r="I7202">
        <f>IF(H7202="UNPAID", AsOfDate-D7202, 0)</f>
        <v/>
      </c>
      <c r="J7202">
        <f>IF(F7202&lt;&gt;"", TEXT(F7202, "yyyy-mm"), "")</f>
        <v/>
      </c>
    </row>
    <row r="7203">
      <c r="A7203" t="inlineStr">
        <is>
          <t>RP0007202</t>
        </is>
      </c>
      <c r="B7203" t="inlineStr">
        <is>
          <t>LN201019</t>
        </is>
      </c>
      <c r="C7203" t="n">
        <v>5</v>
      </c>
      <c r="D7203" s="8" t="n">
        <v>45822</v>
      </c>
      <c r="E7203" s="9" t="n">
        <v>59739.5</v>
      </c>
      <c r="F7203" s="8" t="n"/>
      <c r="G7203" s="9" t="n">
        <v>0</v>
      </c>
      <c r="H7203" t="inlineStr">
        <is>
          <t>UNPAID</t>
        </is>
      </c>
      <c r="I7203">
        <f>IF(H7203="UNPAID", AsOfDate-D7203, 0)</f>
        <v/>
      </c>
      <c r="J7203">
        <f>IF(F7203&lt;&gt;"", TEXT(F7203, "yyyy-mm"), "")</f>
        <v/>
      </c>
    </row>
    <row r="7204">
      <c r="A7204" t="inlineStr">
        <is>
          <t>RP0007203</t>
        </is>
      </c>
      <c r="B7204" t="inlineStr">
        <is>
          <t>LN201019</t>
        </is>
      </c>
      <c r="C7204" t="n">
        <v>6</v>
      </c>
      <c r="D7204" s="8" t="n">
        <v>45852</v>
      </c>
      <c r="E7204" s="9" t="n">
        <v>59739.5</v>
      </c>
      <c r="F7204" s="8" t="n">
        <v>45853</v>
      </c>
      <c r="G7204" s="9" t="n">
        <v>59739.5</v>
      </c>
      <c r="H7204" t="inlineStr">
        <is>
          <t>PAID_ON_TIME</t>
        </is>
      </c>
      <c r="I7204">
        <f>IF(H7204="UNPAID", AsOfDate-D7204, 0)</f>
        <v/>
      </c>
      <c r="J7204">
        <f>IF(F7204&lt;&gt;"", TEXT(F7204, "yyyy-mm"), "")</f>
        <v/>
      </c>
    </row>
    <row r="7205">
      <c r="A7205" t="inlineStr">
        <is>
          <t>RP0007204</t>
        </is>
      </c>
      <c r="B7205" t="inlineStr">
        <is>
          <t>LN201020</t>
        </is>
      </c>
      <c r="C7205" t="n">
        <v>1</v>
      </c>
      <c r="D7205" s="8" t="n">
        <v>46222</v>
      </c>
      <c r="E7205" s="9" t="n">
        <v>30096.56</v>
      </c>
      <c r="F7205" s="8" t="n">
        <v>46221</v>
      </c>
      <c r="G7205" s="9" t="n">
        <v>30096.56</v>
      </c>
      <c r="H7205" t="inlineStr">
        <is>
          <t>PAID_ON_TIME</t>
        </is>
      </c>
      <c r="I7205">
        <f>IF(H7205="UNPAID", AsOfDate-D7205, 0)</f>
        <v/>
      </c>
      <c r="J7205">
        <f>IF(F7205&lt;&gt;"", TEXT(F7205, "yyyy-mm"), "")</f>
        <v/>
      </c>
    </row>
    <row r="7206">
      <c r="A7206" t="inlineStr">
        <is>
          <t>RP0007205</t>
        </is>
      </c>
      <c r="B7206" t="inlineStr">
        <is>
          <t>LN201020</t>
        </is>
      </c>
      <c r="C7206" t="n">
        <v>2</v>
      </c>
      <c r="D7206" s="8" t="n">
        <v>46253</v>
      </c>
      <c r="E7206" s="9" t="n">
        <v>30096.56</v>
      </c>
      <c r="F7206" s="8" t="n">
        <v>46257</v>
      </c>
      <c r="G7206" s="9" t="n">
        <v>30096.56</v>
      </c>
      <c r="H7206" t="inlineStr">
        <is>
          <t>PAID_ON_TIME</t>
        </is>
      </c>
      <c r="I7206">
        <f>IF(H7206="UNPAID", AsOfDate-D7206, 0)</f>
        <v/>
      </c>
      <c r="J7206">
        <f>IF(F7206&lt;&gt;"", TEXT(F7206, "yyyy-mm"), "")</f>
        <v/>
      </c>
    </row>
    <row r="7207">
      <c r="A7207" t="inlineStr">
        <is>
          <t>RP0007206</t>
        </is>
      </c>
      <c r="B7207" t="inlineStr">
        <is>
          <t>LN201020</t>
        </is>
      </c>
      <c r="C7207" t="n">
        <v>3</v>
      </c>
      <c r="D7207" s="8" t="n">
        <v>46284</v>
      </c>
      <c r="E7207" s="9" t="n">
        <v>30096.56</v>
      </c>
      <c r="F7207" s="8" t="n"/>
      <c r="G7207" s="9" t="n">
        <v>0</v>
      </c>
      <c r="H7207" t="inlineStr">
        <is>
          <t>NOT_DUE</t>
        </is>
      </c>
      <c r="I7207">
        <f>IF(H7207="UNPAID", AsOfDate-D7207, 0)</f>
        <v/>
      </c>
      <c r="J7207">
        <f>IF(F7207&lt;&gt;"", TEXT(F7207, "yyyy-mm"), "")</f>
        <v/>
      </c>
    </row>
    <row r="7208">
      <c r="A7208" t="inlineStr">
        <is>
          <t>RP0007207</t>
        </is>
      </c>
      <c r="B7208" t="inlineStr">
        <is>
          <t>LN201020</t>
        </is>
      </c>
      <c r="C7208" t="n">
        <v>4</v>
      </c>
      <c r="D7208" s="8" t="n">
        <v>46314</v>
      </c>
      <c r="E7208" s="9" t="n">
        <v>30096.56</v>
      </c>
      <c r="F7208" s="8" t="n"/>
      <c r="G7208" s="9" t="n">
        <v>0</v>
      </c>
      <c r="H7208" t="inlineStr">
        <is>
          <t>NOT_DUE</t>
        </is>
      </c>
      <c r="I7208">
        <f>IF(H7208="UNPAID", AsOfDate-D7208, 0)</f>
        <v/>
      </c>
      <c r="J7208">
        <f>IF(F7208&lt;&gt;"", TEXT(F7208, "yyyy-mm"), "")</f>
        <v/>
      </c>
    </row>
    <row r="7209">
      <c r="A7209" t="inlineStr">
        <is>
          <t>RP0007208</t>
        </is>
      </c>
      <c r="B7209" t="inlineStr">
        <is>
          <t>LN201020</t>
        </is>
      </c>
      <c r="C7209" t="n">
        <v>5</v>
      </c>
      <c r="D7209" s="8" t="n">
        <v>46345</v>
      </c>
      <c r="E7209" s="9" t="n">
        <v>30096.56</v>
      </c>
      <c r="F7209" s="8" t="n"/>
      <c r="G7209" s="9" t="n">
        <v>0</v>
      </c>
      <c r="H7209" t="inlineStr">
        <is>
          <t>NOT_DUE</t>
        </is>
      </c>
      <c r="I7209">
        <f>IF(H7209="UNPAID", AsOfDate-D7209, 0)</f>
        <v/>
      </c>
      <c r="J7209">
        <f>IF(F7209&lt;&gt;"", TEXT(F7209, "yyyy-mm"), "")</f>
        <v/>
      </c>
    </row>
    <row r="7210">
      <c r="A7210" t="inlineStr">
        <is>
          <t>RP0007209</t>
        </is>
      </c>
      <c r="B7210" t="inlineStr">
        <is>
          <t>LN201020</t>
        </is>
      </c>
      <c r="C7210" t="n">
        <v>6</v>
      </c>
      <c r="D7210" s="8" t="n">
        <v>46375</v>
      </c>
      <c r="E7210" s="9" t="n">
        <v>30096.56</v>
      </c>
      <c r="F7210" s="8" t="n"/>
      <c r="G7210" s="9" t="n">
        <v>0</v>
      </c>
      <c r="H7210" t="inlineStr">
        <is>
          <t>NOT_DUE</t>
        </is>
      </c>
      <c r="I7210">
        <f>IF(H7210="UNPAID", AsOfDate-D7210, 0)</f>
        <v/>
      </c>
      <c r="J7210">
        <f>IF(F7210&lt;&gt;"", TEXT(F7210, "yyyy-mm"), "")</f>
        <v/>
      </c>
    </row>
    <row r="7211">
      <c r="A7211" t="inlineStr">
        <is>
          <t>RP0007210</t>
        </is>
      </c>
      <c r="B7211" t="inlineStr">
        <is>
          <t>LN201020</t>
        </is>
      </c>
      <c r="C7211" t="n">
        <v>7</v>
      </c>
      <c r="D7211" s="8" t="n">
        <v>46406</v>
      </c>
      <c r="E7211" s="9" t="n">
        <v>30096.56</v>
      </c>
      <c r="F7211" s="8" t="n"/>
      <c r="G7211" s="9" t="n">
        <v>0</v>
      </c>
      <c r="H7211" t="inlineStr">
        <is>
          <t>NOT_DUE</t>
        </is>
      </c>
      <c r="I7211">
        <f>IF(H7211="UNPAID", AsOfDate-D7211, 0)</f>
        <v/>
      </c>
      <c r="J7211">
        <f>IF(F7211&lt;&gt;"", TEXT(F7211, "yyyy-mm"), "")</f>
        <v/>
      </c>
    </row>
    <row r="7212">
      <c r="A7212" t="inlineStr">
        <is>
          <t>RP0007211</t>
        </is>
      </c>
      <c r="B7212" t="inlineStr">
        <is>
          <t>LN201020</t>
        </is>
      </c>
      <c r="C7212" t="n">
        <v>8</v>
      </c>
      <c r="D7212" s="8" t="n">
        <v>46437</v>
      </c>
      <c r="E7212" s="9" t="n">
        <v>30096.56</v>
      </c>
      <c r="F7212" s="8" t="n"/>
      <c r="G7212" s="9" t="n">
        <v>0</v>
      </c>
      <c r="H7212" t="inlineStr">
        <is>
          <t>NOT_DUE</t>
        </is>
      </c>
      <c r="I7212">
        <f>IF(H7212="UNPAID", AsOfDate-D7212, 0)</f>
        <v/>
      </c>
      <c r="J7212">
        <f>IF(F7212&lt;&gt;"", TEXT(F7212, "yyyy-mm"), "")</f>
        <v/>
      </c>
    </row>
    <row r="7213">
      <c r="A7213" t="inlineStr">
        <is>
          <t>RP0007212</t>
        </is>
      </c>
      <c r="B7213" t="inlineStr">
        <is>
          <t>LN201020</t>
        </is>
      </c>
      <c r="C7213" t="n">
        <v>9</v>
      </c>
      <c r="D7213" s="8" t="n">
        <v>46465</v>
      </c>
      <c r="E7213" s="9" t="n">
        <v>30096.56</v>
      </c>
      <c r="F7213" s="8" t="n"/>
      <c r="G7213" s="9" t="n">
        <v>0</v>
      </c>
      <c r="H7213" t="inlineStr">
        <is>
          <t>NOT_DUE</t>
        </is>
      </c>
      <c r="I7213">
        <f>IF(H7213="UNPAID", AsOfDate-D7213, 0)</f>
        <v/>
      </c>
      <c r="J7213">
        <f>IF(F7213&lt;&gt;"", TEXT(F7213, "yyyy-mm"), "")</f>
        <v/>
      </c>
    </row>
    <row r="7214">
      <c r="A7214" t="inlineStr">
        <is>
          <t>RP0007213</t>
        </is>
      </c>
      <c r="B7214" t="inlineStr">
        <is>
          <t>LN201021</t>
        </is>
      </c>
      <c r="C7214" t="n">
        <v>1</v>
      </c>
      <c r="D7214" s="8" t="n">
        <v>45963</v>
      </c>
      <c r="E7214" s="9" t="n">
        <v>16539.25</v>
      </c>
      <c r="F7214" s="8" t="n">
        <v>45965</v>
      </c>
      <c r="G7214" s="9" t="n">
        <v>16539.25</v>
      </c>
      <c r="H7214" t="inlineStr">
        <is>
          <t>PAID_ON_TIME</t>
        </is>
      </c>
      <c r="I7214">
        <f>IF(H7214="UNPAID", AsOfDate-D7214, 0)</f>
        <v/>
      </c>
      <c r="J7214">
        <f>IF(F7214&lt;&gt;"", TEXT(F7214, "yyyy-mm"), "")</f>
        <v/>
      </c>
    </row>
    <row r="7215">
      <c r="A7215" t="inlineStr">
        <is>
          <t>RP0007214</t>
        </is>
      </c>
      <c r="B7215" t="inlineStr">
        <is>
          <t>LN201021</t>
        </is>
      </c>
      <c r="C7215" t="n">
        <v>2</v>
      </c>
      <c r="D7215" s="8" t="n">
        <v>45993</v>
      </c>
      <c r="E7215" s="9" t="n">
        <v>16539.25</v>
      </c>
      <c r="F7215" s="8" t="n">
        <v>45990</v>
      </c>
      <c r="G7215" s="9" t="n">
        <v>16539.25</v>
      </c>
      <c r="H7215" t="inlineStr">
        <is>
          <t>PAID_ON_TIME</t>
        </is>
      </c>
      <c r="I7215">
        <f>IF(H7215="UNPAID", AsOfDate-D7215, 0)</f>
        <v/>
      </c>
      <c r="J7215">
        <f>IF(F7215&lt;&gt;"", TEXT(F7215, "yyyy-mm"), "")</f>
        <v/>
      </c>
    </row>
    <row r="7216">
      <c r="A7216" t="inlineStr">
        <is>
          <t>RP0007215</t>
        </is>
      </c>
      <c r="B7216" t="inlineStr">
        <is>
          <t>LN201021</t>
        </is>
      </c>
      <c r="C7216" t="n">
        <v>3</v>
      </c>
      <c r="D7216" s="8" t="n">
        <v>46024</v>
      </c>
      <c r="E7216" s="9" t="n">
        <v>16539.25</v>
      </c>
      <c r="F7216" s="8" t="n">
        <v>46024</v>
      </c>
      <c r="G7216" s="9" t="n">
        <v>16539.25</v>
      </c>
      <c r="H7216" t="inlineStr">
        <is>
          <t>PAID_ON_TIME</t>
        </is>
      </c>
      <c r="I7216">
        <f>IF(H7216="UNPAID", AsOfDate-D7216, 0)</f>
        <v/>
      </c>
      <c r="J7216">
        <f>IF(F7216&lt;&gt;"", TEXT(F7216, "yyyy-mm"), "")</f>
        <v/>
      </c>
    </row>
    <row r="7217">
      <c r="A7217" t="inlineStr">
        <is>
          <t>RP0007216</t>
        </is>
      </c>
      <c r="B7217" t="inlineStr">
        <is>
          <t>LN201021</t>
        </is>
      </c>
      <c r="C7217" t="n">
        <v>4</v>
      </c>
      <c r="D7217" s="8" t="n">
        <v>46055</v>
      </c>
      <c r="E7217" s="9" t="n">
        <v>16539.25</v>
      </c>
      <c r="F7217" s="8" t="n">
        <v>46058</v>
      </c>
      <c r="G7217" s="9" t="n">
        <v>16539.25</v>
      </c>
      <c r="H7217" t="inlineStr">
        <is>
          <t>PAID_ON_TIME</t>
        </is>
      </c>
      <c r="I7217">
        <f>IF(H7217="UNPAID", AsOfDate-D7217, 0)</f>
        <v/>
      </c>
      <c r="J7217">
        <f>IF(F7217&lt;&gt;"", TEXT(F7217, "yyyy-mm"), "")</f>
        <v/>
      </c>
    </row>
    <row r="7218">
      <c r="A7218" t="inlineStr">
        <is>
          <t>RP0007217</t>
        </is>
      </c>
      <c r="B7218" t="inlineStr">
        <is>
          <t>LN201021</t>
        </is>
      </c>
      <c r="C7218" t="n">
        <v>5</v>
      </c>
      <c r="D7218" s="8" t="n">
        <v>46083</v>
      </c>
      <c r="E7218" s="9" t="n">
        <v>16539.25</v>
      </c>
      <c r="F7218" s="8" t="n">
        <v>46082</v>
      </c>
      <c r="G7218" s="9" t="n">
        <v>16539.25</v>
      </c>
      <c r="H7218" t="inlineStr">
        <is>
          <t>PAID_ON_TIME</t>
        </is>
      </c>
      <c r="I7218">
        <f>IF(H7218="UNPAID", AsOfDate-D7218, 0)</f>
        <v/>
      </c>
      <c r="J7218">
        <f>IF(F7218&lt;&gt;"", TEXT(F7218, "yyyy-mm"), "")</f>
        <v/>
      </c>
    </row>
    <row r="7219">
      <c r="A7219" t="inlineStr">
        <is>
          <t>RP0007218</t>
        </is>
      </c>
      <c r="B7219" t="inlineStr">
        <is>
          <t>LN201021</t>
        </is>
      </c>
      <c r="C7219" t="n">
        <v>6</v>
      </c>
      <c r="D7219" s="8" t="n">
        <v>46114</v>
      </c>
      <c r="E7219" s="9" t="n">
        <v>16539.25</v>
      </c>
      <c r="F7219" s="8" t="n">
        <v>46192</v>
      </c>
      <c r="G7219" s="9" t="n">
        <v>16539.25</v>
      </c>
      <c r="H7219" t="inlineStr">
        <is>
          <t>PAID_LATE</t>
        </is>
      </c>
      <c r="I7219">
        <f>IF(H7219="UNPAID", AsOfDate-D7219, 0)</f>
        <v/>
      </c>
      <c r="J7219">
        <f>IF(F7219&lt;&gt;"", TEXT(F7219, "yyyy-mm"), "")</f>
        <v/>
      </c>
    </row>
    <row r="7220">
      <c r="A7220" t="inlineStr">
        <is>
          <t>RP0007219</t>
        </is>
      </c>
      <c r="B7220" t="inlineStr">
        <is>
          <t>LN201022</t>
        </is>
      </c>
      <c r="C7220" t="n">
        <v>1</v>
      </c>
      <c r="D7220" s="8" t="n">
        <v>45899</v>
      </c>
      <c r="E7220" s="9" t="n">
        <v>6731.47</v>
      </c>
      <c r="F7220" s="8" t="n">
        <v>45902</v>
      </c>
      <c r="G7220" s="9" t="n">
        <v>6731.47</v>
      </c>
      <c r="H7220" t="inlineStr">
        <is>
          <t>PAID_ON_TIME</t>
        </is>
      </c>
      <c r="I7220">
        <f>IF(H7220="UNPAID", AsOfDate-D7220, 0)</f>
        <v/>
      </c>
      <c r="J7220">
        <f>IF(F7220&lt;&gt;"", TEXT(F7220, "yyyy-mm"), "")</f>
        <v/>
      </c>
    </row>
    <row r="7221">
      <c r="A7221" t="inlineStr">
        <is>
          <t>RP0007220</t>
        </is>
      </c>
      <c r="B7221" t="inlineStr">
        <is>
          <t>LN201022</t>
        </is>
      </c>
      <c r="C7221" t="n">
        <v>2</v>
      </c>
      <c r="D7221" s="8" t="n">
        <v>45930</v>
      </c>
      <c r="E7221" s="9" t="n">
        <v>6731.47</v>
      </c>
      <c r="F7221" s="8" t="n">
        <v>45929</v>
      </c>
      <c r="G7221" s="9" t="n">
        <v>6731.47</v>
      </c>
      <c r="H7221" t="inlineStr">
        <is>
          <t>PAID_ON_TIME</t>
        </is>
      </c>
      <c r="I7221">
        <f>IF(H7221="UNPAID", AsOfDate-D7221, 0)</f>
        <v/>
      </c>
      <c r="J7221">
        <f>IF(F7221&lt;&gt;"", TEXT(F7221, "yyyy-mm"), "")</f>
        <v/>
      </c>
    </row>
    <row r="7222">
      <c r="A7222" t="inlineStr">
        <is>
          <t>RP0007221</t>
        </is>
      </c>
      <c r="B7222" t="inlineStr">
        <is>
          <t>LN201022</t>
        </is>
      </c>
      <c r="C7222" t="n">
        <v>3</v>
      </c>
      <c r="D7222" s="8" t="n">
        <v>45960</v>
      </c>
      <c r="E7222" s="9" t="n">
        <v>6731.47</v>
      </c>
      <c r="F7222" s="8" t="n">
        <v>45960</v>
      </c>
      <c r="G7222" s="9" t="n">
        <v>6731.47</v>
      </c>
      <c r="H7222" t="inlineStr">
        <is>
          <t>PAID_ON_TIME</t>
        </is>
      </c>
      <c r="I7222">
        <f>IF(H7222="UNPAID", AsOfDate-D7222, 0)</f>
        <v/>
      </c>
      <c r="J7222">
        <f>IF(F7222&lt;&gt;"", TEXT(F7222, "yyyy-mm"), "")</f>
        <v/>
      </c>
    </row>
    <row r="7223">
      <c r="A7223" t="inlineStr">
        <is>
          <t>RP0007222</t>
        </is>
      </c>
      <c r="B7223" t="inlineStr">
        <is>
          <t>LN201022</t>
        </is>
      </c>
      <c r="C7223" t="n">
        <v>4</v>
      </c>
      <c r="D7223" s="8" t="n">
        <v>45991</v>
      </c>
      <c r="E7223" s="9" t="n">
        <v>6731.47</v>
      </c>
      <c r="F7223" s="8" t="n">
        <v>45995</v>
      </c>
      <c r="G7223" s="9" t="n">
        <v>6731.47</v>
      </c>
      <c r="H7223" t="inlineStr">
        <is>
          <t>PAID_ON_TIME</t>
        </is>
      </c>
      <c r="I7223">
        <f>IF(H7223="UNPAID", AsOfDate-D7223, 0)</f>
        <v/>
      </c>
      <c r="J7223">
        <f>IF(F7223&lt;&gt;"", TEXT(F7223, "yyyy-mm"), "")</f>
        <v/>
      </c>
    </row>
    <row r="7224">
      <c r="A7224" t="inlineStr">
        <is>
          <t>RP0007223</t>
        </is>
      </c>
      <c r="B7224" t="inlineStr">
        <is>
          <t>LN201022</t>
        </is>
      </c>
      <c r="C7224" t="n">
        <v>5</v>
      </c>
      <c r="D7224" s="8" t="n">
        <v>46021</v>
      </c>
      <c r="E7224" s="9" t="n">
        <v>6731.47</v>
      </c>
      <c r="F7224" s="8" t="n">
        <v>46021</v>
      </c>
      <c r="G7224" s="9" t="n">
        <v>6731.47</v>
      </c>
      <c r="H7224" t="inlineStr">
        <is>
          <t>PAID_ON_TIME</t>
        </is>
      </c>
      <c r="I7224">
        <f>IF(H7224="UNPAID", AsOfDate-D7224, 0)</f>
        <v/>
      </c>
      <c r="J7224">
        <f>IF(F7224&lt;&gt;"", TEXT(F7224, "yyyy-mm"), "")</f>
        <v/>
      </c>
    </row>
    <row r="7225">
      <c r="A7225" t="inlineStr">
        <is>
          <t>RP0007224</t>
        </is>
      </c>
      <c r="B7225" t="inlineStr">
        <is>
          <t>LN201022</t>
        </is>
      </c>
      <c r="C7225" t="n">
        <v>6</v>
      </c>
      <c r="D7225" s="8" t="n">
        <v>46052</v>
      </c>
      <c r="E7225" s="9" t="n">
        <v>6731.47</v>
      </c>
      <c r="F7225" s="8" t="n">
        <v>46053</v>
      </c>
      <c r="G7225" s="9" t="n">
        <v>6731.47</v>
      </c>
      <c r="H7225" t="inlineStr">
        <is>
          <t>PAID_ON_TIME</t>
        </is>
      </c>
      <c r="I7225">
        <f>IF(H7225="UNPAID", AsOfDate-D7225, 0)</f>
        <v/>
      </c>
      <c r="J7225">
        <f>IF(F7225&lt;&gt;"", TEXT(F7225, "yyyy-mm"), "")</f>
        <v/>
      </c>
    </row>
    <row r="7226">
      <c r="A7226" t="inlineStr">
        <is>
          <t>RP0007225</t>
        </is>
      </c>
      <c r="B7226" t="inlineStr">
        <is>
          <t>LN201022</t>
        </is>
      </c>
      <c r="C7226" t="n">
        <v>7</v>
      </c>
      <c r="D7226" s="8" t="n">
        <v>46081</v>
      </c>
      <c r="E7226" s="9" t="n">
        <v>6731.47</v>
      </c>
      <c r="F7226" s="8" t="n">
        <v>46081</v>
      </c>
      <c r="G7226" s="9" t="n">
        <v>6731.47</v>
      </c>
      <c r="H7226" t="inlineStr">
        <is>
          <t>PAID_ON_TIME</t>
        </is>
      </c>
      <c r="I7226">
        <f>IF(H7226="UNPAID", AsOfDate-D7226, 0)</f>
        <v/>
      </c>
      <c r="J7226">
        <f>IF(F7226&lt;&gt;"", TEXT(F7226, "yyyy-mm"), "")</f>
        <v/>
      </c>
    </row>
    <row r="7227">
      <c r="A7227" t="inlineStr">
        <is>
          <t>RP0007226</t>
        </is>
      </c>
      <c r="B7227" t="inlineStr">
        <is>
          <t>LN201022</t>
        </is>
      </c>
      <c r="C7227" t="n">
        <v>8</v>
      </c>
      <c r="D7227" s="8" t="n">
        <v>46111</v>
      </c>
      <c r="E7227" s="9" t="n">
        <v>6731.47</v>
      </c>
      <c r="F7227" s="8" t="n">
        <v>46124</v>
      </c>
      <c r="G7227" s="9" t="n">
        <v>6731.47</v>
      </c>
      <c r="H7227" t="inlineStr">
        <is>
          <t>PAID_LATE</t>
        </is>
      </c>
      <c r="I7227">
        <f>IF(H7227="UNPAID", AsOfDate-D7227, 0)</f>
        <v/>
      </c>
      <c r="J7227">
        <f>IF(F7227&lt;&gt;"", TEXT(F7227, "yyyy-mm"), "")</f>
        <v/>
      </c>
    </row>
    <row r="7228">
      <c r="A7228" t="inlineStr">
        <is>
          <t>RP0007227</t>
        </is>
      </c>
      <c r="B7228" t="inlineStr">
        <is>
          <t>LN201022</t>
        </is>
      </c>
      <c r="C7228" t="n">
        <v>9</v>
      </c>
      <c r="D7228" s="8" t="n">
        <v>46142</v>
      </c>
      <c r="E7228" s="9" t="n">
        <v>6731.47</v>
      </c>
      <c r="F7228" s="8" t="n">
        <v>46141</v>
      </c>
      <c r="G7228" s="9" t="n">
        <v>6731.47</v>
      </c>
      <c r="H7228" t="inlineStr">
        <is>
          <t>PAID_ON_TIME</t>
        </is>
      </c>
      <c r="I7228">
        <f>IF(H7228="UNPAID", AsOfDate-D7228, 0)</f>
        <v/>
      </c>
      <c r="J7228">
        <f>IF(F7228&lt;&gt;"", TEXT(F7228, "yyyy-mm"), "")</f>
        <v/>
      </c>
    </row>
    <row r="7229">
      <c r="A7229" t="inlineStr">
        <is>
          <t>RP0007228</t>
        </is>
      </c>
      <c r="B7229" t="inlineStr">
        <is>
          <t>LN201022</t>
        </is>
      </c>
      <c r="C7229" t="n">
        <v>10</v>
      </c>
      <c r="D7229" s="8" t="n">
        <v>46172</v>
      </c>
      <c r="E7229" s="9" t="n">
        <v>6731.47</v>
      </c>
      <c r="F7229" s="8" t="n">
        <v>46176</v>
      </c>
      <c r="G7229" s="9" t="n">
        <v>6731.47</v>
      </c>
      <c r="H7229" t="inlineStr">
        <is>
          <t>PAID_ON_TIME</t>
        </is>
      </c>
      <c r="I7229">
        <f>IF(H7229="UNPAID", AsOfDate-D7229, 0)</f>
        <v/>
      </c>
      <c r="J7229">
        <f>IF(F7229&lt;&gt;"", TEXT(F7229, "yyyy-mm"), "")</f>
        <v/>
      </c>
    </row>
    <row r="7230">
      <c r="A7230" t="inlineStr">
        <is>
          <t>RP0007229</t>
        </is>
      </c>
      <c r="B7230" t="inlineStr">
        <is>
          <t>LN201022</t>
        </is>
      </c>
      <c r="C7230" t="n">
        <v>11</v>
      </c>
      <c r="D7230" s="8" t="n">
        <v>46203</v>
      </c>
      <c r="E7230" s="9" t="n">
        <v>6731.47</v>
      </c>
      <c r="F7230" s="8" t="n"/>
      <c r="G7230" s="9" t="n">
        <v>0</v>
      </c>
      <c r="H7230" t="inlineStr">
        <is>
          <t>UNPAID</t>
        </is>
      </c>
      <c r="I7230">
        <f>IF(H7230="UNPAID", AsOfDate-D7230, 0)</f>
        <v/>
      </c>
      <c r="J7230">
        <f>IF(F7230&lt;&gt;"", TEXT(F7230, "yyyy-mm"), "")</f>
        <v/>
      </c>
    </row>
    <row r="7231">
      <c r="A7231" t="inlineStr">
        <is>
          <t>RP0007230</t>
        </is>
      </c>
      <c r="B7231" t="inlineStr">
        <is>
          <t>LN201022</t>
        </is>
      </c>
      <c r="C7231" t="n">
        <v>12</v>
      </c>
      <c r="D7231" s="8" t="n">
        <v>46233</v>
      </c>
      <c r="E7231" s="9" t="n">
        <v>6731.47</v>
      </c>
      <c r="F7231" s="8" t="n">
        <v>46232</v>
      </c>
      <c r="G7231" s="9" t="n">
        <v>6731.47</v>
      </c>
      <c r="H7231" t="inlineStr">
        <is>
          <t>PAID_ON_TIME</t>
        </is>
      </c>
      <c r="I7231">
        <f>IF(H7231="UNPAID", AsOfDate-D7231, 0)</f>
        <v/>
      </c>
      <c r="J7231">
        <f>IF(F7231&lt;&gt;"", TEXT(F7231, "yyyy-mm"), "")</f>
        <v/>
      </c>
    </row>
    <row r="7232">
      <c r="A7232" t="inlineStr">
        <is>
          <t>RP0007231</t>
        </is>
      </c>
      <c r="B7232" t="inlineStr">
        <is>
          <t>LN201022</t>
        </is>
      </c>
      <c r="C7232" t="n">
        <v>13</v>
      </c>
      <c r="D7232" s="8" t="n">
        <v>46264</v>
      </c>
      <c r="E7232" s="9" t="n">
        <v>6731.47</v>
      </c>
      <c r="F7232" s="8" t="n"/>
      <c r="G7232" s="9" t="n">
        <v>0</v>
      </c>
      <c r="H7232" t="inlineStr">
        <is>
          <t>UNPAID</t>
        </is>
      </c>
      <c r="I7232">
        <f>IF(H7232="UNPAID", AsOfDate-D7232, 0)</f>
        <v/>
      </c>
      <c r="J7232">
        <f>IF(F7232&lt;&gt;"", TEXT(F7232, "yyyy-mm"), "")</f>
        <v/>
      </c>
    </row>
    <row r="7233">
      <c r="A7233" t="inlineStr">
        <is>
          <t>RP0007232</t>
        </is>
      </c>
      <c r="B7233" t="inlineStr">
        <is>
          <t>LN201022</t>
        </is>
      </c>
      <c r="C7233" t="n">
        <v>14</v>
      </c>
      <c r="D7233" s="8" t="n">
        <v>46295</v>
      </c>
      <c r="E7233" s="9" t="n">
        <v>6731.47</v>
      </c>
      <c r="F7233" s="8" t="n"/>
      <c r="G7233" s="9" t="n">
        <v>0</v>
      </c>
      <c r="H7233" t="inlineStr">
        <is>
          <t>NOT_DUE</t>
        </is>
      </c>
      <c r="I7233">
        <f>IF(H7233="UNPAID", AsOfDate-D7233, 0)</f>
        <v/>
      </c>
      <c r="J7233">
        <f>IF(F7233&lt;&gt;"", TEXT(F7233, "yyyy-mm"), "")</f>
        <v/>
      </c>
    </row>
    <row r="7234">
      <c r="A7234" t="inlineStr">
        <is>
          <t>RP0007233</t>
        </is>
      </c>
      <c r="B7234" t="inlineStr">
        <is>
          <t>LN201022</t>
        </is>
      </c>
      <c r="C7234" t="n">
        <v>15</v>
      </c>
      <c r="D7234" s="8" t="n">
        <v>46325</v>
      </c>
      <c r="E7234" s="9" t="n">
        <v>6731.47</v>
      </c>
      <c r="F7234" s="8" t="n"/>
      <c r="G7234" s="9" t="n">
        <v>0</v>
      </c>
      <c r="H7234" t="inlineStr">
        <is>
          <t>NOT_DUE</t>
        </is>
      </c>
      <c r="I7234">
        <f>IF(H7234="UNPAID", AsOfDate-D7234, 0)</f>
        <v/>
      </c>
      <c r="J7234">
        <f>IF(F7234&lt;&gt;"", TEXT(F7234, "yyyy-mm"), "")</f>
        <v/>
      </c>
    </row>
    <row r="7235">
      <c r="A7235" t="inlineStr">
        <is>
          <t>RP0007234</t>
        </is>
      </c>
      <c r="B7235" t="inlineStr">
        <is>
          <t>LN201022</t>
        </is>
      </c>
      <c r="C7235" t="n">
        <v>16</v>
      </c>
      <c r="D7235" s="8" t="n">
        <v>46356</v>
      </c>
      <c r="E7235" s="9" t="n">
        <v>6731.47</v>
      </c>
      <c r="F7235" s="8" t="n"/>
      <c r="G7235" s="9" t="n">
        <v>0</v>
      </c>
      <c r="H7235" t="inlineStr">
        <is>
          <t>NOT_DUE</t>
        </is>
      </c>
      <c r="I7235">
        <f>IF(H7235="UNPAID", AsOfDate-D7235, 0)</f>
        <v/>
      </c>
      <c r="J7235">
        <f>IF(F7235&lt;&gt;"", TEXT(F7235, "yyyy-mm"), "")</f>
        <v/>
      </c>
    </row>
    <row r="7236">
      <c r="A7236" t="inlineStr">
        <is>
          <t>RP0007235</t>
        </is>
      </c>
      <c r="B7236" t="inlineStr">
        <is>
          <t>LN201022</t>
        </is>
      </c>
      <c r="C7236" t="n">
        <v>17</v>
      </c>
      <c r="D7236" s="8" t="n">
        <v>46386</v>
      </c>
      <c r="E7236" s="9" t="n">
        <v>6731.47</v>
      </c>
      <c r="F7236" s="8" t="n"/>
      <c r="G7236" s="9" t="n">
        <v>0</v>
      </c>
      <c r="H7236" t="inlineStr">
        <is>
          <t>NOT_DUE</t>
        </is>
      </c>
      <c r="I7236">
        <f>IF(H7236="UNPAID", AsOfDate-D7236, 0)</f>
        <v/>
      </c>
      <c r="J7236">
        <f>IF(F7236&lt;&gt;"", TEXT(F7236, "yyyy-mm"), "")</f>
        <v/>
      </c>
    </row>
    <row r="7237">
      <c r="A7237" t="inlineStr">
        <is>
          <t>RP0007236</t>
        </is>
      </c>
      <c r="B7237" t="inlineStr">
        <is>
          <t>LN201022</t>
        </is>
      </c>
      <c r="C7237" t="n">
        <v>18</v>
      </c>
      <c r="D7237" s="8" t="n">
        <v>46417</v>
      </c>
      <c r="E7237" s="9" t="n">
        <v>6731.47</v>
      </c>
      <c r="F7237" s="8" t="n"/>
      <c r="G7237" s="9" t="n">
        <v>0</v>
      </c>
      <c r="H7237" t="inlineStr">
        <is>
          <t>NOT_DUE</t>
        </is>
      </c>
      <c r="I7237">
        <f>IF(H7237="UNPAID", AsOfDate-D7237, 0)</f>
        <v/>
      </c>
      <c r="J7237">
        <f>IF(F7237&lt;&gt;"", TEXT(F7237, "yyyy-mm"), "")</f>
        <v/>
      </c>
    </row>
    <row r="7238">
      <c r="A7238" t="inlineStr">
        <is>
          <t>RP0007237</t>
        </is>
      </c>
      <c r="B7238" t="inlineStr">
        <is>
          <t>LN201023</t>
        </is>
      </c>
      <c r="C7238" t="n">
        <v>1</v>
      </c>
      <c r="D7238" s="8" t="n">
        <v>45803</v>
      </c>
      <c r="E7238" s="9" t="n">
        <v>68721.33</v>
      </c>
      <c r="F7238" s="8" t="n">
        <v>45803</v>
      </c>
      <c r="G7238" s="9" t="n">
        <v>68721.33</v>
      </c>
      <c r="H7238" t="inlineStr">
        <is>
          <t>PAID_ON_TIME</t>
        </is>
      </c>
      <c r="I7238">
        <f>IF(H7238="UNPAID", AsOfDate-D7238, 0)</f>
        <v/>
      </c>
      <c r="J7238">
        <f>IF(F7238&lt;&gt;"", TEXT(F7238, "yyyy-mm"), "")</f>
        <v/>
      </c>
    </row>
    <row r="7239">
      <c r="A7239" t="inlineStr">
        <is>
          <t>RP0007238</t>
        </is>
      </c>
      <c r="B7239" t="inlineStr">
        <is>
          <t>LN201023</t>
        </is>
      </c>
      <c r="C7239" t="n">
        <v>2</v>
      </c>
      <c r="D7239" s="8" t="n">
        <v>45834</v>
      </c>
      <c r="E7239" s="9" t="n">
        <v>68721.33</v>
      </c>
      <c r="F7239" s="8" t="n">
        <v>45832</v>
      </c>
      <c r="G7239" s="9" t="n">
        <v>68721.33</v>
      </c>
      <c r="H7239" t="inlineStr">
        <is>
          <t>PAID_ON_TIME</t>
        </is>
      </c>
      <c r="I7239">
        <f>IF(H7239="UNPAID", AsOfDate-D7239, 0)</f>
        <v/>
      </c>
      <c r="J7239">
        <f>IF(F7239&lt;&gt;"", TEXT(F7239, "yyyy-mm"), "")</f>
        <v/>
      </c>
    </row>
    <row r="7240">
      <c r="A7240" t="inlineStr">
        <is>
          <t>RP0007239</t>
        </is>
      </c>
      <c r="B7240" t="inlineStr">
        <is>
          <t>LN201023</t>
        </is>
      </c>
      <c r="C7240" t="n">
        <v>3</v>
      </c>
      <c r="D7240" s="8" t="n">
        <v>45864</v>
      </c>
      <c r="E7240" s="9" t="n">
        <v>68721.33</v>
      </c>
      <c r="F7240" s="8" t="n">
        <v>45863</v>
      </c>
      <c r="G7240" s="9" t="n">
        <v>68721.33</v>
      </c>
      <c r="H7240" t="inlineStr">
        <is>
          <t>PAID_ON_TIME</t>
        </is>
      </c>
      <c r="I7240">
        <f>IF(H7240="UNPAID", AsOfDate-D7240, 0)</f>
        <v/>
      </c>
      <c r="J7240">
        <f>IF(F7240&lt;&gt;"", TEXT(F7240, "yyyy-mm"), "")</f>
        <v/>
      </c>
    </row>
    <row r="7241">
      <c r="A7241" t="inlineStr">
        <is>
          <t>RP0007240</t>
        </is>
      </c>
      <c r="B7241" t="inlineStr">
        <is>
          <t>LN201024</t>
        </is>
      </c>
      <c r="C7241" t="n">
        <v>1</v>
      </c>
      <c r="D7241" s="8" t="n">
        <v>45840</v>
      </c>
      <c r="E7241" s="9" t="n">
        <v>5175.33</v>
      </c>
      <c r="F7241" s="8" t="n">
        <v>45839</v>
      </c>
      <c r="G7241" s="9" t="n">
        <v>5175.33</v>
      </c>
      <c r="H7241" t="inlineStr">
        <is>
          <t>PAID_ON_TIME</t>
        </is>
      </c>
      <c r="I7241">
        <f>IF(H7241="UNPAID", AsOfDate-D7241, 0)</f>
        <v/>
      </c>
      <c r="J7241">
        <f>IF(F7241&lt;&gt;"", TEXT(F7241, "yyyy-mm"), "")</f>
        <v/>
      </c>
    </row>
    <row r="7242">
      <c r="A7242" t="inlineStr">
        <is>
          <t>RP0007241</t>
        </is>
      </c>
      <c r="B7242" t="inlineStr">
        <is>
          <t>LN201024</t>
        </is>
      </c>
      <c r="C7242" t="n">
        <v>2</v>
      </c>
      <c r="D7242" s="8" t="n">
        <v>45871</v>
      </c>
      <c r="E7242" s="9" t="n">
        <v>5175.33</v>
      </c>
      <c r="F7242" s="8" t="n">
        <v>45872</v>
      </c>
      <c r="G7242" s="9" t="n">
        <v>5175.33</v>
      </c>
      <c r="H7242" t="inlineStr">
        <is>
          <t>PAID_ON_TIME</t>
        </is>
      </c>
      <c r="I7242">
        <f>IF(H7242="UNPAID", AsOfDate-D7242, 0)</f>
        <v/>
      </c>
      <c r="J7242">
        <f>IF(F7242&lt;&gt;"", TEXT(F7242, "yyyy-mm"), "")</f>
        <v/>
      </c>
    </row>
    <row r="7243">
      <c r="A7243" t="inlineStr">
        <is>
          <t>RP0007242</t>
        </is>
      </c>
      <c r="B7243" t="inlineStr">
        <is>
          <t>LN201024</t>
        </is>
      </c>
      <c r="C7243" t="n">
        <v>3</v>
      </c>
      <c r="D7243" s="8" t="n">
        <v>45902</v>
      </c>
      <c r="E7243" s="9" t="n">
        <v>5175.33</v>
      </c>
      <c r="F7243" s="8" t="n">
        <v>45903</v>
      </c>
      <c r="G7243" s="9" t="n">
        <v>5175.33</v>
      </c>
      <c r="H7243" t="inlineStr">
        <is>
          <t>PAID_ON_TIME</t>
        </is>
      </c>
      <c r="I7243">
        <f>IF(H7243="UNPAID", AsOfDate-D7243, 0)</f>
        <v/>
      </c>
      <c r="J7243">
        <f>IF(F7243&lt;&gt;"", TEXT(F7243, "yyyy-mm"), "")</f>
        <v/>
      </c>
    </row>
    <row r="7244">
      <c r="A7244" t="inlineStr">
        <is>
          <t>RP0007243</t>
        </is>
      </c>
      <c r="B7244" t="inlineStr">
        <is>
          <t>LN201024</t>
        </is>
      </c>
      <c r="C7244" t="n">
        <v>4</v>
      </c>
      <c r="D7244" s="8" t="n">
        <v>45932</v>
      </c>
      <c r="E7244" s="9" t="n">
        <v>5175.33</v>
      </c>
      <c r="F7244" s="8" t="n"/>
      <c r="G7244" s="9" t="n">
        <v>0</v>
      </c>
      <c r="H7244" t="inlineStr">
        <is>
          <t>UNPAID</t>
        </is>
      </c>
      <c r="I7244">
        <f>IF(H7244="UNPAID", AsOfDate-D7244, 0)</f>
        <v/>
      </c>
      <c r="J7244">
        <f>IF(F7244&lt;&gt;"", TEXT(F7244, "yyyy-mm"), "")</f>
        <v/>
      </c>
    </row>
    <row r="7245">
      <c r="A7245" t="inlineStr">
        <is>
          <t>RP0007244</t>
        </is>
      </c>
      <c r="B7245" t="inlineStr">
        <is>
          <t>LN201024</t>
        </is>
      </c>
      <c r="C7245" t="n">
        <v>5</v>
      </c>
      <c r="D7245" s="8" t="n">
        <v>45963</v>
      </c>
      <c r="E7245" s="9" t="n">
        <v>5175.33</v>
      </c>
      <c r="F7245" s="8" t="n">
        <v>45962</v>
      </c>
      <c r="G7245" s="9" t="n">
        <v>5175.33</v>
      </c>
      <c r="H7245" t="inlineStr">
        <is>
          <t>PAID_ON_TIME</t>
        </is>
      </c>
      <c r="I7245">
        <f>IF(H7245="UNPAID", AsOfDate-D7245, 0)</f>
        <v/>
      </c>
      <c r="J7245">
        <f>IF(F7245&lt;&gt;"", TEXT(F7245, "yyyy-mm"), "")</f>
        <v/>
      </c>
    </row>
    <row r="7246">
      <c r="A7246" t="inlineStr">
        <is>
          <t>RP0007245</t>
        </is>
      </c>
      <c r="B7246" t="inlineStr">
        <is>
          <t>LN201024</t>
        </is>
      </c>
      <c r="C7246" t="n">
        <v>6</v>
      </c>
      <c r="D7246" s="8" t="n">
        <v>45993</v>
      </c>
      <c r="E7246" s="9" t="n">
        <v>5175.33</v>
      </c>
      <c r="F7246" s="8" t="n">
        <v>45996</v>
      </c>
      <c r="G7246" s="9" t="n">
        <v>5175.33</v>
      </c>
      <c r="H7246" t="inlineStr">
        <is>
          <t>PAID_ON_TIME</t>
        </is>
      </c>
      <c r="I7246">
        <f>IF(H7246="UNPAID", AsOfDate-D7246, 0)</f>
        <v/>
      </c>
      <c r="J7246">
        <f>IF(F7246&lt;&gt;"", TEXT(F7246, "yyyy-mm"), "")</f>
        <v/>
      </c>
    </row>
    <row r="7247">
      <c r="A7247" t="inlineStr">
        <is>
          <t>RP0007246</t>
        </is>
      </c>
      <c r="B7247" t="inlineStr">
        <is>
          <t>LN201025</t>
        </is>
      </c>
      <c r="C7247" t="n">
        <v>1</v>
      </c>
      <c r="D7247" s="8" t="n">
        <v>46202</v>
      </c>
      <c r="E7247" s="9" t="n">
        <v>6970</v>
      </c>
      <c r="F7247" s="8" t="n">
        <v>46202</v>
      </c>
      <c r="G7247" s="9" t="n">
        <v>6970</v>
      </c>
      <c r="H7247" t="inlineStr">
        <is>
          <t>PAID_ON_TIME</t>
        </is>
      </c>
      <c r="I7247">
        <f>IF(H7247="UNPAID", AsOfDate-D7247, 0)</f>
        <v/>
      </c>
      <c r="J7247">
        <f>IF(F7247&lt;&gt;"", TEXT(F7247, "yyyy-mm"), "")</f>
        <v/>
      </c>
    </row>
    <row r="7248">
      <c r="A7248" t="inlineStr">
        <is>
          <t>RP0007247</t>
        </is>
      </c>
      <c r="B7248" t="inlineStr">
        <is>
          <t>LN201025</t>
        </is>
      </c>
      <c r="C7248" t="n">
        <v>2</v>
      </c>
      <c r="D7248" s="8" t="n">
        <v>46232</v>
      </c>
      <c r="E7248" s="9" t="n">
        <v>6970</v>
      </c>
      <c r="F7248" s="8" t="n">
        <v>46234</v>
      </c>
      <c r="G7248" s="9" t="n">
        <v>6970</v>
      </c>
      <c r="H7248" t="inlineStr">
        <is>
          <t>PAID_ON_TIME</t>
        </is>
      </c>
      <c r="I7248">
        <f>IF(H7248="UNPAID", AsOfDate-D7248, 0)</f>
        <v/>
      </c>
      <c r="J7248">
        <f>IF(F7248&lt;&gt;"", TEXT(F7248, "yyyy-mm"), "")</f>
        <v/>
      </c>
    </row>
    <row r="7249">
      <c r="A7249" t="inlineStr">
        <is>
          <t>RP0007248</t>
        </is>
      </c>
      <c r="B7249" t="inlineStr">
        <is>
          <t>LN201025</t>
        </is>
      </c>
      <c r="C7249" t="n">
        <v>3</v>
      </c>
      <c r="D7249" s="8" t="n">
        <v>46263</v>
      </c>
      <c r="E7249" s="9" t="n">
        <v>6970</v>
      </c>
      <c r="F7249" s="8" t="n">
        <v>46260</v>
      </c>
      <c r="G7249" s="9" t="n">
        <v>6970</v>
      </c>
      <c r="H7249" t="inlineStr">
        <is>
          <t>PAID_ON_TIME</t>
        </is>
      </c>
      <c r="I7249">
        <f>IF(H7249="UNPAID", AsOfDate-D7249, 0)</f>
        <v/>
      </c>
      <c r="J7249">
        <f>IF(F7249&lt;&gt;"", TEXT(F7249, "yyyy-mm"), "")</f>
        <v/>
      </c>
    </row>
    <row r="7250">
      <c r="A7250" t="inlineStr">
        <is>
          <t>RP0007249</t>
        </is>
      </c>
      <c r="B7250" t="inlineStr">
        <is>
          <t>LN201026</t>
        </is>
      </c>
      <c r="C7250" t="n">
        <v>1</v>
      </c>
      <c r="D7250" s="8" t="n">
        <v>46140</v>
      </c>
      <c r="E7250" s="9" t="n">
        <v>6936.67</v>
      </c>
      <c r="F7250" s="8" t="n">
        <v>46144</v>
      </c>
      <c r="G7250" s="9" t="n">
        <v>6936.67</v>
      </c>
      <c r="H7250" t="inlineStr">
        <is>
          <t>PAID_ON_TIME</t>
        </is>
      </c>
      <c r="I7250">
        <f>IF(H7250="UNPAID", AsOfDate-D7250, 0)</f>
        <v/>
      </c>
      <c r="J7250">
        <f>IF(F7250&lt;&gt;"", TEXT(F7250, "yyyy-mm"), "")</f>
        <v/>
      </c>
    </row>
    <row r="7251">
      <c r="A7251" t="inlineStr">
        <is>
          <t>RP0007250</t>
        </is>
      </c>
      <c r="B7251" t="inlineStr">
        <is>
          <t>LN201026</t>
        </is>
      </c>
      <c r="C7251" t="n">
        <v>2</v>
      </c>
      <c r="D7251" s="8" t="n">
        <v>46170</v>
      </c>
      <c r="E7251" s="9" t="n">
        <v>6936.67</v>
      </c>
      <c r="F7251" s="8" t="n">
        <v>46174</v>
      </c>
      <c r="G7251" s="9" t="n">
        <v>6936.67</v>
      </c>
      <c r="H7251" t="inlineStr">
        <is>
          <t>PAID_ON_TIME</t>
        </is>
      </c>
      <c r="I7251">
        <f>IF(H7251="UNPAID", AsOfDate-D7251, 0)</f>
        <v/>
      </c>
      <c r="J7251">
        <f>IF(F7251&lt;&gt;"", TEXT(F7251, "yyyy-mm"), "")</f>
        <v/>
      </c>
    </row>
    <row r="7252">
      <c r="A7252" t="inlineStr">
        <is>
          <t>RP0007251</t>
        </is>
      </c>
      <c r="B7252" t="inlineStr">
        <is>
          <t>LN201026</t>
        </is>
      </c>
      <c r="C7252" t="n">
        <v>3</v>
      </c>
      <c r="D7252" s="8" t="n">
        <v>46201</v>
      </c>
      <c r="E7252" s="9" t="n">
        <v>6936.67</v>
      </c>
      <c r="F7252" s="8" t="n">
        <v>46201</v>
      </c>
      <c r="G7252" s="9" t="n">
        <v>6936.67</v>
      </c>
      <c r="H7252" t="inlineStr">
        <is>
          <t>PAID_ON_TIME</t>
        </is>
      </c>
      <c r="I7252">
        <f>IF(H7252="UNPAID", AsOfDate-D7252, 0)</f>
        <v/>
      </c>
      <c r="J7252">
        <f>IF(F7252&lt;&gt;"", TEXT(F7252, "yyyy-mm"), "")</f>
        <v/>
      </c>
    </row>
    <row r="7253">
      <c r="A7253" t="inlineStr">
        <is>
          <t>RP0007252</t>
        </is>
      </c>
      <c r="B7253" t="inlineStr">
        <is>
          <t>LN201027</t>
        </is>
      </c>
      <c r="C7253" t="n">
        <v>1</v>
      </c>
      <c r="D7253" s="8" t="n">
        <v>46159</v>
      </c>
      <c r="E7253" s="9" t="n">
        <v>15985.64</v>
      </c>
      <c r="F7253" s="8" t="n">
        <v>46160</v>
      </c>
      <c r="G7253" s="9" t="n">
        <v>15985.64</v>
      </c>
      <c r="H7253" t="inlineStr">
        <is>
          <t>PAID_ON_TIME</t>
        </is>
      </c>
      <c r="I7253">
        <f>IF(H7253="UNPAID", AsOfDate-D7253, 0)</f>
        <v/>
      </c>
      <c r="J7253">
        <f>IF(F7253&lt;&gt;"", TEXT(F7253, "yyyy-mm"), "")</f>
        <v/>
      </c>
    </row>
    <row r="7254">
      <c r="A7254" t="inlineStr">
        <is>
          <t>RP0007253</t>
        </is>
      </c>
      <c r="B7254" t="inlineStr">
        <is>
          <t>LN201027</t>
        </is>
      </c>
      <c r="C7254" t="n">
        <v>2</v>
      </c>
      <c r="D7254" s="8" t="n">
        <v>46190</v>
      </c>
      <c r="E7254" s="9" t="n">
        <v>15985.64</v>
      </c>
      <c r="F7254" s="8" t="n">
        <v>46193</v>
      </c>
      <c r="G7254" s="9" t="n">
        <v>15985.64</v>
      </c>
      <c r="H7254" t="inlineStr">
        <is>
          <t>PAID_ON_TIME</t>
        </is>
      </c>
      <c r="I7254">
        <f>IF(H7254="UNPAID", AsOfDate-D7254, 0)</f>
        <v/>
      </c>
      <c r="J7254">
        <f>IF(F7254&lt;&gt;"", TEXT(F7254, "yyyy-mm"), "")</f>
        <v/>
      </c>
    </row>
    <row r="7255">
      <c r="A7255" t="inlineStr">
        <is>
          <t>RP0007254</t>
        </is>
      </c>
      <c r="B7255" t="inlineStr">
        <is>
          <t>LN201027</t>
        </is>
      </c>
      <c r="C7255" t="n">
        <v>3</v>
      </c>
      <c r="D7255" s="8" t="n">
        <v>46220</v>
      </c>
      <c r="E7255" s="9" t="n">
        <v>15985.64</v>
      </c>
      <c r="F7255" s="8" t="n">
        <v>46218</v>
      </c>
      <c r="G7255" s="9" t="n">
        <v>15985.64</v>
      </c>
      <c r="H7255" t="inlineStr">
        <is>
          <t>PAID_ON_TIME</t>
        </is>
      </c>
      <c r="I7255">
        <f>IF(H7255="UNPAID", AsOfDate-D7255, 0)</f>
        <v/>
      </c>
      <c r="J7255">
        <f>IF(F7255&lt;&gt;"", TEXT(F7255, "yyyy-mm"), "")</f>
        <v/>
      </c>
    </row>
    <row r="7256">
      <c r="A7256" t="inlineStr">
        <is>
          <t>RP0007255</t>
        </is>
      </c>
      <c r="B7256" t="inlineStr">
        <is>
          <t>LN201027</t>
        </is>
      </c>
      <c r="C7256" t="n">
        <v>4</v>
      </c>
      <c r="D7256" s="8" t="n">
        <v>46251</v>
      </c>
      <c r="E7256" s="9" t="n">
        <v>15985.64</v>
      </c>
      <c r="F7256" s="8" t="n">
        <v>46251</v>
      </c>
      <c r="G7256" s="9" t="n">
        <v>15985.64</v>
      </c>
      <c r="H7256" t="inlineStr">
        <is>
          <t>PAID_ON_TIME</t>
        </is>
      </c>
      <c r="I7256">
        <f>IF(H7256="UNPAID", AsOfDate-D7256, 0)</f>
        <v/>
      </c>
      <c r="J7256">
        <f>IF(F7256&lt;&gt;"", TEXT(F7256, "yyyy-mm"), "")</f>
        <v/>
      </c>
    </row>
    <row r="7257">
      <c r="A7257" t="inlineStr">
        <is>
          <t>RP0007256</t>
        </is>
      </c>
      <c r="B7257" t="inlineStr">
        <is>
          <t>LN201027</t>
        </is>
      </c>
      <c r="C7257" t="n">
        <v>5</v>
      </c>
      <c r="D7257" s="8" t="n">
        <v>46282</v>
      </c>
      <c r="E7257" s="9" t="n">
        <v>15985.64</v>
      </c>
      <c r="F7257" s="8" t="n"/>
      <c r="G7257" s="9" t="n">
        <v>0</v>
      </c>
      <c r="H7257" t="inlineStr">
        <is>
          <t>NOT_DUE</t>
        </is>
      </c>
      <c r="I7257">
        <f>IF(H7257="UNPAID", AsOfDate-D7257, 0)</f>
        <v/>
      </c>
      <c r="J7257">
        <f>IF(F7257&lt;&gt;"", TEXT(F7257, "yyyy-mm"), "")</f>
        <v/>
      </c>
    </row>
    <row r="7258">
      <c r="A7258" t="inlineStr">
        <is>
          <t>RP0007257</t>
        </is>
      </c>
      <c r="B7258" t="inlineStr">
        <is>
          <t>LN201027</t>
        </is>
      </c>
      <c r="C7258" t="n">
        <v>6</v>
      </c>
      <c r="D7258" s="8" t="n">
        <v>46312</v>
      </c>
      <c r="E7258" s="9" t="n">
        <v>15985.64</v>
      </c>
      <c r="F7258" s="8" t="n"/>
      <c r="G7258" s="9" t="n">
        <v>0</v>
      </c>
      <c r="H7258" t="inlineStr">
        <is>
          <t>NOT_DUE</t>
        </is>
      </c>
      <c r="I7258">
        <f>IF(H7258="UNPAID", AsOfDate-D7258, 0)</f>
        <v/>
      </c>
      <c r="J7258">
        <f>IF(F7258&lt;&gt;"", TEXT(F7258, "yyyy-mm"), "")</f>
        <v/>
      </c>
    </row>
    <row r="7259">
      <c r="A7259" t="inlineStr">
        <is>
          <t>RP0007258</t>
        </is>
      </c>
      <c r="B7259" t="inlineStr">
        <is>
          <t>LN201027</t>
        </is>
      </c>
      <c r="C7259" t="n">
        <v>7</v>
      </c>
      <c r="D7259" s="8" t="n">
        <v>46343</v>
      </c>
      <c r="E7259" s="9" t="n">
        <v>15985.64</v>
      </c>
      <c r="F7259" s="8" t="n"/>
      <c r="G7259" s="9" t="n">
        <v>0</v>
      </c>
      <c r="H7259" t="inlineStr">
        <is>
          <t>NOT_DUE</t>
        </is>
      </c>
      <c r="I7259">
        <f>IF(H7259="UNPAID", AsOfDate-D7259, 0)</f>
        <v/>
      </c>
      <c r="J7259">
        <f>IF(F7259&lt;&gt;"", TEXT(F7259, "yyyy-mm"), "")</f>
        <v/>
      </c>
    </row>
    <row r="7260">
      <c r="A7260" t="inlineStr">
        <is>
          <t>RP0007259</t>
        </is>
      </c>
      <c r="B7260" t="inlineStr">
        <is>
          <t>LN201027</t>
        </is>
      </c>
      <c r="C7260" t="n">
        <v>8</v>
      </c>
      <c r="D7260" s="8" t="n">
        <v>46373</v>
      </c>
      <c r="E7260" s="9" t="n">
        <v>15985.64</v>
      </c>
      <c r="F7260" s="8" t="n"/>
      <c r="G7260" s="9" t="n">
        <v>0</v>
      </c>
      <c r="H7260" t="inlineStr">
        <is>
          <t>NOT_DUE</t>
        </is>
      </c>
      <c r="I7260">
        <f>IF(H7260="UNPAID", AsOfDate-D7260, 0)</f>
        <v/>
      </c>
      <c r="J7260">
        <f>IF(F7260&lt;&gt;"", TEXT(F7260, "yyyy-mm"), "")</f>
        <v/>
      </c>
    </row>
    <row r="7261">
      <c r="A7261" t="inlineStr">
        <is>
          <t>RP0007260</t>
        </is>
      </c>
      <c r="B7261" t="inlineStr">
        <is>
          <t>LN201027</t>
        </is>
      </c>
      <c r="C7261" t="n">
        <v>9</v>
      </c>
      <c r="D7261" s="8" t="n">
        <v>46404</v>
      </c>
      <c r="E7261" s="9" t="n">
        <v>15985.64</v>
      </c>
      <c r="F7261" s="8" t="n"/>
      <c r="G7261" s="9" t="n">
        <v>0</v>
      </c>
      <c r="H7261" t="inlineStr">
        <is>
          <t>NOT_DUE</t>
        </is>
      </c>
      <c r="I7261">
        <f>IF(H7261="UNPAID", AsOfDate-D7261, 0)</f>
        <v/>
      </c>
      <c r="J7261">
        <f>IF(F7261&lt;&gt;"", TEXT(F7261, "yyyy-mm"), "")</f>
        <v/>
      </c>
    </row>
    <row r="7262">
      <c r="A7262" t="inlineStr">
        <is>
          <t>RP0007261</t>
        </is>
      </c>
      <c r="B7262" t="inlineStr">
        <is>
          <t>LN201029</t>
        </is>
      </c>
      <c r="C7262" t="n">
        <v>1</v>
      </c>
      <c r="D7262" s="8" t="n">
        <v>46031</v>
      </c>
      <c r="E7262" s="9" t="n">
        <v>96318.75</v>
      </c>
      <c r="F7262" s="8" t="n">
        <v>46029</v>
      </c>
      <c r="G7262" s="9" t="n">
        <v>96318.75</v>
      </c>
      <c r="H7262" t="inlineStr">
        <is>
          <t>PAID_ON_TIME</t>
        </is>
      </c>
      <c r="I7262">
        <f>IF(H7262="UNPAID", AsOfDate-D7262, 0)</f>
        <v/>
      </c>
      <c r="J7262">
        <f>IF(F7262&lt;&gt;"", TEXT(F7262, "yyyy-mm"), "")</f>
        <v/>
      </c>
    </row>
    <row r="7263">
      <c r="A7263" t="inlineStr">
        <is>
          <t>RP0007262</t>
        </is>
      </c>
      <c r="B7263" t="inlineStr">
        <is>
          <t>LN201029</t>
        </is>
      </c>
      <c r="C7263" t="n">
        <v>2</v>
      </c>
      <c r="D7263" s="8" t="n">
        <v>46062</v>
      </c>
      <c r="E7263" s="9" t="n">
        <v>96318.75</v>
      </c>
      <c r="F7263" s="8" t="n">
        <v>46066</v>
      </c>
      <c r="G7263" s="9" t="n">
        <v>96318.75</v>
      </c>
      <c r="H7263" t="inlineStr">
        <is>
          <t>PAID_ON_TIME</t>
        </is>
      </c>
      <c r="I7263">
        <f>IF(H7263="UNPAID", AsOfDate-D7263, 0)</f>
        <v/>
      </c>
      <c r="J7263">
        <f>IF(F7263&lt;&gt;"", TEXT(F7263, "yyyy-mm"), "")</f>
        <v/>
      </c>
    </row>
    <row r="7264">
      <c r="A7264" t="inlineStr">
        <is>
          <t>RP0007263</t>
        </is>
      </c>
      <c r="B7264" t="inlineStr">
        <is>
          <t>LN201029</t>
        </is>
      </c>
      <c r="C7264" t="n">
        <v>3</v>
      </c>
      <c r="D7264" s="8" t="n">
        <v>46090</v>
      </c>
      <c r="E7264" s="9" t="n">
        <v>96318.75</v>
      </c>
      <c r="F7264" s="8" t="n">
        <v>46089</v>
      </c>
      <c r="G7264" s="9" t="n">
        <v>96318.75</v>
      </c>
      <c r="H7264" t="inlineStr">
        <is>
          <t>PAID_ON_TIME</t>
        </is>
      </c>
      <c r="I7264">
        <f>IF(H7264="UNPAID", AsOfDate-D7264, 0)</f>
        <v/>
      </c>
      <c r="J7264">
        <f>IF(F7264&lt;&gt;"", TEXT(F7264, "yyyy-mm"), "")</f>
        <v/>
      </c>
    </row>
    <row r="7265">
      <c r="A7265" t="inlineStr">
        <is>
          <t>RP0007264</t>
        </is>
      </c>
      <c r="B7265" t="inlineStr">
        <is>
          <t>LN201030</t>
        </is>
      </c>
      <c r="C7265" t="n">
        <v>1</v>
      </c>
      <c r="D7265" s="8" t="n">
        <v>46090</v>
      </c>
      <c r="E7265" s="9" t="n">
        <v>2807.78</v>
      </c>
      <c r="F7265" s="8" t="n">
        <v>46094</v>
      </c>
      <c r="G7265" s="9" t="n">
        <v>2807.78</v>
      </c>
      <c r="H7265" t="inlineStr">
        <is>
          <t>PAID_ON_TIME</t>
        </is>
      </c>
      <c r="I7265">
        <f>IF(H7265="UNPAID", AsOfDate-D7265, 0)</f>
        <v/>
      </c>
      <c r="J7265">
        <f>IF(F7265&lt;&gt;"", TEXT(F7265, "yyyy-mm"), "")</f>
        <v/>
      </c>
    </row>
    <row r="7266">
      <c r="A7266" t="inlineStr">
        <is>
          <t>RP0007265</t>
        </is>
      </c>
      <c r="B7266" t="inlineStr">
        <is>
          <t>LN201030</t>
        </is>
      </c>
      <c r="C7266" t="n">
        <v>2</v>
      </c>
      <c r="D7266" s="8" t="n">
        <v>46121</v>
      </c>
      <c r="E7266" s="9" t="n">
        <v>2807.78</v>
      </c>
      <c r="F7266" s="8" t="n">
        <v>46124</v>
      </c>
      <c r="G7266" s="9" t="n">
        <v>2807.78</v>
      </c>
      <c r="H7266" t="inlineStr">
        <is>
          <t>PAID_ON_TIME</t>
        </is>
      </c>
      <c r="I7266">
        <f>IF(H7266="UNPAID", AsOfDate-D7266, 0)</f>
        <v/>
      </c>
      <c r="J7266">
        <f>IF(F7266&lt;&gt;"", TEXT(F7266, "yyyy-mm"), "")</f>
        <v/>
      </c>
    </row>
    <row r="7267">
      <c r="A7267" t="inlineStr">
        <is>
          <t>RP0007266</t>
        </is>
      </c>
      <c r="B7267" t="inlineStr">
        <is>
          <t>LN201030</t>
        </is>
      </c>
      <c r="C7267" t="n">
        <v>3</v>
      </c>
      <c r="D7267" s="8" t="n">
        <v>46151</v>
      </c>
      <c r="E7267" s="9" t="n">
        <v>2807.78</v>
      </c>
      <c r="F7267" s="8" t="n">
        <v>46155</v>
      </c>
      <c r="G7267" s="9" t="n">
        <v>2807.78</v>
      </c>
      <c r="H7267" t="inlineStr">
        <is>
          <t>PAID_ON_TIME</t>
        </is>
      </c>
      <c r="I7267">
        <f>IF(H7267="UNPAID", AsOfDate-D7267, 0)</f>
        <v/>
      </c>
      <c r="J7267">
        <f>IF(F7267&lt;&gt;"", TEXT(F7267, "yyyy-mm"), "")</f>
        <v/>
      </c>
    </row>
    <row r="7268">
      <c r="A7268" t="inlineStr">
        <is>
          <t>RP0007267</t>
        </is>
      </c>
      <c r="B7268" t="inlineStr">
        <is>
          <t>LN201030</t>
        </is>
      </c>
      <c r="C7268" t="n">
        <v>4</v>
      </c>
      <c r="D7268" s="8" t="n">
        <v>46182</v>
      </c>
      <c r="E7268" s="9" t="n">
        <v>2807.78</v>
      </c>
      <c r="F7268" s="8" t="n">
        <v>46184</v>
      </c>
      <c r="G7268" s="9" t="n">
        <v>2807.78</v>
      </c>
      <c r="H7268" t="inlineStr">
        <is>
          <t>PAID_ON_TIME</t>
        </is>
      </c>
      <c r="I7268">
        <f>IF(H7268="UNPAID", AsOfDate-D7268, 0)</f>
        <v/>
      </c>
      <c r="J7268">
        <f>IF(F7268&lt;&gt;"", TEXT(F7268, "yyyy-mm"), "")</f>
        <v/>
      </c>
    </row>
    <row r="7269">
      <c r="A7269" t="inlineStr">
        <is>
          <t>RP0007268</t>
        </is>
      </c>
      <c r="B7269" t="inlineStr">
        <is>
          <t>LN201030</t>
        </is>
      </c>
      <c r="C7269" t="n">
        <v>5</v>
      </c>
      <c r="D7269" s="8" t="n">
        <v>46212</v>
      </c>
      <c r="E7269" s="9" t="n">
        <v>2807.78</v>
      </c>
      <c r="F7269" s="8" t="n">
        <v>46214</v>
      </c>
      <c r="G7269" s="9" t="n">
        <v>2807.78</v>
      </c>
      <c r="H7269" t="inlineStr">
        <is>
          <t>PAID_ON_TIME</t>
        </is>
      </c>
      <c r="I7269">
        <f>IF(H7269="UNPAID", AsOfDate-D7269, 0)</f>
        <v/>
      </c>
      <c r="J7269">
        <f>IF(F7269&lt;&gt;"", TEXT(F7269, "yyyy-mm"), "")</f>
        <v/>
      </c>
    </row>
    <row r="7270">
      <c r="A7270" t="inlineStr">
        <is>
          <t>RP0007269</t>
        </is>
      </c>
      <c r="B7270" t="inlineStr">
        <is>
          <t>LN201030</t>
        </is>
      </c>
      <c r="C7270" t="n">
        <v>6</v>
      </c>
      <c r="D7270" s="8" t="n">
        <v>46243</v>
      </c>
      <c r="E7270" s="9" t="n">
        <v>2807.78</v>
      </c>
      <c r="F7270" s="8" t="n">
        <v>46245</v>
      </c>
      <c r="G7270" s="9" t="n">
        <v>2807.78</v>
      </c>
      <c r="H7270" t="inlineStr">
        <is>
          <t>PAID_ON_TIME</t>
        </is>
      </c>
      <c r="I7270">
        <f>IF(H7270="UNPAID", AsOfDate-D7270, 0)</f>
        <v/>
      </c>
      <c r="J7270">
        <f>IF(F7270&lt;&gt;"", TEXT(F7270, "yyyy-mm"), "")</f>
        <v/>
      </c>
    </row>
    <row r="7271">
      <c r="A7271" t="inlineStr">
        <is>
          <t>RP0007270</t>
        </is>
      </c>
      <c r="B7271" t="inlineStr">
        <is>
          <t>LN201030</t>
        </is>
      </c>
      <c r="C7271" t="n">
        <v>7</v>
      </c>
      <c r="D7271" s="8" t="n">
        <v>46274</v>
      </c>
      <c r="E7271" s="9" t="n">
        <v>2807.78</v>
      </c>
      <c r="F7271" s="8" t="n"/>
      <c r="G7271" s="9" t="n">
        <v>0</v>
      </c>
      <c r="H7271" t="inlineStr">
        <is>
          <t>NOT_DUE</t>
        </is>
      </c>
      <c r="I7271">
        <f>IF(H7271="UNPAID", AsOfDate-D7271, 0)</f>
        <v/>
      </c>
      <c r="J7271">
        <f>IF(F7271&lt;&gt;"", TEXT(F7271, "yyyy-mm"), "")</f>
        <v/>
      </c>
    </row>
    <row r="7272">
      <c r="A7272" t="inlineStr">
        <is>
          <t>RP0007271</t>
        </is>
      </c>
      <c r="B7272" t="inlineStr">
        <is>
          <t>LN201030</t>
        </is>
      </c>
      <c r="C7272" t="n">
        <v>8</v>
      </c>
      <c r="D7272" s="8" t="n">
        <v>46304</v>
      </c>
      <c r="E7272" s="9" t="n">
        <v>2807.78</v>
      </c>
      <c r="F7272" s="8" t="n"/>
      <c r="G7272" s="9" t="n">
        <v>0</v>
      </c>
      <c r="H7272" t="inlineStr">
        <is>
          <t>NOT_DUE</t>
        </is>
      </c>
      <c r="I7272">
        <f>IF(H7272="UNPAID", AsOfDate-D7272, 0)</f>
        <v/>
      </c>
      <c r="J7272">
        <f>IF(F7272&lt;&gt;"", TEXT(F7272, "yyyy-mm"), "")</f>
        <v/>
      </c>
    </row>
    <row r="7273">
      <c r="A7273" t="inlineStr">
        <is>
          <t>RP0007272</t>
        </is>
      </c>
      <c r="B7273" t="inlineStr">
        <is>
          <t>LN201030</t>
        </is>
      </c>
      <c r="C7273" t="n">
        <v>9</v>
      </c>
      <c r="D7273" s="8" t="n">
        <v>46335</v>
      </c>
      <c r="E7273" s="9" t="n">
        <v>2807.78</v>
      </c>
      <c r="F7273" s="8" t="n"/>
      <c r="G7273" s="9" t="n">
        <v>0</v>
      </c>
      <c r="H7273" t="inlineStr">
        <is>
          <t>NOT_DUE</t>
        </is>
      </c>
      <c r="I7273">
        <f>IF(H7273="UNPAID", AsOfDate-D7273, 0)</f>
        <v/>
      </c>
      <c r="J7273">
        <f>IF(F7273&lt;&gt;"", TEXT(F7273, "yyyy-mm"), "")</f>
        <v/>
      </c>
    </row>
    <row r="7274">
      <c r="A7274" t="inlineStr">
        <is>
          <t>RP0007273</t>
        </is>
      </c>
      <c r="B7274" t="inlineStr">
        <is>
          <t>LN201030</t>
        </is>
      </c>
      <c r="C7274" t="n">
        <v>10</v>
      </c>
      <c r="D7274" s="8" t="n">
        <v>46365</v>
      </c>
      <c r="E7274" s="9" t="n">
        <v>2807.78</v>
      </c>
      <c r="F7274" s="8" t="n"/>
      <c r="G7274" s="9" t="n">
        <v>0</v>
      </c>
      <c r="H7274" t="inlineStr">
        <is>
          <t>NOT_DUE</t>
        </is>
      </c>
      <c r="I7274">
        <f>IF(H7274="UNPAID", AsOfDate-D7274, 0)</f>
        <v/>
      </c>
      <c r="J7274">
        <f>IF(F7274&lt;&gt;"", TEXT(F7274, "yyyy-mm"), "")</f>
        <v/>
      </c>
    </row>
    <row r="7275">
      <c r="A7275" t="inlineStr">
        <is>
          <t>RP0007274</t>
        </is>
      </c>
      <c r="B7275" t="inlineStr">
        <is>
          <t>LN201030</t>
        </is>
      </c>
      <c r="C7275" t="n">
        <v>11</v>
      </c>
      <c r="D7275" s="8" t="n">
        <v>46396</v>
      </c>
      <c r="E7275" s="9" t="n">
        <v>2807.78</v>
      </c>
      <c r="F7275" s="8" t="n"/>
      <c r="G7275" s="9" t="n">
        <v>0</v>
      </c>
      <c r="H7275" t="inlineStr">
        <is>
          <t>NOT_DUE</t>
        </is>
      </c>
      <c r="I7275">
        <f>IF(H7275="UNPAID", AsOfDate-D7275, 0)</f>
        <v/>
      </c>
      <c r="J7275">
        <f>IF(F7275&lt;&gt;"", TEXT(F7275, "yyyy-mm"), "")</f>
        <v/>
      </c>
    </row>
    <row r="7276">
      <c r="A7276" t="inlineStr">
        <is>
          <t>RP0007275</t>
        </is>
      </c>
      <c r="B7276" t="inlineStr">
        <is>
          <t>LN201030</t>
        </is>
      </c>
      <c r="C7276" t="n">
        <v>12</v>
      </c>
      <c r="D7276" s="8" t="n">
        <v>46427</v>
      </c>
      <c r="E7276" s="9" t="n">
        <v>2807.78</v>
      </c>
      <c r="F7276" s="8" t="n"/>
      <c r="G7276" s="9" t="n">
        <v>0</v>
      </c>
      <c r="H7276" t="inlineStr">
        <is>
          <t>NOT_DUE</t>
        </is>
      </c>
      <c r="I7276">
        <f>IF(H7276="UNPAID", AsOfDate-D7276, 0)</f>
        <v/>
      </c>
      <c r="J7276">
        <f>IF(F7276&lt;&gt;"", TEXT(F7276, "yyyy-mm"), "")</f>
        <v/>
      </c>
    </row>
    <row r="7277">
      <c r="A7277" t="inlineStr">
        <is>
          <t>RP0007276</t>
        </is>
      </c>
      <c r="B7277" t="inlineStr">
        <is>
          <t>LN201030</t>
        </is>
      </c>
      <c r="C7277" t="n">
        <v>13</v>
      </c>
      <c r="D7277" s="8" t="n">
        <v>46455</v>
      </c>
      <c r="E7277" s="9" t="n">
        <v>2807.78</v>
      </c>
      <c r="F7277" s="8" t="n"/>
      <c r="G7277" s="9" t="n">
        <v>0</v>
      </c>
      <c r="H7277" t="inlineStr">
        <is>
          <t>NOT_DUE</t>
        </is>
      </c>
      <c r="I7277">
        <f>IF(H7277="UNPAID", AsOfDate-D7277, 0)</f>
        <v/>
      </c>
      <c r="J7277">
        <f>IF(F7277&lt;&gt;"", TEXT(F7277, "yyyy-mm"), "")</f>
        <v/>
      </c>
    </row>
    <row r="7278">
      <c r="A7278" t="inlineStr">
        <is>
          <t>RP0007277</t>
        </is>
      </c>
      <c r="B7278" t="inlineStr">
        <is>
          <t>LN201030</t>
        </is>
      </c>
      <c r="C7278" t="n">
        <v>14</v>
      </c>
      <c r="D7278" s="8" t="n">
        <v>46486</v>
      </c>
      <c r="E7278" s="9" t="n">
        <v>2807.78</v>
      </c>
      <c r="F7278" s="8" t="n"/>
      <c r="G7278" s="9" t="n">
        <v>0</v>
      </c>
      <c r="H7278" t="inlineStr">
        <is>
          <t>NOT_DUE</t>
        </is>
      </c>
      <c r="I7278">
        <f>IF(H7278="UNPAID", AsOfDate-D7278, 0)</f>
        <v/>
      </c>
      <c r="J7278">
        <f>IF(F7278&lt;&gt;"", TEXT(F7278, "yyyy-mm"), "")</f>
        <v/>
      </c>
    </row>
    <row r="7279">
      <c r="A7279" t="inlineStr">
        <is>
          <t>RP0007278</t>
        </is>
      </c>
      <c r="B7279" t="inlineStr">
        <is>
          <t>LN201030</t>
        </is>
      </c>
      <c r="C7279" t="n">
        <v>15</v>
      </c>
      <c r="D7279" s="8" t="n">
        <v>46516</v>
      </c>
      <c r="E7279" s="9" t="n">
        <v>2807.78</v>
      </c>
      <c r="F7279" s="8" t="n"/>
      <c r="G7279" s="9" t="n">
        <v>0</v>
      </c>
      <c r="H7279" t="inlineStr">
        <is>
          <t>NOT_DUE</t>
        </is>
      </c>
      <c r="I7279">
        <f>IF(H7279="UNPAID", AsOfDate-D7279, 0)</f>
        <v/>
      </c>
      <c r="J7279">
        <f>IF(F7279&lt;&gt;"", TEXT(F7279, "yyyy-mm"), "")</f>
        <v/>
      </c>
    </row>
    <row r="7280">
      <c r="A7280" t="inlineStr">
        <is>
          <t>RP0007279</t>
        </is>
      </c>
      <c r="B7280" t="inlineStr">
        <is>
          <t>LN201030</t>
        </is>
      </c>
      <c r="C7280" t="n">
        <v>16</v>
      </c>
      <c r="D7280" s="8" t="n">
        <v>46547</v>
      </c>
      <c r="E7280" s="9" t="n">
        <v>2807.78</v>
      </c>
      <c r="F7280" s="8" t="n"/>
      <c r="G7280" s="9" t="n">
        <v>0</v>
      </c>
      <c r="H7280" t="inlineStr">
        <is>
          <t>NOT_DUE</t>
        </is>
      </c>
      <c r="I7280">
        <f>IF(H7280="UNPAID", AsOfDate-D7280, 0)</f>
        <v/>
      </c>
      <c r="J7280">
        <f>IF(F7280&lt;&gt;"", TEXT(F7280, "yyyy-mm"), "")</f>
        <v/>
      </c>
    </row>
    <row r="7281">
      <c r="A7281" t="inlineStr">
        <is>
          <t>RP0007280</t>
        </is>
      </c>
      <c r="B7281" t="inlineStr">
        <is>
          <t>LN201030</t>
        </is>
      </c>
      <c r="C7281" t="n">
        <v>17</v>
      </c>
      <c r="D7281" s="8" t="n">
        <v>46577</v>
      </c>
      <c r="E7281" s="9" t="n">
        <v>2807.78</v>
      </c>
      <c r="F7281" s="8" t="n"/>
      <c r="G7281" s="9" t="n">
        <v>0</v>
      </c>
      <c r="H7281" t="inlineStr">
        <is>
          <t>NOT_DUE</t>
        </is>
      </c>
      <c r="I7281">
        <f>IF(H7281="UNPAID", AsOfDate-D7281, 0)</f>
        <v/>
      </c>
      <c r="J7281">
        <f>IF(F7281&lt;&gt;"", TEXT(F7281, "yyyy-mm"), "")</f>
        <v/>
      </c>
    </row>
    <row r="7282">
      <c r="A7282" t="inlineStr">
        <is>
          <t>RP0007281</t>
        </is>
      </c>
      <c r="B7282" t="inlineStr">
        <is>
          <t>LN201030</t>
        </is>
      </c>
      <c r="C7282" t="n">
        <v>18</v>
      </c>
      <c r="D7282" s="8" t="n">
        <v>46608</v>
      </c>
      <c r="E7282" s="9" t="n">
        <v>2807.78</v>
      </c>
      <c r="F7282" s="8" t="n"/>
      <c r="G7282" s="9" t="n">
        <v>0</v>
      </c>
      <c r="H7282" t="inlineStr">
        <is>
          <t>NOT_DUE</t>
        </is>
      </c>
      <c r="I7282">
        <f>IF(H7282="UNPAID", AsOfDate-D7282, 0)</f>
        <v/>
      </c>
      <c r="J7282">
        <f>IF(F7282&lt;&gt;"", TEXT(F7282, "yyyy-mm"), "")</f>
        <v/>
      </c>
    </row>
    <row r="7283">
      <c r="A7283" t="inlineStr">
        <is>
          <t>RP0007282</t>
        </is>
      </c>
      <c r="B7283" t="inlineStr">
        <is>
          <t>LN201032</t>
        </is>
      </c>
      <c r="C7283" t="n">
        <v>1</v>
      </c>
      <c r="D7283" s="8" t="n">
        <v>46198</v>
      </c>
      <c r="E7283" s="9" t="n">
        <v>12578.67</v>
      </c>
      <c r="F7283" s="8" t="n">
        <v>46196</v>
      </c>
      <c r="G7283" s="9" t="n">
        <v>12578.67</v>
      </c>
      <c r="H7283" t="inlineStr">
        <is>
          <t>PAID_ON_TIME</t>
        </is>
      </c>
      <c r="I7283">
        <f>IF(H7283="UNPAID", AsOfDate-D7283, 0)</f>
        <v/>
      </c>
      <c r="J7283">
        <f>IF(F7283&lt;&gt;"", TEXT(F7283, "yyyy-mm"), "")</f>
        <v/>
      </c>
    </row>
    <row r="7284">
      <c r="A7284" t="inlineStr">
        <is>
          <t>RP0007283</t>
        </is>
      </c>
      <c r="B7284" t="inlineStr">
        <is>
          <t>LN201032</t>
        </is>
      </c>
      <c r="C7284" t="n">
        <v>2</v>
      </c>
      <c r="D7284" s="8" t="n">
        <v>46228</v>
      </c>
      <c r="E7284" s="9" t="n">
        <v>12578.67</v>
      </c>
      <c r="F7284" s="8" t="n">
        <v>46229</v>
      </c>
      <c r="G7284" s="9" t="n">
        <v>12578.67</v>
      </c>
      <c r="H7284" t="inlineStr">
        <is>
          <t>PAID_ON_TIME</t>
        </is>
      </c>
      <c r="I7284">
        <f>IF(H7284="UNPAID", AsOfDate-D7284, 0)</f>
        <v/>
      </c>
      <c r="J7284">
        <f>IF(F7284&lt;&gt;"", TEXT(F7284, "yyyy-mm"), "")</f>
        <v/>
      </c>
    </row>
    <row r="7285">
      <c r="A7285" t="inlineStr">
        <is>
          <t>RP0007284</t>
        </is>
      </c>
      <c r="B7285" t="inlineStr">
        <is>
          <t>LN201032</t>
        </is>
      </c>
      <c r="C7285" t="n">
        <v>3</v>
      </c>
      <c r="D7285" s="8" t="n">
        <v>46259</v>
      </c>
      <c r="E7285" s="9" t="n">
        <v>12578.67</v>
      </c>
      <c r="F7285" s="8" t="n">
        <v>46258</v>
      </c>
      <c r="G7285" s="9" t="n">
        <v>12578.67</v>
      </c>
      <c r="H7285" t="inlineStr">
        <is>
          <t>PAID_ON_TIME</t>
        </is>
      </c>
      <c r="I7285">
        <f>IF(H7285="UNPAID", AsOfDate-D7285, 0)</f>
        <v/>
      </c>
      <c r="J7285">
        <f>IF(F7285&lt;&gt;"", TEXT(F7285, "yyyy-mm"), "")</f>
        <v/>
      </c>
    </row>
    <row r="7286">
      <c r="A7286" t="inlineStr">
        <is>
          <t>RP0007285</t>
        </is>
      </c>
      <c r="B7286" t="inlineStr">
        <is>
          <t>LN201032</t>
        </is>
      </c>
      <c r="C7286" t="n">
        <v>4</v>
      </c>
      <c r="D7286" s="8" t="n">
        <v>46290</v>
      </c>
      <c r="E7286" s="9" t="n">
        <v>12578.67</v>
      </c>
      <c r="F7286" s="8" t="n"/>
      <c r="G7286" s="9" t="n">
        <v>0</v>
      </c>
      <c r="H7286" t="inlineStr">
        <is>
          <t>NOT_DUE</t>
        </is>
      </c>
      <c r="I7286">
        <f>IF(H7286="UNPAID", AsOfDate-D7286, 0)</f>
        <v/>
      </c>
      <c r="J7286">
        <f>IF(F7286&lt;&gt;"", TEXT(F7286, "yyyy-mm"), "")</f>
        <v/>
      </c>
    </row>
    <row r="7287">
      <c r="A7287" t="inlineStr">
        <is>
          <t>RP0007286</t>
        </is>
      </c>
      <c r="B7287" t="inlineStr">
        <is>
          <t>LN201032</t>
        </is>
      </c>
      <c r="C7287" t="n">
        <v>5</v>
      </c>
      <c r="D7287" s="8" t="n">
        <v>46320</v>
      </c>
      <c r="E7287" s="9" t="n">
        <v>12578.67</v>
      </c>
      <c r="F7287" s="8" t="n"/>
      <c r="G7287" s="9" t="n">
        <v>0</v>
      </c>
      <c r="H7287" t="inlineStr">
        <is>
          <t>NOT_DUE</t>
        </is>
      </c>
      <c r="I7287">
        <f>IF(H7287="UNPAID", AsOfDate-D7287, 0)</f>
        <v/>
      </c>
      <c r="J7287">
        <f>IF(F7287&lt;&gt;"", TEXT(F7287, "yyyy-mm"), "")</f>
        <v/>
      </c>
    </row>
    <row r="7288">
      <c r="A7288" t="inlineStr">
        <is>
          <t>RP0007287</t>
        </is>
      </c>
      <c r="B7288" t="inlineStr">
        <is>
          <t>LN201032</t>
        </is>
      </c>
      <c r="C7288" t="n">
        <v>6</v>
      </c>
      <c r="D7288" s="8" t="n">
        <v>46351</v>
      </c>
      <c r="E7288" s="9" t="n">
        <v>12578.67</v>
      </c>
      <c r="F7288" s="8" t="n"/>
      <c r="G7288" s="9" t="n">
        <v>0</v>
      </c>
      <c r="H7288" t="inlineStr">
        <is>
          <t>NOT_DUE</t>
        </is>
      </c>
      <c r="I7288">
        <f>IF(H7288="UNPAID", AsOfDate-D7288, 0)</f>
        <v/>
      </c>
      <c r="J7288">
        <f>IF(F7288&lt;&gt;"", TEXT(F7288, "yyyy-mm"), "")</f>
        <v/>
      </c>
    </row>
    <row r="7289">
      <c r="A7289" t="inlineStr">
        <is>
          <t>RP0007288</t>
        </is>
      </c>
      <c r="B7289" t="inlineStr">
        <is>
          <t>LN201032</t>
        </is>
      </c>
      <c r="C7289" t="n">
        <v>7</v>
      </c>
      <c r="D7289" s="8" t="n">
        <v>46381</v>
      </c>
      <c r="E7289" s="9" t="n">
        <v>12578.67</v>
      </c>
      <c r="F7289" s="8" t="n"/>
      <c r="G7289" s="9" t="n">
        <v>0</v>
      </c>
      <c r="H7289" t="inlineStr">
        <is>
          <t>NOT_DUE</t>
        </is>
      </c>
      <c r="I7289">
        <f>IF(H7289="UNPAID", AsOfDate-D7289, 0)</f>
        <v/>
      </c>
      <c r="J7289">
        <f>IF(F7289&lt;&gt;"", TEXT(F7289, "yyyy-mm"), "")</f>
        <v/>
      </c>
    </row>
    <row r="7290">
      <c r="A7290" t="inlineStr">
        <is>
          <t>RP0007289</t>
        </is>
      </c>
      <c r="B7290" t="inlineStr">
        <is>
          <t>LN201032</t>
        </is>
      </c>
      <c r="C7290" t="n">
        <v>8</v>
      </c>
      <c r="D7290" s="8" t="n">
        <v>46412</v>
      </c>
      <c r="E7290" s="9" t="n">
        <v>12578.67</v>
      </c>
      <c r="F7290" s="8" t="n"/>
      <c r="G7290" s="9" t="n">
        <v>0</v>
      </c>
      <c r="H7290" t="inlineStr">
        <is>
          <t>NOT_DUE</t>
        </is>
      </c>
      <c r="I7290">
        <f>IF(H7290="UNPAID", AsOfDate-D7290, 0)</f>
        <v/>
      </c>
      <c r="J7290">
        <f>IF(F7290&lt;&gt;"", TEXT(F7290, "yyyy-mm"), "")</f>
        <v/>
      </c>
    </row>
    <row r="7291">
      <c r="A7291" t="inlineStr">
        <is>
          <t>RP0007290</t>
        </is>
      </c>
      <c r="B7291" t="inlineStr">
        <is>
          <t>LN201032</t>
        </is>
      </c>
      <c r="C7291" t="n">
        <v>9</v>
      </c>
      <c r="D7291" s="8" t="n">
        <v>46443</v>
      </c>
      <c r="E7291" s="9" t="n">
        <v>12578.67</v>
      </c>
      <c r="F7291" s="8" t="n"/>
      <c r="G7291" s="9" t="n">
        <v>0</v>
      </c>
      <c r="H7291" t="inlineStr">
        <is>
          <t>NOT_DUE</t>
        </is>
      </c>
      <c r="I7291">
        <f>IF(H7291="UNPAID", AsOfDate-D7291, 0)</f>
        <v/>
      </c>
      <c r="J7291">
        <f>IF(F7291&lt;&gt;"", TEXT(F7291, "yyyy-mm"), "")</f>
        <v/>
      </c>
    </row>
    <row r="7292">
      <c r="A7292" t="inlineStr">
        <is>
          <t>RP0007291</t>
        </is>
      </c>
      <c r="B7292" t="inlineStr">
        <is>
          <t>LN201034</t>
        </is>
      </c>
      <c r="C7292" t="n">
        <v>1</v>
      </c>
      <c r="D7292" s="8" t="n">
        <v>45927</v>
      </c>
      <c r="E7292" s="9" t="n">
        <v>58252.17</v>
      </c>
      <c r="F7292" s="8" t="n">
        <v>45931</v>
      </c>
      <c r="G7292" s="9" t="n">
        <v>58252.17</v>
      </c>
      <c r="H7292" t="inlineStr">
        <is>
          <t>PAID_ON_TIME</t>
        </is>
      </c>
      <c r="I7292">
        <f>IF(H7292="UNPAID", AsOfDate-D7292, 0)</f>
        <v/>
      </c>
      <c r="J7292">
        <f>IF(F7292&lt;&gt;"", TEXT(F7292, "yyyy-mm"), "")</f>
        <v/>
      </c>
    </row>
    <row r="7293">
      <c r="A7293" t="inlineStr">
        <is>
          <t>RP0007292</t>
        </is>
      </c>
      <c r="B7293" t="inlineStr">
        <is>
          <t>LN201034</t>
        </is>
      </c>
      <c r="C7293" t="n">
        <v>2</v>
      </c>
      <c r="D7293" s="8" t="n">
        <v>45957</v>
      </c>
      <c r="E7293" s="9" t="n">
        <v>58252.17</v>
      </c>
      <c r="F7293" s="8" t="n">
        <v>45957</v>
      </c>
      <c r="G7293" s="9" t="n">
        <v>58252.17</v>
      </c>
      <c r="H7293" t="inlineStr">
        <is>
          <t>PAID_ON_TIME</t>
        </is>
      </c>
      <c r="I7293">
        <f>IF(H7293="UNPAID", AsOfDate-D7293, 0)</f>
        <v/>
      </c>
      <c r="J7293">
        <f>IF(F7293&lt;&gt;"", TEXT(F7293, "yyyy-mm"), "")</f>
        <v/>
      </c>
    </row>
    <row r="7294">
      <c r="A7294" t="inlineStr">
        <is>
          <t>RP0007293</t>
        </is>
      </c>
      <c r="B7294" t="inlineStr">
        <is>
          <t>LN201034</t>
        </is>
      </c>
      <c r="C7294" t="n">
        <v>3</v>
      </c>
      <c r="D7294" s="8" t="n">
        <v>45988</v>
      </c>
      <c r="E7294" s="9" t="n">
        <v>58252.17</v>
      </c>
      <c r="F7294" s="8" t="n">
        <v>45987</v>
      </c>
      <c r="G7294" s="9" t="n">
        <v>58252.17</v>
      </c>
      <c r="H7294" t="inlineStr">
        <is>
          <t>PAID_ON_TIME</t>
        </is>
      </c>
      <c r="I7294">
        <f>IF(H7294="UNPAID", AsOfDate-D7294, 0)</f>
        <v/>
      </c>
      <c r="J7294">
        <f>IF(F7294&lt;&gt;"", TEXT(F7294, "yyyy-mm"), "")</f>
        <v/>
      </c>
    </row>
    <row r="7295">
      <c r="A7295" t="inlineStr">
        <is>
          <t>RP0007294</t>
        </is>
      </c>
      <c r="B7295" t="inlineStr">
        <is>
          <t>LN201035</t>
        </is>
      </c>
      <c r="C7295" t="n">
        <v>1</v>
      </c>
      <c r="D7295" s="8" t="n">
        <v>46231</v>
      </c>
      <c r="E7295" s="9" t="n">
        <v>34634.03</v>
      </c>
      <c r="F7295" s="8" t="n">
        <v>46229</v>
      </c>
      <c r="G7295" s="9" t="n">
        <v>34634.03</v>
      </c>
      <c r="H7295" t="inlineStr">
        <is>
          <t>PAID_ON_TIME</t>
        </is>
      </c>
      <c r="I7295">
        <f>IF(H7295="UNPAID", AsOfDate-D7295, 0)</f>
        <v/>
      </c>
      <c r="J7295">
        <f>IF(F7295&lt;&gt;"", TEXT(F7295, "yyyy-mm"), "")</f>
        <v/>
      </c>
    </row>
    <row r="7296">
      <c r="A7296" t="inlineStr">
        <is>
          <t>RP0007295</t>
        </is>
      </c>
      <c r="B7296" t="inlineStr">
        <is>
          <t>LN201035</t>
        </is>
      </c>
      <c r="C7296" t="n">
        <v>2</v>
      </c>
      <c r="D7296" s="8" t="n">
        <v>46262</v>
      </c>
      <c r="E7296" s="9" t="n">
        <v>34634.03</v>
      </c>
      <c r="F7296" s="8" t="n">
        <v>46261</v>
      </c>
      <c r="G7296" s="9" t="n">
        <v>34634.03</v>
      </c>
      <c r="H7296" t="inlineStr">
        <is>
          <t>PAID_ON_TIME</t>
        </is>
      </c>
      <c r="I7296">
        <f>IF(H7296="UNPAID", AsOfDate-D7296, 0)</f>
        <v/>
      </c>
      <c r="J7296">
        <f>IF(F7296&lt;&gt;"", TEXT(F7296, "yyyy-mm"), "")</f>
        <v/>
      </c>
    </row>
    <row r="7297">
      <c r="A7297" t="inlineStr">
        <is>
          <t>RP0007296</t>
        </is>
      </c>
      <c r="B7297" t="inlineStr">
        <is>
          <t>LN201035</t>
        </is>
      </c>
      <c r="C7297" t="n">
        <v>3</v>
      </c>
      <c r="D7297" s="8" t="n">
        <v>46293</v>
      </c>
      <c r="E7297" s="9" t="n">
        <v>34634.03</v>
      </c>
      <c r="F7297" s="8" t="n"/>
      <c r="G7297" s="9" t="n">
        <v>0</v>
      </c>
      <c r="H7297" t="inlineStr">
        <is>
          <t>NOT_DUE</t>
        </is>
      </c>
      <c r="I7297">
        <f>IF(H7297="UNPAID", AsOfDate-D7297, 0)</f>
        <v/>
      </c>
      <c r="J7297">
        <f>IF(F7297&lt;&gt;"", TEXT(F7297, "yyyy-mm"), "")</f>
        <v/>
      </c>
    </row>
    <row r="7298">
      <c r="A7298" t="inlineStr">
        <is>
          <t>RP0007297</t>
        </is>
      </c>
      <c r="B7298" t="inlineStr">
        <is>
          <t>LN201035</t>
        </is>
      </c>
      <c r="C7298" t="n">
        <v>4</v>
      </c>
      <c r="D7298" s="8" t="n">
        <v>46323</v>
      </c>
      <c r="E7298" s="9" t="n">
        <v>34634.03</v>
      </c>
      <c r="F7298" s="8" t="n"/>
      <c r="G7298" s="9" t="n">
        <v>0</v>
      </c>
      <c r="H7298" t="inlineStr">
        <is>
          <t>NOT_DUE</t>
        </is>
      </c>
      <c r="I7298">
        <f>IF(H7298="UNPAID", AsOfDate-D7298, 0)</f>
        <v/>
      </c>
      <c r="J7298">
        <f>IF(F7298&lt;&gt;"", TEXT(F7298, "yyyy-mm"), "")</f>
        <v/>
      </c>
    </row>
    <row r="7299">
      <c r="A7299" t="inlineStr">
        <is>
          <t>RP0007298</t>
        </is>
      </c>
      <c r="B7299" t="inlineStr">
        <is>
          <t>LN201035</t>
        </is>
      </c>
      <c r="C7299" t="n">
        <v>5</v>
      </c>
      <c r="D7299" s="8" t="n">
        <v>46354</v>
      </c>
      <c r="E7299" s="9" t="n">
        <v>34634.03</v>
      </c>
      <c r="F7299" s="8" t="n"/>
      <c r="G7299" s="9" t="n">
        <v>0</v>
      </c>
      <c r="H7299" t="inlineStr">
        <is>
          <t>NOT_DUE</t>
        </is>
      </c>
      <c r="I7299">
        <f>IF(H7299="UNPAID", AsOfDate-D7299, 0)</f>
        <v/>
      </c>
      <c r="J7299">
        <f>IF(F7299&lt;&gt;"", TEXT(F7299, "yyyy-mm"), "")</f>
        <v/>
      </c>
    </row>
    <row r="7300">
      <c r="A7300" t="inlineStr">
        <is>
          <t>RP0007299</t>
        </is>
      </c>
      <c r="B7300" t="inlineStr">
        <is>
          <t>LN201035</t>
        </is>
      </c>
      <c r="C7300" t="n">
        <v>6</v>
      </c>
      <c r="D7300" s="8" t="n">
        <v>46384</v>
      </c>
      <c r="E7300" s="9" t="n">
        <v>34634.03</v>
      </c>
      <c r="F7300" s="8" t="n"/>
      <c r="G7300" s="9" t="n">
        <v>0</v>
      </c>
      <c r="H7300" t="inlineStr">
        <is>
          <t>NOT_DUE</t>
        </is>
      </c>
      <c r="I7300">
        <f>IF(H7300="UNPAID", AsOfDate-D7300, 0)</f>
        <v/>
      </c>
      <c r="J7300">
        <f>IF(F7300&lt;&gt;"", TEXT(F7300, "yyyy-mm"), "")</f>
        <v/>
      </c>
    </row>
    <row r="7301">
      <c r="A7301" t="inlineStr">
        <is>
          <t>RP0007300</t>
        </is>
      </c>
      <c r="B7301" t="inlineStr">
        <is>
          <t>LN201035</t>
        </is>
      </c>
      <c r="C7301" t="n">
        <v>7</v>
      </c>
      <c r="D7301" s="8" t="n">
        <v>46415</v>
      </c>
      <c r="E7301" s="9" t="n">
        <v>34634.03</v>
      </c>
      <c r="F7301" s="8" t="n"/>
      <c r="G7301" s="9" t="n">
        <v>0</v>
      </c>
      <c r="H7301" t="inlineStr">
        <is>
          <t>NOT_DUE</t>
        </is>
      </c>
      <c r="I7301">
        <f>IF(H7301="UNPAID", AsOfDate-D7301, 0)</f>
        <v/>
      </c>
      <c r="J7301">
        <f>IF(F7301&lt;&gt;"", TEXT(F7301, "yyyy-mm"), "")</f>
        <v/>
      </c>
    </row>
    <row r="7302">
      <c r="A7302" t="inlineStr">
        <is>
          <t>RP0007301</t>
        </is>
      </c>
      <c r="B7302" t="inlineStr">
        <is>
          <t>LN201035</t>
        </is>
      </c>
      <c r="C7302" t="n">
        <v>8</v>
      </c>
      <c r="D7302" s="8" t="n">
        <v>46446</v>
      </c>
      <c r="E7302" s="9" t="n">
        <v>34634.03</v>
      </c>
      <c r="F7302" s="8" t="n"/>
      <c r="G7302" s="9" t="n">
        <v>0</v>
      </c>
      <c r="H7302" t="inlineStr">
        <is>
          <t>NOT_DUE</t>
        </is>
      </c>
      <c r="I7302">
        <f>IF(H7302="UNPAID", AsOfDate-D7302, 0)</f>
        <v/>
      </c>
      <c r="J7302">
        <f>IF(F7302&lt;&gt;"", TEXT(F7302, "yyyy-mm"), "")</f>
        <v/>
      </c>
    </row>
    <row r="7303">
      <c r="A7303" t="inlineStr">
        <is>
          <t>RP0007302</t>
        </is>
      </c>
      <c r="B7303" t="inlineStr">
        <is>
          <t>LN201035</t>
        </is>
      </c>
      <c r="C7303" t="n">
        <v>9</v>
      </c>
      <c r="D7303" s="8" t="n">
        <v>46474</v>
      </c>
      <c r="E7303" s="9" t="n">
        <v>34634.03</v>
      </c>
      <c r="F7303" s="8" t="n"/>
      <c r="G7303" s="9" t="n">
        <v>0</v>
      </c>
      <c r="H7303" t="inlineStr">
        <is>
          <t>NOT_DUE</t>
        </is>
      </c>
      <c r="I7303">
        <f>IF(H7303="UNPAID", AsOfDate-D7303, 0)</f>
        <v/>
      </c>
      <c r="J7303">
        <f>IF(F7303&lt;&gt;"", TEXT(F7303, "yyyy-mm"), "")</f>
        <v/>
      </c>
    </row>
    <row r="7304">
      <c r="A7304" t="inlineStr">
        <is>
          <t>RP0007303</t>
        </is>
      </c>
      <c r="B7304" t="inlineStr">
        <is>
          <t>LN201036</t>
        </is>
      </c>
      <c r="C7304" t="n">
        <v>1</v>
      </c>
      <c r="D7304" s="8" t="n">
        <v>45812</v>
      </c>
      <c r="E7304" s="9" t="n">
        <v>35098.83</v>
      </c>
      <c r="F7304" s="8" t="n">
        <v>45813</v>
      </c>
      <c r="G7304" s="9" t="n">
        <v>35098.83</v>
      </c>
      <c r="H7304" t="inlineStr">
        <is>
          <t>PAID_ON_TIME</t>
        </is>
      </c>
      <c r="I7304">
        <f>IF(H7304="UNPAID", AsOfDate-D7304, 0)</f>
        <v/>
      </c>
      <c r="J7304">
        <f>IF(F7304&lt;&gt;"", TEXT(F7304, "yyyy-mm"), "")</f>
        <v/>
      </c>
    </row>
    <row r="7305">
      <c r="A7305" t="inlineStr">
        <is>
          <t>RP0007304</t>
        </is>
      </c>
      <c r="B7305" t="inlineStr">
        <is>
          <t>LN201036</t>
        </is>
      </c>
      <c r="C7305" t="n">
        <v>2</v>
      </c>
      <c r="D7305" s="8" t="n">
        <v>45842</v>
      </c>
      <c r="E7305" s="9" t="n">
        <v>35098.83</v>
      </c>
      <c r="F7305" s="8" t="n">
        <v>45843</v>
      </c>
      <c r="G7305" s="9" t="n">
        <v>35098.83</v>
      </c>
      <c r="H7305" t="inlineStr">
        <is>
          <t>PAID_ON_TIME</t>
        </is>
      </c>
      <c r="I7305">
        <f>IF(H7305="UNPAID", AsOfDate-D7305, 0)</f>
        <v/>
      </c>
      <c r="J7305">
        <f>IF(F7305&lt;&gt;"", TEXT(F7305, "yyyy-mm"), "")</f>
        <v/>
      </c>
    </row>
    <row r="7306">
      <c r="A7306" t="inlineStr">
        <is>
          <t>RP0007305</t>
        </is>
      </c>
      <c r="B7306" t="inlineStr">
        <is>
          <t>LN201036</t>
        </is>
      </c>
      <c r="C7306" t="n">
        <v>3</v>
      </c>
      <c r="D7306" s="8" t="n">
        <v>45873</v>
      </c>
      <c r="E7306" s="9" t="n">
        <v>35098.83</v>
      </c>
      <c r="F7306" s="8" t="n">
        <v>45873</v>
      </c>
      <c r="G7306" s="9" t="n">
        <v>35098.83</v>
      </c>
      <c r="H7306" t="inlineStr">
        <is>
          <t>PAID_ON_TIME</t>
        </is>
      </c>
      <c r="I7306">
        <f>IF(H7306="UNPAID", AsOfDate-D7306, 0)</f>
        <v/>
      </c>
      <c r="J7306">
        <f>IF(F7306&lt;&gt;"", TEXT(F7306, "yyyy-mm"), "")</f>
        <v/>
      </c>
    </row>
    <row r="7307">
      <c r="A7307" t="inlineStr">
        <is>
          <t>RP0007306</t>
        </is>
      </c>
      <c r="B7307" t="inlineStr">
        <is>
          <t>LN201036</t>
        </is>
      </c>
      <c r="C7307" t="n">
        <v>4</v>
      </c>
      <c r="D7307" s="8" t="n">
        <v>45904</v>
      </c>
      <c r="E7307" s="9" t="n">
        <v>35098.83</v>
      </c>
      <c r="F7307" s="8" t="n">
        <v>45905</v>
      </c>
      <c r="G7307" s="9" t="n">
        <v>35098.83</v>
      </c>
      <c r="H7307" t="inlineStr">
        <is>
          <t>PAID_ON_TIME</t>
        </is>
      </c>
      <c r="I7307">
        <f>IF(H7307="UNPAID", AsOfDate-D7307, 0)</f>
        <v/>
      </c>
      <c r="J7307">
        <f>IF(F7307&lt;&gt;"", TEXT(F7307, "yyyy-mm"), "")</f>
        <v/>
      </c>
    </row>
    <row r="7308">
      <c r="A7308" t="inlineStr">
        <is>
          <t>RP0007307</t>
        </is>
      </c>
      <c r="B7308" t="inlineStr">
        <is>
          <t>LN201036</t>
        </is>
      </c>
      <c r="C7308" t="n">
        <v>5</v>
      </c>
      <c r="D7308" s="8" t="n">
        <v>45934</v>
      </c>
      <c r="E7308" s="9" t="n">
        <v>35098.83</v>
      </c>
      <c r="F7308" s="8" t="n">
        <v>45936</v>
      </c>
      <c r="G7308" s="9" t="n">
        <v>35098.83</v>
      </c>
      <c r="H7308" t="inlineStr">
        <is>
          <t>PAID_ON_TIME</t>
        </is>
      </c>
      <c r="I7308">
        <f>IF(H7308="UNPAID", AsOfDate-D7308, 0)</f>
        <v/>
      </c>
      <c r="J7308">
        <f>IF(F7308&lt;&gt;"", TEXT(F7308, "yyyy-mm"), "")</f>
        <v/>
      </c>
    </row>
    <row r="7309">
      <c r="A7309" t="inlineStr">
        <is>
          <t>RP0007308</t>
        </is>
      </c>
      <c r="B7309" t="inlineStr">
        <is>
          <t>LN201036</t>
        </is>
      </c>
      <c r="C7309" t="n">
        <v>6</v>
      </c>
      <c r="D7309" s="8" t="n">
        <v>45965</v>
      </c>
      <c r="E7309" s="9" t="n">
        <v>35098.83</v>
      </c>
      <c r="F7309" s="8" t="n">
        <v>45969</v>
      </c>
      <c r="G7309" s="9" t="n">
        <v>35098.83</v>
      </c>
      <c r="H7309" t="inlineStr">
        <is>
          <t>PAID_ON_TIME</t>
        </is>
      </c>
      <c r="I7309">
        <f>IF(H7309="UNPAID", AsOfDate-D7309, 0)</f>
        <v/>
      </c>
      <c r="J7309">
        <f>IF(F7309&lt;&gt;"", TEXT(F7309, "yyyy-mm"), "")</f>
        <v/>
      </c>
    </row>
    <row r="7310">
      <c r="A7310" t="inlineStr">
        <is>
          <t>RP0007309</t>
        </is>
      </c>
      <c r="B7310" t="inlineStr">
        <is>
          <t>LN201037</t>
        </is>
      </c>
      <c r="C7310" t="n">
        <v>1</v>
      </c>
      <c r="D7310" s="8" t="n">
        <v>45943</v>
      </c>
      <c r="E7310" s="9" t="n">
        <v>14924.58</v>
      </c>
      <c r="F7310" s="8" t="n">
        <v>45947</v>
      </c>
      <c r="G7310" s="9" t="n">
        <v>14924.58</v>
      </c>
      <c r="H7310" t="inlineStr">
        <is>
          <t>PAID_ON_TIME</t>
        </is>
      </c>
      <c r="I7310">
        <f>IF(H7310="UNPAID", AsOfDate-D7310, 0)</f>
        <v/>
      </c>
      <c r="J7310">
        <f>IF(F7310&lt;&gt;"", TEXT(F7310, "yyyy-mm"), "")</f>
        <v/>
      </c>
    </row>
    <row r="7311">
      <c r="A7311" t="inlineStr">
        <is>
          <t>RP0007310</t>
        </is>
      </c>
      <c r="B7311" t="inlineStr">
        <is>
          <t>LN201037</t>
        </is>
      </c>
      <c r="C7311" t="n">
        <v>2</v>
      </c>
      <c r="D7311" s="8" t="n">
        <v>45974</v>
      </c>
      <c r="E7311" s="9" t="n">
        <v>14924.58</v>
      </c>
      <c r="F7311" s="8" t="n">
        <v>46052</v>
      </c>
      <c r="G7311" s="9" t="n">
        <v>14924.58</v>
      </c>
      <c r="H7311" t="inlineStr">
        <is>
          <t>PAID_LATE</t>
        </is>
      </c>
      <c r="I7311">
        <f>IF(H7311="UNPAID", AsOfDate-D7311, 0)</f>
        <v/>
      </c>
      <c r="J7311">
        <f>IF(F7311&lt;&gt;"", TEXT(F7311, "yyyy-mm"), "")</f>
        <v/>
      </c>
    </row>
    <row r="7312">
      <c r="A7312" t="inlineStr">
        <is>
          <t>RP0007311</t>
        </is>
      </c>
      <c r="B7312" t="inlineStr">
        <is>
          <t>LN201037</t>
        </is>
      </c>
      <c r="C7312" t="n">
        <v>3</v>
      </c>
      <c r="D7312" s="8" t="n">
        <v>46004</v>
      </c>
      <c r="E7312" s="9" t="n">
        <v>14924.58</v>
      </c>
      <c r="F7312" s="8" t="n">
        <v>46002</v>
      </c>
      <c r="G7312" s="9" t="n">
        <v>14924.58</v>
      </c>
      <c r="H7312" t="inlineStr">
        <is>
          <t>PAID_ON_TIME</t>
        </is>
      </c>
      <c r="I7312">
        <f>IF(H7312="UNPAID", AsOfDate-D7312, 0)</f>
        <v/>
      </c>
      <c r="J7312">
        <f>IF(F7312&lt;&gt;"", TEXT(F7312, "yyyy-mm"), "")</f>
        <v/>
      </c>
    </row>
    <row r="7313">
      <c r="A7313" t="inlineStr">
        <is>
          <t>RP0007312</t>
        </is>
      </c>
      <c r="B7313" t="inlineStr">
        <is>
          <t>LN201038</t>
        </is>
      </c>
      <c r="C7313" t="n">
        <v>1</v>
      </c>
      <c r="D7313" s="8" t="n">
        <v>46196</v>
      </c>
      <c r="E7313" s="9" t="n">
        <v>12483</v>
      </c>
      <c r="F7313" s="8" t="n">
        <v>46199</v>
      </c>
      <c r="G7313" s="9" t="n">
        <v>12483</v>
      </c>
      <c r="H7313" t="inlineStr">
        <is>
          <t>PAID_ON_TIME</t>
        </is>
      </c>
      <c r="I7313">
        <f>IF(H7313="UNPAID", AsOfDate-D7313, 0)</f>
        <v/>
      </c>
      <c r="J7313">
        <f>IF(F7313&lt;&gt;"", TEXT(F7313, "yyyy-mm"), "")</f>
        <v/>
      </c>
    </row>
    <row r="7314">
      <c r="A7314" t="inlineStr">
        <is>
          <t>RP0007313</t>
        </is>
      </c>
      <c r="B7314" t="inlineStr">
        <is>
          <t>LN201038</t>
        </is>
      </c>
      <c r="C7314" t="n">
        <v>2</v>
      </c>
      <c r="D7314" s="8" t="n">
        <v>46226</v>
      </c>
      <c r="E7314" s="9" t="n">
        <v>12483</v>
      </c>
      <c r="F7314" s="8" t="n">
        <v>46227</v>
      </c>
      <c r="G7314" s="9" t="n">
        <v>12483</v>
      </c>
      <c r="H7314" t="inlineStr">
        <is>
          <t>PAID_ON_TIME</t>
        </is>
      </c>
      <c r="I7314">
        <f>IF(H7314="UNPAID", AsOfDate-D7314, 0)</f>
        <v/>
      </c>
      <c r="J7314">
        <f>IF(F7314&lt;&gt;"", TEXT(F7314, "yyyy-mm"), "")</f>
        <v/>
      </c>
    </row>
    <row r="7315">
      <c r="A7315" t="inlineStr">
        <is>
          <t>RP0007314</t>
        </is>
      </c>
      <c r="B7315" t="inlineStr">
        <is>
          <t>LN201038</t>
        </is>
      </c>
      <c r="C7315" t="n">
        <v>3</v>
      </c>
      <c r="D7315" s="8" t="n">
        <v>46257</v>
      </c>
      <c r="E7315" s="9" t="n">
        <v>12483</v>
      </c>
      <c r="F7315" s="8" t="n">
        <v>46257</v>
      </c>
      <c r="G7315" s="9" t="n">
        <v>12483</v>
      </c>
      <c r="H7315" t="inlineStr">
        <is>
          <t>PAID_ON_TIME</t>
        </is>
      </c>
      <c r="I7315">
        <f>IF(H7315="UNPAID", AsOfDate-D7315, 0)</f>
        <v/>
      </c>
      <c r="J7315">
        <f>IF(F7315&lt;&gt;"", TEXT(F7315, "yyyy-mm"), "")</f>
        <v/>
      </c>
    </row>
    <row r="7316">
      <c r="A7316" t="inlineStr">
        <is>
          <t>RP0007315</t>
        </is>
      </c>
      <c r="B7316" t="inlineStr">
        <is>
          <t>LN201039</t>
        </is>
      </c>
      <c r="C7316" t="n">
        <v>1</v>
      </c>
      <c r="D7316" s="8" t="n">
        <v>46131</v>
      </c>
      <c r="E7316" s="9" t="n">
        <v>56367.28</v>
      </c>
      <c r="F7316" s="8" t="n">
        <v>46130</v>
      </c>
      <c r="G7316" s="9" t="n">
        <v>56367.28</v>
      </c>
      <c r="H7316" t="inlineStr">
        <is>
          <t>PAID_ON_TIME</t>
        </is>
      </c>
      <c r="I7316">
        <f>IF(H7316="UNPAID", AsOfDate-D7316, 0)</f>
        <v/>
      </c>
      <c r="J7316">
        <f>IF(F7316&lt;&gt;"", TEXT(F7316, "yyyy-mm"), "")</f>
        <v/>
      </c>
    </row>
    <row r="7317">
      <c r="A7317" t="inlineStr">
        <is>
          <t>RP0007316</t>
        </is>
      </c>
      <c r="B7317" t="inlineStr">
        <is>
          <t>LN201039</t>
        </is>
      </c>
      <c r="C7317" t="n">
        <v>2</v>
      </c>
      <c r="D7317" s="8" t="n">
        <v>46161</v>
      </c>
      <c r="E7317" s="9" t="n">
        <v>56367.28</v>
      </c>
      <c r="F7317" s="8" t="n">
        <v>46164</v>
      </c>
      <c r="G7317" s="9" t="n">
        <v>56367.28</v>
      </c>
      <c r="H7317" t="inlineStr">
        <is>
          <t>PAID_ON_TIME</t>
        </is>
      </c>
      <c r="I7317">
        <f>IF(H7317="UNPAID", AsOfDate-D7317, 0)</f>
        <v/>
      </c>
      <c r="J7317">
        <f>IF(F7317&lt;&gt;"", TEXT(F7317, "yyyy-mm"), "")</f>
        <v/>
      </c>
    </row>
    <row r="7318">
      <c r="A7318" t="inlineStr">
        <is>
          <t>RP0007317</t>
        </is>
      </c>
      <c r="B7318" t="inlineStr">
        <is>
          <t>LN201039</t>
        </is>
      </c>
      <c r="C7318" t="n">
        <v>3</v>
      </c>
      <c r="D7318" s="8" t="n">
        <v>46192</v>
      </c>
      <c r="E7318" s="9" t="n">
        <v>56367.28</v>
      </c>
      <c r="F7318" s="8" t="n">
        <v>46194</v>
      </c>
      <c r="G7318" s="9" t="n">
        <v>56367.28</v>
      </c>
      <c r="H7318" t="inlineStr">
        <is>
          <t>PAID_ON_TIME</t>
        </is>
      </c>
      <c r="I7318">
        <f>IF(H7318="UNPAID", AsOfDate-D7318, 0)</f>
        <v/>
      </c>
      <c r="J7318">
        <f>IF(F7318&lt;&gt;"", TEXT(F7318, "yyyy-mm"), "")</f>
        <v/>
      </c>
    </row>
    <row r="7319">
      <c r="A7319" t="inlineStr">
        <is>
          <t>RP0007318</t>
        </is>
      </c>
      <c r="B7319" t="inlineStr">
        <is>
          <t>LN201039</t>
        </is>
      </c>
      <c r="C7319" t="n">
        <v>4</v>
      </c>
      <c r="D7319" s="8" t="n">
        <v>46222</v>
      </c>
      <c r="E7319" s="9" t="n">
        <v>56367.28</v>
      </c>
      <c r="F7319" s="8" t="n">
        <v>46220</v>
      </c>
      <c r="G7319" s="9" t="n">
        <v>56367.28</v>
      </c>
      <c r="H7319" t="inlineStr">
        <is>
          <t>PAID_ON_TIME</t>
        </is>
      </c>
      <c r="I7319">
        <f>IF(H7319="UNPAID", AsOfDate-D7319, 0)</f>
        <v/>
      </c>
      <c r="J7319">
        <f>IF(F7319&lt;&gt;"", TEXT(F7319, "yyyy-mm"), "")</f>
        <v/>
      </c>
    </row>
    <row r="7320">
      <c r="A7320" t="inlineStr">
        <is>
          <t>RP0007319</t>
        </is>
      </c>
      <c r="B7320" t="inlineStr">
        <is>
          <t>LN201039</t>
        </is>
      </c>
      <c r="C7320" t="n">
        <v>5</v>
      </c>
      <c r="D7320" s="8" t="n">
        <v>46253</v>
      </c>
      <c r="E7320" s="9" t="n">
        <v>56367.28</v>
      </c>
      <c r="F7320" s="8" t="n">
        <v>46255</v>
      </c>
      <c r="G7320" s="9" t="n">
        <v>56367.28</v>
      </c>
      <c r="H7320" t="inlineStr">
        <is>
          <t>PAID_ON_TIME</t>
        </is>
      </c>
      <c r="I7320">
        <f>IF(H7320="UNPAID", AsOfDate-D7320, 0)</f>
        <v/>
      </c>
      <c r="J7320">
        <f>IF(F7320&lt;&gt;"", TEXT(F7320, "yyyy-mm"), "")</f>
        <v/>
      </c>
    </row>
    <row r="7321">
      <c r="A7321" t="inlineStr">
        <is>
          <t>RP0007320</t>
        </is>
      </c>
      <c r="B7321" t="inlineStr">
        <is>
          <t>LN201039</t>
        </is>
      </c>
      <c r="C7321" t="n">
        <v>6</v>
      </c>
      <c r="D7321" s="8" t="n">
        <v>46284</v>
      </c>
      <c r="E7321" s="9" t="n">
        <v>56367.28</v>
      </c>
      <c r="F7321" s="8" t="n"/>
      <c r="G7321" s="9" t="n">
        <v>0</v>
      </c>
      <c r="H7321" t="inlineStr">
        <is>
          <t>NOT_DUE</t>
        </is>
      </c>
      <c r="I7321">
        <f>IF(H7321="UNPAID", AsOfDate-D7321, 0)</f>
        <v/>
      </c>
      <c r="J7321">
        <f>IF(F7321&lt;&gt;"", TEXT(F7321, "yyyy-mm"), "")</f>
        <v/>
      </c>
    </row>
    <row r="7322">
      <c r="A7322" t="inlineStr">
        <is>
          <t>RP0007321</t>
        </is>
      </c>
      <c r="B7322" t="inlineStr">
        <is>
          <t>LN201039</t>
        </is>
      </c>
      <c r="C7322" t="n">
        <v>7</v>
      </c>
      <c r="D7322" s="8" t="n">
        <v>46314</v>
      </c>
      <c r="E7322" s="9" t="n">
        <v>56367.28</v>
      </c>
      <c r="F7322" s="8" t="n"/>
      <c r="G7322" s="9" t="n">
        <v>0</v>
      </c>
      <c r="H7322" t="inlineStr">
        <is>
          <t>NOT_DUE</t>
        </is>
      </c>
      <c r="I7322">
        <f>IF(H7322="UNPAID", AsOfDate-D7322, 0)</f>
        <v/>
      </c>
      <c r="J7322">
        <f>IF(F7322&lt;&gt;"", TEXT(F7322, "yyyy-mm"), "")</f>
        <v/>
      </c>
    </row>
    <row r="7323">
      <c r="A7323" t="inlineStr">
        <is>
          <t>RP0007322</t>
        </is>
      </c>
      <c r="B7323" t="inlineStr">
        <is>
          <t>LN201039</t>
        </is>
      </c>
      <c r="C7323" t="n">
        <v>8</v>
      </c>
      <c r="D7323" s="8" t="n">
        <v>46345</v>
      </c>
      <c r="E7323" s="9" t="n">
        <v>56367.28</v>
      </c>
      <c r="F7323" s="8" t="n"/>
      <c r="G7323" s="9" t="n">
        <v>0</v>
      </c>
      <c r="H7323" t="inlineStr">
        <is>
          <t>NOT_DUE</t>
        </is>
      </c>
      <c r="I7323">
        <f>IF(H7323="UNPAID", AsOfDate-D7323, 0)</f>
        <v/>
      </c>
      <c r="J7323">
        <f>IF(F7323&lt;&gt;"", TEXT(F7323, "yyyy-mm"), "")</f>
        <v/>
      </c>
    </row>
    <row r="7324">
      <c r="A7324" t="inlineStr">
        <is>
          <t>RP0007323</t>
        </is>
      </c>
      <c r="B7324" t="inlineStr">
        <is>
          <t>LN201039</t>
        </is>
      </c>
      <c r="C7324" t="n">
        <v>9</v>
      </c>
      <c r="D7324" s="8" t="n">
        <v>46375</v>
      </c>
      <c r="E7324" s="9" t="n">
        <v>56367.28</v>
      </c>
      <c r="F7324" s="8" t="n"/>
      <c r="G7324" s="9" t="n">
        <v>0</v>
      </c>
      <c r="H7324" t="inlineStr">
        <is>
          <t>NOT_DUE</t>
        </is>
      </c>
      <c r="I7324">
        <f>IF(H7324="UNPAID", AsOfDate-D7324, 0)</f>
        <v/>
      </c>
      <c r="J7324">
        <f>IF(F7324&lt;&gt;"", TEXT(F7324, "yyyy-mm"), "")</f>
        <v/>
      </c>
    </row>
    <row r="7325">
      <c r="A7325" t="inlineStr">
        <is>
          <t>RP0007324</t>
        </is>
      </c>
      <c r="B7325" t="inlineStr">
        <is>
          <t>LN201040</t>
        </is>
      </c>
      <c r="C7325" t="n">
        <v>1</v>
      </c>
      <c r="D7325" s="8" t="n">
        <v>46240</v>
      </c>
      <c r="E7325" s="9" t="n">
        <v>21607.5</v>
      </c>
      <c r="F7325" s="8" t="n">
        <v>46238</v>
      </c>
      <c r="G7325" s="9" t="n">
        <v>21607.5</v>
      </c>
      <c r="H7325" t="inlineStr">
        <is>
          <t>PAID_ON_TIME</t>
        </is>
      </c>
      <c r="I7325">
        <f>IF(H7325="UNPAID", AsOfDate-D7325, 0)</f>
        <v/>
      </c>
      <c r="J7325">
        <f>IF(F7325&lt;&gt;"", TEXT(F7325, "yyyy-mm"), "")</f>
        <v/>
      </c>
    </row>
    <row r="7326">
      <c r="A7326" t="inlineStr">
        <is>
          <t>RP0007325</t>
        </is>
      </c>
      <c r="B7326" t="inlineStr">
        <is>
          <t>LN201040</t>
        </is>
      </c>
      <c r="C7326" t="n">
        <v>2</v>
      </c>
      <c r="D7326" s="8" t="n">
        <v>46271</v>
      </c>
      <c r="E7326" s="9" t="n">
        <v>21607.5</v>
      </c>
      <c r="F7326" s="8" t="n"/>
      <c r="G7326" s="9" t="n">
        <v>0</v>
      </c>
      <c r="H7326" t="inlineStr">
        <is>
          <t>NOT_DUE</t>
        </is>
      </c>
      <c r="I7326">
        <f>IF(H7326="UNPAID", AsOfDate-D7326, 0)</f>
        <v/>
      </c>
      <c r="J7326">
        <f>IF(F7326&lt;&gt;"", TEXT(F7326, "yyyy-mm"), "")</f>
        <v/>
      </c>
    </row>
    <row r="7327">
      <c r="A7327" t="inlineStr">
        <is>
          <t>RP0007326</t>
        </is>
      </c>
      <c r="B7327" t="inlineStr">
        <is>
          <t>LN201040</t>
        </is>
      </c>
      <c r="C7327" t="n">
        <v>3</v>
      </c>
      <c r="D7327" s="8" t="n">
        <v>46301</v>
      </c>
      <c r="E7327" s="9" t="n">
        <v>21607.5</v>
      </c>
      <c r="F7327" s="8" t="n"/>
      <c r="G7327" s="9" t="n">
        <v>0</v>
      </c>
      <c r="H7327" t="inlineStr">
        <is>
          <t>NOT_DUE</t>
        </is>
      </c>
      <c r="I7327">
        <f>IF(H7327="UNPAID", AsOfDate-D7327, 0)</f>
        <v/>
      </c>
      <c r="J7327">
        <f>IF(F7327&lt;&gt;"", TEXT(F7327, "yyyy-mm"), "")</f>
        <v/>
      </c>
    </row>
    <row r="7328">
      <c r="A7328" t="inlineStr">
        <is>
          <t>RP0007327</t>
        </is>
      </c>
      <c r="B7328" t="inlineStr">
        <is>
          <t>LN201040</t>
        </is>
      </c>
      <c r="C7328" t="n">
        <v>4</v>
      </c>
      <c r="D7328" s="8" t="n">
        <v>46332</v>
      </c>
      <c r="E7328" s="9" t="n">
        <v>21607.5</v>
      </c>
      <c r="F7328" s="8" t="n"/>
      <c r="G7328" s="9" t="n">
        <v>0</v>
      </c>
      <c r="H7328" t="inlineStr">
        <is>
          <t>NOT_DUE</t>
        </is>
      </c>
      <c r="I7328">
        <f>IF(H7328="UNPAID", AsOfDate-D7328, 0)</f>
        <v/>
      </c>
      <c r="J7328">
        <f>IF(F7328&lt;&gt;"", TEXT(F7328, "yyyy-mm"), "")</f>
        <v/>
      </c>
    </row>
    <row r="7329">
      <c r="A7329" t="inlineStr">
        <is>
          <t>RP0007328</t>
        </is>
      </c>
      <c r="B7329" t="inlineStr">
        <is>
          <t>LN201040</t>
        </is>
      </c>
      <c r="C7329" t="n">
        <v>5</v>
      </c>
      <c r="D7329" s="8" t="n">
        <v>46362</v>
      </c>
      <c r="E7329" s="9" t="n">
        <v>21607.5</v>
      </c>
      <c r="F7329" s="8" t="n"/>
      <c r="G7329" s="9" t="n">
        <v>0</v>
      </c>
      <c r="H7329" t="inlineStr">
        <is>
          <t>NOT_DUE</t>
        </is>
      </c>
      <c r="I7329">
        <f>IF(H7329="UNPAID", AsOfDate-D7329, 0)</f>
        <v/>
      </c>
      <c r="J7329">
        <f>IF(F7329&lt;&gt;"", TEXT(F7329, "yyyy-mm"), "")</f>
        <v/>
      </c>
    </row>
    <row r="7330">
      <c r="A7330" t="inlineStr">
        <is>
          <t>RP0007329</t>
        </is>
      </c>
      <c r="B7330" t="inlineStr">
        <is>
          <t>LN201040</t>
        </is>
      </c>
      <c r="C7330" t="n">
        <v>6</v>
      </c>
      <c r="D7330" s="8" t="n">
        <v>46393</v>
      </c>
      <c r="E7330" s="9" t="n">
        <v>21607.5</v>
      </c>
      <c r="F7330" s="8" t="n"/>
      <c r="G7330" s="9" t="n">
        <v>0</v>
      </c>
      <c r="H7330" t="inlineStr">
        <is>
          <t>NOT_DUE</t>
        </is>
      </c>
      <c r="I7330">
        <f>IF(H7330="UNPAID", AsOfDate-D7330, 0)</f>
        <v/>
      </c>
      <c r="J7330">
        <f>IF(F7330&lt;&gt;"", TEXT(F7330, "yyyy-mm"), "")</f>
        <v/>
      </c>
    </row>
    <row r="7331">
      <c r="A7331" t="inlineStr">
        <is>
          <t>RP0007330</t>
        </is>
      </c>
      <c r="B7331" t="inlineStr">
        <is>
          <t>LN201040</t>
        </is>
      </c>
      <c r="C7331" t="n">
        <v>7</v>
      </c>
      <c r="D7331" s="8" t="n">
        <v>46424</v>
      </c>
      <c r="E7331" s="9" t="n">
        <v>21607.5</v>
      </c>
      <c r="F7331" s="8" t="n"/>
      <c r="G7331" s="9" t="n">
        <v>0</v>
      </c>
      <c r="H7331" t="inlineStr">
        <is>
          <t>NOT_DUE</t>
        </is>
      </c>
      <c r="I7331">
        <f>IF(H7331="UNPAID", AsOfDate-D7331, 0)</f>
        <v/>
      </c>
      <c r="J7331">
        <f>IF(F7331&lt;&gt;"", TEXT(F7331, "yyyy-mm"), "")</f>
        <v/>
      </c>
    </row>
    <row r="7332">
      <c r="A7332" t="inlineStr">
        <is>
          <t>RP0007331</t>
        </is>
      </c>
      <c r="B7332" t="inlineStr">
        <is>
          <t>LN201040</t>
        </is>
      </c>
      <c r="C7332" t="n">
        <v>8</v>
      </c>
      <c r="D7332" s="8" t="n">
        <v>46452</v>
      </c>
      <c r="E7332" s="9" t="n">
        <v>21607.5</v>
      </c>
      <c r="F7332" s="8" t="n"/>
      <c r="G7332" s="9" t="n">
        <v>0</v>
      </c>
      <c r="H7332" t="inlineStr">
        <is>
          <t>NOT_DUE</t>
        </is>
      </c>
      <c r="I7332">
        <f>IF(H7332="UNPAID", AsOfDate-D7332, 0)</f>
        <v/>
      </c>
      <c r="J7332">
        <f>IF(F7332&lt;&gt;"", TEXT(F7332, "yyyy-mm"), "")</f>
        <v/>
      </c>
    </row>
    <row r="7333">
      <c r="A7333" t="inlineStr">
        <is>
          <t>RP0007332</t>
        </is>
      </c>
      <c r="B7333" t="inlineStr">
        <is>
          <t>LN201040</t>
        </is>
      </c>
      <c r="C7333" t="n">
        <v>9</v>
      </c>
      <c r="D7333" s="8" t="n">
        <v>46483</v>
      </c>
      <c r="E7333" s="9" t="n">
        <v>21607.5</v>
      </c>
      <c r="F7333" s="8" t="n"/>
      <c r="G7333" s="9" t="n">
        <v>0</v>
      </c>
      <c r="H7333" t="inlineStr">
        <is>
          <t>NOT_DUE</t>
        </is>
      </c>
      <c r="I7333">
        <f>IF(H7333="UNPAID", AsOfDate-D7333, 0)</f>
        <v/>
      </c>
      <c r="J7333">
        <f>IF(F7333&lt;&gt;"", TEXT(F7333, "yyyy-mm"), "")</f>
        <v/>
      </c>
    </row>
    <row r="7334">
      <c r="A7334" t="inlineStr">
        <is>
          <t>RP0007333</t>
        </is>
      </c>
      <c r="B7334" t="inlineStr">
        <is>
          <t>LN201040</t>
        </is>
      </c>
      <c r="C7334" t="n">
        <v>10</v>
      </c>
      <c r="D7334" s="8" t="n">
        <v>46513</v>
      </c>
      <c r="E7334" s="9" t="n">
        <v>21607.5</v>
      </c>
      <c r="F7334" s="8" t="n"/>
      <c r="G7334" s="9" t="n">
        <v>0</v>
      </c>
      <c r="H7334" t="inlineStr">
        <is>
          <t>NOT_DUE</t>
        </is>
      </c>
      <c r="I7334">
        <f>IF(H7334="UNPAID", AsOfDate-D7334, 0)</f>
        <v/>
      </c>
      <c r="J7334">
        <f>IF(F7334&lt;&gt;"", TEXT(F7334, "yyyy-mm"), "")</f>
        <v/>
      </c>
    </row>
    <row r="7335">
      <c r="A7335" t="inlineStr">
        <is>
          <t>RP0007334</t>
        </is>
      </c>
      <c r="B7335" t="inlineStr">
        <is>
          <t>LN201040</t>
        </is>
      </c>
      <c r="C7335" t="n">
        <v>11</v>
      </c>
      <c r="D7335" s="8" t="n">
        <v>46544</v>
      </c>
      <c r="E7335" s="9" t="n">
        <v>21607.5</v>
      </c>
      <c r="F7335" s="8" t="n"/>
      <c r="G7335" s="9" t="n">
        <v>0</v>
      </c>
      <c r="H7335" t="inlineStr">
        <is>
          <t>NOT_DUE</t>
        </is>
      </c>
      <c r="I7335">
        <f>IF(H7335="UNPAID", AsOfDate-D7335, 0)</f>
        <v/>
      </c>
      <c r="J7335">
        <f>IF(F7335&lt;&gt;"", TEXT(F7335, "yyyy-mm"), "")</f>
        <v/>
      </c>
    </row>
    <row r="7336">
      <c r="A7336" t="inlineStr">
        <is>
          <t>RP0007335</t>
        </is>
      </c>
      <c r="B7336" t="inlineStr">
        <is>
          <t>LN201040</t>
        </is>
      </c>
      <c r="C7336" t="n">
        <v>12</v>
      </c>
      <c r="D7336" s="8" t="n">
        <v>46574</v>
      </c>
      <c r="E7336" s="9" t="n">
        <v>21607.5</v>
      </c>
      <c r="F7336" s="8" t="n"/>
      <c r="G7336" s="9" t="n">
        <v>0</v>
      </c>
      <c r="H7336" t="inlineStr">
        <is>
          <t>NOT_DUE</t>
        </is>
      </c>
      <c r="I7336">
        <f>IF(H7336="UNPAID", AsOfDate-D7336, 0)</f>
        <v/>
      </c>
      <c r="J7336">
        <f>IF(F7336&lt;&gt;"", TEXT(F7336, "yyyy-mm"), "")</f>
        <v/>
      </c>
    </row>
    <row r="7337">
      <c r="A7337" t="inlineStr">
        <is>
          <t>RP0007336</t>
        </is>
      </c>
      <c r="B7337" t="inlineStr">
        <is>
          <t>LN201041</t>
        </is>
      </c>
      <c r="C7337" t="n">
        <v>1</v>
      </c>
      <c r="D7337" s="8" t="n">
        <v>46050</v>
      </c>
      <c r="E7337" s="9" t="n">
        <v>4233.94</v>
      </c>
      <c r="F7337" s="8" t="n">
        <v>46049</v>
      </c>
      <c r="G7337" s="9" t="n">
        <v>4233.94</v>
      </c>
      <c r="H7337" t="inlineStr">
        <is>
          <t>PAID_ON_TIME</t>
        </is>
      </c>
      <c r="I7337">
        <f>IF(H7337="UNPAID", AsOfDate-D7337, 0)</f>
        <v/>
      </c>
      <c r="J7337">
        <f>IF(F7337&lt;&gt;"", TEXT(F7337, "yyyy-mm"), "")</f>
        <v/>
      </c>
    </row>
    <row r="7338">
      <c r="A7338" t="inlineStr">
        <is>
          <t>RP0007337</t>
        </is>
      </c>
      <c r="B7338" t="inlineStr">
        <is>
          <t>LN201041</t>
        </is>
      </c>
      <c r="C7338" t="n">
        <v>2</v>
      </c>
      <c r="D7338" s="8" t="n">
        <v>46081</v>
      </c>
      <c r="E7338" s="9" t="n">
        <v>4233.94</v>
      </c>
      <c r="F7338" s="8" t="n">
        <v>46084</v>
      </c>
      <c r="G7338" s="9" t="n">
        <v>4233.94</v>
      </c>
      <c r="H7338" t="inlineStr">
        <is>
          <t>PAID_ON_TIME</t>
        </is>
      </c>
      <c r="I7338">
        <f>IF(H7338="UNPAID", AsOfDate-D7338, 0)</f>
        <v/>
      </c>
      <c r="J7338">
        <f>IF(F7338&lt;&gt;"", TEXT(F7338, "yyyy-mm"), "")</f>
        <v/>
      </c>
    </row>
    <row r="7339">
      <c r="A7339" t="inlineStr">
        <is>
          <t>RP0007338</t>
        </is>
      </c>
      <c r="B7339" t="inlineStr">
        <is>
          <t>LN201041</t>
        </is>
      </c>
      <c r="C7339" t="n">
        <v>3</v>
      </c>
      <c r="D7339" s="8" t="n">
        <v>46109</v>
      </c>
      <c r="E7339" s="9" t="n">
        <v>4233.94</v>
      </c>
      <c r="F7339" s="8" t="n">
        <v>46106</v>
      </c>
      <c r="G7339" s="9" t="n">
        <v>4233.94</v>
      </c>
      <c r="H7339" t="inlineStr">
        <is>
          <t>PAID_ON_TIME</t>
        </is>
      </c>
      <c r="I7339">
        <f>IF(H7339="UNPAID", AsOfDate-D7339, 0)</f>
        <v/>
      </c>
      <c r="J7339">
        <f>IF(F7339&lt;&gt;"", TEXT(F7339, "yyyy-mm"), "")</f>
        <v/>
      </c>
    </row>
    <row r="7340">
      <c r="A7340" t="inlineStr">
        <is>
          <t>RP0007339</t>
        </is>
      </c>
      <c r="B7340" t="inlineStr">
        <is>
          <t>LN201041</t>
        </is>
      </c>
      <c r="C7340" t="n">
        <v>4</v>
      </c>
      <c r="D7340" s="8" t="n">
        <v>46140</v>
      </c>
      <c r="E7340" s="9" t="n">
        <v>4233.94</v>
      </c>
      <c r="F7340" s="8" t="n">
        <v>46137</v>
      </c>
      <c r="G7340" s="9" t="n">
        <v>4233.94</v>
      </c>
      <c r="H7340" t="inlineStr">
        <is>
          <t>PAID_ON_TIME</t>
        </is>
      </c>
      <c r="I7340">
        <f>IF(H7340="UNPAID", AsOfDate-D7340, 0)</f>
        <v/>
      </c>
      <c r="J7340">
        <f>IF(F7340&lt;&gt;"", TEXT(F7340, "yyyy-mm"), "")</f>
        <v/>
      </c>
    </row>
    <row r="7341">
      <c r="A7341" t="inlineStr">
        <is>
          <t>RP0007340</t>
        </is>
      </c>
      <c r="B7341" t="inlineStr">
        <is>
          <t>LN201041</t>
        </is>
      </c>
      <c r="C7341" t="n">
        <v>5</v>
      </c>
      <c r="D7341" s="8" t="n">
        <v>46170</v>
      </c>
      <c r="E7341" s="9" t="n">
        <v>4233.94</v>
      </c>
      <c r="F7341" s="8" t="n">
        <v>46172</v>
      </c>
      <c r="G7341" s="9" t="n">
        <v>4233.94</v>
      </c>
      <c r="H7341" t="inlineStr">
        <is>
          <t>PAID_ON_TIME</t>
        </is>
      </c>
      <c r="I7341">
        <f>IF(H7341="UNPAID", AsOfDate-D7341, 0)</f>
        <v/>
      </c>
      <c r="J7341">
        <f>IF(F7341&lt;&gt;"", TEXT(F7341, "yyyy-mm"), "")</f>
        <v/>
      </c>
    </row>
    <row r="7342">
      <c r="A7342" t="inlineStr">
        <is>
          <t>RP0007341</t>
        </is>
      </c>
      <c r="B7342" t="inlineStr">
        <is>
          <t>LN201041</t>
        </is>
      </c>
      <c r="C7342" t="n">
        <v>6</v>
      </c>
      <c r="D7342" s="8" t="n">
        <v>46201</v>
      </c>
      <c r="E7342" s="9" t="n">
        <v>4233.94</v>
      </c>
      <c r="F7342" s="8" t="n">
        <v>46201</v>
      </c>
      <c r="G7342" s="9" t="n">
        <v>4233.94</v>
      </c>
      <c r="H7342" t="inlineStr">
        <is>
          <t>PAID_ON_TIME</t>
        </is>
      </c>
      <c r="I7342">
        <f>IF(H7342="UNPAID", AsOfDate-D7342, 0)</f>
        <v/>
      </c>
      <c r="J7342">
        <f>IF(F7342&lt;&gt;"", TEXT(F7342, "yyyy-mm"), "")</f>
        <v/>
      </c>
    </row>
    <row r="7343">
      <c r="A7343" t="inlineStr">
        <is>
          <t>RP0007342</t>
        </is>
      </c>
      <c r="B7343" t="inlineStr">
        <is>
          <t>LN201041</t>
        </is>
      </c>
      <c r="C7343" t="n">
        <v>7</v>
      </c>
      <c r="D7343" s="8" t="n">
        <v>46231</v>
      </c>
      <c r="E7343" s="9" t="n">
        <v>4233.94</v>
      </c>
      <c r="F7343" s="8" t="n">
        <v>46235</v>
      </c>
      <c r="G7343" s="9" t="n">
        <v>4233.94</v>
      </c>
      <c r="H7343" t="inlineStr">
        <is>
          <t>PAID_ON_TIME</t>
        </is>
      </c>
      <c r="I7343">
        <f>IF(H7343="UNPAID", AsOfDate-D7343, 0)</f>
        <v/>
      </c>
      <c r="J7343">
        <f>IF(F7343&lt;&gt;"", TEXT(F7343, "yyyy-mm"), "")</f>
        <v/>
      </c>
    </row>
    <row r="7344">
      <c r="A7344" t="inlineStr">
        <is>
          <t>RP0007343</t>
        </is>
      </c>
      <c r="B7344" t="inlineStr">
        <is>
          <t>LN201041</t>
        </is>
      </c>
      <c r="C7344" t="n">
        <v>8</v>
      </c>
      <c r="D7344" s="8" t="n">
        <v>46262</v>
      </c>
      <c r="E7344" s="9" t="n">
        <v>4233.94</v>
      </c>
      <c r="F7344" s="8" t="n"/>
      <c r="G7344" s="9" t="n">
        <v>0</v>
      </c>
      <c r="H7344" t="inlineStr">
        <is>
          <t>UNPAID</t>
        </is>
      </c>
      <c r="I7344">
        <f>IF(H7344="UNPAID", AsOfDate-D7344, 0)</f>
        <v/>
      </c>
      <c r="J7344">
        <f>IF(F7344&lt;&gt;"", TEXT(F7344, "yyyy-mm"), "")</f>
        <v/>
      </c>
    </row>
    <row r="7345">
      <c r="A7345" t="inlineStr">
        <is>
          <t>RP0007344</t>
        </is>
      </c>
      <c r="B7345" t="inlineStr">
        <is>
          <t>LN201041</t>
        </is>
      </c>
      <c r="C7345" t="n">
        <v>9</v>
      </c>
      <c r="D7345" s="8" t="n">
        <v>46293</v>
      </c>
      <c r="E7345" s="9" t="n">
        <v>4233.94</v>
      </c>
      <c r="F7345" s="8" t="n"/>
      <c r="G7345" s="9" t="n">
        <v>0</v>
      </c>
      <c r="H7345" t="inlineStr">
        <is>
          <t>NOT_DUE</t>
        </is>
      </c>
      <c r="I7345">
        <f>IF(H7345="UNPAID", AsOfDate-D7345, 0)</f>
        <v/>
      </c>
      <c r="J7345">
        <f>IF(F7345&lt;&gt;"", TEXT(F7345, "yyyy-mm"), "")</f>
        <v/>
      </c>
    </row>
    <row r="7346">
      <c r="A7346" t="inlineStr">
        <is>
          <t>RP0007345</t>
        </is>
      </c>
      <c r="B7346" t="inlineStr">
        <is>
          <t>LN201042</t>
        </is>
      </c>
      <c r="C7346" t="n">
        <v>1</v>
      </c>
      <c r="D7346" s="8" t="n">
        <v>45784</v>
      </c>
      <c r="E7346" s="9" t="n">
        <v>33755.33</v>
      </c>
      <c r="F7346" s="8" t="n">
        <v>45786</v>
      </c>
      <c r="G7346" s="9" t="n">
        <v>33755.33</v>
      </c>
      <c r="H7346" t="inlineStr">
        <is>
          <t>PAID_ON_TIME</t>
        </is>
      </c>
      <c r="I7346">
        <f>IF(H7346="UNPAID", AsOfDate-D7346, 0)</f>
        <v/>
      </c>
      <c r="J7346">
        <f>IF(F7346&lt;&gt;"", TEXT(F7346, "yyyy-mm"), "")</f>
        <v/>
      </c>
    </row>
    <row r="7347">
      <c r="A7347" t="inlineStr">
        <is>
          <t>RP0007346</t>
        </is>
      </c>
      <c r="B7347" t="inlineStr">
        <is>
          <t>LN201042</t>
        </is>
      </c>
      <c r="C7347" t="n">
        <v>2</v>
      </c>
      <c r="D7347" s="8" t="n">
        <v>45815</v>
      </c>
      <c r="E7347" s="9" t="n">
        <v>33755.33</v>
      </c>
      <c r="F7347" s="8" t="n">
        <v>45815</v>
      </c>
      <c r="G7347" s="9" t="n">
        <v>33755.33</v>
      </c>
      <c r="H7347" t="inlineStr">
        <is>
          <t>PAID_ON_TIME</t>
        </is>
      </c>
      <c r="I7347">
        <f>IF(H7347="UNPAID", AsOfDate-D7347, 0)</f>
        <v/>
      </c>
      <c r="J7347">
        <f>IF(F7347&lt;&gt;"", TEXT(F7347, "yyyy-mm"), "")</f>
        <v/>
      </c>
    </row>
    <row r="7348">
      <c r="A7348" t="inlineStr">
        <is>
          <t>RP0007347</t>
        </is>
      </c>
      <c r="B7348" t="inlineStr">
        <is>
          <t>LN201042</t>
        </is>
      </c>
      <c r="C7348" t="n">
        <v>3</v>
      </c>
      <c r="D7348" s="8" t="n">
        <v>45845</v>
      </c>
      <c r="E7348" s="9" t="n">
        <v>33755.33</v>
      </c>
      <c r="F7348" s="8" t="n">
        <v>45951</v>
      </c>
      <c r="G7348" s="9" t="n">
        <v>33755.33</v>
      </c>
      <c r="H7348" t="inlineStr">
        <is>
          <t>PAID_LATE</t>
        </is>
      </c>
      <c r="I7348">
        <f>IF(H7348="UNPAID", AsOfDate-D7348, 0)</f>
        <v/>
      </c>
      <c r="J7348">
        <f>IF(F7348&lt;&gt;"", TEXT(F7348, "yyyy-mm"), "")</f>
        <v/>
      </c>
    </row>
    <row r="7349">
      <c r="A7349" t="inlineStr">
        <is>
          <t>RP0007348</t>
        </is>
      </c>
      <c r="B7349" t="inlineStr">
        <is>
          <t>LN201042</t>
        </is>
      </c>
      <c r="C7349" t="n">
        <v>4</v>
      </c>
      <c r="D7349" s="8" t="n">
        <v>45876</v>
      </c>
      <c r="E7349" s="9" t="n">
        <v>33755.33</v>
      </c>
      <c r="F7349" s="8" t="n">
        <v>45876</v>
      </c>
      <c r="G7349" s="9" t="n">
        <v>33755.33</v>
      </c>
      <c r="H7349" t="inlineStr">
        <is>
          <t>PAID_ON_TIME</t>
        </is>
      </c>
      <c r="I7349">
        <f>IF(H7349="UNPAID", AsOfDate-D7349, 0)</f>
        <v/>
      </c>
      <c r="J7349">
        <f>IF(F7349&lt;&gt;"", TEXT(F7349, "yyyy-mm"), "")</f>
        <v/>
      </c>
    </row>
    <row r="7350">
      <c r="A7350" t="inlineStr">
        <is>
          <t>RP0007349</t>
        </is>
      </c>
      <c r="B7350" t="inlineStr">
        <is>
          <t>LN201042</t>
        </is>
      </c>
      <c r="C7350" t="n">
        <v>5</v>
      </c>
      <c r="D7350" s="8" t="n">
        <v>45907</v>
      </c>
      <c r="E7350" s="9" t="n">
        <v>33755.33</v>
      </c>
      <c r="F7350" s="8" t="n">
        <v>46005</v>
      </c>
      <c r="G7350" s="9" t="n">
        <v>33755.33</v>
      </c>
      <c r="H7350" t="inlineStr">
        <is>
          <t>PAID_LATE</t>
        </is>
      </c>
      <c r="I7350">
        <f>IF(H7350="UNPAID", AsOfDate-D7350, 0)</f>
        <v/>
      </c>
      <c r="J7350">
        <f>IF(F7350&lt;&gt;"", TEXT(F7350, "yyyy-mm"), "")</f>
        <v/>
      </c>
    </row>
    <row r="7351">
      <c r="A7351" t="inlineStr">
        <is>
          <t>RP0007350</t>
        </is>
      </c>
      <c r="B7351" t="inlineStr">
        <is>
          <t>LN201042</t>
        </is>
      </c>
      <c r="C7351" t="n">
        <v>6</v>
      </c>
      <c r="D7351" s="8" t="n">
        <v>45937</v>
      </c>
      <c r="E7351" s="9" t="n">
        <v>33755.33</v>
      </c>
      <c r="F7351" s="8" t="n">
        <v>46019</v>
      </c>
      <c r="G7351" s="9" t="n">
        <v>33755.33</v>
      </c>
      <c r="H7351" t="inlineStr">
        <is>
          <t>PAID_LATE</t>
        </is>
      </c>
      <c r="I7351">
        <f>IF(H7351="UNPAID", AsOfDate-D7351, 0)</f>
        <v/>
      </c>
      <c r="J7351">
        <f>IF(F7351&lt;&gt;"", TEXT(F7351, "yyyy-mm"), "")</f>
        <v/>
      </c>
    </row>
    <row r="7352">
      <c r="A7352" t="inlineStr">
        <is>
          <t>RP0007351</t>
        </is>
      </c>
      <c r="B7352" t="inlineStr">
        <is>
          <t>LN201042</t>
        </is>
      </c>
      <c r="C7352" t="n">
        <v>7</v>
      </c>
      <c r="D7352" s="8" t="n">
        <v>45968</v>
      </c>
      <c r="E7352" s="9" t="n">
        <v>33755.33</v>
      </c>
      <c r="F7352" s="8" t="n">
        <v>46010</v>
      </c>
      <c r="G7352" s="9" t="n">
        <v>33755.33</v>
      </c>
      <c r="H7352" t="inlineStr">
        <is>
          <t>PAID_LATE</t>
        </is>
      </c>
      <c r="I7352">
        <f>IF(H7352="UNPAID", AsOfDate-D7352, 0)</f>
        <v/>
      </c>
      <c r="J7352">
        <f>IF(F7352&lt;&gt;"", TEXT(F7352, "yyyy-mm"), "")</f>
        <v/>
      </c>
    </row>
    <row r="7353">
      <c r="A7353" t="inlineStr">
        <is>
          <t>RP0007352</t>
        </is>
      </c>
      <c r="B7353" t="inlineStr">
        <is>
          <t>LN201042</t>
        </is>
      </c>
      <c r="C7353" t="n">
        <v>8</v>
      </c>
      <c r="D7353" s="8" t="n">
        <v>45998</v>
      </c>
      <c r="E7353" s="9" t="n">
        <v>33755.33</v>
      </c>
      <c r="F7353" s="8" t="n">
        <v>45999</v>
      </c>
      <c r="G7353" s="9" t="n">
        <v>33755.33</v>
      </c>
      <c r="H7353" t="inlineStr">
        <is>
          <t>PAID_ON_TIME</t>
        </is>
      </c>
      <c r="I7353">
        <f>IF(H7353="UNPAID", AsOfDate-D7353, 0)</f>
        <v/>
      </c>
      <c r="J7353">
        <f>IF(F7353&lt;&gt;"", TEXT(F7353, "yyyy-mm"), "")</f>
        <v/>
      </c>
    </row>
    <row r="7354">
      <c r="A7354" t="inlineStr">
        <is>
          <t>RP0007353</t>
        </is>
      </c>
      <c r="B7354" t="inlineStr">
        <is>
          <t>LN201042</t>
        </is>
      </c>
      <c r="C7354" t="n">
        <v>9</v>
      </c>
      <c r="D7354" s="8" t="n">
        <v>46029</v>
      </c>
      <c r="E7354" s="9" t="n">
        <v>33755.33</v>
      </c>
      <c r="F7354" s="8" t="n">
        <v>46030</v>
      </c>
      <c r="G7354" s="9" t="n">
        <v>33755.33</v>
      </c>
      <c r="H7354" t="inlineStr">
        <is>
          <t>PAID_ON_TIME</t>
        </is>
      </c>
      <c r="I7354">
        <f>IF(H7354="UNPAID", AsOfDate-D7354, 0)</f>
        <v/>
      </c>
      <c r="J7354">
        <f>IF(F7354&lt;&gt;"", TEXT(F7354, "yyyy-mm"), "")</f>
        <v/>
      </c>
    </row>
    <row r="7355">
      <c r="A7355" t="inlineStr">
        <is>
          <t>RP0007354</t>
        </is>
      </c>
      <c r="B7355" t="inlineStr">
        <is>
          <t>LN201043</t>
        </is>
      </c>
      <c r="C7355" t="n">
        <v>1</v>
      </c>
      <c r="D7355" s="8" t="n">
        <v>45996</v>
      </c>
      <c r="E7355" s="9" t="n">
        <v>31458</v>
      </c>
      <c r="F7355" s="8" t="n">
        <v>45995</v>
      </c>
      <c r="G7355" s="9" t="n">
        <v>31458</v>
      </c>
      <c r="H7355" t="inlineStr">
        <is>
          <t>PAID_ON_TIME</t>
        </is>
      </c>
      <c r="I7355">
        <f>IF(H7355="UNPAID", AsOfDate-D7355, 0)</f>
        <v/>
      </c>
      <c r="J7355">
        <f>IF(F7355&lt;&gt;"", TEXT(F7355, "yyyy-mm"), "")</f>
        <v/>
      </c>
    </row>
    <row r="7356">
      <c r="A7356" t="inlineStr">
        <is>
          <t>RP0007355</t>
        </is>
      </c>
      <c r="B7356" t="inlineStr">
        <is>
          <t>LN201043</t>
        </is>
      </c>
      <c r="C7356" t="n">
        <v>2</v>
      </c>
      <c r="D7356" s="8" t="n">
        <v>46027</v>
      </c>
      <c r="E7356" s="9" t="n">
        <v>31458</v>
      </c>
      <c r="F7356" s="8" t="n">
        <v>46030</v>
      </c>
      <c r="G7356" s="9" t="n">
        <v>31458</v>
      </c>
      <c r="H7356" t="inlineStr">
        <is>
          <t>PAID_ON_TIME</t>
        </is>
      </c>
      <c r="I7356">
        <f>IF(H7356="UNPAID", AsOfDate-D7356, 0)</f>
        <v/>
      </c>
      <c r="J7356">
        <f>IF(F7356&lt;&gt;"", TEXT(F7356, "yyyy-mm"), "")</f>
        <v/>
      </c>
    </row>
    <row r="7357">
      <c r="A7357" t="inlineStr">
        <is>
          <t>RP0007356</t>
        </is>
      </c>
      <c r="B7357" t="inlineStr">
        <is>
          <t>LN201043</t>
        </is>
      </c>
      <c r="C7357" t="n">
        <v>3</v>
      </c>
      <c r="D7357" s="8" t="n">
        <v>46058</v>
      </c>
      <c r="E7357" s="9" t="n">
        <v>31458</v>
      </c>
      <c r="F7357" s="8" t="n">
        <v>46062</v>
      </c>
      <c r="G7357" s="9" t="n">
        <v>31458</v>
      </c>
      <c r="H7357" t="inlineStr">
        <is>
          <t>PAID_ON_TIME</t>
        </is>
      </c>
      <c r="I7357">
        <f>IF(H7357="UNPAID", AsOfDate-D7357, 0)</f>
        <v/>
      </c>
      <c r="J7357">
        <f>IF(F7357&lt;&gt;"", TEXT(F7357, "yyyy-mm"), "")</f>
        <v/>
      </c>
    </row>
    <row r="7358">
      <c r="A7358" t="inlineStr">
        <is>
          <t>RP0007357</t>
        </is>
      </c>
      <c r="B7358" t="inlineStr">
        <is>
          <t>LN201043</t>
        </is>
      </c>
      <c r="C7358" t="n">
        <v>4</v>
      </c>
      <c r="D7358" s="8" t="n">
        <v>46086</v>
      </c>
      <c r="E7358" s="9" t="n">
        <v>31458</v>
      </c>
      <c r="F7358" s="8" t="n">
        <v>46087</v>
      </c>
      <c r="G7358" s="9" t="n">
        <v>31458</v>
      </c>
      <c r="H7358" t="inlineStr">
        <is>
          <t>PAID_ON_TIME</t>
        </is>
      </c>
      <c r="I7358">
        <f>IF(H7358="UNPAID", AsOfDate-D7358, 0)</f>
        <v/>
      </c>
      <c r="J7358">
        <f>IF(F7358&lt;&gt;"", TEXT(F7358, "yyyy-mm"), "")</f>
        <v/>
      </c>
    </row>
    <row r="7359">
      <c r="A7359" t="inlineStr">
        <is>
          <t>RP0007358</t>
        </is>
      </c>
      <c r="B7359" t="inlineStr">
        <is>
          <t>LN201043</t>
        </is>
      </c>
      <c r="C7359" t="n">
        <v>5</v>
      </c>
      <c r="D7359" s="8" t="n">
        <v>46117</v>
      </c>
      <c r="E7359" s="9" t="n">
        <v>31458</v>
      </c>
      <c r="F7359" s="8" t="n">
        <v>46121</v>
      </c>
      <c r="G7359" s="9" t="n">
        <v>31458</v>
      </c>
      <c r="H7359" t="inlineStr">
        <is>
          <t>PAID_ON_TIME</t>
        </is>
      </c>
      <c r="I7359">
        <f>IF(H7359="UNPAID", AsOfDate-D7359, 0)</f>
        <v/>
      </c>
      <c r="J7359">
        <f>IF(F7359&lt;&gt;"", TEXT(F7359, "yyyy-mm"), "")</f>
        <v/>
      </c>
    </row>
    <row r="7360">
      <c r="A7360" t="inlineStr">
        <is>
          <t>RP0007359</t>
        </is>
      </c>
      <c r="B7360" t="inlineStr">
        <is>
          <t>LN201043</t>
        </is>
      </c>
      <c r="C7360" t="n">
        <v>6</v>
      </c>
      <c r="D7360" s="8" t="n">
        <v>46147</v>
      </c>
      <c r="E7360" s="9" t="n">
        <v>31458</v>
      </c>
      <c r="F7360" s="8" t="n">
        <v>46147</v>
      </c>
      <c r="G7360" s="9" t="n">
        <v>31458</v>
      </c>
      <c r="H7360" t="inlineStr">
        <is>
          <t>PAID_ON_TIME</t>
        </is>
      </c>
      <c r="I7360">
        <f>IF(H7360="UNPAID", AsOfDate-D7360, 0)</f>
        <v/>
      </c>
      <c r="J7360">
        <f>IF(F7360&lt;&gt;"", TEXT(F7360, "yyyy-mm"), "")</f>
        <v/>
      </c>
    </row>
    <row r="7361">
      <c r="A7361" t="inlineStr">
        <is>
          <t>RP0007360</t>
        </is>
      </c>
      <c r="B7361" t="inlineStr">
        <is>
          <t>LN201043</t>
        </is>
      </c>
      <c r="C7361" t="n">
        <v>7</v>
      </c>
      <c r="D7361" s="8" t="n">
        <v>46178</v>
      </c>
      <c r="E7361" s="9" t="n">
        <v>31458</v>
      </c>
      <c r="F7361" s="8" t="n">
        <v>46175</v>
      </c>
      <c r="G7361" s="9" t="n">
        <v>31458</v>
      </c>
      <c r="H7361" t="inlineStr">
        <is>
          <t>PAID_ON_TIME</t>
        </is>
      </c>
      <c r="I7361">
        <f>IF(H7361="UNPAID", AsOfDate-D7361, 0)</f>
        <v/>
      </c>
      <c r="J7361">
        <f>IF(F7361&lt;&gt;"", TEXT(F7361, "yyyy-mm"), "")</f>
        <v/>
      </c>
    </row>
    <row r="7362">
      <c r="A7362" t="inlineStr">
        <is>
          <t>RP0007361</t>
        </is>
      </c>
      <c r="B7362" t="inlineStr">
        <is>
          <t>LN201043</t>
        </is>
      </c>
      <c r="C7362" t="n">
        <v>8</v>
      </c>
      <c r="D7362" s="8" t="n">
        <v>46208</v>
      </c>
      <c r="E7362" s="9" t="n">
        <v>31458</v>
      </c>
      <c r="F7362" s="8" t="n">
        <v>46209</v>
      </c>
      <c r="G7362" s="9" t="n">
        <v>31458</v>
      </c>
      <c r="H7362" t="inlineStr">
        <is>
          <t>PAID_ON_TIME</t>
        </is>
      </c>
      <c r="I7362">
        <f>IF(H7362="UNPAID", AsOfDate-D7362, 0)</f>
        <v/>
      </c>
      <c r="J7362">
        <f>IF(F7362&lt;&gt;"", TEXT(F7362, "yyyy-mm"), "")</f>
        <v/>
      </c>
    </row>
    <row r="7363">
      <c r="A7363" t="inlineStr">
        <is>
          <t>RP0007362</t>
        </is>
      </c>
      <c r="B7363" t="inlineStr">
        <is>
          <t>LN201043</t>
        </is>
      </c>
      <c r="C7363" t="n">
        <v>9</v>
      </c>
      <c r="D7363" s="8" t="n">
        <v>46239</v>
      </c>
      <c r="E7363" s="9" t="n">
        <v>31458</v>
      </c>
      <c r="F7363" s="8" t="n">
        <v>46237</v>
      </c>
      <c r="G7363" s="9" t="n">
        <v>31458</v>
      </c>
      <c r="H7363" t="inlineStr">
        <is>
          <t>PAID_ON_TIME</t>
        </is>
      </c>
      <c r="I7363">
        <f>IF(H7363="UNPAID", AsOfDate-D7363, 0)</f>
        <v/>
      </c>
      <c r="J7363">
        <f>IF(F7363&lt;&gt;"", TEXT(F7363, "yyyy-mm"), "")</f>
        <v/>
      </c>
    </row>
    <row r="7364">
      <c r="A7364" t="inlineStr">
        <is>
          <t>RP0007363</t>
        </is>
      </c>
      <c r="B7364" t="inlineStr">
        <is>
          <t>LN201043</t>
        </is>
      </c>
      <c r="C7364" t="n">
        <v>10</v>
      </c>
      <c r="D7364" s="8" t="n">
        <v>46270</v>
      </c>
      <c r="E7364" s="9" t="n">
        <v>31458</v>
      </c>
      <c r="F7364" s="8" t="n"/>
      <c r="G7364" s="9" t="n">
        <v>0</v>
      </c>
      <c r="H7364" t="inlineStr">
        <is>
          <t>NOT_DUE</t>
        </is>
      </c>
      <c r="I7364">
        <f>IF(H7364="UNPAID", AsOfDate-D7364, 0)</f>
        <v/>
      </c>
      <c r="J7364">
        <f>IF(F7364&lt;&gt;"", TEXT(F7364, "yyyy-mm"), "")</f>
        <v/>
      </c>
    </row>
    <row r="7365">
      <c r="A7365" t="inlineStr">
        <is>
          <t>RP0007364</t>
        </is>
      </c>
      <c r="B7365" t="inlineStr">
        <is>
          <t>LN201043</t>
        </is>
      </c>
      <c r="C7365" t="n">
        <v>11</v>
      </c>
      <c r="D7365" s="8" t="n">
        <v>46300</v>
      </c>
      <c r="E7365" s="9" t="n">
        <v>31458</v>
      </c>
      <c r="F7365" s="8" t="n"/>
      <c r="G7365" s="9" t="n">
        <v>0</v>
      </c>
      <c r="H7365" t="inlineStr">
        <is>
          <t>NOT_DUE</t>
        </is>
      </c>
      <c r="I7365">
        <f>IF(H7365="UNPAID", AsOfDate-D7365, 0)</f>
        <v/>
      </c>
      <c r="J7365">
        <f>IF(F7365&lt;&gt;"", TEXT(F7365, "yyyy-mm"), "")</f>
        <v/>
      </c>
    </row>
    <row r="7366">
      <c r="A7366" t="inlineStr">
        <is>
          <t>RP0007365</t>
        </is>
      </c>
      <c r="B7366" t="inlineStr">
        <is>
          <t>LN201043</t>
        </is>
      </c>
      <c r="C7366" t="n">
        <v>12</v>
      </c>
      <c r="D7366" s="8" t="n">
        <v>46331</v>
      </c>
      <c r="E7366" s="9" t="n">
        <v>31458</v>
      </c>
      <c r="F7366" s="8" t="n"/>
      <c r="G7366" s="9" t="n">
        <v>0</v>
      </c>
      <c r="H7366" t="inlineStr">
        <is>
          <t>NOT_DUE</t>
        </is>
      </c>
      <c r="I7366">
        <f>IF(H7366="UNPAID", AsOfDate-D7366, 0)</f>
        <v/>
      </c>
      <c r="J7366">
        <f>IF(F7366&lt;&gt;"", TEXT(F7366, "yyyy-mm"), "")</f>
        <v/>
      </c>
    </row>
    <row r="7367">
      <c r="A7367" t="inlineStr">
        <is>
          <t>RP0007366</t>
        </is>
      </c>
      <c r="B7367" t="inlineStr">
        <is>
          <t>LN201044</t>
        </is>
      </c>
      <c r="C7367" t="n">
        <v>1</v>
      </c>
      <c r="D7367" s="8" t="n">
        <v>45691</v>
      </c>
      <c r="E7367" s="9" t="n">
        <v>3891.56</v>
      </c>
      <c r="F7367" s="8" t="n">
        <v>45688</v>
      </c>
      <c r="G7367" s="9" t="n">
        <v>3891.56</v>
      </c>
      <c r="H7367" t="inlineStr">
        <is>
          <t>PAID_ON_TIME</t>
        </is>
      </c>
      <c r="I7367">
        <f>IF(H7367="UNPAID", AsOfDate-D7367, 0)</f>
        <v/>
      </c>
      <c r="J7367">
        <f>IF(F7367&lt;&gt;"", TEXT(F7367, "yyyy-mm"), "")</f>
        <v/>
      </c>
    </row>
    <row r="7368">
      <c r="A7368" t="inlineStr">
        <is>
          <t>RP0007367</t>
        </is>
      </c>
      <c r="B7368" t="inlineStr">
        <is>
          <t>LN201044</t>
        </is>
      </c>
      <c r="C7368" t="n">
        <v>2</v>
      </c>
      <c r="D7368" s="8" t="n">
        <v>45719</v>
      </c>
      <c r="E7368" s="9" t="n">
        <v>3891.56</v>
      </c>
      <c r="F7368" s="8" t="n">
        <v>45723</v>
      </c>
      <c r="G7368" s="9" t="n">
        <v>3891.56</v>
      </c>
      <c r="H7368" t="inlineStr">
        <is>
          <t>PAID_ON_TIME</t>
        </is>
      </c>
      <c r="I7368">
        <f>IF(H7368="UNPAID", AsOfDate-D7368, 0)</f>
        <v/>
      </c>
      <c r="J7368">
        <f>IF(F7368&lt;&gt;"", TEXT(F7368, "yyyy-mm"), "")</f>
        <v/>
      </c>
    </row>
    <row r="7369">
      <c r="A7369" t="inlineStr">
        <is>
          <t>RP0007368</t>
        </is>
      </c>
      <c r="B7369" t="inlineStr">
        <is>
          <t>LN201044</t>
        </is>
      </c>
      <c r="C7369" t="n">
        <v>3</v>
      </c>
      <c r="D7369" s="8" t="n">
        <v>45750</v>
      </c>
      <c r="E7369" s="9" t="n">
        <v>3891.56</v>
      </c>
      <c r="F7369" s="8" t="n">
        <v>45829</v>
      </c>
      <c r="G7369" s="9" t="n">
        <v>3891.56</v>
      </c>
      <c r="H7369" t="inlineStr">
        <is>
          <t>PAID_LATE</t>
        </is>
      </c>
      <c r="I7369">
        <f>IF(H7369="UNPAID", AsOfDate-D7369, 0)</f>
        <v/>
      </c>
      <c r="J7369">
        <f>IF(F7369&lt;&gt;"", TEXT(F7369, "yyyy-mm"), "")</f>
        <v/>
      </c>
    </row>
    <row r="7370">
      <c r="A7370" t="inlineStr">
        <is>
          <t>RP0007369</t>
        </is>
      </c>
      <c r="B7370" t="inlineStr">
        <is>
          <t>LN201044</t>
        </is>
      </c>
      <c r="C7370" t="n">
        <v>4</v>
      </c>
      <c r="D7370" s="8" t="n">
        <v>45780</v>
      </c>
      <c r="E7370" s="9" t="n">
        <v>3891.56</v>
      </c>
      <c r="F7370" s="8" t="n">
        <v>45780</v>
      </c>
      <c r="G7370" s="9" t="n">
        <v>3891.56</v>
      </c>
      <c r="H7370" t="inlineStr">
        <is>
          <t>PAID_ON_TIME</t>
        </is>
      </c>
      <c r="I7370">
        <f>IF(H7370="UNPAID", AsOfDate-D7370, 0)</f>
        <v/>
      </c>
      <c r="J7370">
        <f>IF(F7370&lt;&gt;"", TEXT(F7370, "yyyy-mm"), "")</f>
        <v/>
      </c>
    </row>
    <row r="7371">
      <c r="A7371" t="inlineStr">
        <is>
          <t>RP0007370</t>
        </is>
      </c>
      <c r="B7371" t="inlineStr">
        <is>
          <t>LN201044</t>
        </is>
      </c>
      <c r="C7371" t="n">
        <v>5</v>
      </c>
      <c r="D7371" s="8" t="n">
        <v>45811</v>
      </c>
      <c r="E7371" s="9" t="n">
        <v>3891.56</v>
      </c>
      <c r="F7371" s="8" t="n">
        <v>45835</v>
      </c>
      <c r="G7371" s="9" t="n">
        <v>3891.56</v>
      </c>
      <c r="H7371" t="inlineStr">
        <is>
          <t>PAID_LATE</t>
        </is>
      </c>
      <c r="I7371">
        <f>IF(H7371="UNPAID", AsOfDate-D7371, 0)</f>
        <v/>
      </c>
      <c r="J7371">
        <f>IF(F7371&lt;&gt;"", TEXT(F7371, "yyyy-mm"), "")</f>
        <v/>
      </c>
    </row>
    <row r="7372">
      <c r="A7372" t="inlineStr">
        <is>
          <t>RP0007371</t>
        </is>
      </c>
      <c r="B7372" t="inlineStr">
        <is>
          <t>LN201044</t>
        </is>
      </c>
      <c r="C7372" t="n">
        <v>6</v>
      </c>
      <c r="D7372" s="8" t="n">
        <v>45841</v>
      </c>
      <c r="E7372" s="9" t="n">
        <v>3891.56</v>
      </c>
      <c r="F7372" s="8" t="n">
        <v>45844</v>
      </c>
      <c r="G7372" s="9" t="n">
        <v>3891.56</v>
      </c>
      <c r="H7372" t="inlineStr">
        <is>
          <t>PAID_ON_TIME</t>
        </is>
      </c>
      <c r="I7372">
        <f>IF(H7372="UNPAID", AsOfDate-D7372, 0)</f>
        <v/>
      </c>
      <c r="J7372">
        <f>IF(F7372&lt;&gt;"", TEXT(F7372, "yyyy-mm"), "")</f>
        <v/>
      </c>
    </row>
    <row r="7373">
      <c r="A7373" t="inlineStr">
        <is>
          <t>RP0007372</t>
        </is>
      </c>
      <c r="B7373" t="inlineStr">
        <is>
          <t>LN201044</t>
        </is>
      </c>
      <c r="C7373" t="n">
        <v>7</v>
      </c>
      <c r="D7373" s="8" t="n">
        <v>45872</v>
      </c>
      <c r="E7373" s="9" t="n">
        <v>3891.56</v>
      </c>
      <c r="F7373" s="8" t="n">
        <v>45869</v>
      </c>
      <c r="G7373" s="9" t="n">
        <v>3891.56</v>
      </c>
      <c r="H7373" t="inlineStr">
        <is>
          <t>PAID_ON_TIME</t>
        </is>
      </c>
      <c r="I7373">
        <f>IF(H7373="UNPAID", AsOfDate-D7373, 0)</f>
        <v/>
      </c>
      <c r="J7373">
        <f>IF(F7373&lt;&gt;"", TEXT(F7373, "yyyy-mm"), "")</f>
        <v/>
      </c>
    </row>
    <row r="7374">
      <c r="A7374" t="inlineStr">
        <is>
          <t>RP0007373</t>
        </is>
      </c>
      <c r="B7374" t="inlineStr">
        <is>
          <t>LN201044</t>
        </is>
      </c>
      <c r="C7374" t="n">
        <v>8</v>
      </c>
      <c r="D7374" s="8" t="n">
        <v>45903</v>
      </c>
      <c r="E7374" s="9" t="n">
        <v>3891.56</v>
      </c>
      <c r="F7374" s="8" t="n">
        <v>45900</v>
      </c>
      <c r="G7374" s="9" t="n">
        <v>3891.56</v>
      </c>
      <c r="H7374" t="inlineStr">
        <is>
          <t>PAID_ON_TIME</t>
        </is>
      </c>
      <c r="I7374">
        <f>IF(H7374="UNPAID", AsOfDate-D7374, 0)</f>
        <v/>
      </c>
      <c r="J7374">
        <f>IF(F7374&lt;&gt;"", TEXT(F7374, "yyyy-mm"), "")</f>
        <v/>
      </c>
    </row>
    <row r="7375">
      <c r="A7375" t="inlineStr">
        <is>
          <t>RP0007374</t>
        </is>
      </c>
      <c r="B7375" t="inlineStr">
        <is>
          <t>LN201044</t>
        </is>
      </c>
      <c r="C7375" t="n">
        <v>9</v>
      </c>
      <c r="D7375" s="8" t="n">
        <v>45933</v>
      </c>
      <c r="E7375" s="9" t="n">
        <v>3891.56</v>
      </c>
      <c r="F7375" s="8" t="n">
        <v>45933</v>
      </c>
      <c r="G7375" s="9" t="n">
        <v>3891.56</v>
      </c>
      <c r="H7375" t="inlineStr">
        <is>
          <t>PAID_ON_TIME</t>
        </is>
      </c>
      <c r="I7375">
        <f>IF(H7375="UNPAID", AsOfDate-D7375, 0)</f>
        <v/>
      </c>
      <c r="J7375">
        <f>IF(F7375&lt;&gt;"", TEXT(F7375, "yyyy-mm"), "")</f>
        <v/>
      </c>
    </row>
    <row r="7376">
      <c r="A7376" t="inlineStr">
        <is>
          <t>RP0007375</t>
        </is>
      </c>
      <c r="B7376" t="inlineStr">
        <is>
          <t>LN201045</t>
        </is>
      </c>
      <c r="C7376" t="n">
        <v>1</v>
      </c>
      <c r="D7376" s="8" t="n">
        <v>46158</v>
      </c>
      <c r="E7376" s="9" t="n">
        <v>5814.5</v>
      </c>
      <c r="F7376" s="8" t="n">
        <v>46156</v>
      </c>
      <c r="G7376" s="9" t="n">
        <v>5814.5</v>
      </c>
      <c r="H7376" t="inlineStr">
        <is>
          <t>PAID_ON_TIME</t>
        </is>
      </c>
      <c r="I7376">
        <f>IF(H7376="UNPAID", AsOfDate-D7376, 0)</f>
        <v/>
      </c>
      <c r="J7376">
        <f>IF(F7376&lt;&gt;"", TEXT(F7376, "yyyy-mm"), "")</f>
        <v/>
      </c>
    </row>
    <row r="7377">
      <c r="A7377" t="inlineStr">
        <is>
          <t>RP0007376</t>
        </is>
      </c>
      <c r="B7377" t="inlineStr">
        <is>
          <t>LN201045</t>
        </is>
      </c>
      <c r="C7377" t="n">
        <v>2</v>
      </c>
      <c r="D7377" s="8" t="n">
        <v>46189</v>
      </c>
      <c r="E7377" s="9" t="n">
        <v>5814.5</v>
      </c>
      <c r="F7377" s="8" t="n">
        <v>46188</v>
      </c>
      <c r="G7377" s="9" t="n">
        <v>5814.5</v>
      </c>
      <c r="H7377" t="inlineStr">
        <is>
          <t>PAID_ON_TIME</t>
        </is>
      </c>
      <c r="I7377">
        <f>IF(H7377="UNPAID", AsOfDate-D7377, 0)</f>
        <v/>
      </c>
      <c r="J7377">
        <f>IF(F7377&lt;&gt;"", TEXT(F7377, "yyyy-mm"), "")</f>
        <v/>
      </c>
    </row>
    <row r="7378">
      <c r="A7378" t="inlineStr">
        <is>
          <t>RP0007377</t>
        </is>
      </c>
      <c r="B7378" t="inlineStr">
        <is>
          <t>LN201045</t>
        </is>
      </c>
      <c r="C7378" t="n">
        <v>3</v>
      </c>
      <c r="D7378" s="8" t="n">
        <v>46219</v>
      </c>
      <c r="E7378" s="9" t="n">
        <v>5814.5</v>
      </c>
      <c r="F7378" s="8" t="n">
        <v>46217</v>
      </c>
      <c r="G7378" s="9" t="n">
        <v>5814.5</v>
      </c>
      <c r="H7378" t="inlineStr">
        <is>
          <t>PAID_ON_TIME</t>
        </is>
      </c>
      <c r="I7378">
        <f>IF(H7378="UNPAID", AsOfDate-D7378, 0)</f>
        <v/>
      </c>
      <c r="J7378">
        <f>IF(F7378&lt;&gt;"", TEXT(F7378, "yyyy-mm"), "")</f>
        <v/>
      </c>
    </row>
    <row r="7379">
      <c r="A7379" t="inlineStr">
        <is>
          <t>RP0007378</t>
        </is>
      </c>
      <c r="B7379" t="inlineStr">
        <is>
          <t>LN201045</t>
        </is>
      </c>
      <c r="C7379" t="n">
        <v>4</v>
      </c>
      <c r="D7379" s="8" t="n">
        <v>46250</v>
      </c>
      <c r="E7379" s="9" t="n">
        <v>5814.5</v>
      </c>
      <c r="F7379" s="8" t="n">
        <v>46248</v>
      </c>
      <c r="G7379" s="9" t="n">
        <v>5814.5</v>
      </c>
      <c r="H7379" t="inlineStr">
        <is>
          <t>PAID_ON_TIME</t>
        </is>
      </c>
      <c r="I7379">
        <f>IF(H7379="UNPAID", AsOfDate-D7379, 0)</f>
        <v/>
      </c>
      <c r="J7379">
        <f>IF(F7379&lt;&gt;"", TEXT(F7379, "yyyy-mm"), "")</f>
        <v/>
      </c>
    </row>
    <row r="7380">
      <c r="A7380" t="inlineStr">
        <is>
          <t>RP0007379</t>
        </is>
      </c>
      <c r="B7380" t="inlineStr">
        <is>
          <t>LN201045</t>
        </is>
      </c>
      <c r="C7380" t="n">
        <v>5</v>
      </c>
      <c r="D7380" s="8" t="n">
        <v>46281</v>
      </c>
      <c r="E7380" s="9" t="n">
        <v>5814.5</v>
      </c>
      <c r="F7380" s="8" t="n"/>
      <c r="G7380" s="9" t="n">
        <v>0</v>
      </c>
      <c r="H7380" t="inlineStr">
        <is>
          <t>NOT_DUE</t>
        </is>
      </c>
      <c r="I7380">
        <f>IF(H7380="UNPAID", AsOfDate-D7380, 0)</f>
        <v/>
      </c>
      <c r="J7380">
        <f>IF(F7380&lt;&gt;"", TEXT(F7380, "yyyy-mm"), "")</f>
        <v/>
      </c>
    </row>
    <row r="7381">
      <c r="A7381" t="inlineStr">
        <is>
          <t>RP0007380</t>
        </is>
      </c>
      <c r="B7381" t="inlineStr">
        <is>
          <t>LN201045</t>
        </is>
      </c>
      <c r="C7381" t="n">
        <v>6</v>
      </c>
      <c r="D7381" s="8" t="n">
        <v>46311</v>
      </c>
      <c r="E7381" s="9" t="n">
        <v>5814.5</v>
      </c>
      <c r="F7381" s="8" t="n"/>
      <c r="G7381" s="9" t="n">
        <v>0</v>
      </c>
      <c r="H7381" t="inlineStr">
        <is>
          <t>NOT_DUE</t>
        </is>
      </c>
      <c r="I7381">
        <f>IF(H7381="UNPAID", AsOfDate-D7381, 0)</f>
        <v/>
      </c>
      <c r="J7381">
        <f>IF(F7381&lt;&gt;"", TEXT(F7381, "yyyy-mm"), "")</f>
        <v/>
      </c>
    </row>
    <row r="7382">
      <c r="A7382" t="inlineStr">
        <is>
          <t>RP0007381</t>
        </is>
      </c>
      <c r="B7382" t="inlineStr">
        <is>
          <t>LN201045</t>
        </is>
      </c>
      <c r="C7382" t="n">
        <v>7</v>
      </c>
      <c r="D7382" s="8" t="n">
        <v>46342</v>
      </c>
      <c r="E7382" s="9" t="n">
        <v>5814.5</v>
      </c>
      <c r="F7382" s="8" t="n"/>
      <c r="G7382" s="9" t="n">
        <v>0</v>
      </c>
      <c r="H7382" t="inlineStr">
        <is>
          <t>NOT_DUE</t>
        </is>
      </c>
      <c r="I7382">
        <f>IF(H7382="UNPAID", AsOfDate-D7382, 0)</f>
        <v/>
      </c>
      <c r="J7382">
        <f>IF(F7382&lt;&gt;"", TEXT(F7382, "yyyy-mm"), "")</f>
        <v/>
      </c>
    </row>
    <row r="7383">
      <c r="A7383" t="inlineStr">
        <is>
          <t>RP0007382</t>
        </is>
      </c>
      <c r="B7383" t="inlineStr">
        <is>
          <t>LN201045</t>
        </is>
      </c>
      <c r="C7383" t="n">
        <v>8</v>
      </c>
      <c r="D7383" s="8" t="n">
        <v>46372</v>
      </c>
      <c r="E7383" s="9" t="n">
        <v>5814.5</v>
      </c>
      <c r="F7383" s="8" t="n"/>
      <c r="G7383" s="9" t="n">
        <v>0</v>
      </c>
      <c r="H7383" t="inlineStr">
        <is>
          <t>NOT_DUE</t>
        </is>
      </c>
      <c r="I7383">
        <f>IF(H7383="UNPAID", AsOfDate-D7383, 0)</f>
        <v/>
      </c>
      <c r="J7383">
        <f>IF(F7383&lt;&gt;"", TEXT(F7383, "yyyy-mm"), "")</f>
        <v/>
      </c>
    </row>
    <row r="7384">
      <c r="A7384" t="inlineStr">
        <is>
          <t>RP0007383</t>
        </is>
      </c>
      <c r="B7384" t="inlineStr">
        <is>
          <t>LN201045</t>
        </is>
      </c>
      <c r="C7384" t="n">
        <v>9</v>
      </c>
      <c r="D7384" s="8" t="n">
        <v>46403</v>
      </c>
      <c r="E7384" s="9" t="n">
        <v>5814.5</v>
      </c>
      <c r="F7384" s="8" t="n"/>
      <c r="G7384" s="9" t="n">
        <v>0</v>
      </c>
      <c r="H7384" t="inlineStr">
        <is>
          <t>NOT_DUE</t>
        </is>
      </c>
      <c r="I7384">
        <f>IF(H7384="UNPAID", AsOfDate-D7384, 0)</f>
        <v/>
      </c>
      <c r="J7384">
        <f>IF(F7384&lt;&gt;"", TEXT(F7384, "yyyy-mm"), "")</f>
        <v/>
      </c>
    </row>
    <row r="7385">
      <c r="A7385" t="inlineStr">
        <is>
          <t>RP0007384</t>
        </is>
      </c>
      <c r="B7385" t="inlineStr">
        <is>
          <t>LN201045</t>
        </is>
      </c>
      <c r="C7385" t="n">
        <v>10</v>
      </c>
      <c r="D7385" s="8" t="n">
        <v>46434</v>
      </c>
      <c r="E7385" s="9" t="n">
        <v>5814.5</v>
      </c>
      <c r="F7385" s="8" t="n"/>
      <c r="G7385" s="9" t="n">
        <v>0</v>
      </c>
      <c r="H7385" t="inlineStr">
        <is>
          <t>NOT_DUE</t>
        </is>
      </c>
      <c r="I7385">
        <f>IF(H7385="UNPAID", AsOfDate-D7385, 0)</f>
        <v/>
      </c>
      <c r="J7385">
        <f>IF(F7385&lt;&gt;"", TEXT(F7385, "yyyy-mm"), "")</f>
        <v/>
      </c>
    </row>
    <row r="7386">
      <c r="A7386" t="inlineStr">
        <is>
          <t>RP0007385</t>
        </is>
      </c>
      <c r="B7386" t="inlineStr">
        <is>
          <t>LN201045</t>
        </is>
      </c>
      <c r="C7386" t="n">
        <v>11</v>
      </c>
      <c r="D7386" s="8" t="n">
        <v>46462</v>
      </c>
      <c r="E7386" s="9" t="n">
        <v>5814.5</v>
      </c>
      <c r="F7386" s="8" t="n"/>
      <c r="G7386" s="9" t="n">
        <v>0</v>
      </c>
      <c r="H7386" t="inlineStr">
        <is>
          <t>NOT_DUE</t>
        </is>
      </c>
      <c r="I7386">
        <f>IF(H7386="UNPAID", AsOfDate-D7386, 0)</f>
        <v/>
      </c>
      <c r="J7386">
        <f>IF(F7386&lt;&gt;"", TEXT(F7386, "yyyy-mm"), "")</f>
        <v/>
      </c>
    </row>
    <row r="7387">
      <c r="A7387" t="inlineStr">
        <is>
          <t>RP0007386</t>
        </is>
      </c>
      <c r="B7387" t="inlineStr">
        <is>
          <t>LN201045</t>
        </is>
      </c>
      <c r="C7387" t="n">
        <v>12</v>
      </c>
      <c r="D7387" s="8" t="n">
        <v>46493</v>
      </c>
      <c r="E7387" s="9" t="n">
        <v>5814.5</v>
      </c>
      <c r="F7387" s="8" t="n"/>
      <c r="G7387" s="9" t="n">
        <v>0</v>
      </c>
      <c r="H7387" t="inlineStr">
        <is>
          <t>NOT_DUE</t>
        </is>
      </c>
      <c r="I7387">
        <f>IF(H7387="UNPAID", AsOfDate-D7387, 0)</f>
        <v/>
      </c>
      <c r="J7387">
        <f>IF(F7387&lt;&gt;"", TEXT(F7387, "yyyy-mm"), "")</f>
        <v/>
      </c>
    </row>
    <row r="7388">
      <c r="A7388" t="inlineStr">
        <is>
          <t>RP0007387</t>
        </is>
      </c>
      <c r="B7388" t="inlineStr">
        <is>
          <t>LN201047</t>
        </is>
      </c>
      <c r="C7388" t="n">
        <v>1</v>
      </c>
      <c r="D7388" s="8" t="n">
        <v>46227</v>
      </c>
      <c r="E7388" s="9" t="n">
        <v>23394.17</v>
      </c>
      <c r="F7388" s="8" t="n">
        <v>46230</v>
      </c>
      <c r="G7388" s="9" t="n">
        <v>23394.17</v>
      </c>
      <c r="H7388" t="inlineStr">
        <is>
          <t>PAID_ON_TIME</t>
        </is>
      </c>
      <c r="I7388">
        <f>IF(H7388="UNPAID", AsOfDate-D7388, 0)</f>
        <v/>
      </c>
      <c r="J7388">
        <f>IF(F7388&lt;&gt;"", TEXT(F7388, "yyyy-mm"), "")</f>
        <v/>
      </c>
    </row>
    <row r="7389">
      <c r="A7389" t="inlineStr">
        <is>
          <t>RP0007388</t>
        </is>
      </c>
      <c r="B7389" t="inlineStr">
        <is>
          <t>LN201047</t>
        </is>
      </c>
      <c r="C7389" t="n">
        <v>2</v>
      </c>
      <c r="D7389" s="8" t="n">
        <v>46258</v>
      </c>
      <c r="E7389" s="9" t="n">
        <v>23394.17</v>
      </c>
      <c r="F7389" s="8" t="n"/>
      <c r="G7389" s="9" t="n">
        <v>0</v>
      </c>
      <c r="H7389" t="inlineStr">
        <is>
          <t>UNPAID</t>
        </is>
      </c>
      <c r="I7389">
        <f>IF(H7389="UNPAID", AsOfDate-D7389, 0)</f>
        <v/>
      </c>
      <c r="J7389">
        <f>IF(F7389&lt;&gt;"", TEXT(F7389, "yyyy-mm"), "")</f>
        <v/>
      </c>
    </row>
    <row r="7390">
      <c r="A7390" t="inlineStr">
        <is>
          <t>RP0007389</t>
        </is>
      </c>
      <c r="B7390" t="inlineStr">
        <is>
          <t>LN201047</t>
        </is>
      </c>
      <c r="C7390" t="n">
        <v>3</v>
      </c>
      <c r="D7390" s="8" t="n">
        <v>46289</v>
      </c>
      <c r="E7390" s="9" t="n">
        <v>23394.17</v>
      </c>
      <c r="F7390" s="8" t="n"/>
      <c r="G7390" s="9" t="n">
        <v>0</v>
      </c>
      <c r="H7390" t="inlineStr">
        <is>
          <t>NOT_DUE</t>
        </is>
      </c>
      <c r="I7390">
        <f>IF(H7390="UNPAID", AsOfDate-D7390, 0)</f>
        <v/>
      </c>
      <c r="J7390">
        <f>IF(F7390&lt;&gt;"", TEXT(F7390, "yyyy-mm"), "")</f>
        <v/>
      </c>
    </row>
    <row r="7391">
      <c r="A7391" t="inlineStr">
        <is>
          <t>RP0007390</t>
        </is>
      </c>
      <c r="B7391" t="inlineStr">
        <is>
          <t>LN201048</t>
        </is>
      </c>
      <c r="C7391" t="n">
        <v>1</v>
      </c>
      <c r="D7391" s="8" t="n">
        <v>46038</v>
      </c>
      <c r="E7391" s="9" t="n">
        <v>6375.06</v>
      </c>
      <c r="F7391" s="8" t="n">
        <v>46041</v>
      </c>
      <c r="G7391" s="9" t="n">
        <v>6375.06</v>
      </c>
      <c r="H7391" t="inlineStr">
        <is>
          <t>PAID_ON_TIME</t>
        </is>
      </c>
      <c r="I7391">
        <f>IF(H7391="UNPAID", AsOfDate-D7391, 0)</f>
        <v/>
      </c>
      <c r="J7391">
        <f>IF(F7391&lt;&gt;"", TEXT(F7391, "yyyy-mm"), "")</f>
        <v/>
      </c>
    </row>
    <row r="7392">
      <c r="A7392" t="inlineStr">
        <is>
          <t>RP0007391</t>
        </is>
      </c>
      <c r="B7392" t="inlineStr">
        <is>
          <t>LN201048</t>
        </is>
      </c>
      <c r="C7392" t="n">
        <v>2</v>
      </c>
      <c r="D7392" s="8" t="n">
        <v>46069</v>
      </c>
      <c r="E7392" s="9" t="n">
        <v>6375.06</v>
      </c>
      <c r="F7392" s="8" t="n">
        <v>46073</v>
      </c>
      <c r="G7392" s="9" t="n">
        <v>6375.06</v>
      </c>
      <c r="H7392" t="inlineStr">
        <is>
          <t>PAID_ON_TIME</t>
        </is>
      </c>
      <c r="I7392">
        <f>IF(H7392="UNPAID", AsOfDate-D7392, 0)</f>
        <v/>
      </c>
      <c r="J7392">
        <f>IF(F7392&lt;&gt;"", TEXT(F7392, "yyyy-mm"), "")</f>
        <v/>
      </c>
    </row>
    <row r="7393">
      <c r="A7393" t="inlineStr">
        <is>
          <t>RP0007392</t>
        </is>
      </c>
      <c r="B7393" t="inlineStr">
        <is>
          <t>LN201048</t>
        </is>
      </c>
      <c r="C7393" t="n">
        <v>3</v>
      </c>
      <c r="D7393" s="8" t="n">
        <v>46097</v>
      </c>
      <c r="E7393" s="9" t="n">
        <v>6375.06</v>
      </c>
      <c r="F7393" s="8" t="n">
        <v>46101</v>
      </c>
      <c r="G7393" s="9" t="n">
        <v>6375.06</v>
      </c>
      <c r="H7393" t="inlineStr">
        <is>
          <t>PAID_ON_TIME</t>
        </is>
      </c>
      <c r="I7393">
        <f>IF(H7393="UNPAID", AsOfDate-D7393, 0)</f>
        <v/>
      </c>
      <c r="J7393">
        <f>IF(F7393&lt;&gt;"", TEXT(F7393, "yyyy-mm"), "")</f>
        <v/>
      </c>
    </row>
    <row r="7394">
      <c r="A7394" t="inlineStr">
        <is>
          <t>RP0007393</t>
        </is>
      </c>
      <c r="B7394" t="inlineStr">
        <is>
          <t>LN201048</t>
        </is>
      </c>
      <c r="C7394" t="n">
        <v>4</v>
      </c>
      <c r="D7394" s="8" t="n">
        <v>46128</v>
      </c>
      <c r="E7394" s="9" t="n">
        <v>6375.06</v>
      </c>
      <c r="F7394" s="8" t="n">
        <v>46132</v>
      </c>
      <c r="G7394" s="9" t="n">
        <v>6375.06</v>
      </c>
      <c r="H7394" t="inlineStr">
        <is>
          <t>PAID_ON_TIME</t>
        </is>
      </c>
      <c r="I7394">
        <f>IF(H7394="UNPAID", AsOfDate-D7394, 0)</f>
        <v/>
      </c>
      <c r="J7394">
        <f>IF(F7394&lt;&gt;"", TEXT(F7394, "yyyy-mm"), "")</f>
        <v/>
      </c>
    </row>
    <row r="7395">
      <c r="A7395" t="inlineStr">
        <is>
          <t>RP0007394</t>
        </is>
      </c>
      <c r="B7395" t="inlineStr">
        <is>
          <t>LN201048</t>
        </is>
      </c>
      <c r="C7395" t="n">
        <v>5</v>
      </c>
      <c r="D7395" s="8" t="n">
        <v>46158</v>
      </c>
      <c r="E7395" s="9" t="n">
        <v>6375.06</v>
      </c>
      <c r="F7395" s="8" t="n">
        <v>46159</v>
      </c>
      <c r="G7395" s="9" t="n">
        <v>6375.06</v>
      </c>
      <c r="H7395" t="inlineStr">
        <is>
          <t>PAID_ON_TIME</t>
        </is>
      </c>
      <c r="I7395">
        <f>IF(H7395="UNPAID", AsOfDate-D7395, 0)</f>
        <v/>
      </c>
      <c r="J7395">
        <f>IF(F7395&lt;&gt;"", TEXT(F7395, "yyyy-mm"), "")</f>
        <v/>
      </c>
    </row>
    <row r="7396">
      <c r="A7396" t="inlineStr">
        <is>
          <t>RP0007395</t>
        </is>
      </c>
      <c r="B7396" t="inlineStr">
        <is>
          <t>LN201048</t>
        </is>
      </c>
      <c r="C7396" t="n">
        <v>6</v>
      </c>
      <c r="D7396" s="8" t="n">
        <v>46189</v>
      </c>
      <c r="E7396" s="9" t="n">
        <v>6375.06</v>
      </c>
      <c r="F7396" s="8" t="n"/>
      <c r="G7396" s="9" t="n">
        <v>0</v>
      </c>
      <c r="H7396" t="inlineStr">
        <is>
          <t>UNPAID</t>
        </is>
      </c>
      <c r="I7396">
        <f>IF(H7396="UNPAID", AsOfDate-D7396, 0)</f>
        <v/>
      </c>
      <c r="J7396">
        <f>IF(F7396&lt;&gt;"", TEXT(F7396, "yyyy-mm"), "")</f>
        <v/>
      </c>
    </row>
    <row r="7397">
      <c r="A7397" t="inlineStr">
        <is>
          <t>RP0007396</t>
        </is>
      </c>
      <c r="B7397" t="inlineStr">
        <is>
          <t>LN201048</t>
        </is>
      </c>
      <c r="C7397" t="n">
        <v>7</v>
      </c>
      <c r="D7397" s="8" t="n">
        <v>46219</v>
      </c>
      <c r="E7397" s="9" t="n">
        <v>6375.06</v>
      </c>
      <c r="F7397" s="8" t="n">
        <v>46218</v>
      </c>
      <c r="G7397" s="9" t="n">
        <v>6375.06</v>
      </c>
      <c r="H7397" t="inlineStr">
        <is>
          <t>PAID_ON_TIME</t>
        </is>
      </c>
      <c r="I7397">
        <f>IF(H7397="UNPAID", AsOfDate-D7397, 0)</f>
        <v/>
      </c>
      <c r="J7397">
        <f>IF(F7397&lt;&gt;"", TEXT(F7397, "yyyy-mm"), "")</f>
        <v/>
      </c>
    </row>
    <row r="7398">
      <c r="A7398" t="inlineStr">
        <is>
          <t>RP0007397</t>
        </is>
      </c>
      <c r="B7398" t="inlineStr">
        <is>
          <t>LN201048</t>
        </is>
      </c>
      <c r="C7398" t="n">
        <v>8</v>
      </c>
      <c r="D7398" s="8" t="n">
        <v>46250</v>
      </c>
      <c r="E7398" s="9" t="n">
        <v>6375.06</v>
      </c>
      <c r="F7398" s="8" t="n">
        <v>46250</v>
      </c>
      <c r="G7398" s="9" t="n">
        <v>6375.06</v>
      </c>
      <c r="H7398" t="inlineStr">
        <is>
          <t>PAID_ON_TIME</t>
        </is>
      </c>
      <c r="I7398">
        <f>IF(H7398="UNPAID", AsOfDate-D7398, 0)</f>
        <v/>
      </c>
      <c r="J7398">
        <f>IF(F7398&lt;&gt;"", TEXT(F7398, "yyyy-mm"), "")</f>
        <v/>
      </c>
    </row>
    <row r="7399">
      <c r="A7399" t="inlineStr">
        <is>
          <t>RP0007398</t>
        </is>
      </c>
      <c r="B7399" t="inlineStr">
        <is>
          <t>LN201048</t>
        </is>
      </c>
      <c r="C7399" t="n">
        <v>9</v>
      </c>
      <c r="D7399" s="8" t="n">
        <v>46281</v>
      </c>
      <c r="E7399" s="9" t="n">
        <v>6375.06</v>
      </c>
      <c r="F7399" s="8" t="n"/>
      <c r="G7399" s="9" t="n">
        <v>0</v>
      </c>
      <c r="H7399" t="inlineStr">
        <is>
          <t>NOT_DUE</t>
        </is>
      </c>
      <c r="I7399">
        <f>IF(H7399="UNPAID", AsOfDate-D7399, 0)</f>
        <v/>
      </c>
      <c r="J7399">
        <f>IF(F7399&lt;&gt;"", TEXT(F7399, "yyyy-mm"), "")</f>
        <v/>
      </c>
    </row>
    <row r="7400">
      <c r="A7400" t="inlineStr">
        <is>
          <t>RP0007399</t>
        </is>
      </c>
      <c r="B7400" t="inlineStr">
        <is>
          <t>LN201048</t>
        </is>
      </c>
      <c r="C7400" t="n">
        <v>10</v>
      </c>
      <c r="D7400" s="8" t="n">
        <v>46311</v>
      </c>
      <c r="E7400" s="9" t="n">
        <v>6375.06</v>
      </c>
      <c r="F7400" s="8" t="n"/>
      <c r="G7400" s="9" t="n">
        <v>0</v>
      </c>
      <c r="H7400" t="inlineStr">
        <is>
          <t>NOT_DUE</t>
        </is>
      </c>
      <c r="I7400">
        <f>IF(H7400="UNPAID", AsOfDate-D7400, 0)</f>
        <v/>
      </c>
      <c r="J7400">
        <f>IF(F7400&lt;&gt;"", TEXT(F7400, "yyyy-mm"), "")</f>
        <v/>
      </c>
    </row>
    <row r="7401">
      <c r="A7401" t="inlineStr">
        <is>
          <t>RP0007400</t>
        </is>
      </c>
      <c r="B7401" t="inlineStr">
        <is>
          <t>LN201048</t>
        </is>
      </c>
      <c r="C7401" t="n">
        <v>11</v>
      </c>
      <c r="D7401" s="8" t="n">
        <v>46342</v>
      </c>
      <c r="E7401" s="9" t="n">
        <v>6375.06</v>
      </c>
      <c r="F7401" s="8" t="n"/>
      <c r="G7401" s="9" t="n">
        <v>0</v>
      </c>
      <c r="H7401" t="inlineStr">
        <is>
          <t>NOT_DUE</t>
        </is>
      </c>
      <c r="I7401">
        <f>IF(H7401="UNPAID", AsOfDate-D7401, 0)</f>
        <v/>
      </c>
      <c r="J7401">
        <f>IF(F7401&lt;&gt;"", TEXT(F7401, "yyyy-mm"), "")</f>
        <v/>
      </c>
    </row>
    <row r="7402">
      <c r="A7402" t="inlineStr">
        <is>
          <t>RP0007401</t>
        </is>
      </c>
      <c r="B7402" t="inlineStr">
        <is>
          <t>LN201048</t>
        </is>
      </c>
      <c r="C7402" t="n">
        <v>12</v>
      </c>
      <c r="D7402" s="8" t="n">
        <v>46372</v>
      </c>
      <c r="E7402" s="9" t="n">
        <v>6375.06</v>
      </c>
      <c r="F7402" s="8" t="n"/>
      <c r="G7402" s="9" t="n">
        <v>0</v>
      </c>
      <c r="H7402" t="inlineStr">
        <is>
          <t>NOT_DUE</t>
        </is>
      </c>
      <c r="I7402">
        <f>IF(H7402="UNPAID", AsOfDate-D7402, 0)</f>
        <v/>
      </c>
      <c r="J7402">
        <f>IF(F7402&lt;&gt;"", TEXT(F7402, "yyyy-mm"), "")</f>
        <v/>
      </c>
    </row>
    <row r="7403">
      <c r="A7403" t="inlineStr">
        <is>
          <t>RP0007402</t>
        </is>
      </c>
      <c r="B7403" t="inlineStr">
        <is>
          <t>LN201048</t>
        </is>
      </c>
      <c r="C7403" t="n">
        <v>13</v>
      </c>
      <c r="D7403" s="8" t="n">
        <v>46403</v>
      </c>
      <c r="E7403" s="9" t="n">
        <v>6375.06</v>
      </c>
      <c r="F7403" s="8" t="n"/>
      <c r="G7403" s="9" t="n">
        <v>0</v>
      </c>
      <c r="H7403" t="inlineStr">
        <is>
          <t>NOT_DUE</t>
        </is>
      </c>
      <c r="I7403">
        <f>IF(H7403="UNPAID", AsOfDate-D7403, 0)</f>
        <v/>
      </c>
      <c r="J7403">
        <f>IF(F7403&lt;&gt;"", TEXT(F7403, "yyyy-mm"), "")</f>
        <v/>
      </c>
    </row>
    <row r="7404">
      <c r="A7404" t="inlineStr">
        <is>
          <t>RP0007403</t>
        </is>
      </c>
      <c r="B7404" t="inlineStr">
        <is>
          <t>LN201048</t>
        </is>
      </c>
      <c r="C7404" t="n">
        <v>14</v>
      </c>
      <c r="D7404" s="8" t="n">
        <v>46434</v>
      </c>
      <c r="E7404" s="9" t="n">
        <v>6375.06</v>
      </c>
      <c r="F7404" s="8" t="n"/>
      <c r="G7404" s="9" t="n">
        <v>0</v>
      </c>
      <c r="H7404" t="inlineStr">
        <is>
          <t>NOT_DUE</t>
        </is>
      </c>
      <c r="I7404">
        <f>IF(H7404="UNPAID", AsOfDate-D7404, 0)</f>
        <v/>
      </c>
      <c r="J7404">
        <f>IF(F7404&lt;&gt;"", TEXT(F7404, "yyyy-mm"), "")</f>
        <v/>
      </c>
    </row>
    <row r="7405">
      <c r="A7405" t="inlineStr">
        <is>
          <t>RP0007404</t>
        </is>
      </c>
      <c r="B7405" t="inlineStr">
        <is>
          <t>LN201048</t>
        </is>
      </c>
      <c r="C7405" t="n">
        <v>15</v>
      </c>
      <c r="D7405" s="8" t="n">
        <v>46462</v>
      </c>
      <c r="E7405" s="9" t="n">
        <v>6375.06</v>
      </c>
      <c r="F7405" s="8" t="n"/>
      <c r="G7405" s="9" t="n">
        <v>0</v>
      </c>
      <c r="H7405" t="inlineStr">
        <is>
          <t>NOT_DUE</t>
        </is>
      </c>
      <c r="I7405">
        <f>IF(H7405="UNPAID", AsOfDate-D7405, 0)</f>
        <v/>
      </c>
      <c r="J7405">
        <f>IF(F7405&lt;&gt;"", TEXT(F7405, "yyyy-mm"), "")</f>
        <v/>
      </c>
    </row>
    <row r="7406">
      <c r="A7406" t="inlineStr">
        <is>
          <t>RP0007405</t>
        </is>
      </c>
      <c r="B7406" t="inlineStr">
        <is>
          <t>LN201048</t>
        </is>
      </c>
      <c r="C7406" t="n">
        <v>16</v>
      </c>
      <c r="D7406" s="8" t="n">
        <v>46493</v>
      </c>
      <c r="E7406" s="9" t="n">
        <v>6375.06</v>
      </c>
      <c r="F7406" s="8" t="n"/>
      <c r="G7406" s="9" t="n">
        <v>0</v>
      </c>
      <c r="H7406" t="inlineStr">
        <is>
          <t>NOT_DUE</t>
        </is>
      </c>
      <c r="I7406">
        <f>IF(H7406="UNPAID", AsOfDate-D7406, 0)</f>
        <v/>
      </c>
      <c r="J7406">
        <f>IF(F7406&lt;&gt;"", TEXT(F7406, "yyyy-mm"), "")</f>
        <v/>
      </c>
    </row>
    <row r="7407">
      <c r="A7407" t="inlineStr">
        <is>
          <t>RP0007406</t>
        </is>
      </c>
      <c r="B7407" t="inlineStr">
        <is>
          <t>LN201048</t>
        </is>
      </c>
      <c r="C7407" t="n">
        <v>17</v>
      </c>
      <c r="D7407" s="8" t="n">
        <v>46523</v>
      </c>
      <c r="E7407" s="9" t="n">
        <v>6375.06</v>
      </c>
      <c r="F7407" s="8" t="n"/>
      <c r="G7407" s="9" t="n">
        <v>0</v>
      </c>
      <c r="H7407" t="inlineStr">
        <is>
          <t>NOT_DUE</t>
        </is>
      </c>
      <c r="I7407">
        <f>IF(H7407="UNPAID", AsOfDate-D7407, 0)</f>
        <v/>
      </c>
      <c r="J7407">
        <f>IF(F7407&lt;&gt;"", TEXT(F7407, "yyyy-mm"), "")</f>
        <v/>
      </c>
    </row>
    <row r="7408">
      <c r="A7408" t="inlineStr">
        <is>
          <t>RP0007407</t>
        </is>
      </c>
      <c r="B7408" t="inlineStr">
        <is>
          <t>LN201048</t>
        </is>
      </c>
      <c r="C7408" t="n">
        <v>18</v>
      </c>
      <c r="D7408" s="8" t="n">
        <v>46554</v>
      </c>
      <c r="E7408" s="9" t="n">
        <v>6375.06</v>
      </c>
      <c r="F7408" s="8" t="n"/>
      <c r="G7408" s="9" t="n">
        <v>0</v>
      </c>
      <c r="H7408" t="inlineStr">
        <is>
          <t>NOT_DUE</t>
        </is>
      </c>
      <c r="I7408">
        <f>IF(H7408="UNPAID", AsOfDate-D7408, 0)</f>
        <v/>
      </c>
      <c r="J7408">
        <f>IF(F7408&lt;&gt;"", TEXT(F7408, "yyyy-mm"), "")</f>
        <v/>
      </c>
    </row>
    <row r="7409">
      <c r="A7409" t="inlineStr">
        <is>
          <t>RP0007408</t>
        </is>
      </c>
      <c r="B7409" t="inlineStr">
        <is>
          <t>LN201049</t>
        </is>
      </c>
      <c r="C7409" t="n">
        <v>1</v>
      </c>
      <c r="D7409" s="8" t="n">
        <v>46227</v>
      </c>
      <c r="E7409" s="9" t="n">
        <v>9032.33</v>
      </c>
      <c r="F7409" s="8" t="n">
        <v>46230</v>
      </c>
      <c r="G7409" s="9" t="n">
        <v>9032.33</v>
      </c>
      <c r="H7409" t="inlineStr">
        <is>
          <t>PAID_ON_TIME</t>
        </is>
      </c>
      <c r="I7409">
        <f>IF(H7409="UNPAID", AsOfDate-D7409, 0)</f>
        <v/>
      </c>
      <c r="J7409">
        <f>IF(F7409&lt;&gt;"", TEXT(F7409, "yyyy-mm"), "")</f>
        <v/>
      </c>
    </row>
    <row r="7410">
      <c r="A7410" t="inlineStr">
        <is>
          <t>RP0007409</t>
        </is>
      </c>
      <c r="B7410" t="inlineStr">
        <is>
          <t>LN201049</t>
        </is>
      </c>
      <c r="C7410" t="n">
        <v>2</v>
      </c>
      <c r="D7410" s="8" t="n">
        <v>46258</v>
      </c>
      <c r="E7410" s="9" t="n">
        <v>9032.33</v>
      </c>
      <c r="F7410" s="8" t="n"/>
      <c r="G7410" s="9" t="n">
        <v>0</v>
      </c>
      <c r="H7410" t="inlineStr">
        <is>
          <t>UNPAID</t>
        </is>
      </c>
      <c r="I7410">
        <f>IF(H7410="UNPAID", AsOfDate-D7410, 0)</f>
        <v/>
      </c>
      <c r="J7410">
        <f>IF(F7410&lt;&gt;"", TEXT(F7410, "yyyy-mm"), "")</f>
        <v/>
      </c>
    </row>
    <row r="7411">
      <c r="A7411" t="inlineStr">
        <is>
          <t>RP0007410</t>
        </is>
      </c>
      <c r="B7411" t="inlineStr">
        <is>
          <t>LN201049</t>
        </is>
      </c>
      <c r="C7411" t="n">
        <v>3</v>
      </c>
      <c r="D7411" s="8" t="n">
        <v>46289</v>
      </c>
      <c r="E7411" s="9" t="n">
        <v>9032.33</v>
      </c>
      <c r="F7411" s="8" t="n"/>
      <c r="G7411" s="9" t="n">
        <v>0</v>
      </c>
      <c r="H7411" t="inlineStr">
        <is>
          <t>NOT_DUE</t>
        </is>
      </c>
      <c r="I7411">
        <f>IF(H7411="UNPAID", AsOfDate-D7411, 0)</f>
        <v/>
      </c>
      <c r="J7411">
        <f>IF(F7411&lt;&gt;"", TEXT(F7411, "yyyy-mm"), "")</f>
        <v/>
      </c>
    </row>
    <row r="7412">
      <c r="A7412" t="inlineStr">
        <is>
          <t>RP0007411</t>
        </is>
      </c>
      <c r="B7412" t="inlineStr">
        <is>
          <t>LN201049</t>
        </is>
      </c>
      <c r="C7412" t="n">
        <v>4</v>
      </c>
      <c r="D7412" s="8" t="n">
        <v>46319</v>
      </c>
      <c r="E7412" s="9" t="n">
        <v>9032.33</v>
      </c>
      <c r="F7412" s="8" t="n"/>
      <c r="G7412" s="9" t="n">
        <v>0</v>
      </c>
      <c r="H7412" t="inlineStr">
        <is>
          <t>NOT_DUE</t>
        </is>
      </c>
      <c r="I7412">
        <f>IF(H7412="UNPAID", AsOfDate-D7412, 0)</f>
        <v/>
      </c>
      <c r="J7412">
        <f>IF(F7412&lt;&gt;"", TEXT(F7412, "yyyy-mm"), "")</f>
        <v/>
      </c>
    </row>
    <row r="7413">
      <c r="A7413" t="inlineStr">
        <is>
          <t>RP0007412</t>
        </is>
      </c>
      <c r="B7413" t="inlineStr">
        <is>
          <t>LN201049</t>
        </is>
      </c>
      <c r="C7413" t="n">
        <v>5</v>
      </c>
      <c r="D7413" s="8" t="n">
        <v>46350</v>
      </c>
      <c r="E7413" s="9" t="n">
        <v>9032.33</v>
      </c>
      <c r="F7413" s="8" t="n"/>
      <c r="G7413" s="9" t="n">
        <v>0</v>
      </c>
      <c r="H7413" t="inlineStr">
        <is>
          <t>NOT_DUE</t>
        </is>
      </c>
      <c r="I7413">
        <f>IF(H7413="UNPAID", AsOfDate-D7413, 0)</f>
        <v/>
      </c>
      <c r="J7413">
        <f>IF(F7413&lt;&gt;"", TEXT(F7413, "yyyy-mm"), "")</f>
        <v/>
      </c>
    </row>
    <row r="7414">
      <c r="A7414" t="inlineStr">
        <is>
          <t>RP0007413</t>
        </is>
      </c>
      <c r="B7414" t="inlineStr">
        <is>
          <t>LN201049</t>
        </is>
      </c>
      <c r="C7414" t="n">
        <v>6</v>
      </c>
      <c r="D7414" s="8" t="n">
        <v>46380</v>
      </c>
      <c r="E7414" s="9" t="n">
        <v>9032.33</v>
      </c>
      <c r="F7414" s="8" t="n"/>
      <c r="G7414" s="9" t="n">
        <v>0</v>
      </c>
      <c r="H7414" t="inlineStr">
        <is>
          <t>NOT_DUE</t>
        </is>
      </c>
      <c r="I7414">
        <f>IF(H7414="UNPAID", AsOfDate-D7414, 0)</f>
        <v/>
      </c>
      <c r="J7414">
        <f>IF(F7414&lt;&gt;"", TEXT(F7414, "yyyy-mm"), "")</f>
        <v/>
      </c>
    </row>
    <row r="7415">
      <c r="A7415" t="inlineStr">
        <is>
          <t>RP0007414</t>
        </is>
      </c>
      <c r="B7415" t="inlineStr">
        <is>
          <t>LN201051</t>
        </is>
      </c>
      <c r="C7415" t="n">
        <v>1</v>
      </c>
      <c r="D7415" s="8" t="n">
        <v>45789</v>
      </c>
      <c r="E7415" s="9" t="n">
        <v>7608.92</v>
      </c>
      <c r="F7415" s="8" t="n">
        <v>45789</v>
      </c>
      <c r="G7415" s="9" t="n">
        <v>7608.92</v>
      </c>
      <c r="H7415" t="inlineStr">
        <is>
          <t>PAID_ON_TIME</t>
        </is>
      </c>
      <c r="I7415">
        <f>IF(H7415="UNPAID", AsOfDate-D7415, 0)</f>
        <v/>
      </c>
      <c r="J7415">
        <f>IF(F7415&lt;&gt;"", TEXT(F7415, "yyyy-mm"), "")</f>
        <v/>
      </c>
    </row>
    <row r="7416">
      <c r="A7416" t="inlineStr">
        <is>
          <t>RP0007415</t>
        </is>
      </c>
      <c r="B7416" t="inlineStr">
        <is>
          <t>LN201051</t>
        </is>
      </c>
      <c r="C7416" t="n">
        <v>2</v>
      </c>
      <c r="D7416" s="8" t="n">
        <v>45820</v>
      </c>
      <c r="E7416" s="9" t="n">
        <v>7608.92</v>
      </c>
      <c r="F7416" s="8" t="n">
        <v>45824</v>
      </c>
      <c r="G7416" s="9" t="n">
        <v>7608.92</v>
      </c>
      <c r="H7416" t="inlineStr">
        <is>
          <t>PAID_ON_TIME</t>
        </is>
      </c>
      <c r="I7416">
        <f>IF(H7416="UNPAID", AsOfDate-D7416, 0)</f>
        <v/>
      </c>
      <c r="J7416">
        <f>IF(F7416&lt;&gt;"", TEXT(F7416, "yyyy-mm"), "")</f>
        <v/>
      </c>
    </row>
    <row r="7417">
      <c r="A7417" t="inlineStr">
        <is>
          <t>RP0007416</t>
        </is>
      </c>
      <c r="B7417" t="inlineStr">
        <is>
          <t>LN201051</t>
        </is>
      </c>
      <c r="C7417" t="n">
        <v>3</v>
      </c>
      <c r="D7417" s="8" t="n">
        <v>45850</v>
      </c>
      <c r="E7417" s="9" t="n">
        <v>7608.92</v>
      </c>
      <c r="F7417" s="8" t="n">
        <v>45849</v>
      </c>
      <c r="G7417" s="9" t="n">
        <v>7608.92</v>
      </c>
      <c r="H7417" t="inlineStr">
        <is>
          <t>PAID_ON_TIME</t>
        </is>
      </c>
      <c r="I7417">
        <f>IF(H7417="UNPAID", AsOfDate-D7417, 0)</f>
        <v/>
      </c>
      <c r="J7417">
        <f>IF(F7417&lt;&gt;"", TEXT(F7417, "yyyy-mm"), "")</f>
        <v/>
      </c>
    </row>
    <row r="7418">
      <c r="A7418" t="inlineStr">
        <is>
          <t>RP0007417</t>
        </is>
      </c>
      <c r="B7418" t="inlineStr">
        <is>
          <t>LN201051</t>
        </is>
      </c>
      <c r="C7418" t="n">
        <v>4</v>
      </c>
      <c r="D7418" s="8" t="n">
        <v>45881</v>
      </c>
      <c r="E7418" s="9" t="n">
        <v>7608.92</v>
      </c>
      <c r="F7418" s="8" t="n">
        <v>45885</v>
      </c>
      <c r="G7418" s="9" t="n">
        <v>7608.92</v>
      </c>
      <c r="H7418" t="inlineStr">
        <is>
          <t>PAID_ON_TIME</t>
        </is>
      </c>
      <c r="I7418">
        <f>IF(H7418="UNPAID", AsOfDate-D7418, 0)</f>
        <v/>
      </c>
      <c r="J7418">
        <f>IF(F7418&lt;&gt;"", TEXT(F7418, "yyyy-mm"), "")</f>
        <v/>
      </c>
    </row>
    <row r="7419">
      <c r="A7419" t="inlineStr">
        <is>
          <t>RP0007418</t>
        </is>
      </c>
      <c r="B7419" t="inlineStr">
        <is>
          <t>LN201051</t>
        </is>
      </c>
      <c r="C7419" t="n">
        <v>5</v>
      </c>
      <c r="D7419" s="8" t="n">
        <v>45912</v>
      </c>
      <c r="E7419" s="9" t="n">
        <v>7608.92</v>
      </c>
      <c r="F7419" s="8" t="n">
        <v>45911</v>
      </c>
      <c r="G7419" s="9" t="n">
        <v>7608.92</v>
      </c>
      <c r="H7419" t="inlineStr">
        <is>
          <t>PAID_ON_TIME</t>
        </is>
      </c>
      <c r="I7419">
        <f>IF(H7419="UNPAID", AsOfDate-D7419, 0)</f>
        <v/>
      </c>
      <c r="J7419">
        <f>IF(F7419&lt;&gt;"", TEXT(F7419, "yyyy-mm"), "")</f>
        <v/>
      </c>
    </row>
    <row r="7420">
      <c r="A7420" t="inlineStr">
        <is>
          <t>RP0007419</t>
        </is>
      </c>
      <c r="B7420" t="inlineStr">
        <is>
          <t>LN201051</t>
        </is>
      </c>
      <c r="C7420" t="n">
        <v>6</v>
      </c>
      <c r="D7420" s="8" t="n">
        <v>45942</v>
      </c>
      <c r="E7420" s="9" t="n">
        <v>7608.92</v>
      </c>
      <c r="F7420" s="8" t="n">
        <v>45953</v>
      </c>
      <c r="G7420" s="9" t="n">
        <v>7608.92</v>
      </c>
      <c r="H7420" t="inlineStr">
        <is>
          <t>PAID_LATE</t>
        </is>
      </c>
      <c r="I7420">
        <f>IF(H7420="UNPAID", AsOfDate-D7420, 0)</f>
        <v/>
      </c>
      <c r="J7420">
        <f>IF(F7420&lt;&gt;"", TEXT(F7420, "yyyy-mm"), "")</f>
        <v/>
      </c>
    </row>
    <row r="7421">
      <c r="A7421" t="inlineStr">
        <is>
          <t>RP0007420</t>
        </is>
      </c>
      <c r="B7421" t="inlineStr">
        <is>
          <t>LN201052</t>
        </is>
      </c>
      <c r="C7421" t="n">
        <v>1</v>
      </c>
      <c r="D7421" s="8" t="n">
        <v>45827</v>
      </c>
      <c r="E7421" s="9" t="n">
        <v>16326.39</v>
      </c>
      <c r="F7421" s="8" t="n">
        <v>45824</v>
      </c>
      <c r="G7421" s="9" t="n">
        <v>16326.39</v>
      </c>
      <c r="H7421" t="inlineStr">
        <is>
          <t>PAID_ON_TIME</t>
        </is>
      </c>
      <c r="I7421">
        <f>IF(H7421="UNPAID", AsOfDate-D7421, 0)</f>
        <v/>
      </c>
      <c r="J7421">
        <f>IF(F7421&lt;&gt;"", TEXT(F7421, "yyyy-mm"), "")</f>
        <v/>
      </c>
    </row>
    <row r="7422">
      <c r="A7422" t="inlineStr">
        <is>
          <t>RP0007421</t>
        </is>
      </c>
      <c r="B7422" t="inlineStr">
        <is>
          <t>LN201052</t>
        </is>
      </c>
      <c r="C7422" t="n">
        <v>2</v>
      </c>
      <c r="D7422" s="8" t="n">
        <v>45857</v>
      </c>
      <c r="E7422" s="9" t="n">
        <v>16326.39</v>
      </c>
      <c r="F7422" s="8" t="n">
        <v>45854</v>
      </c>
      <c r="G7422" s="9" t="n">
        <v>16326.39</v>
      </c>
      <c r="H7422" t="inlineStr">
        <is>
          <t>PAID_ON_TIME</t>
        </is>
      </c>
      <c r="I7422">
        <f>IF(H7422="UNPAID", AsOfDate-D7422, 0)</f>
        <v/>
      </c>
      <c r="J7422">
        <f>IF(F7422&lt;&gt;"", TEXT(F7422, "yyyy-mm"), "")</f>
        <v/>
      </c>
    </row>
    <row r="7423">
      <c r="A7423" t="inlineStr">
        <is>
          <t>RP0007422</t>
        </is>
      </c>
      <c r="B7423" t="inlineStr">
        <is>
          <t>LN201052</t>
        </is>
      </c>
      <c r="C7423" t="n">
        <v>3</v>
      </c>
      <c r="D7423" s="8" t="n">
        <v>45888</v>
      </c>
      <c r="E7423" s="9" t="n">
        <v>16326.39</v>
      </c>
      <c r="F7423" s="8" t="n">
        <v>45886</v>
      </c>
      <c r="G7423" s="9" t="n">
        <v>16326.39</v>
      </c>
      <c r="H7423" t="inlineStr">
        <is>
          <t>PAID_ON_TIME</t>
        </is>
      </c>
      <c r="I7423">
        <f>IF(H7423="UNPAID", AsOfDate-D7423, 0)</f>
        <v/>
      </c>
      <c r="J7423">
        <f>IF(F7423&lt;&gt;"", TEXT(F7423, "yyyy-mm"), "")</f>
        <v/>
      </c>
    </row>
    <row r="7424">
      <c r="A7424" t="inlineStr">
        <is>
          <t>RP0007423</t>
        </is>
      </c>
      <c r="B7424" t="inlineStr">
        <is>
          <t>LN201052</t>
        </is>
      </c>
      <c r="C7424" t="n">
        <v>4</v>
      </c>
      <c r="D7424" s="8" t="n">
        <v>45919</v>
      </c>
      <c r="E7424" s="9" t="n">
        <v>16326.39</v>
      </c>
      <c r="F7424" s="8" t="n">
        <v>45922</v>
      </c>
      <c r="G7424" s="9" t="n">
        <v>16326.39</v>
      </c>
      <c r="H7424" t="inlineStr">
        <is>
          <t>PAID_ON_TIME</t>
        </is>
      </c>
      <c r="I7424">
        <f>IF(H7424="UNPAID", AsOfDate-D7424, 0)</f>
        <v/>
      </c>
      <c r="J7424">
        <f>IF(F7424&lt;&gt;"", TEXT(F7424, "yyyy-mm"), "")</f>
        <v/>
      </c>
    </row>
    <row r="7425">
      <c r="A7425" t="inlineStr">
        <is>
          <t>RP0007424</t>
        </is>
      </c>
      <c r="B7425" t="inlineStr">
        <is>
          <t>LN201052</t>
        </is>
      </c>
      <c r="C7425" t="n">
        <v>5</v>
      </c>
      <c r="D7425" s="8" t="n">
        <v>45949</v>
      </c>
      <c r="E7425" s="9" t="n">
        <v>16326.39</v>
      </c>
      <c r="F7425" s="8" t="n">
        <v>45950</v>
      </c>
      <c r="G7425" s="9" t="n">
        <v>16326.39</v>
      </c>
      <c r="H7425" t="inlineStr">
        <is>
          <t>PAID_ON_TIME</t>
        </is>
      </c>
      <c r="I7425">
        <f>IF(H7425="UNPAID", AsOfDate-D7425, 0)</f>
        <v/>
      </c>
      <c r="J7425">
        <f>IF(F7425&lt;&gt;"", TEXT(F7425, "yyyy-mm"), "")</f>
        <v/>
      </c>
    </row>
    <row r="7426">
      <c r="A7426" t="inlineStr">
        <is>
          <t>RP0007425</t>
        </is>
      </c>
      <c r="B7426" t="inlineStr">
        <is>
          <t>LN201052</t>
        </is>
      </c>
      <c r="C7426" t="n">
        <v>6</v>
      </c>
      <c r="D7426" s="8" t="n">
        <v>45980</v>
      </c>
      <c r="E7426" s="9" t="n">
        <v>16326.39</v>
      </c>
      <c r="F7426" s="8" t="n">
        <v>45978</v>
      </c>
      <c r="G7426" s="9" t="n">
        <v>16326.39</v>
      </c>
      <c r="H7426" t="inlineStr">
        <is>
          <t>PAID_ON_TIME</t>
        </is>
      </c>
      <c r="I7426">
        <f>IF(H7426="UNPAID", AsOfDate-D7426, 0)</f>
        <v/>
      </c>
      <c r="J7426">
        <f>IF(F7426&lt;&gt;"", TEXT(F7426, "yyyy-mm"), "")</f>
        <v/>
      </c>
    </row>
    <row r="7427">
      <c r="A7427" t="inlineStr">
        <is>
          <t>RP0007426</t>
        </is>
      </c>
      <c r="B7427" t="inlineStr">
        <is>
          <t>LN201052</t>
        </is>
      </c>
      <c r="C7427" t="n">
        <v>7</v>
      </c>
      <c r="D7427" s="8" t="n">
        <v>46010</v>
      </c>
      <c r="E7427" s="9" t="n">
        <v>16326.39</v>
      </c>
      <c r="F7427" s="8" t="n">
        <v>46010</v>
      </c>
      <c r="G7427" s="9" t="n">
        <v>16326.39</v>
      </c>
      <c r="H7427" t="inlineStr">
        <is>
          <t>PAID_ON_TIME</t>
        </is>
      </c>
      <c r="I7427">
        <f>IF(H7427="UNPAID", AsOfDate-D7427, 0)</f>
        <v/>
      </c>
      <c r="J7427">
        <f>IF(F7427&lt;&gt;"", TEXT(F7427, "yyyy-mm"), "")</f>
        <v/>
      </c>
    </row>
    <row r="7428">
      <c r="A7428" t="inlineStr">
        <is>
          <t>RP0007427</t>
        </is>
      </c>
      <c r="B7428" t="inlineStr">
        <is>
          <t>LN201052</t>
        </is>
      </c>
      <c r="C7428" t="n">
        <v>8</v>
      </c>
      <c r="D7428" s="8" t="n">
        <v>46041</v>
      </c>
      <c r="E7428" s="9" t="n">
        <v>16326.39</v>
      </c>
      <c r="F7428" s="8" t="n">
        <v>46045</v>
      </c>
      <c r="G7428" s="9" t="n">
        <v>16326.39</v>
      </c>
      <c r="H7428" t="inlineStr">
        <is>
          <t>PAID_ON_TIME</t>
        </is>
      </c>
      <c r="I7428">
        <f>IF(H7428="UNPAID", AsOfDate-D7428, 0)</f>
        <v/>
      </c>
      <c r="J7428">
        <f>IF(F7428&lt;&gt;"", TEXT(F7428, "yyyy-mm"), "")</f>
        <v/>
      </c>
    </row>
    <row r="7429">
      <c r="A7429" t="inlineStr">
        <is>
          <t>RP0007428</t>
        </is>
      </c>
      <c r="B7429" t="inlineStr">
        <is>
          <t>LN201052</t>
        </is>
      </c>
      <c r="C7429" t="n">
        <v>9</v>
      </c>
      <c r="D7429" s="8" t="n">
        <v>46072</v>
      </c>
      <c r="E7429" s="9" t="n">
        <v>16326.39</v>
      </c>
      <c r="F7429" s="8" t="n">
        <v>46071</v>
      </c>
      <c r="G7429" s="9" t="n">
        <v>16326.39</v>
      </c>
      <c r="H7429" t="inlineStr">
        <is>
          <t>PAID_ON_TIME</t>
        </is>
      </c>
      <c r="I7429">
        <f>IF(H7429="UNPAID", AsOfDate-D7429, 0)</f>
        <v/>
      </c>
      <c r="J7429">
        <f>IF(F7429&lt;&gt;"", TEXT(F7429, "yyyy-mm"), "")</f>
        <v/>
      </c>
    </row>
    <row r="7430">
      <c r="A7430" t="inlineStr">
        <is>
          <t>RP0007429</t>
        </is>
      </c>
      <c r="B7430" t="inlineStr">
        <is>
          <t>LN201053</t>
        </is>
      </c>
      <c r="C7430" t="n">
        <v>1</v>
      </c>
      <c r="D7430" s="8" t="n">
        <v>46264</v>
      </c>
      <c r="E7430" s="9" t="n">
        <v>20760.06</v>
      </c>
      <c r="F7430" s="8" t="n">
        <v>46264</v>
      </c>
      <c r="G7430" s="9" t="n">
        <v>20760.06</v>
      </c>
      <c r="H7430" t="inlineStr">
        <is>
          <t>PAID_ON_TIME</t>
        </is>
      </c>
      <c r="I7430">
        <f>IF(H7430="UNPAID", AsOfDate-D7430, 0)</f>
        <v/>
      </c>
      <c r="J7430">
        <f>IF(F7430&lt;&gt;"", TEXT(F7430, "yyyy-mm"), "")</f>
        <v/>
      </c>
    </row>
    <row r="7431">
      <c r="A7431" t="inlineStr">
        <is>
          <t>RP0007430</t>
        </is>
      </c>
      <c r="B7431" t="inlineStr">
        <is>
          <t>LN201053</t>
        </is>
      </c>
      <c r="C7431" t="n">
        <v>2</v>
      </c>
      <c r="D7431" s="8" t="n">
        <v>46295</v>
      </c>
      <c r="E7431" s="9" t="n">
        <v>20760.06</v>
      </c>
      <c r="F7431" s="8" t="n"/>
      <c r="G7431" s="9" t="n">
        <v>0</v>
      </c>
      <c r="H7431" t="inlineStr">
        <is>
          <t>NOT_DUE</t>
        </is>
      </c>
      <c r="I7431">
        <f>IF(H7431="UNPAID", AsOfDate-D7431, 0)</f>
        <v/>
      </c>
      <c r="J7431">
        <f>IF(F7431&lt;&gt;"", TEXT(F7431, "yyyy-mm"), "")</f>
        <v/>
      </c>
    </row>
    <row r="7432">
      <c r="A7432" t="inlineStr">
        <is>
          <t>RP0007431</t>
        </is>
      </c>
      <c r="B7432" t="inlineStr">
        <is>
          <t>LN201053</t>
        </is>
      </c>
      <c r="C7432" t="n">
        <v>3</v>
      </c>
      <c r="D7432" s="8" t="n">
        <v>46325</v>
      </c>
      <c r="E7432" s="9" t="n">
        <v>20760.06</v>
      </c>
      <c r="F7432" s="8" t="n"/>
      <c r="G7432" s="9" t="n">
        <v>0</v>
      </c>
      <c r="H7432" t="inlineStr">
        <is>
          <t>NOT_DUE</t>
        </is>
      </c>
      <c r="I7432">
        <f>IF(H7432="UNPAID", AsOfDate-D7432, 0)</f>
        <v/>
      </c>
      <c r="J7432">
        <f>IF(F7432&lt;&gt;"", TEXT(F7432, "yyyy-mm"), "")</f>
        <v/>
      </c>
    </row>
    <row r="7433">
      <c r="A7433" t="inlineStr">
        <is>
          <t>RP0007432</t>
        </is>
      </c>
      <c r="B7433" t="inlineStr">
        <is>
          <t>LN201053</t>
        </is>
      </c>
      <c r="C7433" t="n">
        <v>4</v>
      </c>
      <c r="D7433" s="8" t="n">
        <v>46356</v>
      </c>
      <c r="E7433" s="9" t="n">
        <v>20760.06</v>
      </c>
      <c r="F7433" s="8" t="n"/>
      <c r="G7433" s="9" t="n">
        <v>0</v>
      </c>
      <c r="H7433" t="inlineStr">
        <is>
          <t>NOT_DUE</t>
        </is>
      </c>
      <c r="I7433">
        <f>IF(H7433="UNPAID", AsOfDate-D7433, 0)</f>
        <v/>
      </c>
      <c r="J7433">
        <f>IF(F7433&lt;&gt;"", TEXT(F7433, "yyyy-mm"), "")</f>
        <v/>
      </c>
    </row>
    <row r="7434">
      <c r="A7434" t="inlineStr">
        <is>
          <t>RP0007433</t>
        </is>
      </c>
      <c r="B7434" t="inlineStr">
        <is>
          <t>LN201053</t>
        </is>
      </c>
      <c r="C7434" t="n">
        <v>5</v>
      </c>
      <c r="D7434" s="8" t="n">
        <v>46386</v>
      </c>
      <c r="E7434" s="9" t="n">
        <v>20760.06</v>
      </c>
      <c r="F7434" s="8" t="n"/>
      <c r="G7434" s="9" t="n">
        <v>0</v>
      </c>
      <c r="H7434" t="inlineStr">
        <is>
          <t>NOT_DUE</t>
        </is>
      </c>
      <c r="I7434">
        <f>IF(H7434="UNPAID", AsOfDate-D7434, 0)</f>
        <v/>
      </c>
      <c r="J7434">
        <f>IF(F7434&lt;&gt;"", TEXT(F7434, "yyyy-mm"), "")</f>
        <v/>
      </c>
    </row>
    <row r="7435">
      <c r="A7435" t="inlineStr">
        <is>
          <t>RP0007434</t>
        </is>
      </c>
      <c r="B7435" t="inlineStr">
        <is>
          <t>LN201053</t>
        </is>
      </c>
      <c r="C7435" t="n">
        <v>6</v>
      </c>
      <c r="D7435" s="8" t="n">
        <v>46417</v>
      </c>
      <c r="E7435" s="9" t="n">
        <v>20760.06</v>
      </c>
      <c r="F7435" s="8" t="n"/>
      <c r="G7435" s="9" t="n">
        <v>0</v>
      </c>
      <c r="H7435" t="inlineStr">
        <is>
          <t>NOT_DUE</t>
        </is>
      </c>
      <c r="I7435">
        <f>IF(H7435="UNPAID", AsOfDate-D7435, 0)</f>
        <v/>
      </c>
      <c r="J7435">
        <f>IF(F7435&lt;&gt;"", TEXT(F7435, "yyyy-mm"), "")</f>
        <v/>
      </c>
    </row>
    <row r="7436">
      <c r="A7436" t="inlineStr">
        <is>
          <t>RP0007435</t>
        </is>
      </c>
      <c r="B7436" t="inlineStr">
        <is>
          <t>LN201053</t>
        </is>
      </c>
      <c r="C7436" t="n">
        <v>7</v>
      </c>
      <c r="D7436" s="8" t="n">
        <v>46446</v>
      </c>
      <c r="E7436" s="9" t="n">
        <v>20760.06</v>
      </c>
      <c r="F7436" s="8" t="n"/>
      <c r="G7436" s="9" t="n">
        <v>0</v>
      </c>
      <c r="H7436" t="inlineStr">
        <is>
          <t>NOT_DUE</t>
        </is>
      </c>
      <c r="I7436">
        <f>IF(H7436="UNPAID", AsOfDate-D7436, 0)</f>
        <v/>
      </c>
      <c r="J7436">
        <f>IF(F7436&lt;&gt;"", TEXT(F7436, "yyyy-mm"), "")</f>
        <v/>
      </c>
    </row>
    <row r="7437">
      <c r="A7437" t="inlineStr">
        <is>
          <t>RP0007436</t>
        </is>
      </c>
      <c r="B7437" t="inlineStr">
        <is>
          <t>LN201053</t>
        </is>
      </c>
      <c r="C7437" t="n">
        <v>8</v>
      </c>
      <c r="D7437" s="8" t="n">
        <v>46476</v>
      </c>
      <c r="E7437" s="9" t="n">
        <v>20760.06</v>
      </c>
      <c r="F7437" s="8" t="n"/>
      <c r="G7437" s="9" t="n">
        <v>0</v>
      </c>
      <c r="H7437" t="inlineStr">
        <is>
          <t>NOT_DUE</t>
        </is>
      </c>
      <c r="I7437">
        <f>IF(H7437="UNPAID", AsOfDate-D7437, 0)</f>
        <v/>
      </c>
      <c r="J7437">
        <f>IF(F7437&lt;&gt;"", TEXT(F7437, "yyyy-mm"), "")</f>
        <v/>
      </c>
    </row>
    <row r="7438">
      <c r="A7438" t="inlineStr">
        <is>
          <t>RP0007437</t>
        </is>
      </c>
      <c r="B7438" t="inlineStr">
        <is>
          <t>LN201053</t>
        </is>
      </c>
      <c r="C7438" t="n">
        <v>9</v>
      </c>
      <c r="D7438" s="8" t="n">
        <v>46507</v>
      </c>
      <c r="E7438" s="9" t="n">
        <v>20760.06</v>
      </c>
      <c r="F7438" s="8" t="n"/>
      <c r="G7438" s="9" t="n">
        <v>0</v>
      </c>
      <c r="H7438" t="inlineStr">
        <is>
          <t>NOT_DUE</t>
        </is>
      </c>
      <c r="I7438">
        <f>IF(H7438="UNPAID", AsOfDate-D7438, 0)</f>
        <v/>
      </c>
      <c r="J7438">
        <f>IF(F7438&lt;&gt;"", TEXT(F7438, "yyyy-mm"), "")</f>
        <v/>
      </c>
    </row>
    <row r="7439">
      <c r="A7439" t="inlineStr">
        <is>
          <t>RP0007438</t>
        </is>
      </c>
      <c r="B7439" t="inlineStr">
        <is>
          <t>LN201055</t>
        </is>
      </c>
      <c r="C7439" t="n">
        <v>1</v>
      </c>
      <c r="D7439" s="8" t="n">
        <v>45818</v>
      </c>
      <c r="E7439" s="9" t="n">
        <v>31584.58</v>
      </c>
      <c r="F7439" s="8" t="n">
        <v>45820</v>
      </c>
      <c r="G7439" s="9" t="n">
        <v>31584.58</v>
      </c>
      <c r="H7439" t="inlineStr">
        <is>
          <t>PAID_ON_TIME</t>
        </is>
      </c>
      <c r="I7439">
        <f>IF(H7439="UNPAID", AsOfDate-D7439, 0)</f>
        <v/>
      </c>
      <c r="J7439">
        <f>IF(F7439&lt;&gt;"", TEXT(F7439, "yyyy-mm"), "")</f>
        <v/>
      </c>
    </row>
    <row r="7440">
      <c r="A7440" t="inlineStr">
        <is>
          <t>RP0007439</t>
        </is>
      </c>
      <c r="B7440" t="inlineStr">
        <is>
          <t>LN201055</t>
        </is>
      </c>
      <c r="C7440" t="n">
        <v>2</v>
      </c>
      <c r="D7440" s="8" t="n">
        <v>45848</v>
      </c>
      <c r="E7440" s="9" t="n">
        <v>31584.58</v>
      </c>
      <c r="F7440" s="8" t="n">
        <v>45846</v>
      </c>
      <c r="G7440" s="9" t="n">
        <v>31584.58</v>
      </c>
      <c r="H7440" t="inlineStr">
        <is>
          <t>PAID_ON_TIME</t>
        </is>
      </c>
      <c r="I7440">
        <f>IF(H7440="UNPAID", AsOfDate-D7440, 0)</f>
        <v/>
      </c>
      <c r="J7440">
        <f>IF(F7440&lt;&gt;"", TEXT(F7440, "yyyy-mm"), "")</f>
        <v/>
      </c>
    </row>
    <row r="7441">
      <c r="A7441" t="inlineStr">
        <is>
          <t>RP0007440</t>
        </is>
      </c>
      <c r="B7441" t="inlineStr">
        <is>
          <t>LN201055</t>
        </is>
      </c>
      <c r="C7441" t="n">
        <v>3</v>
      </c>
      <c r="D7441" s="8" t="n">
        <v>45879</v>
      </c>
      <c r="E7441" s="9" t="n">
        <v>31584.58</v>
      </c>
      <c r="F7441" s="8" t="n">
        <v>45877</v>
      </c>
      <c r="G7441" s="9" t="n">
        <v>31584.58</v>
      </c>
      <c r="H7441" t="inlineStr">
        <is>
          <t>PAID_ON_TIME</t>
        </is>
      </c>
      <c r="I7441">
        <f>IF(H7441="UNPAID", AsOfDate-D7441, 0)</f>
        <v/>
      </c>
      <c r="J7441">
        <f>IF(F7441&lt;&gt;"", TEXT(F7441, "yyyy-mm"), "")</f>
        <v/>
      </c>
    </row>
    <row r="7442">
      <c r="A7442" t="inlineStr">
        <is>
          <t>RP0007441</t>
        </is>
      </c>
      <c r="B7442" t="inlineStr">
        <is>
          <t>LN201056</t>
        </is>
      </c>
      <c r="C7442" t="n">
        <v>1</v>
      </c>
      <c r="D7442" s="8" t="n">
        <v>45792</v>
      </c>
      <c r="E7442" s="9" t="n">
        <v>18673.08</v>
      </c>
      <c r="F7442" s="8" t="n">
        <v>45793</v>
      </c>
      <c r="G7442" s="9" t="n">
        <v>18673.08</v>
      </c>
      <c r="H7442" t="inlineStr">
        <is>
          <t>PAID_ON_TIME</t>
        </is>
      </c>
      <c r="I7442">
        <f>IF(H7442="UNPAID", AsOfDate-D7442, 0)</f>
        <v/>
      </c>
      <c r="J7442">
        <f>IF(F7442&lt;&gt;"", TEXT(F7442, "yyyy-mm"), "")</f>
        <v/>
      </c>
    </row>
    <row r="7443">
      <c r="A7443" t="inlineStr">
        <is>
          <t>RP0007442</t>
        </is>
      </c>
      <c r="B7443" t="inlineStr">
        <is>
          <t>LN201056</t>
        </is>
      </c>
      <c r="C7443" t="n">
        <v>2</v>
      </c>
      <c r="D7443" s="8" t="n">
        <v>45823</v>
      </c>
      <c r="E7443" s="9" t="n">
        <v>18673.08</v>
      </c>
      <c r="F7443" s="8" t="n">
        <v>45825</v>
      </c>
      <c r="G7443" s="9" t="n">
        <v>18673.08</v>
      </c>
      <c r="H7443" t="inlineStr">
        <is>
          <t>PAID_ON_TIME</t>
        </is>
      </c>
      <c r="I7443">
        <f>IF(H7443="UNPAID", AsOfDate-D7443, 0)</f>
        <v/>
      </c>
      <c r="J7443">
        <f>IF(F7443&lt;&gt;"", TEXT(F7443, "yyyy-mm"), "")</f>
        <v/>
      </c>
    </row>
    <row r="7444">
      <c r="A7444" t="inlineStr">
        <is>
          <t>RP0007443</t>
        </is>
      </c>
      <c r="B7444" t="inlineStr">
        <is>
          <t>LN201056</t>
        </is>
      </c>
      <c r="C7444" t="n">
        <v>3</v>
      </c>
      <c r="D7444" s="8" t="n">
        <v>45853</v>
      </c>
      <c r="E7444" s="9" t="n">
        <v>18673.08</v>
      </c>
      <c r="F7444" s="8" t="n">
        <v>45959</v>
      </c>
      <c r="G7444" s="9" t="n">
        <v>18673.08</v>
      </c>
      <c r="H7444" t="inlineStr">
        <is>
          <t>PAID_LATE</t>
        </is>
      </c>
      <c r="I7444">
        <f>IF(H7444="UNPAID", AsOfDate-D7444, 0)</f>
        <v/>
      </c>
      <c r="J7444">
        <f>IF(F7444&lt;&gt;"", TEXT(F7444, "yyyy-mm"), "")</f>
        <v/>
      </c>
    </row>
    <row r="7445">
      <c r="A7445" t="inlineStr">
        <is>
          <t>RP0007444</t>
        </is>
      </c>
      <c r="B7445" t="inlineStr">
        <is>
          <t>LN201056</t>
        </is>
      </c>
      <c r="C7445" t="n">
        <v>4</v>
      </c>
      <c r="D7445" s="8" t="n">
        <v>45884</v>
      </c>
      <c r="E7445" s="9" t="n">
        <v>18673.08</v>
      </c>
      <c r="F7445" s="8" t="n">
        <v>45883</v>
      </c>
      <c r="G7445" s="9" t="n">
        <v>18673.08</v>
      </c>
      <c r="H7445" t="inlineStr">
        <is>
          <t>PAID_ON_TIME</t>
        </is>
      </c>
      <c r="I7445">
        <f>IF(H7445="UNPAID", AsOfDate-D7445, 0)</f>
        <v/>
      </c>
      <c r="J7445">
        <f>IF(F7445&lt;&gt;"", TEXT(F7445, "yyyy-mm"), "")</f>
        <v/>
      </c>
    </row>
    <row r="7446">
      <c r="A7446" t="inlineStr">
        <is>
          <t>RP0007445</t>
        </is>
      </c>
      <c r="B7446" t="inlineStr">
        <is>
          <t>LN201056</t>
        </is>
      </c>
      <c r="C7446" t="n">
        <v>5</v>
      </c>
      <c r="D7446" s="8" t="n">
        <v>45915</v>
      </c>
      <c r="E7446" s="9" t="n">
        <v>18673.08</v>
      </c>
      <c r="F7446" s="8" t="n">
        <v>45913</v>
      </c>
      <c r="G7446" s="9" t="n">
        <v>18673.08</v>
      </c>
      <c r="H7446" t="inlineStr">
        <is>
          <t>PAID_ON_TIME</t>
        </is>
      </c>
      <c r="I7446">
        <f>IF(H7446="UNPAID", AsOfDate-D7446, 0)</f>
        <v/>
      </c>
      <c r="J7446">
        <f>IF(F7446&lt;&gt;"", TEXT(F7446, "yyyy-mm"), "")</f>
        <v/>
      </c>
    </row>
    <row r="7447">
      <c r="A7447" t="inlineStr">
        <is>
          <t>RP0007446</t>
        </is>
      </c>
      <c r="B7447" t="inlineStr">
        <is>
          <t>LN201056</t>
        </is>
      </c>
      <c r="C7447" t="n">
        <v>6</v>
      </c>
      <c r="D7447" s="8" t="n">
        <v>45945</v>
      </c>
      <c r="E7447" s="9" t="n">
        <v>18673.08</v>
      </c>
      <c r="F7447" s="8" t="n"/>
      <c r="G7447" s="9" t="n">
        <v>0</v>
      </c>
      <c r="H7447" t="inlineStr">
        <is>
          <t>UNPAID</t>
        </is>
      </c>
      <c r="I7447">
        <f>IF(H7447="UNPAID", AsOfDate-D7447, 0)</f>
        <v/>
      </c>
      <c r="J7447">
        <f>IF(F7447&lt;&gt;"", TEXT(F7447, "yyyy-mm"), "")</f>
        <v/>
      </c>
    </row>
    <row r="7448">
      <c r="A7448" t="inlineStr">
        <is>
          <t>RP0007447</t>
        </is>
      </c>
      <c r="B7448" t="inlineStr">
        <is>
          <t>LN201056</t>
        </is>
      </c>
      <c r="C7448" t="n">
        <v>7</v>
      </c>
      <c r="D7448" s="8" t="n">
        <v>45976</v>
      </c>
      <c r="E7448" s="9" t="n">
        <v>18673.08</v>
      </c>
      <c r="F7448" s="8" t="n">
        <v>45974</v>
      </c>
      <c r="G7448" s="9" t="n">
        <v>18673.08</v>
      </c>
      <c r="H7448" t="inlineStr">
        <is>
          <t>PAID_ON_TIME</t>
        </is>
      </c>
      <c r="I7448">
        <f>IF(H7448="UNPAID", AsOfDate-D7448, 0)</f>
        <v/>
      </c>
      <c r="J7448">
        <f>IF(F7448&lt;&gt;"", TEXT(F7448, "yyyy-mm"), "")</f>
        <v/>
      </c>
    </row>
    <row r="7449">
      <c r="A7449" t="inlineStr">
        <is>
          <t>RP0007448</t>
        </is>
      </c>
      <c r="B7449" t="inlineStr">
        <is>
          <t>LN201056</t>
        </is>
      </c>
      <c r="C7449" t="n">
        <v>8</v>
      </c>
      <c r="D7449" s="8" t="n">
        <v>46006</v>
      </c>
      <c r="E7449" s="9" t="n">
        <v>18673.08</v>
      </c>
      <c r="F7449" s="8" t="n"/>
      <c r="G7449" s="9" t="n">
        <v>0</v>
      </c>
      <c r="H7449" t="inlineStr">
        <is>
          <t>UNPAID</t>
        </is>
      </c>
      <c r="I7449">
        <f>IF(H7449="UNPAID", AsOfDate-D7449, 0)</f>
        <v/>
      </c>
      <c r="J7449">
        <f>IF(F7449&lt;&gt;"", TEXT(F7449, "yyyy-mm"), "")</f>
        <v/>
      </c>
    </row>
    <row r="7450">
      <c r="A7450" t="inlineStr">
        <is>
          <t>RP0007449</t>
        </is>
      </c>
      <c r="B7450" t="inlineStr">
        <is>
          <t>LN201056</t>
        </is>
      </c>
      <c r="C7450" t="n">
        <v>9</v>
      </c>
      <c r="D7450" s="8" t="n">
        <v>46037</v>
      </c>
      <c r="E7450" s="9" t="n">
        <v>18673.08</v>
      </c>
      <c r="F7450" s="8" t="n">
        <v>46038</v>
      </c>
      <c r="G7450" s="9" t="n">
        <v>18673.08</v>
      </c>
      <c r="H7450" t="inlineStr">
        <is>
          <t>PAID_ON_TIME</t>
        </is>
      </c>
      <c r="I7450">
        <f>IF(H7450="UNPAID", AsOfDate-D7450, 0)</f>
        <v/>
      </c>
      <c r="J7450">
        <f>IF(F7450&lt;&gt;"", TEXT(F7450, "yyyy-mm"), "")</f>
        <v/>
      </c>
    </row>
    <row r="7451">
      <c r="A7451" t="inlineStr">
        <is>
          <t>RP0007450</t>
        </is>
      </c>
      <c r="B7451" t="inlineStr">
        <is>
          <t>LN201057</t>
        </is>
      </c>
      <c r="C7451" t="n">
        <v>1</v>
      </c>
      <c r="D7451" s="8" t="n">
        <v>46201</v>
      </c>
      <c r="E7451" s="9" t="n">
        <v>69370.17</v>
      </c>
      <c r="F7451" s="8" t="n">
        <v>46200</v>
      </c>
      <c r="G7451" s="9" t="n">
        <v>69370.17</v>
      </c>
      <c r="H7451" t="inlineStr">
        <is>
          <t>PAID_ON_TIME</t>
        </is>
      </c>
      <c r="I7451">
        <f>IF(H7451="UNPAID", AsOfDate-D7451, 0)</f>
        <v/>
      </c>
      <c r="J7451">
        <f>IF(F7451&lt;&gt;"", TEXT(F7451, "yyyy-mm"), "")</f>
        <v/>
      </c>
    </row>
    <row r="7452">
      <c r="A7452" t="inlineStr">
        <is>
          <t>RP0007451</t>
        </is>
      </c>
      <c r="B7452" t="inlineStr">
        <is>
          <t>LN201057</t>
        </is>
      </c>
      <c r="C7452" t="n">
        <v>2</v>
      </c>
      <c r="D7452" s="8" t="n">
        <v>46231</v>
      </c>
      <c r="E7452" s="9" t="n">
        <v>69370.17</v>
      </c>
      <c r="F7452" s="8" t="n">
        <v>46230</v>
      </c>
      <c r="G7452" s="9" t="n">
        <v>69370.17</v>
      </c>
      <c r="H7452" t="inlineStr">
        <is>
          <t>PAID_ON_TIME</t>
        </is>
      </c>
      <c r="I7452">
        <f>IF(H7452="UNPAID", AsOfDate-D7452, 0)</f>
        <v/>
      </c>
      <c r="J7452">
        <f>IF(F7452&lt;&gt;"", TEXT(F7452, "yyyy-mm"), "")</f>
        <v/>
      </c>
    </row>
    <row r="7453">
      <c r="A7453" t="inlineStr">
        <is>
          <t>RP0007452</t>
        </is>
      </c>
      <c r="B7453" t="inlineStr">
        <is>
          <t>LN201057</t>
        </is>
      </c>
      <c r="C7453" t="n">
        <v>3</v>
      </c>
      <c r="D7453" s="8" t="n">
        <v>46262</v>
      </c>
      <c r="E7453" s="9" t="n">
        <v>69370.17</v>
      </c>
      <c r="F7453" s="8" t="n">
        <v>46259</v>
      </c>
      <c r="G7453" s="9" t="n">
        <v>69370.17</v>
      </c>
      <c r="H7453" t="inlineStr">
        <is>
          <t>PAID_ON_TIME</t>
        </is>
      </c>
      <c r="I7453">
        <f>IF(H7453="UNPAID", AsOfDate-D7453, 0)</f>
        <v/>
      </c>
      <c r="J7453">
        <f>IF(F7453&lt;&gt;"", TEXT(F7453, "yyyy-mm"), "")</f>
        <v/>
      </c>
    </row>
    <row r="7454">
      <c r="A7454" t="inlineStr">
        <is>
          <t>RP0007453</t>
        </is>
      </c>
      <c r="B7454" t="inlineStr">
        <is>
          <t>LN201058</t>
        </is>
      </c>
      <c r="C7454" t="n">
        <v>1</v>
      </c>
      <c r="D7454" s="8" t="n">
        <v>45884</v>
      </c>
      <c r="E7454" s="9" t="n">
        <v>10055.75</v>
      </c>
      <c r="F7454" s="8" t="n">
        <v>45884</v>
      </c>
      <c r="G7454" s="9" t="n">
        <v>10055.75</v>
      </c>
      <c r="H7454" t="inlineStr">
        <is>
          <t>PAID_ON_TIME</t>
        </is>
      </c>
      <c r="I7454">
        <f>IF(H7454="UNPAID", AsOfDate-D7454, 0)</f>
        <v/>
      </c>
      <c r="J7454">
        <f>IF(F7454&lt;&gt;"", TEXT(F7454, "yyyy-mm"), "")</f>
        <v/>
      </c>
    </row>
    <row r="7455">
      <c r="A7455" t="inlineStr">
        <is>
          <t>RP0007454</t>
        </is>
      </c>
      <c r="B7455" t="inlineStr">
        <is>
          <t>LN201058</t>
        </is>
      </c>
      <c r="C7455" t="n">
        <v>2</v>
      </c>
      <c r="D7455" s="8" t="n">
        <v>45915</v>
      </c>
      <c r="E7455" s="9" t="n">
        <v>10055.75</v>
      </c>
      <c r="F7455" s="8" t="n">
        <v>45915</v>
      </c>
      <c r="G7455" s="9" t="n">
        <v>10055.75</v>
      </c>
      <c r="H7455" t="inlineStr">
        <is>
          <t>PAID_ON_TIME</t>
        </is>
      </c>
      <c r="I7455">
        <f>IF(H7455="UNPAID", AsOfDate-D7455, 0)</f>
        <v/>
      </c>
      <c r="J7455">
        <f>IF(F7455&lt;&gt;"", TEXT(F7455, "yyyy-mm"), "")</f>
        <v/>
      </c>
    </row>
    <row r="7456">
      <c r="A7456" t="inlineStr">
        <is>
          <t>RP0007455</t>
        </is>
      </c>
      <c r="B7456" t="inlineStr">
        <is>
          <t>LN201058</t>
        </is>
      </c>
      <c r="C7456" t="n">
        <v>3</v>
      </c>
      <c r="D7456" s="8" t="n">
        <v>45945</v>
      </c>
      <c r="E7456" s="9" t="n">
        <v>10055.75</v>
      </c>
      <c r="F7456" s="8" t="n">
        <v>45944</v>
      </c>
      <c r="G7456" s="9" t="n">
        <v>10055.75</v>
      </c>
      <c r="H7456" t="inlineStr">
        <is>
          <t>PAID_ON_TIME</t>
        </is>
      </c>
      <c r="I7456">
        <f>IF(H7456="UNPAID", AsOfDate-D7456, 0)</f>
        <v/>
      </c>
      <c r="J7456">
        <f>IF(F7456&lt;&gt;"", TEXT(F7456, "yyyy-mm"), "")</f>
        <v/>
      </c>
    </row>
    <row r="7457">
      <c r="A7457" t="inlineStr">
        <is>
          <t>RP0007456</t>
        </is>
      </c>
      <c r="B7457" t="inlineStr">
        <is>
          <t>LN201059</t>
        </is>
      </c>
      <c r="C7457" t="n">
        <v>1</v>
      </c>
      <c r="D7457" s="8" t="n">
        <v>46159</v>
      </c>
      <c r="E7457" s="9" t="n">
        <v>28181.5</v>
      </c>
      <c r="F7457" s="8" t="n">
        <v>46163</v>
      </c>
      <c r="G7457" s="9" t="n">
        <v>28181.5</v>
      </c>
      <c r="H7457" t="inlineStr">
        <is>
          <t>PAID_ON_TIME</t>
        </is>
      </c>
      <c r="I7457">
        <f>IF(H7457="UNPAID", AsOfDate-D7457, 0)</f>
        <v/>
      </c>
      <c r="J7457">
        <f>IF(F7457&lt;&gt;"", TEXT(F7457, "yyyy-mm"), "")</f>
        <v/>
      </c>
    </row>
    <row r="7458">
      <c r="A7458" t="inlineStr">
        <is>
          <t>RP0007457</t>
        </is>
      </c>
      <c r="B7458" t="inlineStr">
        <is>
          <t>LN201059</t>
        </is>
      </c>
      <c r="C7458" t="n">
        <v>2</v>
      </c>
      <c r="D7458" s="8" t="n">
        <v>46190</v>
      </c>
      <c r="E7458" s="9" t="n">
        <v>28181.5</v>
      </c>
      <c r="F7458" s="8" t="n">
        <v>46188</v>
      </c>
      <c r="G7458" s="9" t="n">
        <v>28181.5</v>
      </c>
      <c r="H7458" t="inlineStr">
        <is>
          <t>PAID_ON_TIME</t>
        </is>
      </c>
      <c r="I7458">
        <f>IF(H7458="UNPAID", AsOfDate-D7458, 0)</f>
        <v/>
      </c>
      <c r="J7458">
        <f>IF(F7458&lt;&gt;"", TEXT(F7458, "yyyy-mm"), "")</f>
        <v/>
      </c>
    </row>
    <row r="7459">
      <c r="A7459" t="inlineStr">
        <is>
          <t>RP0007458</t>
        </is>
      </c>
      <c r="B7459" t="inlineStr">
        <is>
          <t>LN201059</t>
        </is>
      </c>
      <c r="C7459" t="n">
        <v>3</v>
      </c>
      <c r="D7459" s="8" t="n">
        <v>46220</v>
      </c>
      <c r="E7459" s="9" t="n">
        <v>28181.5</v>
      </c>
      <c r="F7459" s="8" t="n">
        <v>46224</v>
      </c>
      <c r="G7459" s="9" t="n">
        <v>28181.5</v>
      </c>
      <c r="H7459" t="inlineStr">
        <is>
          <t>PAID_ON_TIME</t>
        </is>
      </c>
      <c r="I7459">
        <f>IF(H7459="UNPAID", AsOfDate-D7459, 0)</f>
        <v/>
      </c>
      <c r="J7459">
        <f>IF(F7459&lt;&gt;"", TEXT(F7459, "yyyy-mm"), "")</f>
        <v/>
      </c>
    </row>
    <row r="7460">
      <c r="A7460" t="inlineStr">
        <is>
          <t>RP0007459</t>
        </is>
      </c>
      <c r="B7460" t="inlineStr">
        <is>
          <t>LN201059</t>
        </is>
      </c>
      <c r="C7460" t="n">
        <v>4</v>
      </c>
      <c r="D7460" s="8" t="n">
        <v>46251</v>
      </c>
      <c r="E7460" s="9" t="n">
        <v>28181.5</v>
      </c>
      <c r="F7460" s="8" t="n"/>
      <c r="G7460" s="9" t="n">
        <v>0</v>
      </c>
      <c r="H7460" t="inlineStr">
        <is>
          <t>UNPAID</t>
        </is>
      </c>
      <c r="I7460">
        <f>IF(H7460="UNPAID", AsOfDate-D7460, 0)</f>
        <v/>
      </c>
      <c r="J7460">
        <f>IF(F7460&lt;&gt;"", TEXT(F7460, "yyyy-mm"), "")</f>
        <v/>
      </c>
    </row>
    <row r="7461">
      <c r="A7461" t="inlineStr">
        <is>
          <t>RP0007460</t>
        </is>
      </c>
      <c r="B7461" t="inlineStr">
        <is>
          <t>LN201059</t>
        </is>
      </c>
      <c r="C7461" t="n">
        <v>5</v>
      </c>
      <c r="D7461" s="8" t="n">
        <v>46282</v>
      </c>
      <c r="E7461" s="9" t="n">
        <v>28181.5</v>
      </c>
      <c r="F7461" s="8" t="n"/>
      <c r="G7461" s="9" t="n">
        <v>0</v>
      </c>
      <c r="H7461" t="inlineStr">
        <is>
          <t>NOT_DUE</t>
        </is>
      </c>
      <c r="I7461">
        <f>IF(H7461="UNPAID", AsOfDate-D7461, 0)</f>
        <v/>
      </c>
      <c r="J7461">
        <f>IF(F7461&lt;&gt;"", TEXT(F7461, "yyyy-mm"), "")</f>
        <v/>
      </c>
    </row>
    <row r="7462">
      <c r="A7462" t="inlineStr">
        <is>
          <t>RP0007461</t>
        </is>
      </c>
      <c r="B7462" t="inlineStr">
        <is>
          <t>LN201059</t>
        </is>
      </c>
      <c r="C7462" t="n">
        <v>6</v>
      </c>
      <c r="D7462" s="8" t="n">
        <v>46312</v>
      </c>
      <c r="E7462" s="9" t="n">
        <v>28181.5</v>
      </c>
      <c r="F7462" s="8" t="n"/>
      <c r="G7462" s="9" t="n">
        <v>0</v>
      </c>
      <c r="H7462" t="inlineStr">
        <is>
          <t>NOT_DUE</t>
        </is>
      </c>
      <c r="I7462">
        <f>IF(H7462="UNPAID", AsOfDate-D7462, 0)</f>
        <v/>
      </c>
      <c r="J7462">
        <f>IF(F7462&lt;&gt;"", TEXT(F7462, "yyyy-mm"), "")</f>
        <v/>
      </c>
    </row>
    <row r="7463">
      <c r="A7463" t="inlineStr">
        <is>
          <t>RP0007462</t>
        </is>
      </c>
      <c r="B7463" t="inlineStr">
        <is>
          <t>LN201060</t>
        </is>
      </c>
      <c r="C7463" t="n">
        <v>1</v>
      </c>
      <c r="D7463" s="8" t="n">
        <v>45816</v>
      </c>
      <c r="E7463" s="9" t="n">
        <v>36931.08</v>
      </c>
      <c r="F7463" s="8" t="n">
        <v>45820</v>
      </c>
      <c r="G7463" s="9" t="n">
        <v>36931.08</v>
      </c>
      <c r="H7463" t="inlineStr">
        <is>
          <t>PAID_ON_TIME</t>
        </is>
      </c>
      <c r="I7463">
        <f>IF(H7463="UNPAID", AsOfDate-D7463, 0)</f>
        <v/>
      </c>
      <c r="J7463">
        <f>IF(F7463&lt;&gt;"", TEXT(F7463, "yyyy-mm"), "")</f>
        <v/>
      </c>
    </row>
    <row r="7464">
      <c r="A7464" t="inlineStr">
        <is>
          <t>RP0007463</t>
        </is>
      </c>
      <c r="B7464" t="inlineStr">
        <is>
          <t>LN201060</t>
        </is>
      </c>
      <c r="C7464" t="n">
        <v>2</v>
      </c>
      <c r="D7464" s="8" t="n">
        <v>45846</v>
      </c>
      <c r="E7464" s="9" t="n">
        <v>36931.08</v>
      </c>
      <c r="F7464" s="8" t="n">
        <v>45847</v>
      </c>
      <c r="G7464" s="9" t="n">
        <v>36931.08</v>
      </c>
      <c r="H7464" t="inlineStr">
        <is>
          <t>PAID_ON_TIME</t>
        </is>
      </c>
      <c r="I7464">
        <f>IF(H7464="UNPAID", AsOfDate-D7464, 0)</f>
        <v/>
      </c>
      <c r="J7464">
        <f>IF(F7464&lt;&gt;"", TEXT(F7464, "yyyy-mm"), "")</f>
        <v/>
      </c>
    </row>
    <row r="7465">
      <c r="A7465" t="inlineStr">
        <is>
          <t>RP0007464</t>
        </is>
      </c>
      <c r="B7465" t="inlineStr">
        <is>
          <t>LN201060</t>
        </is>
      </c>
      <c r="C7465" t="n">
        <v>3</v>
      </c>
      <c r="D7465" s="8" t="n">
        <v>45877</v>
      </c>
      <c r="E7465" s="9" t="n">
        <v>36931.08</v>
      </c>
      <c r="F7465" s="8" t="n">
        <v>45874</v>
      </c>
      <c r="G7465" s="9" t="n">
        <v>36931.08</v>
      </c>
      <c r="H7465" t="inlineStr">
        <is>
          <t>PAID_ON_TIME</t>
        </is>
      </c>
      <c r="I7465">
        <f>IF(H7465="UNPAID", AsOfDate-D7465, 0)</f>
        <v/>
      </c>
      <c r="J7465">
        <f>IF(F7465&lt;&gt;"", TEXT(F7465, "yyyy-mm"), "")</f>
        <v/>
      </c>
    </row>
    <row r="7466">
      <c r="A7466" t="inlineStr">
        <is>
          <t>RP0007465</t>
        </is>
      </c>
      <c r="B7466" t="inlineStr">
        <is>
          <t>LN201060</t>
        </is>
      </c>
      <c r="C7466" t="n">
        <v>4</v>
      </c>
      <c r="D7466" s="8" t="n">
        <v>45908</v>
      </c>
      <c r="E7466" s="9" t="n">
        <v>36931.08</v>
      </c>
      <c r="F7466" s="8" t="n">
        <v>45906</v>
      </c>
      <c r="G7466" s="9" t="n">
        <v>36931.08</v>
      </c>
      <c r="H7466" t="inlineStr">
        <is>
          <t>PAID_ON_TIME</t>
        </is>
      </c>
      <c r="I7466">
        <f>IF(H7466="UNPAID", AsOfDate-D7466, 0)</f>
        <v/>
      </c>
      <c r="J7466">
        <f>IF(F7466&lt;&gt;"", TEXT(F7466, "yyyy-mm"), "")</f>
        <v/>
      </c>
    </row>
    <row r="7467">
      <c r="A7467" t="inlineStr">
        <is>
          <t>RP0007466</t>
        </is>
      </c>
      <c r="B7467" t="inlineStr">
        <is>
          <t>LN201060</t>
        </is>
      </c>
      <c r="C7467" t="n">
        <v>5</v>
      </c>
      <c r="D7467" s="8" t="n">
        <v>45938</v>
      </c>
      <c r="E7467" s="9" t="n">
        <v>36931.08</v>
      </c>
      <c r="F7467" s="8" t="n">
        <v>45940</v>
      </c>
      <c r="G7467" s="9" t="n">
        <v>36931.08</v>
      </c>
      <c r="H7467" t="inlineStr">
        <is>
          <t>PAID_ON_TIME</t>
        </is>
      </c>
      <c r="I7467">
        <f>IF(H7467="UNPAID", AsOfDate-D7467, 0)</f>
        <v/>
      </c>
      <c r="J7467">
        <f>IF(F7467&lt;&gt;"", TEXT(F7467, "yyyy-mm"), "")</f>
        <v/>
      </c>
    </row>
    <row r="7468">
      <c r="A7468" t="inlineStr">
        <is>
          <t>RP0007467</t>
        </is>
      </c>
      <c r="B7468" t="inlineStr">
        <is>
          <t>LN201060</t>
        </is>
      </c>
      <c r="C7468" t="n">
        <v>6</v>
      </c>
      <c r="D7468" s="8" t="n">
        <v>45969</v>
      </c>
      <c r="E7468" s="9" t="n">
        <v>36931.08</v>
      </c>
      <c r="F7468" s="8" t="n">
        <v>45966</v>
      </c>
      <c r="G7468" s="9" t="n">
        <v>36931.08</v>
      </c>
      <c r="H7468" t="inlineStr">
        <is>
          <t>PAID_ON_TIME</t>
        </is>
      </c>
      <c r="I7468">
        <f>IF(H7468="UNPAID", AsOfDate-D7468, 0)</f>
        <v/>
      </c>
      <c r="J7468">
        <f>IF(F7468&lt;&gt;"", TEXT(F7468, "yyyy-mm"), "")</f>
        <v/>
      </c>
    </row>
    <row r="7469">
      <c r="A7469" t="inlineStr">
        <is>
          <t>RP0007468</t>
        </is>
      </c>
      <c r="B7469" t="inlineStr">
        <is>
          <t>LN201061</t>
        </is>
      </c>
      <c r="C7469" t="n">
        <v>1</v>
      </c>
      <c r="D7469" s="8" t="n">
        <v>46240</v>
      </c>
      <c r="E7469" s="9" t="n">
        <v>18000.69</v>
      </c>
      <c r="F7469" s="8" t="n">
        <v>46237</v>
      </c>
      <c r="G7469" s="9" t="n">
        <v>18000.69</v>
      </c>
      <c r="H7469" t="inlineStr">
        <is>
          <t>PAID_ON_TIME</t>
        </is>
      </c>
      <c r="I7469">
        <f>IF(H7469="UNPAID", AsOfDate-D7469, 0)</f>
        <v/>
      </c>
      <c r="J7469">
        <f>IF(F7469&lt;&gt;"", TEXT(F7469, "yyyy-mm"), "")</f>
        <v/>
      </c>
    </row>
    <row r="7470">
      <c r="A7470" t="inlineStr">
        <is>
          <t>RP0007469</t>
        </is>
      </c>
      <c r="B7470" t="inlineStr">
        <is>
          <t>LN201061</t>
        </is>
      </c>
      <c r="C7470" t="n">
        <v>2</v>
      </c>
      <c r="D7470" s="8" t="n">
        <v>46271</v>
      </c>
      <c r="E7470" s="9" t="n">
        <v>18000.69</v>
      </c>
      <c r="F7470" s="8" t="n"/>
      <c r="G7470" s="9" t="n">
        <v>0</v>
      </c>
      <c r="H7470" t="inlineStr">
        <is>
          <t>NOT_DUE</t>
        </is>
      </c>
      <c r="I7470">
        <f>IF(H7470="UNPAID", AsOfDate-D7470, 0)</f>
        <v/>
      </c>
      <c r="J7470">
        <f>IF(F7470&lt;&gt;"", TEXT(F7470, "yyyy-mm"), "")</f>
        <v/>
      </c>
    </row>
    <row r="7471">
      <c r="A7471" t="inlineStr">
        <is>
          <t>RP0007470</t>
        </is>
      </c>
      <c r="B7471" t="inlineStr">
        <is>
          <t>LN201061</t>
        </is>
      </c>
      <c r="C7471" t="n">
        <v>3</v>
      </c>
      <c r="D7471" s="8" t="n">
        <v>46301</v>
      </c>
      <c r="E7471" s="9" t="n">
        <v>18000.69</v>
      </c>
      <c r="F7471" s="8" t="n"/>
      <c r="G7471" s="9" t="n">
        <v>0</v>
      </c>
      <c r="H7471" t="inlineStr">
        <is>
          <t>NOT_DUE</t>
        </is>
      </c>
      <c r="I7471">
        <f>IF(H7471="UNPAID", AsOfDate-D7471, 0)</f>
        <v/>
      </c>
      <c r="J7471">
        <f>IF(F7471&lt;&gt;"", TEXT(F7471, "yyyy-mm"), "")</f>
        <v/>
      </c>
    </row>
    <row r="7472">
      <c r="A7472" t="inlineStr">
        <is>
          <t>RP0007471</t>
        </is>
      </c>
      <c r="B7472" t="inlineStr">
        <is>
          <t>LN201061</t>
        </is>
      </c>
      <c r="C7472" t="n">
        <v>4</v>
      </c>
      <c r="D7472" s="8" t="n">
        <v>46332</v>
      </c>
      <c r="E7472" s="9" t="n">
        <v>18000.69</v>
      </c>
      <c r="F7472" s="8" t="n"/>
      <c r="G7472" s="9" t="n">
        <v>0</v>
      </c>
      <c r="H7472" t="inlineStr">
        <is>
          <t>NOT_DUE</t>
        </is>
      </c>
      <c r="I7472">
        <f>IF(H7472="UNPAID", AsOfDate-D7472, 0)</f>
        <v/>
      </c>
      <c r="J7472">
        <f>IF(F7472&lt;&gt;"", TEXT(F7472, "yyyy-mm"), "")</f>
        <v/>
      </c>
    </row>
    <row r="7473">
      <c r="A7473" t="inlineStr">
        <is>
          <t>RP0007472</t>
        </is>
      </c>
      <c r="B7473" t="inlineStr">
        <is>
          <t>LN201061</t>
        </is>
      </c>
      <c r="C7473" t="n">
        <v>5</v>
      </c>
      <c r="D7473" s="8" t="n">
        <v>46362</v>
      </c>
      <c r="E7473" s="9" t="n">
        <v>18000.69</v>
      </c>
      <c r="F7473" s="8" t="n"/>
      <c r="G7473" s="9" t="n">
        <v>0</v>
      </c>
      <c r="H7473" t="inlineStr">
        <is>
          <t>NOT_DUE</t>
        </is>
      </c>
      <c r="I7473">
        <f>IF(H7473="UNPAID", AsOfDate-D7473, 0)</f>
        <v/>
      </c>
      <c r="J7473">
        <f>IF(F7473&lt;&gt;"", TEXT(F7473, "yyyy-mm"), "")</f>
        <v/>
      </c>
    </row>
    <row r="7474">
      <c r="A7474" t="inlineStr">
        <is>
          <t>RP0007473</t>
        </is>
      </c>
      <c r="B7474" t="inlineStr">
        <is>
          <t>LN201061</t>
        </is>
      </c>
      <c r="C7474" t="n">
        <v>6</v>
      </c>
      <c r="D7474" s="8" t="n">
        <v>46393</v>
      </c>
      <c r="E7474" s="9" t="n">
        <v>18000.69</v>
      </c>
      <c r="F7474" s="8" t="n"/>
      <c r="G7474" s="9" t="n">
        <v>0</v>
      </c>
      <c r="H7474" t="inlineStr">
        <is>
          <t>NOT_DUE</t>
        </is>
      </c>
      <c r="I7474">
        <f>IF(H7474="UNPAID", AsOfDate-D7474, 0)</f>
        <v/>
      </c>
      <c r="J7474">
        <f>IF(F7474&lt;&gt;"", TEXT(F7474, "yyyy-mm"), "")</f>
        <v/>
      </c>
    </row>
    <row r="7475">
      <c r="A7475" t="inlineStr">
        <is>
          <t>RP0007474</t>
        </is>
      </c>
      <c r="B7475" t="inlineStr">
        <is>
          <t>LN201061</t>
        </is>
      </c>
      <c r="C7475" t="n">
        <v>7</v>
      </c>
      <c r="D7475" s="8" t="n">
        <v>46424</v>
      </c>
      <c r="E7475" s="9" t="n">
        <v>18000.69</v>
      </c>
      <c r="F7475" s="8" t="n"/>
      <c r="G7475" s="9" t="n">
        <v>0</v>
      </c>
      <c r="H7475" t="inlineStr">
        <is>
          <t>NOT_DUE</t>
        </is>
      </c>
      <c r="I7475">
        <f>IF(H7475="UNPAID", AsOfDate-D7475, 0)</f>
        <v/>
      </c>
      <c r="J7475">
        <f>IF(F7475&lt;&gt;"", TEXT(F7475, "yyyy-mm"), "")</f>
        <v/>
      </c>
    </row>
    <row r="7476">
      <c r="A7476" t="inlineStr">
        <is>
          <t>RP0007475</t>
        </is>
      </c>
      <c r="B7476" t="inlineStr">
        <is>
          <t>LN201061</t>
        </is>
      </c>
      <c r="C7476" t="n">
        <v>8</v>
      </c>
      <c r="D7476" s="8" t="n">
        <v>46452</v>
      </c>
      <c r="E7476" s="9" t="n">
        <v>18000.69</v>
      </c>
      <c r="F7476" s="8" t="n"/>
      <c r="G7476" s="9" t="n">
        <v>0</v>
      </c>
      <c r="H7476" t="inlineStr">
        <is>
          <t>NOT_DUE</t>
        </is>
      </c>
      <c r="I7476">
        <f>IF(H7476="UNPAID", AsOfDate-D7476, 0)</f>
        <v/>
      </c>
      <c r="J7476">
        <f>IF(F7476&lt;&gt;"", TEXT(F7476, "yyyy-mm"), "")</f>
        <v/>
      </c>
    </row>
    <row r="7477">
      <c r="A7477" t="inlineStr">
        <is>
          <t>RP0007476</t>
        </is>
      </c>
      <c r="B7477" t="inlineStr">
        <is>
          <t>LN201061</t>
        </is>
      </c>
      <c r="C7477" t="n">
        <v>9</v>
      </c>
      <c r="D7477" s="8" t="n">
        <v>46483</v>
      </c>
      <c r="E7477" s="9" t="n">
        <v>18000.69</v>
      </c>
      <c r="F7477" s="8" t="n"/>
      <c r="G7477" s="9" t="n">
        <v>0</v>
      </c>
      <c r="H7477" t="inlineStr">
        <is>
          <t>NOT_DUE</t>
        </is>
      </c>
      <c r="I7477">
        <f>IF(H7477="UNPAID", AsOfDate-D7477, 0)</f>
        <v/>
      </c>
      <c r="J7477">
        <f>IF(F7477&lt;&gt;"", TEXT(F7477, "yyyy-mm"), "")</f>
        <v/>
      </c>
    </row>
    <row r="7478">
      <c r="A7478" t="inlineStr">
        <is>
          <t>RP0007477</t>
        </is>
      </c>
      <c r="B7478" t="inlineStr">
        <is>
          <t>LN201061</t>
        </is>
      </c>
      <c r="C7478" t="n">
        <v>10</v>
      </c>
      <c r="D7478" s="8" t="n">
        <v>46513</v>
      </c>
      <c r="E7478" s="9" t="n">
        <v>18000.69</v>
      </c>
      <c r="F7478" s="8" t="n"/>
      <c r="G7478" s="9" t="n">
        <v>0</v>
      </c>
      <c r="H7478" t="inlineStr">
        <is>
          <t>NOT_DUE</t>
        </is>
      </c>
      <c r="I7478">
        <f>IF(H7478="UNPAID", AsOfDate-D7478, 0)</f>
        <v/>
      </c>
      <c r="J7478">
        <f>IF(F7478&lt;&gt;"", TEXT(F7478, "yyyy-mm"), "")</f>
        <v/>
      </c>
    </row>
    <row r="7479">
      <c r="A7479" t="inlineStr">
        <is>
          <t>RP0007478</t>
        </is>
      </c>
      <c r="B7479" t="inlineStr">
        <is>
          <t>LN201061</t>
        </is>
      </c>
      <c r="C7479" t="n">
        <v>11</v>
      </c>
      <c r="D7479" s="8" t="n">
        <v>46544</v>
      </c>
      <c r="E7479" s="9" t="n">
        <v>18000.69</v>
      </c>
      <c r="F7479" s="8" t="n"/>
      <c r="G7479" s="9" t="n">
        <v>0</v>
      </c>
      <c r="H7479" t="inlineStr">
        <is>
          <t>NOT_DUE</t>
        </is>
      </c>
      <c r="I7479">
        <f>IF(H7479="UNPAID", AsOfDate-D7479, 0)</f>
        <v/>
      </c>
      <c r="J7479">
        <f>IF(F7479&lt;&gt;"", TEXT(F7479, "yyyy-mm"), "")</f>
        <v/>
      </c>
    </row>
    <row r="7480">
      <c r="A7480" t="inlineStr">
        <is>
          <t>RP0007479</t>
        </is>
      </c>
      <c r="B7480" t="inlineStr">
        <is>
          <t>LN201061</t>
        </is>
      </c>
      <c r="C7480" t="n">
        <v>12</v>
      </c>
      <c r="D7480" s="8" t="n">
        <v>46574</v>
      </c>
      <c r="E7480" s="9" t="n">
        <v>18000.69</v>
      </c>
      <c r="F7480" s="8" t="n"/>
      <c r="G7480" s="9" t="n">
        <v>0</v>
      </c>
      <c r="H7480" t="inlineStr">
        <is>
          <t>NOT_DUE</t>
        </is>
      </c>
      <c r="I7480">
        <f>IF(H7480="UNPAID", AsOfDate-D7480, 0)</f>
        <v/>
      </c>
      <c r="J7480">
        <f>IF(F7480&lt;&gt;"", TEXT(F7480, "yyyy-mm"), "")</f>
        <v/>
      </c>
    </row>
    <row r="7481">
      <c r="A7481" t="inlineStr">
        <is>
          <t>RP0007480</t>
        </is>
      </c>
      <c r="B7481" t="inlineStr">
        <is>
          <t>LN201061</t>
        </is>
      </c>
      <c r="C7481" t="n">
        <v>13</v>
      </c>
      <c r="D7481" s="8" t="n">
        <v>46605</v>
      </c>
      <c r="E7481" s="9" t="n">
        <v>18000.69</v>
      </c>
      <c r="F7481" s="8" t="n"/>
      <c r="G7481" s="9" t="n">
        <v>0</v>
      </c>
      <c r="H7481" t="inlineStr">
        <is>
          <t>NOT_DUE</t>
        </is>
      </c>
      <c r="I7481">
        <f>IF(H7481="UNPAID", AsOfDate-D7481, 0)</f>
        <v/>
      </c>
      <c r="J7481">
        <f>IF(F7481&lt;&gt;"", TEXT(F7481, "yyyy-mm"), "")</f>
        <v/>
      </c>
    </row>
    <row r="7482">
      <c r="A7482" t="inlineStr">
        <is>
          <t>RP0007481</t>
        </is>
      </c>
      <c r="B7482" t="inlineStr">
        <is>
          <t>LN201061</t>
        </is>
      </c>
      <c r="C7482" t="n">
        <v>14</v>
      </c>
      <c r="D7482" s="8" t="n">
        <v>46636</v>
      </c>
      <c r="E7482" s="9" t="n">
        <v>18000.69</v>
      </c>
      <c r="F7482" s="8" t="n"/>
      <c r="G7482" s="9" t="n">
        <v>0</v>
      </c>
      <c r="H7482" t="inlineStr">
        <is>
          <t>NOT_DUE</t>
        </is>
      </c>
      <c r="I7482">
        <f>IF(H7482="UNPAID", AsOfDate-D7482, 0)</f>
        <v/>
      </c>
      <c r="J7482">
        <f>IF(F7482&lt;&gt;"", TEXT(F7482, "yyyy-mm"), "")</f>
        <v/>
      </c>
    </row>
    <row r="7483">
      <c r="A7483" t="inlineStr">
        <is>
          <t>RP0007482</t>
        </is>
      </c>
      <c r="B7483" t="inlineStr">
        <is>
          <t>LN201061</t>
        </is>
      </c>
      <c r="C7483" t="n">
        <v>15</v>
      </c>
      <c r="D7483" s="8" t="n">
        <v>46666</v>
      </c>
      <c r="E7483" s="9" t="n">
        <v>18000.69</v>
      </c>
      <c r="F7483" s="8" t="n"/>
      <c r="G7483" s="9" t="n">
        <v>0</v>
      </c>
      <c r="H7483" t="inlineStr">
        <is>
          <t>NOT_DUE</t>
        </is>
      </c>
      <c r="I7483">
        <f>IF(H7483="UNPAID", AsOfDate-D7483, 0)</f>
        <v/>
      </c>
      <c r="J7483">
        <f>IF(F7483&lt;&gt;"", TEXT(F7483, "yyyy-mm"), "")</f>
        <v/>
      </c>
    </row>
    <row r="7484">
      <c r="A7484" t="inlineStr">
        <is>
          <t>RP0007483</t>
        </is>
      </c>
      <c r="B7484" t="inlineStr">
        <is>
          <t>LN201061</t>
        </is>
      </c>
      <c r="C7484" t="n">
        <v>16</v>
      </c>
      <c r="D7484" s="8" t="n">
        <v>46697</v>
      </c>
      <c r="E7484" s="9" t="n">
        <v>18000.69</v>
      </c>
      <c r="F7484" s="8" t="n"/>
      <c r="G7484" s="9" t="n">
        <v>0</v>
      </c>
      <c r="H7484" t="inlineStr">
        <is>
          <t>NOT_DUE</t>
        </is>
      </c>
      <c r="I7484">
        <f>IF(H7484="UNPAID", AsOfDate-D7484, 0)</f>
        <v/>
      </c>
      <c r="J7484">
        <f>IF(F7484&lt;&gt;"", TEXT(F7484, "yyyy-mm"), "")</f>
        <v/>
      </c>
    </row>
    <row r="7485">
      <c r="A7485" t="inlineStr">
        <is>
          <t>RP0007484</t>
        </is>
      </c>
      <c r="B7485" t="inlineStr">
        <is>
          <t>LN201061</t>
        </is>
      </c>
      <c r="C7485" t="n">
        <v>17</v>
      </c>
      <c r="D7485" s="8" t="n">
        <v>46727</v>
      </c>
      <c r="E7485" s="9" t="n">
        <v>18000.69</v>
      </c>
      <c r="F7485" s="8" t="n"/>
      <c r="G7485" s="9" t="n">
        <v>0</v>
      </c>
      <c r="H7485" t="inlineStr">
        <is>
          <t>NOT_DUE</t>
        </is>
      </c>
      <c r="I7485">
        <f>IF(H7485="UNPAID", AsOfDate-D7485, 0)</f>
        <v/>
      </c>
      <c r="J7485">
        <f>IF(F7485&lt;&gt;"", TEXT(F7485, "yyyy-mm"), "")</f>
        <v/>
      </c>
    </row>
    <row r="7486">
      <c r="A7486" t="inlineStr">
        <is>
          <t>RP0007485</t>
        </is>
      </c>
      <c r="B7486" t="inlineStr">
        <is>
          <t>LN201061</t>
        </is>
      </c>
      <c r="C7486" t="n">
        <v>18</v>
      </c>
      <c r="D7486" s="8" t="n">
        <v>46758</v>
      </c>
      <c r="E7486" s="9" t="n">
        <v>18000.69</v>
      </c>
      <c r="F7486" s="8" t="n"/>
      <c r="G7486" s="9" t="n">
        <v>0</v>
      </c>
      <c r="H7486" t="inlineStr">
        <is>
          <t>NOT_DUE</t>
        </is>
      </c>
      <c r="I7486">
        <f>IF(H7486="UNPAID", AsOfDate-D7486, 0)</f>
        <v/>
      </c>
      <c r="J7486">
        <f>IF(F7486&lt;&gt;"", TEXT(F7486, "yyyy-mm"), "")</f>
        <v/>
      </c>
    </row>
    <row r="7487">
      <c r="A7487" t="inlineStr">
        <is>
          <t>RP0007486</t>
        </is>
      </c>
      <c r="B7487" t="inlineStr">
        <is>
          <t>LN201062</t>
        </is>
      </c>
      <c r="C7487" t="n">
        <v>1</v>
      </c>
      <c r="D7487" s="8" t="n">
        <v>46074</v>
      </c>
      <c r="E7487" s="9" t="n">
        <v>101474.17</v>
      </c>
      <c r="F7487" s="8" t="n">
        <v>46071</v>
      </c>
      <c r="G7487" s="9" t="n">
        <v>101474.17</v>
      </c>
      <c r="H7487" t="inlineStr">
        <is>
          <t>PAID_ON_TIME</t>
        </is>
      </c>
      <c r="I7487">
        <f>IF(H7487="UNPAID", AsOfDate-D7487, 0)</f>
        <v/>
      </c>
      <c r="J7487">
        <f>IF(F7487&lt;&gt;"", TEXT(F7487, "yyyy-mm"), "")</f>
        <v/>
      </c>
    </row>
    <row r="7488">
      <c r="A7488" t="inlineStr">
        <is>
          <t>RP0007487</t>
        </is>
      </c>
      <c r="B7488" t="inlineStr">
        <is>
          <t>LN201062</t>
        </is>
      </c>
      <c r="C7488" t="n">
        <v>2</v>
      </c>
      <c r="D7488" s="8" t="n">
        <v>46102</v>
      </c>
      <c r="E7488" s="9" t="n">
        <v>101474.17</v>
      </c>
      <c r="F7488" s="8" t="n">
        <v>46102</v>
      </c>
      <c r="G7488" s="9" t="n">
        <v>101474.17</v>
      </c>
      <c r="H7488" t="inlineStr">
        <is>
          <t>PAID_ON_TIME</t>
        </is>
      </c>
      <c r="I7488">
        <f>IF(H7488="UNPAID", AsOfDate-D7488, 0)</f>
        <v/>
      </c>
      <c r="J7488">
        <f>IF(F7488&lt;&gt;"", TEXT(F7488, "yyyy-mm"), "")</f>
        <v/>
      </c>
    </row>
    <row r="7489">
      <c r="A7489" t="inlineStr">
        <is>
          <t>RP0007488</t>
        </is>
      </c>
      <c r="B7489" t="inlineStr">
        <is>
          <t>LN201062</t>
        </is>
      </c>
      <c r="C7489" t="n">
        <v>3</v>
      </c>
      <c r="D7489" s="8" t="n">
        <v>46133</v>
      </c>
      <c r="E7489" s="9" t="n">
        <v>101474.17</v>
      </c>
      <c r="F7489" s="8" t="n">
        <v>46136</v>
      </c>
      <c r="G7489" s="9" t="n">
        <v>101474.17</v>
      </c>
      <c r="H7489" t="inlineStr">
        <is>
          <t>PAID_ON_TIME</t>
        </is>
      </c>
      <c r="I7489">
        <f>IF(H7489="UNPAID", AsOfDate-D7489, 0)</f>
        <v/>
      </c>
      <c r="J7489">
        <f>IF(F7489&lt;&gt;"", TEXT(F7489, "yyyy-mm"), "")</f>
        <v/>
      </c>
    </row>
    <row r="7490">
      <c r="A7490" t="inlineStr">
        <is>
          <t>RP0007489</t>
        </is>
      </c>
      <c r="B7490" t="inlineStr">
        <is>
          <t>LN201062</t>
        </is>
      </c>
      <c r="C7490" t="n">
        <v>4</v>
      </c>
      <c r="D7490" s="8" t="n">
        <v>46163</v>
      </c>
      <c r="E7490" s="9" t="n">
        <v>101474.17</v>
      </c>
      <c r="F7490" s="8" t="n">
        <v>46163</v>
      </c>
      <c r="G7490" s="9" t="n">
        <v>101474.17</v>
      </c>
      <c r="H7490" t="inlineStr">
        <is>
          <t>PAID_ON_TIME</t>
        </is>
      </c>
      <c r="I7490">
        <f>IF(H7490="UNPAID", AsOfDate-D7490, 0)</f>
        <v/>
      </c>
      <c r="J7490">
        <f>IF(F7490&lt;&gt;"", TEXT(F7490, "yyyy-mm"), "")</f>
        <v/>
      </c>
    </row>
    <row r="7491">
      <c r="A7491" t="inlineStr">
        <is>
          <t>RP0007490</t>
        </is>
      </c>
      <c r="B7491" t="inlineStr">
        <is>
          <t>LN201062</t>
        </is>
      </c>
      <c r="C7491" t="n">
        <v>5</v>
      </c>
      <c r="D7491" s="8" t="n">
        <v>46194</v>
      </c>
      <c r="E7491" s="9" t="n">
        <v>101474.17</v>
      </c>
      <c r="F7491" s="8" t="n">
        <v>46191</v>
      </c>
      <c r="G7491" s="9" t="n">
        <v>101474.17</v>
      </c>
      <c r="H7491" t="inlineStr">
        <is>
          <t>PAID_ON_TIME</t>
        </is>
      </c>
      <c r="I7491">
        <f>IF(H7491="UNPAID", AsOfDate-D7491, 0)</f>
        <v/>
      </c>
      <c r="J7491">
        <f>IF(F7491&lt;&gt;"", TEXT(F7491, "yyyy-mm"), "")</f>
        <v/>
      </c>
    </row>
    <row r="7492">
      <c r="A7492" t="inlineStr">
        <is>
          <t>RP0007491</t>
        </is>
      </c>
      <c r="B7492" t="inlineStr">
        <is>
          <t>LN201062</t>
        </is>
      </c>
      <c r="C7492" t="n">
        <v>6</v>
      </c>
      <c r="D7492" s="8" t="n">
        <v>46224</v>
      </c>
      <c r="E7492" s="9" t="n">
        <v>101474.17</v>
      </c>
      <c r="F7492" s="8" t="n">
        <v>46223</v>
      </c>
      <c r="G7492" s="9" t="n">
        <v>101474.17</v>
      </c>
      <c r="H7492" t="inlineStr">
        <is>
          <t>PAID_ON_TIME</t>
        </is>
      </c>
      <c r="I7492">
        <f>IF(H7492="UNPAID", AsOfDate-D7492, 0)</f>
        <v/>
      </c>
      <c r="J7492">
        <f>IF(F7492&lt;&gt;"", TEXT(F7492, "yyyy-mm"), "")</f>
        <v/>
      </c>
    </row>
    <row r="7493">
      <c r="A7493" t="inlineStr">
        <is>
          <t>RP0007492</t>
        </is>
      </c>
      <c r="B7493" t="inlineStr">
        <is>
          <t>LN201062</t>
        </is>
      </c>
      <c r="C7493" t="n">
        <v>7</v>
      </c>
      <c r="D7493" s="8" t="n">
        <v>46255</v>
      </c>
      <c r="E7493" s="9" t="n">
        <v>101474.17</v>
      </c>
      <c r="F7493" s="8" t="n">
        <v>46259</v>
      </c>
      <c r="G7493" s="9" t="n">
        <v>101474.17</v>
      </c>
      <c r="H7493" t="inlineStr">
        <is>
          <t>PAID_ON_TIME</t>
        </is>
      </c>
      <c r="I7493">
        <f>IF(H7493="UNPAID", AsOfDate-D7493, 0)</f>
        <v/>
      </c>
      <c r="J7493">
        <f>IF(F7493&lt;&gt;"", TEXT(F7493, "yyyy-mm"), "")</f>
        <v/>
      </c>
    </row>
    <row r="7494">
      <c r="A7494" t="inlineStr">
        <is>
          <t>RP0007493</t>
        </is>
      </c>
      <c r="B7494" t="inlineStr">
        <is>
          <t>LN201062</t>
        </is>
      </c>
      <c r="C7494" t="n">
        <v>8</v>
      </c>
      <c r="D7494" s="8" t="n">
        <v>46286</v>
      </c>
      <c r="E7494" s="9" t="n">
        <v>101474.17</v>
      </c>
      <c r="F7494" s="8" t="n"/>
      <c r="G7494" s="9" t="n">
        <v>0</v>
      </c>
      <c r="H7494" t="inlineStr">
        <is>
          <t>NOT_DUE</t>
        </is>
      </c>
      <c r="I7494">
        <f>IF(H7494="UNPAID", AsOfDate-D7494, 0)</f>
        <v/>
      </c>
      <c r="J7494">
        <f>IF(F7494&lt;&gt;"", TEXT(F7494, "yyyy-mm"), "")</f>
        <v/>
      </c>
    </row>
    <row r="7495">
      <c r="A7495" t="inlineStr">
        <is>
          <t>RP0007494</t>
        </is>
      </c>
      <c r="B7495" t="inlineStr">
        <is>
          <t>LN201062</t>
        </is>
      </c>
      <c r="C7495" t="n">
        <v>9</v>
      </c>
      <c r="D7495" s="8" t="n">
        <v>46316</v>
      </c>
      <c r="E7495" s="9" t="n">
        <v>101474.17</v>
      </c>
      <c r="F7495" s="8" t="n"/>
      <c r="G7495" s="9" t="n">
        <v>0</v>
      </c>
      <c r="H7495" t="inlineStr">
        <is>
          <t>NOT_DUE</t>
        </is>
      </c>
      <c r="I7495">
        <f>IF(H7495="UNPAID", AsOfDate-D7495, 0)</f>
        <v/>
      </c>
      <c r="J7495">
        <f>IF(F7495&lt;&gt;"", TEXT(F7495, "yyyy-mm"), "")</f>
        <v/>
      </c>
    </row>
    <row r="7496">
      <c r="A7496" t="inlineStr">
        <is>
          <t>RP0007495</t>
        </is>
      </c>
      <c r="B7496" t="inlineStr">
        <is>
          <t>LN201063</t>
        </is>
      </c>
      <c r="C7496" t="n">
        <v>1</v>
      </c>
      <c r="D7496" s="8" t="n">
        <v>45798</v>
      </c>
      <c r="E7496" s="9" t="n">
        <v>13935</v>
      </c>
      <c r="F7496" s="8" t="n">
        <v>45797</v>
      </c>
      <c r="G7496" s="9" t="n">
        <v>13935</v>
      </c>
      <c r="H7496" t="inlineStr">
        <is>
          <t>PAID_ON_TIME</t>
        </is>
      </c>
      <c r="I7496">
        <f>IF(H7496="UNPAID", AsOfDate-D7496, 0)</f>
        <v/>
      </c>
      <c r="J7496">
        <f>IF(F7496&lt;&gt;"", TEXT(F7496, "yyyy-mm"), "")</f>
        <v/>
      </c>
    </row>
    <row r="7497">
      <c r="A7497" t="inlineStr">
        <is>
          <t>RP0007496</t>
        </is>
      </c>
      <c r="B7497" t="inlineStr">
        <is>
          <t>LN201063</t>
        </is>
      </c>
      <c r="C7497" t="n">
        <v>2</v>
      </c>
      <c r="D7497" s="8" t="n">
        <v>45829</v>
      </c>
      <c r="E7497" s="9" t="n">
        <v>13935</v>
      </c>
      <c r="F7497" s="8" t="n">
        <v>45861</v>
      </c>
      <c r="G7497" s="9" t="n">
        <v>13935</v>
      </c>
      <c r="H7497" t="inlineStr">
        <is>
          <t>PAID_LATE</t>
        </is>
      </c>
      <c r="I7497">
        <f>IF(H7497="UNPAID", AsOfDate-D7497, 0)</f>
        <v/>
      </c>
      <c r="J7497">
        <f>IF(F7497&lt;&gt;"", TEXT(F7497, "yyyy-mm"), "")</f>
        <v/>
      </c>
    </row>
    <row r="7498">
      <c r="A7498" t="inlineStr">
        <is>
          <t>RP0007497</t>
        </is>
      </c>
      <c r="B7498" t="inlineStr">
        <is>
          <t>LN201063</t>
        </is>
      </c>
      <c r="C7498" t="n">
        <v>3</v>
      </c>
      <c r="D7498" s="8" t="n">
        <v>45859</v>
      </c>
      <c r="E7498" s="9" t="n">
        <v>13935</v>
      </c>
      <c r="F7498" s="8" t="n">
        <v>45859</v>
      </c>
      <c r="G7498" s="9" t="n">
        <v>13935</v>
      </c>
      <c r="H7498" t="inlineStr">
        <is>
          <t>PAID_ON_TIME</t>
        </is>
      </c>
      <c r="I7498">
        <f>IF(H7498="UNPAID", AsOfDate-D7498, 0)</f>
        <v/>
      </c>
      <c r="J7498">
        <f>IF(F7498&lt;&gt;"", TEXT(F7498, "yyyy-mm"), "")</f>
        <v/>
      </c>
    </row>
    <row r="7499">
      <c r="A7499" t="inlineStr">
        <is>
          <t>RP0007498</t>
        </is>
      </c>
      <c r="B7499" t="inlineStr">
        <is>
          <t>LN201063</t>
        </is>
      </c>
      <c r="C7499" t="n">
        <v>4</v>
      </c>
      <c r="D7499" s="8" t="n">
        <v>45890</v>
      </c>
      <c r="E7499" s="9" t="n">
        <v>13935</v>
      </c>
      <c r="F7499" s="8" t="n">
        <v>45888</v>
      </c>
      <c r="G7499" s="9" t="n">
        <v>13935</v>
      </c>
      <c r="H7499" t="inlineStr">
        <is>
          <t>PAID_ON_TIME</t>
        </is>
      </c>
      <c r="I7499">
        <f>IF(H7499="UNPAID", AsOfDate-D7499, 0)</f>
        <v/>
      </c>
      <c r="J7499">
        <f>IF(F7499&lt;&gt;"", TEXT(F7499, "yyyy-mm"), "")</f>
        <v/>
      </c>
    </row>
    <row r="7500">
      <c r="A7500" t="inlineStr">
        <is>
          <t>RP0007499</t>
        </is>
      </c>
      <c r="B7500" t="inlineStr">
        <is>
          <t>LN201063</t>
        </is>
      </c>
      <c r="C7500" t="n">
        <v>5</v>
      </c>
      <c r="D7500" s="8" t="n">
        <v>45921</v>
      </c>
      <c r="E7500" s="9" t="n">
        <v>13935</v>
      </c>
      <c r="F7500" s="8" t="n">
        <v>45918</v>
      </c>
      <c r="G7500" s="9" t="n">
        <v>13935</v>
      </c>
      <c r="H7500" t="inlineStr">
        <is>
          <t>PAID_ON_TIME</t>
        </is>
      </c>
      <c r="I7500">
        <f>IF(H7500="UNPAID", AsOfDate-D7500, 0)</f>
        <v/>
      </c>
      <c r="J7500">
        <f>IF(F7500&lt;&gt;"", TEXT(F7500, "yyyy-mm"), "")</f>
        <v/>
      </c>
    </row>
    <row r="7501">
      <c r="A7501" t="inlineStr">
        <is>
          <t>RP0007500</t>
        </is>
      </c>
      <c r="B7501" t="inlineStr">
        <is>
          <t>LN201063</t>
        </is>
      </c>
      <c r="C7501" t="n">
        <v>6</v>
      </c>
      <c r="D7501" s="8" t="n">
        <v>45951</v>
      </c>
      <c r="E7501" s="9" t="n">
        <v>13935</v>
      </c>
      <c r="F7501" s="8" t="n">
        <v>45951</v>
      </c>
      <c r="G7501" s="9" t="n">
        <v>13935</v>
      </c>
      <c r="H7501" t="inlineStr">
        <is>
          <t>PAID_ON_TIME</t>
        </is>
      </c>
      <c r="I7501">
        <f>IF(H7501="UNPAID", AsOfDate-D7501, 0)</f>
        <v/>
      </c>
      <c r="J7501">
        <f>IF(F7501&lt;&gt;"", TEXT(F7501, "yyyy-mm"), "")</f>
        <v/>
      </c>
    </row>
    <row r="7502">
      <c r="A7502" t="inlineStr">
        <is>
          <t>RP0007501</t>
        </is>
      </c>
      <c r="B7502" t="inlineStr">
        <is>
          <t>LN201063</t>
        </is>
      </c>
      <c r="C7502" t="n">
        <v>7</v>
      </c>
      <c r="D7502" s="8" t="n">
        <v>45982</v>
      </c>
      <c r="E7502" s="9" t="n">
        <v>13935</v>
      </c>
      <c r="F7502" s="8" t="n">
        <v>45985</v>
      </c>
      <c r="G7502" s="9" t="n">
        <v>13935</v>
      </c>
      <c r="H7502" t="inlineStr">
        <is>
          <t>PAID_ON_TIME</t>
        </is>
      </c>
      <c r="I7502">
        <f>IF(H7502="UNPAID", AsOfDate-D7502, 0)</f>
        <v/>
      </c>
      <c r="J7502">
        <f>IF(F7502&lt;&gt;"", TEXT(F7502, "yyyy-mm"), "")</f>
        <v/>
      </c>
    </row>
    <row r="7503">
      <c r="A7503" t="inlineStr">
        <is>
          <t>RP0007502</t>
        </is>
      </c>
      <c r="B7503" t="inlineStr">
        <is>
          <t>LN201063</t>
        </is>
      </c>
      <c r="C7503" t="n">
        <v>8</v>
      </c>
      <c r="D7503" s="8" t="n">
        <v>46012</v>
      </c>
      <c r="E7503" s="9" t="n">
        <v>13935</v>
      </c>
      <c r="F7503" s="8" t="n">
        <v>46011</v>
      </c>
      <c r="G7503" s="9" t="n">
        <v>13935</v>
      </c>
      <c r="H7503" t="inlineStr">
        <is>
          <t>PAID_ON_TIME</t>
        </is>
      </c>
      <c r="I7503">
        <f>IF(H7503="UNPAID", AsOfDate-D7503, 0)</f>
        <v/>
      </c>
      <c r="J7503">
        <f>IF(F7503&lt;&gt;"", TEXT(F7503, "yyyy-mm"), "")</f>
        <v/>
      </c>
    </row>
    <row r="7504">
      <c r="A7504" t="inlineStr">
        <is>
          <t>RP0007503</t>
        </is>
      </c>
      <c r="B7504" t="inlineStr">
        <is>
          <t>LN201063</t>
        </is>
      </c>
      <c r="C7504" t="n">
        <v>9</v>
      </c>
      <c r="D7504" s="8" t="n">
        <v>46043</v>
      </c>
      <c r="E7504" s="9" t="n">
        <v>13935</v>
      </c>
      <c r="F7504" s="8" t="n">
        <v>46046</v>
      </c>
      <c r="G7504" s="9" t="n">
        <v>13935</v>
      </c>
      <c r="H7504" t="inlineStr">
        <is>
          <t>PAID_ON_TIME</t>
        </is>
      </c>
      <c r="I7504">
        <f>IF(H7504="UNPAID", AsOfDate-D7504, 0)</f>
        <v/>
      </c>
      <c r="J7504">
        <f>IF(F7504&lt;&gt;"", TEXT(F7504, "yyyy-mm"), "")</f>
        <v/>
      </c>
    </row>
    <row r="7505">
      <c r="A7505" t="inlineStr">
        <is>
          <t>RP0007504</t>
        </is>
      </c>
      <c r="B7505" t="inlineStr">
        <is>
          <t>LN201064</t>
        </is>
      </c>
      <c r="C7505" t="n">
        <v>1</v>
      </c>
      <c r="D7505" s="8" t="n">
        <v>46033</v>
      </c>
      <c r="E7505" s="9" t="n">
        <v>14028.89</v>
      </c>
      <c r="F7505" s="8" t="n">
        <v>46037</v>
      </c>
      <c r="G7505" s="9" t="n">
        <v>14028.89</v>
      </c>
      <c r="H7505" t="inlineStr">
        <is>
          <t>PAID_ON_TIME</t>
        </is>
      </c>
      <c r="I7505">
        <f>IF(H7505="UNPAID", AsOfDate-D7505, 0)</f>
        <v/>
      </c>
      <c r="J7505">
        <f>IF(F7505&lt;&gt;"", TEXT(F7505, "yyyy-mm"), "")</f>
        <v/>
      </c>
    </row>
    <row r="7506">
      <c r="A7506" t="inlineStr">
        <is>
          <t>RP0007505</t>
        </is>
      </c>
      <c r="B7506" t="inlineStr">
        <is>
          <t>LN201064</t>
        </is>
      </c>
      <c r="C7506" t="n">
        <v>2</v>
      </c>
      <c r="D7506" s="8" t="n">
        <v>46064</v>
      </c>
      <c r="E7506" s="9" t="n">
        <v>14028.89</v>
      </c>
      <c r="F7506" s="8" t="n">
        <v>46064</v>
      </c>
      <c r="G7506" s="9" t="n">
        <v>14028.89</v>
      </c>
      <c r="H7506" t="inlineStr">
        <is>
          <t>PAID_ON_TIME</t>
        </is>
      </c>
      <c r="I7506">
        <f>IF(H7506="UNPAID", AsOfDate-D7506, 0)</f>
        <v/>
      </c>
      <c r="J7506">
        <f>IF(F7506&lt;&gt;"", TEXT(F7506, "yyyy-mm"), "")</f>
        <v/>
      </c>
    </row>
    <row r="7507">
      <c r="A7507" t="inlineStr">
        <is>
          <t>RP0007506</t>
        </is>
      </c>
      <c r="B7507" t="inlineStr">
        <is>
          <t>LN201064</t>
        </is>
      </c>
      <c r="C7507" t="n">
        <v>3</v>
      </c>
      <c r="D7507" s="8" t="n">
        <v>46092</v>
      </c>
      <c r="E7507" s="9" t="n">
        <v>14028.89</v>
      </c>
      <c r="F7507" s="8" t="n">
        <v>46092</v>
      </c>
      <c r="G7507" s="9" t="n">
        <v>14028.89</v>
      </c>
      <c r="H7507" t="inlineStr">
        <is>
          <t>PAID_ON_TIME</t>
        </is>
      </c>
      <c r="I7507">
        <f>IF(H7507="UNPAID", AsOfDate-D7507, 0)</f>
        <v/>
      </c>
      <c r="J7507">
        <f>IF(F7507&lt;&gt;"", TEXT(F7507, "yyyy-mm"), "")</f>
        <v/>
      </c>
    </row>
    <row r="7508">
      <c r="A7508" t="inlineStr">
        <is>
          <t>RP0007507</t>
        </is>
      </c>
      <c r="B7508" t="inlineStr">
        <is>
          <t>LN201064</t>
        </is>
      </c>
      <c r="C7508" t="n">
        <v>4</v>
      </c>
      <c r="D7508" s="8" t="n">
        <v>46123</v>
      </c>
      <c r="E7508" s="9" t="n">
        <v>14028.89</v>
      </c>
      <c r="F7508" s="8" t="n">
        <v>46123</v>
      </c>
      <c r="G7508" s="9" t="n">
        <v>14028.89</v>
      </c>
      <c r="H7508" t="inlineStr">
        <is>
          <t>PAID_ON_TIME</t>
        </is>
      </c>
      <c r="I7508">
        <f>IF(H7508="UNPAID", AsOfDate-D7508, 0)</f>
        <v/>
      </c>
      <c r="J7508">
        <f>IF(F7508&lt;&gt;"", TEXT(F7508, "yyyy-mm"), "")</f>
        <v/>
      </c>
    </row>
    <row r="7509">
      <c r="A7509" t="inlineStr">
        <is>
          <t>RP0007508</t>
        </is>
      </c>
      <c r="B7509" t="inlineStr">
        <is>
          <t>LN201064</t>
        </is>
      </c>
      <c r="C7509" t="n">
        <v>5</v>
      </c>
      <c r="D7509" s="8" t="n">
        <v>46153</v>
      </c>
      <c r="E7509" s="9" t="n">
        <v>14028.89</v>
      </c>
      <c r="F7509" s="8" t="n">
        <v>46157</v>
      </c>
      <c r="G7509" s="9" t="n">
        <v>14028.89</v>
      </c>
      <c r="H7509" t="inlineStr">
        <is>
          <t>PAID_ON_TIME</t>
        </is>
      </c>
      <c r="I7509">
        <f>IF(H7509="UNPAID", AsOfDate-D7509, 0)</f>
        <v/>
      </c>
      <c r="J7509">
        <f>IF(F7509&lt;&gt;"", TEXT(F7509, "yyyy-mm"), "")</f>
        <v/>
      </c>
    </row>
    <row r="7510">
      <c r="A7510" t="inlineStr">
        <is>
          <t>RP0007509</t>
        </is>
      </c>
      <c r="B7510" t="inlineStr">
        <is>
          <t>LN201064</t>
        </is>
      </c>
      <c r="C7510" t="n">
        <v>6</v>
      </c>
      <c r="D7510" s="8" t="n">
        <v>46184</v>
      </c>
      <c r="E7510" s="9" t="n">
        <v>14028.89</v>
      </c>
      <c r="F7510" s="8" t="n">
        <v>46182</v>
      </c>
      <c r="G7510" s="9" t="n">
        <v>14028.89</v>
      </c>
      <c r="H7510" t="inlineStr">
        <is>
          <t>PAID_ON_TIME</t>
        </is>
      </c>
      <c r="I7510">
        <f>IF(H7510="UNPAID", AsOfDate-D7510, 0)</f>
        <v/>
      </c>
      <c r="J7510">
        <f>IF(F7510&lt;&gt;"", TEXT(F7510, "yyyy-mm"), "")</f>
        <v/>
      </c>
    </row>
    <row r="7511">
      <c r="A7511" t="inlineStr">
        <is>
          <t>RP0007510</t>
        </is>
      </c>
      <c r="B7511" t="inlineStr">
        <is>
          <t>LN201064</t>
        </is>
      </c>
      <c r="C7511" t="n">
        <v>7</v>
      </c>
      <c r="D7511" s="8" t="n">
        <v>46214</v>
      </c>
      <c r="E7511" s="9" t="n">
        <v>14028.89</v>
      </c>
      <c r="F7511" s="8" t="n">
        <v>46217</v>
      </c>
      <c r="G7511" s="9" t="n">
        <v>14028.89</v>
      </c>
      <c r="H7511" t="inlineStr">
        <is>
          <t>PAID_ON_TIME</t>
        </is>
      </c>
      <c r="I7511">
        <f>IF(H7511="UNPAID", AsOfDate-D7511, 0)</f>
        <v/>
      </c>
      <c r="J7511">
        <f>IF(F7511&lt;&gt;"", TEXT(F7511, "yyyy-mm"), "")</f>
        <v/>
      </c>
    </row>
    <row r="7512">
      <c r="A7512" t="inlineStr">
        <is>
          <t>RP0007511</t>
        </is>
      </c>
      <c r="B7512" t="inlineStr">
        <is>
          <t>LN201064</t>
        </is>
      </c>
      <c r="C7512" t="n">
        <v>8</v>
      </c>
      <c r="D7512" s="8" t="n">
        <v>46245</v>
      </c>
      <c r="E7512" s="9" t="n">
        <v>14028.89</v>
      </c>
      <c r="F7512" s="8" t="n">
        <v>46246</v>
      </c>
      <c r="G7512" s="9" t="n">
        <v>14028.89</v>
      </c>
      <c r="H7512" t="inlineStr">
        <is>
          <t>PAID_ON_TIME</t>
        </is>
      </c>
      <c r="I7512">
        <f>IF(H7512="UNPAID", AsOfDate-D7512, 0)</f>
        <v/>
      </c>
      <c r="J7512">
        <f>IF(F7512&lt;&gt;"", TEXT(F7512, "yyyy-mm"), "")</f>
        <v/>
      </c>
    </row>
    <row r="7513">
      <c r="A7513" t="inlineStr">
        <is>
          <t>RP0007512</t>
        </is>
      </c>
      <c r="B7513" t="inlineStr">
        <is>
          <t>LN201064</t>
        </is>
      </c>
      <c r="C7513" t="n">
        <v>9</v>
      </c>
      <c r="D7513" s="8" t="n">
        <v>46276</v>
      </c>
      <c r="E7513" s="9" t="n">
        <v>14028.89</v>
      </c>
      <c r="F7513" s="8" t="n"/>
      <c r="G7513" s="9" t="n">
        <v>0</v>
      </c>
      <c r="H7513" t="inlineStr">
        <is>
          <t>NOT_DUE</t>
        </is>
      </c>
      <c r="I7513">
        <f>IF(H7513="UNPAID", AsOfDate-D7513, 0)</f>
        <v/>
      </c>
      <c r="J7513">
        <f>IF(F7513&lt;&gt;"", TEXT(F7513, "yyyy-mm"), "")</f>
        <v/>
      </c>
    </row>
    <row r="7514">
      <c r="A7514" t="inlineStr">
        <is>
          <t>RP0007513</t>
        </is>
      </c>
      <c r="B7514" t="inlineStr">
        <is>
          <t>LN201065</t>
        </is>
      </c>
      <c r="C7514" t="n">
        <v>1</v>
      </c>
      <c r="D7514" s="8" t="n">
        <v>45896</v>
      </c>
      <c r="E7514" s="9" t="n">
        <v>39694.17</v>
      </c>
      <c r="F7514" s="8" t="n">
        <v>45899</v>
      </c>
      <c r="G7514" s="9" t="n">
        <v>39694.17</v>
      </c>
      <c r="H7514" t="inlineStr">
        <is>
          <t>PAID_ON_TIME</t>
        </is>
      </c>
      <c r="I7514">
        <f>IF(H7514="UNPAID", AsOfDate-D7514, 0)</f>
        <v/>
      </c>
      <c r="J7514">
        <f>IF(F7514&lt;&gt;"", TEXT(F7514, "yyyy-mm"), "")</f>
        <v/>
      </c>
    </row>
    <row r="7515">
      <c r="A7515" t="inlineStr">
        <is>
          <t>RP0007514</t>
        </is>
      </c>
      <c r="B7515" t="inlineStr">
        <is>
          <t>LN201065</t>
        </is>
      </c>
      <c r="C7515" t="n">
        <v>2</v>
      </c>
      <c r="D7515" s="8" t="n">
        <v>45927</v>
      </c>
      <c r="E7515" s="9" t="n">
        <v>39694.17</v>
      </c>
      <c r="F7515" s="8" t="n">
        <v>46010</v>
      </c>
      <c r="G7515" s="9" t="n">
        <v>39694.17</v>
      </c>
      <c r="H7515" t="inlineStr">
        <is>
          <t>PAID_LATE</t>
        </is>
      </c>
      <c r="I7515">
        <f>IF(H7515="UNPAID", AsOfDate-D7515, 0)</f>
        <v/>
      </c>
      <c r="J7515">
        <f>IF(F7515&lt;&gt;"", TEXT(F7515, "yyyy-mm"), "")</f>
        <v/>
      </c>
    </row>
    <row r="7516">
      <c r="A7516" t="inlineStr">
        <is>
          <t>RP0007515</t>
        </is>
      </c>
      <c r="B7516" t="inlineStr">
        <is>
          <t>LN201065</t>
        </is>
      </c>
      <c r="C7516" t="n">
        <v>3</v>
      </c>
      <c r="D7516" s="8" t="n">
        <v>45957</v>
      </c>
      <c r="E7516" s="9" t="n">
        <v>39694.17</v>
      </c>
      <c r="F7516" s="8" t="n">
        <v>45954</v>
      </c>
      <c r="G7516" s="9" t="n">
        <v>39694.17</v>
      </c>
      <c r="H7516" t="inlineStr">
        <is>
          <t>PAID_ON_TIME</t>
        </is>
      </c>
      <c r="I7516">
        <f>IF(H7516="UNPAID", AsOfDate-D7516, 0)</f>
        <v/>
      </c>
      <c r="J7516">
        <f>IF(F7516&lt;&gt;"", TEXT(F7516, "yyyy-mm"), "")</f>
        <v/>
      </c>
    </row>
    <row r="7517">
      <c r="A7517" t="inlineStr">
        <is>
          <t>RP0007516</t>
        </is>
      </c>
      <c r="B7517" t="inlineStr">
        <is>
          <t>LN201066</t>
        </is>
      </c>
      <c r="C7517" t="n">
        <v>1</v>
      </c>
      <c r="D7517" s="8" t="n">
        <v>46053</v>
      </c>
      <c r="E7517" s="9" t="n">
        <v>45995.17</v>
      </c>
      <c r="F7517" s="8" t="n">
        <v>46051</v>
      </c>
      <c r="G7517" s="9" t="n">
        <v>45995.17</v>
      </c>
      <c r="H7517" t="inlineStr">
        <is>
          <t>PAID_ON_TIME</t>
        </is>
      </c>
      <c r="I7517">
        <f>IF(H7517="UNPAID", AsOfDate-D7517, 0)</f>
        <v/>
      </c>
      <c r="J7517">
        <f>IF(F7517&lt;&gt;"", TEXT(F7517, "yyyy-mm"), "")</f>
        <v/>
      </c>
    </row>
    <row r="7518">
      <c r="A7518" t="inlineStr">
        <is>
          <t>RP0007517</t>
        </is>
      </c>
      <c r="B7518" t="inlineStr">
        <is>
          <t>LN201066</t>
        </is>
      </c>
      <c r="C7518" t="n">
        <v>2</v>
      </c>
      <c r="D7518" s="8" t="n">
        <v>46081</v>
      </c>
      <c r="E7518" s="9" t="n">
        <v>45995.17</v>
      </c>
      <c r="F7518" s="8" t="n">
        <v>46082</v>
      </c>
      <c r="G7518" s="9" t="n">
        <v>45995.17</v>
      </c>
      <c r="H7518" t="inlineStr">
        <is>
          <t>PAID_ON_TIME</t>
        </is>
      </c>
      <c r="I7518">
        <f>IF(H7518="UNPAID", AsOfDate-D7518, 0)</f>
        <v/>
      </c>
      <c r="J7518">
        <f>IF(F7518&lt;&gt;"", TEXT(F7518, "yyyy-mm"), "")</f>
        <v/>
      </c>
    </row>
    <row r="7519">
      <c r="A7519" t="inlineStr">
        <is>
          <t>RP0007518</t>
        </is>
      </c>
      <c r="B7519" t="inlineStr">
        <is>
          <t>LN201066</t>
        </is>
      </c>
      <c r="C7519" t="n">
        <v>3</v>
      </c>
      <c r="D7519" s="8" t="n">
        <v>46112</v>
      </c>
      <c r="E7519" s="9" t="n">
        <v>45995.17</v>
      </c>
      <c r="F7519" s="8" t="n">
        <v>46144</v>
      </c>
      <c r="G7519" s="9" t="n">
        <v>45995.17</v>
      </c>
      <c r="H7519" t="inlineStr">
        <is>
          <t>PAID_LATE</t>
        </is>
      </c>
      <c r="I7519">
        <f>IF(H7519="UNPAID", AsOfDate-D7519, 0)</f>
        <v/>
      </c>
      <c r="J7519">
        <f>IF(F7519&lt;&gt;"", TEXT(F7519, "yyyy-mm"), "")</f>
        <v/>
      </c>
    </row>
    <row r="7520">
      <c r="A7520" t="inlineStr">
        <is>
          <t>RP0007519</t>
        </is>
      </c>
      <c r="B7520" t="inlineStr">
        <is>
          <t>LN201066</t>
        </is>
      </c>
      <c r="C7520" t="n">
        <v>4</v>
      </c>
      <c r="D7520" s="8" t="n">
        <v>46142</v>
      </c>
      <c r="E7520" s="9" t="n">
        <v>45995.17</v>
      </c>
      <c r="F7520" s="8" t="n">
        <v>46140</v>
      </c>
      <c r="G7520" s="9" t="n">
        <v>45995.17</v>
      </c>
      <c r="H7520" t="inlineStr">
        <is>
          <t>PAID_ON_TIME</t>
        </is>
      </c>
      <c r="I7520">
        <f>IF(H7520="UNPAID", AsOfDate-D7520, 0)</f>
        <v/>
      </c>
      <c r="J7520">
        <f>IF(F7520&lt;&gt;"", TEXT(F7520, "yyyy-mm"), "")</f>
        <v/>
      </c>
    </row>
    <row r="7521">
      <c r="A7521" t="inlineStr">
        <is>
          <t>RP0007520</t>
        </is>
      </c>
      <c r="B7521" t="inlineStr">
        <is>
          <t>LN201066</t>
        </is>
      </c>
      <c r="C7521" t="n">
        <v>5</v>
      </c>
      <c r="D7521" s="8" t="n">
        <v>46173</v>
      </c>
      <c r="E7521" s="9" t="n">
        <v>45995.17</v>
      </c>
      <c r="F7521" s="8" t="n">
        <v>46177</v>
      </c>
      <c r="G7521" s="9" t="n">
        <v>45995.17</v>
      </c>
      <c r="H7521" t="inlineStr">
        <is>
          <t>PAID_ON_TIME</t>
        </is>
      </c>
      <c r="I7521">
        <f>IF(H7521="UNPAID", AsOfDate-D7521, 0)</f>
        <v/>
      </c>
      <c r="J7521">
        <f>IF(F7521&lt;&gt;"", TEXT(F7521, "yyyy-mm"), "")</f>
        <v/>
      </c>
    </row>
    <row r="7522">
      <c r="A7522" t="inlineStr">
        <is>
          <t>RP0007521</t>
        </is>
      </c>
      <c r="B7522" t="inlineStr">
        <is>
          <t>LN201066</t>
        </is>
      </c>
      <c r="C7522" t="n">
        <v>6</v>
      </c>
      <c r="D7522" s="8" t="n">
        <v>46203</v>
      </c>
      <c r="E7522" s="9" t="n">
        <v>45995.17</v>
      </c>
      <c r="F7522" s="8" t="n">
        <v>46206</v>
      </c>
      <c r="G7522" s="9" t="n">
        <v>45995.17</v>
      </c>
      <c r="H7522" t="inlineStr">
        <is>
          <t>PAID_ON_TIME</t>
        </is>
      </c>
      <c r="I7522">
        <f>IF(H7522="UNPAID", AsOfDate-D7522, 0)</f>
        <v/>
      </c>
      <c r="J7522">
        <f>IF(F7522&lt;&gt;"", TEXT(F7522, "yyyy-mm"), "")</f>
        <v/>
      </c>
    </row>
    <row r="7523">
      <c r="A7523" t="inlineStr">
        <is>
          <t>RP0007522</t>
        </is>
      </c>
      <c r="B7523" t="inlineStr">
        <is>
          <t>LN201067</t>
        </is>
      </c>
      <c r="C7523" t="n">
        <v>1</v>
      </c>
      <c r="D7523" s="8" t="n">
        <v>45733</v>
      </c>
      <c r="E7523" s="9" t="n">
        <v>3636</v>
      </c>
      <c r="F7523" s="8" t="n">
        <v>45732</v>
      </c>
      <c r="G7523" s="9" t="n">
        <v>3636</v>
      </c>
      <c r="H7523" t="inlineStr">
        <is>
          <t>PAID_ON_TIME</t>
        </is>
      </c>
      <c r="I7523">
        <f>IF(H7523="UNPAID", AsOfDate-D7523, 0)</f>
        <v/>
      </c>
      <c r="J7523">
        <f>IF(F7523&lt;&gt;"", TEXT(F7523, "yyyy-mm"), "")</f>
        <v/>
      </c>
    </row>
    <row r="7524">
      <c r="A7524" t="inlineStr">
        <is>
          <t>RP0007523</t>
        </is>
      </c>
      <c r="B7524" t="inlineStr">
        <is>
          <t>LN201067</t>
        </is>
      </c>
      <c r="C7524" t="n">
        <v>2</v>
      </c>
      <c r="D7524" s="8" t="n">
        <v>45764</v>
      </c>
      <c r="E7524" s="9" t="n">
        <v>3636</v>
      </c>
      <c r="F7524" s="8" t="n">
        <v>45763</v>
      </c>
      <c r="G7524" s="9" t="n">
        <v>3636</v>
      </c>
      <c r="H7524" t="inlineStr">
        <is>
          <t>PAID_ON_TIME</t>
        </is>
      </c>
      <c r="I7524">
        <f>IF(H7524="UNPAID", AsOfDate-D7524, 0)</f>
        <v/>
      </c>
      <c r="J7524">
        <f>IF(F7524&lt;&gt;"", TEXT(F7524, "yyyy-mm"), "")</f>
        <v/>
      </c>
    </row>
    <row r="7525">
      <c r="A7525" t="inlineStr">
        <is>
          <t>RP0007524</t>
        </is>
      </c>
      <c r="B7525" t="inlineStr">
        <is>
          <t>LN201067</t>
        </is>
      </c>
      <c r="C7525" t="n">
        <v>3</v>
      </c>
      <c r="D7525" s="8" t="n">
        <v>45794</v>
      </c>
      <c r="E7525" s="9" t="n">
        <v>3636</v>
      </c>
      <c r="F7525" s="8" t="n">
        <v>45793</v>
      </c>
      <c r="G7525" s="9" t="n">
        <v>3636</v>
      </c>
      <c r="H7525" t="inlineStr">
        <is>
          <t>PAID_ON_TIME</t>
        </is>
      </c>
      <c r="I7525">
        <f>IF(H7525="UNPAID", AsOfDate-D7525, 0)</f>
        <v/>
      </c>
      <c r="J7525">
        <f>IF(F7525&lt;&gt;"", TEXT(F7525, "yyyy-mm"), "")</f>
        <v/>
      </c>
    </row>
    <row r="7526">
      <c r="A7526" t="inlineStr">
        <is>
          <t>RP0007525</t>
        </is>
      </c>
      <c r="B7526" t="inlineStr">
        <is>
          <t>LN201067</t>
        </is>
      </c>
      <c r="C7526" t="n">
        <v>4</v>
      </c>
      <c r="D7526" s="8" t="n">
        <v>45825</v>
      </c>
      <c r="E7526" s="9" t="n">
        <v>3636</v>
      </c>
      <c r="F7526" s="8" t="n">
        <v>45824</v>
      </c>
      <c r="G7526" s="9" t="n">
        <v>3636</v>
      </c>
      <c r="H7526" t="inlineStr">
        <is>
          <t>PAID_ON_TIME</t>
        </is>
      </c>
      <c r="I7526">
        <f>IF(H7526="UNPAID", AsOfDate-D7526, 0)</f>
        <v/>
      </c>
      <c r="J7526">
        <f>IF(F7526&lt;&gt;"", TEXT(F7526, "yyyy-mm"), "")</f>
        <v/>
      </c>
    </row>
    <row r="7527">
      <c r="A7527" t="inlineStr">
        <is>
          <t>RP0007526</t>
        </is>
      </c>
      <c r="B7527" t="inlineStr">
        <is>
          <t>LN201067</t>
        </is>
      </c>
      <c r="C7527" t="n">
        <v>5</v>
      </c>
      <c r="D7527" s="8" t="n">
        <v>45855</v>
      </c>
      <c r="E7527" s="9" t="n">
        <v>3636</v>
      </c>
      <c r="F7527" s="8" t="n">
        <v>45855</v>
      </c>
      <c r="G7527" s="9" t="n">
        <v>3636</v>
      </c>
      <c r="H7527" t="inlineStr">
        <is>
          <t>PAID_ON_TIME</t>
        </is>
      </c>
      <c r="I7527">
        <f>IF(H7527="UNPAID", AsOfDate-D7527, 0)</f>
        <v/>
      </c>
      <c r="J7527">
        <f>IF(F7527&lt;&gt;"", TEXT(F7527, "yyyy-mm"), "")</f>
        <v/>
      </c>
    </row>
    <row r="7528">
      <c r="A7528" t="inlineStr">
        <is>
          <t>RP0007527</t>
        </is>
      </c>
      <c r="B7528" t="inlineStr">
        <is>
          <t>LN201067</t>
        </is>
      </c>
      <c r="C7528" t="n">
        <v>6</v>
      </c>
      <c r="D7528" s="8" t="n">
        <v>45886</v>
      </c>
      <c r="E7528" s="9" t="n">
        <v>3636</v>
      </c>
      <c r="F7528" s="8" t="n">
        <v>45883</v>
      </c>
      <c r="G7528" s="9" t="n">
        <v>3636</v>
      </c>
      <c r="H7528" t="inlineStr">
        <is>
          <t>PAID_ON_TIME</t>
        </is>
      </c>
      <c r="I7528">
        <f>IF(H7528="UNPAID", AsOfDate-D7528, 0)</f>
        <v/>
      </c>
      <c r="J7528">
        <f>IF(F7528&lt;&gt;"", TEXT(F7528, "yyyy-mm"), "")</f>
        <v/>
      </c>
    </row>
    <row r="7529">
      <c r="A7529" t="inlineStr">
        <is>
          <t>RP0007528</t>
        </is>
      </c>
      <c r="B7529" t="inlineStr">
        <is>
          <t>LN201067</t>
        </is>
      </c>
      <c r="C7529" t="n">
        <v>7</v>
      </c>
      <c r="D7529" s="8" t="n">
        <v>45917</v>
      </c>
      <c r="E7529" s="9" t="n">
        <v>3636</v>
      </c>
      <c r="F7529" s="8" t="n">
        <v>45916</v>
      </c>
      <c r="G7529" s="9" t="n">
        <v>3636</v>
      </c>
      <c r="H7529" t="inlineStr">
        <is>
          <t>PAID_ON_TIME</t>
        </is>
      </c>
      <c r="I7529">
        <f>IF(H7529="UNPAID", AsOfDate-D7529, 0)</f>
        <v/>
      </c>
      <c r="J7529">
        <f>IF(F7529&lt;&gt;"", TEXT(F7529, "yyyy-mm"), "")</f>
        <v/>
      </c>
    </row>
    <row r="7530">
      <c r="A7530" t="inlineStr">
        <is>
          <t>RP0007529</t>
        </is>
      </c>
      <c r="B7530" t="inlineStr">
        <is>
          <t>LN201067</t>
        </is>
      </c>
      <c r="C7530" t="n">
        <v>8</v>
      </c>
      <c r="D7530" s="8" t="n">
        <v>45947</v>
      </c>
      <c r="E7530" s="9" t="n">
        <v>3636</v>
      </c>
      <c r="F7530" s="8" t="n">
        <v>45950</v>
      </c>
      <c r="G7530" s="9" t="n">
        <v>3636</v>
      </c>
      <c r="H7530" t="inlineStr">
        <is>
          <t>PAID_ON_TIME</t>
        </is>
      </c>
      <c r="I7530">
        <f>IF(H7530="UNPAID", AsOfDate-D7530, 0)</f>
        <v/>
      </c>
      <c r="J7530">
        <f>IF(F7530&lt;&gt;"", TEXT(F7530, "yyyy-mm"), "")</f>
        <v/>
      </c>
    </row>
    <row r="7531">
      <c r="A7531" t="inlineStr">
        <is>
          <t>RP0007530</t>
        </is>
      </c>
      <c r="B7531" t="inlineStr">
        <is>
          <t>LN201067</t>
        </is>
      </c>
      <c r="C7531" t="n">
        <v>9</v>
      </c>
      <c r="D7531" s="8" t="n">
        <v>45978</v>
      </c>
      <c r="E7531" s="9" t="n">
        <v>3636</v>
      </c>
      <c r="F7531" s="8" t="n">
        <v>45977</v>
      </c>
      <c r="G7531" s="9" t="n">
        <v>3636</v>
      </c>
      <c r="H7531" t="inlineStr">
        <is>
          <t>PAID_ON_TIME</t>
        </is>
      </c>
      <c r="I7531">
        <f>IF(H7531="UNPAID", AsOfDate-D7531, 0)</f>
        <v/>
      </c>
      <c r="J7531">
        <f>IF(F7531&lt;&gt;"", TEXT(F7531, "yyyy-mm"), "")</f>
        <v/>
      </c>
    </row>
    <row r="7532">
      <c r="A7532" t="inlineStr">
        <is>
          <t>RP0007531</t>
        </is>
      </c>
      <c r="B7532" t="inlineStr">
        <is>
          <t>LN201067</t>
        </is>
      </c>
      <c r="C7532" t="n">
        <v>10</v>
      </c>
      <c r="D7532" s="8" t="n">
        <v>46008</v>
      </c>
      <c r="E7532" s="9" t="n">
        <v>3636</v>
      </c>
      <c r="F7532" s="8" t="n">
        <v>46012</v>
      </c>
      <c r="G7532" s="9" t="n">
        <v>3636</v>
      </c>
      <c r="H7532" t="inlineStr">
        <is>
          <t>PAID_ON_TIME</t>
        </is>
      </c>
      <c r="I7532">
        <f>IF(H7532="UNPAID", AsOfDate-D7532, 0)</f>
        <v/>
      </c>
      <c r="J7532">
        <f>IF(F7532&lt;&gt;"", TEXT(F7532, "yyyy-mm"), "")</f>
        <v/>
      </c>
    </row>
    <row r="7533">
      <c r="A7533" t="inlineStr">
        <is>
          <t>RP0007532</t>
        </is>
      </c>
      <c r="B7533" t="inlineStr">
        <is>
          <t>LN201067</t>
        </is>
      </c>
      <c r="C7533" t="n">
        <v>11</v>
      </c>
      <c r="D7533" s="8" t="n">
        <v>46039</v>
      </c>
      <c r="E7533" s="9" t="n">
        <v>3636</v>
      </c>
      <c r="F7533" s="8" t="n">
        <v>46040</v>
      </c>
      <c r="G7533" s="9" t="n">
        <v>3636</v>
      </c>
      <c r="H7533" t="inlineStr">
        <is>
          <t>PAID_ON_TIME</t>
        </is>
      </c>
      <c r="I7533">
        <f>IF(H7533="UNPAID", AsOfDate-D7533, 0)</f>
        <v/>
      </c>
      <c r="J7533">
        <f>IF(F7533&lt;&gt;"", TEXT(F7533, "yyyy-mm"), "")</f>
        <v/>
      </c>
    </row>
    <row r="7534">
      <c r="A7534" t="inlineStr">
        <is>
          <t>RP0007533</t>
        </is>
      </c>
      <c r="B7534" t="inlineStr">
        <is>
          <t>LN201067</t>
        </is>
      </c>
      <c r="C7534" t="n">
        <v>12</v>
      </c>
      <c r="D7534" s="8" t="n">
        <v>46070</v>
      </c>
      <c r="E7534" s="9" t="n">
        <v>3636</v>
      </c>
      <c r="F7534" s="8" t="n">
        <v>46068</v>
      </c>
      <c r="G7534" s="9" t="n">
        <v>3636</v>
      </c>
      <c r="H7534" t="inlineStr">
        <is>
          <t>PAID_ON_TIME</t>
        </is>
      </c>
      <c r="I7534">
        <f>IF(H7534="UNPAID", AsOfDate-D7534, 0)</f>
        <v/>
      </c>
      <c r="J7534">
        <f>IF(F7534&lt;&gt;"", TEXT(F7534, "yyyy-mm"), "")</f>
        <v/>
      </c>
    </row>
    <row r="7535">
      <c r="A7535" t="inlineStr">
        <is>
          <t>RP0007534</t>
        </is>
      </c>
      <c r="B7535" t="inlineStr">
        <is>
          <t>LN201068</t>
        </is>
      </c>
      <c r="C7535" t="n">
        <v>1</v>
      </c>
      <c r="D7535" s="8" t="n">
        <v>46005</v>
      </c>
      <c r="E7535" s="9" t="n">
        <v>16187.58</v>
      </c>
      <c r="F7535" s="8" t="n">
        <v>46005</v>
      </c>
      <c r="G7535" s="9" t="n">
        <v>16187.58</v>
      </c>
      <c r="H7535" t="inlineStr">
        <is>
          <t>PAID_ON_TIME</t>
        </is>
      </c>
      <c r="I7535">
        <f>IF(H7535="UNPAID", AsOfDate-D7535, 0)</f>
        <v/>
      </c>
      <c r="J7535">
        <f>IF(F7535&lt;&gt;"", TEXT(F7535, "yyyy-mm"), "")</f>
        <v/>
      </c>
    </row>
    <row r="7536">
      <c r="A7536" t="inlineStr">
        <is>
          <t>RP0007535</t>
        </is>
      </c>
      <c r="B7536" t="inlineStr">
        <is>
          <t>LN201068</t>
        </is>
      </c>
      <c r="C7536" t="n">
        <v>2</v>
      </c>
      <c r="D7536" s="8" t="n">
        <v>46036</v>
      </c>
      <c r="E7536" s="9" t="n">
        <v>16187.58</v>
      </c>
      <c r="F7536" s="8" t="n">
        <v>46037</v>
      </c>
      <c r="G7536" s="9" t="n">
        <v>16187.58</v>
      </c>
      <c r="H7536" t="inlineStr">
        <is>
          <t>PAID_ON_TIME</t>
        </is>
      </c>
      <c r="I7536">
        <f>IF(H7536="UNPAID", AsOfDate-D7536, 0)</f>
        <v/>
      </c>
      <c r="J7536">
        <f>IF(F7536&lt;&gt;"", TEXT(F7536, "yyyy-mm"), "")</f>
        <v/>
      </c>
    </row>
    <row r="7537">
      <c r="A7537" t="inlineStr">
        <is>
          <t>RP0007536</t>
        </is>
      </c>
      <c r="B7537" t="inlineStr">
        <is>
          <t>LN201068</t>
        </is>
      </c>
      <c r="C7537" t="n">
        <v>3</v>
      </c>
      <c r="D7537" s="8" t="n">
        <v>46067</v>
      </c>
      <c r="E7537" s="9" t="n">
        <v>16187.58</v>
      </c>
      <c r="F7537" s="8" t="n">
        <v>46065</v>
      </c>
      <c r="G7537" s="9" t="n">
        <v>16187.58</v>
      </c>
      <c r="H7537" t="inlineStr">
        <is>
          <t>PAID_ON_TIME</t>
        </is>
      </c>
      <c r="I7537">
        <f>IF(H7537="UNPAID", AsOfDate-D7537, 0)</f>
        <v/>
      </c>
      <c r="J7537">
        <f>IF(F7537&lt;&gt;"", TEXT(F7537, "yyyy-mm"), "")</f>
        <v/>
      </c>
    </row>
    <row r="7538">
      <c r="A7538" t="inlineStr">
        <is>
          <t>RP0007537</t>
        </is>
      </c>
      <c r="B7538" t="inlineStr">
        <is>
          <t>LN201069</t>
        </is>
      </c>
      <c r="C7538" t="n">
        <v>1</v>
      </c>
      <c r="D7538" s="8" t="n">
        <v>46193</v>
      </c>
      <c r="E7538" s="9" t="n">
        <v>5034.75</v>
      </c>
      <c r="F7538" s="8" t="n">
        <v>46190</v>
      </c>
      <c r="G7538" s="9" t="n">
        <v>5034.75</v>
      </c>
      <c r="H7538" t="inlineStr">
        <is>
          <t>PAID_ON_TIME</t>
        </is>
      </c>
      <c r="I7538">
        <f>IF(H7538="UNPAID", AsOfDate-D7538, 0)</f>
        <v/>
      </c>
      <c r="J7538">
        <f>IF(F7538&lt;&gt;"", TEXT(F7538, "yyyy-mm"), "")</f>
        <v/>
      </c>
    </row>
    <row r="7539">
      <c r="A7539" t="inlineStr">
        <is>
          <t>RP0007538</t>
        </is>
      </c>
      <c r="B7539" t="inlineStr">
        <is>
          <t>LN201069</t>
        </is>
      </c>
      <c r="C7539" t="n">
        <v>2</v>
      </c>
      <c r="D7539" s="8" t="n">
        <v>46223</v>
      </c>
      <c r="E7539" s="9" t="n">
        <v>5034.75</v>
      </c>
      <c r="F7539" s="8" t="n">
        <v>46222</v>
      </c>
      <c r="G7539" s="9" t="n">
        <v>5034.75</v>
      </c>
      <c r="H7539" t="inlineStr">
        <is>
          <t>PAID_ON_TIME</t>
        </is>
      </c>
      <c r="I7539">
        <f>IF(H7539="UNPAID", AsOfDate-D7539, 0)</f>
        <v/>
      </c>
      <c r="J7539">
        <f>IF(F7539&lt;&gt;"", TEXT(F7539, "yyyy-mm"), "")</f>
        <v/>
      </c>
    </row>
    <row r="7540">
      <c r="A7540" t="inlineStr">
        <is>
          <t>RP0007539</t>
        </is>
      </c>
      <c r="B7540" t="inlineStr">
        <is>
          <t>LN201069</t>
        </is>
      </c>
      <c r="C7540" t="n">
        <v>3</v>
      </c>
      <c r="D7540" s="8" t="n">
        <v>46254</v>
      </c>
      <c r="E7540" s="9" t="n">
        <v>5034.75</v>
      </c>
      <c r="F7540" s="8" t="n">
        <v>46254</v>
      </c>
      <c r="G7540" s="9" t="n">
        <v>5034.75</v>
      </c>
      <c r="H7540" t="inlineStr">
        <is>
          <t>PAID_ON_TIME</t>
        </is>
      </c>
      <c r="I7540">
        <f>IF(H7540="UNPAID", AsOfDate-D7540, 0)</f>
        <v/>
      </c>
      <c r="J7540">
        <f>IF(F7540&lt;&gt;"", TEXT(F7540, "yyyy-mm"), "")</f>
        <v/>
      </c>
    </row>
    <row r="7541">
      <c r="A7541" t="inlineStr">
        <is>
          <t>RP0007540</t>
        </is>
      </c>
      <c r="B7541" t="inlineStr">
        <is>
          <t>LN201069</t>
        </is>
      </c>
      <c r="C7541" t="n">
        <v>4</v>
      </c>
      <c r="D7541" s="8" t="n">
        <v>46285</v>
      </c>
      <c r="E7541" s="9" t="n">
        <v>5034.75</v>
      </c>
      <c r="F7541" s="8" t="n"/>
      <c r="G7541" s="9" t="n">
        <v>0</v>
      </c>
      <c r="H7541" t="inlineStr">
        <is>
          <t>NOT_DUE</t>
        </is>
      </c>
      <c r="I7541">
        <f>IF(H7541="UNPAID", AsOfDate-D7541, 0)</f>
        <v/>
      </c>
      <c r="J7541">
        <f>IF(F7541&lt;&gt;"", TEXT(F7541, "yyyy-mm"), "")</f>
        <v/>
      </c>
    </row>
    <row r="7542">
      <c r="A7542" t="inlineStr">
        <is>
          <t>RP0007541</t>
        </is>
      </c>
      <c r="B7542" t="inlineStr">
        <is>
          <t>LN201069</t>
        </is>
      </c>
      <c r="C7542" t="n">
        <v>5</v>
      </c>
      <c r="D7542" s="8" t="n">
        <v>46315</v>
      </c>
      <c r="E7542" s="9" t="n">
        <v>5034.75</v>
      </c>
      <c r="F7542" s="8" t="n"/>
      <c r="G7542" s="9" t="n">
        <v>0</v>
      </c>
      <c r="H7542" t="inlineStr">
        <is>
          <t>NOT_DUE</t>
        </is>
      </c>
      <c r="I7542">
        <f>IF(H7542="UNPAID", AsOfDate-D7542, 0)</f>
        <v/>
      </c>
      <c r="J7542">
        <f>IF(F7542&lt;&gt;"", TEXT(F7542, "yyyy-mm"), "")</f>
        <v/>
      </c>
    </row>
    <row r="7543">
      <c r="A7543" t="inlineStr">
        <is>
          <t>RP0007542</t>
        </is>
      </c>
      <c r="B7543" t="inlineStr">
        <is>
          <t>LN201069</t>
        </is>
      </c>
      <c r="C7543" t="n">
        <v>6</v>
      </c>
      <c r="D7543" s="8" t="n">
        <v>46346</v>
      </c>
      <c r="E7543" s="9" t="n">
        <v>5034.75</v>
      </c>
      <c r="F7543" s="8" t="n"/>
      <c r="G7543" s="9" t="n">
        <v>0</v>
      </c>
      <c r="H7543" t="inlineStr">
        <is>
          <t>NOT_DUE</t>
        </is>
      </c>
      <c r="I7543">
        <f>IF(H7543="UNPAID", AsOfDate-D7543, 0)</f>
        <v/>
      </c>
      <c r="J7543">
        <f>IF(F7543&lt;&gt;"", TEXT(F7543, "yyyy-mm"), "")</f>
        <v/>
      </c>
    </row>
    <row r="7544">
      <c r="A7544" t="inlineStr">
        <is>
          <t>RP0007543</t>
        </is>
      </c>
      <c r="B7544" t="inlineStr">
        <is>
          <t>LN201069</t>
        </is>
      </c>
      <c r="C7544" t="n">
        <v>7</v>
      </c>
      <c r="D7544" s="8" t="n">
        <v>46376</v>
      </c>
      <c r="E7544" s="9" t="n">
        <v>5034.75</v>
      </c>
      <c r="F7544" s="8" t="n"/>
      <c r="G7544" s="9" t="n">
        <v>0</v>
      </c>
      <c r="H7544" t="inlineStr">
        <is>
          <t>NOT_DUE</t>
        </is>
      </c>
      <c r="I7544">
        <f>IF(H7544="UNPAID", AsOfDate-D7544, 0)</f>
        <v/>
      </c>
      <c r="J7544">
        <f>IF(F7544&lt;&gt;"", TEXT(F7544, "yyyy-mm"), "")</f>
        <v/>
      </c>
    </row>
    <row r="7545">
      <c r="A7545" t="inlineStr">
        <is>
          <t>RP0007544</t>
        </is>
      </c>
      <c r="B7545" t="inlineStr">
        <is>
          <t>LN201069</t>
        </is>
      </c>
      <c r="C7545" t="n">
        <v>8</v>
      </c>
      <c r="D7545" s="8" t="n">
        <v>46407</v>
      </c>
      <c r="E7545" s="9" t="n">
        <v>5034.75</v>
      </c>
      <c r="F7545" s="8" t="n"/>
      <c r="G7545" s="9" t="n">
        <v>0</v>
      </c>
      <c r="H7545" t="inlineStr">
        <is>
          <t>NOT_DUE</t>
        </is>
      </c>
      <c r="I7545">
        <f>IF(H7545="UNPAID", AsOfDate-D7545, 0)</f>
        <v/>
      </c>
      <c r="J7545">
        <f>IF(F7545&lt;&gt;"", TEXT(F7545, "yyyy-mm"), "")</f>
        <v/>
      </c>
    </row>
    <row r="7546">
      <c r="A7546" t="inlineStr">
        <is>
          <t>RP0007545</t>
        </is>
      </c>
      <c r="B7546" t="inlineStr">
        <is>
          <t>LN201069</t>
        </is>
      </c>
      <c r="C7546" t="n">
        <v>9</v>
      </c>
      <c r="D7546" s="8" t="n">
        <v>46438</v>
      </c>
      <c r="E7546" s="9" t="n">
        <v>5034.75</v>
      </c>
      <c r="F7546" s="8" t="n"/>
      <c r="G7546" s="9" t="n">
        <v>0</v>
      </c>
      <c r="H7546" t="inlineStr">
        <is>
          <t>NOT_DUE</t>
        </is>
      </c>
      <c r="I7546">
        <f>IF(H7546="UNPAID", AsOfDate-D7546, 0)</f>
        <v/>
      </c>
      <c r="J7546">
        <f>IF(F7546&lt;&gt;"", TEXT(F7546, "yyyy-mm"), "")</f>
        <v/>
      </c>
    </row>
    <row r="7547">
      <c r="A7547" t="inlineStr">
        <is>
          <t>RP0007546</t>
        </is>
      </c>
      <c r="B7547" t="inlineStr">
        <is>
          <t>LN201069</t>
        </is>
      </c>
      <c r="C7547" t="n">
        <v>10</v>
      </c>
      <c r="D7547" s="8" t="n">
        <v>46466</v>
      </c>
      <c r="E7547" s="9" t="n">
        <v>5034.75</v>
      </c>
      <c r="F7547" s="8" t="n"/>
      <c r="G7547" s="9" t="n">
        <v>0</v>
      </c>
      <c r="H7547" t="inlineStr">
        <is>
          <t>NOT_DUE</t>
        </is>
      </c>
      <c r="I7547">
        <f>IF(H7547="UNPAID", AsOfDate-D7547, 0)</f>
        <v/>
      </c>
      <c r="J7547">
        <f>IF(F7547&lt;&gt;"", TEXT(F7547, "yyyy-mm"), "")</f>
        <v/>
      </c>
    </row>
    <row r="7548">
      <c r="A7548" t="inlineStr">
        <is>
          <t>RP0007547</t>
        </is>
      </c>
      <c r="B7548" t="inlineStr">
        <is>
          <t>LN201069</t>
        </is>
      </c>
      <c r="C7548" t="n">
        <v>11</v>
      </c>
      <c r="D7548" s="8" t="n">
        <v>46497</v>
      </c>
      <c r="E7548" s="9" t="n">
        <v>5034.75</v>
      </c>
      <c r="F7548" s="8" t="n"/>
      <c r="G7548" s="9" t="n">
        <v>0</v>
      </c>
      <c r="H7548" t="inlineStr">
        <is>
          <t>NOT_DUE</t>
        </is>
      </c>
      <c r="I7548">
        <f>IF(H7548="UNPAID", AsOfDate-D7548, 0)</f>
        <v/>
      </c>
      <c r="J7548">
        <f>IF(F7548&lt;&gt;"", TEXT(F7548, "yyyy-mm"), "")</f>
        <v/>
      </c>
    </row>
    <row r="7549">
      <c r="A7549" t="inlineStr">
        <is>
          <t>RP0007548</t>
        </is>
      </c>
      <c r="B7549" t="inlineStr">
        <is>
          <t>LN201069</t>
        </is>
      </c>
      <c r="C7549" t="n">
        <v>12</v>
      </c>
      <c r="D7549" s="8" t="n">
        <v>46527</v>
      </c>
      <c r="E7549" s="9" t="n">
        <v>5034.75</v>
      </c>
      <c r="F7549" s="8" t="n"/>
      <c r="G7549" s="9" t="n">
        <v>0</v>
      </c>
      <c r="H7549" t="inlineStr">
        <is>
          <t>NOT_DUE</t>
        </is>
      </c>
      <c r="I7549">
        <f>IF(H7549="UNPAID", AsOfDate-D7549, 0)</f>
        <v/>
      </c>
      <c r="J7549">
        <f>IF(F7549&lt;&gt;"", TEXT(F7549, "yyyy-mm"), "")</f>
        <v/>
      </c>
    </row>
    <row r="7550">
      <c r="A7550" t="inlineStr">
        <is>
          <t>RP0007549</t>
        </is>
      </c>
      <c r="B7550" t="inlineStr">
        <is>
          <t>LN201070</t>
        </is>
      </c>
      <c r="C7550" t="n">
        <v>1</v>
      </c>
      <c r="D7550" s="8" t="n">
        <v>46265</v>
      </c>
      <c r="E7550" s="9" t="n">
        <v>18364.5</v>
      </c>
      <c r="F7550" s="8" t="n"/>
      <c r="G7550" s="9" t="n">
        <v>0</v>
      </c>
      <c r="H7550" t="inlineStr">
        <is>
          <t>UNPAID</t>
        </is>
      </c>
      <c r="I7550">
        <f>IF(H7550="UNPAID", AsOfDate-D7550, 0)</f>
        <v/>
      </c>
      <c r="J7550">
        <f>IF(F7550&lt;&gt;"", TEXT(F7550, "yyyy-mm"), "")</f>
        <v/>
      </c>
    </row>
    <row r="7551">
      <c r="A7551" t="inlineStr">
        <is>
          <t>RP0007550</t>
        </is>
      </c>
      <c r="B7551" t="inlineStr">
        <is>
          <t>LN201070</t>
        </is>
      </c>
      <c r="C7551" t="n">
        <v>2</v>
      </c>
      <c r="D7551" s="8" t="n">
        <v>46295</v>
      </c>
      <c r="E7551" s="9" t="n">
        <v>18364.5</v>
      </c>
      <c r="F7551" s="8" t="n"/>
      <c r="G7551" s="9" t="n">
        <v>0</v>
      </c>
      <c r="H7551" t="inlineStr">
        <is>
          <t>NOT_DUE</t>
        </is>
      </c>
      <c r="I7551">
        <f>IF(H7551="UNPAID", AsOfDate-D7551, 0)</f>
        <v/>
      </c>
      <c r="J7551">
        <f>IF(F7551&lt;&gt;"", TEXT(F7551, "yyyy-mm"), "")</f>
        <v/>
      </c>
    </row>
    <row r="7552">
      <c r="A7552" t="inlineStr">
        <is>
          <t>RP0007551</t>
        </is>
      </c>
      <c r="B7552" t="inlineStr">
        <is>
          <t>LN201070</t>
        </is>
      </c>
      <c r="C7552" t="n">
        <v>3</v>
      </c>
      <c r="D7552" s="8" t="n">
        <v>46326</v>
      </c>
      <c r="E7552" s="9" t="n">
        <v>18364.5</v>
      </c>
      <c r="F7552" s="8" t="n"/>
      <c r="G7552" s="9" t="n">
        <v>0</v>
      </c>
      <c r="H7552" t="inlineStr">
        <is>
          <t>NOT_DUE</t>
        </is>
      </c>
      <c r="I7552">
        <f>IF(H7552="UNPAID", AsOfDate-D7552, 0)</f>
        <v/>
      </c>
      <c r="J7552">
        <f>IF(F7552&lt;&gt;"", TEXT(F7552, "yyyy-mm"), "")</f>
        <v/>
      </c>
    </row>
    <row r="7553">
      <c r="A7553" t="inlineStr">
        <is>
          <t>RP0007552</t>
        </is>
      </c>
      <c r="B7553" t="inlineStr">
        <is>
          <t>LN201070</t>
        </is>
      </c>
      <c r="C7553" t="n">
        <v>4</v>
      </c>
      <c r="D7553" s="8" t="n">
        <v>46356</v>
      </c>
      <c r="E7553" s="9" t="n">
        <v>18364.5</v>
      </c>
      <c r="F7553" s="8" t="n"/>
      <c r="G7553" s="9" t="n">
        <v>0</v>
      </c>
      <c r="H7553" t="inlineStr">
        <is>
          <t>NOT_DUE</t>
        </is>
      </c>
      <c r="I7553">
        <f>IF(H7553="UNPAID", AsOfDate-D7553, 0)</f>
        <v/>
      </c>
      <c r="J7553">
        <f>IF(F7553&lt;&gt;"", TEXT(F7553, "yyyy-mm"), "")</f>
        <v/>
      </c>
    </row>
    <row r="7554">
      <c r="A7554" t="inlineStr">
        <is>
          <t>RP0007553</t>
        </is>
      </c>
      <c r="B7554" t="inlineStr">
        <is>
          <t>LN201070</t>
        </is>
      </c>
      <c r="C7554" t="n">
        <v>5</v>
      </c>
      <c r="D7554" s="8" t="n">
        <v>46387</v>
      </c>
      <c r="E7554" s="9" t="n">
        <v>18364.5</v>
      </c>
      <c r="F7554" s="8" t="n"/>
      <c r="G7554" s="9" t="n">
        <v>0</v>
      </c>
      <c r="H7554" t="inlineStr">
        <is>
          <t>NOT_DUE</t>
        </is>
      </c>
      <c r="I7554">
        <f>IF(H7554="UNPAID", AsOfDate-D7554, 0)</f>
        <v/>
      </c>
      <c r="J7554">
        <f>IF(F7554&lt;&gt;"", TEXT(F7554, "yyyy-mm"), "")</f>
        <v/>
      </c>
    </row>
    <row r="7555">
      <c r="A7555" t="inlineStr">
        <is>
          <t>RP0007554</t>
        </is>
      </c>
      <c r="B7555" t="inlineStr">
        <is>
          <t>LN201070</t>
        </is>
      </c>
      <c r="C7555" t="n">
        <v>6</v>
      </c>
      <c r="D7555" s="8" t="n">
        <v>46418</v>
      </c>
      <c r="E7555" s="9" t="n">
        <v>18364.5</v>
      </c>
      <c r="F7555" s="8" t="n"/>
      <c r="G7555" s="9" t="n">
        <v>0</v>
      </c>
      <c r="H7555" t="inlineStr">
        <is>
          <t>NOT_DUE</t>
        </is>
      </c>
      <c r="I7555">
        <f>IF(H7555="UNPAID", AsOfDate-D7555, 0)</f>
        <v/>
      </c>
      <c r="J7555">
        <f>IF(F7555&lt;&gt;"", TEXT(F7555, "yyyy-mm"), "")</f>
        <v/>
      </c>
    </row>
    <row r="7556">
      <c r="A7556" t="inlineStr">
        <is>
          <t>RP0007555</t>
        </is>
      </c>
      <c r="B7556" t="inlineStr">
        <is>
          <t>LN201071</t>
        </is>
      </c>
      <c r="C7556" t="n">
        <v>1</v>
      </c>
      <c r="D7556" s="8" t="n">
        <v>46033</v>
      </c>
      <c r="E7556" s="9" t="n">
        <v>14121.08</v>
      </c>
      <c r="F7556" s="8" t="n">
        <v>46030</v>
      </c>
      <c r="G7556" s="9" t="n">
        <v>14121.08</v>
      </c>
      <c r="H7556" t="inlineStr">
        <is>
          <t>PAID_ON_TIME</t>
        </is>
      </c>
      <c r="I7556">
        <f>IF(H7556="UNPAID", AsOfDate-D7556, 0)</f>
        <v/>
      </c>
      <c r="J7556">
        <f>IF(F7556&lt;&gt;"", TEXT(F7556, "yyyy-mm"), "")</f>
        <v/>
      </c>
    </row>
    <row r="7557">
      <c r="A7557" t="inlineStr">
        <is>
          <t>RP0007556</t>
        </is>
      </c>
      <c r="B7557" t="inlineStr">
        <is>
          <t>LN201071</t>
        </is>
      </c>
      <c r="C7557" t="n">
        <v>2</v>
      </c>
      <c r="D7557" s="8" t="n">
        <v>46064</v>
      </c>
      <c r="E7557" s="9" t="n">
        <v>14121.08</v>
      </c>
      <c r="F7557" s="8" t="n">
        <v>46065</v>
      </c>
      <c r="G7557" s="9" t="n">
        <v>14121.08</v>
      </c>
      <c r="H7557" t="inlineStr">
        <is>
          <t>PAID_ON_TIME</t>
        </is>
      </c>
      <c r="I7557">
        <f>IF(H7557="UNPAID", AsOfDate-D7557, 0)</f>
        <v/>
      </c>
      <c r="J7557">
        <f>IF(F7557&lt;&gt;"", TEXT(F7557, "yyyy-mm"), "")</f>
        <v/>
      </c>
    </row>
    <row r="7558">
      <c r="A7558" t="inlineStr">
        <is>
          <t>RP0007557</t>
        </is>
      </c>
      <c r="B7558" t="inlineStr">
        <is>
          <t>LN201071</t>
        </is>
      </c>
      <c r="C7558" t="n">
        <v>3</v>
      </c>
      <c r="D7558" s="8" t="n">
        <v>46092</v>
      </c>
      <c r="E7558" s="9" t="n">
        <v>14121.08</v>
      </c>
      <c r="F7558" s="8" t="n">
        <v>46093</v>
      </c>
      <c r="G7558" s="9" t="n">
        <v>14121.08</v>
      </c>
      <c r="H7558" t="inlineStr">
        <is>
          <t>PAID_ON_TIME</t>
        </is>
      </c>
      <c r="I7558">
        <f>IF(H7558="UNPAID", AsOfDate-D7558, 0)</f>
        <v/>
      </c>
      <c r="J7558">
        <f>IF(F7558&lt;&gt;"", TEXT(F7558, "yyyy-mm"), "")</f>
        <v/>
      </c>
    </row>
    <row r="7559">
      <c r="A7559" t="inlineStr">
        <is>
          <t>RP0007558</t>
        </is>
      </c>
      <c r="B7559" t="inlineStr">
        <is>
          <t>LN201072</t>
        </is>
      </c>
      <c r="C7559" t="n">
        <v>1</v>
      </c>
      <c r="D7559" s="8" t="n">
        <v>46215</v>
      </c>
      <c r="E7559" s="9" t="n">
        <v>19286.75</v>
      </c>
      <c r="F7559" s="8" t="n">
        <v>46213</v>
      </c>
      <c r="G7559" s="9" t="n">
        <v>19286.75</v>
      </c>
      <c r="H7559" t="inlineStr">
        <is>
          <t>PAID_ON_TIME</t>
        </is>
      </c>
      <c r="I7559">
        <f>IF(H7559="UNPAID", AsOfDate-D7559, 0)</f>
        <v/>
      </c>
      <c r="J7559">
        <f>IF(F7559&lt;&gt;"", TEXT(F7559, "yyyy-mm"), "")</f>
        <v/>
      </c>
    </row>
    <row r="7560">
      <c r="A7560" t="inlineStr">
        <is>
          <t>RP0007559</t>
        </is>
      </c>
      <c r="B7560" t="inlineStr">
        <is>
          <t>LN201072</t>
        </is>
      </c>
      <c r="C7560" t="n">
        <v>2</v>
      </c>
      <c r="D7560" s="8" t="n">
        <v>46246</v>
      </c>
      <c r="E7560" s="9" t="n">
        <v>19286.75</v>
      </c>
      <c r="F7560" s="8" t="n">
        <v>46250</v>
      </c>
      <c r="G7560" s="9" t="n">
        <v>19286.75</v>
      </c>
      <c r="H7560" t="inlineStr">
        <is>
          <t>PAID_ON_TIME</t>
        </is>
      </c>
      <c r="I7560">
        <f>IF(H7560="UNPAID", AsOfDate-D7560, 0)</f>
        <v/>
      </c>
      <c r="J7560">
        <f>IF(F7560&lt;&gt;"", TEXT(F7560, "yyyy-mm"), "")</f>
        <v/>
      </c>
    </row>
    <row r="7561">
      <c r="A7561" t="inlineStr">
        <is>
          <t>RP0007560</t>
        </is>
      </c>
      <c r="B7561" t="inlineStr">
        <is>
          <t>LN201072</t>
        </is>
      </c>
      <c r="C7561" t="n">
        <v>3</v>
      </c>
      <c r="D7561" s="8" t="n">
        <v>46277</v>
      </c>
      <c r="E7561" s="9" t="n">
        <v>19286.75</v>
      </c>
      <c r="F7561" s="8" t="n"/>
      <c r="G7561" s="9" t="n">
        <v>0</v>
      </c>
      <c r="H7561" t="inlineStr">
        <is>
          <t>NOT_DUE</t>
        </is>
      </c>
      <c r="I7561">
        <f>IF(H7561="UNPAID", AsOfDate-D7561, 0)</f>
        <v/>
      </c>
      <c r="J7561">
        <f>IF(F7561&lt;&gt;"", TEXT(F7561, "yyyy-mm"), "")</f>
        <v/>
      </c>
    </row>
    <row r="7562">
      <c r="A7562" t="inlineStr">
        <is>
          <t>RP0007561</t>
        </is>
      </c>
      <c r="B7562" t="inlineStr">
        <is>
          <t>LN201072</t>
        </is>
      </c>
      <c r="C7562" t="n">
        <v>4</v>
      </c>
      <c r="D7562" s="8" t="n">
        <v>46307</v>
      </c>
      <c r="E7562" s="9" t="n">
        <v>19286.75</v>
      </c>
      <c r="F7562" s="8" t="n"/>
      <c r="G7562" s="9" t="n">
        <v>0</v>
      </c>
      <c r="H7562" t="inlineStr">
        <is>
          <t>NOT_DUE</t>
        </is>
      </c>
      <c r="I7562">
        <f>IF(H7562="UNPAID", AsOfDate-D7562, 0)</f>
        <v/>
      </c>
      <c r="J7562">
        <f>IF(F7562&lt;&gt;"", TEXT(F7562, "yyyy-mm"), "")</f>
        <v/>
      </c>
    </row>
    <row r="7563">
      <c r="A7563" t="inlineStr">
        <is>
          <t>RP0007562</t>
        </is>
      </c>
      <c r="B7563" t="inlineStr">
        <is>
          <t>LN201072</t>
        </is>
      </c>
      <c r="C7563" t="n">
        <v>5</v>
      </c>
      <c r="D7563" s="8" t="n">
        <v>46338</v>
      </c>
      <c r="E7563" s="9" t="n">
        <v>19286.75</v>
      </c>
      <c r="F7563" s="8" t="n"/>
      <c r="G7563" s="9" t="n">
        <v>0</v>
      </c>
      <c r="H7563" t="inlineStr">
        <is>
          <t>NOT_DUE</t>
        </is>
      </c>
      <c r="I7563">
        <f>IF(H7563="UNPAID", AsOfDate-D7563, 0)</f>
        <v/>
      </c>
      <c r="J7563">
        <f>IF(F7563&lt;&gt;"", TEXT(F7563, "yyyy-mm"), "")</f>
        <v/>
      </c>
    </row>
    <row r="7564">
      <c r="A7564" t="inlineStr">
        <is>
          <t>RP0007563</t>
        </is>
      </c>
      <c r="B7564" t="inlineStr">
        <is>
          <t>LN201072</t>
        </is>
      </c>
      <c r="C7564" t="n">
        <v>6</v>
      </c>
      <c r="D7564" s="8" t="n">
        <v>46368</v>
      </c>
      <c r="E7564" s="9" t="n">
        <v>19286.75</v>
      </c>
      <c r="F7564" s="8" t="n"/>
      <c r="G7564" s="9" t="n">
        <v>0</v>
      </c>
      <c r="H7564" t="inlineStr">
        <is>
          <t>NOT_DUE</t>
        </is>
      </c>
      <c r="I7564">
        <f>IF(H7564="UNPAID", AsOfDate-D7564, 0)</f>
        <v/>
      </c>
      <c r="J7564">
        <f>IF(F7564&lt;&gt;"", TEXT(F7564, "yyyy-mm"), "")</f>
        <v/>
      </c>
    </row>
    <row r="7565">
      <c r="A7565" t="inlineStr">
        <is>
          <t>RP0007564</t>
        </is>
      </c>
      <c r="B7565" t="inlineStr">
        <is>
          <t>LN201074</t>
        </is>
      </c>
      <c r="C7565" t="n">
        <v>1</v>
      </c>
      <c r="D7565" s="8" t="n">
        <v>46153</v>
      </c>
      <c r="E7565" s="9" t="n">
        <v>11918.5</v>
      </c>
      <c r="F7565" s="8" t="n">
        <v>46155</v>
      </c>
      <c r="G7565" s="9" t="n">
        <v>11918.5</v>
      </c>
      <c r="H7565" t="inlineStr">
        <is>
          <t>PAID_ON_TIME</t>
        </is>
      </c>
      <c r="I7565">
        <f>IF(H7565="UNPAID", AsOfDate-D7565, 0)</f>
        <v/>
      </c>
      <c r="J7565">
        <f>IF(F7565&lt;&gt;"", TEXT(F7565, "yyyy-mm"), "")</f>
        <v/>
      </c>
    </row>
    <row r="7566">
      <c r="A7566" t="inlineStr">
        <is>
          <t>RP0007565</t>
        </is>
      </c>
      <c r="B7566" t="inlineStr">
        <is>
          <t>LN201074</t>
        </is>
      </c>
      <c r="C7566" t="n">
        <v>2</v>
      </c>
      <c r="D7566" s="8" t="n">
        <v>46184</v>
      </c>
      <c r="E7566" s="9" t="n">
        <v>11918.5</v>
      </c>
      <c r="F7566" s="8" t="n"/>
      <c r="G7566" s="9" t="n">
        <v>0</v>
      </c>
      <c r="H7566" t="inlineStr">
        <is>
          <t>UNPAID</t>
        </is>
      </c>
      <c r="I7566">
        <f>IF(H7566="UNPAID", AsOfDate-D7566, 0)</f>
        <v/>
      </c>
      <c r="J7566">
        <f>IF(F7566&lt;&gt;"", TEXT(F7566, "yyyy-mm"), "")</f>
        <v/>
      </c>
    </row>
    <row r="7567">
      <c r="A7567" t="inlineStr">
        <is>
          <t>RP0007566</t>
        </is>
      </c>
      <c r="B7567" t="inlineStr">
        <is>
          <t>LN201074</t>
        </is>
      </c>
      <c r="C7567" t="n">
        <v>3</v>
      </c>
      <c r="D7567" s="8" t="n">
        <v>46214</v>
      </c>
      <c r="E7567" s="9" t="n">
        <v>11918.5</v>
      </c>
      <c r="F7567" s="8" t="n">
        <v>46214</v>
      </c>
      <c r="G7567" s="9" t="n">
        <v>11918.5</v>
      </c>
      <c r="H7567" t="inlineStr">
        <is>
          <t>PAID_ON_TIME</t>
        </is>
      </c>
      <c r="I7567">
        <f>IF(H7567="UNPAID", AsOfDate-D7567, 0)</f>
        <v/>
      </c>
      <c r="J7567">
        <f>IF(F7567&lt;&gt;"", TEXT(F7567, "yyyy-mm"), "")</f>
        <v/>
      </c>
    </row>
    <row r="7568">
      <c r="A7568" t="inlineStr">
        <is>
          <t>RP0007567</t>
        </is>
      </c>
      <c r="B7568" t="inlineStr">
        <is>
          <t>LN201074</t>
        </is>
      </c>
      <c r="C7568" t="n">
        <v>4</v>
      </c>
      <c r="D7568" s="8" t="n">
        <v>46245</v>
      </c>
      <c r="E7568" s="9" t="n">
        <v>11918.5</v>
      </c>
      <c r="F7568" s="8" t="n">
        <v>46247</v>
      </c>
      <c r="G7568" s="9" t="n">
        <v>11918.5</v>
      </c>
      <c r="H7568" t="inlineStr">
        <is>
          <t>PAID_ON_TIME</t>
        </is>
      </c>
      <c r="I7568">
        <f>IF(H7568="UNPAID", AsOfDate-D7568, 0)</f>
        <v/>
      </c>
      <c r="J7568">
        <f>IF(F7568&lt;&gt;"", TEXT(F7568, "yyyy-mm"), "")</f>
        <v/>
      </c>
    </row>
    <row r="7569">
      <c r="A7569" t="inlineStr">
        <is>
          <t>RP0007568</t>
        </is>
      </c>
      <c r="B7569" t="inlineStr">
        <is>
          <t>LN201074</t>
        </is>
      </c>
      <c r="C7569" t="n">
        <v>5</v>
      </c>
      <c r="D7569" s="8" t="n">
        <v>46276</v>
      </c>
      <c r="E7569" s="9" t="n">
        <v>11918.5</v>
      </c>
      <c r="F7569" s="8" t="n"/>
      <c r="G7569" s="9" t="n">
        <v>0</v>
      </c>
      <c r="H7569" t="inlineStr">
        <is>
          <t>NOT_DUE</t>
        </is>
      </c>
      <c r="I7569">
        <f>IF(H7569="UNPAID", AsOfDate-D7569, 0)</f>
        <v/>
      </c>
      <c r="J7569">
        <f>IF(F7569&lt;&gt;"", TEXT(F7569, "yyyy-mm"), "")</f>
        <v/>
      </c>
    </row>
    <row r="7570">
      <c r="A7570" t="inlineStr">
        <is>
          <t>RP0007569</t>
        </is>
      </c>
      <c r="B7570" t="inlineStr">
        <is>
          <t>LN201074</t>
        </is>
      </c>
      <c r="C7570" t="n">
        <v>6</v>
      </c>
      <c r="D7570" s="8" t="n">
        <v>46306</v>
      </c>
      <c r="E7570" s="9" t="n">
        <v>11918.5</v>
      </c>
      <c r="F7570" s="8" t="n"/>
      <c r="G7570" s="9" t="n">
        <v>0</v>
      </c>
      <c r="H7570" t="inlineStr">
        <is>
          <t>NOT_DUE</t>
        </is>
      </c>
      <c r="I7570">
        <f>IF(H7570="UNPAID", AsOfDate-D7570, 0)</f>
        <v/>
      </c>
      <c r="J7570">
        <f>IF(F7570&lt;&gt;"", TEXT(F7570, "yyyy-mm"), "")</f>
        <v/>
      </c>
    </row>
    <row r="7571">
      <c r="A7571" t="inlineStr">
        <is>
          <t>RP0007570</t>
        </is>
      </c>
      <c r="B7571" t="inlineStr">
        <is>
          <t>LN201074</t>
        </is>
      </c>
      <c r="C7571" t="n">
        <v>7</v>
      </c>
      <c r="D7571" s="8" t="n">
        <v>46337</v>
      </c>
      <c r="E7571" s="9" t="n">
        <v>11918.5</v>
      </c>
      <c r="F7571" s="8" t="n"/>
      <c r="G7571" s="9" t="n">
        <v>0</v>
      </c>
      <c r="H7571" t="inlineStr">
        <is>
          <t>NOT_DUE</t>
        </is>
      </c>
      <c r="I7571">
        <f>IF(H7571="UNPAID", AsOfDate-D7571, 0)</f>
        <v/>
      </c>
      <c r="J7571">
        <f>IF(F7571&lt;&gt;"", TEXT(F7571, "yyyy-mm"), "")</f>
        <v/>
      </c>
    </row>
    <row r="7572">
      <c r="A7572" t="inlineStr">
        <is>
          <t>RP0007571</t>
        </is>
      </c>
      <c r="B7572" t="inlineStr">
        <is>
          <t>LN201074</t>
        </is>
      </c>
      <c r="C7572" t="n">
        <v>8</v>
      </c>
      <c r="D7572" s="8" t="n">
        <v>46367</v>
      </c>
      <c r="E7572" s="9" t="n">
        <v>11918.5</v>
      </c>
      <c r="F7572" s="8" t="n"/>
      <c r="G7572" s="9" t="n">
        <v>0</v>
      </c>
      <c r="H7572" t="inlineStr">
        <is>
          <t>NOT_DUE</t>
        </is>
      </c>
      <c r="I7572">
        <f>IF(H7572="UNPAID", AsOfDate-D7572, 0)</f>
        <v/>
      </c>
      <c r="J7572">
        <f>IF(F7572&lt;&gt;"", TEXT(F7572, "yyyy-mm"), "")</f>
        <v/>
      </c>
    </row>
    <row r="7573">
      <c r="A7573" t="inlineStr">
        <is>
          <t>RP0007572</t>
        </is>
      </c>
      <c r="B7573" t="inlineStr">
        <is>
          <t>LN201074</t>
        </is>
      </c>
      <c r="C7573" t="n">
        <v>9</v>
      </c>
      <c r="D7573" s="8" t="n">
        <v>46398</v>
      </c>
      <c r="E7573" s="9" t="n">
        <v>11918.5</v>
      </c>
      <c r="F7573" s="8" t="n"/>
      <c r="G7573" s="9" t="n">
        <v>0</v>
      </c>
      <c r="H7573" t="inlineStr">
        <is>
          <t>NOT_DUE</t>
        </is>
      </c>
      <c r="I7573">
        <f>IF(H7573="UNPAID", AsOfDate-D7573, 0)</f>
        <v/>
      </c>
      <c r="J7573">
        <f>IF(F7573&lt;&gt;"", TEXT(F7573, "yyyy-mm"), "")</f>
        <v/>
      </c>
    </row>
    <row r="7574">
      <c r="A7574" t="inlineStr">
        <is>
          <t>RP0007573</t>
        </is>
      </c>
      <c r="B7574" t="inlineStr">
        <is>
          <t>LN201074</t>
        </is>
      </c>
      <c r="C7574" t="n">
        <v>10</v>
      </c>
      <c r="D7574" s="8" t="n">
        <v>46429</v>
      </c>
      <c r="E7574" s="9" t="n">
        <v>11918.5</v>
      </c>
      <c r="F7574" s="8" t="n"/>
      <c r="G7574" s="9" t="n">
        <v>0</v>
      </c>
      <c r="H7574" t="inlineStr">
        <is>
          <t>NOT_DUE</t>
        </is>
      </c>
      <c r="I7574">
        <f>IF(H7574="UNPAID", AsOfDate-D7574, 0)</f>
        <v/>
      </c>
      <c r="J7574">
        <f>IF(F7574&lt;&gt;"", TEXT(F7574, "yyyy-mm"), "")</f>
        <v/>
      </c>
    </row>
    <row r="7575">
      <c r="A7575" t="inlineStr">
        <is>
          <t>RP0007574</t>
        </is>
      </c>
      <c r="B7575" t="inlineStr">
        <is>
          <t>LN201074</t>
        </is>
      </c>
      <c r="C7575" t="n">
        <v>11</v>
      </c>
      <c r="D7575" s="8" t="n">
        <v>46457</v>
      </c>
      <c r="E7575" s="9" t="n">
        <v>11918.5</v>
      </c>
      <c r="F7575" s="8" t="n"/>
      <c r="G7575" s="9" t="n">
        <v>0</v>
      </c>
      <c r="H7575" t="inlineStr">
        <is>
          <t>NOT_DUE</t>
        </is>
      </c>
      <c r="I7575">
        <f>IF(H7575="UNPAID", AsOfDate-D7575, 0)</f>
        <v/>
      </c>
      <c r="J7575">
        <f>IF(F7575&lt;&gt;"", TEXT(F7575, "yyyy-mm"), "")</f>
        <v/>
      </c>
    </row>
    <row r="7576">
      <c r="A7576" t="inlineStr">
        <is>
          <t>RP0007575</t>
        </is>
      </c>
      <c r="B7576" t="inlineStr">
        <is>
          <t>LN201074</t>
        </is>
      </c>
      <c r="C7576" t="n">
        <v>12</v>
      </c>
      <c r="D7576" s="8" t="n">
        <v>46488</v>
      </c>
      <c r="E7576" s="9" t="n">
        <v>11918.5</v>
      </c>
      <c r="F7576" s="8" t="n"/>
      <c r="G7576" s="9" t="n">
        <v>0</v>
      </c>
      <c r="H7576" t="inlineStr">
        <is>
          <t>NOT_DUE</t>
        </is>
      </c>
      <c r="I7576">
        <f>IF(H7576="UNPAID", AsOfDate-D7576, 0)</f>
        <v/>
      </c>
      <c r="J7576">
        <f>IF(F7576&lt;&gt;"", TEXT(F7576, "yyyy-mm"), "")</f>
        <v/>
      </c>
    </row>
    <row r="7577">
      <c r="A7577" t="inlineStr">
        <is>
          <t>RP0007576</t>
        </is>
      </c>
      <c r="B7577" t="inlineStr">
        <is>
          <t>LN201075</t>
        </is>
      </c>
      <c r="C7577" t="n">
        <v>1</v>
      </c>
      <c r="D7577" s="8" t="n">
        <v>45893</v>
      </c>
      <c r="E7577" s="9" t="n">
        <v>24519</v>
      </c>
      <c r="F7577" s="8" t="n">
        <v>45891</v>
      </c>
      <c r="G7577" s="9" t="n">
        <v>24519</v>
      </c>
      <c r="H7577" t="inlineStr">
        <is>
          <t>PAID_ON_TIME</t>
        </is>
      </c>
      <c r="I7577">
        <f>IF(H7577="UNPAID", AsOfDate-D7577, 0)</f>
        <v/>
      </c>
      <c r="J7577">
        <f>IF(F7577&lt;&gt;"", TEXT(F7577, "yyyy-mm"), "")</f>
        <v/>
      </c>
    </row>
    <row r="7578">
      <c r="A7578" t="inlineStr">
        <is>
          <t>RP0007577</t>
        </is>
      </c>
      <c r="B7578" t="inlineStr">
        <is>
          <t>LN201075</t>
        </is>
      </c>
      <c r="C7578" t="n">
        <v>2</v>
      </c>
      <c r="D7578" s="8" t="n">
        <v>45924</v>
      </c>
      <c r="E7578" s="9" t="n">
        <v>24519</v>
      </c>
      <c r="F7578" s="8" t="n">
        <v>45928</v>
      </c>
      <c r="G7578" s="9" t="n">
        <v>24519</v>
      </c>
      <c r="H7578" t="inlineStr">
        <is>
          <t>PAID_ON_TIME</t>
        </is>
      </c>
      <c r="I7578">
        <f>IF(H7578="UNPAID", AsOfDate-D7578, 0)</f>
        <v/>
      </c>
      <c r="J7578">
        <f>IF(F7578&lt;&gt;"", TEXT(F7578, "yyyy-mm"), "")</f>
        <v/>
      </c>
    </row>
    <row r="7579">
      <c r="A7579" t="inlineStr">
        <is>
          <t>RP0007578</t>
        </is>
      </c>
      <c r="B7579" t="inlineStr">
        <is>
          <t>LN201075</t>
        </is>
      </c>
      <c r="C7579" t="n">
        <v>3</v>
      </c>
      <c r="D7579" s="8" t="n">
        <v>45954</v>
      </c>
      <c r="E7579" s="9" t="n">
        <v>24519</v>
      </c>
      <c r="F7579" s="8" t="n">
        <v>45953</v>
      </c>
      <c r="G7579" s="9" t="n">
        <v>24519</v>
      </c>
      <c r="H7579" t="inlineStr">
        <is>
          <t>PAID_ON_TIME</t>
        </is>
      </c>
      <c r="I7579">
        <f>IF(H7579="UNPAID", AsOfDate-D7579, 0)</f>
        <v/>
      </c>
      <c r="J7579">
        <f>IF(F7579&lt;&gt;"", TEXT(F7579, "yyyy-mm"), "")</f>
        <v/>
      </c>
    </row>
    <row r="7580">
      <c r="A7580" t="inlineStr">
        <is>
          <t>RP0007579</t>
        </is>
      </c>
      <c r="B7580" t="inlineStr">
        <is>
          <t>LN201075</t>
        </is>
      </c>
      <c r="C7580" t="n">
        <v>4</v>
      </c>
      <c r="D7580" s="8" t="n">
        <v>45985</v>
      </c>
      <c r="E7580" s="9" t="n">
        <v>24519</v>
      </c>
      <c r="F7580" s="8" t="n">
        <v>45987</v>
      </c>
      <c r="G7580" s="9" t="n">
        <v>24519</v>
      </c>
      <c r="H7580" t="inlineStr">
        <is>
          <t>PAID_ON_TIME</t>
        </is>
      </c>
      <c r="I7580">
        <f>IF(H7580="UNPAID", AsOfDate-D7580, 0)</f>
        <v/>
      </c>
      <c r="J7580">
        <f>IF(F7580&lt;&gt;"", TEXT(F7580, "yyyy-mm"), "")</f>
        <v/>
      </c>
    </row>
    <row r="7581">
      <c r="A7581" t="inlineStr">
        <is>
          <t>RP0007580</t>
        </is>
      </c>
      <c r="B7581" t="inlineStr">
        <is>
          <t>LN201075</t>
        </is>
      </c>
      <c r="C7581" t="n">
        <v>5</v>
      </c>
      <c r="D7581" s="8" t="n">
        <v>46015</v>
      </c>
      <c r="E7581" s="9" t="n">
        <v>24519</v>
      </c>
      <c r="F7581" s="8" t="n">
        <v>46018</v>
      </c>
      <c r="G7581" s="9" t="n">
        <v>24519</v>
      </c>
      <c r="H7581" t="inlineStr">
        <is>
          <t>PAID_ON_TIME</t>
        </is>
      </c>
      <c r="I7581">
        <f>IF(H7581="UNPAID", AsOfDate-D7581, 0)</f>
        <v/>
      </c>
      <c r="J7581">
        <f>IF(F7581&lt;&gt;"", TEXT(F7581, "yyyy-mm"), "")</f>
        <v/>
      </c>
    </row>
    <row r="7582">
      <c r="A7582" t="inlineStr">
        <is>
          <t>RP0007581</t>
        </is>
      </c>
      <c r="B7582" t="inlineStr">
        <is>
          <t>LN201075</t>
        </is>
      </c>
      <c r="C7582" t="n">
        <v>6</v>
      </c>
      <c r="D7582" s="8" t="n">
        <v>46046</v>
      </c>
      <c r="E7582" s="9" t="n">
        <v>24519</v>
      </c>
      <c r="F7582" s="8" t="n">
        <v>46049</v>
      </c>
      <c r="G7582" s="9" t="n">
        <v>24519</v>
      </c>
      <c r="H7582" t="inlineStr">
        <is>
          <t>PAID_ON_TIME</t>
        </is>
      </c>
      <c r="I7582">
        <f>IF(H7582="UNPAID", AsOfDate-D7582, 0)</f>
        <v/>
      </c>
      <c r="J7582">
        <f>IF(F7582&lt;&gt;"", TEXT(F7582, "yyyy-mm"), "")</f>
        <v/>
      </c>
    </row>
    <row r="7583">
      <c r="A7583" t="inlineStr">
        <is>
          <t>RP0007582</t>
        </is>
      </c>
      <c r="B7583" t="inlineStr">
        <is>
          <t>LN201076</t>
        </is>
      </c>
      <c r="C7583" t="n">
        <v>1</v>
      </c>
      <c r="D7583" s="8" t="n">
        <v>46207</v>
      </c>
      <c r="E7583" s="9" t="n">
        <v>8558</v>
      </c>
      <c r="F7583" s="8" t="n">
        <v>46204</v>
      </c>
      <c r="G7583" s="9" t="n">
        <v>8558</v>
      </c>
      <c r="H7583" t="inlineStr">
        <is>
          <t>PAID_ON_TIME</t>
        </is>
      </c>
      <c r="I7583">
        <f>IF(H7583="UNPAID", AsOfDate-D7583, 0)</f>
        <v/>
      </c>
      <c r="J7583">
        <f>IF(F7583&lt;&gt;"", TEXT(F7583, "yyyy-mm"), "")</f>
        <v/>
      </c>
    </row>
    <row r="7584">
      <c r="A7584" t="inlineStr">
        <is>
          <t>RP0007583</t>
        </is>
      </c>
      <c r="B7584" t="inlineStr">
        <is>
          <t>LN201076</t>
        </is>
      </c>
      <c r="C7584" t="n">
        <v>2</v>
      </c>
      <c r="D7584" s="8" t="n">
        <v>46238</v>
      </c>
      <c r="E7584" s="9" t="n">
        <v>8558</v>
      </c>
      <c r="F7584" s="8" t="n">
        <v>46238</v>
      </c>
      <c r="G7584" s="9" t="n">
        <v>8558</v>
      </c>
      <c r="H7584" t="inlineStr">
        <is>
          <t>PAID_ON_TIME</t>
        </is>
      </c>
      <c r="I7584">
        <f>IF(H7584="UNPAID", AsOfDate-D7584, 0)</f>
        <v/>
      </c>
      <c r="J7584">
        <f>IF(F7584&lt;&gt;"", TEXT(F7584, "yyyy-mm"), "")</f>
        <v/>
      </c>
    </row>
    <row r="7585">
      <c r="A7585" t="inlineStr">
        <is>
          <t>RP0007584</t>
        </is>
      </c>
      <c r="B7585" t="inlineStr">
        <is>
          <t>LN201076</t>
        </is>
      </c>
      <c r="C7585" t="n">
        <v>3</v>
      </c>
      <c r="D7585" s="8" t="n">
        <v>46269</v>
      </c>
      <c r="E7585" s="9" t="n">
        <v>8558</v>
      </c>
      <c r="F7585" s="8" t="n"/>
      <c r="G7585" s="9" t="n">
        <v>0</v>
      </c>
      <c r="H7585" t="inlineStr">
        <is>
          <t>NOT_DUE</t>
        </is>
      </c>
      <c r="I7585">
        <f>IF(H7585="UNPAID", AsOfDate-D7585, 0)</f>
        <v/>
      </c>
      <c r="J7585">
        <f>IF(F7585&lt;&gt;"", TEXT(F7585, "yyyy-mm"), "")</f>
        <v/>
      </c>
    </row>
    <row r="7586">
      <c r="A7586" t="inlineStr">
        <is>
          <t>RP0007585</t>
        </is>
      </c>
      <c r="B7586" t="inlineStr">
        <is>
          <t>LN201076</t>
        </is>
      </c>
      <c r="C7586" t="n">
        <v>4</v>
      </c>
      <c r="D7586" s="8" t="n">
        <v>46299</v>
      </c>
      <c r="E7586" s="9" t="n">
        <v>8558</v>
      </c>
      <c r="F7586" s="8" t="n"/>
      <c r="G7586" s="9" t="n">
        <v>0</v>
      </c>
      <c r="H7586" t="inlineStr">
        <is>
          <t>NOT_DUE</t>
        </is>
      </c>
      <c r="I7586">
        <f>IF(H7586="UNPAID", AsOfDate-D7586, 0)</f>
        <v/>
      </c>
      <c r="J7586">
        <f>IF(F7586&lt;&gt;"", TEXT(F7586, "yyyy-mm"), "")</f>
        <v/>
      </c>
    </row>
    <row r="7587">
      <c r="A7587" t="inlineStr">
        <is>
          <t>RP0007586</t>
        </is>
      </c>
      <c r="B7587" t="inlineStr">
        <is>
          <t>LN201076</t>
        </is>
      </c>
      <c r="C7587" t="n">
        <v>5</v>
      </c>
      <c r="D7587" s="8" t="n">
        <v>46330</v>
      </c>
      <c r="E7587" s="9" t="n">
        <v>8558</v>
      </c>
      <c r="F7587" s="8" t="n"/>
      <c r="G7587" s="9" t="n">
        <v>0</v>
      </c>
      <c r="H7587" t="inlineStr">
        <is>
          <t>NOT_DUE</t>
        </is>
      </c>
      <c r="I7587">
        <f>IF(H7587="UNPAID", AsOfDate-D7587, 0)</f>
        <v/>
      </c>
      <c r="J7587">
        <f>IF(F7587&lt;&gt;"", TEXT(F7587, "yyyy-mm"), "")</f>
        <v/>
      </c>
    </row>
    <row r="7588">
      <c r="A7588" t="inlineStr">
        <is>
          <t>RP0007587</t>
        </is>
      </c>
      <c r="B7588" t="inlineStr">
        <is>
          <t>LN201076</t>
        </is>
      </c>
      <c r="C7588" t="n">
        <v>6</v>
      </c>
      <c r="D7588" s="8" t="n">
        <v>46360</v>
      </c>
      <c r="E7588" s="9" t="n">
        <v>8558</v>
      </c>
      <c r="F7588" s="8" t="n"/>
      <c r="G7588" s="9" t="n">
        <v>0</v>
      </c>
      <c r="H7588" t="inlineStr">
        <is>
          <t>NOT_DUE</t>
        </is>
      </c>
      <c r="I7588">
        <f>IF(H7588="UNPAID", AsOfDate-D7588, 0)</f>
        <v/>
      </c>
      <c r="J7588">
        <f>IF(F7588&lt;&gt;"", TEXT(F7588, "yyyy-mm"), "")</f>
        <v/>
      </c>
    </row>
    <row r="7589">
      <c r="A7589" t="inlineStr">
        <is>
          <t>RP0007588</t>
        </is>
      </c>
      <c r="B7589" t="inlineStr">
        <is>
          <t>LN201076</t>
        </is>
      </c>
      <c r="C7589" t="n">
        <v>7</v>
      </c>
      <c r="D7589" s="8" t="n">
        <v>46391</v>
      </c>
      <c r="E7589" s="9" t="n">
        <v>8558</v>
      </c>
      <c r="F7589" s="8" t="n"/>
      <c r="G7589" s="9" t="n">
        <v>0</v>
      </c>
      <c r="H7589" t="inlineStr">
        <is>
          <t>NOT_DUE</t>
        </is>
      </c>
      <c r="I7589">
        <f>IF(H7589="UNPAID", AsOfDate-D7589, 0)</f>
        <v/>
      </c>
      <c r="J7589">
        <f>IF(F7589&lt;&gt;"", TEXT(F7589, "yyyy-mm"), "")</f>
        <v/>
      </c>
    </row>
    <row r="7590">
      <c r="A7590" t="inlineStr">
        <is>
          <t>RP0007589</t>
        </is>
      </c>
      <c r="B7590" t="inlineStr">
        <is>
          <t>LN201076</t>
        </is>
      </c>
      <c r="C7590" t="n">
        <v>8</v>
      </c>
      <c r="D7590" s="8" t="n">
        <v>46422</v>
      </c>
      <c r="E7590" s="9" t="n">
        <v>8558</v>
      </c>
      <c r="F7590" s="8" t="n"/>
      <c r="G7590" s="9" t="n">
        <v>0</v>
      </c>
      <c r="H7590" t="inlineStr">
        <is>
          <t>NOT_DUE</t>
        </is>
      </c>
      <c r="I7590">
        <f>IF(H7590="UNPAID", AsOfDate-D7590, 0)</f>
        <v/>
      </c>
      <c r="J7590">
        <f>IF(F7590&lt;&gt;"", TEXT(F7590, "yyyy-mm"), "")</f>
        <v/>
      </c>
    </row>
    <row r="7591">
      <c r="A7591" t="inlineStr">
        <is>
          <t>RP0007590</t>
        </is>
      </c>
      <c r="B7591" t="inlineStr">
        <is>
          <t>LN201076</t>
        </is>
      </c>
      <c r="C7591" t="n">
        <v>9</v>
      </c>
      <c r="D7591" s="8" t="n">
        <v>46450</v>
      </c>
      <c r="E7591" s="9" t="n">
        <v>8558</v>
      </c>
      <c r="F7591" s="8" t="n"/>
      <c r="G7591" s="9" t="n">
        <v>0</v>
      </c>
      <c r="H7591" t="inlineStr">
        <is>
          <t>NOT_DUE</t>
        </is>
      </c>
      <c r="I7591">
        <f>IF(H7591="UNPAID", AsOfDate-D7591, 0)</f>
        <v/>
      </c>
      <c r="J7591">
        <f>IF(F7591&lt;&gt;"", TEXT(F7591, "yyyy-mm"), "")</f>
        <v/>
      </c>
    </row>
    <row r="7592">
      <c r="A7592" t="inlineStr">
        <is>
          <t>RP0007591</t>
        </is>
      </c>
      <c r="B7592" t="inlineStr">
        <is>
          <t>LN201076</t>
        </is>
      </c>
      <c r="C7592" t="n">
        <v>10</v>
      </c>
      <c r="D7592" s="8" t="n">
        <v>46481</v>
      </c>
      <c r="E7592" s="9" t="n">
        <v>8558</v>
      </c>
      <c r="F7592" s="8" t="n"/>
      <c r="G7592" s="9" t="n">
        <v>0</v>
      </c>
      <c r="H7592" t="inlineStr">
        <is>
          <t>NOT_DUE</t>
        </is>
      </c>
      <c r="I7592">
        <f>IF(H7592="UNPAID", AsOfDate-D7592, 0)</f>
        <v/>
      </c>
      <c r="J7592">
        <f>IF(F7592&lt;&gt;"", TEXT(F7592, "yyyy-mm"), "")</f>
        <v/>
      </c>
    </row>
    <row r="7593">
      <c r="A7593" t="inlineStr">
        <is>
          <t>RP0007592</t>
        </is>
      </c>
      <c r="B7593" t="inlineStr">
        <is>
          <t>LN201076</t>
        </is>
      </c>
      <c r="C7593" t="n">
        <v>11</v>
      </c>
      <c r="D7593" s="8" t="n">
        <v>46511</v>
      </c>
      <c r="E7593" s="9" t="n">
        <v>8558</v>
      </c>
      <c r="F7593" s="8" t="n"/>
      <c r="G7593" s="9" t="n">
        <v>0</v>
      </c>
      <c r="H7593" t="inlineStr">
        <is>
          <t>NOT_DUE</t>
        </is>
      </c>
      <c r="I7593">
        <f>IF(H7593="UNPAID", AsOfDate-D7593, 0)</f>
        <v/>
      </c>
      <c r="J7593">
        <f>IF(F7593&lt;&gt;"", TEXT(F7593, "yyyy-mm"), "")</f>
        <v/>
      </c>
    </row>
    <row r="7594">
      <c r="A7594" t="inlineStr">
        <is>
          <t>RP0007593</t>
        </is>
      </c>
      <c r="B7594" t="inlineStr">
        <is>
          <t>LN201076</t>
        </is>
      </c>
      <c r="C7594" t="n">
        <v>12</v>
      </c>
      <c r="D7594" s="8" t="n">
        <v>46542</v>
      </c>
      <c r="E7594" s="9" t="n">
        <v>8558</v>
      </c>
      <c r="F7594" s="8" t="n"/>
      <c r="G7594" s="9" t="n">
        <v>0</v>
      </c>
      <c r="H7594" t="inlineStr">
        <is>
          <t>NOT_DUE</t>
        </is>
      </c>
      <c r="I7594">
        <f>IF(H7594="UNPAID", AsOfDate-D7594, 0)</f>
        <v/>
      </c>
      <c r="J7594">
        <f>IF(F7594&lt;&gt;"", TEXT(F7594, "yyyy-mm"), "")</f>
        <v/>
      </c>
    </row>
    <row r="7595">
      <c r="A7595" t="inlineStr">
        <is>
          <t>RP0007594</t>
        </is>
      </c>
      <c r="B7595" t="inlineStr">
        <is>
          <t>LN201078</t>
        </is>
      </c>
      <c r="C7595" t="n">
        <v>1</v>
      </c>
      <c r="D7595" s="8" t="n">
        <v>46266</v>
      </c>
      <c r="E7595" s="9" t="n">
        <v>16000.33</v>
      </c>
      <c r="F7595" s="8" t="n">
        <v>46268</v>
      </c>
      <c r="G7595" s="9" t="n">
        <v>16000.33</v>
      </c>
      <c r="H7595" t="inlineStr">
        <is>
          <t>PAID_ON_TIME</t>
        </is>
      </c>
      <c r="I7595">
        <f>IF(H7595="UNPAID", AsOfDate-D7595, 0)</f>
        <v/>
      </c>
      <c r="J7595">
        <f>IF(F7595&lt;&gt;"", TEXT(F7595, "yyyy-mm"), "")</f>
        <v/>
      </c>
    </row>
    <row r="7596">
      <c r="A7596" t="inlineStr">
        <is>
          <t>RP0007595</t>
        </is>
      </c>
      <c r="B7596" t="inlineStr">
        <is>
          <t>LN201078</t>
        </is>
      </c>
      <c r="C7596" t="n">
        <v>2</v>
      </c>
      <c r="D7596" s="8" t="n">
        <v>46296</v>
      </c>
      <c r="E7596" s="9" t="n">
        <v>16000.33</v>
      </c>
      <c r="F7596" s="8" t="n"/>
      <c r="G7596" s="9" t="n">
        <v>0</v>
      </c>
      <c r="H7596" t="inlineStr">
        <is>
          <t>NOT_DUE</t>
        </is>
      </c>
      <c r="I7596">
        <f>IF(H7596="UNPAID", AsOfDate-D7596, 0)</f>
        <v/>
      </c>
      <c r="J7596">
        <f>IF(F7596&lt;&gt;"", TEXT(F7596, "yyyy-mm"), "")</f>
        <v/>
      </c>
    </row>
    <row r="7597">
      <c r="A7597" t="inlineStr">
        <is>
          <t>RP0007596</t>
        </is>
      </c>
      <c r="B7597" t="inlineStr">
        <is>
          <t>LN201078</t>
        </is>
      </c>
      <c r="C7597" t="n">
        <v>3</v>
      </c>
      <c r="D7597" s="8" t="n">
        <v>46327</v>
      </c>
      <c r="E7597" s="9" t="n">
        <v>16000.33</v>
      </c>
      <c r="F7597" s="8" t="n"/>
      <c r="G7597" s="9" t="n">
        <v>0</v>
      </c>
      <c r="H7597" t="inlineStr">
        <is>
          <t>NOT_DUE</t>
        </is>
      </c>
      <c r="I7597">
        <f>IF(H7597="UNPAID", AsOfDate-D7597, 0)</f>
        <v/>
      </c>
      <c r="J7597">
        <f>IF(F7597&lt;&gt;"", TEXT(F7597, "yyyy-mm"), "")</f>
        <v/>
      </c>
    </row>
    <row r="7598">
      <c r="A7598" t="inlineStr">
        <is>
          <t>RP0007597</t>
        </is>
      </c>
      <c r="B7598" t="inlineStr">
        <is>
          <t>LN201080</t>
        </is>
      </c>
      <c r="C7598" t="n">
        <v>1</v>
      </c>
      <c r="D7598" s="8" t="n">
        <v>45996</v>
      </c>
      <c r="E7598" s="9" t="n">
        <v>3998.5</v>
      </c>
      <c r="F7598" s="8" t="n">
        <v>46000</v>
      </c>
      <c r="G7598" s="9" t="n">
        <v>3998.5</v>
      </c>
      <c r="H7598" t="inlineStr">
        <is>
          <t>PAID_ON_TIME</t>
        </is>
      </c>
      <c r="I7598">
        <f>IF(H7598="UNPAID", AsOfDate-D7598, 0)</f>
        <v/>
      </c>
      <c r="J7598">
        <f>IF(F7598&lt;&gt;"", TEXT(F7598, "yyyy-mm"), "")</f>
        <v/>
      </c>
    </row>
    <row r="7599">
      <c r="A7599" t="inlineStr">
        <is>
          <t>RP0007598</t>
        </is>
      </c>
      <c r="B7599" t="inlineStr">
        <is>
          <t>LN201080</t>
        </is>
      </c>
      <c r="C7599" t="n">
        <v>2</v>
      </c>
      <c r="D7599" s="8" t="n">
        <v>46027</v>
      </c>
      <c r="E7599" s="9" t="n">
        <v>3998.5</v>
      </c>
      <c r="F7599" s="8" t="n">
        <v>46028</v>
      </c>
      <c r="G7599" s="9" t="n">
        <v>3998.5</v>
      </c>
      <c r="H7599" t="inlineStr">
        <is>
          <t>PAID_ON_TIME</t>
        </is>
      </c>
      <c r="I7599">
        <f>IF(H7599="UNPAID", AsOfDate-D7599, 0)</f>
        <v/>
      </c>
      <c r="J7599">
        <f>IF(F7599&lt;&gt;"", TEXT(F7599, "yyyy-mm"), "")</f>
        <v/>
      </c>
    </row>
    <row r="7600">
      <c r="A7600" t="inlineStr">
        <is>
          <t>RP0007599</t>
        </is>
      </c>
      <c r="B7600" t="inlineStr">
        <is>
          <t>LN201080</t>
        </is>
      </c>
      <c r="C7600" t="n">
        <v>3</v>
      </c>
      <c r="D7600" s="8" t="n">
        <v>46058</v>
      </c>
      <c r="E7600" s="9" t="n">
        <v>3998.5</v>
      </c>
      <c r="F7600" s="8" t="n">
        <v>46058</v>
      </c>
      <c r="G7600" s="9" t="n">
        <v>3998.5</v>
      </c>
      <c r="H7600" t="inlineStr">
        <is>
          <t>PAID_ON_TIME</t>
        </is>
      </c>
      <c r="I7600">
        <f>IF(H7600="UNPAID", AsOfDate-D7600, 0)</f>
        <v/>
      </c>
      <c r="J7600">
        <f>IF(F7600&lt;&gt;"", TEXT(F7600, "yyyy-mm"), "")</f>
        <v/>
      </c>
    </row>
    <row r="7601">
      <c r="A7601" t="inlineStr">
        <is>
          <t>RP0007600</t>
        </is>
      </c>
      <c r="B7601" t="inlineStr">
        <is>
          <t>LN201080</t>
        </is>
      </c>
      <c r="C7601" t="n">
        <v>4</v>
      </c>
      <c r="D7601" s="8" t="n">
        <v>46086</v>
      </c>
      <c r="E7601" s="9" t="n">
        <v>3998.5</v>
      </c>
      <c r="F7601" s="8" t="n">
        <v>46090</v>
      </c>
      <c r="G7601" s="9" t="n">
        <v>3998.5</v>
      </c>
      <c r="H7601" t="inlineStr">
        <is>
          <t>PAID_ON_TIME</t>
        </is>
      </c>
      <c r="I7601">
        <f>IF(H7601="UNPAID", AsOfDate-D7601, 0)</f>
        <v/>
      </c>
      <c r="J7601">
        <f>IF(F7601&lt;&gt;"", TEXT(F7601, "yyyy-mm"), "")</f>
        <v/>
      </c>
    </row>
    <row r="7602">
      <c r="A7602" t="inlineStr">
        <is>
          <t>RP0007601</t>
        </is>
      </c>
      <c r="B7602" t="inlineStr">
        <is>
          <t>LN201080</t>
        </is>
      </c>
      <c r="C7602" t="n">
        <v>5</v>
      </c>
      <c r="D7602" s="8" t="n">
        <v>46117</v>
      </c>
      <c r="E7602" s="9" t="n">
        <v>3998.5</v>
      </c>
      <c r="F7602" s="8" t="n">
        <v>46120</v>
      </c>
      <c r="G7602" s="9" t="n">
        <v>3998.5</v>
      </c>
      <c r="H7602" t="inlineStr">
        <is>
          <t>PAID_ON_TIME</t>
        </is>
      </c>
      <c r="I7602">
        <f>IF(H7602="UNPAID", AsOfDate-D7602, 0)</f>
        <v/>
      </c>
      <c r="J7602">
        <f>IF(F7602&lt;&gt;"", TEXT(F7602, "yyyy-mm"), "")</f>
        <v/>
      </c>
    </row>
    <row r="7603">
      <c r="A7603" t="inlineStr">
        <is>
          <t>RP0007602</t>
        </is>
      </c>
      <c r="B7603" t="inlineStr">
        <is>
          <t>LN201080</t>
        </is>
      </c>
      <c r="C7603" t="n">
        <v>6</v>
      </c>
      <c r="D7603" s="8" t="n">
        <v>46147</v>
      </c>
      <c r="E7603" s="9" t="n">
        <v>3998.5</v>
      </c>
      <c r="F7603" s="8" t="n">
        <v>46146</v>
      </c>
      <c r="G7603" s="9" t="n">
        <v>3998.5</v>
      </c>
      <c r="H7603" t="inlineStr">
        <is>
          <t>PAID_ON_TIME</t>
        </is>
      </c>
      <c r="I7603">
        <f>IF(H7603="UNPAID", AsOfDate-D7603, 0)</f>
        <v/>
      </c>
      <c r="J7603">
        <f>IF(F7603&lt;&gt;"", TEXT(F7603, "yyyy-mm"), "")</f>
        <v/>
      </c>
    </row>
    <row r="7604">
      <c r="A7604" t="inlineStr">
        <is>
          <t>RP0007603</t>
        </is>
      </c>
      <c r="B7604" t="inlineStr">
        <is>
          <t>LN201081</t>
        </is>
      </c>
      <c r="C7604" t="n">
        <v>1</v>
      </c>
      <c r="D7604" s="8" t="n">
        <v>45935</v>
      </c>
      <c r="E7604" s="9" t="n">
        <v>6906.5</v>
      </c>
      <c r="F7604" s="8" t="n">
        <v>45936</v>
      </c>
      <c r="G7604" s="9" t="n">
        <v>6906.5</v>
      </c>
      <c r="H7604" t="inlineStr">
        <is>
          <t>PAID_ON_TIME</t>
        </is>
      </c>
      <c r="I7604">
        <f>IF(H7604="UNPAID", AsOfDate-D7604, 0)</f>
        <v/>
      </c>
      <c r="J7604">
        <f>IF(F7604&lt;&gt;"", TEXT(F7604, "yyyy-mm"), "")</f>
        <v/>
      </c>
    </row>
    <row r="7605">
      <c r="A7605" t="inlineStr">
        <is>
          <t>RP0007604</t>
        </is>
      </c>
      <c r="B7605" t="inlineStr">
        <is>
          <t>LN201081</t>
        </is>
      </c>
      <c r="C7605" t="n">
        <v>2</v>
      </c>
      <c r="D7605" s="8" t="n">
        <v>45966</v>
      </c>
      <c r="E7605" s="9" t="n">
        <v>6906.5</v>
      </c>
      <c r="F7605" s="8" t="n">
        <v>45966</v>
      </c>
      <c r="G7605" s="9" t="n">
        <v>6906.5</v>
      </c>
      <c r="H7605" t="inlineStr">
        <is>
          <t>PAID_ON_TIME</t>
        </is>
      </c>
      <c r="I7605">
        <f>IF(H7605="UNPAID", AsOfDate-D7605, 0)</f>
        <v/>
      </c>
      <c r="J7605">
        <f>IF(F7605&lt;&gt;"", TEXT(F7605, "yyyy-mm"), "")</f>
        <v/>
      </c>
    </row>
    <row r="7606">
      <c r="A7606" t="inlineStr">
        <is>
          <t>RP0007605</t>
        </is>
      </c>
      <c r="B7606" t="inlineStr">
        <is>
          <t>LN201081</t>
        </is>
      </c>
      <c r="C7606" t="n">
        <v>3</v>
      </c>
      <c r="D7606" s="8" t="n">
        <v>45996</v>
      </c>
      <c r="E7606" s="9" t="n">
        <v>6906.5</v>
      </c>
      <c r="F7606" s="8" t="n">
        <v>46000</v>
      </c>
      <c r="G7606" s="9" t="n">
        <v>6906.5</v>
      </c>
      <c r="H7606" t="inlineStr">
        <is>
          <t>PAID_ON_TIME</t>
        </is>
      </c>
      <c r="I7606">
        <f>IF(H7606="UNPAID", AsOfDate-D7606, 0)</f>
        <v/>
      </c>
      <c r="J7606">
        <f>IF(F7606&lt;&gt;"", TEXT(F7606, "yyyy-mm"), "")</f>
        <v/>
      </c>
    </row>
    <row r="7607">
      <c r="A7607" t="inlineStr">
        <is>
          <t>RP0007606</t>
        </is>
      </c>
      <c r="B7607" t="inlineStr">
        <is>
          <t>LN201081</t>
        </is>
      </c>
      <c r="C7607" t="n">
        <v>4</v>
      </c>
      <c r="D7607" s="8" t="n">
        <v>46027</v>
      </c>
      <c r="E7607" s="9" t="n">
        <v>6906.5</v>
      </c>
      <c r="F7607" s="8" t="n">
        <v>46026</v>
      </c>
      <c r="G7607" s="9" t="n">
        <v>6906.5</v>
      </c>
      <c r="H7607" t="inlineStr">
        <is>
          <t>PAID_ON_TIME</t>
        </is>
      </c>
      <c r="I7607">
        <f>IF(H7607="UNPAID", AsOfDate-D7607, 0)</f>
        <v/>
      </c>
      <c r="J7607">
        <f>IF(F7607&lt;&gt;"", TEXT(F7607, "yyyy-mm"), "")</f>
        <v/>
      </c>
    </row>
    <row r="7608">
      <c r="A7608" t="inlineStr">
        <is>
          <t>RP0007607</t>
        </is>
      </c>
      <c r="B7608" t="inlineStr">
        <is>
          <t>LN201081</t>
        </is>
      </c>
      <c r="C7608" t="n">
        <v>5</v>
      </c>
      <c r="D7608" s="8" t="n">
        <v>46058</v>
      </c>
      <c r="E7608" s="9" t="n">
        <v>6906.5</v>
      </c>
      <c r="F7608" s="8" t="n">
        <v>46055</v>
      </c>
      <c r="G7608" s="9" t="n">
        <v>6906.5</v>
      </c>
      <c r="H7608" t="inlineStr">
        <is>
          <t>PAID_ON_TIME</t>
        </is>
      </c>
      <c r="I7608">
        <f>IF(H7608="UNPAID", AsOfDate-D7608, 0)</f>
        <v/>
      </c>
      <c r="J7608">
        <f>IF(F7608&lt;&gt;"", TEXT(F7608, "yyyy-mm"), "")</f>
        <v/>
      </c>
    </row>
    <row r="7609">
      <c r="A7609" t="inlineStr">
        <is>
          <t>RP0007608</t>
        </is>
      </c>
      <c r="B7609" t="inlineStr">
        <is>
          <t>LN201081</t>
        </is>
      </c>
      <c r="C7609" t="n">
        <v>6</v>
      </c>
      <c r="D7609" s="8" t="n">
        <v>46086</v>
      </c>
      <c r="E7609" s="9" t="n">
        <v>6906.5</v>
      </c>
      <c r="F7609" s="8" t="n">
        <v>46083</v>
      </c>
      <c r="G7609" s="9" t="n">
        <v>6906.5</v>
      </c>
      <c r="H7609" t="inlineStr">
        <is>
          <t>PAID_ON_TIME</t>
        </is>
      </c>
      <c r="I7609">
        <f>IF(H7609="UNPAID", AsOfDate-D7609, 0)</f>
        <v/>
      </c>
      <c r="J7609">
        <f>IF(F7609&lt;&gt;"", TEXT(F7609, "yyyy-mm"), "")</f>
        <v/>
      </c>
    </row>
    <row r="7610">
      <c r="A7610" t="inlineStr">
        <is>
          <t>RP0007609</t>
        </is>
      </c>
      <c r="B7610" t="inlineStr">
        <is>
          <t>LN201082</t>
        </is>
      </c>
      <c r="C7610" t="n">
        <v>1</v>
      </c>
      <c r="D7610" s="8" t="n">
        <v>46249</v>
      </c>
      <c r="E7610" s="9" t="n">
        <v>5911.5</v>
      </c>
      <c r="F7610" s="8" t="n">
        <v>46250</v>
      </c>
      <c r="G7610" s="9" t="n">
        <v>5911.5</v>
      </c>
      <c r="H7610" t="inlineStr">
        <is>
          <t>PAID_ON_TIME</t>
        </is>
      </c>
      <c r="I7610">
        <f>IF(H7610="UNPAID", AsOfDate-D7610, 0)</f>
        <v/>
      </c>
      <c r="J7610">
        <f>IF(F7610&lt;&gt;"", TEXT(F7610, "yyyy-mm"), "")</f>
        <v/>
      </c>
    </row>
    <row r="7611">
      <c r="A7611" t="inlineStr">
        <is>
          <t>RP0007610</t>
        </is>
      </c>
      <c r="B7611" t="inlineStr">
        <is>
          <t>LN201082</t>
        </is>
      </c>
      <c r="C7611" t="n">
        <v>2</v>
      </c>
      <c r="D7611" s="8" t="n">
        <v>46280</v>
      </c>
      <c r="E7611" s="9" t="n">
        <v>5911.5</v>
      </c>
      <c r="F7611" s="8" t="n"/>
      <c r="G7611" s="9" t="n">
        <v>0</v>
      </c>
      <c r="H7611" t="inlineStr">
        <is>
          <t>NOT_DUE</t>
        </is>
      </c>
      <c r="I7611">
        <f>IF(H7611="UNPAID", AsOfDate-D7611, 0)</f>
        <v/>
      </c>
      <c r="J7611">
        <f>IF(F7611&lt;&gt;"", TEXT(F7611, "yyyy-mm"), "")</f>
        <v/>
      </c>
    </row>
    <row r="7612">
      <c r="A7612" t="inlineStr">
        <is>
          <t>RP0007611</t>
        </is>
      </c>
      <c r="B7612" t="inlineStr">
        <is>
          <t>LN201082</t>
        </is>
      </c>
      <c r="C7612" t="n">
        <v>3</v>
      </c>
      <c r="D7612" s="8" t="n">
        <v>46310</v>
      </c>
      <c r="E7612" s="9" t="n">
        <v>5911.5</v>
      </c>
      <c r="F7612" s="8" t="n"/>
      <c r="G7612" s="9" t="n">
        <v>0</v>
      </c>
      <c r="H7612" t="inlineStr">
        <is>
          <t>NOT_DUE</t>
        </is>
      </c>
      <c r="I7612">
        <f>IF(H7612="UNPAID", AsOfDate-D7612, 0)</f>
        <v/>
      </c>
      <c r="J7612">
        <f>IF(F7612&lt;&gt;"", TEXT(F7612, "yyyy-mm"), "")</f>
        <v/>
      </c>
    </row>
    <row r="7613">
      <c r="A7613" t="inlineStr">
        <is>
          <t>RP0007612</t>
        </is>
      </c>
      <c r="B7613" t="inlineStr">
        <is>
          <t>LN201082</t>
        </is>
      </c>
      <c r="C7613" t="n">
        <v>4</v>
      </c>
      <c r="D7613" s="8" t="n">
        <v>46341</v>
      </c>
      <c r="E7613" s="9" t="n">
        <v>5911.5</v>
      </c>
      <c r="F7613" s="8" t="n"/>
      <c r="G7613" s="9" t="n">
        <v>0</v>
      </c>
      <c r="H7613" t="inlineStr">
        <is>
          <t>NOT_DUE</t>
        </is>
      </c>
      <c r="I7613">
        <f>IF(H7613="UNPAID", AsOfDate-D7613, 0)</f>
        <v/>
      </c>
      <c r="J7613">
        <f>IF(F7613&lt;&gt;"", TEXT(F7613, "yyyy-mm"), "")</f>
        <v/>
      </c>
    </row>
    <row r="7614">
      <c r="A7614" t="inlineStr">
        <is>
          <t>RP0007613</t>
        </is>
      </c>
      <c r="B7614" t="inlineStr">
        <is>
          <t>LN201082</t>
        </is>
      </c>
      <c r="C7614" t="n">
        <v>5</v>
      </c>
      <c r="D7614" s="8" t="n">
        <v>46371</v>
      </c>
      <c r="E7614" s="9" t="n">
        <v>5911.5</v>
      </c>
      <c r="F7614" s="8" t="n"/>
      <c r="G7614" s="9" t="n">
        <v>0</v>
      </c>
      <c r="H7614" t="inlineStr">
        <is>
          <t>NOT_DUE</t>
        </is>
      </c>
      <c r="I7614">
        <f>IF(H7614="UNPAID", AsOfDate-D7614, 0)</f>
        <v/>
      </c>
      <c r="J7614">
        <f>IF(F7614&lt;&gt;"", TEXT(F7614, "yyyy-mm"), "")</f>
        <v/>
      </c>
    </row>
    <row r="7615">
      <c r="A7615" t="inlineStr">
        <is>
          <t>RP0007614</t>
        </is>
      </c>
      <c r="B7615" t="inlineStr">
        <is>
          <t>LN201082</t>
        </is>
      </c>
      <c r="C7615" t="n">
        <v>6</v>
      </c>
      <c r="D7615" s="8" t="n">
        <v>46402</v>
      </c>
      <c r="E7615" s="9" t="n">
        <v>5911.5</v>
      </c>
      <c r="F7615" s="8" t="n"/>
      <c r="G7615" s="9" t="n">
        <v>0</v>
      </c>
      <c r="H7615" t="inlineStr">
        <is>
          <t>NOT_DUE</t>
        </is>
      </c>
      <c r="I7615">
        <f>IF(H7615="UNPAID", AsOfDate-D7615, 0)</f>
        <v/>
      </c>
      <c r="J7615">
        <f>IF(F7615&lt;&gt;"", TEXT(F7615, "yyyy-mm"), "")</f>
        <v/>
      </c>
    </row>
    <row r="7616">
      <c r="A7616" t="inlineStr">
        <is>
          <t>RP0007615</t>
        </is>
      </c>
      <c r="B7616" t="inlineStr">
        <is>
          <t>LN201082</t>
        </is>
      </c>
      <c r="C7616" t="n">
        <v>7</v>
      </c>
      <c r="D7616" s="8" t="n">
        <v>46433</v>
      </c>
      <c r="E7616" s="9" t="n">
        <v>5911.5</v>
      </c>
      <c r="F7616" s="8" t="n"/>
      <c r="G7616" s="9" t="n">
        <v>0</v>
      </c>
      <c r="H7616" t="inlineStr">
        <is>
          <t>NOT_DUE</t>
        </is>
      </c>
      <c r="I7616">
        <f>IF(H7616="UNPAID", AsOfDate-D7616, 0)</f>
        <v/>
      </c>
      <c r="J7616">
        <f>IF(F7616&lt;&gt;"", TEXT(F7616, "yyyy-mm"), "")</f>
        <v/>
      </c>
    </row>
    <row r="7617">
      <c r="A7617" t="inlineStr">
        <is>
          <t>RP0007616</t>
        </is>
      </c>
      <c r="B7617" t="inlineStr">
        <is>
          <t>LN201082</t>
        </is>
      </c>
      <c r="C7617" t="n">
        <v>8</v>
      </c>
      <c r="D7617" s="8" t="n">
        <v>46461</v>
      </c>
      <c r="E7617" s="9" t="n">
        <v>5911.5</v>
      </c>
      <c r="F7617" s="8" t="n"/>
      <c r="G7617" s="9" t="n">
        <v>0</v>
      </c>
      <c r="H7617" t="inlineStr">
        <is>
          <t>NOT_DUE</t>
        </is>
      </c>
      <c r="I7617">
        <f>IF(H7617="UNPAID", AsOfDate-D7617, 0)</f>
        <v/>
      </c>
      <c r="J7617">
        <f>IF(F7617&lt;&gt;"", TEXT(F7617, "yyyy-mm"), "")</f>
        <v/>
      </c>
    </row>
    <row r="7618">
      <c r="A7618" t="inlineStr">
        <is>
          <t>RP0007617</t>
        </is>
      </c>
      <c r="B7618" t="inlineStr">
        <is>
          <t>LN201082</t>
        </is>
      </c>
      <c r="C7618" t="n">
        <v>9</v>
      </c>
      <c r="D7618" s="8" t="n">
        <v>46492</v>
      </c>
      <c r="E7618" s="9" t="n">
        <v>5911.5</v>
      </c>
      <c r="F7618" s="8" t="n"/>
      <c r="G7618" s="9" t="n">
        <v>0</v>
      </c>
      <c r="H7618" t="inlineStr">
        <is>
          <t>NOT_DUE</t>
        </is>
      </c>
      <c r="I7618">
        <f>IF(H7618="UNPAID", AsOfDate-D7618, 0)</f>
        <v/>
      </c>
      <c r="J7618">
        <f>IF(F7618&lt;&gt;"", TEXT(F7618, "yyyy-mm"), "")</f>
        <v/>
      </c>
    </row>
    <row r="7619">
      <c r="A7619" t="inlineStr">
        <is>
          <t>RP0007618</t>
        </is>
      </c>
      <c r="B7619" t="inlineStr">
        <is>
          <t>LN201082</t>
        </is>
      </c>
      <c r="C7619" t="n">
        <v>10</v>
      </c>
      <c r="D7619" s="8" t="n">
        <v>46522</v>
      </c>
      <c r="E7619" s="9" t="n">
        <v>5911.5</v>
      </c>
      <c r="F7619" s="8" t="n"/>
      <c r="G7619" s="9" t="n">
        <v>0</v>
      </c>
      <c r="H7619" t="inlineStr">
        <is>
          <t>NOT_DUE</t>
        </is>
      </c>
      <c r="I7619">
        <f>IF(H7619="UNPAID", AsOfDate-D7619, 0)</f>
        <v/>
      </c>
      <c r="J7619">
        <f>IF(F7619&lt;&gt;"", TEXT(F7619, "yyyy-mm"), "")</f>
        <v/>
      </c>
    </row>
    <row r="7620">
      <c r="A7620" t="inlineStr">
        <is>
          <t>RP0007619</t>
        </is>
      </c>
      <c r="B7620" t="inlineStr">
        <is>
          <t>LN201082</t>
        </is>
      </c>
      <c r="C7620" t="n">
        <v>11</v>
      </c>
      <c r="D7620" s="8" t="n">
        <v>46553</v>
      </c>
      <c r="E7620" s="9" t="n">
        <v>5911.5</v>
      </c>
      <c r="F7620" s="8" t="n"/>
      <c r="G7620" s="9" t="n">
        <v>0</v>
      </c>
      <c r="H7620" t="inlineStr">
        <is>
          <t>NOT_DUE</t>
        </is>
      </c>
      <c r="I7620">
        <f>IF(H7620="UNPAID", AsOfDate-D7620, 0)</f>
        <v/>
      </c>
      <c r="J7620">
        <f>IF(F7620&lt;&gt;"", TEXT(F7620, "yyyy-mm"), "")</f>
        <v/>
      </c>
    </row>
    <row r="7621">
      <c r="A7621" t="inlineStr">
        <is>
          <t>RP0007620</t>
        </is>
      </c>
      <c r="B7621" t="inlineStr">
        <is>
          <t>LN201082</t>
        </is>
      </c>
      <c r="C7621" t="n">
        <v>12</v>
      </c>
      <c r="D7621" s="8" t="n">
        <v>46583</v>
      </c>
      <c r="E7621" s="9" t="n">
        <v>5911.5</v>
      </c>
      <c r="F7621" s="8" t="n"/>
      <c r="G7621" s="9" t="n">
        <v>0</v>
      </c>
      <c r="H7621" t="inlineStr">
        <is>
          <t>NOT_DUE</t>
        </is>
      </c>
      <c r="I7621">
        <f>IF(H7621="UNPAID", AsOfDate-D7621, 0)</f>
        <v/>
      </c>
      <c r="J7621">
        <f>IF(F7621&lt;&gt;"", TEXT(F7621, "yyyy-mm"), "")</f>
        <v/>
      </c>
    </row>
    <row r="7622">
      <c r="A7622" t="inlineStr">
        <is>
          <t>RP0007621</t>
        </is>
      </c>
      <c r="B7622" t="inlineStr">
        <is>
          <t>LN201084</t>
        </is>
      </c>
      <c r="C7622" t="n">
        <v>1</v>
      </c>
      <c r="D7622" s="8" t="n">
        <v>46091</v>
      </c>
      <c r="E7622" s="9" t="n">
        <v>9087.5</v>
      </c>
      <c r="F7622" s="8" t="n">
        <v>46091</v>
      </c>
      <c r="G7622" s="9" t="n">
        <v>9087.5</v>
      </c>
      <c r="H7622" t="inlineStr">
        <is>
          <t>PAID_ON_TIME</t>
        </is>
      </c>
      <c r="I7622">
        <f>IF(H7622="UNPAID", AsOfDate-D7622, 0)</f>
        <v/>
      </c>
      <c r="J7622">
        <f>IF(F7622&lt;&gt;"", TEXT(F7622, "yyyy-mm"), "")</f>
        <v/>
      </c>
    </row>
    <row r="7623">
      <c r="A7623" t="inlineStr">
        <is>
          <t>RP0007622</t>
        </is>
      </c>
      <c r="B7623" t="inlineStr">
        <is>
          <t>LN201084</t>
        </is>
      </c>
      <c r="C7623" t="n">
        <v>2</v>
      </c>
      <c r="D7623" s="8" t="n">
        <v>46122</v>
      </c>
      <c r="E7623" s="9" t="n">
        <v>9087.5</v>
      </c>
      <c r="F7623" s="8" t="n">
        <v>46136</v>
      </c>
      <c r="G7623" s="9" t="n">
        <v>9087.5</v>
      </c>
      <c r="H7623" t="inlineStr">
        <is>
          <t>PAID_LATE</t>
        </is>
      </c>
      <c r="I7623">
        <f>IF(H7623="UNPAID", AsOfDate-D7623, 0)</f>
        <v/>
      </c>
      <c r="J7623">
        <f>IF(F7623&lt;&gt;"", TEXT(F7623, "yyyy-mm"), "")</f>
        <v/>
      </c>
    </row>
    <row r="7624">
      <c r="A7624" t="inlineStr">
        <is>
          <t>RP0007623</t>
        </is>
      </c>
      <c r="B7624" t="inlineStr">
        <is>
          <t>LN201084</t>
        </is>
      </c>
      <c r="C7624" t="n">
        <v>3</v>
      </c>
      <c r="D7624" s="8" t="n">
        <v>46152</v>
      </c>
      <c r="E7624" s="9" t="n">
        <v>9087.5</v>
      </c>
      <c r="F7624" s="8" t="n">
        <v>46156</v>
      </c>
      <c r="G7624" s="9" t="n">
        <v>9087.5</v>
      </c>
      <c r="H7624" t="inlineStr">
        <is>
          <t>PAID_ON_TIME</t>
        </is>
      </c>
      <c r="I7624">
        <f>IF(H7624="UNPAID", AsOfDate-D7624, 0)</f>
        <v/>
      </c>
      <c r="J7624">
        <f>IF(F7624&lt;&gt;"", TEXT(F7624, "yyyy-mm"), "")</f>
        <v/>
      </c>
    </row>
    <row r="7625">
      <c r="A7625" t="inlineStr">
        <is>
          <t>RP0007624</t>
        </is>
      </c>
      <c r="B7625" t="inlineStr">
        <is>
          <t>LN201084</t>
        </is>
      </c>
      <c r="C7625" t="n">
        <v>4</v>
      </c>
      <c r="D7625" s="8" t="n">
        <v>46183</v>
      </c>
      <c r="E7625" s="9" t="n">
        <v>9087.5</v>
      </c>
      <c r="F7625" s="8" t="n">
        <v>46186</v>
      </c>
      <c r="G7625" s="9" t="n">
        <v>9087.5</v>
      </c>
      <c r="H7625" t="inlineStr">
        <is>
          <t>PAID_ON_TIME</t>
        </is>
      </c>
      <c r="I7625">
        <f>IF(H7625="UNPAID", AsOfDate-D7625, 0)</f>
        <v/>
      </c>
      <c r="J7625">
        <f>IF(F7625&lt;&gt;"", TEXT(F7625, "yyyy-mm"), "")</f>
        <v/>
      </c>
    </row>
    <row r="7626">
      <c r="A7626" t="inlineStr">
        <is>
          <t>RP0007625</t>
        </is>
      </c>
      <c r="B7626" t="inlineStr">
        <is>
          <t>LN201084</t>
        </is>
      </c>
      <c r="C7626" t="n">
        <v>5</v>
      </c>
      <c r="D7626" s="8" t="n">
        <v>46213</v>
      </c>
      <c r="E7626" s="9" t="n">
        <v>9087.5</v>
      </c>
      <c r="F7626" s="8" t="n">
        <v>46211</v>
      </c>
      <c r="G7626" s="9" t="n">
        <v>9087.5</v>
      </c>
      <c r="H7626" t="inlineStr">
        <is>
          <t>PAID_ON_TIME</t>
        </is>
      </c>
      <c r="I7626">
        <f>IF(H7626="UNPAID", AsOfDate-D7626, 0)</f>
        <v/>
      </c>
      <c r="J7626">
        <f>IF(F7626&lt;&gt;"", TEXT(F7626, "yyyy-mm"), "")</f>
        <v/>
      </c>
    </row>
    <row r="7627">
      <c r="A7627" t="inlineStr">
        <is>
          <t>RP0007626</t>
        </is>
      </c>
      <c r="B7627" t="inlineStr">
        <is>
          <t>LN201084</t>
        </is>
      </c>
      <c r="C7627" t="n">
        <v>6</v>
      </c>
      <c r="D7627" s="8" t="n">
        <v>46244</v>
      </c>
      <c r="E7627" s="9" t="n">
        <v>9087.5</v>
      </c>
      <c r="F7627" s="8" t="n">
        <v>46246</v>
      </c>
      <c r="G7627" s="9" t="n">
        <v>9087.5</v>
      </c>
      <c r="H7627" t="inlineStr">
        <is>
          <t>PAID_ON_TIME</t>
        </is>
      </c>
      <c r="I7627">
        <f>IF(H7627="UNPAID", AsOfDate-D7627, 0)</f>
        <v/>
      </c>
      <c r="J7627">
        <f>IF(F7627&lt;&gt;"", TEXT(F7627, "yyyy-mm"), "")</f>
        <v/>
      </c>
    </row>
    <row r="7628">
      <c r="A7628" t="inlineStr">
        <is>
          <t>RP0007627</t>
        </is>
      </c>
      <c r="B7628" t="inlineStr">
        <is>
          <t>LN201085</t>
        </is>
      </c>
      <c r="C7628" t="n">
        <v>1</v>
      </c>
      <c r="D7628" s="8" t="n">
        <v>45770</v>
      </c>
      <c r="E7628" s="9" t="n">
        <v>9504.190000000001</v>
      </c>
      <c r="F7628" s="8" t="n">
        <v>45769</v>
      </c>
      <c r="G7628" s="9" t="n">
        <v>9504.190000000001</v>
      </c>
      <c r="H7628" t="inlineStr">
        <is>
          <t>PAID_ON_TIME</t>
        </is>
      </c>
      <c r="I7628">
        <f>IF(H7628="UNPAID", AsOfDate-D7628, 0)</f>
        <v/>
      </c>
      <c r="J7628">
        <f>IF(F7628&lt;&gt;"", TEXT(F7628, "yyyy-mm"), "")</f>
        <v/>
      </c>
    </row>
    <row r="7629">
      <c r="A7629" t="inlineStr">
        <is>
          <t>RP0007628</t>
        </is>
      </c>
      <c r="B7629" t="inlineStr">
        <is>
          <t>LN201085</t>
        </is>
      </c>
      <c r="C7629" t="n">
        <v>2</v>
      </c>
      <c r="D7629" s="8" t="n">
        <v>45800</v>
      </c>
      <c r="E7629" s="9" t="n">
        <v>9504.190000000001</v>
      </c>
      <c r="F7629" s="8" t="n">
        <v>45800</v>
      </c>
      <c r="G7629" s="9" t="n">
        <v>9504.190000000001</v>
      </c>
      <c r="H7629" t="inlineStr">
        <is>
          <t>PAID_ON_TIME</t>
        </is>
      </c>
      <c r="I7629">
        <f>IF(H7629="UNPAID", AsOfDate-D7629, 0)</f>
        <v/>
      </c>
      <c r="J7629">
        <f>IF(F7629&lt;&gt;"", TEXT(F7629, "yyyy-mm"), "")</f>
        <v/>
      </c>
    </row>
    <row r="7630">
      <c r="A7630" t="inlineStr">
        <is>
          <t>RP0007629</t>
        </is>
      </c>
      <c r="B7630" t="inlineStr">
        <is>
          <t>LN201085</t>
        </is>
      </c>
      <c r="C7630" t="n">
        <v>3</v>
      </c>
      <c r="D7630" s="8" t="n">
        <v>45831</v>
      </c>
      <c r="E7630" s="9" t="n">
        <v>9504.190000000001</v>
      </c>
      <c r="F7630" s="8" t="n">
        <v>45829</v>
      </c>
      <c r="G7630" s="9" t="n">
        <v>9504.190000000001</v>
      </c>
      <c r="H7630" t="inlineStr">
        <is>
          <t>PAID_ON_TIME</t>
        </is>
      </c>
      <c r="I7630">
        <f>IF(H7630="UNPAID", AsOfDate-D7630, 0)</f>
        <v/>
      </c>
      <c r="J7630">
        <f>IF(F7630&lt;&gt;"", TEXT(F7630, "yyyy-mm"), "")</f>
        <v/>
      </c>
    </row>
    <row r="7631">
      <c r="A7631" t="inlineStr">
        <is>
          <t>RP0007630</t>
        </is>
      </c>
      <c r="B7631" t="inlineStr">
        <is>
          <t>LN201085</t>
        </is>
      </c>
      <c r="C7631" t="n">
        <v>4</v>
      </c>
      <c r="D7631" s="8" t="n">
        <v>45861</v>
      </c>
      <c r="E7631" s="9" t="n">
        <v>9504.190000000001</v>
      </c>
      <c r="F7631" s="8" t="n">
        <v>45862</v>
      </c>
      <c r="G7631" s="9" t="n">
        <v>9504.190000000001</v>
      </c>
      <c r="H7631" t="inlineStr">
        <is>
          <t>PAID_ON_TIME</t>
        </is>
      </c>
      <c r="I7631">
        <f>IF(H7631="UNPAID", AsOfDate-D7631, 0)</f>
        <v/>
      </c>
      <c r="J7631">
        <f>IF(F7631&lt;&gt;"", TEXT(F7631, "yyyy-mm"), "")</f>
        <v/>
      </c>
    </row>
    <row r="7632">
      <c r="A7632" t="inlineStr">
        <is>
          <t>RP0007631</t>
        </is>
      </c>
      <c r="B7632" t="inlineStr">
        <is>
          <t>LN201085</t>
        </is>
      </c>
      <c r="C7632" t="n">
        <v>5</v>
      </c>
      <c r="D7632" s="8" t="n">
        <v>45892</v>
      </c>
      <c r="E7632" s="9" t="n">
        <v>9504.190000000001</v>
      </c>
      <c r="F7632" s="8" t="n">
        <v>46001</v>
      </c>
      <c r="G7632" s="9" t="n">
        <v>9504.190000000001</v>
      </c>
      <c r="H7632" t="inlineStr">
        <is>
          <t>PAID_LATE</t>
        </is>
      </c>
      <c r="I7632">
        <f>IF(H7632="UNPAID", AsOfDate-D7632, 0)</f>
        <v/>
      </c>
      <c r="J7632">
        <f>IF(F7632&lt;&gt;"", TEXT(F7632, "yyyy-mm"), "")</f>
        <v/>
      </c>
    </row>
    <row r="7633">
      <c r="A7633" t="inlineStr">
        <is>
          <t>RP0007632</t>
        </is>
      </c>
      <c r="B7633" t="inlineStr">
        <is>
          <t>LN201085</t>
        </is>
      </c>
      <c r="C7633" t="n">
        <v>6</v>
      </c>
      <c r="D7633" s="8" t="n">
        <v>45923</v>
      </c>
      <c r="E7633" s="9" t="n">
        <v>9504.190000000001</v>
      </c>
      <c r="F7633" s="8" t="n">
        <v>45923</v>
      </c>
      <c r="G7633" s="9" t="n">
        <v>9504.190000000001</v>
      </c>
      <c r="H7633" t="inlineStr">
        <is>
          <t>PAID_ON_TIME</t>
        </is>
      </c>
      <c r="I7633">
        <f>IF(H7633="UNPAID", AsOfDate-D7633, 0)</f>
        <v/>
      </c>
      <c r="J7633">
        <f>IF(F7633&lt;&gt;"", TEXT(F7633, "yyyy-mm"), "")</f>
        <v/>
      </c>
    </row>
    <row r="7634">
      <c r="A7634" t="inlineStr">
        <is>
          <t>RP0007633</t>
        </is>
      </c>
      <c r="B7634" t="inlineStr">
        <is>
          <t>LN201085</t>
        </is>
      </c>
      <c r="C7634" t="n">
        <v>7</v>
      </c>
      <c r="D7634" s="8" t="n">
        <v>45953</v>
      </c>
      <c r="E7634" s="9" t="n">
        <v>9504.190000000001</v>
      </c>
      <c r="F7634" s="8" t="n">
        <v>45950</v>
      </c>
      <c r="G7634" s="9" t="n">
        <v>9504.190000000001</v>
      </c>
      <c r="H7634" t="inlineStr">
        <is>
          <t>PAID_ON_TIME</t>
        </is>
      </c>
      <c r="I7634">
        <f>IF(H7634="UNPAID", AsOfDate-D7634, 0)</f>
        <v/>
      </c>
      <c r="J7634">
        <f>IF(F7634&lt;&gt;"", TEXT(F7634, "yyyy-mm"), "")</f>
        <v/>
      </c>
    </row>
    <row r="7635">
      <c r="A7635" t="inlineStr">
        <is>
          <t>RP0007634</t>
        </is>
      </c>
      <c r="B7635" t="inlineStr">
        <is>
          <t>LN201085</t>
        </is>
      </c>
      <c r="C7635" t="n">
        <v>8</v>
      </c>
      <c r="D7635" s="8" t="n">
        <v>45984</v>
      </c>
      <c r="E7635" s="9" t="n">
        <v>9504.190000000001</v>
      </c>
      <c r="F7635" s="8" t="n">
        <v>45982</v>
      </c>
      <c r="G7635" s="9" t="n">
        <v>9504.190000000001</v>
      </c>
      <c r="H7635" t="inlineStr">
        <is>
          <t>PAID_ON_TIME</t>
        </is>
      </c>
      <c r="I7635">
        <f>IF(H7635="UNPAID", AsOfDate-D7635, 0)</f>
        <v/>
      </c>
      <c r="J7635">
        <f>IF(F7635&lt;&gt;"", TEXT(F7635, "yyyy-mm"), "")</f>
        <v/>
      </c>
    </row>
    <row r="7636">
      <c r="A7636" t="inlineStr">
        <is>
          <t>RP0007635</t>
        </is>
      </c>
      <c r="B7636" t="inlineStr">
        <is>
          <t>LN201085</t>
        </is>
      </c>
      <c r="C7636" t="n">
        <v>9</v>
      </c>
      <c r="D7636" s="8" t="n">
        <v>46014</v>
      </c>
      <c r="E7636" s="9" t="n">
        <v>9504.190000000001</v>
      </c>
      <c r="F7636" s="8" t="n">
        <v>46018</v>
      </c>
      <c r="G7636" s="9" t="n">
        <v>9504.190000000001</v>
      </c>
      <c r="H7636" t="inlineStr">
        <is>
          <t>PAID_ON_TIME</t>
        </is>
      </c>
      <c r="I7636">
        <f>IF(H7636="UNPAID", AsOfDate-D7636, 0)</f>
        <v/>
      </c>
      <c r="J7636">
        <f>IF(F7636&lt;&gt;"", TEXT(F7636, "yyyy-mm"), "")</f>
        <v/>
      </c>
    </row>
    <row r="7637">
      <c r="A7637" t="inlineStr">
        <is>
          <t>RP0007636</t>
        </is>
      </c>
      <c r="B7637" t="inlineStr">
        <is>
          <t>LN201086</t>
        </is>
      </c>
      <c r="C7637" t="n">
        <v>1</v>
      </c>
      <c r="D7637" s="8" t="n">
        <v>45913</v>
      </c>
      <c r="E7637" s="9" t="n">
        <v>7337.31</v>
      </c>
      <c r="F7637" s="8" t="n">
        <v>45915</v>
      </c>
      <c r="G7637" s="9" t="n">
        <v>7337.31</v>
      </c>
      <c r="H7637" t="inlineStr">
        <is>
          <t>PAID_ON_TIME</t>
        </is>
      </c>
      <c r="I7637">
        <f>IF(H7637="UNPAID", AsOfDate-D7637, 0)</f>
        <v/>
      </c>
      <c r="J7637">
        <f>IF(F7637&lt;&gt;"", TEXT(F7637, "yyyy-mm"), "")</f>
        <v/>
      </c>
    </row>
    <row r="7638">
      <c r="A7638" t="inlineStr">
        <is>
          <t>RP0007637</t>
        </is>
      </c>
      <c r="B7638" t="inlineStr">
        <is>
          <t>LN201086</t>
        </is>
      </c>
      <c r="C7638" t="n">
        <v>2</v>
      </c>
      <c r="D7638" s="8" t="n">
        <v>45943</v>
      </c>
      <c r="E7638" s="9" t="n">
        <v>7337.31</v>
      </c>
      <c r="F7638" s="8" t="n">
        <v>45943</v>
      </c>
      <c r="G7638" s="9" t="n">
        <v>7337.31</v>
      </c>
      <c r="H7638" t="inlineStr">
        <is>
          <t>PAID_ON_TIME</t>
        </is>
      </c>
      <c r="I7638">
        <f>IF(H7638="UNPAID", AsOfDate-D7638, 0)</f>
        <v/>
      </c>
      <c r="J7638">
        <f>IF(F7638&lt;&gt;"", TEXT(F7638, "yyyy-mm"), "")</f>
        <v/>
      </c>
    </row>
    <row r="7639">
      <c r="A7639" t="inlineStr">
        <is>
          <t>RP0007638</t>
        </is>
      </c>
      <c r="B7639" t="inlineStr">
        <is>
          <t>LN201086</t>
        </is>
      </c>
      <c r="C7639" t="n">
        <v>3</v>
      </c>
      <c r="D7639" s="8" t="n">
        <v>45974</v>
      </c>
      <c r="E7639" s="9" t="n">
        <v>7337.31</v>
      </c>
      <c r="F7639" s="8" t="n">
        <v>45973</v>
      </c>
      <c r="G7639" s="9" t="n">
        <v>7337.31</v>
      </c>
      <c r="H7639" t="inlineStr">
        <is>
          <t>PAID_ON_TIME</t>
        </is>
      </c>
      <c r="I7639">
        <f>IF(H7639="UNPAID", AsOfDate-D7639, 0)</f>
        <v/>
      </c>
      <c r="J7639">
        <f>IF(F7639&lt;&gt;"", TEXT(F7639, "yyyy-mm"), "")</f>
        <v/>
      </c>
    </row>
    <row r="7640">
      <c r="A7640" t="inlineStr">
        <is>
          <t>RP0007639</t>
        </is>
      </c>
      <c r="B7640" t="inlineStr">
        <is>
          <t>LN201086</t>
        </is>
      </c>
      <c r="C7640" t="n">
        <v>4</v>
      </c>
      <c r="D7640" s="8" t="n">
        <v>46004</v>
      </c>
      <c r="E7640" s="9" t="n">
        <v>7337.31</v>
      </c>
      <c r="F7640" s="8" t="n">
        <v>46004</v>
      </c>
      <c r="G7640" s="9" t="n">
        <v>7337.31</v>
      </c>
      <c r="H7640" t="inlineStr">
        <is>
          <t>PAID_ON_TIME</t>
        </is>
      </c>
      <c r="I7640">
        <f>IF(H7640="UNPAID", AsOfDate-D7640, 0)</f>
        <v/>
      </c>
      <c r="J7640">
        <f>IF(F7640&lt;&gt;"", TEXT(F7640, "yyyy-mm"), "")</f>
        <v/>
      </c>
    </row>
    <row r="7641">
      <c r="A7641" t="inlineStr">
        <is>
          <t>RP0007640</t>
        </is>
      </c>
      <c r="B7641" t="inlineStr">
        <is>
          <t>LN201086</t>
        </is>
      </c>
      <c r="C7641" t="n">
        <v>5</v>
      </c>
      <c r="D7641" s="8" t="n">
        <v>46035</v>
      </c>
      <c r="E7641" s="9" t="n">
        <v>7337.31</v>
      </c>
      <c r="F7641" s="8" t="n">
        <v>46037</v>
      </c>
      <c r="G7641" s="9" t="n">
        <v>7337.31</v>
      </c>
      <c r="H7641" t="inlineStr">
        <is>
          <t>PAID_ON_TIME</t>
        </is>
      </c>
      <c r="I7641">
        <f>IF(H7641="UNPAID", AsOfDate-D7641, 0)</f>
        <v/>
      </c>
      <c r="J7641">
        <f>IF(F7641&lt;&gt;"", TEXT(F7641, "yyyy-mm"), "")</f>
        <v/>
      </c>
    </row>
    <row r="7642">
      <c r="A7642" t="inlineStr">
        <is>
          <t>RP0007641</t>
        </is>
      </c>
      <c r="B7642" t="inlineStr">
        <is>
          <t>LN201086</t>
        </is>
      </c>
      <c r="C7642" t="n">
        <v>6</v>
      </c>
      <c r="D7642" s="8" t="n">
        <v>46066</v>
      </c>
      <c r="E7642" s="9" t="n">
        <v>7337.31</v>
      </c>
      <c r="F7642" s="8" t="n">
        <v>46070</v>
      </c>
      <c r="G7642" s="9" t="n">
        <v>7337.31</v>
      </c>
      <c r="H7642" t="inlineStr">
        <is>
          <t>PAID_ON_TIME</t>
        </is>
      </c>
      <c r="I7642">
        <f>IF(H7642="UNPAID", AsOfDate-D7642, 0)</f>
        <v/>
      </c>
      <c r="J7642">
        <f>IF(F7642&lt;&gt;"", TEXT(F7642, "yyyy-mm"), "")</f>
        <v/>
      </c>
    </row>
    <row r="7643">
      <c r="A7643" t="inlineStr">
        <is>
          <t>RP0007642</t>
        </is>
      </c>
      <c r="B7643" t="inlineStr">
        <is>
          <t>LN201086</t>
        </is>
      </c>
      <c r="C7643" t="n">
        <v>7</v>
      </c>
      <c r="D7643" s="8" t="n">
        <v>46094</v>
      </c>
      <c r="E7643" s="9" t="n">
        <v>7337.31</v>
      </c>
      <c r="F7643" s="8" t="n">
        <v>46093</v>
      </c>
      <c r="G7643" s="9" t="n">
        <v>7337.31</v>
      </c>
      <c r="H7643" t="inlineStr">
        <is>
          <t>PAID_ON_TIME</t>
        </is>
      </c>
      <c r="I7643">
        <f>IF(H7643="UNPAID", AsOfDate-D7643, 0)</f>
        <v/>
      </c>
      <c r="J7643">
        <f>IF(F7643&lt;&gt;"", TEXT(F7643, "yyyy-mm"), "")</f>
        <v/>
      </c>
    </row>
    <row r="7644">
      <c r="A7644" t="inlineStr">
        <is>
          <t>RP0007643</t>
        </is>
      </c>
      <c r="B7644" t="inlineStr">
        <is>
          <t>LN201086</t>
        </is>
      </c>
      <c r="C7644" t="n">
        <v>8</v>
      </c>
      <c r="D7644" s="8" t="n">
        <v>46125</v>
      </c>
      <c r="E7644" s="9" t="n">
        <v>7337.31</v>
      </c>
      <c r="F7644" s="8" t="n">
        <v>46125</v>
      </c>
      <c r="G7644" s="9" t="n">
        <v>7337.31</v>
      </c>
      <c r="H7644" t="inlineStr">
        <is>
          <t>PAID_ON_TIME</t>
        </is>
      </c>
      <c r="I7644">
        <f>IF(H7644="UNPAID", AsOfDate-D7644, 0)</f>
        <v/>
      </c>
      <c r="J7644">
        <f>IF(F7644&lt;&gt;"", TEXT(F7644, "yyyy-mm"), "")</f>
        <v/>
      </c>
    </row>
    <row r="7645">
      <c r="A7645" t="inlineStr">
        <is>
          <t>RP0007644</t>
        </is>
      </c>
      <c r="B7645" t="inlineStr">
        <is>
          <t>LN201086</t>
        </is>
      </c>
      <c r="C7645" t="n">
        <v>9</v>
      </c>
      <c r="D7645" s="8" t="n">
        <v>46155</v>
      </c>
      <c r="E7645" s="9" t="n">
        <v>7337.31</v>
      </c>
      <c r="F7645" s="8" t="n">
        <v>46153</v>
      </c>
      <c r="G7645" s="9" t="n">
        <v>7337.31</v>
      </c>
      <c r="H7645" t="inlineStr">
        <is>
          <t>PAID_ON_TIME</t>
        </is>
      </c>
      <c r="I7645">
        <f>IF(H7645="UNPAID", AsOfDate-D7645, 0)</f>
        <v/>
      </c>
      <c r="J7645">
        <f>IF(F7645&lt;&gt;"", TEXT(F7645, "yyyy-mm"), "")</f>
        <v/>
      </c>
    </row>
    <row r="7646">
      <c r="A7646" t="inlineStr">
        <is>
          <t>RP0007645</t>
        </is>
      </c>
      <c r="B7646" t="inlineStr">
        <is>
          <t>LN201087</t>
        </is>
      </c>
      <c r="C7646" t="n">
        <v>1</v>
      </c>
      <c r="D7646" s="8" t="n">
        <v>45940</v>
      </c>
      <c r="E7646" s="9" t="n">
        <v>9324.780000000001</v>
      </c>
      <c r="F7646" s="8" t="n">
        <v>46058</v>
      </c>
      <c r="G7646" s="9" t="n">
        <v>9324.780000000001</v>
      </c>
      <c r="H7646" t="inlineStr">
        <is>
          <t>PAID_LATE</t>
        </is>
      </c>
      <c r="I7646">
        <f>IF(H7646="UNPAID", AsOfDate-D7646, 0)</f>
        <v/>
      </c>
      <c r="J7646">
        <f>IF(F7646&lt;&gt;"", TEXT(F7646, "yyyy-mm"), "")</f>
        <v/>
      </c>
    </row>
    <row r="7647">
      <c r="A7647" t="inlineStr">
        <is>
          <t>RP0007646</t>
        </is>
      </c>
      <c r="B7647" t="inlineStr">
        <is>
          <t>LN201087</t>
        </is>
      </c>
      <c r="C7647" t="n">
        <v>2</v>
      </c>
      <c r="D7647" s="8" t="n">
        <v>45971</v>
      </c>
      <c r="E7647" s="9" t="n">
        <v>9324.780000000001</v>
      </c>
      <c r="F7647" s="8" t="n">
        <v>45970</v>
      </c>
      <c r="G7647" s="9" t="n">
        <v>9324.780000000001</v>
      </c>
      <c r="H7647" t="inlineStr">
        <is>
          <t>PAID_ON_TIME</t>
        </is>
      </c>
      <c r="I7647">
        <f>IF(H7647="UNPAID", AsOfDate-D7647, 0)</f>
        <v/>
      </c>
      <c r="J7647">
        <f>IF(F7647&lt;&gt;"", TEXT(F7647, "yyyy-mm"), "")</f>
        <v/>
      </c>
    </row>
    <row r="7648">
      <c r="A7648" t="inlineStr">
        <is>
          <t>RP0007647</t>
        </is>
      </c>
      <c r="B7648" t="inlineStr">
        <is>
          <t>LN201087</t>
        </is>
      </c>
      <c r="C7648" t="n">
        <v>3</v>
      </c>
      <c r="D7648" s="8" t="n">
        <v>46001</v>
      </c>
      <c r="E7648" s="9" t="n">
        <v>9324.780000000001</v>
      </c>
      <c r="F7648" s="8" t="n">
        <v>46073</v>
      </c>
      <c r="G7648" s="9" t="n">
        <v>9324.780000000001</v>
      </c>
      <c r="H7648" t="inlineStr">
        <is>
          <t>PAID_LATE</t>
        </is>
      </c>
      <c r="I7648">
        <f>IF(H7648="UNPAID", AsOfDate-D7648, 0)</f>
        <v/>
      </c>
      <c r="J7648">
        <f>IF(F7648&lt;&gt;"", TEXT(F7648, "yyyy-mm"), "")</f>
        <v/>
      </c>
    </row>
    <row r="7649">
      <c r="A7649" t="inlineStr">
        <is>
          <t>RP0007648</t>
        </is>
      </c>
      <c r="B7649" t="inlineStr">
        <is>
          <t>LN201087</t>
        </is>
      </c>
      <c r="C7649" t="n">
        <v>4</v>
      </c>
      <c r="D7649" s="8" t="n">
        <v>46032</v>
      </c>
      <c r="E7649" s="9" t="n">
        <v>9324.780000000001</v>
      </c>
      <c r="F7649" s="8" t="n">
        <v>46033</v>
      </c>
      <c r="G7649" s="9" t="n">
        <v>9324.780000000001</v>
      </c>
      <c r="H7649" t="inlineStr">
        <is>
          <t>PAID_ON_TIME</t>
        </is>
      </c>
      <c r="I7649">
        <f>IF(H7649="UNPAID", AsOfDate-D7649, 0)</f>
        <v/>
      </c>
      <c r="J7649">
        <f>IF(F7649&lt;&gt;"", TEXT(F7649, "yyyy-mm"), "")</f>
        <v/>
      </c>
    </row>
    <row r="7650">
      <c r="A7650" t="inlineStr">
        <is>
          <t>RP0007649</t>
        </is>
      </c>
      <c r="B7650" t="inlineStr">
        <is>
          <t>LN201087</t>
        </is>
      </c>
      <c r="C7650" t="n">
        <v>5</v>
      </c>
      <c r="D7650" s="8" t="n">
        <v>46063</v>
      </c>
      <c r="E7650" s="9" t="n">
        <v>9324.780000000001</v>
      </c>
      <c r="F7650" s="8" t="n">
        <v>46061</v>
      </c>
      <c r="G7650" s="9" t="n">
        <v>9324.780000000001</v>
      </c>
      <c r="H7650" t="inlineStr">
        <is>
          <t>PAID_ON_TIME</t>
        </is>
      </c>
      <c r="I7650">
        <f>IF(H7650="UNPAID", AsOfDate-D7650, 0)</f>
        <v/>
      </c>
      <c r="J7650">
        <f>IF(F7650&lt;&gt;"", TEXT(F7650, "yyyy-mm"), "")</f>
        <v/>
      </c>
    </row>
    <row r="7651">
      <c r="A7651" t="inlineStr">
        <is>
          <t>RP0007650</t>
        </is>
      </c>
      <c r="B7651" t="inlineStr">
        <is>
          <t>LN201087</t>
        </is>
      </c>
      <c r="C7651" t="n">
        <v>6</v>
      </c>
      <c r="D7651" s="8" t="n">
        <v>46091</v>
      </c>
      <c r="E7651" s="9" t="n">
        <v>9324.780000000001</v>
      </c>
      <c r="F7651" s="8" t="n">
        <v>46152</v>
      </c>
      <c r="G7651" s="9" t="n">
        <v>9324.780000000001</v>
      </c>
      <c r="H7651" t="inlineStr">
        <is>
          <t>PAID_LATE</t>
        </is>
      </c>
      <c r="I7651">
        <f>IF(H7651="UNPAID", AsOfDate-D7651, 0)</f>
        <v/>
      </c>
      <c r="J7651">
        <f>IF(F7651&lt;&gt;"", TEXT(F7651, "yyyy-mm"), "")</f>
        <v/>
      </c>
    </row>
    <row r="7652">
      <c r="A7652" t="inlineStr">
        <is>
          <t>RP0007651</t>
        </is>
      </c>
      <c r="B7652" t="inlineStr">
        <is>
          <t>LN201087</t>
        </is>
      </c>
      <c r="C7652" t="n">
        <v>7</v>
      </c>
      <c r="D7652" s="8" t="n">
        <v>46122</v>
      </c>
      <c r="E7652" s="9" t="n">
        <v>9324.780000000001</v>
      </c>
      <c r="F7652" s="8" t="n">
        <v>46223</v>
      </c>
      <c r="G7652" s="9" t="n">
        <v>9324.780000000001</v>
      </c>
      <c r="H7652" t="inlineStr">
        <is>
          <t>PAID_LATE</t>
        </is>
      </c>
      <c r="I7652">
        <f>IF(H7652="UNPAID", AsOfDate-D7652, 0)</f>
        <v/>
      </c>
      <c r="J7652">
        <f>IF(F7652&lt;&gt;"", TEXT(F7652, "yyyy-mm"), "")</f>
        <v/>
      </c>
    </row>
    <row r="7653">
      <c r="A7653" t="inlineStr">
        <is>
          <t>RP0007652</t>
        </is>
      </c>
      <c r="B7653" t="inlineStr">
        <is>
          <t>LN201087</t>
        </is>
      </c>
      <c r="C7653" t="n">
        <v>8</v>
      </c>
      <c r="D7653" s="8" t="n">
        <v>46152</v>
      </c>
      <c r="E7653" s="9" t="n">
        <v>9324.780000000001</v>
      </c>
      <c r="F7653" s="8" t="n">
        <v>46153</v>
      </c>
      <c r="G7653" s="9" t="n">
        <v>9324.780000000001</v>
      </c>
      <c r="H7653" t="inlineStr">
        <is>
          <t>PAID_ON_TIME</t>
        </is>
      </c>
      <c r="I7653">
        <f>IF(H7653="UNPAID", AsOfDate-D7653, 0)</f>
        <v/>
      </c>
      <c r="J7653">
        <f>IF(F7653&lt;&gt;"", TEXT(F7653, "yyyy-mm"), "")</f>
        <v/>
      </c>
    </row>
    <row r="7654">
      <c r="A7654" t="inlineStr">
        <is>
          <t>RP0007653</t>
        </is>
      </c>
      <c r="B7654" t="inlineStr">
        <is>
          <t>LN201087</t>
        </is>
      </c>
      <c r="C7654" t="n">
        <v>9</v>
      </c>
      <c r="D7654" s="8" t="n">
        <v>46183</v>
      </c>
      <c r="E7654" s="9" t="n">
        <v>9324.780000000001</v>
      </c>
      <c r="F7654" s="8" t="n">
        <v>46187</v>
      </c>
      <c r="G7654" s="9" t="n">
        <v>9324.780000000001</v>
      </c>
      <c r="H7654" t="inlineStr">
        <is>
          <t>PAID_ON_TIME</t>
        </is>
      </c>
      <c r="I7654">
        <f>IF(H7654="UNPAID", AsOfDate-D7654, 0)</f>
        <v/>
      </c>
      <c r="J7654">
        <f>IF(F7654&lt;&gt;"", TEXT(F7654, "yyyy-mm"), "")</f>
        <v/>
      </c>
    </row>
    <row r="7655">
      <c r="A7655" t="inlineStr">
        <is>
          <t>RP0007654</t>
        </is>
      </c>
      <c r="B7655" t="inlineStr">
        <is>
          <t>LN201088</t>
        </is>
      </c>
      <c r="C7655" t="n">
        <v>1</v>
      </c>
      <c r="D7655" s="8" t="n">
        <v>46069</v>
      </c>
      <c r="E7655" s="9" t="n">
        <v>17435.83</v>
      </c>
      <c r="F7655" s="8" t="n">
        <v>46069</v>
      </c>
      <c r="G7655" s="9" t="n">
        <v>17435.83</v>
      </c>
      <c r="H7655" t="inlineStr">
        <is>
          <t>PAID_ON_TIME</t>
        </is>
      </c>
      <c r="I7655">
        <f>IF(H7655="UNPAID", AsOfDate-D7655, 0)</f>
        <v/>
      </c>
      <c r="J7655">
        <f>IF(F7655&lt;&gt;"", TEXT(F7655, "yyyy-mm"), "")</f>
        <v/>
      </c>
    </row>
    <row r="7656">
      <c r="A7656" t="inlineStr">
        <is>
          <t>RP0007655</t>
        </is>
      </c>
      <c r="B7656" t="inlineStr">
        <is>
          <t>LN201088</t>
        </is>
      </c>
      <c r="C7656" t="n">
        <v>2</v>
      </c>
      <c r="D7656" s="8" t="n">
        <v>46097</v>
      </c>
      <c r="E7656" s="9" t="n">
        <v>17435.83</v>
      </c>
      <c r="F7656" s="8" t="n">
        <v>46095</v>
      </c>
      <c r="G7656" s="9" t="n">
        <v>17435.83</v>
      </c>
      <c r="H7656" t="inlineStr">
        <is>
          <t>PAID_ON_TIME</t>
        </is>
      </c>
      <c r="I7656">
        <f>IF(H7656="UNPAID", AsOfDate-D7656, 0)</f>
        <v/>
      </c>
      <c r="J7656">
        <f>IF(F7656&lt;&gt;"", TEXT(F7656, "yyyy-mm"), "")</f>
        <v/>
      </c>
    </row>
    <row r="7657">
      <c r="A7657" t="inlineStr">
        <is>
          <t>RP0007656</t>
        </is>
      </c>
      <c r="B7657" t="inlineStr">
        <is>
          <t>LN201088</t>
        </is>
      </c>
      <c r="C7657" t="n">
        <v>3</v>
      </c>
      <c r="D7657" s="8" t="n">
        <v>46128</v>
      </c>
      <c r="E7657" s="9" t="n">
        <v>17435.83</v>
      </c>
      <c r="F7657" s="8" t="n">
        <v>46129</v>
      </c>
      <c r="G7657" s="9" t="n">
        <v>17435.83</v>
      </c>
      <c r="H7657" t="inlineStr">
        <is>
          <t>PAID_ON_TIME</t>
        </is>
      </c>
      <c r="I7657">
        <f>IF(H7657="UNPAID", AsOfDate-D7657, 0)</f>
        <v/>
      </c>
      <c r="J7657">
        <f>IF(F7657&lt;&gt;"", TEXT(F7657, "yyyy-mm"), "")</f>
        <v/>
      </c>
    </row>
    <row r="7658">
      <c r="A7658" t="inlineStr">
        <is>
          <t>RP0007657</t>
        </is>
      </c>
      <c r="B7658" t="inlineStr">
        <is>
          <t>LN201088</t>
        </is>
      </c>
      <c r="C7658" t="n">
        <v>4</v>
      </c>
      <c r="D7658" s="8" t="n">
        <v>46158</v>
      </c>
      <c r="E7658" s="9" t="n">
        <v>17435.83</v>
      </c>
      <c r="F7658" s="8" t="n">
        <v>46156</v>
      </c>
      <c r="G7658" s="9" t="n">
        <v>17435.83</v>
      </c>
      <c r="H7658" t="inlineStr">
        <is>
          <t>PAID_ON_TIME</t>
        </is>
      </c>
      <c r="I7658">
        <f>IF(H7658="UNPAID", AsOfDate-D7658, 0)</f>
        <v/>
      </c>
      <c r="J7658">
        <f>IF(F7658&lt;&gt;"", TEXT(F7658, "yyyy-mm"), "")</f>
        <v/>
      </c>
    </row>
    <row r="7659">
      <c r="A7659" t="inlineStr">
        <is>
          <t>RP0007658</t>
        </is>
      </c>
      <c r="B7659" t="inlineStr">
        <is>
          <t>LN201088</t>
        </is>
      </c>
      <c r="C7659" t="n">
        <v>5</v>
      </c>
      <c r="D7659" s="8" t="n">
        <v>46189</v>
      </c>
      <c r="E7659" s="9" t="n">
        <v>17435.83</v>
      </c>
      <c r="F7659" s="8" t="n">
        <v>46191</v>
      </c>
      <c r="G7659" s="9" t="n">
        <v>17435.83</v>
      </c>
      <c r="H7659" t="inlineStr">
        <is>
          <t>PAID_ON_TIME</t>
        </is>
      </c>
      <c r="I7659">
        <f>IF(H7659="UNPAID", AsOfDate-D7659, 0)</f>
        <v/>
      </c>
      <c r="J7659">
        <f>IF(F7659&lt;&gt;"", TEXT(F7659, "yyyy-mm"), "")</f>
        <v/>
      </c>
    </row>
    <row r="7660">
      <c r="A7660" t="inlineStr">
        <is>
          <t>RP0007659</t>
        </is>
      </c>
      <c r="B7660" t="inlineStr">
        <is>
          <t>LN201088</t>
        </is>
      </c>
      <c r="C7660" t="n">
        <v>6</v>
      </c>
      <c r="D7660" s="8" t="n">
        <v>46219</v>
      </c>
      <c r="E7660" s="9" t="n">
        <v>17435.83</v>
      </c>
      <c r="F7660" s="8" t="n">
        <v>46218</v>
      </c>
      <c r="G7660" s="9" t="n">
        <v>17435.83</v>
      </c>
      <c r="H7660" t="inlineStr">
        <is>
          <t>PAID_ON_TIME</t>
        </is>
      </c>
      <c r="I7660">
        <f>IF(H7660="UNPAID", AsOfDate-D7660, 0)</f>
        <v/>
      </c>
      <c r="J7660">
        <f>IF(F7660&lt;&gt;"", TEXT(F7660, "yyyy-mm"), "")</f>
        <v/>
      </c>
    </row>
    <row r="7661">
      <c r="A7661" t="inlineStr">
        <is>
          <t>RP0007660</t>
        </is>
      </c>
      <c r="B7661" t="inlineStr">
        <is>
          <t>LN201089</t>
        </is>
      </c>
      <c r="C7661" t="n">
        <v>1</v>
      </c>
      <c r="D7661" s="8" t="n">
        <v>46262</v>
      </c>
      <c r="E7661" s="9" t="n">
        <v>13727</v>
      </c>
      <c r="F7661" s="8" t="n">
        <v>46266</v>
      </c>
      <c r="G7661" s="9" t="n">
        <v>13727</v>
      </c>
      <c r="H7661" t="inlineStr">
        <is>
          <t>PAID_ON_TIME</t>
        </is>
      </c>
      <c r="I7661">
        <f>IF(H7661="UNPAID", AsOfDate-D7661, 0)</f>
        <v/>
      </c>
      <c r="J7661">
        <f>IF(F7661&lt;&gt;"", TEXT(F7661, "yyyy-mm"), "")</f>
        <v/>
      </c>
    </row>
    <row r="7662">
      <c r="A7662" t="inlineStr">
        <is>
          <t>RP0007661</t>
        </is>
      </c>
      <c r="B7662" t="inlineStr">
        <is>
          <t>LN201089</t>
        </is>
      </c>
      <c r="C7662" t="n">
        <v>2</v>
      </c>
      <c r="D7662" s="8" t="n">
        <v>46293</v>
      </c>
      <c r="E7662" s="9" t="n">
        <v>13727</v>
      </c>
      <c r="F7662" s="8" t="n"/>
      <c r="G7662" s="9" t="n">
        <v>0</v>
      </c>
      <c r="H7662" t="inlineStr">
        <is>
          <t>NOT_DUE</t>
        </is>
      </c>
      <c r="I7662">
        <f>IF(H7662="UNPAID", AsOfDate-D7662, 0)</f>
        <v/>
      </c>
      <c r="J7662">
        <f>IF(F7662&lt;&gt;"", TEXT(F7662, "yyyy-mm"), "")</f>
        <v/>
      </c>
    </row>
    <row r="7663">
      <c r="A7663" t="inlineStr">
        <is>
          <t>RP0007662</t>
        </is>
      </c>
      <c r="B7663" t="inlineStr">
        <is>
          <t>LN201089</t>
        </is>
      </c>
      <c r="C7663" t="n">
        <v>3</v>
      </c>
      <c r="D7663" s="8" t="n">
        <v>46323</v>
      </c>
      <c r="E7663" s="9" t="n">
        <v>13727</v>
      </c>
      <c r="F7663" s="8" t="n"/>
      <c r="G7663" s="9" t="n">
        <v>0</v>
      </c>
      <c r="H7663" t="inlineStr">
        <is>
          <t>NOT_DUE</t>
        </is>
      </c>
      <c r="I7663">
        <f>IF(H7663="UNPAID", AsOfDate-D7663, 0)</f>
        <v/>
      </c>
      <c r="J7663">
        <f>IF(F7663&lt;&gt;"", TEXT(F7663, "yyyy-mm"), "")</f>
        <v/>
      </c>
    </row>
    <row r="7664">
      <c r="A7664" t="inlineStr">
        <is>
          <t>RP0007663</t>
        </is>
      </c>
      <c r="B7664" t="inlineStr">
        <is>
          <t>LN201089</t>
        </is>
      </c>
      <c r="C7664" t="n">
        <v>4</v>
      </c>
      <c r="D7664" s="8" t="n">
        <v>46354</v>
      </c>
      <c r="E7664" s="9" t="n">
        <v>13727</v>
      </c>
      <c r="F7664" s="8" t="n"/>
      <c r="G7664" s="9" t="n">
        <v>0</v>
      </c>
      <c r="H7664" t="inlineStr">
        <is>
          <t>NOT_DUE</t>
        </is>
      </c>
      <c r="I7664">
        <f>IF(H7664="UNPAID", AsOfDate-D7664, 0)</f>
        <v/>
      </c>
      <c r="J7664">
        <f>IF(F7664&lt;&gt;"", TEXT(F7664, "yyyy-mm"), "")</f>
        <v/>
      </c>
    </row>
    <row r="7665">
      <c r="A7665" t="inlineStr">
        <is>
          <t>RP0007664</t>
        </is>
      </c>
      <c r="B7665" t="inlineStr">
        <is>
          <t>LN201089</t>
        </is>
      </c>
      <c r="C7665" t="n">
        <v>5</v>
      </c>
      <c r="D7665" s="8" t="n">
        <v>46384</v>
      </c>
      <c r="E7665" s="9" t="n">
        <v>13727</v>
      </c>
      <c r="F7665" s="8" t="n"/>
      <c r="G7665" s="9" t="n">
        <v>0</v>
      </c>
      <c r="H7665" t="inlineStr">
        <is>
          <t>NOT_DUE</t>
        </is>
      </c>
      <c r="I7665">
        <f>IF(H7665="UNPAID", AsOfDate-D7665, 0)</f>
        <v/>
      </c>
      <c r="J7665">
        <f>IF(F7665&lt;&gt;"", TEXT(F7665, "yyyy-mm"), "")</f>
        <v/>
      </c>
    </row>
    <row r="7666">
      <c r="A7666" t="inlineStr">
        <is>
          <t>RP0007665</t>
        </is>
      </c>
      <c r="B7666" t="inlineStr">
        <is>
          <t>LN201089</t>
        </is>
      </c>
      <c r="C7666" t="n">
        <v>6</v>
      </c>
      <c r="D7666" s="8" t="n">
        <v>46415</v>
      </c>
      <c r="E7666" s="9" t="n">
        <v>13727</v>
      </c>
      <c r="F7666" s="8" t="n"/>
      <c r="G7666" s="9" t="n">
        <v>0</v>
      </c>
      <c r="H7666" t="inlineStr">
        <is>
          <t>NOT_DUE</t>
        </is>
      </c>
      <c r="I7666">
        <f>IF(H7666="UNPAID", AsOfDate-D7666, 0)</f>
        <v/>
      </c>
      <c r="J7666">
        <f>IF(F7666&lt;&gt;"", TEXT(F7666, "yyyy-mm"), "")</f>
        <v/>
      </c>
    </row>
    <row r="7667">
      <c r="A7667" t="inlineStr">
        <is>
          <t>RP0007666</t>
        </is>
      </c>
      <c r="B7667" t="inlineStr">
        <is>
          <t>LN201090</t>
        </is>
      </c>
      <c r="C7667" t="n">
        <v>1</v>
      </c>
      <c r="D7667" s="8" t="n">
        <v>46132</v>
      </c>
      <c r="E7667" s="9" t="n">
        <v>7041.08</v>
      </c>
      <c r="F7667" s="8" t="n">
        <v>46134</v>
      </c>
      <c r="G7667" s="9" t="n">
        <v>7041.08</v>
      </c>
      <c r="H7667" t="inlineStr">
        <is>
          <t>PAID_ON_TIME</t>
        </is>
      </c>
      <c r="I7667">
        <f>IF(H7667="UNPAID", AsOfDate-D7667, 0)</f>
        <v/>
      </c>
      <c r="J7667">
        <f>IF(F7667&lt;&gt;"", TEXT(F7667, "yyyy-mm"), "")</f>
        <v/>
      </c>
    </row>
    <row r="7668">
      <c r="A7668" t="inlineStr">
        <is>
          <t>RP0007667</t>
        </is>
      </c>
      <c r="B7668" t="inlineStr">
        <is>
          <t>LN201090</t>
        </is>
      </c>
      <c r="C7668" t="n">
        <v>2</v>
      </c>
      <c r="D7668" s="8" t="n">
        <v>46162</v>
      </c>
      <c r="E7668" s="9" t="n">
        <v>7041.08</v>
      </c>
      <c r="F7668" s="8" t="n">
        <v>46161</v>
      </c>
      <c r="G7668" s="9" t="n">
        <v>7041.08</v>
      </c>
      <c r="H7668" t="inlineStr">
        <is>
          <t>PAID_ON_TIME</t>
        </is>
      </c>
      <c r="I7668">
        <f>IF(H7668="UNPAID", AsOfDate-D7668, 0)</f>
        <v/>
      </c>
      <c r="J7668">
        <f>IF(F7668&lt;&gt;"", TEXT(F7668, "yyyy-mm"), "")</f>
        <v/>
      </c>
    </row>
    <row r="7669">
      <c r="A7669" t="inlineStr">
        <is>
          <t>RP0007668</t>
        </is>
      </c>
      <c r="B7669" t="inlineStr">
        <is>
          <t>LN201090</t>
        </is>
      </c>
      <c r="C7669" t="n">
        <v>3</v>
      </c>
      <c r="D7669" s="8" t="n">
        <v>46193</v>
      </c>
      <c r="E7669" s="9" t="n">
        <v>7041.08</v>
      </c>
      <c r="F7669" s="8" t="n">
        <v>46217</v>
      </c>
      <c r="G7669" s="9" t="n">
        <v>7041.08</v>
      </c>
      <c r="H7669" t="inlineStr">
        <is>
          <t>PAID_LATE</t>
        </is>
      </c>
      <c r="I7669">
        <f>IF(H7669="UNPAID", AsOfDate-D7669, 0)</f>
        <v/>
      </c>
      <c r="J7669">
        <f>IF(F7669&lt;&gt;"", TEXT(F7669, "yyyy-mm"), "")</f>
        <v/>
      </c>
    </row>
    <row r="7670">
      <c r="A7670" t="inlineStr">
        <is>
          <t>RP0007669</t>
        </is>
      </c>
      <c r="B7670" t="inlineStr">
        <is>
          <t>LN201090</t>
        </is>
      </c>
      <c r="C7670" t="n">
        <v>4</v>
      </c>
      <c r="D7670" s="8" t="n">
        <v>46223</v>
      </c>
      <c r="E7670" s="9" t="n">
        <v>7041.08</v>
      </c>
      <c r="F7670" s="8" t="n">
        <v>46226</v>
      </c>
      <c r="G7670" s="9" t="n">
        <v>7041.08</v>
      </c>
      <c r="H7670" t="inlineStr">
        <is>
          <t>PAID_ON_TIME</t>
        </is>
      </c>
      <c r="I7670">
        <f>IF(H7670="UNPAID", AsOfDate-D7670, 0)</f>
        <v/>
      </c>
      <c r="J7670">
        <f>IF(F7670&lt;&gt;"", TEXT(F7670, "yyyy-mm"), "")</f>
        <v/>
      </c>
    </row>
    <row r="7671">
      <c r="A7671" t="inlineStr">
        <is>
          <t>RP0007670</t>
        </is>
      </c>
      <c r="B7671" t="inlineStr">
        <is>
          <t>LN201090</t>
        </is>
      </c>
      <c r="C7671" t="n">
        <v>5</v>
      </c>
      <c r="D7671" s="8" t="n">
        <v>46254</v>
      </c>
      <c r="E7671" s="9" t="n">
        <v>7041.08</v>
      </c>
      <c r="F7671" s="8" t="n"/>
      <c r="G7671" s="9" t="n">
        <v>0</v>
      </c>
      <c r="H7671" t="inlineStr">
        <is>
          <t>UNPAID</t>
        </is>
      </c>
      <c r="I7671">
        <f>IF(H7671="UNPAID", AsOfDate-D7671, 0)</f>
        <v/>
      </c>
      <c r="J7671">
        <f>IF(F7671&lt;&gt;"", TEXT(F7671, "yyyy-mm"), "")</f>
        <v/>
      </c>
    </row>
    <row r="7672">
      <c r="A7672" t="inlineStr">
        <is>
          <t>RP0007671</t>
        </is>
      </c>
      <c r="B7672" t="inlineStr">
        <is>
          <t>LN201090</t>
        </is>
      </c>
      <c r="C7672" t="n">
        <v>6</v>
      </c>
      <c r="D7672" s="8" t="n">
        <v>46285</v>
      </c>
      <c r="E7672" s="9" t="n">
        <v>7041.08</v>
      </c>
      <c r="F7672" s="8" t="n"/>
      <c r="G7672" s="9" t="n">
        <v>0</v>
      </c>
      <c r="H7672" t="inlineStr">
        <is>
          <t>NOT_DUE</t>
        </is>
      </c>
      <c r="I7672">
        <f>IF(H7672="UNPAID", AsOfDate-D7672, 0)</f>
        <v/>
      </c>
      <c r="J7672">
        <f>IF(F7672&lt;&gt;"", TEXT(F7672, "yyyy-mm"), "")</f>
        <v/>
      </c>
    </row>
    <row r="7673">
      <c r="A7673" t="inlineStr">
        <is>
          <t>RP0007672</t>
        </is>
      </c>
      <c r="B7673" t="inlineStr">
        <is>
          <t>LN201090</t>
        </is>
      </c>
      <c r="C7673" t="n">
        <v>7</v>
      </c>
      <c r="D7673" s="8" t="n">
        <v>46315</v>
      </c>
      <c r="E7673" s="9" t="n">
        <v>7041.08</v>
      </c>
      <c r="F7673" s="8" t="n"/>
      <c r="G7673" s="9" t="n">
        <v>0</v>
      </c>
      <c r="H7673" t="inlineStr">
        <is>
          <t>NOT_DUE</t>
        </is>
      </c>
      <c r="I7673">
        <f>IF(H7673="UNPAID", AsOfDate-D7673, 0)</f>
        <v/>
      </c>
      <c r="J7673">
        <f>IF(F7673&lt;&gt;"", TEXT(F7673, "yyyy-mm"), "")</f>
        <v/>
      </c>
    </row>
    <row r="7674">
      <c r="A7674" t="inlineStr">
        <is>
          <t>RP0007673</t>
        </is>
      </c>
      <c r="B7674" t="inlineStr">
        <is>
          <t>LN201090</t>
        </is>
      </c>
      <c r="C7674" t="n">
        <v>8</v>
      </c>
      <c r="D7674" s="8" t="n">
        <v>46346</v>
      </c>
      <c r="E7674" s="9" t="n">
        <v>7041.08</v>
      </c>
      <c r="F7674" s="8" t="n"/>
      <c r="G7674" s="9" t="n">
        <v>0</v>
      </c>
      <c r="H7674" t="inlineStr">
        <is>
          <t>NOT_DUE</t>
        </is>
      </c>
      <c r="I7674">
        <f>IF(H7674="UNPAID", AsOfDate-D7674, 0)</f>
        <v/>
      </c>
      <c r="J7674">
        <f>IF(F7674&lt;&gt;"", TEXT(F7674, "yyyy-mm"), "")</f>
        <v/>
      </c>
    </row>
    <row r="7675">
      <c r="A7675" t="inlineStr">
        <is>
          <t>RP0007674</t>
        </is>
      </c>
      <c r="B7675" t="inlineStr">
        <is>
          <t>LN201090</t>
        </is>
      </c>
      <c r="C7675" t="n">
        <v>9</v>
      </c>
      <c r="D7675" s="8" t="n">
        <v>46376</v>
      </c>
      <c r="E7675" s="9" t="n">
        <v>7041.08</v>
      </c>
      <c r="F7675" s="8" t="n"/>
      <c r="G7675" s="9" t="n">
        <v>0</v>
      </c>
      <c r="H7675" t="inlineStr">
        <is>
          <t>NOT_DUE</t>
        </is>
      </c>
      <c r="I7675">
        <f>IF(H7675="UNPAID", AsOfDate-D7675, 0)</f>
        <v/>
      </c>
      <c r="J7675">
        <f>IF(F7675&lt;&gt;"", TEXT(F7675, "yyyy-mm"), "")</f>
        <v/>
      </c>
    </row>
    <row r="7676">
      <c r="A7676" t="inlineStr">
        <is>
          <t>RP0007675</t>
        </is>
      </c>
      <c r="B7676" t="inlineStr">
        <is>
          <t>LN201091</t>
        </is>
      </c>
      <c r="C7676" t="n">
        <v>1</v>
      </c>
      <c r="D7676" s="8" t="n">
        <v>45857</v>
      </c>
      <c r="E7676" s="9" t="n">
        <v>6857.33</v>
      </c>
      <c r="F7676" s="8" t="n">
        <v>45945</v>
      </c>
      <c r="G7676" s="9" t="n">
        <v>6857.33</v>
      </c>
      <c r="H7676" t="inlineStr">
        <is>
          <t>PAID_LATE</t>
        </is>
      </c>
      <c r="I7676">
        <f>IF(H7676="UNPAID", AsOfDate-D7676, 0)</f>
        <v/>
      </c>
      <c r="J7676">
        <f>IF(F7676&lt;&gt;"", TEXT(F7676, "yyyy-mm"), "")</f>
        <v/>
      </c>
    </row>
    <row r="7677">
      <c r="A7677" t="inlineStr">
        <is>
          <t>RP0007676</t>
        </is>
      </c>
      <c r="B7677" t="inlineStr">
        <is>
          <t>LN201091</t>
        </is>
      </c>
      <c r="C7677" t="n">
        <v>2</v>
      </c>
      <c r="D7677" s="8" t="n">
        <v>45888</v>
      </c>
      <c r="E7677" s="9" t="n">
        <v>6857.33</v>
      </c>
      <c r="F7677" s="8" t="n">
        <v>45890</v>
      </c>
      <c r="G7677" s="9" t="n">
        <v>6857.33</v>
      </c>
      <c r="H7677" t="inlineStr">
        <is>
          <t>PAID_ON_TIME</t>
        </is>
      </c>
      <c r="I7677">
        <f>IF(H7677="UNPAID", AsOfDate-D7677, 0)</f>
        <v/>
      </c>
      <c r="J7677">
        <f>IF(F7677&lt;&gt;"", TEXT(F7677, "yyyy-mm"), "")</f>
        <v/>
      </c>
    </row>
    <row r="7678">
      <c r="A7678" t="inlineStr">
        <is>
          <t>RP0007677</t>
        </is>
      </c>
      <c r="B7678" t="inlineStr">
        <is>
          <t>LN201091</t>
        </is>
      </c>
      <c r="C7678" t="n">
        <v>3</v>
      </c>
      <c r="D7678" s="8" t="n">
        <v>45919</v>
      </c>
      <c r="E7678" s="9" t="n">
        <v>6857.33</v>
      </c>
      <c r="F7678" s="8" t="n">
        <v>45919</v>
      </c>
      <c r="G7678" s="9" t="n">
        <v>6857.33</v>
      </c>
      <c r="H7678" t="inlineStr">
        <is>
          <t>PAID_ON_TIME</t>
        </is>
      </c>
      <c r="I7678">
        <f>IF(H7678="UNPAID", AsOfDate-D7678, 0)</f>
        <v/>
      </c>
      <c r="J7678">
        <f>IF(F7678&lt;&gt;"", TEXT(F7678, "yyyy-mm"), "")</f>
        <v/>
      </c>
    </row>
    <row r="7679">
      <c r="A7679" t="inlineStr">
        <is>
          <t>RP0007678</t>
        </is>
      </c>
      <c r="B7679" t="inlineStr">
        <is>
          <t>LN201091</t>
        </is>
      </c>
      <c r="C7679" t="n">
        <v>4</v>
      </c>
      <c r="D7679" s="8" t="n">
        <v>45949</v>
      </c>
      <c r="E7679" s="9" t="n">
        <v>6857.33</v>
      </c>
      <c r="F7679" s="8" t="n">
        <v>45947</v>
      </c>
      <c r="G7679" s="9" t="n">
        <v>6857.33</v>
      </c>
      <c r="H7679" t="inlineStr">
        <is>
          <t>PAID_ON_TIME</t>
        </is>
      </c>
      <c r="I7679">
        <f>IF(H7679="UNPAID", AsOfDate-D7679, 0)</f>
        <v/>
      </c>
      <c r="J7679">
        <f>IF(F7679&lt;&gt;"", TEXT(F7679, "yyyy-mm"), "")</f>
        <v/>
      </c>
    </row>
    <row r="7680">
      <c r="A7680" t="inlineStr">
        <is>
          <t>RP0007679</t>
        </is>
      </c>
      <c r="B7680" t="inlineStr">
        <is>
          <t>LN201091</t>
        </is>
      </c>
      <c r="C7680" t="n">
        <v>5</v>
      </c>
      <c r="D7680" s="8" t="n">
        <v>45980</v>
      </c>
      <c r="E7680" s="9" t="n">
        <v>6857.33</v>
      </c>
      <c r="F7680" s="8" t="n">
        <v>45978</v>
      </c>
      <c r="G7680" s="9" t="n">
        <v>6857.33</v>
      </c>
      <c r="H7680" t="inlineStr">
        <is>
          <t>PAID_ON_TIME</t>
        </is>
      </c>
      <c r="I7680">
        <f>IF(H7680="UNPAID", AsOfDate-D7680, 0)</f>
        <v/>
      </c>
      <c r="J7680">
        <f>IF(F7680&lt;&gt;"", TEXT(F7680, "yyyy-mm"), "")</f>
        <v/>
      </c>
    </row>
    <row r="7681">
      <c r="A7681" t="inlineStr">
        <is>
          <t>RP0007680</t>
        </is>
      </c>
      <c r="B7681" t="inlineStr">
        <is>
          <t>LN201091</t>
        </is>
      </c>
      <c r="C7681" t="n">
        <v>6</v>
      </c>
      <c r="D7681" s="8" t="n">
        <v>46010</v>
      </c>
      <c r="E7681" s="9" t="n">
        <v>6857.33</v>
      </c>
      <c r="F7681" s="8" t="n">
        <v>46008</v>
      </c>
      <c r="G7681" s="9" t="n">
        <v>6857.33</v>
      </c>
      <c r="H7681" t="inlineStr">
        <is>
          <t>PAID_ON_TIME</t>
        </is>
      </c>
      <c r="I7681">
        <f>IF(H7681="UNPAID", AsOfDate-D7681, 0)</f>
        <v/>
      </c>
      <c r="J7681">
        <f>IF(F7681&lt;&gt;"", TEXT(F7681, "yyyy-mm"), "")</f>
        <v/>
      </c>
    </row>
    <row r="7682">
      <c r="A7682" t="inlineStr">
        <is>
          <t>RP0007681</t>
        </is>
      </c>
      <c r="B7682" t="inlineStr">
        <is>
          <t>LN201092</t>
        </is>
      </c>
      <c r="C7682" t="n">
        <v>1</v>
      </c>
      <c r="D7682" s="8" t="n">
        <v>46041</v>
      </c>
      <c r="E7682" s="9" t="n">
        <v>36090.36</v>
      </c>
      <c r="F7682" s="8" t="n"/>
      <c r="G7682" s="9" t="n">
        <v>0</v>
      </c>
      <c r="H7682" t="inlineStr">
        <is>
          <t>UNPAID</t>
        </is>
      </c>
      <c r="I7682">
        <f>IF(H7682="UNPAID", AsOfDate-D7682, 0)</f>
        <v/>
      </c>
      <c r="J7682">
        <f>IF(F7682&lt;&gt;"", TEXT(F7682, "yyyy-mm"), "")</f>
        <v/>
      </c>
    </row>
    <row r="7683">
      <c r="A7683" t="inlineStr">
        <is>
          <t>RP0007682</t>
        </is>
      </c>
      <c r="B7683" t="inlineStr">
        <is>
          <t>LN201092</t>
        </is>
      </c>
      <c r="C7683" t="n">
        <v>2</v>
      </c>
      <c r="D7683" s="8" t="n">
        <v>46072</v>
      </c>
      <c r="E7683" s="9" t="n">
        <v>36090.36</v>
      </c>
      <c r="F7683" s="8" t="n">
        <v>46069</v>
      </c>
      <c r="G7683" s="9" t="n">
        <v>36090.36</v>
      </c>
      <c r="H7683" t="inlineStr">
        <is>
          <t>PAID_ON_TIME</t>
        </is>
      </c>
      <c r="I7683">
        <f>IF(H7683="UNPAID", AsOfDate-D7683, 0)</f>
        <v/>
      </c>
      <c r="J7683">
        <f>IF(F7683&lt;&gt;"", TEXT(F7683, "yyyy-mm"), "")</f>
        <v/>
      </c>
    </row>
    <row r="7684">
      <c r="A7684" t="inlineStr">
        <is>
          <t>RP0007683</t>
        </is>
      </c>
      <c r="B7684" t="inlineStr">
        <is>
          <t>LN201092</t>
        </is>
      </c>
      <c r="C7684" t="n">
        <v>3</v>
      </c>
      <c r="D7684" s="8" t="n">
        <v>46100</v>
      </c>
      <c r="E7684" s="9" t="n">
        <v>36090.36</v>
      </c>
      <c r="F7684" s="8" t="n">
        <v>46098</v>
      </c>
      <c r="G7684" s="9" t="n">
        <v>36090.36</v>
      </c>
      <c r="H7684" t="inlineStr">
        <is>
          <t>PAID_ON_TIME</t>
        </is>
      </c>
      <c r="I7684">
        <f>IF(H7684="UNPAID", AsOfDate-D7684, 0)</f>
        <v/>
      </c>
      <c r="J7684">
        <f>IF(F7684&lt;&gt;"", TEXT(F7684, "yyyy-mm"), "")</f>
        <v/>
      </c>
    </row>
    <row r="7685">
      <c r="A7685" t="inlineStr">
        <is>
          <t>RP0007684</t>
        </is>
      </c>
      <c r="B7685" t="inlineStr">
        <is>
          <t>LN201092</t>
        </is>
      </c>
      <c r="C7685" t="n">
        <v>4</v>
      </c>
      <c r="D7685" s="8" t="n">
        <v>46131</v>
      </c>
      <c r="E7685" s="9" t="n">
        <v>36090.36</v>
      </c>
      <c r="F7685" s="8" t="n">
        <v>46234</v>
      </c>
      <c r="G7685" s="9" t="n">
        <v>36090.36</v>
      </c>
      <c r="H7685" t="inlineStr">
        <is>
          <t>PAID_LATE</t>
        </is>
      </c>
      <c r="I7685">
        <f>IF(H7685="UNPAID", AsOfDate-D7685, 0)</f>
        <v/>
      </c>
      <c r="J7685">
        <f>IF(F7685&lt;&gt;"", TEXT(F7685, "yyyy-mm"), "")</f>
        <v/>
      </c>
    </row>
    <row r="7686">
      <c r="A7686" t="inlineStr">
        <is>
          <t>RP0007685</t>
        </is>
      </c>
      <c r="B7686" t="inlineStr">
        <is>
          <t>LN201092</t>
        </is>
      </c>
      <c r="C7686" t="n">
        <v>5</v>
      </c>
      <c r="D7686" s="8" t="n">
        <v>46161</v>
      </c>
      <c r="E7686" s="9" t="n">
        <v>36090.36</v>
      </c>
      <c r="F7686" s="8" t="n">
        <v>46164</v>
      </c>
      <c r="G7686" s="9" t="n">
        <v>36090.36</v>
      </c>
      <c r="H7686" t="inlineStr">
        <is>
          <t>PAID_ON_TIME</t>
        </is>
      </c>
      <c r="I7686">
        <f>IF(H7686="UNPAID", AsOfDate-D7686, 0)</f>
        <v/>
      </c>
      <c r="J7686">
        <f>IF(F7686&lt;&gt;"", TEXT(F7686, "yyyy-mm"), "")</f>
        <v/>
      </c>
    </row>
    <row r="7687">
      <c r="A7687" t="inlineStr">
        <is>
          <t>RP0007686</t>
        </is>
      </c>
      <c r="B7687" t="inlineStr">
        <is>
          <t>LN201092</t>
        </is>
      </c>
      <c r="C7687" t="n">
        <v>6</v>
      </c>
      <c r="D7687" s="8" t="n">
        <v>46192</v>
      </c>
      <c r="E7687" s="9" t="n">
        <v>36090.36</v>
      </c>
      <c r="F7687" s="8" t="n">
        <v>46195</v>
      </c>
      <c r="G7687" s="9" t="n">
        <v>36090.36</v>
      </c>
      <c r="H7687" t="inlineStr">
        <is>
          <t>PAID_ON_TIME</t>
        </is>
      </c>
      <c r="I7687">
        <f>IF(H7687="UNPAID", AsOfDate-D7687, 0)</f>
        <v/>
      </c>
      <c r="J7687">
        <f>IF(F7687&lt;&gt;"", TEXT(F7687, "yyyy-mm"), "")</f>
        <v/>
      </c>
    </row>
    <row r="7688">
      <c r="A7688" t="inlineStr">
        <is>
          <t>RP0007687</t>
        </is>
      </c>
      <c r="B7688" t="inlineStr">
        <is>
          <t>LN201092</t>
        </is>
      </c>
      <c r="C7688" t="n">
        <v>7</v>
      </c>
      <c r="D7688" s="8" t="n">
        <v>46222</v>
      </c>
      <c r="E7688" s="9" t="n">
        <v>36090.36</v>
      </c>
      <c r="F7688" s="8" t="n">
        <v>46266</v>
      </c>
      <c r="G7688" s="9" t="n">
        <v>36090.36</v>
      </c>
      <c r="H7688" t="inlineStr">
        <is>
          <t>PAID_LATE</t>
        </is>
      </c>
      <c r="I7688">
        <f>IF(H7688="UNPAID", AsOfDate-D7688, 0)</f>
        <v/>
      </c>
      <c r="J7688">
        <f>IF(F7688&lt;&gt;"", TEXT(F7688, "yyyy-mm"), "")</f>
        <v/>
      </c>
    </row>
    <row r="7689">
      <c r="A7689" t="inlineStr">
        <is>
          <t>RP0007688</t>
        </is>
      </c>
      <c r="B7689" t="inlineStr">
        <is>
          <t>LN201092</t>
        </is>
      </c>
      <c r="C7689" t="n">
        <v>8</v>
      </c>
      <c r="D7689" s="8" t="n">
        <v>46253</v>
      </c>
      <c r="E7689" s="9" t="n">
        <v>36090.36</v>
      </c>
      <c r="F7689" s="8" t="n">
        <v>46250</v>
      </c>
      <c r="G7689" s="9" t="n">
        <v>36090.36</v>
      </c>
      <c r="H7689" t="inlineStr">
        <is>
          <t>PAID_ON_TIME</t>
        </is>
      </c>
      <c r="I7689">
        <f>IF(H7689="UNPAID", AsOfDate-D7689, 0)</f>
        <v/>
      </c>
      <c r="J7689">
        <f>IF(F7689&lt;&gt;"", TEXT(F7689, "yyyy-mm"), "")</f>
        <v/>
      </c>
    </row>
    <row r="7690">
      <c r="A7690" t="inlineStr">
        <is>
          <t>RP0007689</t>
        </is>
      </c>
      <c r="B7690" t="inlineStr">
        <is>
          <t>LN201092</t>
        </is>
      </c>
      <c r="C7690" t="n">
        <v>9</v>
      </c>
      <c r="D7690" s="8" t="n">
        <v>46284</v>
      </c>
      <c r="E7690" s="9" t="n">
        <v>36090.36</v>
      </c>
      <c r="F7690" s="8" t="n"/>
      <c r="G7690" s="9" t="n">
        <v>0</v>
      </c>
      <c r="H7690" t="inlineStr">
        <is>
          <t>NOT_DUE</t>
        </is>
      </c>
      <c r="I7690">
        <f>IF(H7690="UNPAID", AsOfDate-D7690, 0)</f>
        <v/>
      </c>
      <c r="J7690">
        <f>IF(F7690&lt;&gt;"", TEXT(F7690, "yyyy-mm"), "")</f>
        <v/>
      </c>
    </row>
    <row r="7691">
      <c r="A7691" t="inlineStr">
        <is>
          <t>RP0007690</t>
        </is>
      </c>
      <c r="B7691" t="inlineStr">
        <is>
          <t>LN201093</t>
        </is>
      </c>
      <c r="C7691" t="n">
        <v>1</v>
      </c>
      <c r="D7691" s="8" t="n">
        <v>46089</v>
      </c>
      <c r="E7691" s="9" t="n">
        <v>26312</v>
      </c>
      <c r="F7691" s="8" t="n">
        <v>46090</v>
      </c>
      <c r="G7691" s="9" t="n">
        <v>26312</v>
      </c>
      <c r="H7691" t="inlineStr">
        <is>
          <t>PAID_ON_TIME</t>
        </is>
      </c>
      <c r="I7691">
        <f>IF(H7691="UNPAID", AsOfDate-D7691, 0)</f>
        <v/>
      </c>
      <c r="J7691">
        <f>IF(F7691&lt;&gt;"", TEXT(F7691, "yyyy-mm"), "")</f>
        <v/>
      </c>
    </row>
    <row r="7692">
      <c r="A7692" t="inlineStr">
        <is>
          <t>RP0007691</t>
        </is>
      </c>
      <c r="B7692" t="inlineStr">
        <is>
          <t>LN201093</t>
        </is>
      </c>
      <c r="C7692" t="n">
        <v>2</v>
      </c>
      <c r="D7692" s="8" t="n">
        <v>46120</v>
      </c>
      <c r="E7692" s="9" t="n">
        <v>26312</v>
      </c>
      <c r="F7692" s="8" t="n">
        <v>46123</v>
      </c>
      <c r="G7692" s="9" t="n">
        <v>26312</v>
      </c>
      <c r="H7692" t="inlineStr">
        <is>
          <t>PAID_ON_TIME</t>
        </is>
      </c>
      <c r="I7692">
        <f>IF(H7692="UNPAID", AsOfDate-D7692, 0)</f>
        <v/>
      </c>
      <c r="J7692">
        <f>IF(F7692&lt;&gt;"", TEXT(F7692, "yyyy-mm"), "")</f>
        <v/>
      </c>
    </row>
    <row r="7693">
      <c r="A7693" t="inlineStr">
        <is>
          <t>RP0007692</t>
        </is>
      </c>
      <c r="B7693" t="inlineStr">
        <is>
          <t>LN201093</t>
        </is>
      </c>
      <c r="C7693" t="n">
        <v>3</v>
      </c>
      <c r="D7693" s="8" t="n">
        <v>46150</v>
      </c>
      <c r="E7693" s="9" t="n">
        <v>26312</v>
      </c>
      <c r="F7693" s="8" t="n">
        <v>46148</v>
      </c>
      <c r="G7693" s="9" t="n">
        <v>26312</v>
      </c>
      <c r="H7693" t="inlineStr">
        <is>
          <t>PAID_ON_TIME</t>
        </is>
      </c>
      <c r="I7693">
        <f>IF(H7693="UNPAID", AsOfDate-D7693, 0)</f>
        <v/>
      </c>
      <c r="J7693">
        <f>IF(F7693&lt;&gt;"", TEXT(F7693, "yyyy-mm"), "")</f>
        <v/>
      </c>
    </row>
    <row r="7694">
      <c r="A7694" t="inlineStr">
        <is>
          <t>RP0007693</t>
        </is>
      </c>
      <c r="B7694" t="inlineStr">
        <is>
          <t>LN201093</t>
        </is>
      </c>
      <c r="C7694" t="n">
        <v>4</v>
      </c>
      <c r="D7694" s="8" t="n">
        <v>46181</v>
      </c>
      <c r="E7694" s="9" t="n">
        <v>26312</v>
      </c>
      <c r="F7694" s="8" t="n">
        <v>46264</v>
      </c>
      <c r="G7694" s="9" t="n">
        <v>26312</v>
      </c>
      <c r="H7694" t="inlineStr">
        <is>
          <t>PAID_LATE</t>
        </is>
      </c>
      <c r="I7694">
        <f>IF(H7694="UNPAID", AsOfDate-D7694, 0)</f>
        <v/>
      </c>
      <c r="J7694">
        <f>IF(F7694&lt;&gt;"", TEXT(F7694, "yyyy-mm"), "")</f>
        <v/>
      </c>
    </row>
    <row r="7695">
      <c r="A7695" t="inlineStr">
        <is>
          <t>RP0007694</t>
        </is>
      </c>
      <c r="B7695" t="inlineStr">
        <is>
          <t>LN201093</t>
        </is>
      </c>
      <c r="C7695" t="n">
        <v>5</v>
      </c>
      <c r="D7695" s="8" t="n">
        <v>46211</v>
      </c>
      <c r="E7695" s="9" t="n">
        <v>26312</v>
      </c>
      <c r="F7695" s="8" t="n"/>
      <c r="G7695" s="9" t="n">
        <v>0</v>
      </c>
      <c r="H7695" t="inlineStr">
        <is>
          <t>UNPAID</t>
        </is>
      </c>
      <c r="I7695">
        <f>IF(H7695="UNPAID", AsOfDate-D7695, 0)</f>
        <v/>
      </c>
      <c r="J7695">
        <f>IF(F7695&lt;&gt;"", TEXT(F7695, "yyyy-mm"), "")</f>
        <v/>
      </c>
    </row>
    <row r="7696">
      <c r="A7696" t="inlineStr">
        <is>
          <t>RP0007695</t>
        </is>
      </c>
      <c r="B7696" t="inlineStr">
        <is>
          <t>LN201093</t>
        </is>
      </c>
      <c r="C7696" t="n">
        <v>6</v>
      </c>
      <c r="D7696" s="8" t="n">
        <v>46242</v>
      </c>
      <c r="E7696" s="9" t="n">
        <v>26312</v>
      </c>
      <c r="F7696" s="8" t="n">
        <v>46245</v>
      </c>
      <c r="G7696" s="9" t="n">
        <v>26312</v>
      </c>
      <c r="H7696" t="inlineStr">
        <is>
          <t>PAID_ON_TIME</t>
        </is>
      </c>
      <c r="I7696">
        <f>IF(H7696="UNPAID", AsOfDate-D7696, 0)</f>
        <v/>
      </c>
      <c r="J7696">
        <f>IF(F7696&lt;&gt;"", TEXT(F7696, "yyyy-mm"), "")</f>
        <v/>
      </c>
    </row>
    <row r="7697">
      <c r="A7697" t="inlineStr">
        <is>
          <t>RP0007696</t>
        </is>
      </c>
      <c r="B7697" t="inlineStr">
        <is>
          <t>LN201094</t>
        </is>
      </c>
      <c r="C7697" t="n">
        <v>1</v>
      </c>
      <c r="D7697" s="8" t="n">
        <v>45784</v>
      </c>
      <c r="E7697" s="9" t="n">
        <v>5728.28</v>
      </c>
      <c r="F7697" s="8" t="n">
        <v>45800</v>
      </c>
      <c r="G7697" s="9" t="n">
        <v>5728.28</v>
      </c>
      <c r="H7697" t="inlineStr">
        <is>
          <t>PAID_LATE</t>
        </is>
      </c>
      <c r="I7697">
        <f>IF(H7697="UNPAID", AsOfDate-D7697, 0)</f>
        <v/>
      </c>
      <c r="J7697">
        <f>IF(F7697&lt;&gt;"", TEXT(F7697, "yyyy-mm"), "")</f>
        <v/>
      </c>
    </row>
    <row r="7698">
      <c r="A7698" t="inlineStr">
        <is>
          <t>RP0007697</t>
        </is>
      </c>
      <c r="B7698" t="inlineStr">
        <is>
          <t>LN201094</t>
        </is>
      </c>
      <c r="C7698" t="n">
        <v>2</v>
      </c>
      <c r="D7698" s="8" t="n">
        <v>45815</v>
      </c>
      <c r="E7698" s="9" t="n">
        <v>5728.28</v>
      </c>
      <c r="F7698" s="8" t="n">
        <v>45813</v>
      </c>
      <c r="G7698" s="9" t="n">
        <v>5728.28</v>
      </c>
      <c r="H7698" t="inlineStr">
        <is>
          <t>PAID_ON_TIME</t>
        </is>
      </c>
      <c r="I7698">
        <f>IF(H7698="UNPAID", AsOfDate-D7698, 0)</f>
        <v/>
      </c>
      <c r="J7698">
        <f>IF(F7698&lt;&gt;"", TEXT(F7698, "yyyy-mm"), "")</f>
        <v/>
      </c>
    </row>
    <row r="7699">
      <c r="A7699" t="inlineStr">
        <is>
          <t>RP0007698</t>
        </is>
      </c>
      <c r="B7699" t="inlineStr">
        <is>
          <t>LN201094</t>
        </is>
      </c>
      <c r="C7699" t="n">
        <v>3</v>
      </c>
      <c r="D7699" s="8" t="n">
        <v>45845</v>
      </c>
      <c r="E7699" s="9" t="n">
        <v>5728.28</v>
      </c>
      <c r="F7699" s="8" t="n">
        <v>45849</v>
      </c>
      <c r="G7699" s="9" t="n">
        <v>5728.28</v>
      </c>
      <c r="H7699" t="inlineStr">
        <is>
          <t>PAID_ON_TIME</t>
        </is>
      </c>
      <c r="I7699">
        <f>IF(H7699="UNPAID", AsOfDate-D7699, 0)</f>
        <v/>
      </c>
      <c r="J7699">
        <f>IF(F7699&lt;&gt;"", TEXT(F7699, "yyyy-mm"), "")</f>
        <v/>
      </c>
    </row>
    <row r="7700">
      <c r="A7700" t="inlineStr">
        <is>
          <t>RP0007699</t>
        </is>
      </c>
      <c r="B7700" t="inlineStr">
        <is>
          <t>LN201094</t>
        </is>
      </c>
      <c r="C7700" t="n">
        <v>4</v>
      </c>
      <c r="D7700" s="8" t="n">
        <v>45876</v>
      </c>
      <c r="E7700" s="9" t="n">
        <v>5728.28</v>
      </c>
      <c r="F7700" s="8" t="n">
        <v>45980</v>
      </c>
      <c r="G7700" s="9" t="n">
        <v>5728.28</v>
      </c>
      <c r="H7700" t="inlineStr">
        <is>
          <t>PAID_LATE</t>
        </is>
      </c>
      <c r="I7700">
        <f>IF(H7700="UNPAID", AsOfDate-D7700, 0)</f>
        <v/>
      </c>
      <c r="J7700">
        <f>IF(F7700&lt;&gt;"", TEXT(F7700, "yyyy-mm"), "")</f>
        <v/>
      </c>
    </row>
    <row r="7701">
      <c r="A7701" t="inlineStr">
        <is>
          <t>RP0007700</t>
        </is>
      </c>
      <c r="B7701" t="inlineStr">
        <is>
          <t>LN201094</t>
        </is>
      </c>
      <c r="C7701" t="n">
        <v>5</v>
      </c>
      <c r="D7701" s="8" t="n">
        <v>45907</v>
      </c>
      <c r="E7701" s="9" t="n">
        <v>5728.28</v>
      </c>
      <c r="F7701" s="8" t="n">
        <v>45905</v>
      </c>
      <c r="G7701" s="9" t="n">
        <v>5728.28</v>
      </c>
      <c r="H7701" t="inlineStr">
        <is>
          <t>PAID_ON_TIME</t>
        </is>
      </c>
      <c r="I7701">
        <f>IF(H7701="UNPAID", AsOfDate-D7701, 0)</f>
        <v/>
      </c>
      <c r="J7701">
        <f>IF(F7701&lt;&gt;"", TEXT(F7701, "yyyy-mm"), "")</f>
        <v/>
      </c>
    </row>
    <row r="7702">
      <c r="A7702" t="inlineStr">
        <is>
          <t>RP0007701</t>
        </is>
      </c>
      <c r="B7702" t="inlineStr">
        <is>
          <t>LN201094</t>
        </is>
      </c>
      <c r="C7702" t="n">
        <v>6</v>
      </c>
      <c r="D7702" s="8" t="n">
        <v>45937</v>
      </c>
      <c r="E7702" s="9" t="n">
        <v>5728.28</v>
      </c>
      <c r="F7702" s="8" t="n">
        <v>45939</v>
      </c>
      <c r="G7702" s="9" t="n">
        <v>5728.28</v>
      </c>
      <c r="H7702" t="inlineStr">
        <is>
          <t>PAID_ON_TIME</t>
        </is>
      </c>
      <c r="I7702">
        <f>IF(H7702="UNPAID", AsOfDate-D7702, 0)</f>
        <v/>
      </c>
      <c r="J7702">
        <f>IF(F7702&lt;&gt;"", TEXT(F7702, "yyyy-mm"), "")</f>
        <v/>
      </c>
    </row>
    <row r="7703">
      <c r="A7703" t="inlineStr">
        <is>
          <t>RP0007702</t>
        </is>
      </c>
      <c r="B7703" t="inlineStr">
        <is>
          <t>LN201094</t>
        </is>
      </c>
      <c r="C7703" t="n">
        <v>7</v>
      </c>
      <c r="D7703" s="8" t="n">
        <v>45968</v>
      </c>
      <c r="E7703" s="9" t="n">
        <v>5728.28</v>
      </c>
      <c r="F7703" s="8" t="n">
        <v>45972</v>
      </c>
      <c r="G7703" s="9" t="n">
        <v>5728.28</v>
      </c>
      <c r="H7703" t="inlineStr">
        <is>
          <t>PAID_ON_TIME</t>
        </is>
      </c>
      <c r="I7703">
        <f>IF(H7703="UNPAID", AsOfDate-D7703, 0)</f>
        <v/>
      </c>
      <c r="J7703">
        <f>IF(F7703&lt;&gt;"", TEXT(F7703, "yyyy-mm"), "")</f>
        <v/>
      </c>
    </row>
    <row r="7704">
      <c r="A7704" t="inlineStr">
        <is>
          <t>RP0007703</t>
        </is>
      </c>
      <c r="B7704" t="inlineStr">
        <is>
          <t>LN201094</t>
        </is>
      </c>
      <c r="C7704" t="n">
        <v>8</v>
      </c>
      <c r="D7704" s="8" t="n">
        <v>45998</v>
      </c>
      <c r="E7704" s="9" t="n">
        <v>5728.28</v>
      </c>
      <c r="F7704" s="8" t="n">
        <v>45999</v>
      </c>
      <c r="G7704" s="9" t="n">
        <v>5728.28</v>
      </c>
      <c r="H7704" t="inlineStr">
        <is>
          <t>PAID_ON_TIME</t>
        </is>
      </c>
      <c r="I7704">
        <f>IF(H7704="UNPAID", AsOfDate-D7704, 0)</f>
        <v/>
      </c>
      <c r="J7704">
        <f>IF(F7704&lt;&gt;"", TEXT(F7704, "yyyy-mm"), "")</f>
        <v/>
      </c>
    </row>
    <row r="7705">
      <c r="A7705" t="inlineStr">
        <is>
          <t>RP0007704</t>
        </is>
      </c>
      <c r="B7705" t="inlineStr">
        <is>
          <t>LN201094</t>
        </is>
      </c>
      <c r="C7705" t="n">
        <v>9</v>
      </c>
      <c r="D7705" s="8" t="n">
        <v>46029</v>
      </c>
      <c r="E7705" s="9" t="n">
        <v>5728.28</v>
      </c>
      <c r="F7705" s="8" t="n">
        <v>46032</v>
      </c>
      <c r="G7705" s="9" t="n">
        <v>5728.28</v>
      </c>
      <c r="H7705" t="inlineStr">
        <is>
          <t>PAID_ON_TIME</t>
        </is>
      </c>
      <c r="I7705">
        <f>IF(H7705="UNPAID", AsOfDate-D7705, 0)</f>
        <v/>
      </c>
      <c r="J7705">
        <f>IF(F7705&lt;&gt;"", TEXT(F7705, "yyyy-mm"), "")</f>
        <v/>
      </c>
    </row>
    <row r="7706">
      <c r="A7706" t="inlineStr">
        <is>
          <t>RP0007705</t>
        </is>
      </c>
      <c r="B7706" t="inlineStr">
        <is>
          <t>LN201095</t>
        </is>
      </c>
      <c r="C7706" t="n">
        <v>1</v>
      </c>
      <c r="D7706" s="8" t="n">
        <v>45915</v>
      </c>
      <c r="E7706" s="9" t="n">
        <v>6855.56</v>
      </c>
      <c r="F7706" s="8" t="n">
        <v>45913</v>
      </c>
      <c r="G7706" s="9" t="n">
        <v>6855.56</v>
      </c>
      <c r="H7706" t="inlineStr">
        <is>
          <t>PAID_ON_TIME</t>
        </is>
      </c>
      <c r="I7706">
        <f>IF(H7706="UNPAID", AsOfDate-D7706, 0)</f>
        <v/>
      </c>
      <c r="J7706">
        <f>IF(F7706&lt;&gt;"", TEXT(F7706, "yyyy-mm"), "")</f>
        <v/>
      </c>
    </row>
    <row r="7707">
      <c r="A7707" t="inlineStr">
        <is>
          <t>RP0007706</t>
        </is>
      </c>
      <c r="B7707" t="inlineStr">
        <is>
          <t>LN201095</t>
        </is>
      </c>
      <c r="C7707" t="n">
        <v>2</v>
      </c>
      <c r="D7707" s="8" t="n">
        <v>45945</v>
      </c>
      <c r="E7707" s="9" t="n">
        <v>6855.56</v>
      </c>
      <c r="F7707" s="8" t="n">
        <v>45948</v>
      </c>
      <c r="G7707" s="9" t="n">
        <v>6855.56</v>
      </c>
      <c r="H7707" t="inlineStr">
        <is>
          <t>PAID_ON_TIME</t>
        </is>
      </c>
      <c r="I7707">
        <f>IF(H7707="UNPAID", AsOfDate-D7707, 0)</f>
        <v/>
      </c>
      <c r="J7707">
        <f>IF(F7707&lt;&gt;"", TEXT(F7707, "yyyy-mm"), "")</f>
        <v/>
      </c>
    </row>
    <row r="7708">
      <c r="A7708" t="inlineStr">
        <is>
          <t>RP0007707</t>
        </is>
      </c>
      <c r="B7708" t="inlineStr">
        <is>
          <t>LN201095</t>
        </is>
      </c>
      <c r="C7708" t="n">
        <v>3</v>
      </c>
      <c r="D7708" s="8" t="n">
        <v>45976</v>
      </c>
      <c r="E7708" s="9" t="n">
        <v>6855.56</v>
      </c>
      <c r="F7708" s="8" t="n">
        <v>45975</v>
      </c>
      <c r="G7708" s="9" t="n">
        <v>6855.56</v>
      </c>
      <c r="H7708" t="inlineStr">
        <is>
          <t>PAID_ON_TIME</t>
        </is>
      </c>
      <c r="I7708">
        <f>IF(H7708="UNPAID", AsOfDate-D7708, 0)</f>
        <v/>
      </c>
      <c r="J7708">
        <f>IF(F7708&lt;&gt;"", TEXT(F7708, "yyyy-mm"), "")</f>
        <v/>
      </c>
    </row>
    <row r="7709">
      <c r="A7709" t="inlineStr">
        <is>
          <t>RP0007708</t>
        </is>
      </c>
      <c r="B7709" t="inlineStr">
        <is>
          <t>LN201095</t>
        </is>
      </c>
      <c r="C7709" t="n">
        <v>4</v>
      </c>
      <c r="D7709" s="8" t="n">
        <v>46006</v>
      </c>
      <c r="E7709" s="9" t="n">
        <v>6855.56</v>
      </c>
      <c r="F7709" s="8" t="n">
        <v>46007</v>
      </c>
      <c r="G7709" s="9" t="n">
        <v>6855.56</v>
      </c>
      <c r="H7709" t="inlineStr">
        <is>
          <t>PAID_ON_TIME</t>
        </is>
      </c>
      <c r="I7709">
        <f>IF(H7709="UNPAID", AsOfDate-D7709, 0)</f>
        <v/>
      </c>
      <c r="J7709">
        <f>IF(F7709&lt;&gt;"", TEXT(F7709, "yyyy-mm"), "")</f>
        <v/>
      </c>
    </row>
    <row r="7710">
      <c r="A7710" t="inlineStr">
        <is>
          <t>RP0007709</t>
        </is>
      </c>
      <c r="B7710" t="inlineStr">
        <is>
          <t>LN201095</t>
        </is>
      </c>
      <c r="C7710" t="n">
        <v>5</v>
      </c>
      <c r="D7710" s="8" t="n">
        <v>46037</v>
      </c>
      <c r="E7710" s="9" t="n">
        <v>6855.56</v>
      </c>
      <c r="F7710" s="8" t="n">
        <v>46039</v>
      </c>
      <c r="G7710" s="9" t="n">
        <v>6855.56</v>
      </c>
      <c r="H7710" t="inlineStr">
        <is>
          <t>PAID_ON_TIME</t>
        </is>
      </c>
      <c r="I7710">
        <f>IF(H7710="UNPAID", AsOfDate-D7710, 0)</f>
        <v/>
      </c>
      <c r="J7710">
        <f>IF(F7710&lt;&gt;"", TEXT(F7710, "yyyy-mm"), "")</f>
        <v/>
      </c>
    </row>
    <row r="7711">
      <c r="A7711" t="inlineStr">
        <is>
          <t>RP0007710</t>
        </is>
      </c>
      <c r="B7711" t="inlineStr">
        <is>
          <t>LN201095</t>
        </is>
      </c>
      <c r="C7711" t="n">
        <v>6</v>
      </c>
      <c r="D7711" s="8" t="n">
        <v>46068</v>
      </c>
      <c r="E7711" s="9" t="n">
        <v>6855.56</v>
      </c>
      <c r="F7711" s="8" t="n">
        <v>46068</v>
      </c>
      <c r="G7711" s="9" t="n">
        <v>6855.56</v>
      </c>
      <c r="H7711" t="inlineStr">
        <is>
          <t>PAID_ON_TIME</t>
        </is>
      </c>
      <c r="I7711">
        <f>IF(H7711="UNPAID", AsOfDate-D7711, 0)</f>
        <v/>
      </c>
      <c r="J7711">
        <f>IF(F7711&lt;&gt;"", TEXT(F7711, "yyyy-mm"), "")</f>
        <v/>
      </c>
    </row>
    <row r="7712">
      <c r="A7712" t="inlineStr">
        <is>
          <t>RP0007711</t>
        </is>
      </c>
      <c r="B7712" t="inlineStr">
        <is>
          <t>LN201095</t>
        </is>
      </c>
      <c r="C7712" t="n">
        <v>7</v>
      </c>
      <c r="D7712" s="8" t="n">
        <v>46096</v>
      </c>
      <c r="E7712" s="9" t="n">
        <v>6855.56</v>
      </c>
      <c r="F7712" s="8" t="n">
        <v>46100</v>
      </c>
      <c r="G7712" s="9" t="n">
        <v>6855.56</v>
      </c>
      <c r="H7712" t="inlineStr">
        <is>
          <t>PAID_ON_TIME</t>
        </is>
      </c>
      <c r="I7712">
        <f>IF(H7712="UNPAID", AsOfDate-D7712, 0)</f>
        <v/>
      </c>
      <c r="J7712">
        <f>IF(F7712&lt;&gt;"", TEXT(F7712, "yyyy-mm"), "")</f>
        <v/>
      </c>
    </row>
    <row r="7713">
      <c r="A7713" t="inlineStr">
        <is>
          <t>RP0007712</t>
        </is>
      </c>
      <c r="B7713" t="inlineStr">
        <is>
          <t>LN201095</t>
        </is>
      </c>
      <c r="C7713" t="n">
        <v>8</v>
      </c>
      <c r="D7713" s="8" t="n">
        <v>46127</v>
      </c>
      <c r="E7713" s="9" t="n">
        <v>6855.56</v>
      </c>
      <c r="F7713" s="8" t="n">
        <v>46124</v>
      </c>
      <c r="G7713" s="9" t="n">
        <v>6855.56</v>
      </c>
      <c r="H7713" t="inlineStr">
        <is>
          <t>PAID_ON_TIME</t>
        </is>
      </c>
      <c r="I7713">
        <f>IF(H7713="UNPAID", AsOfDate-D7713, 0)</f>
        <v/>
      </c>
      <c r="J7713">
        <f>IF(F7713&lt;&gt;"", TEXT(F7713, "yyyy-mm"), "")</f>
        <v/>
      </c>
    </row>
    <row r="7714">
      <c r="A7714" t="inlineStr">
        <is>
          <t>RP0007713</t>
        </is>
      </c>
      <c r="B7714" t="inlineStr">
        <is>
          <t>LN201095</t>
        </is>
      </c>
      <c r="C7714" t="n">
        <v>9</v>
      </c>
      <c r="D7714" s="8" t="n">
        <v>46157</v>
      </c>
      <c r="E7714" s="9" t="n">
        <v>6855.56</v>
      </c>
      <c r="F7714" s="8" t="n">
        <v>46161</v>
      </c>
      <c r="G7714" s="9" t="n">
        <v>6855.56</v>
      </c>
      <c r="H7714" t="inlineStr">
        <is>
          <t>PAID_ON_TIME</t>
        </is>
      </c>
      <c r="I7714">
        <f>IF(H7714="UNPAID", AsOfDate-D7714, 0)</f>
        <v/>
      </c>
      <c r="J7714">
        <f>IF(F7714&lt;&gt;"", TEXT(F7714, "yyyy-mm"), "")</f>
        <v/>
      </c>
    </row>
    <row r="7715">
      <c r="A7715" t="inlineStr">
        <is>
          <t>RP0007714</t>
        </is>
      </c>
      <c r="B7715" t="inlineStr">
        <is>
          <t>LN201095</t>
        </is>
      </c>
      <c r="C7715" t="n">
        <v>10</v>
      </c>
      <c r="D7715" s="8" t="n">
        <v>46188</v>
      </c>
      <c r="E7715" s="9" t="n">
        <v>6855.56</v>
      </c>
      <c r="F7715" s="8" t="n">
        <v>46192</v>
      </c>
      <c r="G7715" s="9" t="n">
        <v>6855.56</v>
      </c>
      <c r="H7715" t="inlineStr">
        <is>
          <t>PAID_ON_TIME</t>
        </is>
      </c>
      <c r="I7715">
        <f>IF(H7715="UNPAID", AsOfDate-D7715, 0)</f>
        <v/>
      </c>
      <c r="J7715">
        <f>IF(F7715&lt;&gt;"", TEXT(F7715, "yyyy-mm"), "")</f>
        <v/>
      </c>
    </row>
    <row r="7716">
      <c r="A7716" t="inlineStr">
        <is>
          <t>RP0007715</t>
        </is>
      </c>
      <c r="B7716" t="inlineStr">
        <is>
          <t>LN201095</t>
        </is>
      </c>
      <c r="C7716" t="n">
        <v>11</v>
      </c>
      <c r="D7716" s="8" t="n">
        <v>46218</v>
      </c>
      <c r="E7716" s="9" t="n">
        <v>6855.56</v>
      </c>
      <c r="F7716" s="8" t="n">
        <v>46216</v>
      </c>
      <c r="G7716" s="9" t="n">
        <v>6855.56</v>
      </c>
      <c r="H7716" t="inlineStr">
        <is>
          <t>PAID_ON_TIME</t>
        </is>
      </c>
      <c r="I7716">
        <f>IF(H7716="UNPAID", AsOfDate-D7716, 0)</f>
        <v/>
      </c>
      <c r="J7716">
        <f>IF(F7716&lt;&gt;"", TEXT(F7716, "yyyy-mm"), "")</f>
        <v/>
      </c>
    </row>
    <row r="7717">
      <c r="A7717" t="inlineStr">
        <is>
          <t>RP0007716</t>
        </is>
      </c>
      <c r="B7717" t="inlineStr">
        <is>
          <t>LN201095</t>
        </is>
      </c>
      <c r="C7717" t="n">
        <v>12</v>
      </c>
      <c r="D7717" s="8" t="n">
        <v>46249</v>
      </c>
      <c r="E7717" s="9" t="n">
        <v>6855.56</v>
      </c>
      <c r="F7717" s="8" t="n">
        <v>46252</v>
      </c>
      <c r="G7717" s="9" t="n">
        <v>6855.56</v>
      </c>
      <c r="H7717" t="inlineStr">
        <is>
          <t>PAID_ON_TIME</t>
        </is>
      </c>
      <c r="I7717">
        <f>IF(H7717="UNPAID", AsOfDate-D7717, 0)</f>
        <v/>
      </c>
      <c r="J7717">
        <f>IF(F7717&lt;&gt;"", TEXT(F7717, "yyyy-mm"), "")</f>
        <v/>
      </c>
    </row>
    <row r="7718">
      <c r="A7718" t="inlineStr">
        <is>
          <t>RP0007717</t>
        </is>
      </c>
      <c r="B7718" t="inlineStr">
        <is>
          <t>LN201095</t>
        </is>
      </c>
      <c r="C7718" t="n">
        <v>13</v>
      </c>
      <c r="D7718" s="8" t="n">
        <v>46280</v>
      </c>
      <c r="E7718" s="9" t="n">
        <v>6855.56</v>
      </c>
      <c r="F7718" s="8" t="n"/>
      <c r="G7718" s="9" t="n">
        <v>0</v>
      </c>
      <c r="H7718" t="inlineStr">
        <is>
          <t>NOT_DUE</t>
        </is>
      </c>
      <c r="I7718">
        <f>IF(H7718="UNPAID", AsOfDate-D7718, 0)</f>
        <v/>
      </c>
      <c r="J7718">
        <f>IF(F7718&lt;&gt;"", TEXT(F7718, "yyyy-mm"), "")</f>
        <v/>
      </c>
    </row>
    <row r="7719">
      <c r="A7719" t="inlineStr">
        <is>
          <t>RP0007718</t>
        </is>
      </c>
      <c r="B7719" t="inlineStr">
        <is>
          <t>LN201095</t>
        </is>
      </c>
      <c r="C7719" t="n">
        <v>14</v>
      </c>
      <c r="D7719" s="8" t="n">
        <v>46310</v>
      </c>
      <c r="E7719" s="9" t="n">
        <v>6855.56</v>
      </c>
      <c r="F7719" s="8" t="n"/>
      <c r="G7719" s="9" t="n">
        <v>0</v>
      </c>
      <c r="H7719" t="inlineStr">
        <is>
          <t>NOT_DUE</t>
        </is>
      </c>
      <c r="I7719">
        <f>IF(H7719="UNPAID", AsOfDate-D7719, 0)</f>
        <v/>
      </c>
      <c r="J7719">
        <f>IF(F7719&lt;&gt;"", TEXT(F7719, "yyyy-mm"), "")</f>
        <v/>
      </c>
    </row>
    <row r="7720">
      <c r="A7720" t="inlineStr">
        <is>
          <t>RP0007719</t>
        </is>
      </c>
      <c r="B7720" t="inlineStr">
        <is>
          <t>LN201095</t>
        </is>
      </c>
      <c r="C7720" t="n">
        <v>15</v>
      </c>
      <c r="D7720" s="8" t="n">
        <v>46341</v>
      </c>
      <c r="E7720" s="9" t="n">
        <v>6855.56</v>
      </c>
      <c r="F7720" s="8" t="n"/>
      <c r="G7720" s="9" t="n">
        <v>0</v>
      </c>
      <c r="H7720" t="inlineStr">
        <is>
          <t>NOT_DUE</t>
        </is>
      </c>
      <c r="I7720">
        <f>IF(H7720="UNPAID", AsOfDate-D7720, 0)</f>
        <v/>
      </c>
      <c r="J7720">
        <f>IF(F7720&lt;&gt;"", TEXT(F7720, "yyyy-mm"), "")</f>
        <v/>
      </c>
    </row>
    <row r="7721">
      <c r="A7721" t="inlineStr">
        <is>
          <t>RP0007720</t>
        </is>
      </c>
      <c r="B7721" t="inlineStr">
        <is>
          <t>LN201095</t>
        </is>
      </c>
      <c r="C7721" t="n">
        <v>16</v>
      </c>
      <c r="D7721" s="8" t="n">
        <v>46371</v>
      </c>
      <c r="E7721" s="9" t="n">
        <v>6855.56</v>
      </c>
      <c r="F7721" s="8" t="n"/>
      <c r="G7721" s="9" t="n">
        <v>0</v>
      </c>
      <c r="H7721" t="inlineStr">
        <is>
          <t>NOT_DUE</t>
        </is>
      </c>
      <c r="I7721">
        <f>IF(H7721="UNPAID", AsOfDate-D7721, 0)</f>
        <v/>
      </c>
      <c r="J7721">
        <f>IF(F7721&lt;&gt;"", TEXT(F7721, "yyyy-mm"), "")</f>
        <v/>
      </c>
    </row>
    <row r="7722">
      <c r="A7722" t="inlineStr">
        <is>
          <t>RP0007721</t>
        </is>
      </c>
      <c r="B7722" t="inlineStr">
        <is>
          <t>LN201095</t>
        </is>
      </c>
      <c r="C7722" t="n">
        <v>17</v>
      </c>
      <c r="D7722" s="8" t="n">
        <v>46402</v>
      </c>
      <c r="E7722" s="9" t="n">
        <v>6855.56</v>
      </c>
      <c r="F7722" s="8" t="n"/>
      <c r="G7722" s="9" t="n">
        <v>0</v>
      </c>
      <c r="H7722" t="inlineStr">
        <is>
          <t>NOT_DUE</t>
        </is>
      </c>
      <c r="I7722">
        <f>IF(H7722="UNPAID", AsOfDate-D7722, 0)</f>
        <v/>
      </c>
      <c r="J7722">
        <f>IF(F7722&lt;&gt;"", TEXT(F7722, "yyyy-mm"), "")</f>
        <v/>
      </c>
    </row>
    <row r="7723">
      <c r="A7723" t="inlineStr">
        <is>
          <t>RP0007722</t>
        </is>
      </c>
      <c r="B7723" t="inlineStr">
        <is>
          <t>LN201095</t>
        </is>
      </c>
      <c r="C7723" t="n">
        <v>18</v>
      </c>
      <c r="D7723" s="8" t="n">
        <v>46433</v>
      </c>
      <c r="E7723" s="9" t="n">
        <v>6855.56</v>
      </c>
      <c r="F7723" s="8" t="n"/>
      <c r="G7723" s="9" t="n">
        <v>0</v>
      </c>
      <c r="H7723" t="inlineStr">
        <is>
          <t>NOT_DUE</t>
        </is>
      </c>
      <c r="I7723">
        <f>IF(H7723="UNPAID", AsOfDate-D7723, 0)</f>
        <v/>
      </c>
      <c r="J7723">
        <f>IF(F7723&lt;&gt;"", TEXT(F7723, "yyyy-mm"), "")</f>
        <v/>
      </c>
    </row>
    <row r="7724">
      <c r="A7724" t="inlineStr">
        <is>
          <t>RP0007723</t>
        </is>
      </c>
      <c r="B7724" t="inlineStr">
        <is>
          <t>LN201096</t>
        </is>
      </c>
      <c r="C7724" t="n">
        <v>1</v>
      </c>
      <c r="D7724" s="8" t="n">
        <v>46072</v>
      </c>
      <c r="E7724" s="9" t="n">
        <v>20026</v>
      </c>
      <c r="F7724" s="8" t="n">
        <v>46074</v>
      </c>
      <c r="G7724" s="9" t="n">
        <v>20026</v>
      </c>
      <c r="H7724" t="inlineStr">
        <is>
          <t>PAID_ON_TIME</t>
        </is>
      </c>
      <c r="I7724">
        <f>IF(H7724="UNPAID", AsOfDate-D7724, 0)</f>
        <v/>
      </c>
      <c r="J7724">
        <f>IF(F7724&lt;&gt;"", TEXT(F7724, "yyyy-mm"), "")</f>
        <v/>
      </c>
    </row>
    <row r="7725">
      <c r="A7725" t="inlineStr">
        <is>
          <t>RP0007724</t>
        </is>
      </c>
      <c r="B7725" t="inlineStr">
        <is>
          <t>LN201096</t>
        </is>
      </c>
      <c r="C7725" t="n">
        <v>2</v>
      </c>
      <c r="D7725" s="8" t="n">
        <v>46100</v>
      </c>
      <c r="E7725" s="9" t="n">
        <v>20026</v>
      </c>
      <c r="F7725" s="8" t="n">
        <v>46098</v>
      </c>
      <c r="G7725" s="9" t="n">
        <v>20026</v>
      </c>
      <c r="H7725" t="inlineStr">
        <is>
          <t>PAID_ON_TIME</t>
        </is>
      </c>
      <c r="I7725">
        <f>IF(H7725="UNPAID", AsOfDate-D7725, 0)</f>
        <v/>
      </c>
      <c r="J7725">
        <f>IF(F7725&lt;&gt;"", TEXT(F7725, "yyyy-mm"), "")</f>
        <v/>
      </c>
    </row>
    <row r="7726">
      <c r="A7726" t="inlineStr">
        <is>
          <t>RP0007725</t>
        </is>
      </c>
      <c r="B7726" t="inlineStr">
        <is>
          <t>LN201096</t>
        </is>
      </c>
      <c r="C7726" t="n">
        <v>3</v>
      </c>
      <c r="D7726" s="8" t="n">
        <v>46131</v>
      </c>
      <c r="E7726" s="9" t="n">
        <v>20026</v>
      </c>
      <c r="F7726" s="8" t="n">
        <v>46133</v>
      </c>
      <c r="G7726" s="9" t="n">
        <v>20026</v>
      </c>
      <c r="H7726" t="inlineStr">
        <is>
          <t>PAID_ON_TIME</t>
        </is>
      </c>
      <c r="I7726">
        <f>IF(H7726="UNPAID", AsOfDate-D7726, 0)</f>
        <v/>
      </c>
      <c r="J7726">
        <f>IF(F7726&lt;&gt;"", TEXT(F7726, "yyyy-mm"), "")</f>
        <v/>
      </c>
    </row>
    <row r="7727">
      <c r="A7727" t="inlineStr">
        <is>
          <t>RP0007726</t>
        </is>
      </c>
      <c r="B7727" t="inlineStr">
        <is>
          <t>LN201098</t>
        </is>
      </c>
      <c r="C7727" t="n">
        <v>1</v>
      </c>
      <c r="D7727" s="8" t="n">
        <v>45930</v>
      </c>
      <c r="E7727" s="9" t="n">
        <v>10573.5</v>
      </c>
      <c r="F7727" s="8" t="n">
        <v>45991</v>
      </c>
      <c r="G7727" s="9" t="n">
        <v>10573.5</v>
      </c>
      <c r="H7727" t="inlineStr">
        <is>
          <t>PAID_LATE</t>
        </is>
      </c>
      <c r="I7727">
        <f>IF(H7727="UNPAID", AsOfDate-D7727, 0)</f>
        <v/>
      </c>
      <c r="J7727">
        <f>IF(F7727&lt;&gt;"", TEXT(F7727, "yyyy-mm"), "")</f>
        <v/>
      </c>
    </row>
    <row r="7728">
      <c r="A7728" t="inlineStr">
        <is>
          <t>RP0007727</t>
        </is>
      </c>
      <c r="B7728" t="inlineStr">
        <is>
          <t>LN201098</t>
        </is>
      </c>
      <c r="C7728" t="n">
        <v>2</v>
      </c>
      <c r="D7728" s="8" t="n">
        <v>45960</v>
      </c>
      <c r="E7728" s="9" t="n">
        <v>10573.5</v>
      </c>
      <c r="F7728" s="8" t="n">
        <v>45959</v>
      </c>
      <c r="G7728" s="9" t="n">
        <v>10573.5</v>
      </c>
      <c r="H7728" t="inlineStr">
        <is>
          <t>PAID_ON_TIME</t>
        </is>
      </c>
      <c r="I7728">
        <f>IF(H7728="UNPAID", AsOfDate-D7728, 0)</f>
        <v/>
      </c>
      <c r="J7728">
        <f>IF(F7728&lt;&gt;"", TEXT(F7728, "yyyy-mm"), "")</f>
        <v/>
      </c>
    </row>
    <row r="7729">
      <c r="A7729" t="inlineStr">
        <is>
          <t>RP0007728</t>
        </is>
      </c>
      <c r="B7729" t="inlineStr">
        <is>
          <t>LN201098</t>
        </is>
      </c>
      <c r="C7729" t="n">
        <v>3</v>
      </c>
      <c r="D7729" s="8" t="n">
        <v>45991</v>
      </c>
      <c r="E7729" s="9" t="n">
        <v>10573.5</v>
      </c>
      <c r="F7729" s="8" t="n">
        <v>45992</v>
      </c>
      <c r="G7729" s="9" t="n">
        <v>10573.5</v>
      </c>
      <c r="H7729" t="inlineStr">
        <is>
          <t>PAID_ON_TIME</t>
        </is>
      </c>
      <c r="I7729">
        <f>IF(H7729="UNPAID", AsOfDate-D7729, 0)</f>
        <v/>
      </c>
      <c r="J7729">
        <f>IF(F7729&lt;&gt;"", TEXT(F7729, "yyyy-mm"), "")</f>
        <v/>
      </c>
    </row>
    <row r="7730">
      <c r="A7730" t="inlineStr">
        <is>
          <t>RP0007729</t>
        </is>
      </c>
      <c r="B7730" t="inlineStr">
        <is>
          <t>LN201098</t>
        </is>
      </c>
      <c r="C7730" t="n">
        <v>4</v>
      </c>
      <c r="D7730" s="8" t="n">
        <v>46021</v>
      </c>
      <c r="E7730" s="9" t="n">
        <v>10573.5</v>
      </c>
      <c r="F7730" s="8" t="n">
        <v>46025</v>
      </c>
      <c r="G7730" s="9" t="n">
        <v>10573.5</v>
      </c>
      <c r="H7730" t="inlineStr">
        <is>
          <t>PAID_ON_TIME</t>
        </is>
      </c>
      <c r="I7730">
        <f>IF(H7730="UNPAID", AsOfDate-D7730, 0)</f>
        <v/>
      </c>
      <c r="J7730">
        <f>IF(F7730&lt;&gt;"", TEXT(F7730, "yyyy-mm"), "")</f>
        <v/>
      </c>
    </row>
    <row r="7731">
      <c r="A7731" t="inlineStr">
        <is>
          <t>RP0007730</t>
        </is>
      </c>
      <c r="B7731" t="inlineStr">
        <is>
          <t>LN201098</t>
        </is>
      </c>
      <c r="C7731" t="n">
        <v>5</v>
      </c>
      <c r="D7731" s="8" t="n">
        <v>46052</v>
      </c>
      <c r="E7731" s="9" t="n">
        <v>10573.5</v>
      </c>
      <c r="F7731" s="8" t="n">
        <v>46049</v>
      </c>
      <c r="G7731" s="9" t="n">
        <v>10573.5</v>
      </c>
      <c r="H7731" t="inlineStr">
        <is>
          <t>PAID_ON_TIME</t>
        </is>
      </c>
      <c r="I7731">
        <f>IF(H7731="UNPAID", AsOfDate-D7731, 0)</f>
        <v/>
      </c>
      <c r="J7731">
        <f>IF(F7731&lt;&gt;"", TEXT(F7731, "yyyy-mm"), "")</f>
        <v/>
      </c>
    </row>
    <row r="7732">
      <c r="A7732" t="inlineStr">
        <is>
          <t>RP0007731</t>
        </is>
      </c>
      <c r="B7732" t="inlineStr">
        <is>
          <t>LN201098</t>
        </is>
      </c>
      <c r="C7732" t="n">
        <v>6</v>
      </c>
      <c r="D7732" s="8" t="n">
        <v>46081</v>
      </c>
      <c r="E7732" s="9" t="n">
        <v>10573.5</v>
      </c>
      <c r="F7732" s="8" t="n">
        <v>46186</v>
      </c>
      <c r="G7732" s="9" t="n">
        <v>10573.5</v>
      </c>
      <c r="H7732" t="inlineStr">
        <is>
          <t>PAID_LATE</t>
        </is>
      </c>
      <c r="I7732">
        <f>IF(H7732="UNPAID", AsOfDate-D7732, 0)</f>
        <v/>
      </c>
      <c r="J7732">
        <f>IF(F7732&lt;&gt;"", TEXT(F7732, "yyyy-mm"), "")</f>
        <v/>
      </c>
    </row>
    <row r="7733">
      <c r="A7733" t="inlineStr">
        <is>
          <t>RP0007732</t>
        </is>
      </c>
      <c r="B7733" t="inlineStr">
        <is>
          <t>LN201098</t>
        </is>
      </c>
      <c r="C7733" t="n">
        <v>7</v>
      </c>
      <c r="D7733" s="8" t="n">
        <v>46111</v>
      </c>
      <c r="E7733" s="9" t="n">
        <v>10573.5</v>
      </c>
      <c r="F7733" s="8" t="n">
        <v>46112</v>
      </c>
      <c r="G7733" s="9" t="n">
        <v>10573.5</v>
      </c>
      <c r="H7733" t="inlineStr">
        <is>
          <t>PAID_ON_TIME</t>
        </is>
      </c>
      <c r="I7733">
        <f>IF(H7733="UNPAID", AsOfDate-D7733, 0)</f>
        <v/>
      </c>
      <c r="J7733">
        <f>IF(F7733&lt;&gt;"", TEXT(F7733, "yyyy-mm"), "")</f>
        <v/>
      </c>
    </row>
    <row r="7734">
      <c r="A7734" t="inlineStr">
        <is>
          <t>RP0007733</t>
        </is>
      </c>
      <c r="B7734" t="inlineStr">
        <is>
          <t>LN201098</t>
        </is>
      </c>
      <c r="C7734" t="n">
        <v>8</v>
      </c>
      <c r="D7734" s="8" t="n">
        <v>46142</v>
      </c>
      <c r="E7734" s="9" t="n">
        <v>10573.5</v>
      </c>
      <c r="F7734" s="8" t="n">
        <v>46143</v>
      </c>
      <c r="G7734" s="9" t="n">
        <v>10573.5</v>
      </c>
      <c r="H7734" t="inlineStr">
        <is>
          <t>PAID_ON_TIME</t>
        </is>
      </c>
      <c r="I7734">
        <f>IF(H7734="UNPAID", AsOfDate-D7734, 0)</f>
        <v/>
      </c>
      <c r="J7734">
        <f>IF(F7734&lt;&gt;"", TEXT(F7734, "yyyy-mm"), "")</f>
        <v/>
      </c>
    </row>
    <row r="7735">
      <c r="A7735" t="inlineStr">
        <is>
          <t>RP0007734</t>
        </is>
      </c>
      <c r="B7735" t="inlineStr">
        <is>
          <t>LN201098</t>
        </is>
      </c>
      <c r="C7735" t="n">
        <v>9</v>
      </c>
      <c r="D7735" s="8" t="n">
        <v>46172</v>
      </c>
      <c r="E7735" s="9" t="n">
        <v>10573.5</v>
      </c>
      <c r="F7735" s="8" t="n">
        <v>46170</v>
      </c>
      <c r="G7735" s="9" t="n">
        <v>10573.5</v>
      </c>
      <c r="H7735" t="inlineStr">
        <is>
          <t>PAID_ON_TIME</t>
        </is>
      </c>
      <c r="I7735">
        <f>IF(H7735="UNPAID", AsOfDate-D7735, 0)</f>
        <v/>
      </c>
      <c r="J7735">
        <f>IF(F7735&lt;&gt;"", TEXT(F7735, "yyyy-mm"), "")</f>
        <v/>
      </c>
    </row>
    <row r="7736">
      <c r="A7736" t="inlineStr">
        <is>
          <t>RP0007735</t>
        </is>
      </c>
      <c r="B7736" t="inlineStr">
        <is>
          <t>LN201098</t>
        </is>
      </c>
      <c r="C7736" t="n">
        <v>10</v>
      </c>
      <c r="D7736" s="8" t="n">
        <v>46203</v>
      </c>
      <c r="E7736" s="9" t="n">
        <v>10573.5</v>
      </c>
      <c r="F7736" s="8" t="n">
        <v>46202</v>
      </c>
      <c r="G7736" s="9" t="n">
        <v>10573.5</v>
      </c>
      <c r="H7736" t="inlineStr">
        <is>
          <t>PAID_ON_TIME</t>
        </is>
      </c>
      <c r="I7736">
        <f>IF(H7736="UNPAID", AsOfDate-D7736, 0)</f>
        <v/>
      </c>
      <c r="J7736">
        <f>IF(F7736&lt;&gt;"", TEXT(F7736, "yyyy-mm"), "")</f>
        <v/>
      </c>
    </row>
    <row r="7737">
      <c r="A7737" t="inlineStr">
        <is>
          <t>RP0007736</t>
        </is>
      </c>
      <c r="B7737" t="inlineStr">
        <is>
          <t>LN201098</t>
        </is>
      </c>
      <c r="C7737" t="n">
        <v>11</v>
      </c>
      <c r="D7737" s="8" t="n">
        <v>46233</v>
      </c>
      <c r="E7737" s="9" t="n">
        <v>10573.5</v>
      </c>
      <c r="F7737" s="8" t="n">
        <v>46236</v>
      </c>
      <c r="G7737" s="9" t="n">
        <v>10573.5</v>
      </c>
      <c r="H7737" t="inlineStr">
        <is>
          <t>PAID_ON_TIME</t>
        </is>
      </c>
      <c r="I7737">
        <f>IF(H7737="UNPAID", AsOfDate-D7737, 0)</f>
        <v/>
      </c>
      <c r="J7737">
        <f>IF(F7737&lt;&gt;"", TEXT(F7737, "yyyy-mm"), "")</f>
        <v/>
      </c>
    </row>
    <row r="7738">
      <c r="A7738" t="inlineStr">
        <is>
          <t>RP0007737</t>
        </is>
      </c>
      <c r="B7738" t="inlineStr">
        <is>
          <t>LN201098</t>
        </is>
      </c>
      <c r="C7738" t="n">
        <v>12</v>
      </c>
      <c r="D7738" s="8" t="n">
        <v>46264</v>
      </c>
      <c r="E7738" s="9" t="n">
        <v>10573.5</v>
      </c>
      <c r="F7738" s="8" t="n">
        <v>46268</v>
      </c>
      <c r="G7738" s="9" t="n">
        <v>10573.5</v>
      </c>
      <c r="H7738" t="inlineStr">
        <is>
          <t>PAID_ON_TIME</t>
        </is>
      </c>
      <c r="I7738">
        <f>IF(H7738="UNPAID", AsOfDate-D7738, 0)</f>
        <v/>
      </c>
      <c r="J7738">
        <f>IF(F7738&lt;&gt;"", TEXT(F7738, "yyyy-mm"), "")</f>
        <v/>
      </c>
    </row>
    <row r="7739">
      <c r="A7739" t="inlineStr">
        <is>
          <t>RP0007738</t>
        </is>
      </c>
      <c r="B7739" t="inlineStr">
        <is>
          <t>LN201099</t>
        </is>
      </c>
      <c r="C7739" t="n">
        <v>1</v>
      </c>
      <c r="D7739" s="8" t="n">
        <v>46236</v>
      </c>
      <c r="E7739" s="9" t="n">
        <v>35733.33</v>
      </c>
      <c r="F7739" s="8" t="n">
        <v>46239</v>
      </c>
      <c r="G7739" s="9" t="n">
        <v>35733.33</v>
      </c>
      <c r="H7739" t="inlineStr">
        <is>
          <t>PAID_ON_TIME</t>
        </is>
      </c>
      <c r="I7739">
        <f>IF(H7739="UNPAID", AsOfDate-D7739, 0)</f>
        <v/>
      </c>
      <c r="J7739">
        <f>IF(F7739&lt;&gt;"", TEXT(F7739, "yyyy-mm"), "")</f>
        <v/>
      </c>
    </row>
    <row r="7740">
      <c r="A7740" t="inlineStr">
        <is>
          <t>RP0007739</t>
        </is>
      </c>
      <c r="B7740" t="inlineStr">
        <is>
          <t>LN201099</t>
        </is>
      </c>
      <c r="C7740" t="n">
        <v>2</v>
      </c>
      <c r="D7740" s="8" t="n">
        <v>46267</v>
      </c>
      <c r="E7740" s="9" t="n">
        <v>35733.33</v>
      </c>
      <c r="F7740" s="8" t="n"/>
      <c r="G7740" s="9" t="n">
        <v>0</v>
      </c>
      <c r="H7740" t="inlineStr">
        <is>
          <t>NOT_DUE</t>
        </is>
      </c>
      <c r="I7740">
        <f>IF(H7740="UNPAID", AsOfDate-D7740, 0)</f>
        <v/>
      </c>
      <c r="J7740">
        <f>IF(F7740&lt;&gt;"", TEXT(F7740, "yyyy-mm"), "")</f>
        <v/>
      </c>
    </row>
    <row r="7741">
      <c r="A7741" t="inlineStr">
        <is>
          <t>RP0007740</t>
        </is>
      </c>
      <c r="B7741" t="inlineStr">
        <is>
          <t>LN201099</t>
        </is>
      </c>
      <c r="C7741" t="n">
        <v>3</v>
      </c>
      <c r="D7741" s="8" t="n">
        <v>46297</v>
      </c>
      <c r="E7741" s="9" t="n">
        <v>35733.33</v>
      </c>
      <c r="F7741" s="8" t="n"/>
      <c r="G7741" s="9" t="n">
        <v>0</v>
      </c>
      <c r="H7741" t="inlineStr">
        <is>
          <t>NOT_DUE</t>
        </is>
      </c>
      <c r="I7741">
        <f>IF(H7741="UNPAID", AsOfDate-D7741, 0)</f>
        <v/>
      </c>
      <c r="J7741">
        <f>IF(F7741&lt;&gt;"", TEXT(F7741, "yyyy-mm"), "")</f>
        <v/>
      </c>
    </row>
    <row r="7742">
      <c r="A7742" t="inlineStr">
        <is>
          <t>RP0007741</t>
        </is>
      </c>
      <c r="B7742" t="inlineStr">
        <is>
          <t>LN201099</t>
        </is>
      </c>
      <c r="C7742" t="n">
        <v>4</v>
      </c>
      <c r="D7742" s="8" t="n">
        <v>46328</v>
      </c>
      <c r="E7742" s="9" t="n">
        <v>35733.33</v>
      </c>
      <c r="F7742" s="8" t="n"/>
      <c r="G7742" s="9" t="n">
        <v>0</v>
      </c>
      <c r="H7742" t="inlineStr">
        <is>
          <t>NOT_DUE</t>
        </is>
      </c>
      <c r="I7742">
        <f>IF(H7742="UNPAID", AsOfDate-D7742, 0)</f>
        <v/>
      </c>
      <c r="J7742">
        <f>IF(F7742&lt;&gt;"", TEXT(F7742, "yyyy-mm"), "")</f>
        <v/>
      </c>
    </row>
    <row r="7743">
      <c r="A7743" t="inlineStr">
        <is>
          <t>RP0007742</t>
        </is>
      </c>
      <c r="B7743" t="inlineStr">
        <is>
          <t>LN201099</t>
        </is>
      </c>
      <c r="C7743" t="n">
        <v>5</v>
      </c>
      <c r="D7743" s="8" t="n">
        <v>46358</v>
      </c>
      <c r="E7743" s="9" t="n">
        <v>35733.33</v>
      </c>
      <c r="F7743" s="8" t="n"/>
      <c r="G7743" s="9" t="n">
        <v>0</v>
      </c>
      <c r="H7743" t="inlineStr">
        <is>
          <t>NOT_DUE</t>
        </is>
      </c>
      <c r="I7743">
        <f>IF(H7743="UNPAID", AsOfDate-D7743, 0)</f>
        <v/>
      </c>
      <c r="J7743">
        <f>IF(F7743&lt;&gt;"", TEXT(F7743, "yyyy-mm"), "")</f>
        <v/>
      </c>
    </row>
    <row r="7744">
      <c r="A7744" t="inlineStr">
        <is>
          <t>RP0007743</t>
        </is>
      </c>
      <c r="B7744" t="inlineStr">
        <is>
          <t>LN201099</t>
        </is>
      </c>
      <c r="C7744" t="n">
        <v>6</v>
      </c>
      <c r="D7744" s="8" t="n">
        <v>46389</v>
      </c>
      <c r="E7744" s="9" t="n">
        <v>35733.33</v>
      </c>
      <c r="F7744" s="8" t="n"/>
      <c r="G7744" s="9" t="n">
        <v>0</v>
      </c>
      <c r="H7744" t="inlineStr">
        <is>
          <t>NOT_DUE</t>
        </is>
      </c>
      <c r="I7744">
        <f>IF(H7744="UNPAID", AsOfDate-D7744, 0)</f>
        <v/>
      </c>
      <c r="J7744">
        <f>IF(F7744&lt;&gt;"", TEXT(F7744, "yyyy-mm"), "")</f>
        <v/>
      </c>
    </row>
    <row r="7745">
      <c r="A7745" t="inlineStr">
        <is>
          <t>RP0007744</t>
        </is>
      </c>
      <c r="B7745" t="inlineStr">
        <is>
          <t>LN201100</t>
        </is>
      </c>
      <c r="C7745" t="n">
        <v>1</v>
      </c>
      <c r="D7745" s="8" t="n">
        <v>45946</v>
      </c>
      <c r="E7745" s="9" t="n">
        <v>11726</v>
      </c>
      <c r="F7745" s="8" t="n">
        <v>45948</v>
      </c>
      <c r="G7745" s="9" t="n">
        <v>11726</v>
      </c>
      <c r="H7745" t="inlineStr">
        <is>
          <t>PAID_ON_TIME</t>
        </is>
      </c>
      <c r="I7745">
        <f>IF(H7745="UNPAID", AsOfDate-D7745, 0)</f>
        <v/>
      </c>
      <c r="J7745">
        <f>IF(F7745&lt;&gt;"", TEXT(F7745, "yyyy-mm"), "")</f>
        <v/>
      </c>
    </row>
    <row r="7746">
      <c r="A7746" t="inlineStr">
        <is>
          <t>RP0007745</t>
        </is>
      </c>
      <c r="B7746" t="inlineStr">
        <is>
          <t>LN201100</t>
        </is>
      </c>
      <c r="C7746" t="n">
        <v>2</v>
      </c>
      <c r="D7746" s="8" t="n">
        <v>45977</v>
      </c>
      <c r="E7746" s="9" t="n">
        <v>11726</v>
      </c>
      <c r="F7746" s="8" t="n">
        <v>45974</v>
      </c>
      <c r="G7746" s="9" t="n">
        <v>11726</v>
      </c>
      <c r="H7746" t="inlineStr">
        <is>
          <t>PAID_ON_TIME</t>
        </is>
      </c>
      <c r="I7746">
        <f>IF(H7746="UNPAID", AsOfDate-D7746, 0)</f>
        <v/>
      </c>
      <c r="J7746">
        <f>IF(F7746&lt;&gt;"", TEXT(F7746, "yyyy-mm"), "")</f>
        <v/>
      </c>
    </row>
    <row r="7747">
      <c r="A7747" t="inlineStr">
        <is>
          <t>RP0007746</t>
        </is>
      </c>
      <c r="B7747" t="inlineStr">
        <is>
          <t>LN201100</t>
        </is>
      </c>
      <c r="C7747" t="n">
        <v>3</v>
      </c>
      <c r="D7747" s="8" t="n">
        <v>46007</v>
      </c>
      <c r="E7747" s="9" t="n">
        <v>11726</v>
      </c>
      <c r="F7747" s="8" t="n">
        <v>46008</v>
      </c>
      <c r="G7747" s="9" t="n">
        <v>11726</v>
      </c>
      <c r="H7747" t="inlineStr">
        <is>
          <t>PAID_ON_TIME</t>
        </is>
      </c>
      <c r="I7747">
        <f>IF(H7747="UNPAID", AsOfDate-D7747, 0)</f>
        <v/>
      </c>
      <c r="J7747">
        <f>IF(F7747&lt;&gt;"", TEXT(F7747, "yyyy-mm"), "")</f>
        <v/>
      </c>
    </row>
    <row r="7748">
      <c r="A7748" t="inlineStr">
        <is>
          <t>RP0007747</t>
        </is>
      </c>
      <c r="B7748" t="inlineStr">
        <is>
          <t>LN201100</t>
        </is>
      </c>
      <c r="C7748" t="n">
        <v>4</v>
      </c>
      <c r="D7748" s="8" t="n">
        <v>46038</v>
      </c>
      <c r="E7748" s="9" t="n">
        <v>11726</v>
      </c>
      <c r="F7748" s="8" t="n">
        <v>46036</v>
      </c>
      <c r="G7748" s="9" t="n">
        <v>11726</v>
      </c>
      <c r="H7748" t="inlineStr">
        <is>
          <t>PAID_ON_TIME</t>
        </is>
      </c>
      <c r="I7748">
        <f>IF(H7748="UNPAID", AsOfDate-D7748, 0)</f>
        <v/>
      </c>
      <c r="J7748">
        <f>IF(F7748&lt;&gt;"", TEXT(F7748, "yyyy-mm"), "")</f>
        <v/>
      </c>
    </row>
    <row r="7749">
      <c r="A7749" t="inlineStr">
        <is>
          <t>RP0007748</t>
        </is>
      </c>
      <c r="B7749" t="inlineStr">
        <is>
          <t>LN201100</t>
        </is>
      </c>
      <c r="C7749" t="n">
        <v>5</v>
      </c>
      <c r="D7749" s="8" t="n">
        <v>46069</v>
      </c>
      <c r="E7749" s="9" t="n">
        <v>11726</v>
      </c>
      <c r="F7749" s="8" t="n">
        <v>46071</v>
      </c>
      <c r="G7749" s="9" t="n">
        <v>11726</v>
      </c>
      <c r="H7749" t="inlineStr">
        <is>
          <t>PAID_ON_TIME</t>
        </is>
      </c>
      <c r="I7749">
        <f>IF(H7749="UNPAID", AsOfDate-D7749, 0)</f>
        <v/>
      </c>
      <c r="J7749">
        <f>IF(F7749&lt;&gt;"", TEXT(F7749, "yyyy-mm"), "")</f>
        <v/>
      </c>
    </row>
    <row r="7750">
      <c r="A7750" t="inlineStr">
        <is>
          <t>RP0007749</t>
        </is>
      </c>
      <c r="B7750" t="inlineStr">
        <is>
          <t>LN201100</t>
        </is>
      </c>
      <c r="C7750" t="n">
        <v>6</v>
      </c>
      <c r="D7750" s="8" t="n">
        <v>46097</v>
      </c>
      <c r="E7750" s="9" t="n">
        <v>11726</v>
      </c>
      <c r="F7750" s="8" t="n">
        <v>46097</v>
      </c>
      <c r="G7750" s="9" t="n">
        <v>11726</v>
      </c>
      <c r="H7750" t="inlineStr">
        <is>
          <t>PAID_ON_TIME</t>
        </is>
      </c>
      <c r="I7750">
        <f>IF(H7750="UNPAID", AsOfDate-D7750, 0)</f>
        <v/>
      </c>
      <c r="J7750">
        <f>IF(F7750&lt;&gt;"", TEXT(F7750, "yyyy-mm"), "")</f>
        <v/>
      </c>
    </row>
    <row r="7751">
      <c r="A7751" t="inlineStr">
        <is>
          <t>RP0007750</t>
        </is>
      </c>
      <c r="B7751" t="inlineStr">
        <is>
          <t>LN201101</t>
        </is>
      </c>
      <c r="C7751" t="n">
        <v>1</v>
      </c>
      <c r="D7751" s="8" t="n">
        <v>45989</v>
      </c>
      <c r="E7751" s="9" t="n">
        <v>40719.83</v>
      </c>
      <c r="F7751" s="8" t="n">
        <v>45988</v>
      </c>
      <c r="G7751" s="9" t="n">
        <v>40719.83</v>
      </c>
      <c r="H7751" t="inlineStr">
        <is>
          <t>PAID_ON_TIME</t>
        </is>
      </c>
      <c r="I7751">
        <f>IF(H7751="UNPAID", AsOfDate-D7751, 0)</f>
        <v/>
      </c>
      <c r="J7751">
        <f>IF(F7751&lt;&gt;"", TEXT(F7751, "yyyy-mm"), "")</f>
        <v/>
      </c>
    </row>
    <row r="7752">
      <c r="A7752" t="inlineStr">
        <is>
          <t>RP0007751</t>
        </is>
      </c>
      <c r="B7752" t="inlineStr">
        <is>
          <t>LN201101</t>
        </is>
      </c>
      <c r="C7752" t="n">
        <v>2</v>
      </c>
      <c r="D7752" s="8" t="n">
        <v>46019</v>
      </c>
      <c r="E7752" s="9" t="n">
        <v>40719.83</v>
      </c>
      <c r="F7752" s="8" t="n">
        <v>46063</v>
      </c>
      <c r="G7752" s="9" t="n">
        <v>40719.83</v>
      </c>
      <c r="H7752" t="inlineStr">
        <is>
          <t>PAID_LATE</t>
        </is>
      </c>
      <c r="I7752">
        <f>IF(H7752="UNPAID", AsOfDate-D7752, 0)</f>
        <v/>
      </c>
      <c r="J7752">
        <f>IF(F7752&lt;&gt;"", TEXT(F7752, "yyyy-mm"), "")</f>
        <v/>
      </c>
    </row>
    <row r="7753">
      <c r="A7753" t="inlineStr">
        <is>
          <t>RP0007752</t>
        </is>
      </c>
      <c r="B7753" t="inlineStr">
        <is>
          <t>LN201101</t>
        </is>
      </c>
      <c r="C7753" t="n">
        <v>3</v>
      </c>
      <c r="D7753" s="8" t="n">
        <v>46050</v>
      </c>
      <c r="E7753" s="9" t="n">
        <v>40719.83</v>
      </c>
      <c r="F7753" s="8" t="n">
        <v>46047</v>
      </c>
      <c r="G7753" s="9" t="n">
        <v>40719.83</v>
      </c>
      <c r="H7753" t="inlineStr">
        <is>
          <t>PAID_ON_TIME</t>
        </is>
      </c>
      <c r="I7753">
        <f>IF(H7753="UNPAID", AsOfDate-D7753, 0)</f>
        <v/>
      </c>
      <c r="J7753">
        <f>IF(F7753&lt;&gt;"", TEXT(F7753, "yyyy-mm"), "")</f>
        <v/>
      </c>
    </row>
    <row r="7754">
      <c r="A7754" t="inlineStr">
        <is>
          <t>RP0007753</t>
        </is>
      </c>
      <c r="B7754" t="inlineStr">
        <is>
          <t>LN201102</t>
        </is>
      </c>
      <c r="C7754" t="n">
        <v>1</v>
      </c>
      <c r="D7754" s="8" t="n">
        <v>46099</v>
      </c>
      <c r="E7754" s="9" t="n">
        <v>29424.33</v>
      </c>
      <c r="F7754" s="8" t="n">
        <v>46187</v>
      </c>
      <c r="G7754" s="9" t="n">
        <v>29424.33</v>
      </c>
      <c r="H7754" t="inlineStr">
        <is>
          <t>PAID_LATE</t>
        </is>
      </c>
      <c r="I7754">
        <f>IF(H7754="UNPAID", AsOfDate-D7754, 0)</f>
        <v/>
      </c>
      <c r="J7754">
        <f>IF(F7754&lt;&gt;"", TEXT(F7754, "yyyy-mm"), "")</f>
        <v/>
      </c>
    </row>
    <row r="7755">
      <c r="A7755" t="inlineStr">
        <is>
          <t>RP0007754</t>
        </is>
      </c>
      <c r="B7755" t="inlineStr">
        <is>
          <t>LN201102</t>
        </is>
      </c>
      <c r="C7755" t="n">
        <v>2</v>
      </c>
      <c r="D7755" s="8" t="n">
        <v>46130</v>
      </c>
      <c r="E7755" s="9" t="n">
        <v>29424.33</v>
      </c>
      <c r="F7755" s="8" t="n">
        <v>46127</v>
      </c>
      <c r="G7755" s="9" t="n">
        <v>29424.33</v>
      </c>
      <c r="H7755" t="inlineStr">
        <is>
          <t>PAID_ON_TIME</t>
        </is>
      </c>
      <c r="I7755">
        <f>IF(H7755="UNPAID", AsOfDate-D7755, 0)</f>
        <v/>
      </c>
      <c r="J7755">
        <f>IF(F7755&lt;&gt;"", TEXT(F7755, "yyyy-mm"), "")</f>
        <v/>
      </c>
    </row>
    <row r="7756">
      <c r="A7756" t="inlineStr">
        <is>
          <t>RP0007755</t>
        </is>
      </c>
      <c r="B7756" t="inlineStr">
        <is>
          <t>LN201102</t>
        </is>
      </c>
      <c r="C7756" t="n">
        <v>3</v>
      </c>
      <c r="D7756" s="8" t="n">
        <v>46160</v>
      </c>
      <c r="E7756" s="9" t="n">
        <v>29424.33</v>
      </c>
      <c r="F7756" s="8" t="n">
        <v>46172</v>
      </c>
      <c r="G7756" s="9" t="n">
        <v>29424.33</v>
      </c>
      <c r="H7756" t="inlineStr">
        <is>
          <t>PAID_LATE</t>
        </is>
      </c>
      <c r="I7756">
        <f>IF(H7756="UNPAID", AsOfDate-D7756, 0)</f>
        <v/>
      </c>
      <c r="J7756">
        <f>IF(F7756&lt;&gt;"", TEXT(F7756, "yyyy-mm"), "")</f>
        <v/>
      </c>
    </row>
    <row r="7757">
      <c r="A7757" t="inlineStr">
        <is>
          <t>RP0007756</t>
        </is>
      </c>
      <c r="B7757" t="inlineStr">
        <is>
          <t>LN201102</t>
        </is>
      </c>
      <c r="C7757" t="n">
        <v>4</v>
      </c>
      <c r="D7757" s="8" t="n">
        <v>46191</v>
      </c>
      <c r="E7757" s="9" t="n">
        <v>29424.33</v>
      </c>
      <c r="F7757" s="8" t="n">
        <v>46195</v>
      </c>
      <c r="G7757" s="9" t="n">
        <v>29424.33</v>
      </c>
      <c r="H7757" t="inlineStr">
        <is>
          <t>PAID_ON_TIME</t>
        </is>
      </c>
      <c r="I7757">
        <f>IF(H7757="UNPAID", AsOfDate-D7757, 0)</f>
        <v/>
      </c>
      <c r="J7757">
        <f>IF(F7757&lt;&gt;"", TEXT(F7757, "yyyy-mm"), "")</f>
        <v/>
      </c>
    </row>
    <row r="7758">
      <c r="A7758" t="inlineStr">
        <is>
          <t>RP0007757</t>
        </is>
      </c>
      <c r="B7758" t="inlineStr">
        <is>
          <t>LN201102</t>
        </is>
      </c>
      <c r="C7758" t="n">
        <v>5</v>
      </c>
      <c r="D7758" s="8" t="n">
        <v>46221</v>
      </c>
      <c r="E7758" s="9" t="n">
        <v>29424.33</v>
      </c>
      <c r="F7758" s="8" t="n">
        <v>46222</v>
      </c>
      <c r="G7758" s="9" t="n">
        <v>29424.33</v>
      </c>
      <c r="H7758" t="inlineStr">
        <is>
          <t>PAID_ON_TIME</t>
        </is>
      </c>
      <c r="I7758">
        <f>IF(H7758="UNPAID", AsOfDate-D7758, 0)</f>
        <v/>
      </c>
      <c r="J7758">
        <f>IF(F7758&lt;&gt;"", TEXT(F7758, "yyyy-mm"), "")</f>
        <v/>
      </c>
    </row>
    <row r="7759">
      <c r="A7759" t="inlineStr">
        <is>
          <t>RP0007758</t>
        </is>
      </c>
      <c r="B7759" t="inlineStr">
        <is>
          <t>LN201102</t>
        </is>
      </c>
      <c r="C7759" t="n">
        <v>6</v>
      </c>
      <c r="D7759" s="8" t="n">
        <v>46252</v>
      </c>
      <c r="E7759" s="9" t="n">
        <v>29424.33</v>
      </c>
      <c r="F7759" s="8" t="n">
        <v>46253</v>
      </c>
      <c r="G7759" s="9" t="n">
        <v>29424.33</v>
      </c>
      <c r="H7759" t="inlineStr">
        <is>
          <t>PAID_ON_TIME</t>
        </is>
      </c>
      <c r="I7759">
        <f>IF(H7759="UNPAID", AsOfDate-D7759, 0)</f>
        <v/>
      </c>
      <c r="J7759">
        <f>IF(F7759&lt;&gt;"", TEXT(F7759, "yyyy-mm"), "")</f>
        <v/>
      </c>
    </row>
    <row r="7760">
      <c r="A7760" t="inlineStr">
        <is>
          <t>RP0007759</t>
        </is>
      </c>
      <c r="B7760" t="inlineStr">
        <is>
          <t>LN201103</t>
        </is>
      </c>
      <c r="C7760" t="n">
        <v>1</v>
      </c>
      <c r="D7760" s="8" t="n">
        <v>46043</v>
      </c>
      <c r="E7760" s="9" t="n">
        <v>4604.44</v>
      </c>
      <c r="F7760" s="8" t="n">
        <v>46042</v>
      </c>
      <c r="G7760" s="9" t="n">
        <v>4604.44</v>
      </c>
      <c r="H7760" t="inlineStr">
        <is>
          <t>PAID_ON_TIME</t>
        </is>
      </c>
      <c r="I7760">
        <f>IF(H7760="UNPAID", AsOfDate-D7760, 0)</f>
        <v/>
      </c>
      <c r="J7760">
        <f>IF(F7760&lt;&gt;"", TEXT(F7760, "yyyy-mm"), "")</f>
        <v/>
      </c>
    </row>
    <row r="7761">
      <c r="A7761" t="inlineStr">
        <is>
          <t>RP0007760</t>
        </is>
      </c>
      <c r="B7761" t="inlineStr">
        <is>
          <t>LN201103</t>
        </is>
      </c>
      <c r="C7761" t="n">
        <v>2</v>
      </c>
      <c r="D7761" s="8" t="n">
        <v>46074</v>
      </c>
      <c r="E7761" s="9" t="n">
        <v>4604.44</v>
      </c>
      <c r="F7761" s="8" t="n">
        <v>46090</v>
      </c>
      <c r="G7761" s="9" t="n">
        <v>4604.44</v>
      </c>
      <c r="H7761" t="inlineStr">
        <is>
          <t>PAID_LATE</t>
        </is>
      </c>
      <c r="I7761">
        <f>IF(H7761="UNPAID", AsOfDate-D7761, 0)</f>
        <v/>
      </c>
      <c r="J7761">
        <f>IF(F7761&lt;&gt;"", TEXT(F7761, "yyyy-mm"), "")</f>
        <v/>
      </c>
    </row>
    <row r="7762">
      <c r="A7762" t="inlineStr">
        <is>
          <t>RP0007761</t>
        </is>
      </c>
      <c r="B7762" t="inlineStr">
        <is>
          <t>LN201103</t>
        </is>
      </c>
      <c r="C7762" t="n">
        <v>3</v>
      </c>
      <c r="D7762" s="8" t="n">
        <v>46102</v>
      </c>
      <c r="E7762" s="9" t="n">
        <v>4604.44</v>
      </c>
      <c r="F7762" s="8" t="n">
        <v>46101</v>
      </c>
      <c r="G7762" s="9" t="n">
        <v>4604.44</v>
      </c>
      <c r="H7762" t="inlineStr">
        <is>
          <t>PAID_ON_TIME</t>
        </is>
      </c>
      <c r="I7762">
        <f>IF(H7762="UNPAID", AsOfDate-D7762, 0)</f>
        <v/>
      </c>
      <c r="J7762">
        <f>IF(F7762&lt;&gt;"", TEXT(F7762, "yyyy-mm"), "")</f>
        <v/>
      </c>
    </row>
    <row r="7763">
      <c r="A7763" t="inlineStr">
        <is>
          <t>RP0007762</t>
        </is>
      </c>
      <c r="B7763" t="inlineStr">
        <is>
          <t>LN201103</t>
        </is>
      </c>
      <c r="C7763" t="n">
        <v>4</v>
      </c>
      <c r="D7763" s="8" t="n">
        <v>46133</v>
      </c>
      <c r="E7763" s="9" t="n">
        <v>4604.44</v>
      </c>
      <c r="F7763" s="8" t="n">
        <v>46152</v>
      </c>
      <c r="G7763" s="9" t="n">
        <v>4604.44</v>
      </c>
      <c r="H7763" t="inlineStr">
        <is>
          <t>PAID_LATE</t>
        </is>
      </c>
      <c r="I7763">
        <f>IF(H7763="UNPAID", AsOfDate-D7763, 0)</f>
        <v/>
      </c>
      <c r="J7763">
        <f>IF(F7763&lt;&gt;"", TEXT(F7763, "yyyy-mm"), "")</f>
        <v/>
      </c>
    </row>
    <row r="7764">
      <c r="A7764" t="inlineStr">
        <is>
          <t>RP0007763</t>
        </is>
      </c>
      <c r="B7764" t="inlineStr">
        <is>
          <t>LN201103</t>
        </is>
      </c>
      <c r="C7764" t="n">
        <v>5</v>
      </c>
      <c r="D7764" s="8" t="n">
        <v>46163</v>
      </c>
      <c r="E7764" s="9" t="n">
        <v>4604.44</v>
      </c>
      <c r="F7764" s="8" t="n">
        <v>46166</v>
      </c>
      <c r="G7764" s="9" t="n">
        <v>4604.44</v>
      </c>
      <c r="H7764" t="inlineStr">
        <is>
          <t>PAID_ON_TIME</t>
        </is>
      </c>
      <c r="I7764">
        <f>IF(H7764="UNPAID", AsOfDate-D7764, 0)</f>
        <v/>
      </c>
      <c r="J7764">
        <f>IF(F7764&lt;&gt;"", TEXT(F7764, "yyyy-mm"), "")</f>
        <v/>
      </c>
    </row>
    <row r="7765">
      <c r="A7765" t="inlineStr">
        <is>
          <t>RP0007764</t>
        </is>
      </c>
      <c r="B7765" t="inlineStr">
        <is>
          <t>LN201103</t>
        </is>
      </c>
      <c r="C7765" t="n">
        <v>6</v>
      </c>
      <c r="D7765" s="8" t="n">
        <v>46194</v>
      </c>
      <c r="E7765" s="9" t="n">
        <v>4604.44</v>
      </c>
      <c r="F7765" s="8" t="n"/>
      <c r="G7765" s="9" t="n">
        <v>0</v>
      </c>
      <c r="H7765" t="inlineStr">
        <is>
          <t>UNPAID</t>
        </is>
      </c>
      <c r="I7765">
        <f>IF(H7765="UNPAID", AsOfDate-D7765, 0)</f>
        <v/>
      </c>
      <c r="J7765">
        <f>IF(F7765&lt;&gt;"", TEXT(F7765, "yyyy-mm"), "")</f>
        <v/>
      </c>
    </row>
    <row r="7766">
      <c r="A7766" t="inlineStr">
        <is>
          <t>RP0007765</t>
        </is>
      </c>
      <c r="B7766" t="inlineStr">
        <is>
          <t>LN201103</t>
        </is>
      </c>
      <c r="C7766" t="n">
        <v>7</v>
      </c>
      <c r="D7766" s="8" t="n">
        <v>46224</v>
      </c>
      <c r="E7766" s="9" t="n">
        <v>4604.44</v>
      </c>
      <c r="F7766" s="8" t="n">
        <v>46225</v>
      </c>
      <c r="G7766" s="9" t="n">
        <v>4604.44</v>
      </c>
      <c r="H7766" t="inlineStr">
        <is>
          <t>PAID_ON_TIME</t>
        </is>
      </c>
      <c r="I7766">
        <f>IF(H7766="UNPAID", AsOfDate-D7766, 0)</f>
        <v/>
      </c>
      <c r="J7766">
        <f>IF(F7766&lt;&gt;"", TEXT(F7766, "yyyy-mm"), "")</f>
        <v/>
      </c>
    </row>
    <row r="7767">
      <c r="A7767" t="inlineStr">
        <is>
          <t>RP0007766</t>
        </is>
      </c>
      <c r="B7767" t="inlineStr">
        <is>
          <t>LN201103</t>
        </is>
      </c>
      <c r="C7767" t="n">
        <v>8</v>
      </c>
      <c r="D7767" s="8" t="n">
        <v>46255</v>
      </c>
      <c r="E7767" s="9" t="n">
        <v>4604.44</v>
      </c>
      <c r="F7767" s="8" t="n">
        <v>46252</v>
      </c>
      <c r="G7767" s="9" t="n">
        <v>4604.44</v>
      </c>
      <c r="H7767" t="inlineStr">
        <is>
          <t>PAID_ON_TIME</t>
        </is>
      </c>
      <c r="I7767">
        <f>IF(H7767="UNPAID", AsOfDate-D7767, 0)</f>
        <v/>
      </c>
      <c r="J7767">
        <f>IF(F7767&lt;&gt;"", TEXT(F7767, "yyyy-mm"), "")</f>
        <v/>
      </c>
    </row>
    <row r="7768">
      <c r="A7768" t="inlineStr">
        <is>
          <t>RP0007767</t>
        </is>
      </c>
      <c r="B7768" t="inlineStr">
        <is>
          <t>LN201103</t>
        </is>
      </c>
      <c r="C7768" t="n">
        <v>9</v>
      </c>
      <c r="D7768" s="8" t="n">
        <v>46286</v>
      </c>
      <c r="E7768" s="9" t="n">
        <v>4604.44</v>
      </c>
      <c r="F7768" s="8" t="n"/>
      <c r="G7768" s="9" t="n">
        <v>0</v>
      </c>
      <c r="H7768" t="inlineStr">
        <is>
          <t>NOT_DUE</t>
        </is>
      </c>
      <c r="I7768">
        <f>IF(H7768="UNPAID", AsOfDate-D7768, 0)</f>
        <v/>
      </c>
      <c r="J7768">
        <f>IF(F7768&lt;&gt;"", TEXT(F7768, "yyyy-mm"), "")</f>
        <v/>
      </c>
    </row>
    <row r="7769">
      <c r="A7769" t="inlineStr">
        <is>
          <t>RP0007768</t>
        </is>
      </c>
      <c r="B7769" t="inlineStr">
        <is>
          <t>LN201104</t>
        </is>
      </c>
      <c r="C7769" t="n">
        <v>1</v>
      </c>
      <c r="D7769" s="8" t="n">
        <v>46248</v>
      </c>
      <c r="E7769" s="9" t="n">
        <v>6138</v>
      </c>
      <c r="F7769" s="8" t="n">
        <v>46245</v>
      </c>
      <c r="G7769" s="9" t="n">
        <v>6138</v>
      </c>
      <c r="H7769" t="inlineStr">
        <is>
          <t>PAID_ON_TIME</t>
        </is>
      </c>
      <c r="I7769">
        <f>IF(H7769="UNPAID", AsOfDate-D7769, 0)</f>
        <v/>
      </c>
      <c r="J7769">
        <f>IF(F7769&lt;&gt;"", TEXT(F7769, "yyyy-mm"), "")</f>
        <v/>
      </c>
    </row>
    <row r="7770">
      <c r="A7770" t="inlineStr">
        <is>
          <t>RP0007769</t>
        </is>
      </c>
      <c r="B7770" t="inlineStr">
        <is>
          <t>LN201104</t>
        </is>
      </c>
      <c r="C7770" t="n">
        <v>2</v>
      </c>
      <c r="D7770" s="8" t="n">
        <v>46279</v>
      </c>
      <c r="E7770" s="9" t="n">
        <v>6138</v>
      </c>
      <c r="F7770" s="8" t="n"/>
      <c r="G7770" s="9" t="n">
        <v>0</v>
      </c>
      <c r="H7770" t="inlineStr">
        <is>
          <t>NOT_DUE</t>
        </is>
      </c>
      <c r="I7770">
        <f>IF(H7770="UNPAID", AsOfDate-D7770, 0)</f>
        <v/>
      </c>
      <c r="J7770">
        <f>IF(F7770&lt;&gt;"", TEXT(F7770, "yyyy-mm"), "")</f>
        <v/>
      </c>
    </row>
    <row r="7771">
      <c r="A7771" t="inlineStr">
        <is>
          <t>RP0007770</t>
        </is>
      </c>
      <c r="B7771" t="inlineStr">
        <is>
          <t>LN201104</t>
        </is>
      </c>
      <c r="C7771" t="n">
        <v>3</v>
      </c>
      <c r="D7771" s="8" t="n">
        <v>46309</v>
      </c>
      <c r="E7771" s="9" t="n">
        <v>6138</v>
      </c>
      <c r="F7771" s="8" t="n"/>
      <c r="G7771" s="9" t="n">
        <v>0</v>
      </c>
      <c r="H7771" t="inlineStr">
        <is>
          <t>NOT_DUE</t>
        </is>
      </c>
      <c r="I7771">
        <f>IF(H7771="UNPAID", AsOfDate-D7771, 0)</f>
        <v/>
      </c>
      <c r="J7771">
        <f>IF(F7771&lt;&gt;"", TEXT(F7771, "yyyy-mm"), "")</f>
        <v/>
      </c>
    </row>
    <row r="7772">
      <c r="A7772" t="inlineStr">
        <is>
          <t>RP0007771</t>
        </is>
      </c>
      <c r="B7772" t="inlineStr">
        <is>
          <t>LN201104</t>
        </is>
      </c>
      <c r="C7772" t="n">
        <v>4</v>
      </c>
      <c r="D7772" s="8" t="n">
        <v>46340</v>
      </c>
      <c r="E7772" s="9" t="n">
        <v>6138</v>
      </c>
      <c r="F7772" s="8" t="n"/>
      <c r="G7772" s="9" t="n">
        <v>0</v>
      </c>
      <c r="H7772" t="inlineStr">
        <is>
          <t>NOT_DUE</t>
        </is>
      </c>
      <c r="I7772">
        <f>IF(H7772="UNPAID", AsOfDate-D7772, 0)</f>
        <v/>
      </c>
      <c r="J7772">
        <f>IF(F7772&lt;&gt;"", TEXT(F7772, "yyyy-mm"), "")</f>
        <v/>
      </c>
    </row>
    <row r="7773">
      <c r="A7773" t="inlineStr">
        <is>
          <t>RP0007772</t>
        </is>
      </c>
      <c r="B7773" t="inlineStr">
        <is>
          <t>LN201104</t>
        </is>
      </c>
      <c r="C7773" t="n">
        <v>5</v>
      </c>
      <c r="D7773" s="8" t="n">
        <v>46370</v>
      </c>
      <c r="E7773" s="9" t="n">
        <v>6138</v>
      </c>
      <c r="F7773" s="8" t="n"/>
      <c r="G7773" s="9" t="n">
        <v>0</v>
      </c>
      <c r="H7773" t="inlineStr">
        <is>
          <t>NOT_DUE</t>
        </is>
      </c>
      <c r="I7773">
        <f>IF(H7773="UNPAID", AsOfDate-D7773, 0)</f>
        <v/>
      </c>
      <c r="J7773">
        <f>IF(F7773&lt;&gt;"", TEXT(F7773, "yyyy-mm"), "")</f>
        <v/>
      </c>
    </row>
    <row r="7774">
      <c r="A7774" t="inlineStr">
        <is>
          <t>RP0007773</t>
        </is>
      </c>
      <c r="B7774" t="inlineStr">
        <is>
          <t>LN201104</t>
        </is>
      </c>
      <c r="C7774" t="n">
        <v>6</v>
      </c>
      <c r="D7774" s="8" t="n">
        <v>46401</v>
      </c>
      <c r="E7774" s="9" t="n">
        <v>6138</v>
      </c>
      <c r="F7774" s="8" t="n"/>
      <c r="G7774" s="9" t="n">
        <v>0</v>
      </c>
      <c r="H7774" t="inlineStr">
        <is>
          <t>NOT_DUE</t>
        </is>
      </c>
      <c r="I7774">
        <f>IF(H7774="UNPAID", AsOfDate-D7774, 0)</f>
        <v/>
      </c>
      <c r="J7774">
        <f>IF(F7774&lt;&gt;"", TEXT(F7774, "yyyy-mm"), "")</f>
        <v/>
      </c>
    </row>
    <row r="7775">
      <c r="A7775" t="inlineStr">
        <is>
          <t>RP0007774</t>
        </is>
      </c>
      <c r="B7775" t="inlineStr">
        <is>
          <t>LN201105</t>
        </is>
      </c>
      <c r="C7775" t="n">
        <v>1</v>
      </c>
      <c r="D7775" s="8" t="n">
        <v>46261</v>
      </c>
      <c r="E7775" s="9" t="n">
        <v>22048</v>
      </c>
      <c r="F7775" s="8" t="n">
        <v>46262</v>
      </c>
      <c r="G7775" s="9" t="n">
        <v>22048</v>
      </c>
      <c r="H7775" t="inlineStr">
        <is>
          <t>PAID_ON_TIME</t>
        </is>
      </c>
      <c r="I7775">
        <f>IF(H7775="UNPAID", AsOfDate-D7775, 0)</f>
        <v/>
      </c>
      <c r="J7775">
        <f>IF(F7775&lt;&gt;"", TEXT(F7775, "yyyy-mm"), "")</f>
        <v/>
      </c>
    </row>
    <row r="7776">
      <c r="A7776" t="inlineStr">
        <is>
          <t>RP0007775</t>
        </is>
      </c>
      <c r="B7776" t="inlineStr">
        <is>
          <t>LN201105</t>
        </is>
      </c>
      <c r="C7776" t="n">
        <v>2</v>
      </c>
      <c r="D7776" s="8" t="n">
        <v>46292</v>
      </c>
      <c r="E7776" s="9" t="n">
        <v>22048</v>
      </c>
      <c r="F7776" s="8" t="n"/>
      <c r="G7776" s="9" t="n">
        <v>0</v>
      </c>
      <c r="H7776" t="inlineStr">
        <is>
          <t>NOT_DUE</t>
        </is>
      </c>
      <c r="I7776">
        <f>IF(H7776="UNPAID", AsOfDate-D7776, 0)</f>
        <v/>
      </c>
      <c r="J7776">
        <f>IF(F7776&lt;&gt;"", TEXT(F7776, "yyyy-mm"), "")</f>
        <v/>
      </c>
    </row>
    <row r="7777">
      <c r="A7777" t="inlineStr">
        <is>
          <t>RP0007776</t>
        </is>
      </c>
      <c r="B7777" t="inlineStr">
        <is>
          <t>LN201105</t>
        </is>
      </c>
      <c r="C7777" t="n">
        <v>3</v>
      </c>
      <c r="D7777" s="8" t="n">
        <v>46322</v>
      </c>
      <c r="E7777" s="9" t="n">
        <v>22048</v>
      </c>
      <c r="F7777" s="8" t="n"/>
      <c r="G7777" s="9" t="n">
        <v>0</v>
      </c>
      <c r="H7777" t="inlineStr">
        <is>
          <t>NOT_DUE</t>
        </is>
      </c>
      <c r="I7777">
        <f>IF(H7777="UNPAID", AsOfDate-D7777, 0)</f>
        <v/>
      </c>
      <c r="J7777">
        <f>IF(F7777&lt;&gt;"", TEXT(F7777, "yyyy-mm"), "")</f>
        <v/>
      </c>
    </row>
    <row r="7778">
      <c r="A7778" t="inlineStr">
        <is>
          <t>RP0007777</t>
        </is>
      </c>
      <c r="B7778" t="inlineStr">
        <is>
          <t>LN201106</t>
        </is>
      </c>
      <c r="C7778" t="n">
        <v>1</v>
      </c>
      <c r="D7778" s="8" t="n">
        <v>46018</v>
      </c>
      <c r="E7778" s="9" t="n">
        <v>32069.5</v>
      </c>
      <c r="F7778" s="8" t="n">
        <v>46016</v>
      </c>
      <c r="G7778" s="9" t="n">
        <v>32069.5</v>
      </c>
      <c r="H7778" t="inlineStr">
        <is>
          <t>PAID_ON_TIME</t>
        </is>
      </c>
      <c r="I7778">
        <f>IF(H7778="UNPAID", AsOfDate-D7778, 0)</f>
        <v/>
      </c>
      <c r="J7778">
        <f>IF(F7778&lt;&gt;"", TEXT(F7778, "yyyy-mm"), "")</f>
        <v/>
      </c>
    </row>
    <row r="7779">
      <c r="A7779" t="inlineStr">
        <is>
          <t>RP0007778</t>
        </is>
      </c>
      <c r="B7779" t="inlineStr">
        <is>
          <t>LN201106</t>
        </is>
      </c>
      <c r="C7779" t="n">
        <v>2</v>
      </c>
      <c r="D7779" s="8" t="n">
        <v>46049</v>
      </c>
      <c r="E7779" s="9" t="n">
        <v>32069.5</v>
      </c>
      <c r="F7779" s="8" t="n">
        <v>46049</v>
      </c>
      <c r="G7779" s="9" t="n">
        <v>32069.5</v>
      </c>
      <c r="H7779" t="inlineStr">
        <is>
          <t>PAID_ON_TIME</t>
        </is>
      </c>
      <c r="I7779">
        <f>IF(H7779="UNPAID", AsOfDate-D7779, 0)</f>
        <v/>
      </c>
      <c r="J7779">
        <f>IF(F7779&lt;&gt;"", TEXT(F7779, "yyyy-mm"), "")</f>
        <v/>
      </c>
    </row>
    <row r="7780">
      <c r="A7780" t="inlineStr">
        <is>
          <t>RP0007779</t>
        </is>
      </c>
      <c r="B7780" t="inlineStr">
        <is>
          <t>LN201106</t>
        </is>
      </c>
      <c r="C7780" t="n">
        <v>3</v>
      </c>
      <c r="D7780" s="8" t="n">
        <v>46080</v>
      </c>
      <c r="E7780" s="9" t="n">
        <v>32069.5</v>
      </c>
      <c r="F7780" s="8" t="n">
        <v>46083</v>
      </c>
      <c r="G7780" s="9" t="n">
        <v>32069.5</v>
      </c>
      <c r="H7780" t="inlineStr">
        <is>
          <t>PAID_ON_TIME</t>
        </is>
      </c>
      <c r="I7780">
        <f>IF(H7780="UNPAID", AsOfDate-D7780, 0)</f>
        <v/>
      </c>
      <c r="J7780">
        <f>IF(F7780&lt;&gt;"", TEXT(F7780, "yyyy-mm"), "")</f>
        <v/>
      </c>
    </row>
    <row r="7781">
      <c r="A7781" t="inlineStr">
        <is>
          <t>RP0007780</t>
        </is>
      </c>
      <c r="B7781" t="inlineStr">
        <is>
          <t>LN201107</t>
        </is>
      </c>
      <c r="C7781" t="n">
        <v>1</v>
      </c>
      <c r="D7781" s="8" t="n">
        <v>46055</v>
      </c>
      <c r="E7781" s="9" t="n">
        <v>9627.17</v>
      </c>
      <c r="F7781" s="8" t="n">
        <v>46058</v>
      </c>
      <c r="G7781" s="9" t="n">
        <v>9627.17</v>
      </c>
      <c r="H7781" t="inlineStr">
        <is>
          <t>PAID_ON_TIME</t>
        </is>
      </c>
      <c r="I7781">
        <f>IF(H7781="UNPAID", AsOfDate-D7781, 0)</f>
        <v/>
      </c>
      <c r="J7781">
        <f>IF(F7781&lt;&gt;"", TEXT(F7781, "yyyy-mm"), "")</f>
        <v/>
      </c>
    </row>
    <row r="7782">
      <c r="A7782" t="inlineStr">
        <is>
          <t>RP0007781</t>
        </is>
      </c>
      <c r="B7782" t="inlineStr">
        <is>
          <t>LN201107</t>
        </is>
      </c>
      <c r="C7782" t="n">
        <v>2</v>
      </c>
      <c r="D7782" s="8" t="n">
        <v>46083</v>
      </c>
      <c r="E7782" s="9" t="n">
        <v>9627.17</v>
      </c>
      <c r="F7782" s="8" t="n">
        <v>46083</v>
      </c>
      <c r="G7782" s="9" t="n">
        <v>9627.17</v>
      </c>
      <c r="H7782" t="inlineStr">
        <is>
          <t>PAID_ON_TIME</t>
        </is>
      </c>
      <c r="I7782">
        <f>IF(H7782="UNPAID", AsOfDate-D7782, 0)</f>
        <v/>
      </c>
      <c r="J7782">
        <f>IF(F7782&lt;&gt;"", TEXT(F7782, "yyyy-mm"), "")</f>
        <v/>
      </c>
    </row>
    <row r="7783">
      <c r="A7783" t="inlineStr">
        <is>
          <t>RP0007782</t>
        </is>
      </c>
      <c r="B7783" t="inlineStr">
        <is>
          <t>LN201107</t>
        </is>
      </c>
      <c r="C7783" t="n">
        <v>3</v>
      </c>
      <c r="D7783" s="8" t="n">
        <v>46114</v>
      </c>
      <c r="E7783" s="9" t="n">
        <v>9627.17</v>
      </c>
      <c r="F7783" s="8" t="n">
        <v>46116</v>
      </c>
      <c r="G7783" s="9" t="n">
        <v>9627.17</v>
      </c>
      <c r="H7783" t="inlineStr">
        <is>
          <t>PAID_ON_TIME</t>
        </is>
      </c>
      <c r="I7783">
        <f>IF(H7783="UNPAID", AsOfDate-D7783, 0)</f>
        <v/>
      </c>
      <c r="J7783">
        <f>IF(F7783&lt;&gt;"", TEXT(F7783, "yyyy-mm"), "")</f>
        <v/>
      </c>
    </row>
    <row r="7784">
      <c r="A7784" t="inlineStr">
        <is>
          <t>RP0007783</t>
        </is>
      </c>
      <c r="B7784" t="inlineStr">
        <is>
          <t>LN201107</t>
        </is>
      </c>
      <c r="C7784" t="n">
        <v>4</v>
      </c>
      <c r="D7784" s="8" t="n">
        <v>46144</v>
      </c>
      <c r="E7784" s="9" t="n">
        <v>9627.17</v>
      </c>
      <c r="F7784" s="8" t="n">
        <v>46142</v>
      </c>
      <c r="G7784" s="9" t="n">
        <v>9627.17</v>
      </c>
      <c r="H7784" t="inlineStr">
        <is>
          <t>PAID_ON_TIME</t>
        </is>
      </c>
      <c r="I7784">
        <f>IF(H7784="UNPAID", AsOfDate-D7784, 0)</f>
        <v/>
      </c>
      <c r="J7784">
        <f>IF(F7784&lt;&gt;"", TEXT(F7784, "yyyy-mm"), "")</f>
        <v/>
      </c>
    </row>
    <row r="7785">
      <c r="A7785" t="inlineStr">
        <is>
          <t>RP0007784</t>
        </is>
      </c>
      <c r="B7785" t="inlineStr">
        <is>
          <t>LN201107</t>
        </is>
      </c>
      <c r="C7785" t="n">
        <v>5</v>
      </c>
      <c r="D7785" s="8" t="n">
        <v>46175</v>
      </c>
      <c r="E7785" s="9" t="n">
        <v>9627.17</v>
      </c>
      <c r="F7785" s="8" t="n">
        <v>46178</v>
      </c>
      <c r="G7785" s="9" t="n">
        <v>9627.17</v>
      </c>
      <c r="H7785" t="inlineStr">
        <is>
          <t>PAID_ON_TIME</t>
        </is>
      </c>
      <c r="I7785">
        <f>IF(H7785="UNPAID", AsOfDate-D7785, 0)</f>
        <v/>
      </c>
      <c r="J7785">
        <f>IF(F7785&lt;&gt;"", TEXT(F7785, "yyyy-mm"), "")</f>
        <v/>
      </c>
    </row>
    <row r="7786">
      <c r="A7786" t="inlineStr">
        <is>
          <t>RP0007785</t>
        </is>
      </c>
      <c r="B7786" t="inlineStr">
        <is>
          <t>LN201107</t>
        </is>
      </c>
      <c r="C7786" t="n">
        <v>6</v>
      </c>
      <c r="D7786" s="8" t="n">
        <v>46205</v>
      </c>
      <c r="E7786" s="9" t="n">
        <v>9627.17</v>
      </c>
      <c r="F7786" s="8" t="n">
        <v>46204</v>
      </c>
      <c r="G7786" s="9" t="n">
        <v>9627.17</v>
      </c>
      <c r="H7786" t="inlineStr">
        <is>
          <t>PAID_ON_TIME</t>
        </is>
      </c>
      <c r="I7786">
        <f>IF(H7786="UNPAID", AsOfDate-D7786, 0)</f>
        <v/>
      </c>
      <c r="J7786">
        <f>IF(F7786&lt;&gt;"", TEXT(F7786, "yyyy-mm"), "")</f>
        <v/>
      </c>
    </row>
    <row r="7787">
      <c r="A7787" t="inlineStr">
        <is>
          <t>RP0007786</t>
        </is>
      </c>
      <c r="B7787" t="inlineStr">
        <is>
          <t>LN201107</t>
        </is>
      </c>
      <c r="C7787" t="n">
        <v>7</v>
      </c>
      <c r="D7787" s="8" t="n">
        <v>46236</v>
      </c>
      <c r="E7787" s="9" t="n">
        <v>9627.17</v>
      </c>
      <c r="F7787" s="8" t="n">
        <v>46233</v>
      </c>
      <c r="G7787" s="9" t="n">
        <v>9627.17</v>
      </c>
      <c r="H7787" t="inlineStr">
        <is>
          <t>PAID_ON_TIME</t>
        </is>
      </c>
      <c r="I7787">
        <f>IF(H7787="UNPAID", AsOfDate-D7787, 0)</f>
        <v/>
      </c>
      <c r="J7787">
        <f>IF(F7787&lt;&gt;"", TEXT(F7787, "yyyy-mm"), "")</f>
        <v/>
      </c>
    </row>
    <row r="7788">
      <c r="A7788" t="inlineStr">
        <is>
          <t>RP0007787</t>
        </is>
      </c>
      <c r="B7788" t="inlineStr">
        <is>
          <t>LN201107</t>
        </is>
      </c>
      <c r="C7788" t="n">
        <v>8</v>
      </c>
      <c r="D7788" s="8" t="n">
        <v>46267</v>
      </c>
      <c r="E7788" s="9" t="n">
        <v>9627.17</v>
      </c>
      <c r="F7788" s="8" t="n"/>
      <c r="G7788" s="9" t="n">
        <v>0</v>
      </c>
      <c r="H7788" t="inlineStr">
        <is>
          <t>NOT_DUE</t>
        </is>
      </c>
      <c r="I7788">
        <f>IF(H7788="UNPAID", AsOfDate-D7788, 0)</f>
        <v/>
      </c>
      <c r="J7788">
        <f>IF(F7788&lt;&gt;"", TEXT(F7788, "yyyy-mm"), "")</f>
        <v/>
      </c>
    </row>
    <row r="7789">
      <c r="A7789" t="inlineStr">
        <is>
          <t>RP0007788</t>
        </is>
      </c>
      <c r="B7789" t="inlineStr">
        <is>
          <t>LN201107</t>
        </is>
      </c>
      <c r="C7789" t="n">
        <v>9</v>
      </c>
      <c r="D7789" s="8" t="n">
        <v>46297</v>
      </c>
      <c r="E7789" s="9" t="n">
        <v>9627.17</v>
      </c>
      <c r="F7789" s="8" t="n"/>
      <c r="G7789" s="9" t="n">
        <v>0</v>
      </c>
      <c r="H7789" t="inlineStr">
        <is>
          <t>NOT_DUE</t>
        </is>
      </c>
      <c r="I7789">
        <f>IF(H7789="UNPAID", AsOfDate-D7789, 0)</f>
        <v/>
      </c>
      <c r="J7789">
        <f>IF(F7789&lt;&gt;"", TEXT(F7789, "yyyy-mm"), "")</f>
        <v/>
      </c>
    </row>
    <row r="7790">
      <c r="A7790" t="inlineStr">
        <is>
          <t>RP0007789</t>
        </is>
      </c>
      <c r="B7790" t="inlineStr">
        <is>
          <t>LN201107</t>
        </is>
      </c>
      <c r="C7790" t="n">
        <v>10</v>
      </c>
      <c r="D7790" s="8" t="n">
        <v>46328</v>
      </c>
      <c r="E7790" s="9" t="n">
        <v>9627.17</v>
      </c>
      <c r="F7790" s="8" t="n"/>
      <c r="G7790" s="9" t="n">
        <v>0</v>
      </c>
      <c r="H7790" t="inlineStr">
        <is>
          <t>NOT_DUE</t>
        </is>
      </c>
      <c r="I7790">
        <f>IF(H7790="UNPAID", AsOfDate-D7790, 0)</f>
        <v/>
      </c>
      <c r="J7790">
        <f>IF(F7790&lt;&gt;"", TEXT(F7790, "yyyy-mm"), "")</f>
        <v/>
      </c>
    </row>
    <row r="7791">
      <c r="A7791" t="inlineStr">
        <is>
          <t>RP0007790</t>
        </is>
      </c>
      <c r="B7791" t="inlineStr">
        <is>
          <t>LN201107</t>
        </is>
      </c>
      <c r="C7791" t="n">
        <v>11</v>
      </c>
      <c r="D7791" s="8" t="n">
        <v>46358</v>
      </c>
      <c r="E7791" s="9" t="n">
        <v>9627.17</v>
      </c>
      <c r="F7791" s="8" t="n"/>
      <c r="G7791" s="9" t="n">
        <v>0</v>
      </c>
      <c r="H7791" t="inlineStr">
        <is>
          <t>NOT_DUE</t>
        </is>
      </c>
      <c r="I7791">
        <f>IF(H7791="UNPAID", AsOfDate-D7791, 0)</f>
        <v/>
      </c>
      <c r="J7791">
        <f>IF(F7791&lt;&gt;"", TEXT(F7791, "yyyy-mm"), "")</f>
        <v/>
      </c>
    </row>
    <row r="7792">
      <c r="A7792" t="inlineStr">
        <is>
          <t>RP0007791</t>
        </is>
      </c>
      <c r="B7792" t="inlineStr">
        <is>
          <t>LN201107</t>
        </is>
      </c>
      <c r="C7792" t="n">
        <v>12</v>
      </c>
      <c r="D7792" s="8" t="n">
        <v>46389</v>
      </c>
      <c r="E7792" s="9" t="n">
        <v>9627.17</v>
      </c>
      <c r="F7792" s="8" t="n"/>
      <c r="G7792" s="9" t="n">
        <v>0</v>
      </c>
      <c r="H7792" t="inlineStr">
        <is>
          <t>NOT_DUE</t>
        </is>
      </c>
      <c r="I7792">
        <f>IF(H7792="UNPAID", AsOfDate-D7792, 0)</f>
        <v/>
      </c>
      <c r="J7792">
        <f>IF(F7792&lt;&gt;"", TEXT(F7792, "yyyy-mm"), "")</f>
        <v/>
      </c>
    </row>
    <row r="7793">
      <c r="A7793" t="inlineStr">
        <is>
          <t>RP0007792</t>
        </is>
      </c>
      <c r="B7793" t="inlineStr">
        <is>
          <t>LN201108</t>
        </is>
      </c>
      <c r="C7793" t="n">
        <v>1</v>
      </c>
      <c r="D7793" s="8" t="n">
        <v>45710</v>
      </c>
      <c r="E7793" s="9" t="n">
        <v>36194.67</v>
      </c>
      <c r="F7793" s="8" t="n">
        <v>45754</v>
      </c>
      <c r="G7793" s="9" t="n">
        <v>36194.67</v>
      </c>
      <c r="H7793" t="inlineStr">
        <is>
          <t>PAID_LATE</t>
        </is>
      </c>
      <c r="I7793">
        <f>IF(H7793="UNPAID", AsOfDate-D7793, 0)</f>
        <v/>
      </c>
      <c r="J7793">
        <f>IF(F7793&lt;&gt;"", TEXT(F7793, "yyyy-mm"), "")</f>
        <v/>
      </c>
    </row>
    <row r="7794">
      <c r="A7794" t="inlineStr">
        <is>
          <t>RP0007793</t>
        </is>
      </c>
      <c r="B7794" t="inlineStr">
        <is>
          <t>LN201108</t>
        </is>
      </c>
      <c r="C7794" t="n">
        <v>2</v>
      </c>
      <c r="D7794" s="8" t="n">
        <v>45738</v>
      </c>
      <c r="E7794" s="9" t="n">
        <v>36194.67</v>
      </c>
      <c r="F7794" s="8" t="n">
        <v>45741</v>
      </c>
      <c r="G7794" s="9" t="n">
        <v>36194.67</v>
      </c>
      <c r="H7794" t="inlineStr">
        <is>
          <t>PAID_ON_TIME</t>
        </is>
      </c>
      <c r="I7794">
        <f>IF(H7794="UNPAID", AsOfDate-D7794, 0)</f>
        <v/>
      </c>
      <c r="J7794">
        <f>IF(F7794&lt;&gt;"", TEXT(F7794, "yyyy-mm"), "")</f>
        <v/>
      </c>
    </row>
    <row r="7795">
      <c r="A7795" t="inlineStr">
        <is>
          <t>RP0007794</t>
        </is>
      </c>
      <c r="B7795" t="inlineStr">
        <is>
          <t>LN201108</t>
        </is>
      </c>
      <c r="C7795" t="n">
        <v>3</v>
      </c>
      <c r="D7795" s="8" t="n">
        <v>45769</v>
      </c>
      <c r="E7795" s="9" t="n">
        <v>36194.67</v>
      </c>
      <c r="F7795" s="8" t="n">
        <v>45772</v>
      </c>
      <c r="G7795" s="9" t="n">
        <v>36194.67</v>
      </c>
      <c r="H7795" t="inlineStr">
        <is>
          <t>PAID_ON_TIME</t>
        </is>
      </c>
      <c r="I7795">
        <f>IF(H7795="UNPAID", AsOfDate-D7795, 0)</f>
        <v/>
      </c>
      <c r="J7795">
        <f>IF(F7795&lt;&gt;"", TEXT(F7795, "yyyy-mm"), "")</f>
        <v/>
      </c>
    </row>
    <row r="7796">
      <c r="A7796" t="inlineStr">
        <is>
          <t>RP0007795</t>
        </is>
      </c>
      <c r="B7796" t="inlineStr">
        <is>
          <t>LN201108</t>
        </is>
      </c>
      <c r="C7796" t="n">
        <v>4</v>
      </c>
      <c r="D7796" s="8" t="n">
        <v>45799</v>
      </c>
      <c r="E7796" s="9" t="n">
        <v>36194.67</v>
      </c>
      <c r="F7796" s="8" t="n">
        <v>45847</v>
      </c>
      <c r="G7796" s="9" t="n">
        <v>36194.67</v>
      </c>
      <c r="H7796" t="inlineStr">
        <is>
          <t>PAID_LATE</t>
        </is>
      </c>
      <c r="I7796">
        <f>IF(H7796="UNPAID", AsOfDate-D7796, 0)</f>
        <v/>
      </c>
      <c r="J7796">
        <f>IF(F7796&lt;&gt;"", TEXT(F7796, "yyyy-mm"), "")</f>
        <v/>
      </c>
    </row>
    <row r="7797">
      <c r="A7797" t="inlineStr">
        <is>
          <t>RP0007796</t>
        </is>
      </c>
      <c r="B7797" t="inlineStr">
        <is>
          <t>LN201108</t>
        </is>
      </c>
      <c r="C7797" t="n">
        <v>5</v>
      </c>
      <c r="D7797" s="8" t="n">
        <v>45830</v>
      </c>
      <c r="E7797" s="9" t="n">
        <v>36194.67</v>
      </c>
      <c r="F7797" s="8" t="n">
        <v>45830</v>
      </c>
      <c r="G7797" s="9" t="n">
        <v>36194.67</v>
      </c>
      <c r="H7797" t="inlineStr">
        <is>
          <t>PAID_ON_TIME</t>
        </is>
      </c>
      <c r="I7797">
        <f>IF(H7797="UNPAID", AsOfDate-D7797, 0)</f>
        <v/>
      </c>
      <c r="J7797">
        <f>IF(F7797&lt;&gt;"", TEXT(F7797, "yyyy-mm"), "")</f>
        <v/>
      </c>
    </row>
    <row r="7798">
      <c r="A7798" t="inlineStr">
        <is>
          <t>RP0007797</t>
        </is>
      </c>
      <c r="B7798" t="inlineStr">
        <is>
          <t>LN201108</t>
        </is>
      </c>
      <c r="C7798" t="n">
        <v>6</v>
      </c>
      <c r="D7798" s="8" t="n">
        <v>45860</v>
      </c>
      <c r="E7798" s="9" t="n">
        <v>36194.67</v>
      </c>
      <c r="F7798" s="8" t="n">
        <v>45860</v>
      </c>
      <c r="G7798" s="9" t="n">
        <v>36194.67</v>
      </c>
      <c r="H7798" t="inlineStr">
        <is>
          <t>PAID_ON_TIME</t>
        </is>
      </c>
      <c r="I7798">
        <f>IF(H7798="UNPAID", AsOfDate-D7798, 0)</f>
        <v/>
      </c>
      <c r="J7798">
        <f>IF(F7798&lt;&gt;"", TEXT(F7798, "yyyy-mm"), "")</f>
        <v/>
      </c>
    </row>
    <row r="7799">
      <c r="A7799" t="inlineStr">
        <is>
          <t>RP0007798</t>
        </is>
      </c>
      <c r="B7799" t="inlineStr">
        <is>
          <t>LN201109</t>
        </is>
      </c>
      <c r="C7799" t="n">
        <v>1</v>
      </c>
      <c r="D7799" s="8" t="n">
        <v>46224</v>
      </c>
      <c r="E7799" s="9" t="n">
        <v>16990.75</v>
      </c>
      <c r="F7799" s="8" t="n">
        <v>46225</v>
      </c>
      <c r="G7799" s="9" t="n">
        <v>16990.75</v>
      </c>
      <c r="H7799" t="inlineStr">
        <is>
          <t>PAID_ON_TIME</t>
        </is>
      </c>
      <c r="I7799">
        <f>IF(H7799="UNPAID", AsOfDate-D7799, 0)</f>
        <v/>
      </c>
      <c r="J7799">
        <f>IF(F7799&lt;&gt;"", TEXT(F7799, "yyyy-mm"), "")</f>
        <v/>
      </c>
    </row>
    <row r="7800">
      <c r="A7800" t="inlineStr">
        <is>
          <t>RP0007799</t>
        </is>
      </c>
      <c r="B7800" t="inlineStr">
        <is>
          <t>LN201109</t>
        </is>
      </c>
      <c r="C7800" t="n">
        <v>2</v>
      </c>
      <c r="D7800" s="8" t="n">
        <v>46255</v>
      </c>
      <c r="E7800" s="9" t="n">
        <v>16990.75</v>
      </c>
      <c r="F7800" s="8" t="n">
        <v>46256</v>
      </c>
      <c r="G7800" s="9" t="n">
        <v>16990.75</v>
      </c>
      <c r="H7800" t="inlineStr">
        <is>
          <t>PAID_ON_TIME</t>
        </is>
      </c>
      <c r="I7800">
        <f>IF(H7800="UNPAID", AsOfDate-D7800, 0)</f>
        <v/>
      </c>
      <c r="J7800">
        <f>IF(F7800&lt;&gt;"", TEXT(F7800, "yyyy-mm"), "")</f>
        <v/>
      </c>
    </row>
    <row r="7801">
      <c r="A7801" t="inlineStr">
        <is>
          <t>RP0007800</t>
        </is>
      </c>
      <c r="B7801" t="inlineStr">
        <is>
          <t>LN201109</t>
        </is>
      </c>
      <c r="C7801" t="n">
        <v>3</v>
      </c>
      <c r="D7801" s="8" t="n">
        <v>46286</v>
      </c>
      <c r="E7801" s="9" t="n">
        <v>16990.75</v>
      </c>
      <c r="F7801" s="8" t="n"/>
      <c r="G7801" s="9" t="n">
        <v>0</v>
      </c>
      <c r="H7801" t="inlineStr">
        <is>
          <t>NOT_DUE</t>
        </is>
      </c>
      <c r="I7801">
        <f>IF(H7801="UNPAID", AsOfDate-D7801, 0)</f>
        <v/>
      </c>
      <c r="J7801">
        <f>IF(F7801&lt;&gt;"", TEXT(F7801, "yyyy-mm"), "")</f>
        <v/>
      </c>
    </row>
    <row r="7802">
      <c r="A7802" t="inlineStr">
        <is>
          <t>RP0007801</t>
        </is>
      </c>
      <c r="B7802" t="inlineStr">
        <is>
          <t>LN201110</t>
        </is>
      </c>
      <c r="C7802" t="n">
        <v>1</v>
      </c>
      <c r="D7802" s="8" t="n">
        <v>45913</v>
      </c>
      <c r="E7802" s="9" t="n">
        <v>17901.33</v>
      </c>
      <c r="F7802" s="8" t="n">
        <v>45910</v>
      </c>
      <c r="G7802" s="9" t="n">
        <v>17901.33</v>
      </c>
      <c r="H7802" t="inlineStr">
        <is>
          <t>PAID_ON_TIME</t>
        </is>
      </c>
      <c r="I7802">
        <f>IF(H7802="UNPAID", AsOfDate-D7802, 0)</f>
        <v/>
      </c>
      <c r="J7802">
        <f>IF(F7802&lt;&gt;"", TEXT(F7802, "yyyy-mm"), "")</f>
        <v/>
      </c>
    </row>
    <row r="7803">
      <c r="A7803" t="inlineStr">
        <is>
          <t>RP0007802</t>
        </is>
      </c>
      <c r="B7803" t="inlineStr">
        <is>
          <t>LN201110</t>
        </is>
      </c>
      <c r="C7803" t="n">
        <v>2</v>
      </c>
      <c r="D7803" s="8" t="n">
        <v>45943</v>
      </c>
      <c r="E7803" s="9" t="n">
        <v>17901.33</v>
      </c>
      <c r="F7803" s="8" t="n">
        <v>45946</v>
      </c>
      <c r="G7803" s="9" t="n">
        <v>17901.33</v>
      </c>
      <c r="H7803" t="inlineStr">
        <is>
          <t>PAID_ON_TIME</t>
        </is>
      </c>
      <c r="I7803">
        <f>IF(H7803="UNPAID", AsOfDate-D7803, 0)</f>
        <v/>
      </c>
      <c r="J7803">
        <f>IF(F7803&lt;&gt;"", TEXT(F7803, "yyyy-mm"), "")</f>
        <v/>
      </c>
    </row>
    <row r="7804">
      <c r="A7804" t="inlineStr">
        <is>
          <t>RP0007803</t>
        </is>
      </c>
      <c r="B7804" t="inlineStr">
        <is>
          <t>LN201110</t>
        </is>
      </c>
      <c r="C7804" t="n">
        <v>3</v>
      </c>
      <c r="D7804" s="8" t="n">
        <v>45974</v>
      </c>
      <c r="E7804" s="9" t="n">
        <v>17901.33</v>
      </c>
      <c r="F7804" s="8" t="n">
        <v>45973</v>
      </c>
      <c r="G7804" s="9" t="n">
        <v>17901.33</v>
      </c>
      <c r="H7804" t="inlineStr">
        <is>
          <t>PAID_ON_TIME</t>
        </is>
      </c>
      <c r="I7804">
        <f>IF(H7804="UNPAID", AsOfDate-D7804, 0)</f>
        <v/>
      </c>
      <c r="J7804">
        <f>IF(F7804&lt;&gt;"", TEXT(F7804, "yyyy-mm"), "")</f>
        <v/>
      </c>
    </row>
    <row r="7805">
      <c r="A7805" t="inlineStr">
        <is>
          <t>RP0007804</t>
        </is>
      </c>
      <c r="B7805" t="inlineStr">
        <is>
          <t>LN201110</t>
        </is>
      </c>
      <c r="C7805" t="n">
        <v>4</v>
      </c>
      <c r="D7805" s="8" t="n">
        <v>46004</v>
      </c>
      <c r="E7805" s="9" t="n">
        <v>17901.33</v>
      </c>
      <c r="F7805" s="8" t="n">
        <v>46007</v>
      </c>
      <c r="G7805" s="9" t="n">
        <v>17901.33</v>
      </c>
      <c r="H7805" t="inlineStr">
        <is>
          <t>PAID_ON_TIME</t>
        </is>
      </c>
      <c r="I7805">
        <f>IF(H7805="UNPAID", AsOfDate-D7805, 0)</f>
        <v/>
      </c>
      <c r="J7805">
        <f>IF(F7805&lt;&gt;"", TEXT(F7805, "yyyy-mm"), "")</f>
        <v/>
      </c>
    </row>
    <row r="7806">
      <c r="A7806" t="inlineStr">
        <is>
          <t>RP0007805</t>
        </is>
      </c>
      <c r="B7806" t="inlineStr">
        <is>
          <t>LN201110</t>
        </is>
      </c>
      <c r="C7806" t="n">
        <v>5</v>
      </c>
      <c r="D7806" s="8" t="n">
        <v>46035</v>
      </c>
      <c r="E7806" s="9" t="n">
        <v>17901.33</v>
      </c>
      <c r="F7806" s="8" t="n">
        <v>46035</v>
      </c>
      <c r="G7806" s="9" t="n">
        <v>17901.33</v>
      </c>
      <c r="H7806" t="inlineStr">
        <is>
          <t>PAID_ON_TIME</t>
        </is>
      </c>
      <c r="I7806">
        <f>IF(H7806="UNPAID", AsOfDate-D7806, 0)</f>
        <v/>
      </c>
      <c r="J7806">
        <f>IF(F7806&lt;&gt;"", TEXT(F7806, "yyyy-mm"), "")</f>
        <v/>
      </c>
    </row>
    <row r="7807">
      <c r="A7807" t="inlineStr">
        <is>
          <t>RP0007806</t>
        </is>
      </c>
      <c r="B7807" t="inlineStr">
        <is>
          <t>LN201110</t>
        </is>
      </c>
      <c r="C7807" t="n">
        <v>6</v>
      </c>
      <c r="D7807" s="8" t="n">
        <v>46066</v>
      </c>
      <c r="E7807" s="9" t="n">
        <v>17901.33</v>
      </c>
      <c r="F7807" s="8" t="n">
        <v>46066</v>
      </c>
      <c r="G7807" s="9" t="n">
        <v>17901.33</v>
      </c>
      <c r="H7807" t="inlineStr">
        <is>
          <t>PAID_ON_TIME</t>
        </is>
      </c>
      <c r="I7807">
        <f>IF(H7807="UNPAID", AsOfDate-D7807, 0)</f>
        <v/>
      </c>
      <c r="J7807">
        <f>IF(F7807&lt;&gt;"", TEXT(F7807, "yyyy-mm"), "")</f>
        <v/>
      </c>
    </row>
    <row r="7808">
      <c r="A7808" t="inlineStr">
        <is>
          <t>RP0007807</t>
        </is>
      </c>
      <c r="B7808" t="inlineStr">
        <is>
          <t>LN201110</t>
        </is>
      </c>
      <c r="C7808" t="n">
        <v>7</v>
      </c>
      <c r="D7808" s="8" t="n">
        <v>46094</v>
      </c>
      <c r="E7808" s="9" t="n">
        <v>17901.33</v>
      </c>
      <c r="F7808" s="8" t="n">
        <v>46133</v>
      </c>
      <c r="G7808" s="9" t="n">
        <v>17901.33</v>
      </c>
      <c r="H7808" t="inlineStr">
        <is>
          <t>PAID_LATE</t>
        </is>
      </c>
      <c r="I7808">
        <f>IF(H7808="UNPAID", AsOfDate-D7808, 0)</f>
        <v/>
      </c>
      <c r="J7808">
        <f>IF(F7808&lt;&gt;"", TEXT(F7808, "yyyy-mm"), "")</f>
        <v/>
      </c>
    </row>
    <row r="7809">
      <c r="A7809" t="inlineStr">
        <is>
          <t>RP0007808</t>
        </is>
      </c>
      <c r="B7809" t="inlineStr">
        <is>
          <t>LN201110</t>
        </is>
      </c>
      <c r="C7809" t="n">
        <v>8</v>
      </c>
      <c r="D7809" s="8" t="n">
        <v>46125</v>
      </c>
      <c r="E7809" s="9" t="n">
        <v>17901.33</v>
      </c>
      <c r="F7809" s="8" t="n">
        <v>46123</v>
      </c>
      <c r="G7809" s="9" t="n">
        <v>17901.33</v>
      </c>
      <c r="H7809" t="inlineStr">
        <is>
          <t>PAID_ON_TIME</t>
        </is>
      </c>
      <c r="I7809">
        <f>IF(H7809="UNPAID", AsOfDate-D7809, 0)</f>
        <v/>
      </c>
      <c r="J7809">
        <f>IF(F7809&lt;&gt;"", TEXT(F7809, "yyyy-mm"), "")</f>
        <v/>
      </c>
    </row>
    <row r="7810">
      <c r="A7810" t="inlineStr">
        <is>
          <t>RP0007809</t>
        </is>
      </c>
      <c r="B7810" t="inlineStr">
        <is>
          <t>LN201110</t>
        </is>
      </c>
      <c r="C7810" t="n">
        <v>9</v>
      </c>
      <c r="D7810" s="8" t="n">
        <v>46155</v>
      </c>
      <c r="E7810" s="9" t="n">
        <v>17901.33</v>
      </c>
      <c r="F7810" s="8" t="n">
        <v>46155</v>
      </c>
      <c r="G7810" s="9" t="n">
        <v>17901.33</v>
      </c>
      <c r="H7810" t="inlineStr">
        <is>
          <t>PAID_ON_TIME</t>
        </is>
      </c>
      <c r="I7810">
        <f>IF(H7810="UNPAID", AsOfDate-D7810, 0)</f>
        <v/>
      </c>
      <c r="J7810">
        <f>IF(F7810&lt;&gt;"", TEXT(F7810, "yyyy-mm"), "")</f>
        <v/>
      </c>
    </row>
    <row r="7811">
      <c r="A7811" t="inlineStr">
        <is>
          <t>RP0007810</t>
        </is>
      </c>
      <c r="B7811" t="inlineStr">
        <is>
          <t>LN201111</t>
        </is>
      </c>
      <c r="C7811" t="n">
        <v>1</v>
      </c>
      <c r="D7811" s="8" t="n">
        <v>46103</v>
      </c>
      <c r="E7811" s="9" t="n">
        <v>12514.67</v>
      </c>
      <c r="F7811" s="8" t="n"/>
      <c r="G7811" s="9" t="n">
        <v>0</v>
      </c>
      <c r="H7811" t="inlineStr">
        <is>
          <t>UNPAID</t>
        </is>
      </c>
      <c r="I7811">
        <f>IF(H7811="UNPAID", AsOfDate-D7811, 0)</f>
        <v/>
      </c>
      <c r="J7811">
        <f>IF(F7811&lt;&gt;"", TEXT(F7811, "yyyy-mm"), "")</f>
        <v/>
      </c>
    </row>
    <row r="7812">
      <c r="A7812" t="inlineStr">
        <is>
          <t>RP0007811</t>
        </is>
      </c>
      <c r="B7812" t="inlineStr">
        <is>
          <t>LN201111</t>
        </is>
      </c>
      <c r="C7812" t="n">
        <v>2</v>
      </c>
      <c r="D7812" s="8" t="n">
        <v>46134</v>
      </c>
      <c r="E7812" s="9" t="n">
        <v>12514.67</v>
      </c>
      <c r="F7812" s="8" t="n">
        <v>46134</v>
      </c>
      <c r="G7812" s="9" t="n">
        <v>12514.67</v>
      </c>
      <c r="H7812" t="inlineStr">
        <is>
          <t>PAID_ON_TIME</t>
        </is>
      </c>
      <c r="I7812">
        <f>IF(H7812="UNPAID", AsOfDate-D7812, 0)</f>
        <v/>
      </c>
      <c r="J7812">
        <f>IF(F7812&lt;&gt;"", TEXT(F7812, "yyyy-mm"), "")</f>
        <v/>
      </c>
    </row>
    <row r="7813">
      <c r="A7813" t="inlineStr">
        <is>
          <t>RP0007812</t>
        </is>
      </c>
      <c r="B7813" t="inlineStr">
        <is>
          <t>LN201111</t>
        </is>
      </c>
      <c r="C7813" t="n">
        <v>3</v>
      </c>
      <c r="D7813" s="8" t="n">
        <v>46164</v>
      </c>
      <c r="E7813" s="9" t="n">
        <v>12514.67</v>
      </c>
      <c r="F7813" s="8" t="n">
        <v>46166</v>
      </c>
      <c r="G7813" s="9" t="n">
        <v>12514.67</v>
      </c>
      <c r="H7813" t="inlineStr">
        <is>
          <t>PAID_ON_TIME</t>
        </is>
      </c>
      <c r="I7813">
        <f>IF(H7813="UNPAID", AsOfDate-D7813, 0)</f>
        <v/>
      </c>
      <c r="J7813">
        <f>IF(F7813&lt;&gt;"", TEXT(F7813, "yyyy-mm"), "")</f>
        <v/>
      </c>
    </row>
    <row r="7814">
      <c r="A7814" t="inlineStr">
        <is>
          <t>RP0007813</t>
        </is>
      </c>
      <c r="B7814" t="inlineStr">
        <is>
          <t>LN201111</t>
        </is>
      </c>
      <c r="C7814" t="n">
        <v>4</v>
      </c>
      <c r="D7814" s="8" t="n">
        <v>46195</v>
      </c>
      <c r="E7814" s="9" t="n">
        <v>12514.67</v>
      </c>
      <c r="F7814" s="8" t="n">
        <v>46194</v>
      </c>
      <c r="G7814" s="9" t="n">
        <v>12514.67</v>
      </c>
      <c r="H7814" t="inlineStr">
        <is>
          <t>PAID_ON_TIME</t>
        </is>
      </c>
      <c r="I7814">
        <f>IF(H7814="UNPAID", AsOfDate-D7814, 0)</f>
        <v/>
      </c>
      <c r="J7814">
        <f>IF(F7814&lt;&gt;"", TEXT(F7814, "yyyy-mm"), "")</f>
        <v/>
      </c>
    </row>
    <row r="7815">
      <c r="A7815" t="inlineStr">
        <is>
          <t>RP0007814</t>
        </is>
      </c>
      <c r="B7815" t="inlineStr">
        <is>
          <t>LN201111</t>
        </is>
      </c>
      <c r="C7815" t="n">
        <v>5</v>
      </c>
      <c r="D7815" s="8" t="n">
        <v>46225</v>
      </c>
      <c r="E7815" s="9" t="n">
        <v>12514.67</v>
      </c>
      <c r="F7815" s="8" t="n">
        <v>46229</v>
      </c>
      <c r="G7815" s="9" t="n">
        <v>12514.67</v>
      </c>
      <c r="H7815" t="inlineStr">
        <is>
          <t>PAID_LATE</t>
        </is>
      </c>
      <c r="I7815">
        <f>IF(H7815="UNPAID", AsOfDate-D7815, 0)</f>
        <v/>
      </c>
      <c r="J7815">
        <f>IF(F7815&lt;&gt;"", TEXT(F7815, "yyyy-mm"), "")</f>
        <v/>
      </c>
    </row>
    <row r="7816">
      <c r="A7816" t="inlineStr">
        <is>
          <t>RP0007815</t>
        </is>
      </c>
      <c r="B7816" t="inlineStr">
        <is>
          <t>LN201111</t>
        </is>
      </c>
      <c r="C7816" t="n">
        <v>6</v>
      </c>
      <c r="D7816" s="8" t="n">
        <v>46256</v>
      </c>
      <c r="E7816" s="9" t="n">
        <v>12514.67</v>
      </c>
      <c r="F7816" s="8" t="n">
        <v>46253</v>
      </c>
      <c r="G7816" s="9" t="n">
        <v>12514.67</v>
      </c>
      <c r="H7816" t="inlineStr">
        <is>
          <t>PAID_ON_TIME</t>
        </is>
      </c>
      <c r="I7816">
        <f>IF(H7816="UNPAID", AsOfDate-D7816, 0)</f>
        <v/>
      </c>
      <c r="J7816">
        <f>IF(F7816&lt;&gt;"", TEXT(F7816, "yyyy-mm"), "")</f>
        <v/>
      </c>
    </row>
    <row r="7817">
      <c r="A7817" t="inlineStr">
        <is>
          <t>RP0007816</t>
        </is>
      </c>
      <c r="B7817" t="inlineStr">
        <is>
          <t>LN201111</t>
        </is>
      </c>
      <c r="C7817" t="n">
        <v>7</v>
      </c>
      <c r="D7817" s="8" t="n">
        <v>46287</v>
      </c>
      <c r="E7817" s="9" t="n">
        <v>12514.67</v>
      </c>
      <c r="F7817" s="8" t="n"/>
      <c r="G7817" s="9" t="n">
        <v>0</v>
      </c>
      <c r="H7817" t="inlineStr">
        <is>
          <t>NOT_DUE</t>
        </is>
      </c>
      <c r="I7817">
        <f>IF(H7817="UNPAID", AsOfDate-D7817, 0)</f>
        <v/>
      </c>
      <c r="J7817">
        <f>IF(F7817&lt;&gt;"", TEXT(F7817, "yyyy-mm"), "")</f>
        <v/>
      </c>
    </row>
    <row r="7818">
      <c r="A7818" t="inlineStr">
        <is>
          <t>RP0007817</t>
        </is>
      </c>
      <c r="B7818" t="inlineStr">
        <is>
          <t>LN201111</t>
        </is>
      </c>
      <c r="C7818" t="n">
        <v>8</v>
      </c>
      <c r="D7818" s="8" t="n">
        <v>46317</v>
      </c>
      <c r="E7818" s="9" t="n">
        <v>12514.67</v>
      </c>
      <c r="F7818" s="8" t="n"/>
      <c r="G7818" s="9" t="n">
        <v>0</v>
      </c>
      <c r="H7818" t="inlineStr">
        <is>
          <t>NOT_DUE</t>
        </is>
      </c>
      <c r="I7818">
        <f>IF(H7818="UNPAID", AsOfDate-D7818, 0)</f>
        <v/>
      </c>
      <c r="J7818">
        <f>IF(F7818&lt;&gt;"", TEXT(F7818, "yyyy-mm"), "")</f>
        <v/>
      </c>
    </row>
    <row r="7819">
      <c r="A7819" t="inlineStr">
        <is>
          <t>RP0007818</t>
        </is>
      </c>
      <c r="B7819" t="inlineStr">
        <is>
          <t>LN201111</t>
        </is>
      </c>
      <c r="C7819" t="n">
        <v>9</v>
      </c>
      <c r="D7819" s="8" t="n">
        <v>46348</v>
      </c>
      <c r="E7819" s="9" t="n">
        <v>12514.67</v>
      </c>
      <c r="F7819" s="8" t="n"/>
      <c r="G7819" s="9" t="n">
        <v>0</v>
      </c>
      <c r="H7819" t="inlineStr">
        <is>
          <t>NOT_DUE</t>
        </is>
      </c>
      <c r="I7819">
        <f>IF(H7819="UNPAID", AsOfDate-D7819, 0)</f>
        <v/>
      </c>
      <c r="J7819">
        <f>IF(F7819&lt;&gt;"", TEXT(F7819, "yyyy-mm"), "")</f>
        <v/>
      </c>
    </row>
    <row r="7820">
      <c r="A7820" t="inlineStr">
        <is>
          <t>RP0007819</t>
        </is>
      </c>
      <c r="B7820" t="inlineStr">
        <is>
          <t>LN201112</t>
        </is>
      </c>
      <c r="C7820" t="n">
        <v>1</v>
      </c>
      <c r="D7820" s="8" t="n">
        <v>45868</v>
      </c>
      <c r="E7820" s="9" t="n">
        <v>8239</v>
      </c>
      <c r="F7820" s="8" t="n">
        <v>45870</v>
      </c>
      <c r="G7820" s="9" t="n">
        <v>8239</v>
      </c>
      <c r="H7820" t="inlineStr">
        <is>
          <t>PAID_ON_TIME</t>
        </is>
      </c>
      <c r="I7820">
        <f>IF(H7820="UNPAID", AsOfDate-D7820, 0)</f>
        <v/>
      </c>
      <c r="J7820">
        <f>IF(F7820&lt;&gt;"", TEXT(F7820, "yyyy-mm"), "")</f>
        <v/>
      </c>
    </row>
    <row r="7821">
      <c r="A7821" t="inlineStr">
        <is>
          <t>RP0007820</t>
        </is>
      </c>
      <c r="B7821" t="inlineStr">
        <is>
          <t>LN201112</t>
        </is>
      </c>
      <c r="C7821" t="n">
        <v>2</v>
      </c>
      <c r="D7821" s="8" t="n">
        <v>45899</v>
      </c>
      <c r="E7821" s="9" t="n">
        <v>8239</v>
      </c>
      <c r="F7821" s="8" t="n">
        <v>45899</v>
      </c>
      <c r="G7821" s="9" t="n">
        <v>8239</v>
      </c>
      <c r="H7821" t="inlineStr">
        <is>
          <t>PAID_ON_TIME</t>
        </is>
      </c>
      <c r="I7821">
        <f>IF(H7821="UNPAID", AsOfDate-D7821, 0)</f>
        <v/>
      </c>
      <c r="J7821">
        <f>IF(F7821&lt;&gt;"", TEXT(F7821, "yyyy-mm"), "")</f>
        <v/>
      </c>
    </row>
    <row r="7822">
      <c r="A7822" t="inlineStr">
        <is>
          <t>RP0007821</t>
        </is>
      </c>
      <c r="B7822" t="inlineStr">
        <is>
          <t>LN201112</t>
        </is>
      </c>
      <c r="C7822" t="n">
        <v>3</v>
      </c>
      <c r="D7822" s="8" t="n">
        <v>45930</v>
      </c>
      <c r="E7822" s="9" t="n">
        <v>8239</v>
      </c>
      <c r="F7822" s="8" t="n">
        <v>45931</v>
      </c>
      <c r="G7822" s="9" t="n">
        <v>8239</v>
      </c>
      <c r="H7822" t="inlineStr">
        <is>
          <t>PAID_ON_TIME</t>
        </is>
      </c>
      <c r="I7822">
        <f>IF(H7822="UNPAID", AsOfDate-D7822, 0)</f>
        <v/>
      </c>
      <c r="J7822">
        <f>IF(F7822&lt;&gt;"", TEXT(F7822, "yyyy-mm"), "")</f>
        <v/>
      </c>
    </row>
    <row r="7823">
      <c r="A7823" t="inlineStr">
        <is>
          <t>RP0007822</t>
        </is>
      </c>
      <c r="B7823" t="inlineStr">
        <is>
          <t>LN201112</t>
        </is>
      </c>
      <c r="C7823" t="n">
        <v>4</v>
      </c>
      <c r="D7823" s="8" t="n">
        <v>45960</v>
      </c>
      <c r="E7823" s="9" t="n">
        <v>8239</v>
      </c>
      <c r="F7823" s="8" t="n">
        <v>45974</v>
      </c>
      <c r="G7823" s="9" t="n">
        <v>8239</v>
      </c>
      <c r="H7823" t="inlineStr">
        <is>
          <t>PAID_LATE</t>
        </is>
      </c>
      <c r="I7823">
        <f>IF(H7823="UNPAID", AsOfDate-D7823, 0)</f>
        <v/>
      </c>
      <c r="J7823">
        <f>IF(F7823&lt;&gt;"", TEXT(F7823, "yyyy-mm"), "")</f>
        <v/>
      </c>
    </row>
    <row r="7824">
      <c r="A7824" t="inlineStr">
        <is>
          <t>RP0007823</t>
        </is>
      </c>
      <c r="B7824" t="inlineStr">
        <is>
          <t>LN201112</t>
        </is>
      </c>
      <c r="C7824" t="n">
        <v>5</v>
      </c>
      <c r="D7824" s="8" t="n">
        <v>45991</v>
      </c>
      <c r="E7824" s="9" t="n">
        <v>8239</v>
      </c>
      <c r="F7824" s="8" t="n">
        <v>46048</v>
      </c>
      <c r="G7824" s="9" t="n">
        <v>8239</v>
      </c>
      <c r="H7824" t="inlineStr">
        <is>
          <t>PAID_LATE</t>
        </is>
      </c>
      <c r="I7824">
        <f>IF(H7824="UNPAID", AsOfDate-D7824, 0)</f>
        <v/>
      </c>
      <c r="J7824">
        <f>IF(F7824&lt;&gt;"", TEXT(F7824, "yyyy-mm"), "")</f>
        <v/>
      </c>
    </row>
    <row r="7825">
      <c r="A7825" t="inlineStr">
        <is>
          <t>RP0007824</t>
        </is>
      </c>
      <c r="B7825" t="inlineStr">
        <is>
          <t>LN201112</t>
        </is>
      </c>
      <c r="C7825" t="n">
        <v>6</v>
      </c>
      <c r="D7825" s="8" t="n">
        <v>46021</v>
      </c>
      <c r="E7825" s="9" t="n">
        <v>8239</v>
      </c>
      <c r="F7825" s="8" t="n">
        <v>46024</v>
      </c>
      <c r="G7825" s="9" t="n">
        <v>8239</v>
      </c>
      <c r="H7825" t="inlineStr">
        <is>
          <t>PAID_ON_TIME</t>
        </is>
      </c>
      <c r="I7825">
        <f>IF(H7825="UNPAID", AsOfDate-D7825, 0)</f>
        <v/>
      </c>
      <c r="J7825">
        <f>IF(F7825&lt;&gt;"", TEXT(F7825, "yyyy-mm"), "")</f>
        <v/>
      </c>
    </row>
    <row r="7826">
      <c r="A7826" t="inlineStr">
        <is>
          <t>RP0007825</t>
        </is>
      </c>
      <c r="B7826" t="inlineStr">
        <is>
          <t>LN201112</t>
        </is>
      </c>
      <c r="C7826" t="n">
        <v>7</v>
      </c>
      <c r="D7826" s="8" t="n">
        <v>46052</v>
      </c>
      <c r="E7826" s="9" t="n">
        <v>8239</v>
      </c>
      <c r="F7826" s="8" t="n">
        <v>46050</v>
      </c>
      <c r="G7826" s="9" t="n">
        <v>8239</v>
      </c>
      <c r="H7826" t="inlineStr">
        <is>
          <t>PAID_ON_TIME</t>
        </is>
      </c>
      <c r="I7826">
        <f>IF(H7826="UNPAID", AsOfDate-D7826, 0)</f>
        <v/>
      </c>
      <c r="J7826">
        <f>IF(F7826&lt;&gt;"", TEXT(F7826, "yyyy-mm"), "")</f>
        <v/>
      </c>
    </row>
    <row r="7827">
      <c r="A7827" t="inlineStr">
        <is>
          <t>RP0007826</t>
        </is>
      </c>
      <c r="B7827" t="inlineStr">
        <is>
          <t>LN201112</t>
        </is>
      </c>
      <c r="C7827" t="n">
        <v>8</v>
      </c>
      <c r="D7827" s="8" t="n">
        <v>46081</v>
      </c>
      <c r="E7827" s="9" t="n">
        <v>8239</v>
      </c>
      <c r="F7827" s="8" t="n">
        <v>46101</v>
      </c>
      <c r="G7827" s="9" t="n">
        <v>8239</v>
      </c>
      <c r="H7827" t="inlineStr">
        <is>
          <t>PAID_LATE</t>
        </is>
      </c>
      <c r="I7827">
        <f>IF(H7827="UNPAID", AsOfDate-D7827, 0)</f>
        <v/>
      </c>
      <c r="J7827">
        <f>IF(F7827&lt;&gt;"", TEXT(F7827, "yyyy-mm"), "")</f>
        <v/>
      </c>
    </row>
    <row r="7828">
      <c r="A7828" t="inlineStr">
        <is>
          <t>RP0007827</t>
        </is>
      </c>
      <c r="B7828" t="inlineStr">
        <is>
          <t>LN201112</t>
        </is>
      </c>
      <c r="C7828" t="n">
        <v>9</v>
      </c>
      <c r="D7828" s="8" t="n">
        <v>46111</v>
      </c>
      <c r="E7828" s="9" t="n">
        <v>8239</v>
      </c>
      <c r="F7828" s="8" t="n">
        <v>46109</v>
      </c>
      <c r="G7828" s="9" t="n">
        <v>8239</v>
      </c>
      <c r="H7828" t="inlineStr">
        <is>
          <t>PAID_ON_TIME</t>
        </is>
      </c>
      <c r="I7828">
        <f>IF(H7828="UNPAID", AsOfDate-D7828, 0)</f>
        <v/>
      </c>
      <c r="J7828">
        <f>IF(F7828&lt;&gt;"", TEXT(F7828, "yyyy-mm"), "")</f>
        <v/>
      </c>
    </row>
    <row r="7829">
      <c r="A7829" t="inlineStr">
        <is>
          <t>RP0007828</t>
        </is>
      </c>
      <c r="B7829" t="inlineStr">
        <is>
          <t>LN201113</t>
        </is>
      </c>
      <c r="C7829" t="n">
        <v>1</v>
      </c>
      <c r="D7829" s="8" t="n">
        <v>46008</v>
      </c>
      <c r="E7829" s="9" t="n">
        <v>13057</v>
      </c>
      <c r="F7829" s="8" t="n">
        <v>46012</v>
      </c>
      <c r="G7829" s="9" t="n">
        <v>13057</v>
      </c>
      <c r="H7829" t="inlineStr">
        <is>
          <t>PAID_ON_TIME</t>
        </is>
      </c>
      <c r="I7829">
        <f>IF(H7829="UNPAID", AsOfDate-D7829, 0)</f>
        <v/>
      </c>
      <c r="J7829">
        <f>IF(F7829&lt;&gt;"", TEXT(F7829, "yyyy-mm"), "")</f>
        <v/>
      </c>
    </row>
    <row r="7830">
      <c r="A7830" t="inlineStr">
        <is>
          <t>RP0007829</t>
        </is>
      </c>
      <c r="B7830" t="inlineStr">
        <is>
          <t>LN201113</t>
        </is>
      </c>
      <c r="C7830" t="n">
        <v>2</v>
      </c>
      <c r="D7830" s="8" t="n">
        <v>46039</v>
      </c>
      <c r="E7830" s="9" t="n">
        <v>13057</v>
      </c>
      <c r="F7830" s="8" t="n">
        <v>46038</v>
      </c>
      <c r="G7830" s="9" t="n">
        <v>13057</v>
      </c>
      <c r="H7830" t="inlineStr">
        <is>
          <t>PAID_ON_TIME</t>
        </is>
      </c>
      <c r="I7830">
        <f>IF(H7830="UNPAID", AsOfDate-D7830, 0)</f>
        <v/>
      </c>
      <c r="J7830">
        <f>IF(F7830&lt;&gt;"", TEXT(F7830, "yyyy-mm"), "")</f>
        <v/>
      </c>
    </row>
    <row r="7831">
      <c r="A7831" t="inlineStr">
        <is>
          <t>RP0007830</t>
        </is>
      </c>
      <c r="B7831" t="inlineStr">
        <is>
          <t>LN201113</t>
        </is>
      </c>
      <c r="C7831" t="n">
        <v>3</v>
      </c>
      <c r="D7831" s="8" t="n">
        <v>46070</v>
      </c>
      <c r="E7831" s="9" t="n">
        <v>13057</v>
      </c>
      <c r="F7831" s="8" t="n">
        <v>46071</v>
      </c>
      <c r="G7831" s="9" t="n">
        <v>13057</v>
      </c>
      <c r="H7831" t="inlineStr">
        <is>
          <t>PAID_ON_TIME</t>
        </is>
      </c>
      <c r="I7831">
        <f>IF(H7831="UNPAID", AsOfDate-D7831, 0)</f>
        <v/>
      </c>
      <c r="J7831">
        <f>IF(F7831&lt;&gt;"", TEXT(F7831, "yyyy-mm"), "")</f>
        <v/>
      </c>
    </row>
    <row r="7832">
      <c r="A7832" t="inlineStr">
        <is>
          <t>RP0007831</t>
        </is>
      </c>
      <c r="B7832" t="inlineStr">
        <is>
          <t>LN201113</t>
        </is>
      </c>
      <c r="C7832" t="n">
        <v>4</v>
      </c>
      <c r="D7832" s="8" t="n">
        <v>46098</v>
      </c>
      <c r="E7832" s="9" t="n">
        <v>13057</v>
      </c>
      <c r="F7832" s="8" t="n">
        <v>46161</v>
      </c>
      <c r="G7832" s="9" t="n">
        <v>13057</v>
      </c>
      <c r="H7832" t="inlineStr">
        <is>
          <t>PAID_LATE</t>
        </is>
      </c>
      <c r="I7832">
        <f>IF(H7832="UNPAID", AsOfDate-D7832, 0)</f>
        <v/>
      </c>
      <c r="J7832">
        <f>IF(F7832&lt;&gt;"", TEXT(F7832, "yyyy-mm"), "")</f>
        <v/>
      </c>
    </row>
    <row r="7833">
      <c r="A7833" t="inlineStr">
        <is>
          <t>RP0007832</t>
        </is>
      </c>
      <c r="B7833" t="inlineStr">
        <is>
          <t>LN201113</t>
        </is>
      </c>
      <c r="C7833" t="n">
        <v>5</v>
      </c>
      <c r="D7833" s="8" t="n">
        <v>46129</v>
      </c>
      <c r="E7833" s="9" t="n">
        <v>13057</v>
      </c>
      <c r="F7833" s="8" t="n">
        <v>46129</v>
      </c>
      <c r="G7833" s="9" t="n">
        <v>13057</v>
      </c>
      <c r="H7833" t="inlineStr">
        <is>
          <t>PAID_ON_TIME</t>
        </is>
      </c>
      <c r="I7833">
        <f>IF(H7833="UNPAID", AsOfDate-D7833, 0)</f>
        <v/>
      </c>
      <c r="J7833">
        <f>IF(F7833&lt;&gt;"", TEXT(F7833, "yyyy-mm"), "")</f>
        <v/>
      </c>
    </row>
    <row r="7834">
      <c r="A7834" t="inlineStr">
        <is>
          <t>RP0007833</t>
        </is>
      </c>
      <c r="B7834" t="inlineStr">
        <is>
          <t>LN201113</t>
        </is>
      </c>
      <c r="C7834" t="n">
        <v>6</v>
      </c>
      <c r="D7834" s="8" t="n">
        <v>46159</v>
      </c>
      <c r="E7834" s="9" t="n">
        <v>13057</v>
      </c>
      <c r="F7834" s="8" t="n">
        <v>46257</v>
      </c>
      <c r="G7834" s="9" t="n">
        <v>13057</v>
      </c>
      <c r="H7834" t="inlineStr">
        <is>
          <t>PAID_LATE</t>
        </is>
      </c>
      <c r="I7834">
        <f>IF(H7834="UNPAID", AsOfDate-D7834, 0)</f>
        <v/>
      </c>
      <c r="J7834">
        <f>IF(F7834&lt;&gt;"", TEXT(F7834, "yyyy-mm"), "")</f>
        <v/>
      </c>
    </row>
    <row r="7835">
      <c r="A7835" t="inlineStr">
        <is>
          <t>RP0007834</t>
        </is>
      </c>
      <c r="B7835" t="inlineStr">
        <is>
          <t>LN201113</t>
        </is>
      </c>
      <c r="C7835" t="n">
        <v>7</v>
      </c>
      <c r="D7835" s="8" t="n">
        <v>46190</v>
      </c>
      <c r="E7835" s="9" t="n">
        <v>13057</v>
      </c>
      <c r="F7835" s="8" t="n">
        <v>46190</v>
      </c>
      <c r="G7835" s="9" t="n">
        <v>13057</v>
      </c>
      <c r="H7835" t="inlineStr">
        <is>
          <t>PAID_ON_TIME</t>
        </is>
      </c>
      <c r="I7835">
        <f>IF(H7835="UNPAID", AsOfDate-D7835, 0)</f>
        <v/>
      </c>
      <c r="J7835">
        <f>IF(F7835&lt;&gt;"", TEXT(F7835, "yyyy-mm"), "")</f>
        <v/>
      </c>
    </row>
    <row r="7836">
      <c r="A7836" t="inlineStr">
        <is>
          <t>RP0007835</t>
        </is>
      </c>
      <c r="B7836" t="inlineStr">
        <is>
          <t>LN201113</t>
        </is>
      </c>
      <c r="C7836" t="n">
        <v>8</v>
      </c>
      <c r="D7836" s="8" t="n">
        <v>46220</v>
      </c>
      <c r="E7836" s="9" t="n">
        <v>13057</v>
      </c>
      <c r="F7836" s="8" t="n">
        <v>46224</v>
      </c>
      <c r="G7836" s="9" t="n">
        <v>13057</v>
      </c>
      <c r="H7836" t="inlineStr">
        <is>
          <t>PAID_ON_TIME</t>
        </is>
      </c>
      <c r="I7836">
        <f>IF(H7836="UNPAID", AsOfDate-D7836, 0)</f>
        <v/>
      </c>
      <c r="J7836">
        <f>IF(F7836&lt;&gt;"", TEXT(F7836, "yyyy-mm"), "")</f>
        <v/>
      </c>
    </row>
    <row r="7837">
      <c r="A7837" t="inlineStr">
        <is>
          <t>RP0007836</t>
        </is>
      </c>
      <c r="B7837" t="inlineStr">
        <is>
          <t>LN201113</t>
        </is>
      </c>
      <c r="C7837" t="n">
        <v>9</v>
      </c>
      <c r="D7837" s="8" t="n">
        <v>46251</v>
      </c>
      <c r="E7837" s="9" t="n">
        <v>13057</v>
      </c>
      <c r="F7837" s="8" t="n">
        <v>46251</v>
      </c>
      <c r="G7837" s="9" t="n">
        <v>13057</v>
      </c>
      <c r="H7837" t="inlineStr">
        <is>
          <t>PAID_ON_TIME</t>
        </is>
      </c>
      <c r="I7837">
        <f>IF(H7837="UNPAID", AsOfDate-D7837, 0)</f>
        <v/>
      </c>
      <c r="J7837">
        <f>IF(F7837&lt;&gt;"", TEXT(F7837, "yyyy-mm"), "")</f>
        <v/>
      </c>
    </row>
    <row r="7838">
      <c r="A7838" t="inlineStr">
        <is>
          <t>RP0007837</t>
        </is>
      </c>
      <c r="B7838" t="inlineStr">
        <is>
          <t>LN201113</t>
        </is>
      </c>
      <c r="C7838" t="n">
        <v>10</v>
      </c>
      <c r="D7838" s="8" t="n">
        <v>46282</v>
      </c>
      <c r="E7838" s="9" t="n">
        <v>13057</v>
      </c>
      <c r="F7838" s="8" t="n"/>
      <c r="G7838" s="9" t="n">
        <v>0</v>
      </c>
      <c r="H7838" t="inlineStr">
        <is>
          <t>NOT_DUE</t>
        </is>
      </c>
      <c r="I7838">
        <f>IF(H7838="UNPAID", AsOfDate-D7838, 0)</f>
        <v/>
      </c>
      <c r="J7838">
        <f>IF(F7838&lt;&gt;"", TEXT(F7838, "yyyy-mm"), "")</f>
        <v/>
      </c>
    </row>
    <row r="7839">
      <c r="A7839" t="inlineStr">
        <is>
          <t>RP0007838</t>
        </is>
      </c>
      <c r="B7839" t="inlineStr">
        <is>
          <t>LN201113</t>
        </is>
      </c>
      <c r="C7839" t="n">
        <v>11</v>
      </c>
      <c r="D7839" s="8" t="n">
        <v>46312</v>
      </c>
      <c r="E7839" s="9" t="n">
        <v>13057</v>
      </c>
      <c r="F7839" s="8" t="n"/>
      <c r="G7839" s="9" t="n">
        <v>0</v>
      </c>
      <c r="H7839" t="inlineStr">
        <is>
          <t>NOT_DUE</t>
        </is>
      </c>
      <c r="I7839">
        <f>IF(H7839="UNPAID", AsOfDate-D7839, 0)</f>
        <v/>
      </c>
      <c r="J7839">
        <f>IF(F7839&lt;&gt;"", TEXT(F7839, "yyyy-mm"), "")</f>
        <v/>
      </c>
    </row>
    <row r="7840">
      <c r="A7840" t="inlineStr">
        <is>
          <t>RP0007839</t>
        </is>
      </c>
      <c r="B7840" t="inlineStr">
        <is>
          <t>LN201113</t>
        </is>
      </c>
      <c r="C7840" t="n">
        <v>12</v>
      </c>
      <c r="D7840" s="8" t="n">
        <v>46343</v>
      </c>
      <c r="E7840" s="9" t="n">
        <v>13057</v>
      </c>
      <c r="F7840" s="8" t="n"/>
      <c r="G7840" s="9" t="n">
        <v>0</v>
      </c>
      <c r="H7840" t="inlineStr">
        <is>
          <t>NOT_DUE</t>
        </is>
      </c>
      <c r="I7840">
        <f>IF(H7840="UNPAID", AsOfDate-D7840, 0)</f>
        <v/>
      </c>
      <c r="J7840">
        <f>IF(F7840&lt;&gt;"", TEXT(F7840, "yyyy-mm"), "")</f>
        <v/>
      </c>
    </row>
    <row r="7841">
      <c r="A7841" t="inlineStr">
        <is>
          <t>RP0007840</t>
        </is>
      </c>
      <c r="B7841" t="inlineStr">
        <is>
          <t>LN201114</t>
        </is>
      </c>
      <c r="C7841" t="n">
        <v>1</v>
      </c>
      <c r="D7841" s="8" t="n">
        <v>45960</v>
      </c>
      <c r="E7841" s="9" t="n">
        <v>19651.33</v>
      </c>
      <c r="F7841" s="8" t="n">
        <v>45957</v>
      </c>
      <c r="G7841" s="9" t="n">
        <v>19651.33</v>
      </c>
      <c r="H7841" t="inlineStr">
        <is>
          <t>PAID_ON_TIME</t>
        </is>
      </c>
      <c r="I7841">
        <f>IF(H7841="UNPAID", AsOfDate-D7841, 0)</f>
        <v/>
      </c>
      <c r="J7841">
        <f>IF(F7841&lt;&gt;"", TEXT(F7841, "yyyy-mm"), "")</f>
        <v/>
      </c>
    </row>
    <row r="7842">
      <c r="A7842" t="inlineStr">
        <is>
          <t>RP0007841</t>
        </is>
      </c>
      <c r="B7842" t="inlineStr">
        <is>
          <t>LN201114</t>
        </is>
      </c>
      <c r="C7842" t="n">
        <v>2</v>
      </c>
      <c r="D7842" s="8" t="n">
        <v>45991</v>
      </c>
      <c r="E7842" s="9" t="n">
        <v>19651.33</v>
      </c>
      <c r="F7842" s="8" t="n">
        <v>46024</v>
      </c>
      <c r="G7842" s="9" t="n">
        <v>19651.33</v>
      </c>
      <c r="H7842" t="inlineStr">
        <is>
          <t>PAID_LATE</t>
        </is>
      </c>
      <c r="I7842">
        <f>IF(H7842="UNPAID", AsOfDate-D7842, 0)</f>
        <v/>
      </c>
      <c r="J7842">
        <f>IF(F7842&lt;&gt;"", TEXT(F7842, "yyyy-mm"), "")</f>
        <v/>
      </c>
    </row>
    <row r="7843">
      <c r="A7843" t="inlineStr">
        <is>
          <t>RP0007842</t>
        </is>
      </c>
      <c r="B7843" t="inlineStr">
        <is>
          <t>LN201114</t>
        </is>
      </c>
      <c r="C7843" t="n">
        <v>3</v>
      </c>
      <c r="D7843" s="8" t="n">
        <v>46021</v>
      </c>
      <c r="E7843" s="9" t="n">
        <v>19651.33</v>
      </c>
      <c r="F7843" s="8" t="n">
        <v>46020</v>
      </c>
      <c r="G7843" s="9" t="n">
        <v>19651.33</v>
      </c>
      <c r="H7843" t="inlineStr">
        <is>
          <t>PAID_ON_TIME</t>
        </is>
      </c>
      <c r="I7843">
        <f>IF(H7843="UNPAID", AsOfDate-D7843, 0)</f>
        <v/>
      </c>
      <c r="J7843">
        <f>IF(F7843&lt;&gt;"", TEXT(F7843, "yyyy-mm"), "")</f>
        <v/>
      </c>
    </row>
    <row r="7844">
      <c r="A7844" t="inlineStr">
        <is>
          <t>RP0007843</t>
        </is>
      </c>
      <c r="B7844" t="inlineStr">
        <is>
          <t>LN201115</t>
        </is>
      </c>
      <c r="C7844" t="n">
        <v>1</v>
      </c>
      <c r="D7844" s="8" t="n">
        <v>45930</v>
      </c>
      <c r="E7844" s="9" t="n">
        <v>47736</v>
      </c>
      <c r="F7844" s="8" t="n">
        <v>45932</v>
      </c>
      <c r="G7844" s="9" t="n">
        <v>47736</v>
      </c>
      <c r="H7844" t="inlineStr">
        <is>
          <t>PAID_ON_TIME</t>
        </is>
      </c>
      <c r="I7844">
        <f>IF(H7844="UNPAID", AsOfDate-D7844, 0)</f>
        <v/>
      </c>
      <c r="J7844">
        <f>IF(F7844&lt;&gt;"", TEXT(F7844, "yyyy-mm"), "")</f>
        <v/>
      </c>
    </row>
    <row r="7845">
      <c r="A7845" t="inlineStr">
        <is>
          <t>RP0007844</t>
        </is>
      </c>
      <c r="B7845" t="inlineStr">
        <is>
          <t>LN201115</t>
        </is>
      </c>
      <c r="C7845" t="n">
        <v>2</v>
      </c>
      <c r="D7845" s="8" t="n">
        <v>45960</v>
      </c>
      <c r="E7845" s="9" t="n">
        <v>47736</v>
      </c>
      <c r="F7845" s="8" t="n">
        <v>45958</v>
      </c>
      <c r="G7845" s="9" t="n">
        <v>47736</v>
      </c>
      <c r="H7845" t="inlineStr">
        <is>
          <t>PAID_ON_TIME</t>
        </is>
      </c>
      <c r="I7845">
        <f>IF(H7845="UNPAID", AsOfDate-D7845, 0)</f>
        <v/>
      </c>
      <c r="J7845">
        <f>IF(F7845&lt;&gt;"", TEXT(F7845, "yyyy-mm"), "")</f>
        <v/>
      </c>
    </row>
    <row r="7846">
      <c r="A7846" t="inlineStr">
        <is>
          <t>RP0007845</t>
        </is>
      </c>
      <c r="B7846" t="inlineStr">
        <is>
          <t>LN201115</t>
        </is>
      </c>
      <c r="C7846" t="n">
        <v>3</v>
      </c>
      <c r="D7846" s="8" t="n">
        <v>45991</v>
      </c>
      <c r="E7846" s="9" t="n">
        <v>47736</v>
      </c>
      <c r="F7846" s="8" t="n">
        <v>45992</v>
      </c>
      <c r="G7846" s="9" t="n">
        <v>47736</v>
      </c>
      <c r="H7846" t="inlineStr">
        <is>
          <t>PAID_ON_TIME</t>
        </is>
      </c>
      <c r="I7846">
        <f>IF(H7846="UNPAID", AsOfDate-D7846, 0)</f>
        <v/>
      </c>
      <c r="J7846">
        <f>IF(F7846&lt;&gt;"", TEXT(F7846, "yyyy-mm"), "")</f>
        <v/>
      </c>
    </row>
    <row r="7847">
      <c r="A7847" t="inlineStr">
        <is>
          <t>RP0007846</t>
        </is>
      </c>
      <c r="B7847" t="inlineStr">
        <is>
          <t>LN201116</t>
        </is>
      </c>
      <c r="C7847" t="n">
        <v>1</v>
      </c>
      <c r="D7847" s="8" t="n">
        <v>46052</v>
      </c>
      <c r="E7847" s="9" t="n">
        <v>16279.08</v>
      </c>
      <c r="F7847" s="8" t="n">
        <v>46054</v>
      </c>
      <c r="G7847" s="9" t="n">
        <v>16279.08</v>
      </c>
      <c r="H7847" t="inlineStr">
        <is>
          <t>PAID_ON_TIME</t>
        </is>
      </c>
      <c r="I7847">
        <f>IF(H7847="UNPAID", AsOfDate-D7847, 0)</f>
        <v/>
      </c>
      <c r="J7847">
        <f>IF(F7847&lt;&gt;"", TEXT(F7847, "yyyy-mm"), "")</f>
        <v/>
      </c>
    </row>
    <row r="7848">
      <c r="A7848" t="inlineStr">
        <is>
          <t>RP0007847</t>
        </is>
      </c>
      <c r="B7848" t="inlineStr">
        <is>
          <t>LN201116</t>
        </is>
      </c>
      <c r="C7848" t="n">
        <v>2</v>
      </c>
      <c r="D7848" s="8" t="n">
        <v>46081</v>
      </c>
      <c r="E7848" s="9" t="n">
        <v>16279.08</v>
      </c>
      <c r="F7848" s="8" t="n">
        <v>46082</v>
      </c>
      <c r="G7848" s="9" t="n">
        <v>16279.08</v>
      </c>
      <c r="H7848" t="inlineStr">
        <is>
          <t>PAID_ON_TIME</t>
        </is>
      </c>
      <c r="I7848">
        <f>IF(H7848="UNPAID", AsOfDate-D7848, 0)</f>
        <v/>
      </c>
      <c r="J7848">
        <f>IF(F7848&lt;&gt;"", TEXT(F7848, "yyyy-mm"), "")</f>
        <v/>
      </c>
    </row>
    <row r="7849">
      <c r="A7849" t="inlineStr">
        <is>
          <t>RP0007848</t>
        </is>
      </c>
      <c r="B7849" t="inlineStr">
        <is>
          <t>LN201116</t>
        </is>
      </c>
      <c r="C7849" t="n">
        <v>3</v>
      </c>
      <c r="D7849" s="8" t="n">
        <v>46111</v>
      </c>
      <c r="E7849" s="9" t="n">
        <v>16279.08</v>
      </c>
      <c r="F7849" s="8" t="n">
        <v>46111</v>
      </c>
      <c r="G7849" s="9" t="n">
        <v>16279.08</v>
      </c>
      <c r="H7849" t="inlineStr">
        <is>
          <t>PAID_ON_TIME</t>
        </is>
      </c>
      <c r="I7849">
        <f>IF(H7849="UNPAID", AsOfDate-D7849, 0)</f>
        <v/>
      </c>
      <c r="J7849">
        <f>IF(F7849&lt;&gt;"", TEXT(F7849, "yyyy-mm"), "")</f>
        <v/>
      </c>
    </row>
    <row r="7850">
      <c r="A7850" t="inlineStr">
        <is>
          <t>RP0007849</t>
        </is>
      </c>
      <c r="B7850" t="inlineStr">
        <is>
          <t>LN201116</t>
        </is>
      </c>
      <c r="C7850" t="n">
        <v>4</v>
      </c>
      <c r="D7850" s="8" t="n">
        <v>46142</v>
      </c>
      <c r="E7850" s="9" t="n">
        <v>16279.08</v>
      </c>
      <c r="F7850" s="8" t="n">
        <v>46142</v>
      </c>
      <c r="G7850" s="9" t="n">
        <v>16279.08</v>
      </c>
      <c r="H7850" t="inlineStr">
        <is>
          <t>PAID_ON_TIME</t>
        </is>
      </c>
      <c r="I7850">
        <f>IF(H7850="UNPAID", AsOfDate-D7850, 0)</f>
        <v/>
      </c>
      <c r="J7850">
        <f>IF(F7850&lt;&gt;"", TEXT(F7850, "yyyy-mm"), "")</f>
        <v/>
      </c>
    </row>
    <row r="7851">
      <c r="A7851" t="inlineStr">
        <is>
          <t>RP0007850</t>
        </is>
      </c>
      <c r="B7851" t="inlineStr">
        <is>
          <t>LN201116</t>
        </is>
      </c>
      <c r="C7851" t="n">
        <v>5</v>
      </c>
      <c r="D7851" s="8" t="n">
        <v>46172</v>
      </c>
      <c r="E7851" s="9" t="n">
        <v>16279.08</v>
      </c>
      <c r="F7851" s="8" t="n">
        <v>46170</v>
      </c>
      <c r="G7851" s="9" t="n">
        <v>16279.08</v>
      </c>
      <c r="H7851" t="inlineStr">
        <is>
          <t>PAID_ON_TIME</t>
        </is>
      </c>
      <c r="I7851">
        <f>IF(H7851="UNPAID", AsOfDate-D7851, 0)</f>
        <v/>
      </c>
      <c r="J7851">
        <f>IF(F7851&lt;&gt;"", TEXT(F7851, "yyyy-mm"), "")</f>
        <v/>
      </c>
    </row>
    <row r="7852">
      <c r="A7852" t="inlineStr">
        <is>
          <t>RP0007851</t>
        </is>
      </c>
      <c r="B7852" t="inlineStr">
        <is>
          <t>LN201116</t>
        </is>
      </c>
      <c r="C7852" t="n">
        <v>6</v>
      </c>
      <c r="D7852" s="8" t="n">
        <v>46203</v>
      </c>
      <c r="E7852" s="9" t="n">
        <v>16279.08</v>
      </c>
      <c r="F7852" s="8" t="n">
        <v>46201</v>
      </c>
      <c r="G7852" s="9" t="n">
        <v>16279.08</v>
      </c>
      <c r="H7852" t="inlineStr">
        <is>
          <t>PAID_ON_TIME</t>
        </is>
      </c>
      <c r="I7852">
        <f>IF(H7852="UNPAID", AsOfDate-D7852, 0)</f>
        <v/>
      </c>
      <c r="J7852">
        <f>IF(F7852&lt;&gt;"", TEXT(F7852, "yyyy-mm"), "")</f>
        <v/>
      </c>
    </row>
    <row r="7853">
      <c r="A7853" t="inlineStr">
        <is>
          <t>RP0007852</t>
        </is>
      </c>
      <c r="B7853" t="inlineStr">
        <is>
          <t>LN201116</t>
        </is>
      </c>
      <c r="C7853" t="n">
        <v>7</v>
      </c>
      <c r="D7853" s="8" t="n">
        <v>46233</v>
      </c>
      <c r="E7853" s="9" t="n">
        <v>16279.08</v>
      </c>
      <c r="F7853" s="8" t="n">
        <v>46230</v>
      </c>
      <c r="G7853" s="9" t="n">
        <v>16279.08</v>
      </c>
      <c r="H7853" t="inlineStr">
        <is>
          <t>PAID_ON_TIME</t>
        </is>
      </c>
      <c r="I7853">
        <f>IF(H7853="UNPAID", AsOfDate-D7853, 0)</f>
        <v/>
      </c>
      <c r="J7853">
        <f>IF(F7853&lt;&gt;"", TEXT(F7853, "yyyy-mm"), "")</f>
        <v/>
      </c>
    </row>
    <row r="7854">
      <c r="A7854" t="inlineStr">
        <is>
          <t>RP0007853</t>
        </is>
      </c>
      <c r="B7854" t="inlineStr">
        <is>
          <t>LN201116</t>
        </is>
      </c>
      <c r="C7854" t="n">
        <v>8</v>
      </c>
      <c r="D7854" s="8" t="n">
        <v>46264</v>
      </c>
      <c r="E7854" s="9" t="n">
        <v>16279.08</v>
      </c>
      <c r="F7854" s="8" t="n">
        <v>46267</v>
      </c>
      <c r="G7854" s="9" t="n">
        <v>16279.08</v>
      </c>
      <c r="H7854" t="inlineStr">
        <is>
          <t>PAID_ON_TIME</t>
        </is>
      </c>
      <c r="I7854">
        <f>IF(H7854="UNPAID", AsOfDate-D7854, 0)</f>
        <v/>
      </c>
      <c r="J7854">
        <f>IF(F7854&lt;&gt;"", TEXT(F7854, "yyyy-mm"), "")</f>
        <v/>
      </c>
    </row>
    <row r="7855">
      <c r="A7855" t="inlineStr">
        <is>
          <t>RP0007854</t>
        </is>
      </c>
      <c r="B7855" t="inlineStr">
        <is>
          <t>LN201116</t>
        </is>
      </c>
      <c r="C7855" t="n">
        <v>9</v>
      </c>
      <c r="D7855" s="8" t="n">
        <v>46295</v>
      </c>
      <c r="E7855" s="9" t="n">
        <v>16279.08</v>
      </c>
      <c r="F7855" s="8" t="n"/>
      <c r="G7855" s="9" t="n">
        <v>0</v>
      </c>
      <c r="H7855" t="inlineStr">
        <is>
          <t>NOT_DUE</t>
        </is>
      </c>
      <c r="I7855">
        <f>IF(H7855="UNPAID", AsOfDate-D7855, 0)</f>
        <v/>
      </c>
      <c r="J7855">
        <f>IF(F7855&lt;&gt;"", TEXT(F7855, "yyyy-mm"), "")</f>
        <v/>
      </c>
    </row>
    <row r="7856">
      <c r="A7856" t="inlineStr">
        <is>
          <t>RP0007855</t>
        </is>
      </c>
      <c r="B7856" t="inlineStr">
        <is>
          <t>LN201117</t>
        </is>
      </c>
      <c r="C7856" t="n">
        <v>1</v>
      </c>
      <c r="D7856" s="8" t="n">
        <v>45716</v>
      </c>
      <c r="E7856" s="9" t="n">
        <v>24477.25</v>
      </c>
      <c r="F7856" s="8" t="n">
        <v>45715</v>
      </c>
      <c r="G7856" s="9" t="n">
        <v>24477.25</v>
      </c>
      <c r="H7856" t="inlineStr">
        <is>
          <t>PAID_ON_TIME</t>
        </is>
      </c>
      <c r="I7856">
        <f>IF(H7856="UNPAID", AsOfDate-D7856, 0)</f>
        <v/>
      </c>
      <c r="J7856">
        <f>IF(F7856&lt;&gt;"", TEXT(F7856, "yyyy-mm"), "")</f>
        <v/>
      </c>
    </row>
    <row r="7857">
      <c r="A7857" t="inlineStr">
        <is>
          <t>RP0007856</t>
        </is>
      </c>
      <c r="B7857" t="inlineStr">
        <is>
          <t>LN201117</t>
        </is>
      </c>
      <c r="C7857" t="n">
        <v>2</v>
      </c>
      <c r="D7857" s="8" t="n">
        <v>45747</v>
      </c>
      <c r="E7857" s="9" t="n">
        <v>24477.25</v>
      </c>
      <c r="F7857" s="8" t="n">
        <v>45747</v>
      </c>
      <c r="G7857" s="9" t="n">
        <v>24477.25</v>
      </c>
      <c r="H7857" t="inlineStr">
        <is>
          <t>PAID_ON_TIME</t>
        </is>
      </c>
      <c r="I7857">
        <f>IF(H7857="UNPAID", AsOfDate-D7857, 0)</f>
        <v/>
      </c>
      <c r="J7857">
        <f>IF(F7857&lt;&gt;"", TEXT(F7857, "yyyy-mm"), "")</f>
        <v/>
      </c>
    </row>
    <row r="7858">
      <c r="A7858" t="inlineStr">
        <is>
          <t>RP0007857</t>
        </is>
      </c>
      <c r="B7858" t="inlineStr">
        <is>
          <t>LN201117</t>
        </is>
      </c>
      <c r="C7858" t="n">
        <v>3</v>
      </c>
      <c r="D7858" s="8" t="n">
        <v>45777</v>
      </c>
      <c r="E7858" s="9" t="n">
        <v>24477.25</v>
      </c>
      <c r="F7858" s="8" t="n">
        <v>45775</v>
      </c>
      <c r="G7858" s="9" t="n">
        <v>24477.25</v>
      </c>
      <c r="H7858" t="inlineStr">
        <is>
          <t>PAID_ON_TIME</t>
        </is>
      </c>
      <c r="I7858">
        <f>IF(H7858="UNPAID", AsOfDate-D7858, 0)</f>
        <v/>
      </c>
      <c r="J7858">
        <f>IF(F7858&lt;&gt;"", TEXT(F7858, "yyyy-mm"), "")</f>
        <v/>
      </c>
    </row>
    <row r="7859">
      <c r="A7859" t="inlineStr">
        <is>
          <t>RP0007858</t>
        </is>
      </c>
      <c r="B7859" t="inlineStr">
        <is>
          <t>LN201118</t>
        </is>
      </c>
      <c r="C7859" t="n">
        <v>1</v>
      </c>
      <c r="D7859" s="8" t="n">
        <v>45885</v>
      </c>
      <c r="E7859" s="9" t="n">
        <v>37010.42</v>
      </c>
      <c r="F7859" s="8" t="n">
        <v>45943</v>
      </c>
      <c r="G7859" s="9" t="n">
        <v>37010.42</v>
      </c>
      <c r="H7859" t="inlineStr">
        <is>
          <t>PAID_LATE</t>
        </is>
      </c>
      <c r="I7859">
        <f>IF(H7859="UNPAID", AsOfDate-D7859, 0)</f>
        <v/>
      </c>
      <c r="J7859">
        <f>IF(F7859&lt;&gt;"", TEXT(F7859, "yyyy-mm"), "")</f>
        <v/>
      </c>
    </row>
    <row r="7860">
      <c r="A7860" t="inlineStr">
        <is>
          <t>RP0007859</t>
        </is>
      </c>
      <c r="B7860" t="inlineStr">
        <is>
          <t>LN201118</t>
        </is>
      </c>
      <c r="C7860" t="n">
        <v>2</v>
      </c>
      <c r="D7860" s="8" t="n">
        <v>45916</v>
      </c>
      <c r="E7860" s="9" t="n">
        <v>37010.42</v>
      </c>
      <c r="F7860" s="8" t="n">
        <v>45920</v>
      </c>
      <c r="G7860" s="9" t="n">
        <v>37010.42</v>
      </c>
      <c r="H7860" t="inlineStr">
        <is>
          <t>PAID_ON_TIME</t>
        </is>
      </c>
      <c r="I7860">
        <f>IF(H7860="UNPAID", AsOfDate-D7860, 0)</f>
        <v/>
      </c>
      <c r="J7860">
        <f>IF(F7860&lt;&gt;"", TEXT(F7860, "yyyy-mm"), "")</f>
        <v/>
      </c>
    </row>
    <row r="7861">
      <c r="A7861" t="inlineStr">
        <is>
          <t>RP0007860</t>
        </is>
      </c>
      <c r="B7861" t="inlineStr">
        <is>
          <t>LN201118</t>
        </is>
      </c>
      <c r="C7861" t="n">
        <v>3</v>
      </c>
      <c r="D7861" s="8" t="n">
        <v>45946</v>
      </c>
      <c r="E7861" s="9" t="n">
        <v>37010.42</v>
      </c>
      <c r="F7861" s="8" t="n">
        <v>45949</v>
      </c>
      <c r="G7861" s="9" t="n">
        <v>37010.42</v>
      </c>
      <c r="H7861" t="inlineStr">
        <is>
          <t>PAID_ON_TIME</t>
        </is>
      </c>
      <c r="I7861">
        <f>IF(H7861="UNPAID", AsOfDate-D7861, 0)</f>
        <v/>
      </c>
      <c r="J7861">
        <f>IF(F7861&lt;&gt;"", TEXT(F7861, "yyyy-mm"), "")</f>
        <v/>
      </c>
    </row>
    <row r="7862">
      <c r="A7862" t="inlineStr">
        <is>
          <t>RP0007861</t>
        </is>
      </c>
      <c r="B7862" t="inlineStr">
        <is>
          <t>LN201118</t>
        </is>
      </c>
      <c r="C7862" t="n">
        <v>4</v>
      </c>
      <c r="D7862" s="8" t="n">
        <v>45977</v>
      </c>
      <c r="E7862" s="9" t="n">
        <v>37010.42</v>
      </c>
      <c r="F7862" s="8" t="n">
        <v>45977</v>
      </c>
      <c r="G7862" s="9" t="n">
        <v>37010.42</v>
      </c>
      <c r="H7862" t="inlineStr">
        <is>
          <t>PAID_ON_TIME</t>
        </is>
      </c>
      <c r="I7862">
        <f>IF(H7862="UNPAID", AsOfDate-D7862, 0)</f>
        <v/>
      </c>
      <c r="J7862">
        <f>IF(F7862&lt;&gt;"", TEXT(F7862, "yyyy-mm"), "")</f>
        <v/>
      </c>
    </row>
    <row r="7863">
      <c r="A7863" t="inlineStr">
        <is>
          <t>RP0007862</t>
        </is>
      </c>
      <c r="B7863" t="inlineStr">
        <is>
          <t>LN201118</t>
        </is>
      </c>
      <c r="C7863" t="n">
        <v>5</v>
      </c>
      <c r="D7863" s="8" t="n">
        <v>46007</v>
      </c>
      <c r="E7863" s="9" t="n">
        <v>37010.42</v>
      </c>
      <c r="F7863" s="8" t="n">
        <v>46063</v>
      </c>
      <c r="G7863" s="9" t="n">
        <v>37010.42</v>
      </c>
      <c r="H7863" t="inlineStr">
        <is>
          <t>PAID_LATE</t>
        </is>
      </c>
      <c r="I7863">
        <f>IF(H7863="UNPAID", AsOfDate-D7863, 0)</f>
        <v/>
      </c>
      <c r="J7863">
        <f>IF(F7863&lt;&gt;"", TEXT(F7863, "yyyy-mm"), "")</f>
        <v/>
      </c>
    </row>
    <row r="7864">
      <c r="A7864" t="inlineStr">
        <is>
          <t>RP0007863</t>
        </is>
      </c>
      <c r="B7864" t="inlineStr">
        <is>
          <t>LN201118</t>
        </is>
      </c>
      <c r="C7864" t="n">
        <v>6</v>
      </c>
      <c r="D7864" s="8" t="n">
        <v>46038</v>
      </c>
      <c r="E7864" s="9" t="n">
        <v>37010.42</v>
      </c>
      <c r="F7864" s="8" t="n">
        <v>46036</v>
      </c>
      <c r="G7864" s="9" t="n">
        <v>37010.42</v>
      </c>
      <c r="H7864" t="inlineStr">
        <is>
          <t>PAID_ON_TIME</t>
        </is>
      </c>
      <c r="I7864">
        <f>IF(H7864="UNPAID", AsOfDate-D7864, 0)</f>
        <v/>
      </c>
      <c r="J7864">
        <f>IF(F7864&lt;&gt;"", TEXT(F7864, "yyyy-mm"), "")</f>
        <v/>
      </c>
    </row>
    <row r="7865">
      <c r="A7865" t="inlineStr">
        <is>
          <t>RP0007864</t>
        </is>
      </c>
      <c r="B7865" t="inlineStr">
        <is>
          <t>LN201119</t>
        </is>
      </c>
      <c r="C7865" t="n">
        <v>1</v>
      </c>
      <c r="D7865" s="8" t="n">
        <v>46016</v>
      </c>
      <c r="E7865" s="9" t="n">
        <v>22464</v>
      </c>
      <c r="F7865" s="8" t="n">
        <v>46019</v>
      </c>
      <c r="G7865" s="9" t="n">
        <v>22464</v>
      </c>
      <c r="H7865" t="inlineStr">
        <is>
          <t>PAID_ON_TIME</t>
        </is>
      </c>
      <c r="I7865">
        <f>IF(H7865="UNPAID", AsOfDate-D7865, 0)</f>
        <v/>
      </c>
      <c r="J7865">
        <f>IF(F7865&lt;&gt;"", TEXT(F7865, "yyyy-mm"), "")</f>
        <v/>
      </c>
    </row>
    <row r="7866">
      <c r="A7866" t="inlineStr">
        <is>
          <t>RP0007865</t>
        </is>
      </c>
      <c r="B7866" t="inlineStr">
        <is>
          <t>LN201119</t>
        </is>
      </c>
      <c r="C7866" t="n">
        <v>2</v>
      </c>
      <c r="D7866" s="8" t="n">
        <v>46047</v>
      </c>
      <c r="E7866" s="9" t="n">
        <v>22464</v>
      </c>
      <c r="F7866" s="8" t="n">
        <v>46045</v>
      </c>
      <c r="G7866" s="9" t="n">
        <v>22464</v>
      </c>
      <c r="H7866" t="inlineStr">
        <is>
          <t>PAID_ON_TIME</t>
        </is>
      </c>
      <c r="I7866">
        <f>IF(H7866="UNPAID", AsOfDate-D7866, 0)</f>
        <v/>
      </c>
      <c r="J7866">
        <f>IF(F7866&lt;&gt;"", TEXT(F7866, "yyyy-mm"), "")</f>
        <v/>
      </c>
    </row>
    <row r="7867">
      <c r="A7867" t="inlineStr">
        <is>
          <t>RP0007866</t>
        </is>
      </c>
      <c r="B7867" t="inlineStr">
        <is>
          <t>LN201119</t>
        </is>
      </c>
      <c r="C7867" t="n">
        <v>3</v>
      </c>
      <c r="D7867" s="8" t="n">
        <v>46078</v>
      </c>
      <c r="E7867" s="9" t="n">
        <v>22464</v>
      </c>
      <c r="F7867" s="8" t="n">
        <v>46076</v>
      </c>
      <c r="G7867" s="9" t="n">
        <v>22464</v>
      </c>
      <c r="H7867" t="inlineStr">
        <is>
          <t>PAID_ON_TIME</t>
        </is>
      </c>
      <c r="I7867">
        <f>IF(H7867="UNPAID", AsOfDate-D7867, 0)</f>
        <v/>
      </c>
      <c r="J7867">
        <f>IF(F7867&lt;&gt;"", TEXT(F7867, "yyyy-mm"), "")</f>
        <v/>
      </c>
    </row>
    <row r="7868">
      <c r="A7868" t="inlineStr">
        <is>
          <t>RP0007867</t>
        </is>
      </c>
      <c r="B7868" t="inlineStr">
        <is>
          <t>LN201120</t>
        </is>
      </c>
      <c r="C7868" t="n">
        <v>1</v>
      </c>
      <c r="D7868" s="8" t="n">
        <v>46220</v>
      </c>
      <c r="E7868" s="9" t="n">
        <v>4967.08</v>
      </c>
      <c r="F7868" s="8" t="n">
        <v>46220</v>
      </c>
      <c r="G7868" s="9" t="n">
        <v>4967.08</v>
      </c>
      <c r="H7868" t="inlineStr">
        <is>
          <t>PAID_ON_TIME</t>
        </is>
      </c>
      <c r="I7868">
        <f>IF(H7868="UNPAID", AsOfDate-D7868, 0)</f>
        <v/>
      </c>
      <c r="J7868">
        <f>IF(F7868&lt;&gt;"", TEXT(F7868, "yyyy-mm"), "")</f>
        <v/>
      </c>
    </row>
    <row r="7869">
      <c r="A7869" t="inlineStr">
        <is>
          <t>RP0007868</t>
        </is>
      </c>
      <c r="B7869" t="inlineStr">
        <is>
          <t>LN201120</t>
        </is>
      </c>
      <c r="C7869" t="n">
        <v>2</v>
      </c>
      <c r="D7869" s="8" t="n">
        <v>46251</v>
      </c>
      <c r="E7869" s="9" t="n">
        <v>4967.08</v>
      </c>
      <c r="F7869" s="8" t="n">
        <v>46249</v>
      </c>
      <c r="G7869" s="9" t="n">
        <v>4967.08</v>
      </c>
      <c r="H7869" t="inlineStr">
        <is>
          <t>PAID_ON_TIME</t>
        </is>
      </c>
      <c r="I7869">
        <f>IF(H7869="UNPAID", AsOfDate-D7869, 0)</f>
        <v/>
      </c>
      <c r="J7869">
        <f>IF(F7869&lt;&gt;"", TEXT(F7869, "yyyy-mm"), "")</f>
        <v/>
      </c>
    </row>
    <row r="7870">
      <c r="A7870" t="inlineStr">
        <is>
          <t>RP0007869</t>
        </is>
      </c>
      <c r="B7870" t="inlineStr">
        <is>
          <t>LN201120</t>
        </is>
      </c>
      <c r="C7870" t="n">
        <v>3</v>
      </c>
      <c r="D7870" s="8" t="n">
        <v>46282</v>
      </c>
      <c r="E7870" s="9" t="n">
        <v>4967.08</v>
      </c>
      <c r="F7870" s="8" t="n"/>
      <c r="G7870" s="9" t="n">
        <v>0</v>
      </c>
      <c r="H7870" t="inlineStr">
        <is>
          <t>NOT_DUE</t>
        </is>
      </c>
      <c r="I7870">
        <f>IF(H7870="UNPAID", AsOfDate-D7870, 0)</f>
        <v/>
      </c>
      <c r="J7870">
        <f>IF(F7870&lt;&gt;"", TEXT(F7870, "yyyy-mm"), "")</f>
        <v/>
      </c>
    </row>
    <row r="7871">
      <c r="A7871" t="inlineStr">
        <is>
          <t>RP0007870</t>
        </is>
      </c>
      <c r="B7871" t="inlineStr">
        <is>
          <t>LN201120</t>
        </is>
      </c>
      <c r="C7871" t="n">
        <v>4</v>
      </c>
      <c r="D7871" s="8" t="n">
        <v>46312</v>
      </c>
      <c r="E7871" s="9" t="n">
        <v>4967.08</v>
      </c>
      <c r="F7871" s="8" t="n"/>
      <c r="G7871" s="9" t="n">
        <v>0</v>
      </c>
      <c r="H7871" t="inlineStr">
        <is>
          <t>NOT_DUE</t>
        </is>
      </c>
      <c r="I7871">
        <f>IF(H7871="UNPAID", AsOfDate-D7871, 0)</f>
        <v/>
      </c>
      <c r="J7871">
        <f>IF(F7871&lt;&gt;"", TEXT(F7871, "yyyy-mm"), "")</f>
        <v/>
      </c>
    </row>
    <row r="7872">
      <c r="A7872" t="inlineStr">
        <is>
          <t>RP0007871</t>
        </is>
      </c>
      <c r="B7872" t="inlineStr">
        <is>
          <t>LN201120</t>
        </is>
      </c>
      <c r="C7872" t="n">
        <v>5</v>
      </c>
      <c r="D7872" s="8" t="n">
        <v>46343</v>
      </c>
      <c r="E7872" s="9" t="n">
        <v>4967.08</v>
      </c>
      <c r="F7872" s="8" t="n"/>
      <c r="G7872" s="9" t="n">
        <v>0</v>
      </c>
      <c r="H7872" t="inlineStr">
        <is>
          <t>NOT_DUE</t>
        </is>
      </c>
      <c r="I7872">
        <f>IF(H7872="UNPAID", AsOfDate-D7872, 0)</f>
        <v/>
      </c>
      <c r="J7872">
        <f>IF(F7872&lt;&gt;"", TEXT(F7872, "yyyy-mm"), "")</f>
        <v/>
      </c>
    </row>
    <row r="7873">
      <c r="A7873" t="inlineStr">
        <is>
          <t>RP0007872</t>
        </is>
      </c>
      <c r="B7873" t="inlineStr">
        <is>
          <t>LN201120</t>
        </is>
      </c>
      <c r="C7873" t="n">
        <v>6</v>
      </c>
      <c r="D7873" s="8" t="n">
        <v>46373</v>
      </c>
      <c r="E7873" s="9" t="n">
        <v>4967.08</v>
      </c>
      <c r="F7873" s="8" t="n"/>
      <c r="G7873" s="9" t="n">
        <v>0</v>
      </c>
      <c r="H7873" t="inlineStr">
        <is>
          <t>NOT_DUE</t>
        </is>
      </c>
      <c r="I7873">
        <f>IF(H7873="UNPAID", AsOfDate-D7873, 0)</f>
        <v/>
      </c>
      <c r="J7873">
        <f>IF(F7873&lt;&gt;"", TEXT(F7873, "yyyy-mm"), "")</f>
        <v/>
      </c>
    </row>
    <row r="7874">
      <c r="A7874" t="inlineStr">
        <is>
          <t>RP0007873</t>
        </is>
      </c>
      <c r="B7874" t="inlineStr">
        <is>
          <t>LN201120</t>
        </is>
      </c>
      <c r="C7874" t="n">
        <v>7</v>
      </c>
      <c r="D7874" s="8" t="n">
        <v>46404</v>
      </c>
      <c r="E7874" s="9" t="n">
        <v>4967.08</v>
      </c>
      <c r="F7874" s="8" t="n"/>
      <c r="G7874" s="9" t="n">
        <v>0</v>
      </c>
      <c r="H7874" t="inlineStr">
        <is>
          <t>NOT_DUE</t>
        </is>
      </c>
      <c r="I7874">
        <f>IF(H7874="UNPAID", AsOfDate-D7874, 0)</f>
        <v/>
      </c>
      <c r="J7874">
        <f>IF(F7874&lt;&gt;"", TEXT(F7874, "yyyy-mm"), "")</f>
        <v/>
      </c>
    </row>
    <row r="7875">
      <c r="A7875" t="inlineStr">
        <is>
          <t>RP0007874</t>
        </is>
      </c>
      <c r="B7875" t="inlineStr">
        <is>
          <t>LN201120</t>
        </is>
      </c>
      <c r="C7875" t="n">
        <v>8</v>
      </c>
      <c r="D7875" s="8" t="n">
        <v>46435</v>
      </c>
      <c r="E7875" s="9" t="n">
        <v>4967.08</v>
      </c>
      <c r="F7875" s="8" t="n"/>
      <c r="G7875" s="9" t="n">
        <v>0</v>
      </c>
      <c r="H7875" t="inlineStr">
        <is>
          <t>NOT_DUE</t>
        </is>
      </c>
      <c r="I7875">
        <f>IF(H7875="UNPAID", AsOfDate-D7875, 0)</f>
        <v/>
      </c>
      <c r="J7875">
        <f>IF(F7875&lt;&gt;"", TEXT(F7875, "yyyy-mm"), "")</f>
        <v/>
      </c>
    </row>
    <row r="7876">
      <c r="A7876" t="inlineStr">
        <is>
          <t>RP0007875</t>
        </is>
      </c>
      <c r="B7876" t="inlineStr">
        <is>
          <t>LN201120</t>
        </is>
      </c>
      <c r="C7876" t="n">
        <v>9</v>
      </c>
      <c r="D7876" s="8" t="n">
        <v>46463</v>
      </c>
      <c r="E7876" s="9" t="n">
        <v>4967.08</v>
      </c>
      <c r="F7876" s="8" t="n"/>
      <c r="G7876" s="9" t="n">
        <v>0</v>
      </c>
      <c r="H7876" t="inlineStr">
        <is>
          <t>NOT_DUE</t>
        </is>
      </c>
      <c r="I7876">
        <f>IF(H7876="UNPAID", AsOfDate-D7876, 0)</f>
        <v/>
      </c>
      <c r="J7876">
        <f>IF(F7876&lt;&gt;"", TEXT(F7876, "yyyy-mm"), "")</f>
        <v/>
      </c>
    </row>
    <row r="7877">
      <c r="A7877" t="inlineStr">
        <is>
          <t>RP0007876</t>
        </is>
      </c>
      <c r="B7877" t="inlineStr">
        <is>
          <t>LN201122</t>
        </is>
      </c>
      <c r="C7877" t="n">
        <v>1</v>
      </c>
      <c r="D7877" s="8" t="n">
        <v>46223</v>
      </c>
      <c r="E7877" s="9" t="n">
        <v>33052.08</v>
      </c>
      <c r="F7877" s="8" t="n">
        <v>46226</v>
      </c>
      <c r="G7877" s="9" t="n">
        <v>33052.08</v>
      </c>
      <c r="H7877" t="inlineStr">
        <is>
          <t>PAID_ON_TIME</t>
        </is>
      </c>
      <c r="I7877">
        <f>IF(H7877="UNPAID", AsOfDate-D7877, 0)</f>
        <v/>
      </c>
      <c r="J7877">
        <f>IF(F7877&lt;&gt;"", TEXT(F7877, "yyyy-mm"), "")</f>
        <v/>
      </c>
    </row>
    <row r="7878">
      <c r="A7878" t="inlineStr">
        <is>
          <t>RP0007877</t>
        </is>
      </c>
      <c r="B7878" t="inlineStr">
        <is>
          <t>LN201122</t>
        </is>
      </c>
      <c r="C7878" t="n">
        <v>2</v>
      </c>
      <c r="D7878" s="8" t="n">
        <v>46254</v>
      </c>
      <c r="E7878" s="9" t="n">
        <v>33052.08</v>
      </c>
      <c r="F7878" s="8" t="n">
        <v>46252</v>
      </c>
      <c r="G7878" s="9" t="n">
        <v>33052.08</v>
      </c>
      <c r="H7878" t="inlineStr">
        <is>
          <t>PAID_ON_TIME</t>
        </is>
      </c>
      <c r="I7878">
        <f>IF(H7878="UNPAID", AsOfDate-D7878, 0)</f>
        <v/>
      </c>
      <c r="J7878">
        <f>IF(F7878&lt;&gt;"", TEXT(F7878, "yyyy-mm"), "")</f>
        <v/>
      </c>
    </row>
    <row r="7879">
      <c r="A7879" t="inlineStr">
        <is>
          <t>RP0007878</t>
        </is>
      </c>
      <c r="B7879" t="inlineStr">
        <is>
          <t>LN201122</t>
        </is>
      </c>
      <c r="C7879" t="n">
        <v>3</v>
      </c>
      <c r="D7879" s="8" t="n">
        <v>46285</v>
      </c>
      <c r="E7879" s="9" t="n">
        <v>33052.08</v>
      </c>
      <c r="F7879" s="8" t="n"/>
      <c r="G7879" s="9" t="n">
        <v>0</v>
      </c>
      <c r="H7879" t="inlineStr">
        <is>
          <t>NOT_DUE</t>
        </is>
      </c>
      <c r="I7879">
        <f>IF(H7879="UNPAID", AsOfDate-D7879, 0)</f>
        <v/>
      </c>
      <c r="J7879">
        <f>IF(F7879&lt;&gt;"", TEXT(F7879, "yyyy-mm"), "")</f>
        <v/>
      </c>
    </row>
    <row r="7880">
      <c r="A7880" t="inlineStr">
        <is>
          <t>RP0007879</t>
        </is>
      </c>
      <c r="B7880" t="inlineStr">
        <is>
          <t>LN201124</t>
        </is>
      </c>
      <c r="C7880" t="n">
        <v>1</v>
      </c>
      <c r="D7880" s="8" t="n">
        <v>45947</v>
      </c>
      <c r="E7880" s="9" t="n">
        <v>15026.5</v>
      </c>
      <c r="F7880" s="8" t="n">
        <v>45944</v>
      </c>
      <c r="G7880" s="9" t="n">
        <v>15026.5</v>
      </c>
      <c r="H7880" t="inlineStr">
        <is>
          <t>PAID_ON_TIME</t>
        </is>
      </c>
      <c r="I7880">
        <f>IF(H7880="UNPAID", AsOfDate-D7880, 0)</f>
        <v/>
      </c>
      <c r="J7880">
        <f>IF(F7880&lt;&gt;"", TEXT(F7880, "yyyy-mm"), "")</f>
        <v/>
      </c>
    </row>
    <row r="7881">
      <c r="A7881" t="inlineStr">
        <is>
          <t>RP0007880</t>
        </is>
      </c>
      <c r="B7881" t="inlineStr">
        <is>
          <t>LN201124</t>
        </is>
      </c>
      <c r="C7881" t="n">
        <v>2</v>
      </c>
      <c r="D7881" s="8" t="n">
        <v>45978</v>
      </c>
      <c r="E7881" s="9" t="n">
        <v>15026.5</v>
      </c>
      <c r="F7881" s="8" t="n">
        <v>45976</v>
      </c>
      <c r="G7881" s="9" t="n">
        <v>15026.5</v>
      </c>
      <c r="H7881" t="inlineStr">
        <is>
          <t>PAID_ON_TIME</t>
        </is>
      </c>
      <c r="I7881">
        <f>IF(H7881="UNPAID", AsOfDate-D7881, 0)</f>
        <v/>
      </c>
      <c r="J7881">
        <f>IF(F7881&lt;&gt;"", TEXT(F7881, "yyyy-mm"), "")</f>
        <v/>
      </c>
    </row>
    <row r="7882">
      <c r="A7882" t="inlineStr">
        <is>
          <t>RP0007881</t>
        </is>
      </c>
      <c r="B7882" t="inlineStr">
        <is>
          <t>LN201124</t>
        </is>
      </c>
      <c r="C7882" t="n">
        <v>3</v>
      </c>
      <c r="D7882" s="8" t="n">
        <v>46008</v>
      </c>
      <c r="E7882" s="9" t="n">
        <v>15026.5</v>
      </c>
      <c r="F7882" s="8" t="n">
        <v>46012</v>
      </c>
      <c r="G7882" s="9" t="n">
        <v>15026.5</v>
      </c>
      <c r="H7882" t="inlineStr">
        <is>
          <t>PAID_ON_TIME</t>
        </is>
      </c>
      <c r="I7882">
        <f>IF(H7882="UNPAID", AsOfDate-D7882, 0)</f>
        <v/>
      </c>
      <c r="J7882">
        <f>IF(F7882&lt;&gt;"", TEXT(F7882, "yyyy-mm"), "")</f>
        <v/>
      </c>
    </row>
    <row r="7883">
      <c r="A7883" t="inlineStr">
        <is>
          <t>RP0007882</t>
        </is>
      </c>
      <c r="B7883" t="inlineStr">
        <is>
          <t>LN201124</t>
        </is>
      </c>
      <c r="C7883" t="n">
        <v>4</v>
      </c>
      <c r="D7883" s="8" t="n">
        <v>46039</v>
      </c>
      <c r="E7883" s="9" t="n">
        <v>15026.5</v>
      </c>
      <c r="F7883" s="8" t="n">
        <v>46042</v>
      </c>
      <c r="G7883" s="9" t="n">
        <v>15026.5</v>
      </c>
      <c r="H7883" t="inlineStr">
        <is>
          <t>PAID_ON_TIME</t>
        </is>
      </c>
      <c r="I7883">
        <f>IF(H7883="UNPAID", AsOfDate-D7883, 0)</f>
        <v/>
      </c>
      <c r="J7883">
        <f>IF(F7883&lt;&gt;"", TEXT(F7883, "yyyy-mm"), "")</f>
        <v/>
      </c>
    </row>
    <row r="7884">
      <c r="A7884" t="inlineStr">
        <is>
          <t>RP0007883</t>
        </is>
      </c>
      <c r="B7884" t="inlineStr">
        <is>
          <t>LN201124</t>
        </is>
      </c>
      <c r="C7884" t="n">
        <v>5</v>
      </c>
      <c r="D7884" s="8" t="n">
        <v>46070</v>
      </c>
      <c r="E7884" s="9" t="n">
        <v>15026.5</v>
      </c>
      <c r="F7884" s="8" t="n">
        <v>46074</v>
      </c>
      <c r="G7884" s="9" t="n">
        <v>15026.5</v>
      </c>
      <c r="H7884" t="inlineStr">
        <is>
          <t>PAID_ON_TIME</t>
        </is>
      </c>
      <c r="I7884">
        <f>IF(H7884="UNPAID", AsOfDate-D7884, 0)</f>
        <v/>
      </c>
      <c r="J7884">
        <f>IF(F7884&lt;&gt;"", TEXT(F7884, "yyyy-mm"), "")</f>
        <v/>
      </c>
    </row>
    <row r="7885">
      <c r="A7885" t="inlineStr">
        <is>
          <t>RP0007884</t>
        </is>
      </c>
      <c r="B7885" t="inlineStr">
        <is>
          <t>LN201124</t>
        </is>
      </c>
      <c r="C7885" t="n">
        <v>6</v>
      </c>
      <c r="D7885" s="8" t="n">
        <v>46098</v>
      </c>
      <c r="E7885" s="9" t="n">
        <v>15026.5</v>
      </c>
      <c r="F7885" s="8" t="n">
        <v>46101</v>
      </c>
      <c r="G7885" s="9" t="n">
        <v>15026.5</v>
      </c>
      <c r="H7885" t="inlineStr">
        <is>
          <t>PAID_ON_TIME</t>
        </is>
      </c>
      <c r="I7885">
        <f>IF(H7885="UNPAID", AsOfDate-D7885, 0)</f>
        <v/>
      </c>
      <c r="J7885">
        <f>IF(F7885&lt;&gt;"", TEXT(F7885, "yyyy-mm"), "")</f>
        <v/>
      </c>
    </row>
    <row r="7886">
      <c r="A7886" t="inlineStr">
        <is>
          <t>RP0007885</t>
        </is>
      </c>
      <c r="B7886" t="inlineStr">
        <is>
          <t>LN201125</t>
        </is>
      </c>
      <c r="C7886" t="n">
        <v>1</v>
      </c>
      <c r="D7886" s="8" t="n">
        <v>45891</v>
      </c>
      <c r="E7886" s="9" t="n">
        <v>46526</v>
      </c>
      <c r="F7886" s="8" t="n">
        <v>45889</v>
      </c>
      <c r="G7886" s="9" t="n">
        <v>46526</v>
      </c>
      <c r="H7886" t="inlineStr">
        <is>
          <t>PAID_ON_TIME</t>
        </is>
      </c>
      <c r="I7886">
        <f>IF(H7886="UNPAID", AsOfDate-D7886, 0)</f>
        <v/>
      </c>
      <c r="J7886">
        <f>IF(F7886&lt;&gt;"", TEXT(F7886, "yyyy-mm"), "")</f>
        <v/>
      </c>
    </row>
    <row r="7887">
      <c r="A7887" t="inlineStr">
        <is>
          <t>RP0007886</t>
        </is>
      </c>
      <c r="B7887" t="inlineStr">
        <is>
          <t>LN201125</t>
        </is>
      </c>
      <c r="C7887" t="n">
        <v>2</v>
      </c>
      <c r="D7887" s="8" t="n">
        <v>45922</v>
      </c>
      <c r="E7887" s="9" t="n">
        <v>46526</v>
      </c>
      <c r="F7887" s="8" t="n">
        <v>45922</v>
      </c>
      <c r="G7887" s="9" t="n">
        <v>46526</v>
      </c>
      <c r="H7887" t="inlineStr">
        <is>
          <t>PAID_ON_TIME</t>
        </is>
      </c>
      <c r="I7887">
        <f>IF(H7887="UNPAID", AsOfDate-D7887, 0)</f>
        <v/>
      </c>
      <c r="J7887">
        <f>IF(F7887&lt;&gt;"", TEXT(F7887, "yyyy-mm"), "")</f>
        <v/>
      </c>
    </row>
    <row r="7888">
      <c r="A7888" t="inlineStr">
        <is>
          <t>RP0007887</t>
        </is>
      </c>
      <c r="B7888" t="inlineStr">
        <is>
          <t>LN201125</t>
        </is>
      </c>
      <c r="C7888" t="n">
        <v>3</v>
      </c>
      <c r="D7888" s="8" t="n">
        <v>45952</v>
      </c>
      <c r="E7888" s="9" t="n">
        <v>46526</v>
      </c>
      <c r="F7888" s="8" t="n">
        <v>45951</v>
      </c>
      <c r="G7888" s="9" t="n">
        <v>46526</v>
      </c>
      <c r="H7888" t="inlineStr">
        <is>
          <t>PAID_ON_TIME</t>
        </is>
      </c>
      <c r="I7888">
        <f>IF(H7888="UNPAID", AsOfDate-D7888, 0)</f>
        <v/>
      </c>
      <c r="J7888">
        <f>IF(F7888&lt;&gt;"", TEXT(F7888, "yyyy-mm"), "")</f>
        <v/>
      </c>
    </row>
    <row r="7889">
      <c r="A7889" t="inlineStr">
        <is>
          <t>RP0007888</t>
        </is>
      </c>
      <c r="B7889" t="inlineStr">
        <is>
          <t>LN201125</t>
        </is>
      </c>
      <c r="C7889" t="n">
        <v>4</v>
      </c>
      <c r="D7889" s="8" t="n">
        <v>45983</v>
      </c>
      <c r="E7889" s="9" t="n">
        <v>46526</v>
      </c>
      <c r="F7889" s="8" t="n">
        <v>45983</v>
      </c>
      <c r="G7889" s="9" t="n">
        <v>46526</v>
      </c>
      <c r="H7889" t="inlineStr">
        <is>
          <t>PAID_ON_TIME</t>
        </is>
      </c>
      <c r="I7889">
        <f>IF(H7889="UNPAID", AsOfDate-D7889, 0)</f>
        <v/>
      </c>
      <c r="J7889">
        <f>IF(F7889&lt;&gt;"", TEXT(F7889, "yyyy-mm"), "")</f>
        <v/>
      </c>
    </row>
    <row r="7890">
      <c r="A7890" t="inlineStr">
        <is>
          <t>RP0007889</t>
        </is>
      </c>
      <c r="B7890" t="inlineStr">
        <is>
          <t>LN201125</t>
        </is>
      </c>
      <c r="C7890" t="n">
        <v>5</v>
      </c>
      <c r="D7890" s="8" t="n">
        <v>46013</v>
      </c>
      <c r="E7890" s="9" t="n">
        <v>46526</v>
      </c>
      <c r="F7890" s="8" t="n">
        <v>46013</v>
      </c>
      <c r="G7890" s="9" t="n">
        <v>46526</v>
      </c>
      <c r="H7890" t="inlineStr">
        <is>
          <t>PAID_ON_TIME</t>
        </is>
      </c>
      <c r="I7890">
        <f>IF(H7890="UNPAID", AsOfDate-D7890, 0)</f>
        <v/>
      </c>
      <c r="J7890">
        <f>IF(F7890&lt;&gt;"", TEXT(F7890, "yyyy-mm"), "")</f>
        <v/>
      </c>
    </row>
    <row r="7891">
      <c r="A7891" t="inlineStr">
        <is>
          <t>RP0007890</t>
        </is>
      </c>
      <c r="B7891" t="inlineStr">
        <is>
          <t>LN201125</t>
        </is>
      </c>
      <c r="C7891" t="n">
        <v>6</v>
      </c>
      <c r="D7891" s="8" t="n">
        <v>46044</v>
      </c>
      <c r="E7891" s="9" t="n">
        <v>46526</v>
      </c>
      <c r="F7891" s="8" t="n"/>
      <c r="G7891" s="9" t="n">
        <v>0</v>
      </c>
      <c r="H7891" t="inlineStr">
        <is>
          <t>UNPAID</t>
        </is>
      </c>
      <c r="I7891">
        <f>IF(H7891="UNPAID", AsOfDate-D7891, 0)</f>
        <v/>
      </c>
      <c r="J7891">
        <f>IF(F7891&lt;&gt;"", TEXT(F7891, "yyyy-mm"), "")</f>
        <v/>
      </c>
    </row>
    <row r="7892">
      <c r="A7892" t="inlineStr">
        <is>
          <t>RP0007891</t>
        </is>
      </c>
      <c r="B7892" t="inlineStr">
        <is>
          <t>LN201126</t>
        </is>
      </c>
      <c r="C7892" t="n">
        <v>1</v>
      </c>
      <c r="D7892" s="8" t="n">
        <v>46176</v>
      </c>
      <c r="E7892" s="9" t="n">
        <v>73554</v>
      </c>
      <c r="F7892" s="8" t="n">
        <v>46174</v>
      </c>
      <c r="G7892" s="9" t="n">
        <v>73554</v>
      </c>
      <c r="H7892" t="inlineStr">
        <is>
          <t>PAID_ON_TIME</t>
        </is>
      </c>
      <c r="I7892">
        <f>IF(H7892="UNPAID", AsOfDate-D7892, 0)</f>
        <v/>
      </c>
      <c r="J7892">
        <f>IF(F7892&lt;&gt;"", TEXT(F7892, "yyyy-mm"), "")</f>
        <v/>
      </c>
    </row>
    <row r="7893">
      <c r="A7893" t="inlineStr">
        <is>
          <t>RP0007892</t>
        </is>
      </c>
      <c r="B7893" t="inlineStr">
        <is>
          <t>LN201126</t>
        </is>
      </c>
      <c r="C7893" t="n">
        <v>2</v>
      </c>
      <c r="D7893" s="8" t="n">
        <v>46206</v>
      </c>
      <c r="E7893" s="9" t="n">
        <v>73554</v>
      </c>
      <c r="F7893" s="8" t="n">
        <v>46210</v>
      </c>
      <c r="G7893" s="9" t="n">
        <v>73554</v>
      </c>
      <c r="H7893" t="inlineStr">
        <is>
          <t>PAID_ON_TIME</t>
        </is>
      </c>
      <c r="I7893">
        <f>IF(H7893="UNPAID", AsOfDate-D7893, 0)</f>
        <v/>
      </c>
      <c r="J7893">
        <f>IF(F7893&lt;&gt;"", TEXT(F7893, "yyyy-mm"), "")</f>
        <v/>
      </c>
    </row>
    <row r="7894">
      <c r="A7894" t="inlineStr">
        <is>
          <t>RP0007893</t>
        </is>
      </c>
      <c r="B7894" t="inlineStr">
        <is>
          <t>LN201126</t>
        </is>
      </c>
      <c r="C7894" t="n">
        <v>3</v>
      </c>
      <c r="D7894" s="8" t="n">
        <v>46237</v>
      </c>
      <c r="E7894" s="9" t="n">
        <v>73554</v>
      </c>
      <c r="F7894" s="8" t="n">
        <v>46237</v>
      </c>
      <c r="G7894" s="9" t="n">
        <v>73554</v>
      </c>
      <c r="H7894" t="inlineStr">
        <is>
          <t>PAID_ON_TIME</t>
        </is>
      </c>
      <c r="I7894">
        <f>IF(H7894="UNPAID", AsOfDate-D7894, 0)</f>
        <v/>
      </c>
      <c r="J7894">
        <f>IF(F7894&lt;&gt;"", TEXT(F7894, "yyyy-mm"), "")</f>
        <v/>
      </c>
    </row>
    <row r="7895">
      <c r="A7895" t="inlineStr">
        <is>
          <t>RP0007894</t>
        </is>
      </c>
      <c r="B7895" t="inlineStr">
        <is>
          <t>LN201126</t>
        </is>
      </c>
      <c r="C7895" t="n">
        <v>4</v>
      </c>
      <c r="D7895" s="8" t="n">
        <v>46268</v>
      </c>
      <c r="E7895" s="9" t="n">
        <v>73554</v>
      </c>
      <c r="F7895" s="8" t="n"/>
      <c r="G7895" s="9" t="n">
        <v>0</v>
      </c>
      <c r="H7895" t="inlineStr">
        <is>
          <t>NOT_DUE</t>
        </is>
      </c>
      <c r="I7895">
        <f>IF(H7895="UNPAID", AsOfDate-D7895, 0)</f>
        <v/>
      </c>
      <c r="J7895">
        <f>IF(F7895&lt;&gt;"", TEXT(F7895, "yyyy-mm"), "")</f>
        <v/>
      </c>
    </row>
    <row r="7896">
      <c r="A7896" t="inlineStr">
        <is>
          <t>RP0007895</t>
        </is>
      </c>
      <c r="B7896" t="inlineStr">
        <is>
          <t>LN201126</t>
        </is>
      </c>
      <c r="C7896" t="n">
        <v>5</v>
      </c>
      <c r="D7896" s="8" t="n">
        <v>46298</v>
      </c>
      <c r="E7896" s="9" t="n">
        <v>73554</v>
      </c>
      <c r="F7896" s="8" t="n"/>
      <c r="G7896" s="9" t="n">
        <v>0</v>
      </c>
      <c r="H7896" t="inlineStr">
        <is>
          <t>NOT_DUE</t>
        </is>
      </c>
      <c r="I7896">
        <f>IF(H7896="UNPAID", AsOfDate-D7896, 0)</f>
        <v/>
      </c>
      <c r="J7896">
        <f>IF(F7896&lt;&gt;"", TEXT(F7896, "yyyy-mm"), "")</f>
        <v/>
      </c>
    </row>
    <row r="7897">
      <c r="A7897" t="inlineStr">
        <is>
          <t>RP0007896</t>
        </is>
      </c>
      <c r="B7897" t="inlineStr">
        <is>
          <t>LN201126</t>
        </is>
      </c>
      <c r="C7897" t="n">
        <v>6</v>
      </c>
      <c r="D7897" s="8" t="n">
        <v>46329</v>
      </c>
      <c r="E7897" s="9" t="n">
        <v>73554</v>
      </c>
      <c r="F7897" s="8" t="n"/>
      <c r="G7897" s="9" t="n">
        <v>0</v>
      </c>
      <c r="H7897" t="inlineStr">
        <is>
          <t>NOT_DUE</t>
        </is>
      </c>
      <c r="I7897">
        <f>IF(H7897="UNPAID", AsOfDate-D7897, 0)</f>
        <v/>
      </c>
      <c r="J7897">
        <f>IF(F7897&lt;&gt;"", TEXT(F7897, "yyyy-mm"), "")</f>
        <v/>
      </c>
    </row>
    <row r="7898">
      <c r="A7898" t="inlineStr">
        <is>
          <t>RP0007897</t>
        </is>
      </c>
      <c r="B7898" t="inlineStr">
        <is>
          <t>LN201127</t>
        </is>
      </c>
      <c r="C7898" t="n">
        <v>1</v>
      </c>
      <c r="D7898" s="8" t="n">
        <v>45898</v>
      </c>
      <c r="E7898" s="9" t="n">
        <v>20586.08</v>
      </c>
      <c r="F7898" s="8" t="n">
        <v>45898</v>
      </c>
      <c r="G7898" s="9" t="n">
        <v>20586.08</v>
      </c>
      <c r="H7898" t="inlineStr">
        <is>
          <t>PAID_ON_TIME</t>
        </is>
      </c>
      <c r="I7898">
        <f>IF(H7898="UNPAID", AsOfDate-D7898, 0)</f>
        <v/>
      </c>
      <c r="J7898">
        <f>IF(F7898&lt;&gt;"", TEXT(F7898, "yyyy-mm"), "")</f>
        <v/>
      </c>
    </row>
    <row r="7899">
      <c r="A7899" t="inlineStr">
        <is>
          <t>RP0007898</t>
        </is>
      </c>
      <c r="B7899" t="inlineStr">
        <is>
          <t>LN201127</t>
        </is>
      </c>
      <c r="C7899" t="n">
        <v>2</v>
      </c>
      <c r="D7899" s="8" t="n">
        <v>45929</v>
      </c>
      <c r="E7899" s="9" t="n">
        <v>20586.08</v>
      </c>
      <c r="F7899" s="8" t="n">
        <v>45926</v>
      </c>
      <c r="G7899" s="9" t="n">
        <v>20586.08</v>
      </c>
      <c r="H7899" t="inlineStr">
        <is>
          <t>PAID_ON_TIME</t>
        </is>
      </c>
      <c r="I7899">
        <f>IF(H7899="UNPAID", AsOfDate-D7899, 0)</f>
        <v/>
      </c>
      <c r="J7899">
        <f>IF(F7899&lt;&gt;"", TEXT(F7899, "yyyy-mm"), "")</f>
        <v/>
      </c>
    </row>
    <row r="7900">
      <c r="A7900" t="inlineStr">
        <is>
          <t>RP0007899</t>
        </is>
      </c>
      <c r="B7900" t="inlineStr">
        <is>
          <t>LN201127</t>
        </is>
      </c>
      <c r="C7900" t="n">
        <v>3</v>
      </c>
      <c r="D7900" s="8" t="n">
        <v>45959</v>
      </c>
      <c r="E7900" s="9" t="n">
        <v>20586.08</v>
      </c>
      <c r="F7900" s="8" t="n">
        <v>45962</v>
      </c>
      <c r="G7900" s="9" t="n">
        <v>20586.08</v>
      </c>
      <c r="H7900" t="inlineStr">
        <is>
          <t>PAID_ON_TIME</t>
        </is>
      </c>
      <c r="I7900">
        <f>IF(H7900="UNPAID", AsOfDate-D7900, 0)</f>
        <v/>
      </c>
      <c r="J7900">
        <f>IF(F7900&lt;&gt;"", TEXT(F7900, "yyyy-mm"), "")</f>
        <v/>
      </c>
    </row>
    <row r="7901">
      <c r="A7901" t="inlineStr">
        <is>
          <t>RP0007900</t>
        </is>
      </c>
      <c r="B7901" t="inlineStr">
        <is>
          <t>LN201128</t>
        </is>
      </c>
      <c r="C7901" t="n">
        <v>1</v>
      </c>
      <c r="D7901" s="8" t="n">
        <v>45843</v>
      </c>
      <c r="E7901" s="9" t="n">
        <v>7229.25</v>
      </c>
      <c r="F7901" s="8" t="n">
        <v>45840</v>
      </c>
      <c r="G7901" s="9" t="n">
        <v>7229.25</v>
      </c>
      <c r="H7901" t="inlineStr">
        <is>
          <t>PAID_ON_TIME</t>
        </is>
      </c>
      <c r="I7901">
        <f>IF(H7901="UNPAID", AsOfDate-D7901, 0)</f>
        <v/>
      </c>
      <c r="J7901">
        <f>IF(F7901&lt;&gt;"", TEXT(F7901, "yyyy-mm"), "")</f>
        <v/>
      </c>
    </row>
    <row r="7902">
      <c r="A7902" t="inlineStr">
        <is>
          <t>RP0007901</t>
        </is>
      </c>
      <c r="B7902" t="inlineStr">
        <is>
          <t>LN201128</t>
        </is>
      </c>
      <c r="C7902" t="n">
        <v>2</v>
      </c>
      <c r="D7902" s="8" t="n">
        <v>45874</v>
      </c>
      <c r="E7902" s="9" t="n">
        <v>7229.25</v>
      </c>
      <c r="F7902" s="8" t="n">
        <v>45871</v>
      </c>
      <c r="G7902" s="9" t="n">
        <v>7229.25</v>
      </c>
      <c r="H7902" t="inlineStr">
        <is>
          <t>PAID_ON_TIME</t>
        </is>
      </c>
      <c r="I7902">
        <f>IF(H7902="UNPAID", AsOfDate-D7902, 0)</f>
        <v/>
      </c>
      <c r="J7902">
        <f>IF(F7902&lt;&gt;"", TEXT(F7902, "yyyy-mm"), "")</f>
        <v/>
      </c>
    </row>
    <row r="7903">
      <c r="A7903" t="inlineStr">
        <is>
          <t>RP0007902</t>
        </is>
      </c>
      <c r="B7903" t="inlineStr">
        <is>
          <t>LN201128</t>
        </is>
      </c>
      <c r="C7903" t="n">
        <v>3</v>
      </c>
      <c r="D7903" s="8" t="n">
        <v>45905</v>
      </c>
      <c r="E7903" s="9" t="n">
        <v>7229.25</v>
      </c>
      <c r="F7903" s="8" t="n">
        <v>45905</v>
      </c>
      <c r="G7903" s="9" t="n">
        <v>7229.25</v>
      </c>
      <c r="H7903" t="inlineStr">
        <is>
          <t>PAID_ON_TIME</t>
        </is>
      </c>
      <c r="I7903">
        <f>IF(H7903="UNPAID", AsOfDate-D7903, 0)</f>
        <v/>
      </c>
      <c r="J7903">
        <f>IF(F7903&lt;&gt;"", TEXT(F7903, "yyyy-mm"), "")</f>
        <v/>
      </c>
    </row>
    <row r="7904">
      <c r="A7904" t="inlineStr">
        <is>
          <t>RP0007903</t>
        </is>
      </c>
      <c r="B7904" t="inlineStr">
        <is>
          <t>LN201129</t>
        </is>
      </c>
      <c r="C7904" t="n">
        <v>1</v>
      </c>
      <c r="D7904" s="8" t="n">
        <v>45986</v>
      </c>
      <c r="E7904" s="9" t="n">
        <v>2529.22</v>
      </c>
      <c r="F7904" s="8" t="n">
        <v>45983</v>
      </c>
      <c r="G7904" s="9" t="n">
        <v>2529.22</v>
      </c>
      <c r="H7904" t="inlineStr">
        <is>
          <t>PAID_ON_TIME</t>
        </is>
      </c>
      <c r="I7904">
        <f>IF(H7904="UNPAID", AsOfDate-D7904, 0)</f>
        <v/>
      </c>
      <c r="J7904">
        <f>IF(F7904&lt;&gt;"", TEXT(F7904, "yyyy-mm"), "")</f>
        <v/>
      </c>
    </row>
    <row r="7905">
      <c r="A7905" t="inlineStr">
        <is>
          <t>RP0007904</t>
        </is>
      </c>
      <c r="B7905" t="inlineStr">
        <is>
          <t>LN201129</t>
        </is>
      </c>
      <c r="C7905" t="n">
        <v>2</v>
      </c>
      <c r="D7905" s="8" t="n">
        <v>46016</v>
      </c>
      <c r="E7905" s="9" t="n">
        <v>2529.22</v>
      </c>
      <c r="F7905" s="8" t="n">
        <v>46016</v>
      </c>
      <c r="G7905" s="9" t="n">
        <v>2529.22</v>
      </c>
      <c r="H7905" t="inlineStr">
        <is>
          <t>PAID_ON_TIME</t>
        </is>
      </c>
      <c r="I7905">
        <f>IF(H7905="UNPAID", AsOfDate-D7905, 0)</f>
        <v/>
      </c>
      <c r="J7905">
        <f>IF(F7905&lt;&gt;"", TEXT(F7905, "yyyy-mm"), "")</f>
        <v/>
      </c>
    </row>
    <row r="7906">
      <c r="A7906" t="inlineStr">
        <is>
          <t>RP0007905</t>
        </is>
      </c>
      <c r="B7906" t="inlineStr">
        <is>
          <t>LN201129</t>
        </is>
      </c>
      <c r="C7906" t="n">
        <v>3</v>
      </c>
      <c r="D7906" s="8" t="n">
        <v>46047</v>
      </c>
      <c r="E7906" s="9" t="n">
        <v>2529.22</v>
      </c>
      <c r="F7906" s="8" t="n">
        <v>46051</v>
      </c>
      <c r="G7906" s="9" t="n">
        <v>2529.22</v>
      </c>
      <c r="H7906" t="inlineStr">
        <is>
          <t>PAID_ON_TIME</t>
        </is>
      </c>
      <c r="I7906">
        <f>IF(H7906="UNPAID", AsOfDate-D7906, 0)</f>
        <v/>
      </c>
      <c r="J7906">
        <f>IF(F7906&lt;&gt;"", TEXT(F7906, "yyyy-mm"), "")</f>
        <v/>
      </c>
    </row>
    <row r="7907">
      <c r="A7907" t="inlineStr">
        <is>
          <t>RP0007906</t>
        </is>
      </c>
      <c r="B7907" t="inlineStr">
        <is>
          <t>LN201129</t>
        </is>
      </c>
      <c r="C7907" t="n">
        <v>4</v>
      </c>
      <c r="D7907" s="8" t="n">
        <v>46078</v>
      </c>
      <c r="E7907" s="9" t="n">
        <v>2529.22</v>
      </c>
      <c r="F7907" s="8" t="n">
        <v>46081</v>
      </c>
      <c r="G7907" s="9" t="n">
        <v>2529.22</v>
      </c>
      <c r="H7907" t="inlineStr">
        <is>
          <t>PAID_ON_TIME</t>
        </is>
      </c>
      <c r="I7907">
        <f>IF(H7907="UNPAID", AsOfDate-D7907, 0)</f>
        <v/>
      </c>
      <c r="J7907">
        <f>IF(F7907&lt;&gt;"", TEXT(F7907, "yyyy-mm"), "")</f>
        <v/>
      </c>
    </row>
    <row r="7908">
      <c r="A7908" t="inlineStr">
        <is>
          <t>RP0007907</t>
        </is>
      </c>
      <c r="B7908" t="inlineStr">
        <is>
          <t>LN201129</t>
        </is>
      </c>
      <c r="C7908" t="n">
        <v>5</v>
      </c>
      <c r="D7908" s="8" t="n">
        <v>46106</v>
      </c>
      <c r="E7908" s="9" t="n">
        <v>2529.22</v>
      </c>
      <c r="F7908" s="8" t="n">
        <v>46109</v>
      </c>
      <c r="G7908" s="9" t="n">
        <v>2529.22</v>
      </c>
      <c r="H7908" t="inlineStr">
        <is>
          <t>PAID_ON_TIME</t>
        </is>
      </c>
      <c r="I7908">
        <f>IF(H7908="UNPAID", AsOfDate-D7908, 0)</f>
        <v/>
      </c>
      <c r="J7908">
        <f>IF(F7908&lt;&gt;"", TEXT(F7908, "yyyy-mm"), "")</f>
        <v/>
      </c>
    </row>
    <row r="7909">
      <c r="A7909" t="inlineStr">
        <is>
          <t>RP0007908</t>
        </is>
      </c>
      <c r="B7909" t="inlineStr">
        <is>
          <t>LN201129</t>
        </is>
      </c>
      <c r="C7909" t="n">
        <v>6</v>
      </c>
      <c r="D7909" s="8" t="n">
        <v>46137</v>
      </c>
      <c r="E7909" s="9" t="n">
        <v>2529.22</v>
      </c>
      <c r="F7909" s="8" t="n">
        <v>46141</v>
      </c>
      <c r="G7909" s="9" t="n">
        <v>2529.22</v>
      </c>
      <c r="H7909" t="inlineStr">
        <is>
          <t>PAID_ON_TIME</t>
        </is>
      </c>
      <c r="I7909">
        <f>IF(H7909="UNPAID", AsOfDate-D7909, 0)</f>
        <v/>
      </c>
      <c r="J7909">
        <f>IF(F7909&lt;&gt;"", TEXT(F7909, "yyyy-mm"), "")</f>
        <v/>
      </c>
    </row>
    <row r="7910">
      <c r="A7910" t="inlineStr">
        <is>
          <t>RP0007909</t>
        </is>
      </c>
      <c r="B7910" t="inlineStr">
        <is>
          <t>LN201129</t>
        </is>
      </c>
      <c r="C7910" t="n">
        <v>7</v>
      </c>
      <c r="D7910" s="8" t="n">
        <v>46167</v>
      </c>
      <c r="E7910" s="9" t="n">
        <v>2529.22</v>
      </c>
      <c r="F7910" s="8" t="n">
        <v>46168</v>
      </c>
      <c r="G7910" s="9" t="n">
        <v>2529.22</v>
      </c>
      <c r="H7910" t="inlineStr">
        <is>
          <t>PAID_ON_TIME</t>
        </is>
      </c>
      <c r="I7910">
        <f>IF(H7910="UNPAID", AsOfDate-D7910, 0)</f>
        <v/>
      </c>
      <c r="J7910">
        <f>IF(F7910&lt;&gt;"", TEXT(F7910, "yyyy-mm"), "")</f>
        <v/>
      </c>
    </row>
    <row r="7911">
      <c r="A7911" t="inlineStr">
        <is>
          <t>RP0007910</t>
        </is>
      </c>
      <c r="B7911" t="inlineStr">
        <is>
          <t>LN201129</t>
        </is>
      </c>
      <c r="C7911" t="n">
        <v>8</v>
      </c>
      <c r="D7911" s="8" t="n">
        <v>46198</v>
      </c>
      <c r="E7911" s="9" t="n">
        <v>2529.22</v>
      </c>
      <c r="F7911" s="8" t="n">
        <v>46195</v>
      </c>
      <c r="G7911" s="9" t="n">
        <v>2529.22</v>
      </c>
      <c r="H7911" t="inlineStr">
        <is>
          <t>PAID_ON_TIME</t>
        </is>
      </c>
      <c r="I7911">
        <f>IF(H7911="UNPAID", AsOfDate-D7911, 0)</f>
        <v/>
      </c>
      <c r="J7911">
        <f>IF(F7911&lt;&gt;"", TEXT(F7911, "yyyy-mm"), "")</f>
        <v/>
      </c>
    </row>
    <row r="7912">
      <c r="A7912" t="inlineStr">
        <is>
          <t>RP0007911</t>
        </is>
      </c>
      <c r="B7912" t="inlineStr">
        <is>
          <t>LN201129</t>
        </is>
      </c>
      <c r="C7912" t="n">
        <v>9</v>
      </c>
      <c r="D7912" s="8" t="n">
        <v>46228</v>
      </c>
      <c r="E7912" s="9" t="n">
        <v>2529.22</v>
      </c>
      <c r="F7912" s="8" t="n">
        <v>46226</v>
      </c>
      <c r="G7912" s="9" t="n">
        <v>2529.22</v>
      </c>
      <c r="H7912" t="inlineStr">
        <is>
          <t>PAID_ON_TIME</t>
        </is>
      </c>
      <c r="I7912">
        <f>IF(H7912="UNPAID", AsOfDate-D7912, 0)</f>
        <v/>
      </c>
      <c r="J7912">
        <f>IF(F7912&lt;&gt;"", TEXT(F7912, "yyyy-mm"), "")</f>
        <v/>
      </c>
    </row>
    <row r="7913">
      <c r="A7913" t="inlineStr">
        <is>
          <t>RP0007912</t>
        </is>
      </c>
      <c r="B7913" t="inlineStr">
        <is>
          <t>LN201129</t>
        </is>
      </c>
      <c r="C7913" t="n">
        <v>10</v>
      </c>
      <c r="D7913" s="8" t="n">
        <v>46259</v>
      </c>
      <c r="E7913" s="9" t="n">
        <v>2529.22</v>
      </c>
      <c r="F7913" s="8" t="n">
        <v>46263</v>
      </c>
      <c r="G7913" s="9" t="n">
        <v>2529.22</v>
      </c>
      <c r="H7913" t="inlineStr">
        <is>
          <t>PAID_ON_TIME</t>
        </is>
      </c>
      <c r="I7913">
        <f>IF(H7913="UNPAID", AsOfDate-D7913, 0)</f>
        <v/>
      </c>
      <c r="J7913">
        <f>IF(F7913&lt;&gt;"", TEXT(F7913, "yyyy-mm"), "")</f>
        <v/>
      </c>
    </row>
    <row r="7914">
      <c r="A7914" t="inlineStr">
        <is>
          <t>RP0007913</t>
        </is>
      </c>
      <c r="B7914" t="inlineStr">
        <is>
          <t>LN201129</t>
        </is>
      </c>
      <c r="C7914" t="n">
        <v>11</v>
      </c>
      <c r="D7914" s="8" t="n">
        <v>46290</v>
      </c>
      <c r="E7914" s="9" t="n">
        <v>2529.22</v>
      </c>
      <c r="F7914" s="8" t="n"/>
      <c r="G7914" s="9" t="n">
        <v>0</v>
      </c>
      <c r="H7914" t="inlineStr">
        <is>
          <t>NOT_DUE</t>
        </is>
      </c>
      <c r="I7914">
        <f>IF(H7914="UNPAID", AsOfDate-D7914, 0)</f>
        <v/>
      </c>
      <c r="J7914">
        <f>IF(F7914&lt;&gt;"", TEXT(F7914, "yyyy-mm"), "")</f>
        <v/>
      </c>
    </row>
    <row r="7915">
      <c r="A7915" t="inlineStr">
        <is>
          <t>RP0007914</t>
        </is>
      </c>
      <c r="B7915" t="inlineStr">
        <is>
          <t>LN201129</t>
        </is>
      </c>
      <c r="C7915" t="n">
        <v>12</v>
      </c>
      <c r="D7915" s="8" t="n">
        <v>46320</v>
      </c>
      <c r="E7915" s="9" t="n">
        <v>2529.22</v>
      </c>
      <c r="F7915" s="8" t="n"/>
      <c r="G7915" s="9" t="n">
        <v>0</v>
      </c>
      <c r="H7915" t="inlineStr">
        <is>
          <t>NOT_DUE</t>
        </is>
      </c>
      <c r="I7915">
        <f>IF(H7915="UNPAID", AsOfDate-D7915, 0)</f>
        <v/>
      </c>
      <c r="J7915">
        <f>IF(F7915&lt;&gt;"", TEXT(F7915, "yyyy-mm"), "")</f>
        <v/>
      </c>
    </row>
    <row r="7916">
      <c r="A7916" t="inlineStr">
        <is>
          <t>RP0007915</t>
        </is>
      </c>
      <c r="B7916" t="inlineStr">
        <is>
          <t>LN201129</t>
        </is>
      </c>
      <c r="C7916" t="n">
        <v>13</v>
      </c>
      <c r="D7916" s="8" t="n">
        <v>46351</v>
      </c>
      <c r="E7916" s="9" t="n">
        <v>2529.22</v>
      </c>
      <c r="F7916" s="8" t="n"/>
      <c r="G7916" s="9" t="n">
        <v>0</v>
      </c>
      <c r="H7916" t="inlineStr">
        <is>
          <t>NOT_DUE</t>
        </is>
      </c>
      <c r="I7916">
        <f>IF(H7916="UNPAID", AsOfDate-D7916, 0)</f>
        <v/>
      </c>
      <c r="J7916">
        <f>IF(F7916&lt;&gt;"", TEXT(F7916, "yyyy-mm"), "")</f>
        <v/>
      </c>
    </row>
    <row r="7917">
      <c r="A7917" t="inlineStr">
        <is>
          <t>RP0007916</t>
        </is>
      </c>
      <c r="B7917" t="inlineStr">
        <is>
          <t>LN201129</t>
        </is>
      </c>
      <c r="C7917" t="n">
        <v>14</v>
      </c>
      <c r="D7917" s="8" t="n">
        <v>46381</v>
      </c>
      <c r="E7917" s="9" t="n">
        <v>2529.22</v>
      </c>
      <c r="F7917" s="8" t="n"/>
      <c r="G7917" s="9" t="n">
        <v>0</v>
      </c>
      <c r="H7917" t="inlineStr">
        <is>
          <t>NOT_DUE</t>
        </is>
      </c>
      <c r="I7917">
        <f>IF(H7917="UNPAID", AsOfDate-D7917, 0)</f>
        <v/>
      </c>
      <c r="J7917">
        <f>IF(F7917&lt;&gt;"", TEXT(F7917, "yyyy-mm"), "")</f>
        <v/>
      </c>
    </row>
    <row r="7918">
      <c r="A7918" t="inlineStr">
        <is>
          <t>RP0007917</t>
        </is>
      </c>
      <c r="B7918" t="inlineStr">
        <is>
          <t>LN201129</t>
        </is>
      </c>
      <c r="C7918" t="n">
        <v>15</v>
      </c>
      <c r="D7918" s="8" t="n">
        <v>46412</v>
      </c>
      <c r="E7918" s="9" t="n">
        <v>2529.22</v>
      </c>
      <c r="F7918" s="8" t="n"/>
      <c r="G7918" s="9" t="n">
        <v>0</v>
      </c>
      <c r="H7918" t="inlineStr">
        <is>
          <t>NOT_DUE</t>
        </is>
      </c>
      <c r="I7918">
        <f>IF(H7918="UNPAID", AsOfDate-D7918, 0)</f>
        <v/>
      </c>
      <c r="J7918">
        <f>IF(F7918&lt;&gt;"", TEXT(F7918, "yyyy-mm"), "")</f>
        <v/>
      </c>
    </row>
    <row r="7919">
      <c r="A7919" t="inlineStr">
        <is>
          <t>RP0007918</t>
        </is>
      </c>
      <c r="B7919" t="inlineStr">
        <is>
          <t>LN201129</t>
        </is>
      </c>
      <c r="C7919" t="n">
        <v>16</v>
      </c>
      <c r="D7919" s="8" t="n">
        <v>46443</v>
      </c>
      <c r="E7919" s="9" t="n">
        <v>2529.22</v>
      </c>
      <c r="F7919" s="8" t="n"/>
      <c r="G7919" s="9" t="n">
        <v>0</v>
      </c>
      <c r="H7919" t="inlineStr">
        <is>
          <t>NOT_DUE</t>
        </is>
      </c>
      <c r="I7919">
        <f>IF(H7919="UNPAID", AsOfDate-D7919, 0)</f>
        <v/>
      </c>
      <c r="J7919">
        <f>IF(F7919&lt;&gt;"", TEXT(F7919, "yyyy-mm"), "")</f>
        <v/>
      </c>
    </row>
    <row r="7920">
      <c r="A7920" t="inlineStr">
        <is>
          <t>RP0007919</t>
        </is>
      </c>
      <c r="B7920" t="inlineStr">
        <is>
          <t>LN201129</t>
        </is>
      </c>
      <c r="C7920" t="n">
        <v>17</v>
      </c>
      <c r="D7920" s="8" t="n">
        <v>46471</v>
      </c>
      <c r="E7920" s="9" t="n">
        <v>2529.22</v>
      </c>
      <c r="F7920" s="8" t="n"/>
      <c r="G7920" s="9" t="n">
        <v>0</v>
      </c>
      <c r="H7920" t="inlineStr">
        <is>
          <t>NOT_DUE</t>
        </is>
      </c>
      <c r="I7920">
        <f>IF(H7920="UNPAID", AsOfDate-D7920, 0)</f>
        <v/>
      </c>
      <c r="J7920">
        <f>IF(F7920&lt;&gt;"", TEXT(F7920, "yyyy-mm"), "")</f>
        <v/>
      </c>
    </row>
    <row r="7921">
      <c r="A7921" t="inlineStr">
        <is>
          <t>RP0007920</t>
        </is>
      </c>
      <c r="B7921" t="inlineStr">
        <is>
          <t>LN201129</t>
        </is>
      </c>
      <c r="C7921" t="n">
        <v>18</v>
      </c>
      <c r="D7921" s="8" t="n">
        <v>46502</v>
      </c>
      <c r="E7921" s="9" t="n">
        <v>2529.22</v>
      </c>
      <c r="F7921" s="8" t="n"/>
      <c r="G7921" s="9" t="n">
        <v>0</v>
      </c>
      <c r="H7921" t="inlineStr">
        <is>
          <t>NOT_DUE</t>
        </is>
      </c>
      <c r="I7921">
        <f>IF(H7921="UNPAID", AsOfDate-D7921, 0)</f>
        <v/>
      </c>
      <c r="J7921">
        <f>IF(F7921&lt;&gt;"", TEXT(F7921, "yyyy-mm"), "")</f>
        <v/>
      </c>
    </row>
    <row r="7922">
      <c r="A7922" t="inlineStr">
        <is>
          <t>RP0007921</t>
        </is>
      </c>
      <c r="B7922" t="inlineStr">
        <is>
          <t>LN201130</t>
        </is>
      </c>
      <c r="C7922" t="n">
        <v>1</v>
      </c>
      <c r="D7922" s="8" t="n">
        <v>46150</v>
      </c>
      <c r="E7922" s="9" t="n">
        <v>11517.36</v>
      </c>
      <c r="F7922" s="8" t="n">
        <v>46148</v>
      </c>
      <c r="G7922" s="9" t="n">
        <v>11517.36</v>
      </c>
      <c r="H7922" t="inlineStr">
        <is>
          <t>PAID_ON_TIME</t>
        </is>
      </c>
      <c r="I7922">
        <f>IF(H7922="UNPAID", AsOfDate-D7922, 0)</f>
        <v/>
      </c>
      <c r="J7922">
        <f>IF(F7922&lt;&gt;"", TEXT(F7922, "yyyy-mm"), "")</f>
        <v/>
      </c>
    </row>
    <row r="7923">
      <c r="A7923" t="inlineStr">
        <is>
          <t>RP0007922</t>
        </is>
      </c>
      <c r="B7923" t="inlineStr">
        <is>
          <t>LN201130</t>
        </is>
      </c>
      <c r="C7923" t="n">
        <v>2</v>
      </c>
      <c r="D7923" s="8" t="n">
        <v>46181</v>
      </c>
      <c r="E7923" s="9" t="n">
        <v>11517.36</v>
      </c>
      <c r="F7923" s="8" t="n">
        <v>46180</v>
      </c>
      <c r="G7923" s="9" t="n">
        <v>11517.36</v>
      </c>
      <c r="H7923" t="inlineStr">
        <is>
          <t>PAID_ON_TIME</t>
        </is>
      </c>
      <c r="I7923">
        <f>IF(H7923="UNPAID", AsOfDate-D7923, 0)</f>
        <v/>
      </c>
      <c r="J7923">
        <f>IF(F7923&lt;&gt;"", TEXT(F7923, "yyyy-mm"), "")</f>
        <v/>
      </c>
    </row>
    <row r="7924">
      <c r="A7924" t="inlineStr">
        <is>
          <t>RP0007923</t>
        </is>
      </c>
      <c r="B7924" t="inlineStr">
        <is>
          <t>LN201130</t>
        </is>
      </c>
      <c r="C7924" t="n">
        <v>3</v>
      </c>
      <c r="D7924" s="8" t="n">
        <v>46211</v>
      </c>
      <c r="E7924" s="9" t="n">
        <v>11517.36</v>
      </c>
      <c r="F7924" s="8" t="n">
        <v>46209</v>
      </c>
      <c r="G7924" s="9" t="n">
        <v>11517.36</v>
      </c>
      <c r="H7924" t="inlineStr">
        <is>
          <t>PAID_ON_TIME</t>
        </is>
      </c>
      <c r="I7924">
        <f>IF(H7924="UNPAID", AsOfDate-D7924, 0)</f>
        <v/>
      </c>
      <c r="J7924">
        <f>IF(F7924&lt;&gt;"", TEXT(F7924, "yyyy-mm"), "")</f>
        <v/>
      </c>
    </row>
    <row r="7925">
      <c r="A7925" t="inlineStr">
        <is>
          <t>RP0007924</t>
        </is>
      </c>
      <c r="B7925" t="inlineStr">
        <is>
          <t>LN201130</t>
        </is>
      </c>
      <c r="C7925" t="n">
        <v>4</v>
      </c>
      <c r="D7925" s="8" t="n">
        <v>46242</v>
      </c>
      <c r="E7925" s="9" t="n">
        <v>11517.36</v>
      </c>
      <c r="F7925" s="8" t="n">
        <v>46239</v>
      </c>
      <c r="G7925" s="9" t="n">
        <v>11517.36</v>
      </c>
      <c r="H7925" t="inlineStr">
        <is>
          <t>PAID_ON_TIME</t>
        </is>
      </c>
      <c r="I7925">
        <f>IF(H7925="UNPAID", AsOfDate-D7925, 0)</f>
        <v/>
      </c>
      <c r="J7925">
        <f>IF(F7925&lt;&gt;"", TEXT(F7925, "yyyy-mm"), "")</f>
        <v/>
      </c>
    </row>
    <row r="7926">
      <c r="A7926" t="inlineStr">
        <is>
          <t>RP0007925</t>
        </is>
      </c>
      <c r="B7926" t="inlineStr">
        <is>
          <t>LN201130</t>
        </is>
      </c>
      <c r="C7926" t="n">
        <v>5</v>
      </c>
      <c r="D7926" s="8" t="n">
        <v>46273</v>
      </c>
      <c r="E7926" s="9" t="n">
        <v>11517.36</v>
      </c>
      <c r="F7926" s="8" t="n"/>
      <c r="G7926" s="9" t="n">
        <v>0</v>
      </c>
      <c r="H7926" t="inlineStr">
        <is>
          <t>NOT_DUE</t>
        </is>
      </c>
      <c r="I7926">
        <f>IF(H7926="UNPAID", AsOfDate-D7926, 0)</f>
        <v/>
      </c>
      <c r="J7926">
        <f>IF(F7926&lt;&gt;"", TEXT(F7926, "yyyy-mm"), "")</f>
        <v/>
      </c>
    </row>
    <row r="7927">
      <c r="A7927" t="inlineStr">
        <is>
          <t>RP0007926</t>
        </is>
      </c>
      <c r="B7927" t="inlineStr">
        <is>
          <t>LN201130</t>
        </is>
      </c>
      <c r="C7927" t="n">
        <v>6</v>
      </c>
      <c r="D7927" s="8" t="n">
        <v>46303</v>
      </c>
      <c r="E7927" s="9" t="n">
        <v>11517.36</v>
      </c>
      <c r="F7927" s="8" t="n"/>
      <c r="G7927" s="9" t="n">
        <v>0</v>
      </c>
      <c r="H7927" t="inlineStr">
        <is>
          <t>NOT_DUE</t>
        </is>
      </c>
      <c r="I7927">
        <f>IF(H7927="UNPAID", AsOfDate-D7927, 0)</f>
        <v/>
      </c>
      <c r="J7927">
        <f>IF(F7927&lt;&gt;"", TEXT(F7927, "yyyy-mm"), "")</f>
        <v/>
      </c>
    </row>
    <row r="7928">
      <c r="A7928" t="inlineStr">
        <is>
          <t>RP0007927</t>
        </is>
      </c>
      <c r="B7928" t="inlineStr">
        <is>
          <t>LN201130</t>
        </is>
      </c>
      <c r="C7928" t="n">
        <v>7</v>
      </c>
      <c r="D7928" s="8" t="n">
        <v>46334</v>
      </c>
      <c r="E7928" s="9" t="n">
        <v>11517.36</v>
      </c>
      <c r="F7928" s="8" t="n"/>
      <c r="G7928" s="9" t="n">
        <v>0</v>
      </c>
      <c r="H7928" t="inlineStr">
        <is>
          <t>NOT_DUE</t>
        </is>
      </c>
      <c r="I7928">
        <f>IF(H7928="UNPAID", AsOfDate-D7928, 0)</f>
        <v/>
      </c>
      <c r="J7928">
        <f>IF(F7928&lt;&gt;"", TEXT(F7928, "yyyy-mm"), "")</f>
        <v/>
      </c>
    </row>
    <row r="7929">
      <c r="A7929" t="inlineStr">
        <is>
          <t>RP0007928</t>
        </is>
      </c>
      <c r="B7929" t="inlineStr">
        <is>
          <t>LN201130</t>
        </is>
      </c>
      <c r="C7929" t="n">
        <v>8</v>
      </c>
      <c r="D7929" s="8" t="n">
        <v>46364</v>
      </c>
      <c r="E7929" s="9" t="n">
        <v>11517.36</v>
      </c>
      <c r="F7929" s="8" t="n"/>
      <c r="G7929" s="9" t="n">
        <v>0</v>
      </c>
      <c r="H7929" t="inlineStr">
        <is>
          <t>NOT_DUE</t>
        </is>
      </c>
      <c r="I7929">
        <f>IF(H7929="UNPAID", AsOfDate-D7929, 0)</f>
        <v/>
      </c>
      <c r="J7929">
        <f>IF(F7929&lt;&gt;"", TEXT(F7929, "yyyy-mm"), "")</f>
        <v/>
      </c>
    </row>
    <row r="7930">
      <c r="A7930" t="inlineStr">
        <is>
          <t>RP0007929</t>
        </is>
      </c>
      <c r="B7930" t="inlineStr">
        <is>
          <t>LN201130</t>
        </is>
      </c>
      <c r="C7930" t="n">
        <v>9</v>
      </c>
      <c r="D7930" s="8" t="n">
        <v>46395</v>
      </c>
      <c r="E7930" s="9" t="n">
        <v>11517.36</v>
      </c>
      <c r="F7930" s="8" t="n"/>
      <c r="G7930" s="9" t="n">
        <v>0</v>
      </c>
      <c r="H7930" t="inlineStr">
        <is>
          <t>NOT_DUE</t>
        </is>
      </c>
      <c r="I7930">
        <f>IF(H7930="UNPAID", AsOfDate-D7930, 0)</f>
        <v/>
      </c>
      <c r="J7930">
        <f>IF(F7930&lt;&gt;"", TEXT(F7930, "yyyy-mm"), "")</f>
        <v/>
      </c>
    </row>
    <row r="7931">
      <c r="A7931" t="inlineStr">
        <is>
          <t>RP0007930</t>
        </is>
      </c>
      <c r="B7931" t="inlineStr">
        <is>
          <t>LN201130</t>
        </is>
      </c>
      <c r="C7931" t="n">
        <v>10</v>
      </c>
      <c r="D7931" s="8" t="n">
        <v>46426</v>
      </c>
      <c r="E7931" s="9" t="n">
        <v>11517.36</v>
      </c>
      <c r="F7931" s="8" t="n"/>
      <c r="G7931" s="9" t="n">
        <v>0</v>
      </c>
      <c r="H7931" t="inlineStr">
        <is>
          <t>NOT_DUE</t>
        </is>
      </c>
      <c r="I7931">
        <f>IF(H7931="UNPAID", AsOfDate-D7931, 0)</f>
        <v/>
      </c>
      <c r="J7931">
        <f>IF(F7931&lt;&gt;"", TEXT(F7931, "yyyy-mm"), "")</f>
        <v/>
      </c>
    </row>
    <row r="7932">
      <c r="A7932" t="inlineStr">
        <is>
          <t>RP0007931</t>
        </is>
      </c>
      <c r="B7932" t="inlineStr">
        <is>
          <t>LN201130</t>
        </is>
      </c>
      <c r="C7932" t="n">
        <v>11</v>
      </c>
      <c r="D7932" s="8" t="n">
        <v>46454</v>
      </c>
      <c r="E7932" s="9" t="n">
        <v>11517.36</v>
      </c>
      <c r="F7932" s="8" t="n"/>
      <c r="G7932" s="9" t="n">
        <v>0</v>
      </c>
      <c r="H7932" t="inlineStr">
        <is>
          <t>NOT_DUE</t>
        </is>
      </c>
      <c r="I7932">
        <f>IF(H7932="UNPAID", AsOfDate-D7932, 0)</f>
        <v/>
      </c>
      <c r="J7932">
        <f>IF(F7932&lt;&gt;"", TEXT(F7932, "yyyy-mm"), "")</f>
        <v/>
      </c>
    </row>
    <row r="7933">
      <c r="A7933" t="inlineStr">
        <is>
          <t>RP0007932</t>
        </is>
      </c>
      <c r="B7933" t="inlineStr">
        <is>
          <t>LN201130</t>
        </is>
      </c>
      <c r="C7933" t="n">
        <v>12</v>
      </c>
      <c r="D7933" s="8" t="n">
        <v>46485</v>
      </c>
      <c r="E7933" s="9" t="n">
        <v>11517.36</v>
      </c>
      <c r="F7933" s="8" t="n"/>
      <c r="G7933" s="9" t="n">
        <v>0</v>
      </c>
      <c r="H7933" t="inlineStr">
        <is>
          <t>NOT_DUE</t>
        </is>
      </c>
      <c r="I7933">
        <f>IF(H7933="UNPAID", AsOfDate-D7933, 0)</f>
        <v/>
      </c>
      <c r="J7933">
        <f>IF(F7933&lt;&gt;"", TEXT(F7933, "yyyy-mm"), "")</f>
        <v/>
      </c>
    </row>
    <row r="7934">
      <c r="A7934" t="inlineStr">
        <is>
          <t>RP0007933</t>
        </is>
      </c>
      <c r="B7934" t="inlineStr">
        <is>
          <t>LN201130</t>
        </is>
      </c>
      <c r="C7934" t="n">
        <v>13</v>
      </c>
      <c r="D7934" s="8" t="n">
        <v>46515</v>
      </c>
      <c r="E7934" s="9" t="n">
        <v>11517.36</v>
      </c>
      <c r="F7934" s="8" t="n"/>
      <c r="G7934" s="9" t="n">
        <v>0</v>
      </c>
      <c r="H7934" t="inlineStr">
        <is>
          <t>NOT_DUE</t>
        </is>
      </c>
      <c r="I7934">
        <f>IF(H7934="UNPAID", AsOfDate-D7934, 0)</f>
        <v/>
      </c>
      <c r="J7934">
        <f>IF(F7934&lt;&gt;"", TEXT(F7934, "yyyy-mm"), "")</f>
        <v/>
      </c>
    </row>
    <row r="7935">
      <c r="A7935" t="inlineStr">
        <is>
          <t>RP0007934</t>
        </is>
      </c>
      <c r="B7935" t="inlineStr">
        <is>
          <t>LN201130</t>
        </is>
      </c>
      <c r="C7935" t="n">
        <v>14</v>
      </c>
      <c r="D7935" s="8" t="n">
        <v>46546</v>
      </c>
      <c r="E7935" s="9" t="n">
        <v>11517.36</v>
      </c>
      <c r="F7935" s="8" t="n"/>
      <c r="G7935" s="9" t="n">
        <v>0</v>
      </c>
      <c r="H7935" t="inlineStr">
        <is>
          <t>NOT_DUE</t>
        </is>
      </c>
      <c r="I7935">
        <f>IF(H7935="UNPAID", AsOfDate-D7935, 0)</f>
        <v/>
      </c>
      <c r="J7935">
        <f>IF(F7935&lt;&gt;"", TEXT(F7935, "yyyy-mm"), "")</f>
        <v/>
      </c>
    </row>
    <row r="7936">
      <c r="A7936" t="inlineStr">
        <is>
          <t>RP0007935</t>
        </is>
      </c>
      <c r="B7936" t="inlineStr">
        <is>
          <t>LN201130</t>
        </is>
      </c>
      <c r="C7936" t="n">
        <v>15</v>
      </c>
      <c r="D7936" s="8" t="n">
        <v>46576</v>
      </c>
      <c r="E7936" s="9" t="n">
        <v>11517.36</v>
      </c>
      <c r="F7936" s="8" t="n"/>
      <c r="G7936" s="9" t="n">
        <v>0</v>
      </c>
      <c r="H7936" t="inlineStr">
        <is>
          <t>NOT_DUE</t>
        </is>
      </c>
      <c r="I7936">
        <f>IF(H7936="UNPAID", AsOfDate-D7936, 0)</f>
        <v/>
      </c>
      <c r="J7936">
        <f>IF(F7936&lt;&gt;"", TEXT(F7936, "yyyy-mm"), "")</f>
        <v/>
      </c>
    </row>
    <row r="7937">
      <c r="A7937" t="inlineStr">
        <is>
          <t>RP0007936</t>
        </is>
      </c>
      <c r="B7937" t="inlineStr">
        <is>
          <t>LN201130</t>
        </is>
      </c>
      <c r="C7937" t="n">
        <v>16</v>
      </c>
      <c r="D7937" s="8" t="n">
        <v>46607</v>
      </c>
      <c r="E7937" s="9" t="n">
        <v>11517.36</v>
      </c>
      <c r="F7937" s="8" t="n"/>
      <c r="G7937" s="9" t="n">
        <v>0</v>
      </c>
      <c r="H7937" t="inlineStr">
        <is>
          <t>NOT_DUE</t>
        </is>
      </c>
      <c r="I7937">
        <f>IF(H7937="UNPAID", AsOfDate-D7937, 0)</f>
        <v/>
      </c>
      <c r="J7937">
        <f>IF(F7937&lt;&gt;"", TEXT(F7937, "yyyy-mm"), "")</f>
        <v/>
      </c>
    </row>
    <row r="7938">
      <c r="A7938" t="inlineStr">
        <is>
          <t>RP0007937</t>
        </is>
      </c>
      <c r="B7938" t="inlineStr">
        <is>
          <t>LN201130</t>
        </is>
      </c>
      <c r="C7938" t="n">
        <v>17</v>
      </c>
      <c r="D7938" s="8" t="n">
        <v>46638</v>
      </c>
      <c r="E7938" s="9" t="n">
        <v>11517.36</v>
      </c>
      <c r="F7938" s="8" t="n"/>
      <c r="G7938" s="9" t="n">
        <v>0</v>
      </c>
      <c r="H7938" t="inlineStr">
        <is>
          <t>NOT_DUE</t>
        </is>
      </c>
      <c r="I7938">
        <f>IF(H7938="UNPAID", AsOfDate-D7938, 0)</f>
        <v/>
      </c>
      <c r="J7938">
        <f>IF(F7938&lt;&gt;"", TEXT(F7938, "yyyy-mm"), "")</f>
        <v/>
      </c>
    </row>
    <row r="7939">
      <c r="A7939" t="inlineStr">
        <is>
          <t>RP0007938</t>
        </is>
      </c>
      <c r="B7939" t="inlineStr">
        <is>
          <t>LN201130</t>
        </is>
      </c>
      <c r="C7939" t="n">
        <v>18</v>
      </c>
      <c r="D7939" s="8" t="n">
        <v>46668</v>
      </c>
      <c r="E7939" s="9" t="n">
        <v>11517.36</v>
      </c>
      <c r="F7939" s="8" t="n"/>
      <c r="G7939" s="9" t="n">
        <v>0</v>
      </c>
      <c r="H7939" t="inlineStr">
        <is>
          <t>NOT_DUE</t>
        </is>
      </c>
      <c r="I7939">
        <f>IF(H7939="UNPAID", AsOfDate-D7939, 0)</f>
        <v/>
      </c>
      <c r="J7939">
        <f>IF(F7939&lt;&gt;"", TEXT(F7939, "yyyy-mm"), "")</f>
        <v/>
      </c>
    </row>
    <row r="7940">
      <c r="A7940" t="inlineStr">
        <is>
          <t>RP0007939</t>
        </is>
      </c>
      <c r="B7940" t="inlineStr">
        <is>
          <t>LN201131</t>
        </is>
      </c>
      <c r="C7940" t="n">
        <v>1</v>
      </c>
      <c r="D7940" s="8" t="n">
        <v>45979</v>
      </c>
      <c r="E7940" s="9" t="n">
        <v>40472.83</v>
      </c>
      <c r="F7940" s="8" t="n">
        <v>45981</v>
      </c>
      <c r="G7940" s="9" t="n">
        <v>40472.83</v>
      </c>
      <c r="H7940" t="inlineStr">
        <is>
          <t>PAID_ON_TIME</t>
        </is>
      </c>
      <c r="I7940">
        <f>IF(H7940="UNPAID", AsOfDate-D7940, 0)</f>
        <v/>
      </c>
      <c r="J7940">
        <f>IF(F7940&lt;&gt;"", TEXT(F7940, "yyyy-mm"), "")</f>
        <v/>
      </c>
    </row>
    <row r="7941">
      <c r="A7941" t="inlineStr">
        <is>
          <t>RP0007940</t>
        </is>
      </c>
      <c r="B7941" t="inlineStr">
        <is>
          <t>LN201131</t>
        </is>
      </c>
      <c r="C7941" t="n">
        <v>2</v>
      </c>
      <c r="D7941" s="8" t="n">
        <v>46009</v>
      </c>
      <c r="E7941" s="9" t="n">
        <v>40472.83</v>
      </c>
      <c r="F7941" s="8" t="n">
        <v>46008</v>
      </c>
      <c r="G7941" s="9" t="n">
        <v>40472.83</v>
      </c>
      <c r="H7941" t="inlineStr">
        <is>
          <t>PAID_ON_TIME</t>
        </is>
      </c>
      <c r="I7941">
        <f>IF(H7941="UNPAID", AsOfDate-D7941, 0)</f>
        <v/>
      </c>
      <c r="J7941">
        <f>IF(F7941&lt;&gt;"", TEXT(F7941, "yyyy-mm"), "")</f>
        <v/>
      </c>
    </row>
    <row r="7942">
      <c r="A7942" t="inlineStr">
        <is>
          <t>RP0007941</t>
        </is>
      </c>
      <c r="B7942" t="inlineStr">
        <is>
          <t>LN201131</t>
        </is>
      </c>
      <c r="C7942" t="n">
        <v>3</v>
      </c>
      <c r="D7942" s="8" t="n">
        <v>46040</v>
      </c>
      <c r="E7942" s="9" t="n">
        <v>40472.83</v>
      </c>
      <c r="F7942" s="8" t="n">
        <v>46040</v>
      </c>
      <c r="G7942" s="9" t="n">
        <v>40472.83</v>
      </c>
      <c r="H7942" t="inlineStr">
        <is>
          <t>PAID_ON_TIME</t>
        </is>
      </c>
      <c r="I7942">
        <f>IF(H7942="UNPAID", AsOfDate-D7942, 0)</f>
        <v/>
      </c>
      <c r="J7942">
        <f>IF(F7942&lt;&gt;"", TEXT(F7942, "yyyy-mm"), "")</f>
        <v/>
      </c>
    </row>
    <row r="7943">
      <c r="A7943" t="inlineStr">
        <is>
          <t>RP0007942</t>
        </is>
      </c>
      <c r="B7943" t="inlineStr">
        <is>
          <t>LN201131</t>
        </is>
      </c>
      <c r="C7943" t="n">
        <v>4</v>
      </c>
      <c r="D7943" s="8" t="n">
        <v>46071</v>
      </c>
      <c r="E7943" s="9" t="n">
        <v>40472.83</v>
      </c>
      <c r="F7943" s="8" t="n">
        <v>46075</v>
      </c>
      <c r="G7943" s="9" t="n">
        <v>40472.83</v>
      </c>
      <c r="H7943" t="inlineStr">
        <is>
          <t>PAID_ON_TIME</t>
        </is>
      </c>
      <c r="I7943">
        <f>IF(H7943="UNPAID", AsOfDate-D7943, 0)</f>
        <v/>
      </c>
      <c r="J7943">
        <f>IF(F7943&lt;&gt;"", TEXT(F7943, "yyyy-mm"), "")</f>
        <v/>
      </c>
    </row>
    <row r="7944">
      <c r="A7944" t="inlineStr">
        <is>
          <t>RP0007943</t>
        </is>
      </c>
      <c r="B7944" t="inlineStr">
        <is>
          <t>LN201131</t>
        </is>
      </c>
      <c r="C7944" t="n">
        <v>5</v>
      </c>
      <c r="D7944" s="8" t="n">
        <v>46099</v>
      </c>
      <c r="E7944" s="9" t="n">
        <v>40472.83</v>
      </c>
      <c r="F7944" s="8" t="n">
        <v>46103</v>
      </c>
      <c r="G7944" s="9" t="n">
        <v>40472.83</v>
      </c>
      <c r="H7944" t="inlineStr">
        <is>
          <t>PAID_ON_TIME</t>
        </is>
      </c>
      <c r="I7944">
        <f>IF(H7944="UNPAID", AsOfDate-D7944, 0)</f>
        <v/>
      </c>
      <c r="J7944">
        <f>IF(F7944&lt;&gt;"", TEXT(F7944, "yyyy-mm"), "")</f>
        <v/>
      </c>
    </row>
    <row r="7945">
      <c r="A7945" t="inlineStr">
        <is>
          <t>RP0007944</t>
        </is>
      </c>
      <c r="B7945" t="inlineStr">
        <is>
          <t>LN201131</t>
        </is>
      </c>
      <c r="C7945" t="n">
        <v>6</v>
      </c>
      <c r="D7945" s="8" t="n">
        <v>46130</v>
      </c>
      <c r="E7945" s="9" t="n">
        <v>40472.83</v>
      </c>
      <c r="F7945" s="8" t="n">
        <v>46128</v>
      </c>
      <c r="G7945" s="9" t="n">
        <v>40472.83</v>
      </c>
      <c r="H7945" t="inlineStr">
        <is>
          <t>PAID_ON_TIME</t>
        </is>
      </c>
      <c r="I7945">
        <f>IF(H7945="UNPAID", AsOfDate-D7945, 0)</f>
        <v/>
      </c>
      <c r="J7945">
        <f>IF(F7945&lt;&gt;"", TEXT(F7945, "yyyy-mm"), "")</f>
        <v/>
      </c>
    </row>
    <row r="7946">
      <c r="A7946" t="inlineStr">
        <is>
          <t>RP0007945</t>
        </is>
      </c>
      <c r="B7946" t="inlineStr">
        <is>
          <t>LN201132</t>
        </is>
      </c>
      <c r="C7946" t="n">
        <v>1</v>
      </c>
      <c r="D7946" s="8" t="n">
        <v>46220</v>
      </c>
      <c r="E7946" s="9" t="n">
        <v>48042</v>
      </c>
      <c r="F7946" s="8" t="n"/>
      <c r="G7946" s="9" t="n">
        <v>0</v>
      </c>
      <c r="H7946" t="inlineStr">
        <is>
          <t>UNPAID</t>
        </is>
      </c>
      <c r="I7946">
        <f>IF(H7946="UNPAID", AsOfDate-D7946, 0)</f>
        <v/>
      </c>
      <c r="J7946">
        <f>IF(F7946&lt;&gt;"", TEXT(F7946, "yyyy-mm"), "")</f>
        <v/>
      </c>
    </row>
    <row r="7947">
      <c r="A7947" t="inlineStr">
        <is>
          <t>RP0007946</t>
        </is>
      </c>
      <c r="B7947" t="inlineStr">
        <is>
          <t>LN201132</t>
        </is>
      </c>
      <c r="C7947" t="n">
        <v>2</v>
      </c>
      <c r="D7947" s="8" t="n">
        <v>46251</v>
      </c>
      <c r="E7947" s="9" t="n">
        <v>48042</v>
      </c>
      <c r="F7947" s="8" t="n">
        <v>46249</v>
      </c>
      <c r="G7947" s="9" t="n">
        <v>48042</v>
      </c>
      <c r="H7947" t="inlineStr">
        <is>
          <t>PAID_ON_TIME</t>
        </is>
      </c>
      <c r="I7947">
        <f>IF(H7947="UNPAID", AsOfDate-D7947, 0)</f>
        <v/>
      </c>
      <c r="J7947">
        <f>IF(F7947&lt;&gt;"", TEXT(F7947, "yyyy-mm"), "")</f>
        <v/>
      </c>
    </row>
    <row r="7948">
      <c r="A7948" t="inlineStr">
        <is>
          <t>RP0007947</t>
        </is>
      </c>
      <c r="B7948" t="inlineStr">
        <is>
          <t>LN201132</t>
        </is>
      </c>
      <c r="C7948" t="n">
        <v>3</v>
      </c>
      <c r="D7948" s="8" t="n">
        <v>46282</v>
      </c>
      <c r="E7948" s="9" t="n">
        <v>48042</v>
      </c>
      <c r="F7948" s="8" t="n"/>
      <c r="G7948" s="9" t="n">
        <v>0</v>
      </c>
      <c r="H7948" t="inlineStr">
        <is>
          <t>NOT_DUE</t>
        </is>
      </c>
      <c r="I7948">
        <f>IF(H7948="UNPAID", AsOfDate-D7948, 0)</f>
        <v/>
      </c>
      <c r="J7948">
        <f>IF(F7948&lt;&gt;"", TEXT(F7948, "yyyy-mm"), "")</f>
        <v/>
      </c>
    </row>
    <row r="7949">
      <c r="A7949" t="inlineStr">
        <is>
          <t>RP0007948</t>
        </is>
      </c>
      <c r="B7949" t="inlineStr">
        <is>
          <t>LN201133</t>
        </is>
      </c>
      <c r="C7949" t="n">
        <v>1</v>
      </c>
      <c r="D7949" s="8" t="n">
        <v>46206</v>
      </c>
      <c r="E7949" s="9" t="n">
        <v>103920.25</v>
      </c>
      <c r="F7949" s="8" t="n">
        <v>46208</v>
      </c>
      <c r="G7949" s="9" t="n">
        <v>103920.25</v>
      </c>
      <c r="H7949" t="inlineStr">
        <is>
          <t>PAID_ON_TIME</t>
        </is>
      </c>
      <c r="I7949">
        <f>IF(H7949="UNPAID", AsOfDate-D7949, 0)</f>
        <v/>
      </c>
      <c r="J7949">
        <f>IF(F7949&lt;&gt;"", TEXT(F7949, "yyyy-mm"), "")</f>
        <v/>
      </c>
    </row>
    <row r="7950">
      <c r="A7950" t="inlineStr">
        <is>
          <t>RP0007949</t>
        </is>
      </c>
      <c r="B7950" t="inlineStr">
        <is>
          <t>LN201133</t>
        </is>
      </c>
      <c r="C7950" t="n">
        <v>2</v>
      </c>
      <c r="D7950" s="8" t="n">
        <v>46237</v>
      </c>
      <c r="E7950" s="9" t="n">
        <v>103920.25</v>
      </c>
      <c r="F7950" s="8" t="n">
        <v>46239</v>
      </c>
      <c r="G7950" s="9" t="n">
        <v>103920.25</v>
      </c>
      <c r="H7950" t="inlineStr">
        <is>
          <t>PAID_ON_TIME</t>
        </is>
      </c>
      <c r="I7950">
        <f>IF(H7950="UNPAID", AsOfDate-D7950, 0)</f>
        <v/>
      </c>
      <c r="J7950">
        <f>IF(F7950&lt;&gt;"", TEXT(F7950, "yyyy-mm"), "")</f>
        <v/>
      </c>
    </row>
    <row r="7951">
      <c r="A7951" t="inlineStr">
        <is>
          <t>RP0007950</t>
        </is>
      </c>
      <c r="B7951" t="inlineStr">
        <is>
          <t>LN201133</t>
        </is>
      </c>
      <c r="C7951" t="n">
        <v>3</v>
      </c>
      <c r="D7951" s="8" t="n">
        <v>46268</v>
      </c>
      <c r="E7951" s="9" t="n">
        <v>103920.25</v>
      </c>
      <c r="F7951" s="8" t="n"/>
      <c r="G7951" s="9" t="n">
        <v>0</v>
      </c>
      <c r="H7951" t="inlineStr">
        <is>
          <t>NOT_DUE</t>
        </is>
      </c>
      <c r="I7951">
        <f>IF(H7951="UNPAID", AsOfDate-D7951, 0)</f>
        <v/>
      </c>
      <c r="J7951">
        <f>IF(F7951&lt;&gt;"", TEXT(F7951, "yyyy-mm"), "")</f>
        <v/>
      </c>
    </row>
    <row r="7952">
      <c r="A7952" t="inlineStr">
        <is>
          <t>RP0007951</t>
        </is>
      </c>
      <c r="B7952" t="inlineStr">
        <is>
          <t>LN201134</t>
        </is>
      </c>
      <c r="C7952" t="n">
        <v>1</v>
      </c>
      <c r="D7952" s="8" t="n">
        <v>45777</v>
      </c>
      <c r="E7952" s="9" t="n">
        <v>71286.83</v>
      </c>
      <c r="F7952" s="8" t="n">
        <v>45778</v>
      </c>
      <c r="G7952" s="9" t="n">
        <v>71286.83</v>
      </c>
      <c r="H7952" t="inlineStr">
        <is>
          <t>PAID_ON_TIME</t>
        </is>
      </c>
      <c r="I7952">
        <f>IF(H7952="UNPAID", AsOfDate-D7952, 0)</f>
        <v/>
      </c>
      <c r="J7952">
        <f>IF(F7952&lt;&gt;"", TEXT(F7952, "yyyy-mm"), "")</f>
        <v/>
      </c>
    </row>
    <row r="7953">
      <c r="A7953" t="inlineStr">
        <is>
          <t>RP0007952</t>
        </is>
      </c>
      <c r="B7953" t="inlineStr">
        <is>
          <t>LN201134</t>
        </is>
      </c>
      <c r="C7953" t="n">
        <v>2</v>
      </c>
      <c r="D7953" s="8" t="n">
        <v>45807</v>
      </c>
      <c r="E7953" s="9" t="n">
        <v>71286.83</v>
      </c>
      <c r="F7953" s="8" t="n">
        <v>45810</v>
      </c>
      <c r="G7953" s="9" t="n">
        <v>71286.83</v>
      </c>
      <c r="H7953" t="inlineStr">
        <is>
          <t>PAID_ON_TIME</t>
        </is>
      </c>
      <c r="I7953">
        <f>IF(H7953="UNPAID", AsOfDate-D7953, 0)</f>
        <v/>
      </c>
      <c r="J7953">
        <f>IF(F7953&lt;&gt;"", TEXT(F7953, "yyyy-mm"), "")</f>
        <v/>
      </c>
    </row>
    <row r="7954">
      <c r="A7954" t="inlineStr">
        <is>
          <t>RP0007953</t>
        </is>
      </c>
      <c r="B7954" t="inlineStr">
        <is>
          <t>LN201134</t>
        </is>
      </c>
      <c r="C7954" t="n">
        <v>3</v>
      </c>
      <c r="D7954" s="8" t="n">
        <v>45838</v>
      </c>
      <c r="E7954" s="9" t="n">
        <v>71286.83</v>
      </c>
      <c r="F7954" s="8" t="n">
        <v>45836</v>
      </c>
      <c r="G7954" s="9" t="n">
        <v>71286.83</v>
      </c>
      <c r="H7954" t="inlineStr">
        <is>
          <t>PAID_ON_TIME</t>
        </is>
      </c>
      <c r="I7954">
        <f>IF(H7954="UNPAID", AsOfDate-D7954, 0)</f>
        <v/>
      </c>
      <c r="J7954">
        <f>IF(F7954&lt;&gt;"", TEXT(F7954, "yyyy-mm"), "")</f>
        <v/>
      </c>
    </row>
    <row r="7955">
      <c r="A7955" t="inlineStr">
        <is>
          <t>RP0007954</t>
        </is>
      </c>
      <c r="B7955" t="inlineStr">
        <is>
          <t>LN201135</t>
        </is>
      </c>
      <c r="C7955" t="n">
        <v>1</v>
      </c>
      <c r="D7955" s="8" t="n">
        <v>45836</v>
      </c>
      <c r="E7955" s="9" t="n">
        <v>45125</v>
      </c>
      <c r="F7955" s="8" t="n">
        <v>45838</v>
      </c>
      <c r="G7955" s="9" t="n">
        <v>45125</v>
      </c>
      <c r="H7955" t="inlineStr">
        <is>
          <t>PAID_ON_TIME</t>
        </is>
      </c>
      <c r="I7955">
        <f>IF(H7955="UNPAID", AsOfDate-D7955, 0)</f>
        <v/>
      </c>
      <c r="J7955">
        <f>IF(F7955&lt;&gt;"", TEXT(F7955, "yyyy-mm"), "")</f>
        <v/>
      </c>
    </row>
    <row r="7956">
      <c r="A7956" t="inlineStr">
        <is>
          <t>RP0007955</t>
        </is>
      </c>
      <c r="B7956" t="inlineStr">
        <is>
          <t>LN201135</t>
        </is>
      </c>
      <c r="C7956" t="n">
        <v>2</v>
      </c>
      <c r="D7956" s="8" t="n">
        <v>45866</v>
      </c>
      <c r="E7956" s="9" t="n">
        <v>45125</v>
      </c>
      <c r="F7956" s="8" t="n">
        <v>45867</v>
      </c>
      <c r="G7956" s="9" t="n">
        <v>45125</v>
      </c>
      <c r="H7956" t="inlineStr">
        <is>
          <t>PAID_ON_TIME</t>
        </is>
      </c>
      <c r="I7956">
        <f>IF(H7956="UNPAID", AsOfDate-D7956, 0)</f>
        <v/>
      </c>
      <c r="J7956">
        <f>IF(F7956&lt;&gt;"", TEXT(F7956, "yyyy-mm"), "")</f>
        <v/>
      </c>
    </row>
    <row r="7957">
      <c r="A7957" t="inlineStr">
        <is>
          <t>RP0007956</t>
        </is>
      </c>
      <c r="B7957" t="inlineStr">
        <is>
          <t>LN201135</t>
        </is>
      </c>
      <c r="C7957" t="n">
        <v>3</v>
      </c>
      <c r="D7957" s="8" t="n">
        <v>45897</v>
      </c>
      <c r="E7957" s="9" t="n">
        <v>45125</v>
      </c>
      <c r="F7957" s="8" t="n">
        <v>45898</v>
      </c>
      <c r="G7957" s="9" t="n">
        <v>45125</v>
      </c>
      <c r="H7957" t="inlineStr">
        <is>
          <t>PAID_ON_TIME</t>
        </is>
      </c>
      <c r="I7957">
        <f>IF(H7957="UNPAID", AsOfDate-D7957, 0)</f>
        <v/>
      </c>
      <c r="J7957">
        <f>IF(F7957&lt;&gt;"", TEXT(F7957, "yyyy-mm"), "")</f>
        <v/>
      </c>
    </row>
    <row r="7958">
      <c r="A7958" t="inlineStr">
        <is>
          <t>RP0007957</t>
        </is>
      </c>
      <c r="B7958" t="inlineStr">
        <is>
          <t>LN201135</t>
        </is>
      </c>
      <c r="C7958" t="n">
        <v>4</v>
      </c>
      <c r="D7958" s="8" t="n">
        <v>45928</v>
      </c>
      <c r="E7958" s="9" t="n">
        <v>45125</v>
      </c>
      <c r="F7958" s="8" t="n">
        <v>45932</v>
      </c>
      <c r="G7958" s="9" t="n">
        <v>45125</v>
      </c>
      <c r="H7958" t="inlineStr">
        <is>
          <t>PAID_ON_TIME</t>
        </is>
      </c>
      <c r="I7958">
        <f>IF(H7958="UNPAID", AsOfDate-D7958, 0)</f>
        <v/>
      </c>
      <c r="J7958">
        <f>IF(F7958&lt;&gt;"", TEXT(F7958, "yyyy-mm"), "")</f>
        <v/>
      </c>
    </row>
    <row r="7959">
      <c r="A7959" t="inlineStr">
        <is>
          <t>RP0007958</t>
        </is>
      </c>
      <c r="B7959" t="inlineStr">
        <is>
          <t>LN201135</t>
        </is>
      </c>
      <c r="C7959" t="n">
        <v>5</v>
      </c>
      <c r="D7959" s="8" t="n">
        <v>45958</v>
      </c>
      <c r="E7959" s="9" t="n">
        <v>45125</v>
      </c>
      <c r="F7959" s="8" t="n">
        <v>45958</v>
      </c>
      <c r="G7959" s="9" t="n">
        <v>45125</v>
      </c>
      <c r="H7959" t="inlineStr">
        <is>
          <t>PAID_ON_TIME</t>
        </is>
      </c>
      <c r="I7959">
        <f>IF(H7959="UNPAID", AsOfDate-D7959, 0)</f>
        <v/>
      </c>
      <c r="J7959">
        <f>IF(F7959&lt;&gt;"", TEXT(F7959, "yyyy-mm"), "")</f>
        <v/>
      </c>
    </row>
    <row r="7960">
      <c r="A7960" t="inlineStr">
        <is>
          <t>RP0007959</t>
        </is>
      </c>
      <c r="B7960" t="inlineStr">
        <is>
          <t>LN201135</t>
        </is>
      </c>
      <c r="C7960" t="n">
        <v>6</v>
      </c>
      <c r="D7960" s="8" t="n">
        <v>45989</v>
      </c>
      <c r="E7960" s="9" t="n">
        <v>45125</v>
      </c>
      <c r="F7960" s="8" t="n">
        <v>45992</v>
      </c>
      <c r="G7960" s="9" t="n">
        <v>45125</v>
      </c>
      <c r="H7960" t="inlineStr">
        <is>
          <t>PAID_ON_TIME</t>
        </is>
      </c>
      <c r="I7960">
        <f>IF(H7960="UNPAID", AsOfDate-D7960, 0)</f>
        <v/>
      </c>
      <c r="J7960">
        <f>IF(F7960&lt;&gt;"", TEXT(F7960, "yyyy-mm"), "")</f>
        <v/>
      </c>
    </row>
    <row r="7961">
      <c r="A7961" t="inlineStr">
        <is>
          <t>RP0007960</t>
        </is>
      </c>
      <c r="B7961" t="inlineStr">
        <is>
          <t>LN201136</t>
        </is>
      </c>
      <c r="C7961" t="n">
        <v>1</v>
      </c>
      <c r="D7961" s="8" t="n">
        <v>45796</v>
      </c>
      <c r="E7961" s="9" t="n">
        <v>35392</v>
      </c>
      <c r="F7961" s="8" t="n">
        <v>45793</v>
      </c>
      <c r="G7961" s="9" t="n">
        <v>35392</v>
      </c>
      <c r="H7961" t="inlineStr">
        <is>
          <t>PAID_ON_TIME</t>
        </is>
      </c>
      <c r="I7961">
        <f>IF(H7961="UNPAID", AsOfDate-D7961, 0)</f>
        <v/>
      </c>
      <c r="J7961">
        <f>IF(F7961&lt;&gt;"", TEXT(F7961, "yyyy-mm"), "")</f>
        <v/>
      </c>
    </row>
    <row r="7962">
      <c r="A7962" t="inlineStr">
        <is>
          <t>RP0007961</t>
        </is>
      </c>
      <c r="B7962" t="inlineStr">
        <is>
          <t>LN201136</t>
        </is>
      </c>
      <c r="C7962" t="n">
        <v>2</v>
      </c>
      <c r="D7962" s="8" t="n">
        <v>45827</v>
      </c>
      <c r="E7962" s="9" t="n">
        <v>35392</v>
      </c>
      <c r="F7962" s="8" t="n">
        <v>45828</v>
      </c>
      <c r="G7962" s="9" t="n">
        <v>35392</v>
      </c>
      <c r="H7962" t="inlineStr">
        <is>
          <t>PAID_ON_TIME</t>
        </is>
      </c>
      <c r="I7962">
        <f>IF(H7962="UNPAID", AsOfDate-D7962, 0)</f>
        <v/>
      </c>
      <c r="J7962">
        <f>IF(F7962&lt;&gt;"", TEXT(F7962, "yyyy-mm"), "")</f>
        <v/>
      </c>
    </row>
    <row r="7963">
      <c r="A7963" t="inlineStr">
        <is>
          <t>RP0007962</t>
        </is>
      </c>
      <c r="B7963" t="inlineStr">
        <is>
          <t>LN201136</t>
        </is>
      </c>
      <c r="C7963" t="n">
        <v>3</v>
      </c>
      <c r="D7963" s="8" t="n">
        <v>45857</v>
      </c>
      <c r="E7963" s="9" t="n">
        <v>35392</v>
      </c>
      <c r="F7963" s="8" t="n">
        <v>45857</v>
      </c>
      <c r="G7963" s="9" t="n">
        <v>35392</v>
      </c>
      <c r="H7963" t="inlineStr">
        <is>
          <t>PAID_ON_TIME</t>
        </is>
      </c>
      <c r="I7963">
        <f>IF(H7963="UNPAID", AsOfDate-D7963, 0)</f>
        <v/>
      </c>
      <c r="J7963">
        <f>IF(F7963&lt;&gt;"", TEXT(F7963, "yyyy-mm"), "")</f>
        <v/>
      </c>
    </row>
    <row r="7964">
      <c r="A7964" t="inlineStr">
        <is>
          <t>RP0007963</t>
        </is>
      </c>
      <c r="B7964" t="inlineStr">
        <is>
          <t>LN201136</t>
        </is>
      </c>
      <c r="C7964" t="n">
        <v>4</v>
      </c>
      <c r="D7964" s="8" t="n">
        <v>45888</v>
      </c>
      <c r="E7964" s="9" t="n">
        <v>35392</v>
      </c>
      <c r="F7964" s="8" t="n">
        <v>45886</v>
      </c>
      <c r="G7964" s="9" t="n">
        <v>35392</v>
      </c>
      <c r="H7964" t="inlineStr">
        <is>
          <t>PAID_ON_TIME</t>
        </is>
      </c>
      <c r="I7964">
        <f>IF(H7964="UNPAID", AsOfDate-D7964, 0)</f>
        <v/>
      </c>
      <c r="J7964">
        <f>IF(F7964&lt;&gt;"", TEXT(F7964, "yyyy-mm"), "")</f>
        <v/>
      </c>
    </row>
    <row r="7965">
      <c r="A7965" t="inlineStr">
        <is>
          <t>RP0007964</t>
        </is>
      </c>
      <c r="B7965" t="inlineStr">
        <is>
          <t>LN201136</t>
        </is>
      </c>
      <c r="C7965" t="n">
        <v>5</v>
      </c>
      <c r="D7965" s="8" t="n">
        <v>45919</v>
      </c>
      <c r="E7965" s="9" t="n">
        <v>35392</v>
      </c>
      <c r="F7965" s="8" t="n">
        <v>45921</v>
      </c>
      <c r="G7965" s="9" t="n">
        <v>35392</v>
      </c>
      <c r="H7965" t="inlineStr">
        <is>
          <t>PAID_ON_TIME</t>
        </is>
      </c>
      <c r="I7965">
        <f>IF(H7965="UNPAID", AsOfDate-D7965, 0)</f>
        <v/>
      </c>
      <c r="J7965">
        <f>IF(F7965&lt;&gt;"", TEXT(F7965, "yyyy-mm"), "")</f>
        <v/>
      </c>
    </row>
    <row r="7966">
      <c r="A7966" t="inlineStr">
        <is>
          <t>RP0007965</t>
        </is>
      </c>
      <c r="B7966" t="inlineStr">
        <is>
          <t>LN201136</t>
        </is>
      </c>
      <c r="C7966" t="n">
        <v>6</v>
      </c>
      <c r="D7966" s="8" t="n">
        <v>45949</v>
      </c>
      <c r="E7966" s="9" t="n">
        <v>35392</v>
      </c>
      <c r="F7966" s="8" t="n">
        <v>45946</v>
      </c>
      <c r="G7966" s="9" t="n">
        <v>35392</v>
      </c>
      <c r="H7966" t="inlineStr">
        <is>
          <t>PAID_ON_TIME</t>
        </is>
      </c>
      <c r="I7966">
        <f>IF(H7966="UNPAID", AsOfDate-D7966, 0)</f>
        <v/>
      </c>
      <c r="J7966">
        <f>IF(F7966&lt;&gt;"", TEXT(F7966, "yyyy-mm"), "")</f>
        <v/>
      </c>
    </row>
    <row r="7967">
      <c r="A7967" t="inlineStr">
        <is>
          <t>RP0007966</t>
        </is>
      </c>
      <c r="B7967" t="inlineStr">
        <is>
          <t>LN201137</t>
        </is>
      </c>
      <c r="C7967" t="n">
        <v>1</v>
      </c>
      <c r="D7967" s="8" t="n">
        <v>45941</v>
      </c>
      <c r="E7967" s="9" t="n">
        <v>16797.67</v>
      </c>
      <c r="F7967" s="8" t="n">
        <v>45940</v>
      </c>
      <c r="G7967" s="9" t="n">
        <v>16797.67</v>
      </c>
      <c r="H7967" t="inlineStr">
        <is>
          <t>PAID_ON_TIME</t>
        </is>
      </c>
      <c r="I7967">
        <f>IF(H7967="UNPAID", AsOfDate-D7967, 0)</f>
        <v/>
      </c>
      <c r="J7967">
        <f>IF(F7967&lt;&gt;"", TEXT(F7967, "yyyy-mm"), "")</f>
        <v/>
      </c>
    </row>
    <row r="7968">
      <c r="A7968" t="inlineStr">
        <is>
          <t>RP0007967</t>
        </is>
      </c>
      <c r="B7968" t="inlineStr">
        <is>
          <t>LN201137</t>
        </is>
      </c>
      <c r="C7968" t="n">
        <v>2</v>
      </c>
      <c r="D7968" s="8" t="n">
        <v>45972</v>
      </c>
      <c r="E7968" s="9" t="n">
        <v>16797.67</v>
      </c>
      <c r="F7968" s="8" t="n">
        <v>45975</v>
      </c>
      <c r="G7968" s="9" t="n">
        <v>16797.67</v>
      </c>
      <c r="H7968" t="inlineStr">
        <is>
          <t>PAID_ON_TIME</t>
        </is>
      </c>
      <c r="I7968">
        <f>IF(H7968="UNPAID", AsOfDate-D7968, 0)</f>
        <v/>
      </c>
      <c r="J7968">
        <f>IF(F7968&lt;&gt;"", TEXT(F7968, "yyyy-mm"), "")</f>
        <v/>
      </c>
    </row>
    <row r="7969">
      <c r="A7969" t="inlineStr">
        <is>
          <t>RP0007968</t>
        </is>
      </c>
      <c r="B7969" t="inlineStr">
        <is>
          <t>LN201137</t>
        </is>
      </c>
      <c r="C7969" t="n">
        <v>3</v>
      </c>
      <c r="D7969" s="8" t="n">
        <v>46002</v>
      </c>
      <c r="E7969" s="9" t="n">
        <v>16797.67</v>
      </c>
      <c r="F7969" s="8" t="n">
        <v>46000</v>
      </c>
      <c r="G7969" s="9" t="n">
        <v>16797.67</v>
      </c>
      <c r="H7969" t="inlineStr">
        <is>
          <t>PAID_ON_TIME</t>
        </is>
      </c>
      <c r="I7969">
        <f>IF(H7969="UNPAID", AsOfDate-D7969, 0)</f>
        <v/>
      </c>
      <c r="J7969">
        <f>IF(F7969&lt;&gt;"", TEXT(F7969, "yyyy-mm"), "")</f>
        <v/>
      </c>
    </row>
    <row r="7970">
      <c r="A7970" t="inlineStr">
        <is>
          <t>RP0007969</t>
        </is>
      </c>
      <c r="B7970" t="inlineStr">
        <is>
          <t>LN201137</t>
        </is>
      </c>
      <c r="C7970" t="n">
        <v>4</v>
      </c>
      <c r="D7970" s="8" t="n">
        <v>46033</v>
      </c>
      <c r="E7970" s="9" t="n">
        <v>16797.67</v>
      </c>
      <c r="F7970" s="8" t="n">
        <v>46035</v>
      </c>
      <c r="G7970" s="9" t="n">
        <v>16797.67</v>
      </c>
      <c r="H7970" t="inlineStr">
        <is>
          <t>PAID_ON_TIME</t>
        </is>
      </c>
      <c r="I7970">
        <f>IF(H7970="UNPAID", AsOfDate-D7970, 0)</f>
        <v/>
      </c>
      <c r="J7970">
        <f>IF(F7970&lt;&gt;"", TEXT(F7970, "yyyy-mm"), "")</f>
        <v/>
      </c>
    </row>
    <row r="7971">
      <c r="A7971" t="inlineStr">
        <is>
          <t>RP0007970</t>
        </is>
      </c>
      <c r="B7971" t="inlineStr">
        <is>
          <t>LN201137</t>
        </is>
      </c>
      <c r="C7971" t="n">
        <v>5</v>
      </c>
      <c r="D7971" s="8" t="n">
        <v>46064</v>
      </c>
      <c r="E7971" s="9" t="n">
        <v>16797.67</v>
      </c>
      <c r="F7971" s="8" t="n">
        <v>46061</v>
      </c>
      <c r="G7971" s="9" t="n">
        <v>16797.67</v>
      </c>
      <c r="H7971" t="inlineStr">
        <is>
          <t>PAID_ON_TIME</t>
        </is>
      </c>
      <c r="I7971">
        <f>IF(H7971="UNPAID", AsOfDate-D7971, 0)</f>
        <v/>
      </c>
      <c r="J7971">
        <f>IF(F7971&lt;&gt;"", TEXT(F7971, "yyyy-mm"), "")</f>
        <v/>
      </c>
    </row>
    <row r="7972">
      <c r="A7972" t="inlineStr">
        <is>
          <t>RP0007971</t>
        </is>
      </c>
      <c r="B7972" t="inlineStr">
        <is>
          <t>LN201137</t>
        </is>
      </c>
      <c r="C7972" t="n">
        <v>6</v>
      </c>
      <c r="D7972" s="8" t="n">
        <v>46092</v>
      </c>
      <c r="E7972" s="9" t="n">
        <v>16797.67</v>
      </c>
      <c r="F7972" s="8" t="n">
        <v>46090</v>
      </c>
      <c r="G7972" s="9" t="n">
        <v>16797.67</v>
      </c>
      <c r="H7972" t="inlineStr">
        <is>
          <t>PAID_ON_TIME</t>
        </is>
      </c>
      <c r="I7972">
        <f>IF(H7972="UNPAID", AsOfDate-D7972, 0)</f>
        <v/>
      </c>
      <c r="J7972">
        <f>IF(F7972&lt;&gt;"", TEXT(F7972, "yyyy-mm"), "")</f>
        <v/>
      </c>
    </row>
    <row r="7973">
      <c r="A7973" t="inlineStr">
        <is>
          <t>RP0007972</t>
        </is>
      </c>
      <c r="B7973" t="inlineStr">
        <is>
          <t>LN201138</t>
        </is>
      </c>
      <c r="C7973" t="n">
        <v>1</v>
      </c>
      <c r="D7973" s="8" t="n">
        <v>45880</v>
      </c>
      <c r="E7973" s="9" t="n">
        <v>26056.44</v>
      </c>
      <c r="F7973" s="8" t="n">
        <v>45878</v>
      </c>
      <c r="G7973" s="9" t="n">
        <v>26056.44</v>
      </c>
      <c r="H7973" t="inlineStr">
        <is>
          <t>PAID_ON_TIME</t>
        </is>
      </c>
      <c r="I7973">
        <f>IF(H7973="UNPAID", AsOfDate-D7973, 0)</f>
        <v/>
      </c>
      <c r="J7973">
        <f>IF(F7973&lt;&gt;"", TEXT(F7973, "yyyy-mm"), "")</f>
        <v/>
      </c>
    </row>
    <row r="7974">
      <c r="A7974" t="inlineStr">
        <is>
          <t>RP0007973</t>
        </is>
      </c>
      <c r="B7974" t="inlineStr">
        <is>
          <t>LN201138</t>
        </is>
      </c>
      <c r="C7974" t="n">
        <v>2</v>
      </c>
      <c r="D7974" s="8" t="n">
        <v>45911</v>
      </c>
      <c r="E7974" s="9" t="n">
        <v>26056.44</v>
      </c>
      <c r="F7974" s="8" t="n">
        <v>45908</v>
      </c>
      <c r="G7974" s="9" t="n">
        <v>26056.44</v>
      </c>
      <c r="H7974" t="inlineStr">
        <is>
          <t>PAID_ON_TIME</t>
        </is>
      </c>
      <c r="I7974">
        <f>IF(H7974="UNPAID", AsOfDate-D7974, 0)</f>
        <v/>
      </c>
      <c r="J7974">
        <f>IF(F7974&lt;&gt;"", TEXT(F7974, "yyyy-mm"), "")</f>
        <v/>
      </c>
    </row>
    <row r="7975">
      <c r="A7975" t="inlineStr">
        <is>
          <t>RP0007974</t>
        </is>
      </c>
      <c r="B7975" t="inlineStr">
        <is>
          <t>LN201138</t>
        </is>
      </c>
      <c r="C7975" t="n">
        <v>3</v>
      </c>
      <c r="D7975" s="8" t="n">
        <v>45941</v>
      </c>
      <c r="E7975" s="9" t="n">
        <v>26056.44</v>
      </c>
      <c r="F7975" s="8" t="n">
        <v>45938</v>
      </c>
      <c r="G7975" s="9" t="n">
        <v>26056.44</v>
      </c>
      <c r="H7975" t="inlineStr">
        <is>
          <t>PAID_ON_TIME</t>
        </is>
      </c>
      <c r="I7975">
        <f>IF(H7975="UNPAID", AsOfDate-D7975, 0)</f>
        <v/>
      </c>
      <c r="J7975">
        <f>IF(F7975&lt;&gt;"", TEXT(F7975, "yyyy-mm"), "")</f>
        <v/>
      </c>
    </row>
    <row r="7976">
      <c r="A7976" t="inlineStr">
        <is>
          <t>RP0007975</t>
        </is>
      </c>
      <c r="B7976" t="inlineStr">
        <is>
          <t>LN201138</t>
        </is>
      </c>
      <c r="C7976" t="n">
        <v>4</v>
      </c>
      <c r="D7976" s="8" t="n">
        <v>45972</v>
      </c>
      <c r="E7976" s="9" t="n">
        <v>26056.44</v>
      </c>
      <c r="F7976" s="8" t="n">
        <v>45972</v>
      </c>
      <c r="G7976" s="9" t="n">
        <v>26056.44</v>
      </c>
      <c r="H7976" t="inlineStr">
        <is>
          <t>PAID_ON_TIME</t>
        </is>
      </c>
      <c r="I7976">
        <f>IF(H7976="UNPAID", AsOfDate-D7976, 0)</f>
        <v/>
      </c>
      <c r="J7976">
        <f>IF(F7976&lt;&gt;"", TEXT(F7976, "yyyy-mm"), "")</f>
        <v/>
      </c>
    </row>
    <row r="7977">
      <c r="A7977" t="inlineStr">
        <is>
          <t>RP0007976</t>
        </is>
      </c>
      <c r="B7977" t="inlineStr">
        <is>
          <t>LN201138</t>
        </is>
      </c>
      <c r="C7977" t="n">
        <v>5</v>
      </c>
      <c r="D7977" s="8" t="n">
        <v>46002</v>
      </c>
      <c r="E7977" s="9" t="n">
        <v>26056.44</v>
      </c>
      <c r="F7977" s="8" t="n">
        <v>46004</v>
      </c>
      <c r="G7977" s="9" t="n">
        <v>26056.44</v>
      </c>
      <c r="H7977" t="inlineStr">
        <is>
          <t>PAID_ON_TIME</t>
        </is>
      </c>
      <c r="I7977">
        <f>IF(H7977="UNPAID", AsOfDate-D7977, 0)</f>
        <v/>
      </c>
      <c r="J7977">
        <f>IF(F7977&lt;&gt;"", TEXT(F7977, "yyyy-mm"), "")</f>
        <v/>
      </c>
    </row>
    <row r="7978">
      <c r="A7978" t="inlineStr">
        <is>
          <t>RP0007977</t>
        </is>
      </c>
      <c r="B7978" t="inlineStr">
        <is>
          <t>LN201138</t>
        </is>
      </c>
      <c r="C7978" t="n">
        <v>6</v>
      </c>
      <c r="D7978" s="8" t="n">
        <v>46033</v>
      </c>
      <c r="E7978" s="9" t="n">
        <v>26056.44</v>
      </c>
      <c r="F7978" s="8" t="n">
        <v>46041</v>
      </c>
      <c r="G7978" s="9" t="n">
        <v>26056.44</v>
      </c>
      <c r="H7978" t="inlineStr">
        <is>
          <t>PAID_LATE</t>
        </is>
      </c>
      <c r="I7978">
        <f>IF(H7978="UNPAID", AsOfDate-D7978, 0)</f>
        <v/>
      </c>
      <c r="J7978">
        <f>IF(F7978&lt;&gt;"", TEXT(F7978, "yyyy-mm"), "")</f>
        <v/>
      </c>
    </row>
    <row r="7979">
      <c r="A7979" t="inlineStr">
        <is>
          <t>RP0007978</t>
        </is>
      </c>
      <c r="B7979" t="inlineStr">
        <is>
          <t>LN201138</t>
        </is>
      </c>
      <c r="C7979" t="n">
        <v>7</v>
      </c>
      <c r="D7979" s="8" t="n">
        <v>46064</v>
      </c>
      <c r="E7979" s="9" t="n">
        <v>26056.44</v>
      </c>
      <c r="F7979" s="8" t="n">
        <v>46062</v>
      </c>
      <c r="G7979" s="9" t="n">
        <v>26056.44</v>
      </c>
      <c r="H7979" t="inlineStr">
        <is>
          <t>PAID_ON_TIME</t>
        </is>
      </c>
      <c r="I7979">
        <f>IF(H7979="UNPAID", AsOfDate-D7979, 0)</f>
        <v/>
      </c>
      <c r="J7979">
        <f>IF(F7979&lt;&gt;"", TEXT(F7979, "yyyy-mm"), "")</f>
        <v/>
      </c>
    </row>
    <row r="7980">
      <c r="A7980" t="inlineStr">
        <is>
          <t>RP0007979</t>
        </is>
      </c>
      <c r="B7980" t="inlineStr">
        <is>
          <t>LN201138</t>
        </is>
      </c>
      <c r="C7980" t="n">
        <v>8</v>
      </c>
      <c r="D7980" s="8" t="n">
        <v>46092</v>
      </c>
      <c r="E7980" s="9" t="n">
        <v>26056.44</v>
      </c>
      <c r="F7980" s="8" t="n">
        <v>46146</v>
      </c>
      <c r="G7980" s="9" t="n">
        <v>26056.44</v>
      </c>
      <c r="H7980" t="inlineStr">
        <is>
          <t>PAID_LATE</t>
        </is>
      </c>
      <c r="I7980">
        <f>IF(H7980="UNPAID", AsOfDate-D7980, 0)</f>
        <v/>
      </c>
      <c r="J7980">
        <f>IF(F7980&lt;&gt;"", TEXT(F7980, "yyyy-mm"), "")</f>
        <v/>
      </c>
    </row>
    <row r="7981">
      <c r="A7981" t="inlineStr">
        <is>
          <t>RP0007980</t>
        </is>
      </c>
      <c r="B7981" t="inlineStr">
        <is>
          <t>LN201138</t>
        </is>
      </c>
      <c r="C7981" t="n">
        <v>9</v>
      </c>
      <c r="D7981" s="8" t="n">
        <v>46123</v>
      </c>
      <c r="E7981" s="9" t="n">
        <v>26056.44</v>
      </c>
      <c r="F7981" s="8" t="n">
        <v>46125</v>
      </c>
      <c r="G7981" s="9" t="n">
        <v>26056.44</v>
      </c>
      <c r="H7981" t="inlineStr">
        <is>
          <t>PAID_ON_TIME</t>
        </is>
      </c>
      <c r="I7981">
        <f>IF(H7981="UNPAID", AsOfDate-D7981, 0)</f>
        <v/>
      </c>
      <c r="J7981">
        <f>IF(F7981&lt;&gt;"", TEXT(F7981, "yyyy-mm"), "")</f>
        <v/>
      </c>
    </row>
    <row r="7982">
      <c r="A7982" t="inlineStr">
        <is>
          <t>RP0007981</t>
        </is>
      </c>
      <c r="B7982" t="inlineStr">
        <is>
          <t>LN201138</t>
        </is>
      </c>
      <c r="C7982" t="n">
        <v>10</v>
      </c>
      <c r="D7982" s="8" t="n">
        <v>46153</v>
      </c>
      <c r="E7982" s="9" t="n">
        <v>26056.44</v>
      </c>
      <c r="F7982" s="8" t="n">
        <v>46155</v>
      </c>
      <c r="G7982" s="9" t="n">
        <v>26056.44</v>
      </c>
      <c r="H7982" t="inlineStr">
        <is>
          <t>PAID_ON_TIME</t>
        </is>
      </c>
      <c r="I7982">
        <f>IF(H7982="UNPAID", AsOfDate-D7982, 0)</f>
        <v/>
      </c>
      <c r="J7982">
        <f>IF(F7982&lt;&gt;"", TEXT(F7982, "yyyy-mm"), "")</f>
        <v/>
      </c>
    </row>
    <row r="7983">
      <c r="A7983" t="inlineStr">
        <is>
          <t>RP0007982</t>
        </is>
      </c>
      <c r="B7983" t="inlineStr">
        <is>
          <t>LN201138</t>
        </is>
      </c>
      <c r="C7983" t="n">
        <v>11</v>
      </c>
      <c r="D7983" s="8" t="n">
        <v>46184</v>
      </c>
      <c r="E7983" s="9" t="n">
        <v>26056.44</v>
      </c>
      <c r="F7983" s="8" t="n">
        <v>46181</v>
      </c>
      <c r="G7983" s="9" t="n">
        <v>26056.44</v>
      </c>
      <c r="H7983" t="inlineStr">
        <is>
          <t>PAID_ON_TIME</t>
        </is>
      </c>
      <c r="I7983">
        <f>IF(H7983="UNPAID", AsOfDate-D7983, 0)</f>
        <v/>
      </c>
      <c r="J7983">
        <f>IF(F7983&lt;&gt;"", TEXT(F7983, "yyyy-mm"), "")</f>
        <v/>
      </c>
    </row>
    <row r="7984">
      <c r="A7984" t="inlineStr">
        <is>
          <t>RP0007983</t>
        </is>
      </c>
      <c r="B7984" t="inlineStr">
        <is>
          <t>LN201138</t>
        </is>
      </c>
      <c r="C7984" t="n">
        <v>12</v>
      </c>
      <c r="D7984" s="8" t="n">
        <v>46214</v>
      </c>
      <c r="E7984" s="9" t="n">
        <v>26056.44</v>
      </c>
      <c r="F7984" s="8" t="n">
        <v>46214</v>
      </c>
      <c r="G7984" s="9" t="n">
        <v>26056.44</v>
      </c>
      <c r="H7984" t="inlineStr">
        <is>
          <t>PAID_ON_TIME</t>
        </is>
      </c>
      <c r="I7984">
        <f>IF(H7984="UNPAID", AsOfDate-D7984, 0)</f>
        <v/>
      </c>
      <c r="J7984">
        <f>IF(F7984&lt;&gt;"", TEXT(F7984, "yyyy-mm"), "")</f>
        <v/>
      </c>
    </row>
    <row r="7985">
      <c r="A7985" t="inlineStr">
        <is>
          <t>RP0007984</t>
        </is>
      </c>
      <c r="B7985" t="inlineStr">
        <is>
          <t>LN201138</t>
        </is>
      </c>
      <c r="C7985" t="n">
        <v>13</v>
      </c>
      <c r="D7985" s="8" t="n">
        <v>46245</v>
      </c>
      <c r="E7985" s="9" t="n">
        <v>26056.44</v>
      </c>
      <c r="F7985" s="8" t="n">
        <v>46243</v>
      </c>
      <c r="G7985" s="9" t="n">
        <v>26056.44</v>
      </c>
      <c r="H7985" t="inlineStr">
        <is>
          <t>PAID_ON_TIME</t>
        </is>
      </c>
      <c r="I7985">
        <f>IF(H7985="UNPAID", AsOfDate-D7985, 0)</f>
        <v/>
      </c>
      <c r="J7985">
        <f>IF(F7985&lt;&gt;"", TEXT(F7985, "yyyy-mm"), "")</f>
        <v/>
      </c>
    </row>
    <row r="7986">
      <c r="A7986" t="inlineStr">
        <is>
          <t>RP0007985</t>
        </is>
      </c>
      <c r="B7986" t="inlineStr">
        <is>
          <t>LN201138</t>
        </is>
      </c>
      <c r="C7986" t="n">
        <v>14</v>
      </c>
      <c r="D7986" s="8" t="n">
        <v>46276</v>
      </c>
      <c r="E7986" s="9" t="n">
        <v>26056.44</v>
      </c>
      <c r="F7986" s="8" t="n"/>
      <c r="G7986" s="9" t="n">
        <v>0</v>
      </c>
      <c r="H7986" t="inlineStr">
        <is>
          <t>NOT_DUE</t>
        </is>
      </c>
      <c r="I7986">
        <f>IF(H7986="UNPAID", AsOfDate-D7986, 0)</f>
        <v/>
      </c>
      <c r="J7986">
        <f>IF(F7986&lt;&gt;"", TEXT(F7986, "yyyy-mm"), "")</f>
        <v/>
      </c>
    </row>
    <row r="7987">
      <c r="A7987" t="inlineStr">
        <is>
          <t>RP0007986</t>
        </is>
      </c>
      <c r="B7987" t="inlineStr">
        <is>
          <t>LN201138</t>
        </is>
      </c>
      <c r="C7987" t="n">
        <v>15</v>
      </c>
      <c r="D7987" s="8" t="n">
        <v>46306</v>
      </c>
      <c r="E7987" s="9" t="n">
        <v>26056.44</v>
      </c>
      <c r="F7987" s="8" t="n"/>
      <c r="G7987" s="9" t="n">
        <v>0</v>
      </c>
      <c r="H7987" t="inlineStr">
        <is>
          <t>NOT_DUE</t>
        </is>
      </c>
      <c r="I7987">
        <f>IF(H7987="UNPAID", AsOfDate-D7987, 0)</f>
        <v/>
      </c>
      <c r="J7987">
        <f>IF(F7987&lt;&gt;"", TEXT(F7987, "yyyy-mm"), "")</f>
        <v/>
      </c>
    </row>
    <row r="7988">
      <c r="A7988" t="inlineStr">
        <is>
          <t>RP0007987</t>
        </is>
      </c>
      <c r="B7988" t="inlineStr">
        <is>
          <t>LN201138</t>
        </is>
      </c>
      <c r="C7988" t="n">
        <v>16</v>
      </c>
      <c r="D7988" s="8" t="n">
        <v>46337</v>
      </c>
      <c r="E7988" s="9" t="n">
        <v>26056.44</v>
      </c>
      <c r="F7988" s="8" t="n"/>
      <c r="G7988" s="9" t="n">
        <v>0</v>
      </c>
      <c r="H7988" t="inlineStr">
        <is>
          <t>NOT_DUE</t>
        </is>
      </c>
      <c r="I7988">
        <f>IF(H7988="UNPAID", AsOfDate-D7988, 0)</f>
        <v/>
      </c>
      <c r="J7988">
        <f>IF(F7988&lt;&gt;"", TEXT(F7988, "yyyy-mm"), "")</f>
        <v/>
      </c>
    </row>
    <row r="7989">
      <c r="A7989" t="inlineStr">
        <is>
          <t>RP0007988</t>
        </is>
      </c>
      <c r="B7989" t="inlineStr">
        <is>
          <t>LN201138</t>
        </is>
      </c>
      <c r="C7989" t="n">
        <v>17</v>
      </c>
      <c r="D7989" s="8" t="n">
        <v>46367</v>
      </c>
      <c r="E7989" s="9" t="n">
        <v>26056.44</v>
      </c>
      <c r="F7989" s="8" t="n"/>
      <c r="G7989" s="9" t="n">
        <v>0</v>
      </c>
      <c r="H7989" t="inlineStr">
        <is>
          <t>NOT_DUE</t>
        </is>
      </c>
      <c r="I7989">
        <f>IF(H7989="UNPAID", AsOfDate-D7989, 0)</f>
        <v/>
      </c>
      <c r="J7989">
        <f>IF(F7989&lt;&gt;"", TEXT(F7989, "yyyy-mm"), "")</f>
        <v/>
      </c>
    </row>
    <row r="7990">
      <c r="A7990" t="inlineStr">
        <is>
          <t>RP0007989</t>
        </is>
      </c>
      <c r="B7990" t="inlineStr">
        <is>
          <t>LN201138</t>
        </is>
      </c>
      <c r="C7990" t="n">
        <v>18</v>
      </c>
      <c r="D7990" s="8" t="n">
        <v>46398</v>
      </c>
      <c r="E7990" s="9" t="n">
        <v>26056.44</v>
      </c>
      <c r="F7990" s="8" t="n"/>
      <c r="G7990" s="9" t="n">
        <v>0</v>
      </c>
      <c r="H7990" t="inlineStr">
        <is>
          <t>NOT_DUE</t>
        </is>
      </c>
      <c r="I7990">
        <f>IF(H7990="UNPAID", AsOfDate-D7990, 0)</f>
        <v/>
      </c>
      <c r="J7990">
        <f>IF(F7990&lt;&gt;"", TEXT(F7990, "yyyy-mm"), "")</f>
        <v/>
      </c>
    </row>
    <row r="7991">
      <c r="A7991" t="inlineStr">
        <is>
          <t>RP0007990</t>
        </is>
      </c>
      <c r="B7991" t="inlineStr">
        <is>
          <t>LN201139</t>
        </is>
      </c>
      <c r="C7991" t="n">
        <v>1</v>
      </c>
      <c r="D7991" s="8" t="n">
        <v>46211</v>
      </c>
      <c r="E7991" s="9" t="n">
        <v>50547.78</v>
      </c>
      <c r="F7991" s="8" t="n">
        <v>46212</v>
      </c>
      <c r="G7991" s="9" t="n">
        <v>50547.78</v>
      </c>
      <c r="H7991" t="inlineStr">
        <is>
          <t>PAID_ON_TIME</t>
        </is>
      </c>
      <c r="I7991">
        <f>IF(H7991="UNPAID", AsOfDate-D7991, 0)</f>
        <v/>
      </c>
      <c r="J7991">
        <f>IF(F7991&lt;&gt;"", TEXT(F7991, "yyyy-mm"), "")</f>
        <v/>
      </c>
    </row>
    <row r="7992">
      <c r="A7992" t="inlineStr">
        <is>
          <t>RP0007991</t>
        </is>
      </c>
      <c r="B7992" t="inlineStr">
        <is>
          <t>LN201139</t>
        </is>
      </c>
      <c r="C7992" t="n">
        <v>2</v>
      </c>
      <c r="D7992" s="8" t="n">
        <v>46242</v>
      </c>
      <c r="E7992" s="9" t="n">
        <v>50547.78</v>
      </c>
      <c r="F7992" s="8" t="n">
        <v>46239</v>
      </c>
      <c r="G7992" s="9" t="n">
        <v>50547.78</v>
      </c>
      <c r="H7992" t="inlineStr">
        <is>
          <t>PAID_ON_TIME</t>
        </is>
      </c>
      <c r="I7992">
        <f>IF(H7992="UNPAID", AsOfDate-D7992, 0)</f>
        <v/>
      </c>
      <c r="J7992">
        <f>IF(F7992&lt;&gt;"", TEXT(F7992, "yyyy-mm"), "")</f>
        <v/>
      </c>
    </row>
    <row r="7993">
      <c r="A7993" t="inlineStr">
        <is>
          <t>RP0007992</t>
        </is>
      </c>
      <c r="B7993" t="inlineStr">
        <is>
          <t>LN201139</t>
        </is>
      </c>
      <c r="C7993" t="n">
        <v>3</v>
      </c>
      <c r="D7993" s="8" t="n">
        <v>46273</v>
      </c>
      <c r="E7993" s="9" t="n">
        <v>50547.78</v>
      </c>
      <c r="F7993" s="8" t="n"/>
      <c r="G7993" s="9" t="n">
        <v>0</v>
      </c>
      <c r="H7993" t="inlineStr">
        <is>
          <t>NOT_DUE</t>
        </is>
      </c>
      <c r="I7993">
        <f>IF(H7993="UNPAID", AsOfDate-D7993, 0)</f>
        <v/>
      </c>
      <c r="J7993">
        <f>IF(F7993&lt;&gt;"", TEXT(F7993, "yyyy-mm"), "")</f>
        <v/>
      </c>
    </row>
    <row r="7994">
      <c r="A7994" t="inlineStr">
        <is>
          <t>RP0007993</t>
        </is>
      </c>
      <c r="B7994" t="inlineStr">
        <is>
          <t>LN201139</t>
        </is>
      </c>
      <c r="C7994" t="n">
        <v>4</v>
      </c>
      <c r="D7994" s="8" t="n">
        <v>46303</v>
      </c>
      <c r="E7994" s="9" t="n">
        <v>50547.78</v>
      </c>
      <c r="F7994" s="8" t="n"/>
      <c r="G7994" s="9" t="n">
        <v>0</v>
      </c>
      <c r="H7994" t="inlineStr">
        <is>
          <t>NOT_DUE</t>
        </is>
      </c>
      <c r="I7994">
        <f>IF(H7994="UNPAID", AsOfDate-D7994, 0)</f>
        <v/>
      </c>
      <c r="J7994">
        <f>IF(F7994&lt;&gt;"", TEXT(F7994, "yyyy-mm"), "")</f>
        <v/>
      </c>
    </row>
    <row r="7995">
      <c r="A7995" t="inlineStr">
        <is>
          <t>RP0007994</t>
        </is>
      </c>
      <c r="B7995" t="inlineStr">
        <is>
          <t>LN201139</t>
        </is>
      </c>
      <c r="C7995" t="n">
        <v>5</v>
      </c>
      <c r="D7995" s="8" t="n">
        <v>46334</v>
      </c>
      <c r="E7995" s="9" t="n">
        <v>50547.78</v>
      </c>
      <c r="F7995" s="8" t="n"/>
      <c r="G7995" s="9" t="n">
        <v>0</v>
      </c>
      <c r="H7995" t="inlineStr">
        <is>
          <t>NOT_DUE</t>
        </is>
      </c>
      <c r="I7995">
        <f>IF(H7995="UNPAID", AsOfDate-D7995, 0)</f>
        <v/>
      </c>
      <c r="J7995">
        <f>IF(F7995&lt;&gt;"", TEXT(F7995, "yyyy-mm"), "")</f>
        <v/>
      </c>
    </row>
    <row r="7996">
      <c r="A7996" t="inlineStr">
        <is>
          <t>RP0007995</t>
        </is>
      </c>
      <c r="B7996" t="inlineStr">
        <is>
          <t>LN201139</t>
        </is>
      </c>
      <c r="C7996" t="n">
        <v>6</v>
      </c>
      <c r="D7996" s="8" t="n">
        <v>46364</v>
      </c>
      <c r="E7996" s="9" t="n">
        <v>50547.78</v>
      </c>
      <c r="F7996" s="8" t="n"/>
      <c r="G7996" s="9" t="n">
        <v>0</v>
      </c>
      <c r="H7996" t="inlineStr">
        <is>
          <t>NOT_DUE</t>
        </is>
      </c>
      <c r="I7996">
        <f>IF(H7996="UNPAID", AsOfDate-D7996, 0)</f>
        <v/>
      </c>
      <c r="J7996">
        <f>IF(F7996&lt;&gt;"", TEXT(F7996, "yyyy-mm"), "")</f>
        <v/>
      </c>
    </row>
    <row r="7997">
      <c r="A7997" t="inlineStr">
        <is>
          <t>RP0007996</t>
        </is>
      </c>
      <c r="B7997" t="inlineStr">
        <is>
          <t>LN201139</t>
        </is>
      </c>
      <c r="C7997" t="n">
        <v>7</v>
      </c>
      <c r="D7997" s="8" t="n">
        <v>46395</v>
      </c>
      <c r="E7997" s="9" t="n">
        <v>50547.78</v>
      </c>
      <c r="F7997" s="8" t="n"/>
      <c r="G7997" s="9" t="n">
        <v>0</v>
      </c>
      <c r="H7997" t="inlineStr">
        <is>
          <t>NOT_DUE</t>
        </is>
      </c>
      <c r="I7997">
        <f>IF(H7997="UNPAID", AsOfDate-D7997, 0)</f>
        <v/>
      </c>
      <c r="J7997">
        <f>IF(F7997&lt;&gt;"", TEXT(F7997, "yyyy-mm"), "")</f>
        <v/>
      </c>
    </row>
    <row r="7998">
      <c r="A7998" t="inlineStr">
        <is>
          <t>RP0007997</t>
        </is>
      </c>
      <c r="B7998" t="inlineStr">
        <is>
          <t>LN201139</t>
        </is>
      </c>
      <c r="C7998" t="n">
        <v>8</v>
      </c>
      <c r="D7998" s="8" t="n">
        <v>46426</v>
      </c>
      <c r="E7998" s="9" t="n">
        <v>50547.78</v>
      </c>
      <c r="F7998" s="8" t="n"/>
      <c r="G7998" s="9" t="n">
        <v>0</v>
      </c>
      <c r="H7998" t="inlineStr">
        <is>
          <t>NOT_DUE</t>
        </is>
      </c>
      <c r="I7998">
        <f>IF(H7998="UNPAID", AsOfDate-D7998, 0)</f>
        <v/>
      </c>
      <c r="J7998">
        <f>IF(F7998&lt;&gt;"", TEXT(F7998, "yyyy-mm"), "")</f>
        <v/>
      </c>
    </row>
    <row r="7999">
      <c r="A7999" t="inlineStr">
        <is>
          <t>RP0007998</t>
        </is>
      </c>
      <c r="B7999" t="inlineStr">
        <is>
          <t>LN201139</t>
        </is>
      </c>
      <c r="C7999" t="n">
        <v>9</v>
      </c>
      <c r="D7999" s="8" t="n">
        <v>46454</v>
      </c>
      <c r="E7999" s="9" t="n">
        <v>50547.78</v>
      </c>
      <c r="F7999" s="8" t="n"/>
      <c r="G7999" s="9" t="n">
        <v>0</v>
      </c>
      <c r="H7999" t="inlineStr">
        <is>
          <t>NOT_DUE</t>
        </is>
      </c>
      <c r="I7999">
        <f>IF(H7999="UNPAID", AsOfDate-D7999, 0)</f>
        <v/>
      </c>
      <c r="J7999">
        <f>IF(F7999&lt;&gt;"", TEXT(F7999, "yyyy-mm"), "")</f>
        <v/>
      </c>
    </row>
    <row r="8000">
      <c r="A8000" t="inlineStr">
        <is>
          <t>RP0007999</t>
        </is>
      </c>
      <c r="B8000" t="inlineStr">
        <is>
          <t>LN201140</t>
        </is>
      </c>
      <c r="C8000" t="n">
        <v>1</v>
      </c>
      <c r="D8000" s="8" t="n">
        <v>46237</v>
      </c>
      <c r="E8000" s="9" t="n">
        <v>51417.42</v>
      </c>
      <c r="F8000" s="8" t="n">
        <v>46238</v>
      </c>
      <c r="G8000" s="9" t="n">
        <v>51417.42</v>
      </c>
      <c r="H8000" t="inlineStr">
        <is>
          <t>PAID_ON_TIME</t>
        </is>
      </c>
      <c r="I8000">
        <f>IF(H8000="UNPAID", AsOfDate-D8000, 0)</f>
        <v/>
      </c>
      <c r="J8000">
        <f>IF(F8000&lt;&gt;"", TEXT(F8000, "yyyy-mm"), "")</f>
        <v/>
      </c>
    </row>
    <row r="8001">
      <c r="A8001" t="inlineStr">
        <is>
          <t>RP0008000</t>
        </is>
      </c>
      <c r="B8001" t="inlineStr">
        <is>
          <t>LN201140</t>
        </is>
      </c>
      <c r="C8001" t="n">
        <v>2</v>
      </c>
      <c r="D8001" s="8" t="n">
        <v>46268</v>
      </c>
      <c r="E8001" s="9" t="n">
        <v>51417.42</v>
      </c>
      <c r="F8001" s="8" t="n"/>
      <c r="G8001" s="9" t="n">
        <v>0</v>
      </c>
      <c r="H8001" t="inlineStr">
        <is>
          <t>NOT_DUE</t>
        </is>
      </c>
      <c r="I8001">
        <f>IF(H8001="UNPAID", AsOfDate-D8001, 0)</f>
        <v/>
      </c>
      <c r="J8001">
        <f>IF(F8001&lt;&gt;"", TEXT(F8001, "yyyy-mm"), "")</f>
        <v/>
      </c>
    </row>
    <row r="8002">
      <c r="A8002" t="inlineStr">
        <is>
          <t>RP0008001</t>
        </is>
      </c>
      <c r="B8002" t="inlineStr">
        <is>
          <t>LN201140</t>
        </is>
      </c>
      <c r="C8002" t="n">
        <v>3</v>
      </c>
      <c r="D8002" s="8" t="n">
        <v>46298</v>
      </c>
      <c r="E8002" s="9" t="n">
        <v>51417.42</v>
      </c>
      <c r="F8002" s="8" t="n"/>
      <c r="G8002" s="9" t="n">
        <v>0</v>
      </c>
      <c r="H8002" t="inlineStr">
        <is>
          <t>NOT_DUE</t>
        </is>
      </c>
      <c r="I8002">
        <f>IF(H8002="UNPAID", AsOfDate-D8002, 0)</f>
        <v/>
      </c>
      <c r="J8002">
        <f>IF(F8002&lt;&gt;"", TEXT(F8002, "yyyy-mm"), "")</f>
        <v/>
      </c>
    </row>
    <row r="8003">
      <c r="A8003" t="inlineStr">
        <is>
          <t>RP0008002</t>
        </is>
      </c>
      <c r="B8003" t="inlineStr">
        <is>
          <t>LN201142</t>
        </is>
      </c>
      <c r="C8003" t="n">
        <v>1</v>
      </c>
      <c r="D8003" s="8" t="n">
        <v>45754</v>
      </c>
      <c r="E8003" s="9" t="n">
        <v>77847.25</v>
      </c>
      <c r="F8003" s="8" t="n">
        <v>45830</v>
      </c>
      <c r="G8003" s="9" t="n">
        <v>77847.25</v>
      </c>
      <c r="H8003" t="inlineStr">
        <is>
          <t>PAID_LATE</t>
        </is>
      </c>
      <c r="I8003">
        <f>IF(H8003="UNPAID", AsOfDate-D8003, 0)</f>
        <v/>
      </c>
      <c r="J8003">
        <f>IF(F8003&lt;&gt;"", TEXT(F8003, "yyyy-mm"), "")</f>
        <v/>
      </c>
    </row>
    <row r="8004">
      <c r="A8004" t="inlineStr">
        <is>
          <t>RP0008003</t>
        </is>
      </c>
      <c r="B8004" t="inlineStr">
        <is>
          <t>LN201142</t>
        </is>
      </c>
      <c r="C8004" t="n">
        <v>2</v>
      </c>
      <c r="D8004" s="8" t="n">
        <v>45784</v>
      </c>
      <c r="E8004" s="9" t="n">
        <v>77847.25</v>
      </c>
      <c r="F8004" s="8" t="n">
        <v>45782</v>
      </c>
      <c r="G8004" s="9" t="n">
        <v>77847.25</v>
      </c>
      <c r="H8004" t="inlineStr">
        <is>
          <t>PAID_ON_TIME</t>
        </is>
      </c>
      <c r="I8004">
        <f>IF(H8004="UNPAID", AsOfDate-D8004, 0)</f>
        <v/>
      </c>
      <c r="J8004">
        <f>IF(F8004&lt;&gt;"", TEXT(F8004, "yyyy-mm"), "")</f>
        <v/>
      </c>
    </row>
    <row r="8005">
      <c r="A8005" t="inlineStr">
        <is>
          <t>RP0008004</t>
        </is>
      </c>
      <c r="B8005" t="inlineStr">
        <is>
          <t>LN201142</t>
        </is>
      </c>
      <c r="C8005" t="n">
        <v>3</v>
      </c>
      <c r="D8005" s="8" t="n">
        <v>45815</v>
      </c>
      <c r="E8005" s="9" t="n">
        <v>77847.25</v>
      </c>
      <c r="F8005" s="8" t="n">
        <v>45818</v>
      </c>
      <c r="G8005" s="9" t="n">
        <v>77847.25</v>
      </c>
      <c r="H8005" t="inlineStr">
        <is>
          <t>PAID_ON_TIME</t>
        </is>
      </c>
      <c r="I8005">
        <f>IF(H8005="UNPAID", AsOfDate-D8005, 0)</f>
        <v/>
      </c>
      <c r="J8005">
        <f>IF(F8005&lt;&gt;"", TEXT(F8005, "yyyy-mm"), 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2026-09-03T09:07:29Z</dcterms:created>
  <dcterms:modified xsi:type="dcterms:W3CDTF">2026-09-03T09:07:30Z</dcterms:modified>
</cp:coreProperties>
</file>